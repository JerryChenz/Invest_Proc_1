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EA216B-83D3-4099-B7DC-1EF48C2EF1B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<sst xmlns="http://schemas.openxmlformats.org/spreadsheetml/2006/main" count="685" uniqueCount="465">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</sst>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56.2</v>
      </c>
      <c r="D12" s="50"/>
      <c r="E12" s="48"/>
    </row>
    <row r="13" spans="1:10">
      <c r="B13" s="1" t="s">
        <v>416</v>
      </c>
      <c r="C13" s="48" t="s">
        <v>396</v>
      </c>
      <c r="D13" s="48"/>
      <c r="E13" s="5"/>
    </row>
    <row r="14" spans="1:10">
      <c r="B14" s="4" t="s">
        <v>420</v>
      </c>
      <c r="C14" s="35">
        <f>Thesis!C12*Common_Shares/1000000</f>
        <v>76667.859485600013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1.0894403000000001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72.726567915428205</v>
      </c>
      <c r="D26" s="1" t="s">
        <v>399</v>
      </c>
      <c r="E26" s="301">
        <f ca="1">Scenarios!C87</f>
        <v>0.12284128937562033</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31.791673568802036</v>
      </c>
      <c r="D29" s="310" t="str">
        <f>D149</f>
        <v/>
      </c>
      <c r="E29" s="306" t="s">
        <v>424</v>
      </c>
      <c r="F29" s="302">
        <v>0.3674</v>
      </c>
    </row>
    <row r="30" spans="2:6">
      <c r="B30" s="1" t="s">
        <v>426</v>
      </c>
      <c r="C30" s="311">
        <f>C157</f>
        <v>44.448730860821776</v>
      </c>
      <c r="D30" s="311" t="str">
        <f>D157</f>
        <v/>
      </c>
      <c r="E30" s="307" t="s">
        <v>437</v>
      </c>
      <c r="F30" s="312">
        <v>0.21740000000000001</v>
      </c>
    </row>
    <row r="31" spans="2:6">
      <c r="B31" s="1" t="s">
        <v>427</v>
      </c>
      <c r="C31" s="311">
        <f>C165</f>
        <v>63.79348363059632</v>
      </c>
      <c r="D31" s="311" t="str">
        <f>D165</f>
        <v/>
      </c>
      <c r="E31" s="307" t="s">
        <v>436</v>
      </c>
      <c r="F31" s="312">
        <v>7.4999999999999997E-2</v>
      </c>
    </row>
    <row r="32" spans="2:6">
      <c r="B32" s="1" t="s">
        <v>428</v>
      </c>
      <c r="C32" s="311">
        <f>C173</f>
        <v>56.999499293397136</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5"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177130574.94041088</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155293520.94041088</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-1008340397.8120414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3154849238.9404106</v>
      </c>
      <c r="D67" s="1" t="str">
        <f>Reporting_currency</f>
        <v>CNY</v>
      </c>
    </row>
    <row r="68" spans="1:6">
      <c r="B68" s="47" t="s">
        <v>248</v>
      </c>
      <c r="C68" s="349">
        <f>Normalized_FCF!C19</f>
        <v>2878386628.9644475</v>
      </c>
      <c r="D68" s="1" t="str">
        <f>Reporting_currency</f>
        <v>CNY</v>
      </c>
    </row>
    <row r="69" spans="1:6">
      <c r="B69" s="227" t="s">
        <v>390</v>
      </c>
      <c r="C69" s="92">
        <f>Normalized_FCF!C125</f>
        <v>4.0901499189031076E-2</v>
      </c>
      <c r="F69" s="314"/>
    </row>
    <row r="70" spans="1:6">
      <c r="B70" s="227" t="s">
        <v>308</v>
      </c>
      <c r="C70" s="92">
        <f>Normalized_FCF!C93</f>
        <v>3.5932127233873762E-2</v>
      </c>
      <c r="E70" s="47" t="s">
        <v>448</v>
      </c>
      <c r="F70" s="315">
        <f>Normalized_FCF!C92</f>
        <v>0.95707757049178577</v>
      </c>
    </row>
    <row r="72" spans="1:6">
      <c r="B72" s="210" t="s">
        <v>451</v>
      </c>
      <c r="C72" s="323" t="s">
        <v>453</v>
      </c>
      <c r="D72" s="323" t="s">
        <v>454</v>
      </c>
    </row>
    <row r="73" spans="1:6">
      <c r="B73" s="47" t="s">
        <v>452</v>
      </c>
      <c r="C73" s="92">
        <f>Normalized_FCF!C120</f>
        <v>0.13507781163429464</v>
      </c>
      <c r="D73" s="92">
        <f>Normalized_FCF!G120</f>
        <v>0.15711421090156555</v>
      </c>
    </row>
    <row r="74" spans="1:6">
      <c r="B74" s="259" t="str">
        <f>Normalized_FCF!B117</f>
        <v>Pre-tax Profit/Sales</v>
      </c>
      <c r="C74" s="322">
        <f>Normalized_FCF!C117</f>
        <v>0.12563744371205277</v>
      </c>
      <c r="D74" s="322">
        <f>Normalized_FCF!G117</f>
        <v>0.14597620202537173</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30.648856725647285</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0.2279160337052743</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12815447533.545403</v>
      </c>
      <c r="D109" s="1" t="str">
        <f>Reporting_currency</f>
        <v>CNY</v>
      </c>
    </row>
    <row r="110" spans="2:6">
      <c r="B110" s="47" t="s">
        <v>282</v>
      </c>
      <c r="C110" s="223">
        <f>C109*scaling_factor*Exchange_Rate/Common_Shares</f>
        <v>10.234348246816108</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2.2004570307170326</v>
      </c>
      <c r="D114" s="1" t="str">
        <f>Market_currency</f>
        <v>HKD</v>
      </c>
    </row>
    <row r="116" spans="1:6" ht="24.5" customHeight="1">
      <c r="B116" s="358" t="s">
        <v>366</v>
      </c>
      <c r="C116" s="358"/>
      <c r="D116" s="358"/>
      <c r="E116" s="358"/>
      <c r="F116" s="358"/>
    </row>
    <row r="118" spans="1:6">
      <c r="B118" s="47" t="s">
        <v>449</v>
      </c>
      <c r="C118" s="223">
        <f>IF(valuation_method="DCF",DCF!C12,DDM!C7)</f>
        <v>42.855745969475159</v>
      </c>
      <c r="D118" s="1" t="str">
        <f>Market_currency</f>
        <v>HKD</v>
      </c>
    </row>
    <row r="119" spans="1:6">
      <c r="B119" s="296" t="s">
        <v>405</v>
      </c>
      <c r="C119" s="223">
        <f>BS!D47</f>
        <v>1.3540662140633235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116.5 HKD</v>
      </c>
      <c r="F126" s="232">
        <f>DCF!F74</f>
        <v>0.05</v>
      </c>
    </row>
    <row r="127" spans="1:6">
      <c r="B127" s="218" t="str">
        <f>DCF!B75</f>
        <v>Optimistic</v>
      </c>
      <c r="C127" s="219">
        <f>DCF!C75</f>
        <v>0.08</v>
      </c>
      <c r="D127" s="220">
        <f>DCF!D75</f>
        <v>30</v>
      </c>
      <c r="E127" s="231" t="str">
        <f>ROUND(IF(valuation_method="DCF",DCF!E75,DDM!E70),2)&amp;" "&amp;Market_currency</f>
        <v>90.15 HKD</v>
      </c>
      <c r="F127" s="221">
        <f>DCF!F75</f>
        <v>0.18</v>
      </c>
    </row>
    <row r="128" spans="1:6">
      <c r="B128" s="218" t="str">
        <f>DCF!B76</f>
        <v>Base</v>
      </c>
      <c r="C128" s="219">
        <f>DCF!C76</f>
        <v>0.06</v>
      </c>
      <c r="D128" s="220">
        <f>DCF!D76</f>
        <v>30</v>
      </c>
      <c r="E128" s="231" t="str">
        <f>ROUND(IF(valuation_method="DCF",DCF!E76,DDM!E71),2)&amp;" "&amp;Market_currency</f>
        <v>71.79 HKD</v>
      </c>
      <c r="F128" s="221">
        <f>DCF!F76</f>
        <v>0.44999999999999996</v>
      </c>
    </row>
    <row r="129" spans="1:6">
      <c r="B129" s="218" t="str">
        <f>DCF!B77</f>
        <v>Pessimistic</v>
      </c>
      <c r="C129" s="219">
        <f>DCF!C77</f>
        <v>0.04</v>
      </c>
      <c r="D129" s="220">
        <f>DCF!D77</f>
        <v>30</v>
      </c>
      <c r="E129" s="231" t="str">
        <f>ROUND(IF(valuation_method="DCF",DCF!E77,DDM!E72),2)&amp;" "&amp;Market_currency</f>
        <v>58.85 HKD</v>
      </c>
      <c r="F129" s="221">
        <f>DCF!F77</f>
        <v>0.26999999999999996</v>
      </c>
    </row>
    <row r="130" spans="1:6">
      <c r="B130" s="218" t="str">
        <f>DCF!B78</f>
        <v>Devil's advocate</v>
      </c>
      <c r="C130" s="219">
        <f>DCF!C78</f>
        <v>0.02</v>
      </c>
      <c r="D130" s="220">
        <f>DCF!D78</f>
        <v>30</v>
      </c>
      <c r="E130" s="231" t="str">
        <f>ROUND(IF(valuation_method="DCF",DCF!E78,DDM!E73),2)&amp;" "&amp;Market_currency</f>
        <v>49.59 HKD</v>
      </c>
      <c r="F130" s="221">
        <f>DCF!F78</f>
        <v>0.05</v>
      </c>
    </row>
    <row r="132" spans="1:6">
      <c r="B132" s="211" t="s">
        <v>258</v>
      </c>
      <c r="C132" s="217">
        <f>Scenarios!C60</f>
        <v>72.726567915428205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2.0193855505437055</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3.3466455230292915</v>
      </c>
    </row>
    <row r="148" spans="2:4">
      <c r="B148" s="212" t="str">
        <f>"+ PV(Equity Value realized at year "&amp;C141&amp;")"</f>
        <v>+ PV(Equity Value realized at year 3)</v>
      </c>
      <c r="C148" s="216">
        <f>Scenarios!C82</f>
        <v>28.445028045772744</v>
      </c>
    </row>
    <row r="149" spans="2:4">
      <c r="B149" s="80" t="s">
        <v>260</v>
      </c>
      <c r="C149" s="215">
        <f>Scenarios!C83</f>
        <v>31.791673568802036</v>
      </c>
      <c r="D149" s="300" t="str">
        <f>IF($D$11="","",C149*$E$25)</f>
        <v/>
      </c>
    </row>
    <row r="150" spans="2:4">
      <c r="B150" s="259" t="s">
        <v>416</v>
      </c>
      <c r="C150" s="298" t="str">
        <f>Market_currency</f>
        <v>HKD</v>
      </c>
      <c r="D150" s="298" t="str">
        <f>IF($D$11="","",D$13)</f>
        <v/>
      </c>
    </row>
    <row r="151" spans="2:4">
      <c r="B151" s="214" t="s">
        <v>262</v>
      </c>
      <c r="C151" s="92">
        <f>Scenarios!F83</f>
        <v>0.56286025203648093</v>
      </c>
    </row>
    <row r="153" spans="2:4">
      <c r="B153" s="210" t="s">
        <v>411</v>
      </c>
    </row>
    <row r="154" spans="2:4">
      <c r="B154" s="1" t="s">
        <v>410</v>
      </c>
      <c r="C154" s="297">
        <f>Scenarios!C90</f>
        <v>0.21740000000000001</v>
      </c>
    </row>
    <row r="155" spans="2:4">
      <c r="B155" s="212" t="str">
        <f>"PV("&amp;C141&amp;" yrs of Dividends)"</f>
        <v>PV(3 yrs of Dividends)</v>
      </c>
      <c r="C155" s="216">
        <f>Scenarios!C91</f>
        <v>4.1405497965357627</v>
      </c>
    </row>
    <row r="156" spans="2:4">
      <c r="B156" s="212" t="str">
        <f>"+ PV(Equity Value realized at year "&amp;C141&amp;")"</f>
        <v>+ PV(Equity Value realized at year 3)</v>
      </c>
      <c r="C156" s="216">
        <f>Scenarios!C92</f>
        <v>40.308181064286011</v>
      </c>
    </row>
    <row r="157" spans="2:4">
      <c r="B157" s="80" t="s">
        <v>260</v>
      </c>
      <c r="C157" s="215">
        <f>Scenarios!C93</f>
        <v>44.448730860821776</v>
      </c>
      <c r="D157" s="300" t="str">
        <f>IF($D$11="","",C157*$E$25)</f>
        <v/>
      </c>
    </row>
    <row r="158" spans="2:4">
      <c r="B158" s="259" t="s">
        <v>416</v>
      </c>
      <c r="C158" s="298" t="str">
        <f>Market_currency</f>
        <v>HKD</v>
      </c>
      <c r="D158" s="298" t="str">
        <f>IF($D$11="","",D$13)</f>
        <v/>
      </c>
    </row>
    <row r="159" spans="2:4">
      <c r="B159" s="214" t="s">
        <v>262</v>
      </c>
      <c r="C159" s="92">
        <f>Scenarios!F93</f>
        <v>0.38882402765781521</v>
      </c>
    </row>
    <row r="161" spans="2:4">
      <c r="B161" s="210" t="s">
        <v>400</v>
      </c>
    </row>
    <row r="162" spans="2:4">
      <c r="B162" s="1" t="s">
        <v>409</v>
      </c>
      <c r="C162" s="92">
        <f>Scenarios!C96</f>
        <v>7.4999999999999997E-2</v>
      </c>
    </row>
    <row r="163" spans="2:4">
      <c r="B163" s="212" t="str">
        <f>"PV("&amp;C141&amp;" yrs of Dividends)"</f>
        <v>PV(3 yrs of Dividends)</v>
      </c>
      <c r="C163" s="216">
        <f>Scenarios!C97</f>
        <v>5.2514641029144142</v>
      </c>
    </row>
    <row r="164" spans="2:4">
      <c r="B164" s="212" t="str">
        <f>"+ PV(Equity Value realized at year "&amp;C141&amp;")"</f>
        <v>+ PV(Equity Value realized at year 3)</v>
      </c>
      <c r="C164" s="216">
        <f>Scenarios!C98</f>
        <v>58.542019527681909</v>
      </c>
    </row>
    <row r="165" spans="2:4">
      <c r="B165" s="80" t="s">
        <v>401</v>
      </c>
      <c r="C165" s="215">
        <f>Scenarios!C99</f>
        <v>63.79348363059632</v>
      </c>
      <c r="D165" s="300" t="str">
        <f>IF($D$11="","",C165*$E$25)</f>
        <v/>
      </c>
    </row>
    <row r="166" spans="2:4">
      <c r="B166" s="259" t="s">
        <v>416</v>
      </c>
      <c r="C166" s="298" t="str">
        <f>Market_currency</f>
        <v>HKD</v>
      </c>
      <c r="D166" s="298" t="str">
        <f>IF($D$11="","",D$13)</f>
        <v/>
      </c>
    </row>
    <row r="167" spans="2:4">
      <c r="B167" s="214" t="s">
        <v>262</v>
      </c>
      <c r="C167" s="92">
        <f>Scenarios!F99</f>
        <v>0.12283109929262626</v>
      </c>
    </row>
    <row r="169" spans="2:4">
      <c r="B169" s="210" t="s">
        <v>432</v>
      </c>
    </row>
    <row r="170" spans="2:4">
      <c r="B170" s="1" t="s">
        <v>423</v>
      </c>
      <c r="C170" s="92">
        <f>F32</f>
        <v>0.1174</v>
      </c>
    </row>
    <row r="171" spans="2:4">
      <c r="B171" s="212" t="str">
        <f>"PV("&amp;C141&amp;" yrs of Dividends)"</f>
        <v>PV(3 yrs of Dividends)</v>
      </c>
      <c r="C171" s="216">
        <f>Scenarios!C103</f>
        <v>4.8719758917170841</v>
      </c>
    </row>
    <row r="172" spans="2:4">
      <c r="B172" s="212" t="str">
        <f>"+ PV(Equity Value realized at year "&amp;C141&amp;")"</f>
        <v>+ PV(Equity Value realized at year 3)</v>
      </c>
      <c r="C172" s="216">
        <f>Scenarios!C104</f>
        <v>52.127523401680051</v>
      </c>
    </row>
    <row r="173" spans="2:4">
      <c r="B173" s="80" t="s">
        <v>401</v>
      </c>
      <c r="C173" s="215">
        <f>Scenarios!C105</f>
        <v>56.999499293397136</v>
      </c>
      <c r="D173" s="300" t="str">
        <f>IF($D$11="","",C173*$E$25)</f>
        <v/>
      </c>
    </row>
    <row r="174" spans="2:4">
      <c r="B174" s="259" t="s">
        <v>416</v>
      </c>
      <c r="C174" s="298" t="str">
        <f>Market_currency</f>
        <v>HKD</v>
      </c>
      <c r="D174" s="298" t="str">
        <f>IF($D$11="","",D$13)</f>
        <v/>
      </c>
    </row>
    <row r="175" spans="2:4">
      <c r="B175" s="214" t="s">
        <v>262</v>
      </c>
      <c r="C175" s="92">
        <f>Scenarios!F105</f>
        <v>0.21589246751366298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2.0193855505437055</v>
      </c>
      <c r="D25" s="39">
        <f>2/Exchange_Rate</f>
        <v>1.8358050459488233</v>
      </c>
      <c r="E25" s="39">
        <f>1.3/Exchange_Rate</f>
        <v>1.1932732798667351</v>
      </c>
      <c r="F25" s="39">
        <f>1.1/Exchange_Rate</f>
        <v>1.0096927752718527</v>
      </c>
      <c r="G25" s="39">
        <f>0.75/Exchange_Rate</f>
        <v>0.68842689223080866</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2.0193855505437055</v>
      </c>
      <c r="D65" s="73">
        <f t="shared" ref="D65:M65" si="33">IF(D$4="","",D25)</f>
        <v>1.8358050459488233</v>
      </c>
      <c r="E65" s="73">
        <f t="shared" si="33"/>
        <v>1.1932732798667351</v>
      </c>
      <c r="F65" s="73">
        <f t="shared" si="33"/>
        <v>1.0096927752718527</v>
      </c>
      <c r="G65" s="73">
        <f t="shared" si="33"/>
        <v>0.68842689223080866</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23.207468538043678</v>
      </c>
      <c r="D47" s="147">
        <f>D46*H1/Common_Shares*Exchange_Rate</f>
        <v>1.3540662140633235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12815447533.545403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-2533739734.648778</v>
      </c>
      <c r="D73" s="349">
        <f>(Normalized_FCF!C25+Normalized_FCF!C35-Normalized_FCF!C91)/12</f>
        <v>-2581662681.2272983</v>
      </c>
      <c r="F73" s="1" t="s">
        <v>351</v>
      </c>
    </row>
    <row r="74" spans="2:6" ht="15" customHeight="1">
      <c r="B74" s="257" t="s">
        <v>321</v>
      </c>
      <c r="C74" s="258">
        <f>-$C$66/C73</f>
        <v>7.0957457272114741</v>
      </c>
      <c r="D74" s="258">
        <f>-$C$66/D73</f>
        <v>6.9640286574747483</v>
      </c>
      <c r="F74" s="253" t="s">
        <v>319</v>
      </c>
    </row>
    <row r="75" spans="2:6" ht="15" customHeight="1">
      <c r="B75" s="80" t="s">
        <v>320</v>
      </c>
      <c r="C75" s="320"/>
      <c r="D75" s="321">
        <f>MAX(-D73*D76,G5)</f>
        <v>5163325362.4545965</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-310922321.11443496</v>
      </c>
      <c r="D86" s="223">
        <f>C86*scaling_factor/Common_Shares</f>
        <v>-0.2279160337052743</v>
      </c>
      <c r="E86" s="240" t="str">
        <f>Market_currency</f>
        <v>HKD</v>
      </c>
    </row>
    <row r="87" spans="2:8" ht="15" customHeight="1">
      <c r="B87" s="238" t="s">
        <v>287</v>
      </c>
      <c r="C87" s="76">
        <f>DCF!C8*Exchange_Rate</f>
        <v>13961665005.579966</v>
      </c>
      <c r="D87" s="223">
        <f>C87*scaling_factor/Common_Shares</f>
        <v>10.234348246816108</v>
      </c>
      <c r="E87" s="240" t="str">
        <f>Market_currency</f>
        <v>HKD</v>
      </c>
    </row>
    <row r="88" spans="2:8" ht="15" customHeight="1">
      <c r="B88" s="239" t="s">
        <v>189</v>
      </c>
      <c r="C88" s="76">
        <f>DCF!C9*Exchange_Rate</f>
        <v>3001856413.436193</v>
      </c>
      <c r="D88" s="223">
        <f>C88*scaling_factor/Common_Shares</f>
        <v>2.2004570307170326</v>
      </c>
      <c r="E88" s="240" t="str">
        <f>Market_currency</f>
        <v>HKD</v>
      </c>
    </row>
    <row r="89" spans="2:8" ht="15" customHeight="1">
      <c r="B89" s="80" t="s">
        <v>291</v>
      </c>
      <c r="C89" s="180">
        <f>SUM(C86:C88)</f>
        <v>16652599097.901724</v>
      </c>
      <c r="D89" s="242">
        <f>SUM(D86:D88)</f>
        <v>12.206889243827867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155293520.94041088</v>
      </c>
      <c r="E12" s="268"/>
      <c r="G12" s="328">
        <f>G50</f>
        <v>155293520.94041088</v>
      </c>
      <c r="H12" s="328">
        <f t="shared" ref="H12:Q12" si="6">H50</f>
        <v>128995578.646359</v>
      </c>
      <c r="I12" s="328">
        <f t="shared" si="6"/>
        <v>122772471.24052058</v>
      </c>
      <c r="J12" s="328">
        <f t="shared" si="6"/>
        <v>67965697.929551378</v>
      </c>
      <c r="K12" s="328">
        <f t="shared" si="6"/>
        <v>136833350.04534203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4033361591.2481656</v>
      </c>
      <c r="E13" s="268"/>
      <c r="G13" s="329">
        <f>IF(G$4="","",SUM(G8:G12))</f>
        <v>4691358380.9404106</v>
      </c>
      <c r="H13" s="329">
        <f t="shared" ref="H13:Q13" si="7">IF(H$4="","",SUM(H8:H12))</f>
        <v>4549663370.6463594</v>
      </c>
      <c r="I13" s="329">
        <f t="shared" si="7"/>
        <v>3869725679.2405205</v>
      </c>
      <c r="J13" s="329">
        <f t="shared" si="7"/>
        <v>3025056697.9295516</v>
      </c>
      <c r="K13" s="329">
        <f t="shared" si="7"/>
        <v>2470893222.045342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-1008340397.8120414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2878386628.9644475</v>
      </c>
      <c r="D16" s="61"/>
      <c r="E16" s="276"/>
      <c r="F16" s="61"/>
      <c r="G16" s="329">
        <f>IF(G$4="","",SUM(G13:G15))</f>
        <v>3154849238.9404106</v>
      </c>
      <c r="H16" s="329">
        <f t="shared" ref="H16:Q16" si="8">IF(H$4="","",SUM(H13:H15))</f>
        <v>3071107474.6463594</v>
      </c>
      <c r="I16" s="329">
        <f t="shared" si="8"/>
        <v>2574212986.2405205</v>
      </c>
      <c r="J16" s="329">
        <f t="shared" si="8"/>
        <v>1701537042.9295516</v>
      </c>
      <c r="K16" s="329">
        <f t="shared" si="8"/>
        <v>1432667454.045342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2878386628.9644475</v>
      </c>
      <c r="D19" s="27"/>
      <c r="E19" s="265"/>
      <c r="F19" s="27"/>
      <c r="G19" s="334">
        <f>IF(G$4="","",G16+G17)</f>
        <v>3154849238.9404106</v>
      </c>
      <c r="H19" s="334">
        <f t="shared" ref="H19:Q19" si="9">IF(H$4="","",H16+H17)</f>
        <v>3071107474.6463594</v>
      </c>
      <c r="I19" s="334">
        <f t="shared" si="9"/>
        <v>2574212986.2405205</v>
      </c>
      <c r="J19" s="334">
        <f t="shared" si="9"/>
        <v>1701537042.9295516</v>
      </c>
      <c r="K19" s="334">
        <f t="shared" si="9"/>
        <v>1432667454.045342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0.29622898127885577</v>
      </c>
      <c r="H43" s="6">
        <f t="shared" si="18"/>
        <v>0.30732128161854755</v>
      </c>
      <c r="I43" s="6">
        <f t="shared" si="18"/>
        <v>0.31046640190676073</v>
      </c>
      <c r="J43" s="6">
        <f t="shared" si="18"/>
        <v>0.40420121574477524</v>
      </c>
      <c r="K43" s="6">
        <f t="shared" si="18"/>
        <v>0.36933223615571265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177130574.94041088</v>
      </c>
      <c r="E48" s="268"/>
      <c r="G48" s="337">
        <f>IFERROR(IF(G$4="","",($C$48/$C$49)*G49),0)</f>
        <v>177130574.94041088</v>
      </c>
      <c r="H48" s="337">
        <f t="shared" ref="H48:Q48" si="19">IFERROR(IF(H$4="","",($C$48/$C$49)*H49),0)</f>
        <v>145426168.646359</v>
      </c>
      <c r="I48" s="337">
        <f t="shared" si="19"/>
        <v>132010271.24052058</v>
      </c>
      <c r="J48" s="337">
        <f t="shared" si="19"/>
        <v>90651064.929551378</v>
      </c>
      <c r="K48" s="337">
        <f t="shared" si="19"/>
        <v>150496032.04534203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155293520.94041088</v>
      </c>
      <c r="E50" s="268"/>
      <c r="G50" s="329">
        <f>IF(G$4="","",(G47+G48))</f>
        <v>155293520.94041088</v>
      </c>
      <c r="H50" s="329">
        <f t="shared" ref="H50:Q50" si="20">IF(H$4="","",(H47+H48))</f>
        <v>128995578.646359</v>
      </c>
      <c r="I50" s="329">
        <f t="shared" si="20"/>
        <v>122772471.24052058</v>
      </c>
      <c r="J50" s="329">
        <f t="shared" si="20"/>
        <v>67965697.929551378</v>
      </c>
      <c r="K50" s="329">
        <f t="shared" si="20"/>
        <v>136833350.04534203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4.8373250338707117E-3</v>
      </c>
      <c r="D80" s="27"/>
      <c r="E80" s="265"/>
      <c r="F80" s="27"/>
      <c r="G80" s="6">
        <f t="shared" ref="G80:Q80" si="31">IF(G$4="","",ABS(G12/G$4))</f>
        <v>4.8321097100845548E-3</v>
      </c>
      <c r="H80" s="6">
        <f t="shared" si="31"/>
        <v>3.8010841485098456E-3</v>
      </c>
      <c r="I80" s="6">
        <f t="shared" si="31"/>
        <v>3.8161795628911597E-3</v>
      </c>
      <c r="J80" s="6">
        <f t="shared" si="31"/>
        <v>2.2529962016253234E-3</v>
      </c>
      <c r="K80" s="6">
        <f t="shared" si="31"/>
        <v>4.9292065904469728E-3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0.12563744371205277</v>
      </c>
      <c r="D81" s="27"/>
      <c r="E81" s="265"/>
      <c r="F81" s="27"/>
      <c r="G81" s="65">
        <f t="shared" ref="G81:Q81" si="32">IF(G$4="","",G13/G$4)</f>
        <v>0.14597620202537173</v>
      </c>
      <c r="H81" s="65">
        <f t="shared" si="32"/>
        <v>0.13406392297080391</v>
      </c>
      <c r="I81" s="65">
        <f t="shared" si="32"/>
        <v>0.12028403356141622</v>
      </c>
      <c r="J81" s="65">
        <f t="shared" si="32"/>
        <v>0.10027766149331602</v>
      </c>
      <c r="K81" s="65">
        <f t="shared" si="32"/>
        <v>8.9010048722484386E-2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3.1409360928013191E-2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8.9660480444584925E-2</v>
      </c>
      <c r="D84" s="27"/>
      <c r="E84" s="265"/>
      <c r="F84" s="27"/>
      <c r="G84" s="65">
        <f t="shared" ref="G84:Q84" si="35">IF(G$4="","",ABS(G16/G$4))</f>
        <v>9.8166218068984762E-2</v>
      </c>
      <c r="H84" s="65">
        <f t="shared" si="35"/>
        <v>9.049564382552483E-2</v>
      </c>
      <c r="I84" s="65">
        <f t="shared" si="35"/>
        <v>8.0015160478237854E-2</v>
      </c>
      <c r="J84" s="65">
        <f t="shared" si="35"/>
        <v>5.6404283505168566E-2</v>
      </c>
      <c r="K84" s="65">
        <f t="shared" si="35"/>
        <v>5.1609595570517718E-2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8.9660480444584925E-2</v>
      </c>
      <c r="D87" s="75"/>
      <c r="E87" s="265"/>
      <c r="F87" s="75"/>
      <c r="G87" s="65">
        <f t="shared" ref="G87:Q87" si="36">IF(G$4="","",ABS(G19/G$4))</f>
        <v>9.8166218068984762E-2</v>
      </c>
      <c r="H87" s="65">
        <f t="shared" si="36"/>
        <v>9.049564382552483E-2</v>
      </c>
      <c r="I87" s="65">
        <f t="shared" si="36"/>
        <v>8.0015160478237854E-2</v>
      </c>
      <c r="J87" s="65">
        <f t="shared" si="36"/>
        <v>5.6404283505168566E-2</v>
      </c>
      <c r="K87" s="65">
        <f t="shared" si="36"/>
        <v>5.1609595570517718E-2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2.0193855505437055</v>
      </c>
      <c r="E90" s="268"/>
      <c r="G90" s="112">
        <f>Data!C65</f>
        <v>2.0193855505437055</v>
      </c>
      <c r="H90" s="112">
        <f>Data!D65</f>
        <v>1.8358050459488233</v>
      </c>
      <c r="I90" s="112">
        <f>Data!E65</f>
        <v>1.1932732798667351</v>
      </c>
      <c r="J90" s="112">
        <f>Data!F65</f>
        <v>1.0096927752718527</v>
      </c>
      <c r="K90" s="112">
        <f>Data!G65</f>
        <v>0.68842689223080866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2754839281.7853346</v>
      </c>
      <c r="E91" s="268"/>
      <c r="G91" s="74">
        <f t="shared" ref="G91:Q91" si="37">IF(G$4="","",G90*Common_Shares/scaling_factor)</f>
        <v>2754839281.7853346</v>
      </c>
      <c r="H91" s="74">
        <f t="shared" si="37"/>
        <v>2504399347.0775771</v>
      </c>
      <c r="I91" s="74">
        <f t="shared" si="37"/>
        <v>1627859575.6004252</v>
      </c>
      <c r="J91" s="74">
        <f t="shared" si="37"/>
        <v>1377419640.8926673</v>
      </c>
      <c r="K91" s="74">
        <f t="shared" si="37"/>
        <v>939149755.15409136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0.95707757049178577</v>
      </c>
      <c r="E92" s="268"/>
      <c r="G92" s="170">
        <f t="shared" ref="G92:Q92" si="38">IF(G$4="","",G90/(G19*scaling_factor/Common_Shares))</f>
        <v>0.8732079009615612</v>
      </c>
      <c r="H92" s="170">
        <f t="shared" si="38"/>
        <v>0.815471085838818</v>
      </c>
      <c r="I92" s="170">
        <f t="shared" si="38"/>
        <v>0.63237175179424987</v>
      </c>
      <c r="J92" s="170">
        <f t="shared" si="38"/>
        <v>0.80951493040736366</v>
      </c>
      <c r="K92" s="170">
        <f t="shared" si="38"/>
        <v>0.65552529479347588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3.5932127233873762E-2</v>
      </c>
      <c r="E93" s="268"/>
      <c r="G93" s="23">
        <f t="shared" ref="G93:Q93" si="39">IF(G$4="","",G90/Market_Price)</f>
        <v>3.5932127233873762E-2</v>
      </c>
      <c r="H93" s="23">
        <f t="shared" si="39"/>
        <v>3.2665570212612516E-2</v>
      </c>
      <c r="I93" s="23">
        <f t="shared" si="39"/>
        <v>2.1232620638198134E-2</v>
      </c>
      <c r="J93" s="23">
        <f t="shared" si="39"/>
        <v>1.7966063616936881E-2</v>
      </c>
      <c r="K93" s="23">
        <f t="shared" si="39"/>
        <v>1.2249588829729692E-2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-0.14025719978364681</v>
      </c>
      <c r="D97" s="27"/>
      <c r="E97" s="265"/>
      <c r="F97" s="27"/>
      <c r="G97" s="6">
        <f t="shared" ref="G97:Q97" si="41">IF(H5="","",G13/H13-1)</f>
        <v>3.1144064681409844E-2</v>
      </c>
      <c r="H97" s="6">
        <f t="shared" si="41"/>
        <v>0.17570694870011683</v>
      </c>
      <c r="I97" s="6">
        <f t="shared" si="41"/>
        <v>0.27922418177784514</v>
      </c>
      <c r="J97" s="6">
        <f t="shared" si="41"/>
        <v>0.22427657777355803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1.6338850897773003</v>
      </c>
      <c r="H114" s="295">
        <f>IF(H$4="","",Data!D$22/H19)</f>
        <v>0.90441873588935184</v>
      </c>
      <c r="I114" s="295">
        <f>IF(I$4="","",Data!E$22/I19)</f>
        <v>1.8952477312785003</v>
      </c>
      <c r="J114" s="295">
        <f>IF(J$4="","",Data!F$22/J19)</f>
        <v>3.5515603260658497</v>
      </c>
      <c r="K114" s="295">
        <f>IF(K$4="","",Data!G$22/K19)</f>
        <v>3.4574822985008153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0.12563744371205277</v>
      </c>
      <c r="E117" s="268"/>
      <c r="G117" s="23">
        <f t="shared" ref="G117:Q117" si="45">IF(G4="","",IF(valuation_method="DDM",G13/(G4+G12),G81))</f>
        <v>0.14597620202537173</v>
      </c>
      <c r="H117" s="23">
        <f t="shared" si="45"/>
        <v>0.13406392297080391</v>
      </c>
      <c r="I117" s="23">
        <f t="shared" si="45"/>
        <v>0.12028403356141622</v>
      </c>
      <c r="J117" s="23">
        <f t="shared" si="45"/>
        <v>0.10027766149331602</v>
      </c>
      <c r="K117" s="23">
        <f t="shared" si="45"/>
        <v>8.9010048722484386E-2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0.13507781163429464</v>
      </c>
      <c r="D120" s="103"/>
      <c r="E120" s="271"/>
      <c r="F120" s="103"/>
      <c r="G120" s="102">
        <f>IF(G$4="","",G13/G105)</f>
        <v>0.15711421090156555</v>
      </c>
      <c r="H120" s="102">
        <f t="shared" ref="H120:Q120" si="48">IF(H$4="","",H13/H105)</f>
        <v>0.16102297226258439</v>
      </c>
      <c r="I120" s="102">
        <f t="shared" si="48"/>
        <v>0.14729292193389021</v>
      </c>
      <c r="J120" s="102">
        <f t="shared" si="48"/>
        <v>0.1271369227434585</v>
      </c>
      <c r="K120" s="102">
        <f t="shared" si="48"/>
        <v>0.11563493026177321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2.2986642544235463</v>
      </c>
      <c r="D124" s="27"/>
      <c r="E124" s="265"/>
      <c r="F124" s="27"/>
      <c r="G124" s="177">
        <f t="shared" ref="G124:Q124" si="49">IF(G$4="","",G16*$C$3/Common_Shares*Exchange_Rate)</f>
        <v>2.5194458245022733</v>
      </c>
      <c r="H124" s="177">
        <f t="shared" si="49"/>
        <v>2.4525700968817796</v>
      </c>
      <c r="I124" s="177">
        <f t="shared" si="49"/>
        <v>2.0557528009615638</v>
      </c>
      <c r="J124" s="177">
        <f t="shared" si="49"/>
        <v>1.3588384335869612</v>
      </c>
      <c r="K124" s="177">
        <f t="shared" si="49"/>
        <v>1.1441206097718755</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4.0901499189031076E-2</v>
      </c>
      <c r="D125" s="27"/>
      <c r="E125" s="265"/>
      <c r="F125" s="27"/>
      <c r="G125" s="77">
        <f t="shared" ref="G125" si="50">IF(G$4="","",G124/Market_Price)</f>
        <v>4.4829996877264647E-2</v>
      </c>
      <c r="H125" s="77">
        <f t="shared" ref="H125" si="51">IF(H$4="","",H124/Market_Price)</f>
        <v>4.3640037311063695E-2</v>
      </c>
      <c r="I125" s="77">
        <f t="shared" ref="I125" si="52">IF(I$4="","",I124/Market_Price)</f>
        <v>3.657923133383565E-2</v>
      </c>
      <c r="J125" s="77">
        <f t="shared" ref="J125" si="53">IF(J$4="","",J124/Market_Price)</f>
        <v>2.417861981471461E-2</v>
      </c>
      <c r="K125" s="77">
        <f t="shared" ref="K125" si="54">IF(K$4="","",K124/Market_Price)</f>
        <v>2.0358017967471092E-2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5.8587480022755288E-2</v>
      </c>
      <c r="H126" s="23">
        <f>IF(H$4="","",(Data!D47*$C$3)/(Market_Price*Common_Shares))</f>
        <v>5.671475574215936E-2</v>
      </c>
      <c r="I126" s="23">
        <f>IF(I$4="","",(Data!E47*$C$3)/(Market_Price*Common_Shares))</f>
        <v>4.9626029779983809E-2</v>
      </c>
      <c r="J126" s="23">
        <f>IF(J$4="","",(Data!F47*$C$3)/(Market_Price*Common_Shares))</f>
        <v>4.2472085328162809E-2</v>
      </c>
      <c r="K126" s="23">
        <f>IF(K$4="","",(Data!G47*$C$3)/(Market_Price*Common_Shares))</f>
        <v>3.0351294800881435E-2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2878386628.9644475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38378488386.192635</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12815447533.545403</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53663951112.238037</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42.855745969475159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72.693472428018467</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3054445588.326448</v>
      </c>
      <c r="D21" s="138">
        <f>IF($C$17&lt;B21,0,DCF!$C$16)</f>
        <v>6.1165848114484E-2</v>
      </c>
      <c r="E21" s="124">
        <f t="shared" ref="E21:E50" si="0">IF($C$17&lt;B21,0,1/(1+Equity_Cost)^B21)</f>
        <v>0.93023255813953487</v>
      </c>
      <c r="F21" s="125">
        <f t="shared" ref="F21:F51" si="1">C21*E21</f>
        <v>2841344733.3269281</v>
      </c>
      <c r="H21" s="120"/>
    </row>
    <row r="22" spans="2:17">
      <c r="B22" s="122">
        <v>2</v>
      </c>
      <c r="C22" s="123">
        <f t="shared" ref="C22:C50" si="2">IF(ROW()-ROW($C$21)&lt;$C$17, $C$21*(1+D22)^(ROW()-ROW($C$21)), 0)</f>
        <v>3241273343.2559791</v>
      </c>
      <c r="D22" s="138">
        <f>IF($C$17&lt;B22,0,DCF!$C$16)</f>
        <v>6.1165848114484E-2</v>
      </c>
      <c r="E22" s="124">
        <f t="shared" si="0"/>
        <v>0.86533261222282321</v>
      </c>
      <c r="F22" s="125">
        <f t="shared" si="1"/>
        <v>2804779529.0478997</v>
      </c>
      <c r="H22" s="120"/>
    </row>
    <row r="23" spans="2:17">
      <c r="B23" s="122">
        <v>3</v>
      </c>
      <c r="C23" s="123">
        <f t="shared" si="2"/>
        <v>3439528576.2670994</v>
      </c>
      <c r="D23" s="138">
        <f>IF($C$17&lt;B23,0,DCF!$C$16)</f>
        <v>6.1165848114484E-2</v>
      </c>
      <c r="E23" s="124">
        <f t="shared" si="0"/>
        <v>0.80496056950960304</v>
      </c>
      <c r="F23" s="125">
        <f t="shared" si="1"/>
        <v>2768684881.5965185</v>
      </c>
      <c r="G23" s="338"/>
      <c r="H23" s="339"/>
      <c r="I23" s="338"/>
      <c r="J23" s="338"/>
      <c r="K23" s="338"/>
      <c r="L23" s="338"/>
      <c r="M23" s="338"/>
      <c r="N23" s="338"/>
      <c r="O23" s="338"/>
      <c r="P23" s="338"/>
      <c r="Q23" s="338"/>
    </row>
    <row r="24" spans="2:17">
      <c r="B24" s="122">
        <v>4</v>
      </c>
      <c r="C24" s="123">
        <f t="shared" si="2"/>
        <v>3649910258.7484794</v>
      </c>
      <c r="D24" s="138">
        <f>IF($C$17&lt;B24,0,DCF!$C$16)</f>
        <v>6.1165848114484E-2</v>
      </c>
      <c r="E24" s="124">
        <f t="shared" si="0"/>
        <v>0.7488005297763749</v>
      </c>
      <c r="F24" s="125">
        <f t="shared" si="1"/>
        <v>2733054735.3870869</v>
      </c>
      <c r="G24" s="338"/>
      <c r="H24" s="339"/>
      <c r="I24" s="338"/>
      <c r="J24" s="338"/>
      <c r="K24" s="338"/>
      <c r="L24" s="338"/>
      <c r="M24" s="338"/>
      <c r="N24" s="338"/>
      <c r="O24" s="338"/>
      <c r="P24" s="338"/>
      <c r="Q24" s="338"/>
    </row>
    <row r="25" spans="2:17">
      <c r="B25" s="122">
        <v>5</v>
      </c>
      <c r="C25" s="123">
        <f t="shared" si="2"/>
        <v>3873160115.2665858</v>
      </c>
      <c r="D25" s="138">
        <f>IF($C$17&lt;B25,0,DCF!$C$16)</f>
        <v>6.1165848114484E-2</v>
      </c>
      <c r="E25" s="124">
        <f t="shared" si="0"/>
        <v>0.69655863235011617</v>
      </c>
      <c r="F25" s="125">
        <f t="shared" si="1"/>
        <v>2697883112.7631111</v>
      </c>
      <c r="G25" s="338"/>
      <c r="H25" s="339"/>
      <c r="I25" s="338"/>
      <c r="J25" s="338"/>
      <c r="K25" s="338"/>
      <c r="L25" s="338"/>
      <c r="M25" s="338"/>
      <c r="N25" s="338"/>
      <c r="O25" s="338"/>
      <c r="P25" s="338"/>
      <c r="Q25" s="338"/>
    </row>
    <row r="26" spans="2:17">
      <c r="B26" s="122">
        <v>6</v>
      </c>
      <c r="C26" s="123">
        <f t="shared" si="2"/>
        <v>4110065238.6000586</v>
      </c>
      <c r="D26" s="138">
        <f>IF($C$17&lt;B26,0,DCF!$C$16)</f>
        <v>6.1165848114484E-2</v>
      </c>
      <c r="E26" s="124">
        <f t="shared" si="0"/>
        <v>0.64796151846522443</v>
      </c>
      <c r="F26" s="125">
        <f t="shared" si="1"/>
        <v>2663164112.9944291</v>
      </c>
      <c r="H26" s="120"/>
    </row>
    <row r="27" spans="2:17">
      <c r="B27" s="122">
        <v>7</v>
      </c>
      <c r="C27" s="123">
        <f t="shared" si="2"/>
        <v>4361460864.7248898</v>
      </c>
      <c r="D27" s="138">
        <f>IF($C$17&lt;B27,0,DCF!$C$16)</f>
        <v>6.1165848114484E-2</v>
      </c>
      <c r="E27" s="124">
        <f t="shared" si="0"/>
        <v>0.60275490089788319</v>
      </c>
      <c r="F27" s="125">
        <f t="shared" si="1"/>
        <v>2628891911.2872467</v>
      </c>
      <c r="H27" s="120"/>
    </row>
    <row r="28" spans="2:17">
      <c r="B28" s="122">
        <v>8</v>
      </c>
      <c r="C28" s="123">
        <f t="shared" si="2"/>
        <v>4628233317.5339174</v>
      </c>
      <c r="D28" s="138">
        <f>IF($C$17&lt;B28,0,DCF!$C$16)</f>
        <v>6.1165848114484E-2</v>
      </c>
      <c r="E28" s="124">
        <f t="shared" si="0"/>
        <v>0.56070223339337966</v>
      </c>
      <c r="F28" s="125">
        <f t="shared" si="1"/>
        <v>2595060757.8069186</v>
      </c>
      <c r="H28" s="120"/>
    </row>
    <row r="29" spans="2:17">
      <c r="B29" s="122">
        <v>9</v>
      </c>
      <c r="C29" s="123">
        <f t="shared" si="2"/>
        <v>4911323133.6725912</v>
      </c>
      <c r="D29" s="138">
        <f>IF($C$17&lt;B29,0,DCF!$C$16)</f>
        <v>6.1165848114484E-2</v>
      </c>
      <c r="E29" s="124">
        <f t="shared" si="0"/>
        <v>0.52158347292407414</v>
      </c>
      <c r="F29" s="125">
        <f t="shared" si="1"/>
        <v>2561664976.7132969</v>
      </c>
      <c r="H29" s="120"/>
    </row>
    <row r="30" spans="2:17">
      <c r="B30" s="122">
        <v>10</v>
      </c>
      <c r="C30" s="123">
        <f t="shared" si="2"/>
        <v>5211728378.5079603</v>
      </c>
      <c r="D30" s="138">
        <f>IF($C$17&lt;B30,0,DCF!$C$16)</f>
        <v>6.1165848114484E-2</v>
      </c>
      <c r="E30" s="124">
        <f t="shared" si="0"/>
        <v>0.48519392830146441</v>
      </c>
      <c r="F30" s="125">
        <f t="shared" si="1"/>
        <v>2528698965.2084985</v>
      </c>
      <c r="H30" s="120"/>
    </row>
    <row r="31" spans="2:17">
      <c r="B31" s="122">
        <v>11</v>
      </c>
      <c r="C31" s="123">
        <f t="shared" si="2"/>
        <v>5530508164.9217224</v>
      </c>
      <c r="D31" s="138">
        <f>IF($C$17&lt;B31,0,DCF!$C$16)</f>
        <v>6.1165848114484E-2</v>
      </c>
      <c r="E31" s="124">
        <f t="shared" si="0"/>
        <v>0.45134318911764126</v>
      </c>
      <c r="F31" s="125">
        <f t="shared" si="1"/>
        <v>2496157192.5969243</v>
      </c>
      <c r="H31" s="120"/>
    </row>
    <row r="32" spans="2:17">
      <c r="B32" s="122">
        <v>12</v>
      </c>
      <c r="C32" s="123">
        <f t="shared" si="2"/>
        <v>5868786387.3332376</v>
      </c>
      <c r="D32" s="138">
        <f>IF($C$17&lt;B32,0,DCF!$C$16)</f>
        <v>6.1165848114484E-2</v>
      </c>
      <c r="E32" s="124">
        <f t="shared" si="0"/>
        <v>0.41985412941175931</v>
      </c>
      <c r="F32" s="125">
        <f t="shared" si="1"/>
        <v>2464034199.3573804</v>
      </c>
      <c r="H32" s="120"/>
    </row>
    <row r="33" spans="2:17">
      <c r="B33" s="122">
        <v>13</v>
      </c>
      <c r="C33" s="341">
        <f t="shared" si="2"/>
        <v>6227755684.1172132</v>
      </c>
      <c r="D33" s="138">
        <f>IF($C$17&lt;B33,0,DCF!$C$16)</f>
        <v>6.1165848114484E-2</v>
      </c>
      <c r="E33" s="124">
        <f t="shared" si="0"/>
        <v>0.39056198084814819</v>
      </c>
      <c r="F33" s="125">
        <f t="shared" si="1"/>
        <v>2432324596.2271333</v>
      </c>
      <c r="G33" s="338"/>
      <c r="H33" s="339"/>
      <c r="I33" s="338"/>
      <c r="J33" s="338"/>
      <c r="K33" s="338"/>
      <c r="L33" s="338"/>
      <c r="M33" s="338"/>
      <c r="N33" s="338"/>
      <c r="O33" s="338"/>
      <c r="P33" s="338"/>
      <c r="Q33" s="338"/>
    </row>
    <row r="34" spans="2:17">
      <c r="B34" s="122">
        <v>14</v>
      </c>
      <c r="C34" s="341">
        <f t="shared" si="2"/>
        <v>6608681642.3860407</v>
      </c>
      <c r="D34" s="138">
        <f>IF($C$17&lt;B34,0,DCF!$C$16)</f>
        <v>6.1165848114484E-2</v>
      </c>
      <c r="E34" s="124">
        <f t="shared" si="0"/>
        <v>0.36331347055641694</v>
      </c>
      <c r="F34" s="125">
        <f t="shared" si="1"/>
        <v>2401023063.2977538</v>
      </c>
      <c r="G34" s="338"/>
      <c r="H34" s="339"/>
      <c r="I34" s="338"/>
      <c r="J34" s="338"/>
      <c r="K34" s="338"/>
      <c r="L34" s="338"/>
      <c r="M34" s="338"/>
      <c r="N34" s="338"/>
      <c r="O34" s="338"/>
      <c r="P34" s="338"/>
      <c r="Q34" s="338"/>
    </row>
    <row r="35" spans="2:17">
      <c r="B35" s="122">
        <v>15</v>
      </c>
      <c r="C35" s="341">
        <f t="shared" si="2"/>
        <v>7012907259.9612026</v>
      </c>
      <c r="D35" s="138">
        <f>IF($C$17&lt;B35,0,DCF!$C$16)</f>
        <v>6.1165848114484E-2</v>
      </c>
      <c r="E35" s="124">
        <f t="shared" si="0"/>
        <v>0.33796601912224833</v>
      </c>
      <c r="F35" s="125">
        <f t="shared" si="1"/>
        <v>2370124349.122602</v>
      </c>
      <c r="G35" s="338"/>
      <c r="H35" s="339"/>
      <c r="I35" s="338"/>
      <c r="J35" s="338"/>
      <c r="K35" s="338"/>
      <c r="L35" s="338"/>
      <c r="M35" s="338"/>
      <c r="N35" s="338"/>
      <c r="O35" s="338"/>
      <c r="P35" s="338"/>
      <c r="Q35" s="338"/>
    </row>
    <row r="36" spans="2:17">
      <c r="B36" s="122">
        <v>16</v>
      </c>
      <c r="C36" s="123">
        <f t="shared" si="2"/>
        <v>7441857680.2649498</v>
      </c>
      <c r="D36" s="138">
        <f>IF($C$17&lt;B36,0,DCF!$C$16)</f>
        <v>6.1165848114484E-2</v>
      </c>
      <c r="E36" s="124">
        <f t="shared" si="0"/>
        <v>0.31438699453232405</v>
      </c>
      <c r="F36" s="125">
        <f t="shared" si="1"/>
        <v>2339623269.8357906</v>
      </c>
      <c r="H36" s="120"/>
    </row>
    <row r="37" spans="2:17">
      <c r="B37" s="122">
        <v>17</v>
      </c>
      <c r="C37" s="123">
        <f t="shared" si="2"/>
        <v>7897045216.8256426</v>
      </c>
      <c r="D37" s="138">
        <f>IF($C$17&lt;B37,0,DCF!$C$16)</f>
        <v>6.1165848114484E-2</v>
      </c>
      <c r="E37" s="124">
        <f t="shared" si="0"/>
        <v>0.29245301816960378</v>
      </c>
      <c r="F37" s="125">
        <f t="shared" si="1"/>
        <v>2309514708.2824922</v>
      </c>
      <c r="H37" s="120"/>
    </row>
    <row r="38" spans="2:17">
      <c r="B38" s="122">
        <v>18</v>
      </c>
      <c r="C38" s="123">
        <f t="shared" si="2"/>
        <v>8380074685.1112118</v>
      </c>
      <c r="D38" s="138">
        <f>IF($C$17&lt;B38,0,DCF!$C$16)</f>
        <v>6.1165848114484E-2</v>
      </c>
      <c r="E38" s="124">
        <f t="shared" si="0"/>
        <v>0.27204931922753844</v>
      </c>
      <c r="F38" s="125">
        <f t="shared" si="1"/>
        <v>2279793613.1604338</v>
      </c>
      <c r="H38" s="120"/>
    </row>
    <row r="39" spans="2:17">
      <c r="B39" s="122">
        <v>19</v>
      </c>
      <c r="C39" s="123">
        <f t="shared" si="2"/>
        <v>8892649060.4887543</v>
      </c>
      <c r="D39" s="138">
        <f>IF($C$17&lt;B39,0,DCF!$C$16)</f>
        <v>6.1165848114484E-2</v>
      </c>
      <c r="E39" s="124">
        <f t="shared" si="0"/>
        <v>0.25306913416515198</v>
      </c>
      <c r="F39" s="125">
        <f t="shared" si="1"/>
        <v>2250454998.172441</v>
      </c>
      <c r="H39" s="120"/>
    </row>
    <row r="40" spans="2:17">
      <c r="B40" s="122">
        <v>20</v>
      </c>
      <c r="C40" s="123">
        <f t="shared" si="2"/>
        <v>9436575482.2580166</v>
      </c>
      <c r="D40" s="138">
        <f>IF($C$17&lt;B40,0,DCF!$C$16)</f>
        <v>6.1165848114484E-2</v>
      </c>
      <c r="E40" s="124">
        <f t="shared" si="0"/>
        <v>0.23541314806060654</v>
      </c>
      <c r="F40" s="125">
        <f t="shared" si="1"/>
        <v>2221493941.1898961</v>
      </c>
      <c r="H40" s="120"/>
    </row>
    <row r="41" spans="2:17">
      <c r="B41" s="122">
        <v>21</v>
      </c>
      <c r="C41" s="123">
        <f t="shared" si="2"/>
        <v>10013771624.926674</v>
      </c>
      <c r="D41" s="138">
        <f>IF($C$17&lt;B41,0,DCF!$C$16)</f>
        <v>6.1165848114484E-2</v>
      </c>
      <c r="E41" s="124">
        <f t="shared" si="0"/>
        <v>0.21898897494009908</v>
      </c>
      <c r="F41" s="125">
        <f t="shared" si="1"/>
        <v>2192905583.4269428</v>
      </c>
      <c r="H41" s="120"/>
    </row>
    <row r="42" spans="2:17">
      <c r="B42" s="122">
        <v>22</v>
      </c>
      <c r="C42" s="123">
        <f t="shared" si="2"/>
        <v>10626272459.190067</v>
      </c>
      <c r="D42" s="138">
        <f>IF($C$17&lt;B42,0,DCF!$C$16)</f>
        <v>6.1165848114484E-2</v>
      </c>
      <c r="E42" s="124">
        <f t="shared" si="0"/>
        <v>0.20371067436288287</v>
      </c>
      <c r="F42" s="125">
        <f t="shared" si="1"/>
        <v>2164685128.6253386</v>
      </c>
      <c r="H42" s="120"/>
    </row>
    <row r="43" spans="2:17">
      <c r="B43" s="122">
        <v>23</v>
      </c>
      <c r="C43" s="123">
        <f t="shared" si="2"/>
        <v>11276237426.452009</v>
      </c>
      <c r="D43" s="138">
        <f>IF($C$17&lt;B43,0,DCF!$C$16)</f>
        <v>6.1165848114484E-2</v>
      </c>
      <c r="E43" s="124">
        <f t="shared" si="0"/>
        <v>0.18949830173291429</v>
      </c>
      <c r="F43" s="125">
        <f t="shared" si="1"/>
        <v>2136827842.2497838</v>
      </c>
      <c r="H43" s="120"/>
    </row>
    <row r="44" spans="2:17">
      <c r="B44" s="122">
        <v>24</v>
      </c>
      <c r="C44" s="123">
        <f t="shared" si="2"/>
        <v>11965958052.181231</v>
      </c>
      <c r="D44" s="138">
        <f>IF($C$17&lt;B44,0,DCF!$C$16)</f>
        <v>6.1165848114484E-2</v>
      </c>
      <c r="E44" s="124">
        <f t="shared" si="0"/>
        <v>0.17627748998410636</v>
      </c>
      <c r="F44" s="125">
        <f t="shared" si="1"/>
        <v>2109329050.6936138</v>
      </c>
      <c r="H44" s="120"/>
    </row>
    <row r="45" spans="2:17">
      <c r="B45" s="122">
        <v>25</v>
      </c>
      <c r="C45" s="123">
        <f t="shared" si="2"/>
        <v>12697866024.945234</v>
      </c>
      <c r="D45" s="138">
        <f>IF($C$17&lt;B45,0,DCF!$C$16)</f>
        <v>6.1165848114484E-2</v>
      </c>
      <c r="E45" s="124">
        <f t="shared" si="0"/>
        <v>0.16397906045033148</v>
      </c>
      <c r="F45" s="125">
        <f t="shared" si="1"/>
        <v>2082184140.4947047</v>
      </c>
      <c r="H45" s="120"/>
    </row>
    <row r="46" spans="2:17">
      <c r="B46" s="122">
        <v>26</v>
      </c>
      <c r="C46" s="123">
        <f t="shared" si="2"/>
        <v>13474541769.605101</v>
      </c>
      <c r="D46" s="138">
        <f>IF($C$17&lt;B46,0,DCF!$C$16)</f>
        <v>6.1165848114484E-2</v>
      </c>
      <c r="E46" s="124">
        <f t="shared" si="0"/>
        <v>0.15253866088402931</v>
      </c>
      <c r="F46" s="125">
        <f t="shared" si="1"/>
        <v>2055388557.5614808</v>
      </c>
      <c r="H46" s="120"/>
    </row>
    <row r="47" spans="2:17">
      <c r="B47" s="122">
        <v>27</v>
      </c>
      <c r="C47" s="341">
        <f t="shared" si="2"/>
        <v>14298723544.897036</v>
      </c>
      <c r="D47" s="138">
        <f>IF($C$17&lt;B47,0,DCF!$C$16)</f>
        <v>6.1165848114484E-2</v>
      </c>
      <c r="E47" s="124">
        <f t="shared" si="0"/>
        <v>0.14189642872932959</v>
      </c>
      <c r="F47" s="125">
        <f t="shared" si="1"/>
        <v>2028937806.408869</v>
      </c>
      <c r="G47" s="338"/>
      <c r="H47" s="339"/>
      <c r="I47" s="338"/>
      <c r="J47" s="338"/>
      <c r="K47" s="338"/>
      <c r="L47" s="338"/>
      <c r="M47" s="338"/>
      <c r="N47" s="338"/>
      <c r="O47" s="338"/>
      <c r="P47" s="338"/>
      <c r="Q47" s="338"/>
    </row>
    <row r="48" spans="2:17">
      <c r="B48" s="122">
        <v>28</v>
      </c>
      <c r="C48" s="341">
        <f t="shared" si="2"/>
        <v>15173317097.475199</v>
      </c>
      <c r="D48" s="138">
        <f>IF($C$17&lt;B48,0,DCF!$C$16)</f>
        <v>6.1165848114484E-2</v>
      </c>
      <c r="E48" s="124">
        <f t="shared" si="0"/>
        <v>0.13199667788774846</v>
      </c>
      <c r="F48" s="125">
        <f t="shared" si="1"/>
        <v>2002827449.4041002</v>
      </c>
      <c r="G48" s="338"/>
      <c r="H48" s="339"/>
      <c r="I48" s="338"/>
      <c r="J48" s="338"/>
      <c r="K48" s="338"/>
      <c r="L48" s="338"/>
      <c r="M48" s="338"/>
      <c r="N48" s="338"/>
      <c r="O48" s="338"/>
      <c r="P48" s="338"/>
      <c r="Q48" s="338"/>
    </row>
    <row r="49" spans="1:17">
      <c r="B49" s="122">
        <v>29</v>
      </c>
      <c r="C49" s="341">
        <f t="shared" si="2"/>
        <v>16101405906.452271</v>
      </c>
      <c r="D49" s="138">
        <f>IF($C$17&lt;B49,0,DCF!$C$16)</f>
        <v>6.1165848114484E-2</v>
      </c>
      <c r="E49" s="124">
        <f t="shared" si="0"/>
        <v>0.1227876073374404</v>
      </c>
      <c r="F49" s="125">
        <f t="shared" si="1"/>
        <v>1977053106.0222051</v>
      </c>
      <c r="G49" s="338"/>
      <c r="H49" s="339"/>
      <c r="I49" s="338"/>
      <c r="J49" s="338"/>
      <c r="K49" s="338"/>
      <c r="L49" s="338"/>
      <c r="M49" s="338"/>
      <c r="N49" s="338"/>
      <c r="O49" s="338"/>
      <c r="P49" s="338"/>
      <c r="Q49" s="338"/>
    </row>
    <row r="50" spans="1:17">
      <c r="B50" s="122">
        <v>30</v>
      </c>
      <c r="C50" s="341">
        <f t="shared" si="2"/>
        <v>17086262054.555984</v>
      </c>
      <c r="D50" s="138">
        <f>IF($C$17&lt;B50,0,DCF!$C$16)</f>
        <v>6.1165848114484E-2</v>
      </c>
      <c r="E50" s="124">
        <f t="shared" si="0"/>
        <v>0.11422103008133992</v>
      </c>
      <c r="F50" s="125">
        <f t="shared" si="1"/>
        <v>1951610452.1110959</v>
      </c>
      <c r="G50" s="338"/>
      <c r="H50" s="339"/>
      <c r="I50" s="338"/>
      <c r="J50" s="338"/>
      <c r="K50" s="338"/>
      <c r="L50" s="338"/>
      <c r="M50" s="338"/>
      <c r="N50" s="338"/>
      <c r="O50" s="338"/>
      <c r="P50" s="338"/>
      <c r="Q50" s="338"/>
    </row>
    <row r="51" spans="1:17">
      <c r="B51" s="126" t="s">
        <v>131</v>
      </c>
      <c r="C51" s="123">
        <f>C$21*(1+Terminal_Growth)^$C$17/Equity_Cost</f>
        <v>40725941177.685974</v>
      </c>
      <c r="D51" s="139">
        <f>Terminal_Growth</f>
        <v>0</v>
      </c>
      <c r="E51" s="124">
        <f>1/(1+Equity_Cost)^C17</f>
        <v>0.11422103008133992</v>
      </c>
      <c r="F51" s="125">
        <f t="shared" si="1"/>
        <v>4651758952.3473501</v>
      </c>
      <c r="H51" s="120"/>
    </row>
    <row r="52" spans="1:17">
      <c r="C52" s="114"/>
      <c r="E52" s="127" t="s">
        <v>100</v>
      </c>
      <c r="F52" s="137">
        <f>SUM(F21:F51)</f>
        <v>75741279716.720261</v>
      </c>
      <c r="H52" s="120"/>
    </row>
    <row r="53" spans="1:17">
      <c r="C53" s="114"/>
      <c r="H53" s="120"/>
    </row>
    <row r="54" spans="1:17" ht="13.15">
      <c r="B54" s="119" t="s">
        <v>129</v>
      </c>
      <c r="C54" s="136"/>
      <c r="D54" s="136"/>
      <c r="E54" s="117"/>
      <c r="F54" s="117"/>
      <c r="H54" s="120"/>
    </row>
    <row r="55" spans="1:17" ht="13.15">
      <c r="A55" s="133">
        <f>F52</f>
        <v>75741279716.720261</v>
      </c>
      <c r="B55" s="131">
        <f>C78</f>
        <v>0.02</v>
      </c>
      <c r="C55" s="131">
        <f>C77</f>
        <v>0.04</v>
      </c>
      <c r="D55" s="131">
        <f>C76</f>
        <v>0.06</v>
      </c>
      <c r="E55" s="131">
        <f>C75</f>
        <v>0.08</v>
      </c>
      <c r="F55" s="131">
        <f>C74</f>
        <v>0.1</v>
      </c>
      <c r="H55" s="120"/>
    </row>
    <row r="56" spans="1:17" ht="13.15">
      <c r="A56" s="143">
        <v>5</v>
      </c>
      <c r="B56" s="123">
        <f t="dataTable" ref="B56:F61" dt2D="1" dtr="1" r1="C16" r2="C17"/>
        <v>39595489569.401138</v>
      </c>
      <c r="C56" s="123">
        <v>40847944372.213852</v>
      </c>
      <c r="D56" s="123">
        <v>42137411338.175537</v>
      </c>
      <c r="E56" s="123">
        <v>43465497322.468811</v>
      </c>
      <c r="F56" s="123">
        <v>44833858261.8209</v>
      </c>
      <c r="H56" s="120"/>
    </row>
    <row r="57" spans="1:17" ht="13.15">
      <c r="A57" s="143">
        <v>10</v>
      </c>
      <c r="B57" s="123">
        <v>40802302404.893547</v>
      </c>
      <c r="C57" s="123">
        <v>43467505457.546692</v>
      </c>
      <c r="D57" s="123">
        <v>46403080716.586433</v>
      </c>
      <c r="E57" s="123">
        <v>49641258652.138763</v>
      </c>
      <c r="F57" s="123">
        <v>53217839052.069679</v>
      </c>
      <c r="H57" s="120"/>
    </row>
    <row r="58" spans="1:17" ht="13.15">
      <c r="A58" s="143">
        <v>15</v>
      </c>
      <c r="B58" s="123">
        <v>42330268780.132942</v>
      </c>
      <c r="C58" s="341">
        <v>46960644217.431313</v>
      </c>
      <c r="D58" s="123">
        <v>52405106296.646828</v>
      </c>
      <c r="E58" s="123">
        <v>58826019458.548584</v>
      </c>
      <c r="F58" s="123">
        <v>66417689403.164078</v>
      </c>
      <c r="G58" s="338"/>
      <c r="H58" s="339"/>
      <c r="I58" s="338"/>
      <c r="J58" s="338"/>
      <c r="K58" s="338"/>
      <c r="L58" s="338"/>
      <c r="M58" s="338"/>
      <c r="N58" s="338"/>
      <c r="O58" s="338"/>
      <c r="P58" s="338"/>
      <c r="Q58" s="338"/>
    </row>
    <row r="59" spans="1:17" ht="13.15">
      <c r="A59" s="144">
        <v>20</v>
      </c>
      <c r="B59" s="123">
        <v>43923198654.388474</v>
      </c>
      <c r="C59" s="341">
        <v>50807790846.986595</v>
      </c>
      <c r="D59" s="123">
        <v>59410978102.762489</v>
      </c>
      <c r="E59" s="123">
        <v>70221343796.877396</v>
      </c>
      <c r="F59" s="123">
        <v>83868620828.355728</v>
      </c>
      <c r="G59" s="338"/>
      <c r="H59" s="339"/>
      <c r="I59" s="338"/>
      <c r="J59" s="338"/>
      <c r="K59" s="338"/>
      <c r="L59" s="338"/>
      <c r="M59" s="338"/>
      <c r="N59" s="338"/>
      <c r="O59" s="338"/>
      <c r="P59" s="338"/>
      <c r="Q59" s="338"/>
    </row>
    <row r="60" spans="1:17" ht="13.15">
      <c r="A60" s="144">
        <v>25</v>
      </c>
      <c r="B60" s="123">
        <v>45439300249.084435</v>
      </c>
      <c r="C60" s="341">
        <v>54685851883.004372</v>
      </c>
      <c r="D60" s="123">
        <v>66924411295.771469</v>
      </c>
      <c r="E60" s="123">
        <v>83273764686.343658</v>
      </c>
      <c r="F60" s="123">
        <v>105286437408.96509</v>
      </c>
      <c r="G60" s="338"/>
      <c r="H60" s="339"/>
      <c r="I60" s="338"/>
      <c r="J60" s="338"/>
      <c r="K60" s="338"/>
      <c r="L60" s="338"/>
      <c r="M60" s="338"/>
      <c r="N60" s="338"/>
      <c r="O60" s="338"/>
      <c r="P60" s="338"/>
      <c r="Q60" s="338"/>
    </row>
    <row r="61" spans="1:17" ht="13.15">
      <c r="A61" s="144">
        <v>30</v>
      </c>
      <c r="B61" s="123">
        <v>46808000603.852364</v>
      </c>
      <c r="C61" s="341">
        <v>58402670343.925987</v>
      </c>
      <c r="D61" s="123">
        <v>74612719134.217728</v>
      </c>
      <c r="E61" s="123">
        <v>97600513546.522156</v>
      </c>
      <c r="F61" s="123">
        <v>130595696068.5146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42.855745969475159</v>
      </c>
      <c r="C65" s="124">
        <f>C12</f>
        <v>42.855745969475159</v>
      </c>
      <c r="D65" s="124">
        <f>C12</f>
        <v>42.855745969475159</v>
      </c>
      <c r="E65" s="141">
        <f>C12</f>
        <v>42.855745969475159</v>
      </c>
      <c r="F65" s="124">
        <f>C12</f>
        <v>42.855745969475159</v>
      </c>
      <c r="H65" s="120"/>
    </row>
    <row r="66" spans="1:8" ht="13.15">
      <c r="A66" s="143">
        <f t="shared" ref="A66:A71" si="3">A56</f>
        <v>5</v>
      </c>
      <c r="B66" s="124">
        <f t="shared" ref="B66:F71" si="4">(B56-$C$7+$C$8+$C$9)/Common_Shares*$C$3*Exchange_Rate</f>
        <v>43.827636642285498</v>
      </c>
      <c r="C66" s="124">
        <f t="shared" si="4"/>
        <v>44.827840387166859</v>
      </c>
      <c r="D66" s="124">
        <f t="shared" si="4"/>
        <v>45.857601848705627</v>
      </c>
      <c r="E66" s="124">
        <f t="shared" si="4"/>
        <v>46.918204252905298</v>
      </c>
      <c r="F66" s="124">
        <f t="shared" si="4"/>
        <v>48.010970022029824</v>
      </c>
      <c r="H66" s="120"/>
    </row>
    <row r="67" spans="1:8" ht="13.15">
      <c r="A67" s="143">
        <f t="shared" si="3"/>
        <v>10</v>
      </c>
      <c r="B67" s="124">
        <f t="shared" si="4"/>
        <v>44.791390954792135</v>
      </c>
      <c r="C67" s="124">
        <f t="shared" si="4"/>
        <v>46.919807938899083</v>
      </c>
      <c r="D67" s="124">
        <f t="shared" si="4"/>
        <v>49.26414272916751</v>
      </c>
      <c r="E67" s="124">
        <f t="shared" si="4"/>
        <v>51.850134407636048</v>
      </c>
      <c r="F67" s="124">
        <f t="shared" si="4"/>
        <v>54.706372494508649</v>
      </c>
      <c r="H67" s="120"/>
    </row>
    <row r="68" spans="1:8" ht="13.15">
      <c r="A68" s="143">
        <f t="shared" si="3"/>
        <v>15</v>
      </c>
      <c r="B68" s="124">
        <f t="shared" si="4"/>
        <v>46.01161677622305</v>
      </c>
      <c r="C68" s="124">
        <f t="shared" si="4"/>
        <v>49.709409975779366</v>
      </c>
      <c r="D68" s="124">
        <f t="shared" si="4"/>
        <v>54.057328438199299</v>
      </c>
      <c r="E68" s="124">
        <f t="shared" si="4"/>
        <v>59.185035542415271</v>
      </c>
      <c r="F68" s="124">
        <f t="shared" si="4"/>
        <v>65.247702787137499</v>
      </c>
      <c r="H68" s="120"/>
    </row>
    <row r="69" spans="1:8" ht="13.15">
      <c r="A69" s="144">
        <f t="shared" si="3"/>
        <v>20</v>
      </c>
      <c r="B69" s="124">
        <f t="shared" si="4"/>
        <v>47.28372210248768</v>
      </c>
      <c r="C69" s="124">
        <f t="shared" si="4"/>
        <v>52.781720814739273</v>
      </c>
      <c r="D69" s="124">
        <f t="shared" si="4"/>
        <v>59.652180404832279</v>
      </c>
      <c r="E69" s="124">
        <f t="shared" si="4"/>
        <v>68.285280957848855</v>
      </c>
      <c r="F69" s="124">
        <f t="shared" si="4"/>
        <v>79.183923817985004</v>
      </c>
      <c r="H69" s="120"/>
    </row>
    <row r="70" spans="1:8" ht="13.15">
      <c r="A70" s="144">
        <f t="shared" si="3"/>
        <v>25</v>
      </c>
      <c r="B70" s="124">
        <f t="shared" si="4"/>
        <v>48.494472773274374</v>
      </c>
      <c r="C70" s="124">
        <f t="shared" si="4"/>
        <v>55.878719734295096</v>
      </c>
      <c r="D70" s="124">
        <f t="shared" si="4"/>
        <v>65.652368195790231</v>
      </c>
      <c r="E70" s="124">
        <f t="shared" si="4"/>
        <v>78.708874866461997</v>
      </c>
      <c r="F70" s="124">
        <f t="shared" si="4"/>
        <v>96.288078237768062</v>
      </c>
    </row>
    <row r="71" spans="1:8" ht="13.15">
      <c r="A71" s="144">
        <f t="shared" si="3"/>
        <v>30</v>
      </c>
      <c r="B71" s="124">
        <f t="shared" si="4"/>
        <v>49.587509597744948</v>
      </c>
      <c r="C71" s="124">
        <f t="shared" si="4"/>
        <v>58.846951190878748</v>
      </c>
      <c r="D71" s="124">
        <f t="shared" si="4"/>
        <v>71.79220994859844</v>
      </c>
      <c r="E71" s="124">
        <f t="shared" si="4"/>
        <v>90.150140315517959</v>
      </c>
      <c r="F71" s="124">
        <f t="shared" si="4"/>
        <v>116.49991760682337</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116.49991760682337</v>
      </c>
      <c r="F74" s="142">
        <f>Scenarios!C58</f>
        <v>0.05</v>
      </c>
    </row>
    <row r="75" spans="1:8">
      <c r="B75" s="127" t="str">
        <f>Scenarios!B36</f>
        <v>Optimistic</v>
      </c>
      <c r="C75" s="142">
        <f>Scenarios!C38</f>
        <v>0.08</v>
      </c>
      <c r="D75" s="145">
        <f>Scenarios!C37</f>
        <v>30</v>
      </c>
      <c r="E75" s="135">
        <f>INDEX(B$65:F$71, MATCH(D75, A$65:A$71, 0), MATCH(C75, B$64:F$64, 0))</f>
        <v>90.150140315517959</v>
      </c>
      <c r="F75" s="142">
        <f>Scenarios!C40*(1-F$74-F$78)</f>
        <v>0.18</v>
      </c>
      <c r="H75" s="120"/>
    </row>
    <row r="76" spans="1:8">
      <c r="B76" s="127" t="str">
        <f>Scenarios!B24</f>
        <v>Base</v>
      </c>
      <c r="C76" s="142">
        <f>Scenarios!C26</f>
        <v>0.06</v>
      </c>
      <c r="D76" s="145">
        <f>Scenarios!C25</f>
        <v>30</v>
      </c>
      <c r="E76" s="135">
        <f>INDEX(B$65:F$71, MATCH(D76, A$65:A$71, 0), MATCH(C76, B$64:F$64, 0))</f>
        <v>71.79220994859844</v>
      </c>
      <c r="F76" s="142">
        <f>Scenarios!C28*(1-F$74-F$78)</f>
        <v>0.44999999999999996</v>
      </c>
      <c r="H76" s="120"/>
    </row>
    <row r="77" spans="1:8">
      <c r="B77" s="127" t="str">
        <f>Scenarios!B30</f>
        <v>Pessimistic</v>
      </c>
      <c r="C77" s="142">
        <f>Scenarios!C32</f>
        <v>0.04</v>
      </c>
      <c r="D77" s="145">
        <f>Scenarios!C31</f>
        <v>30</v>
      </c>
      <c r="E77" s="135">
        <f>INDEX(B$65:F$71, MATCH(D77, A$65:A$71, 0), MATCH(C77, B$64:F$64, 0))</f>
        <v>58.846951190878748</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49.587509597744948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2754839281.7853346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36731190423.804466</v>
      </c>
      <c r="D6" t="str">
        <f>Reporting_currency</f>
        <v>CNY</v>
      </c>
      <c r="E6" s="364"/>
      <c r="F6" s="364"/>
      <c r="H6" s="120"/>
    </row>
    <row r="7" spans="2:8" ht="13.15">
      <c r="B7" s="149" t="s">
        <v>444</v>
      </c>
      <c r="C7" s="111">
        <f>(C6*scaling_factor)/Common_Shares*Exchange_Rate</f>
        <v>29.333333333333336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53.137700231278806</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2923341362.8748302</v>
      </c>
      <c r="D16" s="138">
        <f>IF($C$12&lt;B16,0,DDM!$C$11)</f>
        <v>6.1165848114484E-2</v>
      </c>
      <c r="E16" s="124">
        <f t="shared" ref="E16:E45" si="0">IF($C$12&lt;B16,0,1/(1+Equity_Cost)^B16)</f>
        <v>0.93023255813953487</v>
      </c>
      <c r="F16" s="125">
        <f t="shared" ref="F16:F46" si="1">C16*E16</f>
        <v>2719387314.3021674</v>
      </c>
      <c r="H16" s="120"/>
    </row>
    <row r="17" spans="2:8">
      <c r="B17" s="122">
        <v>2</v>
      </c>
      <c r="C17" s="123">
        <f t="shared" ref="C17:C45" si="2">IF(ROW()-ROW($C$16)&lt;$C$12, $C$16*(1+D17)^(ROW()-ROW($C$16)), 0)</f>
        <v>3102150016.6632204</v>
      </c>
      <c r="D17" s="138">
        <f>IF($C$12&lt;B17,0,DDM!$C$11)</f>
        <v>6.1165848114484E-2</v>
      </c>
      <c r="E17" s="124">
        <f t="shared" si="0"/>
        <v>0.86533261222282321</v>
      </c>
      <c r="F17" s="125">
        <f t="shared" si="1"/>
        <v>2684391577.426259</v>
      </c>
      <c r="H17" s="120"/>
    </row>
    <row r="18" spans="2:8">
      <c r="B18" s="122">
        <v>3</v>
      </c>
      <c r="C18" s="123">
        <f t="shared" si="2"/>
        <v>3291895653.4107866</v>
      </c>
      <c r="D18" s="138">
        <f>IF($C$12&lt;B18,0,DDM!$C$11)</f>
        <v>6.1165848114484E-2</v>
      </c>
      <c r="E18" s="124">
        <f t="shared" si="0"/>
        <v>0.80496056950960304</v>
      </c>
      <c r="F18" s="125">
        <f t="shared" si="1"/>
        <v>2649846199.9357338</v>
      </c>
      <c r="H18" s="120"/>
    </row>
    <row r="19" spans="2:8">
      <c r="B19" s="122">
        <v>4</v>
      </c>
      <c r="C19" s="123">
        <f t="shared" si="2"/>
        <v>3493247242.9560404</v>
      </c>
      <c r="D19" s="138">
        <f>IF($C$12&lt;B19,0,DDM!$C$11)</f>
        <v>6.1165848114484E-2</v>
      </c>
      <c r="E19" s="124">
        <f t="shared" si="0"/>
        <v>0.7488005297763749</v>
      </c>
      <c r="F19" s="125">
        <f t="shared" si="1"/>
        <v>2615745386.1653442</v>
      </c>
      <c r="H19" s="120"/>
    </row>
    <row r="20" spans="2:8">
      <c r="B20" s="122">
        <v>5</v>
      </c>
      <c r="C20" s="123">
        <f t="shared" si="2"/>
        <v>3706914673.245029</v>
      </c>
      <c r="D20" s="138">
        <f>IF($C$12&lt;B20,0,DDM!$C$11)</f>
        <v>6.1165848114484E-2</v>
      </c>
      <c r="E20" s="124">
        <f t="shared" si="0"/>
        <v>0.69655863235011617</v>
      </c>
      <c r="F20" s="125">
        <f t="shared" si="1"/>
        <v>2582083415.0341353</v>
      </c>
      <c r="H20" s="120"/>
    </row>
    <row r="21" spans="2:8">
      <c r="B21" s="122">
        <v>6</v>
      </c>
      <c r="C21" s="123">
        <f t="shared" si="2"/>
        <v>3933651253.122086</v>
      </c>
      <c r="D21" s="138">
        <f>IF($C$12&lt;B21,0,DDM!$C$11)</f>
        <v>6.1165848114484E-2</v>
      </c>
      <c r="E21" s="124">
        <f t="shared" si="0"/>
        <v>0.64796151846522443</v>
      </c>
      <c r="F21" s="125">
        <f t="shared" si="1"/>
        <v>2548854639.0856199</v>
      </c>
      <c r="H21" s="120"/>
    </row>
    <row r="22" spans="2:8">
      <c r="B22" s="122">
        <v>7</v>
      </c>
      <c r="C22" s="123">
        <f t="shared" si="2"/>
        <v>4174256368.2059007</v>
      </c>
      <c r="D22" s="138">
        <f>IF($C$12&lt;B22,0,DDM!$C$11)</f>
        <v>6.1165848114484E-2</v>
      </c>
      <c r="E22" s="124">
        <f t="shared" si="0"/>
        <v>0.60275490089788319</v>
      </c>
      <c r="F22" s="125">
        <f t="shared" si="1"/>
        <v>2516053483.5403056</v>
      </c>
      <c r="H22" s="120"/>
    </row>
    <row r="23" spans="2:8">
      <c r="B23" s="122">
        <v>8</v>
      </c>
      <c r="C23" s="123">
        <f t="shared" si="2"/>
        <v>4429578299.2144995</v>
      </c>
      <c r="D23" s="138">
        <f>IF($C$12&lt;B23,0,DDM!$C$11)</f>
        <v>6.1165848114484E-2</v>
      </c>
      <c r="E23" s="124">
        <f t="shared" si="0"/>
        <v>0.56070223339337966</v>
      </c>
      <c r="F23" s="125">
        <f t="shared" si="1"/>
        <v>2483674445.3604178</v>
      </c>
      <c r="H23" s="120"/>
    </row>
    <row r="24" spans="2:8">
      <c r="B24" s="122">
        <v>9</v>
      </c>
      <c r="C24" s="123">
        <f t="shared" si="2"/>
        <v>4700517212.6754675</v>
      </c>
      <c r="D24" s="138">
        <f>IF($C$12&lt;B24,0,DDM!$C$11)</f>
        <v>6.1165848114484E-2</v>
      </c>
      <c r="E24" s="124">
        <f t="shared" si="0"/>
        <v>0.52158347292407414</v>
      </c>
      <c r="F24" s="125">
        <f t="shared" si="1"/>
        <v>2451712092.3266592</v>
      </c>
      <c r="H24" s="120"/>
    </row>
    <row r="25" spans="2:8">
      <c r="B25" s="122">
        <v>10</v>
      </c>
      <c r="C25" s="123">
        <f t="shared" si="2"/>
        <v>4988028334.5654926</v>
      </c>
      <c r="D25" s="138">
        <f>IF($C$12&lt;B25,0,DDM!$C$11)</f>
        <v>6.1165848114484E-2</v>
      </c>
      <c r="E25" s="124">
        <f t="shared" si="0"/>
        <v>0.48519392830146441</v>
      </c>
      <c r="F25" s="125">
        <f t="shared" si="1"/>
        <v>2420161062.1268425</v>
      </c>
      <c r="H25" s="120"/>
    </row>
    <row r="26" spans="2:8">
      <c r="B26" s="122">
        <v>11</v>
      </c>
      <c r="C26" s="123">
        <f t="shared" si="2"/>
        <v>5293125318.0682669</v>
      </c>
      <c r="D26" s="138">
        <f>IF($C$12&lt;B26,0,DDM!$C$11)</f>
        <v>6.1165848114484E-2</v>
      </c>
      <c r="E26" s="124">
        <f t="shared" si="0"/>
        <v>0.45134318911764126</v>
      </c>
      <c r="F26" s="125">
        <f t="shared" si="1"/>
        <v>2389016061.4562607</v>
      </c>
      <c r="H26" s="120"/>
    </row>
    <row r="27" spans="2:8">
      <c r="B27" s="122">
        <v>12</v>
      </c>
      <c r="C27" s="123">
        <f t="shared" si="2"/>
        <v>5616883817.3241606</v>
      </c>
      <c r="D27" s="138">
        <f>IF($C$12&lt;B27,0,DDM!$C$11)</f>
        <v>6.1165848114484E-2</v>
      </c>
      <c r="E27" s="124">
        <f t="shared" si="0"/>
        <v>0.41985412941175931</v>
      </c>
      <c r="F27" s="125">
        <f t="shared" si="1"/>
        <v>2358271865.1296349</v>
      </c>
      <c r="H27" s="120"/>
    </row>
    <row r="28" spans="2:8">
      <c r="B28" s="122">
        <v>13</v>
      </c>
      <c r="C28" s="123">
        <f t="shared" si="2"/>
        <v>5960445279.7713118</v>
      </c>
      <c r="D28" s="138">
        <f>IF($C$12&lt;B28,0,DDM!$C$11)</f>
        <v>6.1165848114484E-2</v>
      </c>
      <c r="E28" s="124">
        <f t="shared" si="0"/>
        <v>0.39056198084814819</v>
      </c>
      <c r="F28" s="125">
        <f t="shared" si="1"/>
        <v>2327923315.2044783</v>
      </c>
      <c r="H28" s="120"/>
    </row>
    <row r="29" spans="2:8">
      <c r="B29" s="122">
        <v>14</v>
      </c>
      <c r="C29" s="123">
        <f t="shared" si="2"/>
        <v>6325020970.4484968</v>
      </c>
      <c r="D29" s="138">
        <f>IF($C$12&lt;B29,0,DDM!$C$11)</f>
        <v>6.1165848114484E-2</v>
      </c>
      <c r="E29" s="124">
        <f t="shared" si="0"/>
        <v>0.36331347055641694</v>
      </c>
      <c r="F29" s="125">
        <f t="shared" si="1"/>
        <v>2297965320.1157598</v>
      </c>
      <c r="H29" s="120"/>
    </row>
    <row r="30" spans="2:8">
      <c r="B30" s="122">
        <v>15</v>
      </c>
      <c r="C30" s="123">
        <f t="shared" si="2"/>
        <v>6711896242.4478741</v>
      </c>
      <c r="D30" s="138">
        <f>IF($C$12&lt;B30,0,DDM!$C$11)</f>
        <v>6.1165848114484E-2</v>
      </c>
      <c r="E30" s="124">
        <f t="shared" si="0"/>
        <v>0.33796601912224833</v>
      </c>
      <c r="F30" s="125">
        <f t="shared" si="1"/>
        <v>2268392853.8216848</v>
      </c>
      <c r="H30" s="120"/>
    </row>
    <row r="31" spans="2:8">
      <c r="B31" s="122">
        <v>16</v>
      </c>
      <c r="C31" s="123">
        <f t="shared" si="2"/>
        <v>7122435068.5736151</v>
      </c>
      <c r="D31" s="138">
        <f>IF($C$12&lt;B31,0,DDM!$C$11)</f>
        <v>6.1165848114484E-2</v>
      </c>
      <c r="E31" s="124">
        <f t="shared" si="0"/>
        <v>0.31438699453232405</v>
      </c>
      <c r="F31" s="125">
        <f t="shared" si="1"/>
        <v>2239200954.9604864</v>
      </c>
      <c r="H31" s="120"/>
    </row>
    <row r="32" spans="2:8">
      <c r="B32" s="122">
        <v>17</v>
      </c>
      <c r="C32" s="123">
        <f t="shared" si="2"/>
        <v>7558084850.1832638</v>
      </c>
      <c r="D32" s="138">
        <f>IF($C$12&lt;B32,0,DDM!$C$11)</f>
        <v>6.1165848114484E-2</v>
      </c>
      <c r="E32" s="124">
        <f t="shared" si="0"/>
        <v>0.29245301816960378</v>
      </c>
      <c r="F32" s="125">
        <f t="shared" si="1"/>
        <v>2210384726.0180531</v>
      </c>
      <c r="H32" s="120"/>
    </row>
    <row r="33" spans="2:8">
      <c r="B33" s="122">
        <v>18</v>
      </c>
      <c r="C33" s="123">
        <f t="shared" si="2"/>
        <v>8020381520.1659555</v>
      </c>
      <c r="D33" s="138">
        <f>IF($C$12&lt;B33,0,DDM!$C$11)</f>
        <v>6.1165848114484E-2</v>
      </c>
      <c r="E33" s="124">
        <f t="shared" si="0"/>
        <v>0.27204931922753844</v>
      </c>
      <c r="F33" s="125">
        <f t="shared" si="1"/>
        <v>2181939332.506278</v>
      </c>
      <c r="H33" s="120"/>
    </row>
    <row r="34" spans="2:8">
      <c r="B34" s="122">
        <v>19</v>
      </c>
      <c r="C34" s="123">
        <f t="shared" si="2"/>
        <v>8510954958.0486393</v>
      </c>
      <c r="D34" s="138">
        <f>IF($C$12&lt;B34,0,DDM!$C$11)</f>
        <v>6.1165848114484E-2</v>
      </c>
      <c r="E34" s="124">
        <f t="shared" si="0"/>
        <v>0.25306913416515198</v>
      </c>
      <c r="F34" s="125">
        <f t="shared" si="1"/>
        <v>2153860002.1519766</v>
      </c>
      <c r="H34" s="120"/>
    </row>
    <row r="35" spans="2:8">
      <c r="B35" s="122">
        <v>20</v>
      </c>
      <c r="C35" s="123">
        <f t="shared" si="2"/>
        <v>9031534736.3218555</v>
      </c>
      <c r="D35" s="138">
        <f>IF($C$12&lt;B35,0,DDM!$C$11)</f>
        <v>6.1165848114484E-2</v>
      </c>
      <c r="E35" s="124">
        <f t="shared" si="0"/>
        <v>0.23541314806060654</v>
      </c>
      <c r="F35" s="125">
        <f t="shared" si="1"/>
        <v>2126142024.0962479</v>
      </c>
      <c r="H35" s="120"/>
    </row>
    <row r="36" spans="2:8">
      <c r="B36" s="122">
        <v>21</v>
      </c>
      <c r="C36" s="123">
        <f t="shared" si="2"/>
        <v>9583956218.2444038</v>
      </c>
      <c r="D36" s="138">
        <f>IF($C$12&lt;B36,0,DDM!$C$11)</f>
        <v>6.1165848114484E-2</v>
      </c>
      <c r="E36" s="124">
        <f t="shared" si="0"/>
        <v>0.21898897494009908</v>
      </c>
      <c r="F36" s="125">
        <f t="shared" si="1"/>
        <v>2098780748.1041305</v>
      </c>
      <c r="H36" s="120"/>
    </row>
    <row r="37" spans="2:8">
      <c r="B37" s="122">
        <v>22</v>
      </c>
      <c r="C37" s="123">
        <f t="shared" si="2"/>
        <v>10170167028.625404</v>
      </c>
      <c r="D37" s="138">
        <f>IF($C$12&lt;B37,0,DDM!$C$11)</f>
        <v>6.1165848114484E-2</v>
      </c>
      <c r="E37" s="124">
        <f t="shared" si="0"/>
        <v>0.20371067436288287</v>
      </c>
      <c r="F37" s="125">
        <f t="shared" si="1"/>
        <v>2071771583.7844379</v>
      </c>
      <c r="H37" s="120"/>
    </row>
    <row r="38" spans="2:8">
      <c r="B38" s="122">
        <v>23</v>
      </c>
      <c r="C38" s="123">
        <f t="shared" si="2"/>
        <v>10792233920.397236</v>
      </c>
      <c r="D38" s="138">
        <f>IF($C$12&lt;B38,0,DDM!$C$11)</f>
        <v>6.1165848114484E-2</v>
      </c>
      <c r="E38" s="124">
        <f t="shared" si="0"/>
        <v>0.18949830173291429</v>
      </c>
      <c r="F38" s="125">
        <f t="shared" si="1"/>
        <v>2045109999.819628</v>
      </c>
      <c r="H38" s="120"/>
    </row>
    <row r="39" spans="2:8">
      <c r="B39" s="122">
        <v>24</v>
      </c>
      <c r="C39" s="123">
        <f t="shared" si="2"/>
        <v>11452350061.188234</v>
      </c>
      <c r="D39" s="138">
        <f>IF($C$12&lt;B39,0,DDM!$C$11)</f>
        <v>6.1165848114484E-2</v>
      </c>
      <c r="E39" s="124">
        <f t="shared" si="0"/>
        <v>0.17627748998410636</v>
      </c>
      <c r="F39" s="125">
        <f t="shared" si="1"/>
        <v>2018791523.2055888</v>
      </c>
      <c r="H39" s="120"/>
    </row>
    <row r="40" spans="2:8">
      <c r="B40" s="122">
        <v>25</v>
      </c>
      <c r="C40" s="123">
        <f t="shared" si="2"/>
        <v>12152842765.584776</v>
      </c>
      <c r="D40" s="138">
        <f>IF($C$12&lt;B40,0,DDM!$C$11)</f>
        <v>6.1165848114484E-2</v>
      </c>
      <c r="E40" s="124">
        <f t="shared" si="0"/>
        <v>0.16397906045033148</v>
      </c>
      <c r="F40" s="125">
        <f t="shared" si="1"/>
        <v>1992811738.5011995</v>
      </c>
      <c r="H40" s="120"/>
    </row>
    <row r="41" spans="2:8">
      <c r="B41" s="122">
        <v>26</v>
      </c>
      <c r="C41" s="123">
        <f t="shared" si="2"/>
        <v>12896181700.343739</v>
      </c>
      <c r="D41" s="138">
        <f>IF($C$12&lt;B41,0,DDM!$C$11)</f>
        <v>6.1165848114484E-2</v>
      </c>
      <c r="E41" s="124">
        <f t="shared" si="0"/>
        <v>0.15253866088402931</v>
      </c>
      <c r="F41" s="125">
        <f t="shared" si="1"/>
        <v>1967166287.087558</v>
      </c>
      <c r="H41" s="120"/>
    </row>
    <row r="42" spans="2:8">
      <c r="B42" s="122">
        <v>27</v>
      </c>
      <c r="C42" s="123">
        <f t="shared" si="2"/>
        <v>13684987591.483749</v>
      </c>
      <c r="D42" s="138">
        <f>IF($C$12&lt;B42,0,DDM!$C$11)</f>
        <v>6.1165848114484E-2</v>
      </c>
      <c r="E42" s="124">
        <f t="shared" si="0"/>
        <v>0.14189642872932959</v>
      </c>
      <c r="F42" s="125">
        <f t="shared" si="1"/>
        <v>1941850866.4367337</v>
      </c>
      <c r="H42" s="120"/>
    </row>
    <row r="43" spans="2:8">
      <c r="B43" s="122">
        <v>28</v>
      </c>
      <c r="C43" s="123">
        <f t="shared" si="2"/>
        <v>14522041463.953039</v>
      </c>
      <c r="D43" s="138">
        <f>IF($C$12&lt;B43,0,DDM!$C$11)</f>
        <v>6.1165848114484E-2</v>
      </c>
      <c r="E43" s="124">
        <f t="shared" si="0"/>
        <v>0.13199667788774846</v>
      </c>
      <c r="F43" s="125">
        <f t="shared" si="1"/>
        <v>1916861229.3899364</v>
      </c>
      <c r="H43" s="120"/>
    </row>
    <row r="44" spans="2:8">
      <c r="B44" s="122">
        <v>29</v>
      </c>
      <c r="C44" s="123">
        <f t="shared" si="2"/>
        <v>15410294446.449429</v>
      </c>
      <c r="D44" s="138">
        <f>IF($C$12&lt;B44,0,DDM!$C$11)</f>
        <v>6.1165848114484E-2</v>
      </c>
      <c r="E44" s="124">
        <f t="shared" si="0"/>
        <v>0.1227876073374404</v>
      </c>
      <c r="F44" s="125">
        <f t="shared" si="1"/>
        <v>1892193183.4449708</v>
      </c>
      <c r="H44" s="120"/>
    </row>
    <row r="45" spans="2:8">
      <c r="B45" s="122">
        <v>30</v>
      </c>
      <c r="C45" s="123">
        <f t="shared" si="2"/>
        <v>16352878175.96043</v>
      </c>
      <c r="D45" s="138">
        <f>IF($C$12&lt;B45,0,DDM!$C$11)</f>
        <v>6.1165848114484E-2</v>
      </c>
      <c r="E45" s="124">
        <f t="shared" si="0"/>
        <v>0.11422103008133992</v>
      </c>
      <c r="F45" s="125">
        <f t="shared" si="1"/>
        <v>1867842590.0528634</v>
      </c>
      <c r="H45" s="120"/>
    </row>
    <row r="46" spans="2:8">
      <c r="B46" s="126" t="s">
        <v>131</v>
      </c>
      <c r="C46" s="123">
        <f>C$16*(1+F4)^$C$12/Equity_Cost</f>
        <v>38977884838.33107</v>
      </c>
      <c r="D46" s="139">
        <f>Terminal_Growth</f>
        <v>0</v>
      </c>
      <c r="E46" s="124">
        <f>1/(1+Equity_Cost)^C12</f>
        <v>0.11422103008133992</v>
      </c>
      <c r="F46" s="125">
        <f t="shared" si="1"/>
        <v>4452094156.6260166</v>
      </c>
      <c r="H46" s="120"/>
    </row>
    <row r="47" spans="2:8">
      <c r="C47" s="114"/>
      <c r="E47" s="127" t="s">
        <v>100</v>
      </c>
      <c r="F47" s="137">
        <f>SUM(F16:F46)</f>
        <v>72490279977.217407</v>
      </c>
      <c r="H47" s="120"/>
    </row>
    <row r="48" spans="2:8">
      <c r="C48" s="114"/>
      <c r="H48" s="120"/>
    </row>
    <row r="49" spans="1:8" ht="13.15">
      <c r="B49" s="119" t="s">
        <v>129</v>
      </c>
      <c r="C49" s="136"/>
      <c r="D49" s="136"/>
      <c r="E49" s="117"/>
      <c r="F49" s="117"/>
      <c r="H49" s="120"/>
    </row>
    <row r="50" spans="1:8" ht="13.15">
      <c r="A50" s="133">
        <f>F47</f>
        <v>72490279977.217407</v>
      </c>
      <c r="B50" s="131">
        <f>C73</f>
        <v>0.02</v>
      </c>
      <c r="C50" s="131">
        <f>C72</f>
        <v>0.04</v>
      </c>
      <c r="D50" s="131">
        <f>C71</f>
        <v>0.06</v>
      </c>
      <c r="E50" s="131">
        <f>C70</f>
        <v>0.08</v>
      </c>
      <c r="F50" s="131">
        <f>C69</f>
        <v>0.1</v>
      </c>
      <c r="H50" s="120"/>
    </row>
    <row r="51" spans="1:8" ht="13.15">
      <c r="A51" s="143">
        <v>5</v>
      </c>
      <c r="B51" s="123">
        <f t="dataTable" ref="B51:F56" dt2D="1" dtr="1" r1="C11" r2="C12"/>
        <v>37895954959.515289</v>
      </c>
      <c r="C51" s="123">
        <v>39094651359.342049</v>
      </c>
      <c r="D51" s="123">
        <v>40328771270.354065</v>
      </c>
      <c r="E51" s="123">
        <v>41599852577.605682</v>
      </c>
      <c r="F51" s="123">
        <v>42909480140.996628</v>
      </c>
      <c r="H51" s="120"/>
    </row>
    <row r="52" spans="1:8" ht="13.15">
      <c r="A52" s="143">
        <v>10</v>
      </c>
      <c r="B52" s="123">
        <v>39050968456.146667</v>
      </c>
      <c r="C52" s="123">
        <v>41601774518.647217</v>
      </c>
      <c r="D52" s="123">
        <v>44411347755.564781</v>
      </c>
      <c r="E52" s="123">
        <v>47510535226.943314</v>
      </c>
      <c r="F52" s="123">
        <v>50933600106.777725</v>
      </c>
      <c r="H52" s="120"/>
    </row>
    <row r="53" spans="1:8" ht="13.15">
      <c r="A53" s="143">
        <v>15</v>
      </c>
      <c r="B53" s="123">
        <v>40513350802.353928</v>
      </c>
      <c r="C53" s="123">
        <v>44944979276.348289</v>
      </c>
      <c r="D53" s="123">
        <v>50155751815.75853</v>
      </c>
      <c r="E53" s="123">
        <v>56301063785.090195</v>
      </c>
      <c r="F53" s="123">
        <v>63566880811.658287</v>
      </c>
      <c r="H53" s="120"/>
    </row>
    <row r="54" spans="1:8" ht="13.15">
      <c r="A54" s="144">
        <v>20</v>
      </c>
      <c r="B54" s="123">
        <v>42037908256.370193</v>
      </c>
      <c r="C54" s="123">
        <v>48626997025.888718</v>
      </c>
      <c r="D54" s="123">
        <v>56860914583.132599</v>
      </c>
      <c r="E54" s="123">
        <v>67207273117.783836</v>
      </c>
      <c r="F54" s="123">
        <v>80268775862.89946</v>
      </c>
      <c r="H54" s="120"/>
    </row>
    <row r="55" spans="1:8" ht="13.15">
      <c r="A55" s="144">
        <v>25</v>
      </c>
      <c r="B55" s="123">
        <v>43488935087.240517</v>
      </c>
      <c r="C55" s="123">
        <v>52338602260.459473</v>
      </c>
      <c r="D55" s="123">
        <v>64051852969.549957</v>
      </c>
      <c r="E55" s="123">
        <v>79699452391.710434</v>
      </c>
      <c r="F55" s="123">
        <v>100767287721.10776</v>
      </c>
      <c r="H55" s="120"/>
    </row>
    <row r="56" spans="1:8" ht="13.15">
      <c r="A56" s="144">
        <v>30</v>
      </c>
      <c r="B56" s="123">
        <v>44798887497.513046</v>
      </c>
      <c r="C56" s="123">
        <v>55895885842.997345</v>
      </c>
      <c r="D56" s="123">
        <v>71410159956.763062</v>
      </c>
      <c r="E56" s="123">
        <v>93411262383.856049</v>
      </c>
      <c r="F56" s="123">
        <v>124990211509.93759</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29.333333333333336</v>
      </c>
      <c r="C60" s="124">
        <f>C7</f>
        <v>29.333333333333336</v>
      </c>
      <c r="D60" s="124">
        <f>C7</f>
        <v>29.333333333333336</v>
      </c>
      <c r="E60" s="141">
        <f>C7</f>
        <v>29.333333333333336</v>
      </c>
      <c r="F60" s="124">
        <f>C7</f>
        <v>29.333333333333336</v>
      </c>
      <c r="H60" s="120"/>
    </row>
    <row r="61" spans="1:8" ht="13.15">
      <c r="A61" s="143">
        <f t="shared" ref="A61:A66" si="3">A51</f>
        <v>5</v>
      </c>
      <c r="B61" s="124">
        <f t="shared" ref="B61:F66" si="4">B51/Common_Shares*$C$3*Exchange_Rate</f>
        <v>30.263508097250284</v>
      </c>
      <c r="C61" s="124">
        <f t="shared" si="4"/>
        <v>31.220780667398124</v>
      </c>
      <c r="D61" s="124">
        <f t="shared" si="4"/>
        <v>32.206342265193719</v>
      </c>
      <c r="E61" s="124">
        <f t="shared" si="4"/>
        <v>33.221421037462896</v>
      </c>
      <c r="F61" s="124">
        <f t="shared" si="4"/>
        <v>34.267282644893172</v>
      </c>
      <c r="H61" s="120"/>
    </row>
    <row r="62" spans="1:8" ht="13.15">
      <c r="A62" s="143">
        <f t="shared" si="3"/>
        <v>10</v>
      </c>
      <c r="B62" s="124">
        <f t="shared" si="4"/>
        <v>31.185895733215119</v>
      </c>
      <c r="C62" s="124">
        <f t="shared" si="4"/>
        <v>33.22295588935765</v>
      </c>
      <c r="D62" s="124">
        <f t="shared" si="4"/>
        <v>35.466666134847131</v>
      </c>
      <c r="E62" s="124">
        <f t="shared" si="4"/>
        <v>37.941660767787781</v>
      </c>
      <c r="F62" s="124">
        <f t="shared" si="4"/>
        <v>40.675302176717892</v>
      </c>
      <c r="H62" s="120"/>
    </row>
    <row r="63" spans="1:8" ht="13.15">
      <c r="A63" s="143">
        <f t="shared" si="3"/>
        <v>15</v>
      </c>
      <c r="B63" s="124">
        <f t="shared" si="4"/>
        <v>32.353746497841563</v>
      </c>
      <c r="C63" s="124">
        <f t="shared" si="4"/>
        <v>35.892821429453967</v>
      </c>
      <c r="D63" s="124">
        <f t="shared" si="4"/>
        <v>40.054116668163218</v>
      </c>
      <c r="E63" s="124">
        <f t="shared" si="4"/>
        <v>44.961730125659706</v>
      </c>
      <c r="F63" s="124">
        <f t="shared" si="4"/>
        <v>50.764172962938581</v>
      </c>
      <c r="H63" s="120"/>
    </row>
    <row r="64" spans="1:8" ht="13.15">
      <c r="A64" s="144">
        <f t="shared" si="3"/>
        <v>20</v>
      </c>
      <c r="B64" s="124">
        <f t="shared" si="4"/>
        <v>33.571249972912575</v>
      </c>
      <c r="C64" s="124">
        <f t="shared" si="4"/>
        <v>38.833261223001294</v>
      </c>
      <c r="D64" s="124">
        <f t="shared" si="4"/>
        <v>45.408823995649485</v>
      </c>
      <c r="E64" s="124">
        <f t="shared" si="4"/>
        <v>53.671370898741891</v>
      </c>
      <c r="F64" s="124">
        <f t="shared" si="4"/>
        <v>64.102217528978642</v>
      </c>
      <c r="H64" s="120"/>
    </row>
    <row r="65" spans="1:8" ht="13.15">
      <c r="A65" s="144">
        <f t="shared" si="3"/>
        <v>25</v>
      </c>
      <c r="B65" s="124">
        <f t="shared" si="4"/>
        <v>34.730032283380396</v>
      </c>
      <c r="C65" s="124">
        <f t="shared" si="4"/>
        <v>41.797329424745463</v>
      </c>
      <c r="D65" s="124">
        <f t="shared" si="4"/>
        <v>51.151469149114</v>
      </c>
      <c r="E65" s="124">
        <f t="shared" si="4"/>
        <v>63.64755883259032</v>
      </c>
      <c r="F65" s="124">
        <f t="shared" si="4"/>
        <v>80.472220086380943</v>
      </c>
    </row>
    <row r="66" spans="1:8" ht="13.15">
      <c r="A66" s="144">
        <f t="shared" si="3"/>
        <v>30</v>
      </c>
      <c r="B66" s="124">
        <f t="shared" si="4"/>
        <v>35.776153311802744</v>
      </c>
      <c r="C66" s="124">
        <f t="shared" si="4"/>
        <v>44.638157175869843</v>
      </c>
      <c r="D66" s="124">
        <f t="shared" si="4"/>
        <v>57.027773977095706</v>
      </c>
      <c r="E66" s="124">
        <f t="shared" si="4"/>
        <v>74.597737371924424</v>
      </c>
      <c r="F66" s="124">
        <f t="shared" si="4"/>
        <v>99.816518204886634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99.816518204886634</v>
      </c>
      <c r="F69" s="142">
        <f>Scenarios!C58</f>
        <v>0.05</v>
      </c>
    </row>
    <row r="70" spans="1:8">
      <c r="B70" s="127" t="str">
        <f>Scenarios!B36</f>
        <v>Optimistic</v>
      </c>
      <c r="C70" s="142">
        <f>Scenarios!C38</f>
        <v>0.08</v>
      </c>
      <c r="D70" s="145">
        <f>Scenarios!C37</f>
        <v>30</v>
      </c>
      <c r="E70" s="135">
        <f>INDEX(B$60:F$66, MATCH(D70, A$60:A$66, 0), MATCH(C70, B$59:F$59, 0))</f>
        <v>74.597737371924424</v>
      </c>
      <c r="F70" s="142">
        <f>Scenarios!C40*(1-F$69-F$73)</f>
        <v>0.18</v>
      </c>
      <c r="H70" s="120"/>
    </row>
    <row r="71" spans="1:8">
      <c r="B71" s="127" t="str">
        <f>Scenarios!B24</f>
        <v>Base</v>
      </c>
      <c r="C71" s="142">
        <f>Scenarios!C26</f>
        <v>0.06</v>
      </c>
      <c r="D71" s="145">
        <f>Scenarios!C25</f>
        <v>30</v>
      </c>
      <c r="E71" s="135">
        <f>INDEX(B$60:F$66, MATCH(D71, A$60:A$66, 0), MATCH(C71, B$59:F$59, 0))</f>
        <v>57.027773977095706</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44.638157175869843</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35.776153311802744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-56.2</v>
      </c>
    </row>
    <row r="4" spans="2:9">
      <c r="B4" s="152" t="s">
        <v>146</v>
      </c>
      <c r="C4" s="120">
        <v>3</v>
      </c>
      <c r="D4" s="120"/>
      <c r="E4" s="155" t="s">
        <v>150</v>
      </c>
      <c r="F4" s="155"/>
      <c r="H4" s="247">
        <v>1</v>
      </c>
      <c r="I4" s="124">
        <f t="shared" ref="I4:I13" si="0">IF(ROW()-3 &lt; $C$76, $C$77, IF(ROW()-3 = $C$76, $C$77 + $C$60, ""))</f>
        <v>2.0193855505437055</v>
      </c>
    </row>
    <row r="5" spans="2:9">
      <c r="H5" s="247">
        <v>2</v>
      </c>
      <c r="I5" s="124">
        <f t="shared" si="0"/>
        <v>2.0193855505437055</v>
      </c>
    </row>
    <row r="6" spans="2:9" ht="13.15">
      <c r="B6" s="159" t="s">
        <v>95</v>
      </c>
      <c r="C6" s="107">
        <f>DCF!C3</f>
        <v>1</v>
      </c>
      <c r="E6" s="100" t="s">
        <v>279</v>
      </c>
      <c r="F6" s="100"/>
      <c r="H6" s="247">
        <v>3</v>
      </c>
      <c r="I6" s="124">
        <f t="shared" si="0"/>
        <v>74.745953465971908</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3154849238.9404106</v>
      </c>
      <c r="D8" t="str">
        <f>Reporting_currency</f>
        <v>CNY</v>
      </c>
      <c r="E8" s="366"/>
      <c r="F8" s="366"/>
      <c r="H8" s="247">
        <v>5</v>
      </c>
      <c r="I8" s="124" t="str">
        <f t="shared" si="0"/>
        <v/>
      </c>
    </row>
    <row r="9" spans="2:9">
      <c r="B9" s="100" t="s">
        <v>57</v>
      </c>
      <c r="C9" s="338">
        <f>Normalized_FCF!C19</f>
        <v>2878386628.9644475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0.22851105066858346</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56.2</v>
      </c>
      <c r="D21" t="str">
        <f>Market_currency</f>
        <v>HKD</v>
      </c>
      <c r="E21" s="367"/>
      <c r="F21" s="367"/>
    </row>
    <row r="22" spans="2:6">
      <c r="B22" s="100" t="s">
        <v>278</v>
      </c>
      <c r="C22" s="160">
        <f>IF(valuation_method="DCF",DCF!C12,DDM!C7)</f>
        <v>42.855745969475159</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71.79220994859844</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58.846951190878748</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90.150140315517959</v>
      </c>
      <c r="D39" t="str">
        <f>Market_currency</f>
        <v>HKD</v>
      </c>
      <c r="E39" s="365"/>
      <c r="F39" s="365"/>
    </row>
    <row r="40" spans="2:6">
      <c r="B40" s="100" t="s">
        <v>147</v>
      </c>
      <c r="C40" s="167">
        <f>1-C28-C34</f>
        <v>0.2</v>
      </c>
      <c r="D40" s="165"/>
      <c r="E40" s="365"/>
      <c r="F40" s="365"/>
    </row>
    <row r="42" spans="2:6" ht="13.15">
      <c r="B42" s="100" t="s">
        <v>120</v>
      </c>
      <c r="C42" s="154">
        <f>C27*C28+C33*C34+C39*C40</f>
        <v>71.580218394666446</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49.587509597744948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116.49991760682337</v>
      </c>
      <c r="D57" t="str">
        <f>Market_currency</f>
        <v>HKD</v>
      </c>
      <c r="E57" s="365"/>
      <c r="F57" s="365"/>
    </row>
    <row r="58" spans="2:6">
      <c r="B58" s="100" t="s">
        <v>147</v>
      </c>
      <c r="C58" s="165">
        <v>0.05</v>
      </c>
      <c r="D58" s="165"/>
      <c r="E58" s="365"/>
      <c r="F58" s="365"/>
    </row>
    <row r="60" spans="2:6" ht="13.15">
      <c r="B60" s="100" t="s">
        <v>120</v>
      </c>
      <c r="C60" s="154">
        <f>C51*C52+C57*C58+C42*(1-C52-C58)</f>
        <v>72.726567915428205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72.693472428018467</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0.16784635372898299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2.0193855505437055</v>
      </c>
      <c r="D77" t="str">
        <f>Market_currency</f>
        <v>HKD</v>
      </c>
    </row>
    <row r="79" spans="2:6" ht="13.15">
      <c r="B79" s="109" t="s">
        <v>301</v>
      </c>
    </row>
    <row r="80" spans="2:6">
      <c r="B80" s="148" t="s">
        <v>299</v>
      </c>
      <c r="C80" s="167">
        <f>Thesis!F29</f>
        <v>0.3674</v>
      </c>
    </row>
    <row r="81" spans="2:8">
      <c r="B81" s="100" t="s">
        <v>121</v>
      </c>
      <c r="C81" s="116">
        <f>PV(C80, C76, -C77, 0)</f>
        <v>3.3466455230292915</v>
      </c>
      <c r="D81" s="116"/>
      <c r="E81" s="100"/>
      <c r="F81" s="100"/>
    </row>
    <row r="82" spans="2:8">
      <c r="B82" s="100" t="s">
        <v>122</v>
      </c>
      <c r="C82" s="116">
        <f>C60/(1+C80)^C76</f>
        <v>28.445028045772744</v>
      </c>
      <c r="D82" s="116"/>
    </row>
    <row r="83" spans="2:8" ht="13.15">
      <c r="B83" s="110" t="s">
        <v>101</v>
      </c>
      <c r="C83" s="111">
        <f>C81+C82</f>
        <v>31.791673568802036</v>
      </c>
      <c r="D83" t="str">
        <f>Market_currency</f>
        <v>HKD</v>
      </c>
      <c r="E83" s="146" t="s">
        <v>126</v>
      </c>
      <c r="F83" s="291">
        <f>(1-C83/C60)</f>
        <v>0.56286025203648093</v>
      </c>
    </row>
    <row r="84" spans="2:8">
      <c r="E84" s="120"/>
    </row>
    <row r="85" spans="2:8" ht="13.15">
      <c r="B85" s="109" t="s">
        <v>302</v>
      </c>
    </row>
    <row r="86" spans="2:8">
      <c r="B86" s="148" t="s">
        <v>300</v>
      </c>
      <c r="C86" s="116">
        <f>Market_Price</f>
        <v>56.2</v>
      </c>
      <c r="D86" t="str">
        <f>Market_currency</f>
        <v>HKD</v>
      </c>
    </row>
    <row r="87" spans="2:8" ht="13.15">
      <c r="B87" s="100" t="s">
        <v>298</v>
      </c>
      <c r="C87" s="237">
        <f ca="1">IRR(OFFSET($I$3, 0, 0, $C$76 + 1, 1))</f>
        <v>0.12284128937562033</v>
      </c>
    </row>
    <row r="88" spans="2:8">
      <c r="B88" s="100"/>
    </row>
    <row r="89" spans="2:8" ht="13.15">
      <c r="B89" s="109" t="s">
        <v>412</v>
      </c>
    </row>
    <row r="90" spans="2:8">
      <c r="B90" s="148" t="s">
        <v>413</v>
      </c>
      <c r="C90" s="167">
        <f>Thesis!F30</f>
        <v>0.21740000000000001</v>
      </c>
    </row>
    <row r="91" spans="2:8">
      <c r="B91" s="100" t="s">
        <v>121</v>
      </c>
      <c r="C91" s="116">
        <f>PV(C90, C76, -C77, 0)</f>
        <v>4.1405497965357627</v>
      </c>
      <c r="D91" s="116"/>
      <c r="E91" s="100"/>
      <c r="F91" s="100"/>
    </row>
    <row r="92" spans="2:8">
      <c r="B92" s="100" t="s">
        <v>122</v>
      </c>
      <c r="C92" s="116">
        <f>C60/(1+C90)^C76</f>
        <v>40.308181064286011</v>
      </c>
      <c r="D92" s="116"/>
    </row>
    <row r="93" spans="2:8" ht="13.15">
      <c r="B93" s="110" t="s">
        <v>101</v>
      </c>
      <c r="C93" s="111">
        <f>C91+C92</f>
        <v>44.448730860821776</v>
      </c>
      <c r="D93" t="str">
        <f>Market_currency</f>
        <v>HKD</v>
      </c>
      <c r="E93" s="146" t="s">
        <v>126</v>
      </c>
      <c r="F93" s="291">
        <f>(1-C93/C60)</f>
        <v>0.38882402765781521</v>
      </c>
    </row>
    <row r="95" spans="2:8" ht="13.15">
      <c r="B95" s="109" t="s">
        <v>397</v>
      </c>
      <c r="G95" s="2"/>
      <c r="H95" s="281"/>
    </row>
    <row r="96" spans="2:8">
      <c r="B96" s="148" t="s">
        <v>403</v>
      </c>
      <c r="C96" s="134">
        <f>Thesis!F31</f>
        <v>7.4999999999999997E-2</v>
      </c>
      <c r="G96" s="2"/>
      <c r="H96" s="281"/>
    </row>
    <row r="97" spans="2:8">
      <c r="B97" s="100" t="s">
        <v>121</v>
      </c>
      <c r="C97" s="116">
        <f>PV(C96, C76, -C77, 0)</f>
        <v>5.2514641029144142</v>
      </c>
      <c r="D97" s="116"/>
      <c r="G97" s="2"/>
      <c r="H97" s="281"/>
    </row>
    <row r="98" spans="2:8">
      <c r="B98" s="100" t="s">
        <v>122</v>
      </c>
      <c r="C98" s="116">
        <f>C60/(1+C96)^C76</f>
        <v>58.542019527681909</v>
      </c>
      <c r="D98" s="116"/>
      <c r="G98" s="2"/>
      <c r="H98" s="281"/>
    </row>
    <row r="99" spans="2:8" ht="13.15">
      <c r="B99" s="110" t="s">
        <v>398</v>
      </c>
      <c r="C99" s="111">
        <f>C97+C98</f>
        <v>63.79348363059632</v>
      </c>
      <c r="D99" t="s">
        <v>396</v>
      </c>
      <c r="E99" s="146" t="s">
        <v>126</v>
      </c>
      <c r="F99" s="291">
        <f>(1-C99/C60)</f>
        <v>0.12283109929262626</v>
      </c>
    </row>
    <row r="100" spans="2:8">
      <c r="B100" s="100"/>
    </row>
    <row r="101" spans="2:8" ht="13.15">
      <c r="B101" s="109" t="s">
        <v>422</v>
      </c>
    </row>
    <row r="102" spans="2:8">
      <c r="B102" s="148" t="s">
        <v>421</v>
      </c>
      <c r="C102" s="134">
        <f>Thesis!F32</f>
        <v>0.1174</v>
      </c>
    </row>
    <row r="103" spans="2:8">
      <c r="B103" s="100" t="s">
        <v>121</v>
      </c>
      <c r="C103" s="116">
        <f>PV(C102, C76, -C77, 0)</f>
        <v>4.8719758917170841</v>
      </c>
      <c r="D103" s="116"/>
    </row>
    <row r="104" spans="2:8">
      <c r="B104" s="100" t="s">
        <v>122</v>
      </c>
      <c r="C104" s="116">
        <f>C60/(1+C102)^C76</f>
        <v>52.127523401680051</v>
      </c>
      <c r="D104" s="116"/>
    </row>
    <row r="105" spans="2:8" ht="13.15">
      <c r="B105" s="110" t="s">
        <v>398</v>
      </c>
      <c r="C105" s="111">
        <f>C103+C104</f>
        <v>56.999499293397136</v>
      </c>
      <c r="D105" t="s">
        <v>396</v>
      </c>
      <c r="E105" s="146" t="s">
        <v>126</v>
      </c>
      <c r="F105" s="291">
        <f>(1-C105/C66)</f>
        <v>0.21589246751366298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