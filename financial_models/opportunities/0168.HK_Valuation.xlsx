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62CA438-965D-4532-8DDC-9319B82176E4}"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<sst xmlns="http://schemas.openxmlformats.org/spreadsheetml/2006/main" count="686" uniqueCount="465">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</sst>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1364196788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51.2</v>
      </c>
      <c r="D12" s="50"/>
      <c r="E12" s="48"/>
    </row>
    <row r="13" spans="1:10">
      <c r="B13" s="1" t="s">
        <v>413</v>
      </c>
      <c r="C13" s="48" t="s">
        <v>393</v>
      </c>
      <c r="D13" s="48"/>
      <c r="E13" s="5"/>
    </row>
    <row r="14" spans="1:10">
      <c r="B14" s="4" t="s">
        <v>417</v>
      </c>
      <c r="C14" s="35">
        <f>Thesis!C12*Common_Shares/1000000</f>
        <v>69846.875545600007</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1.09576228</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73.149283790265514</v>
      </c>
      <c r="D26" s="1" t="s">
        <v>396</v>
      </c>
      <c r="E26" s="301">
        <f ca="1">Scenarios!C87</f>
        <v>0.15783274403317971</v>
      </c>
    </row>
    <row r="27" spans="2:6">
      <c r="D27" s="5"/>
      <c r="E27" s="5"/>
    </row>
    <row r="28" spans="2:6">
      <c r="B28" s="45" t="s">
        <v>430</v>
      </c>
      <c r="C28" s="309" t="str">
        <f>C145&amp;" ("&amp;Market_currency&amp;")"</f>
        <v>0168.HK (HKD)</v>
      </c>
      <c r="D28" s="309" t="str">
        <f>IF(D11="","",D145&amp;" ("&amp;D13&amp;")")</f>
        <v/>
      </c>
      <c r="E28" s="305" t="s">
        <v>426</v>
      </c>
      <c r="F28" s="303">
        <v>3</v>
      </c>
    </row>
    <row r="29" spans="2:6">
      <c r="B29" s="1" t="s">
        <v>422</v>
      </c>
      <c r="C29" s="310">
        <f>C149</f>
        <v>31.604965318428398</v>
      </c>
      <c r="D29" s="310" t="str">
        <f>D149</f>
        <v/>
      </c>
      <c r="E29" s="306" t="s">
        <v>421</v>
      </c>
      <c r="F29" s="302">
        <v>0.3674</v>
      </c>
    </row>
    <row r="30" spans="2:6">
      <c r="B30" s="1" t="s">
        <v>423</v>
      </c>
      <c r="C30" s="311">
        <f>C157</f>
        <v>44.247463194766425</v>
      </c>
      <c r="D30" s="311" t="str">
        <f>D157</f>
        <v/>
      </c>
      <c r="E30" s="307" t="s">
        <v>434</v>
      </c>
      <c r="F30" s="312">
        <v>0.21740000000000001</v>
      </c>
    </row>
    <row r="31" spans="2:6">
      <c r="B31" s="1" t="s">
        <v>424</v>
      </c>
      <c r="C31" s="311">
        <f>C165</f>
        <v>63.58133843003894</v>
      </c>
      <c r="D31" s="311" t="str">
        <f>D165</f>
        <v/>
      </c>
      <c r="E31" s="307" t="s">
        <v>433</v>
      </c>
      <c r="F31" s="312">
        <v>7.4999999999999997E-2</v>
      </c>
    </row>
    <row r="32" spans="2:6">
      <c r="B32" s="1" t="s">
        <v>425</v>
      </c>
      <c r="C32" s="311">
        <f>C173</f>
        <v>56.789989804321031</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3878068070.3077545</v>
      </c>
      <c r="D41" s="1" t="str">
        <f>Reporting_currency</f>
        <v>CNY</v>
      </c>
    </row>
    <row r="42" spans="1:6">
      <c r="B42" s="47"/>
      <c r="C42" s="76"/>
    </row>
    <row r="43" spans="1:6" ht="24.6" customHeight="1">
      <c r="B43" s="361" t="s">
        <v>232</v>
      </c>
      <c r="C43" s="361"/>
      <c r="D43" s="361"/>
      <c r="E43" s="361"/>
      <c r="F43" s="361"/>
    </row>
    <row r="44" spans="1:6">
      <c r="B44" s="47" t="s">
        <v>233</v>
      </c>
      <c r="C44" s="349">
        <f>Normalized_FCF!C9</f>
        <v>1191305772</v>
      </c>
      <c r="D44" s="1" t="str">
        <f>Reporting_currency</f>
        <v>CNY</v>
      </c>
    </row>
    <row r="45" spans="1:6">
      <c r="B45" s="52" t="s">
        <v>234</v>
      </c>
      <c r="C45" s="349">
        <f>Normalized_FCF!C10</f>
        <v>-1191305772</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177039699.64669716</v>
      </c>
      <c r="D51" s="1" t="str">
        <f>Reporting_currency</f>
        <v>CNY</v>
      </c>
      <c r="E51" s="286"/>
      <c r="F51" s="286"/>
    </row>
    <row r="52" spans="2:6">
      <c r="B52" s="47" t="s">
        <v>338</v>
      </c>
      <c r="C52" s="350">
        <f>Normalized_FCF!C47</f>
        <v>-21837054</v>
      </c>
      <c r="D52" s="1" t="str">
        <f>Reporting_currency</f>
        <v>CNY</v>
      </c>
      <c r="E52" s="286"/>
      <c r="F52" s="286"/>
    </row>
    <row r="53" spans="2:6">
      <c r="B53" s="47" t="s">
        <v>237</v>
      </c>
      <c r="C53" s="349">
        <f>Normalized_FCF!C12</f>
        <v>155202645.64669716</v>
      </c>
      <c r="D53" s="1" t="str">
        <f>Reporting_currency</f>
        <v>CNY</v>
      </c>
    </row>
    <row r="55" spans="2:6">
      <c r="B55" s="1" t="s">
        <v>245</v>
      </c>
    </row>
    <row r="56" spans="2:6">
      <c r="B56" s="47" t="s">
        <v>264</v>
      </c>
      <c r="C56" s="349">
        <f>Normalized_FCF!C15</f>
        <v>-146634564.47167698</v>
      </c>
      <c r="D56" s="1" t="str">
        <f>Reporting_currency</f>
        <v>CNY</v>
      </c>
    </row>
    <row r="58" spans="2:6">
      <c r="B58" s="361" t="s">
        <v>240</v>
      </c>
      <c r="C58" s="361"/>
      <c r="D58" s="361"/>
      <c r="E58" s="361"/>
      <c r="F58" s="361"/>
    </row>
    <row r="59" spans="2:6">
      <c r="B59" s="47" t="s">
        <v>238</v>
      </c>
      <c r="C59" s="349">
        <f>Normalized_FCF!C14</f>
        <v>-1008317678.9886129</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3154758363.646697</v>
      </c>
      <c r="D67" s="1" t="str">
        <f>Reporting_currency</f>
        <v>CNY</v>
      </c>
    </row>
    <row r="68" spans="1:6">
      <c r="B68" s="47" t="s">
        <v>247</v>
      </c>
      <c r="C68" s="349">
        <f>Normalized_FCF!C19</f>
        <v>2878318472.4941616</v>
      </c>
      <c r="D68" s="1" t="str">
        <f>Reporting_currency</f>
        <v>CNY</v>
      </c>
    </row>
    <row r="69" spans="1:6">
      <c r="B69" s="227" t="s">
        <v>387</v>
      </c>
      <c r="C69" s="92">
        <f>Normalized_FCF!C126</f>
        <v>4.5155245490218675E-2</v>
      </c>
      <c r="F69" s="314"/>
    </row>
    <row r="70" spans="1:6">
      <c r="B70" s="227" t="s">
        <v>455</v>
      </c>
      <c r="C70" s="92">
        <f>Normalized_FCF!C94</f>
        <v>3.5292212285314289E-2</v>
      </c>
      <c r="E70" s="47" t="s">
        <v>445</v>
      </c>
      <c r="F70" s="315">
        <f>Normalized_FCF!C92</f>
        <v>0.95157826147369062</v>
      </c>
    </row>
    <row r="72" spans="1:6">
      <c r="B72" s="210" t="s">
        <v>448</v>
      </c>
      <c r="C72" s="323" t="s">
        <v>450</v>
      </c>
      <c r="D72" s="323" t="s">
        <v>451</v>
      </c>
    </row>
    <row r="73" spans="1:6">
      <c r="B73" s="47" t="s">
        <v>449</v>
      </c>
      <c r="C73" s="92">
        <f>Normalized_FCF!C121</f>
        <v>0.135074768208723</v>
      </c>
      <c r="D73" s="92">
        <f>Normalized_FCF!G121</f>
        <v>0.15711116747599391</v>
      </c>
    </row>
    <row r="74" spans="1:6">
      <c r="B74" s="259" t="str">
        <f>Normalized_FCF!B118</f>
        <v>Pre-tax Profit/Sales</v>
      </c>
      <c r="C74" s="322">
        <f>Normalized_FCF!C118</f>
        <v>0.12563461298653</v>
      </c>
      <c r="D74" s="322">
        <f>Normalized_FCF!G118</f>
        <v>0.14597337435177335</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30.825980921322625</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285396383</v>
      </c>
      <c r="D102" s="1" t="str">
        <f>Reporting_currency</f>
        <v>CNY</v>
      </c>
    </row>
    <row r="103" spans="2:6">
      <c r="B103" s="47" t="s">
        <v>280</v>
      </c>
      <c r="C103" s="223">
        <f>C102*scaling_factor*Exchange_Rate/Common_Shares</f>
        <v>0.22923862164952793</v>
      </c>
      <c r="D103" s="1" t="str">
        <f>Market_currency</f>
        <v>HKD</v>
      </c>
    </row>
    <row r="104" spans="2:6">
      <c r="B104" s="296" t="s">
        <v>401</v>
      </c>
      <c r="C104" s="325">
        <f>IF(BS!G31/BS!G27&gt;300%,"nm",BS!G31/BS!G27)</f>
        <v>9.5579625064196368E-3</v>
      </c>
    </row>
    <row r="105" spans="2:6">
      <c r="B105" s="296" t="s">
        <v>403</v>
      </c>
      <c r="C105" s="326">
        <f>IF(BS!C50&gt;30,"nm",BS!C50)</f>
        <v>7.3592411949940734E-2</v>
      </c>
    </row>
    <row r="107" spans="2:6">
      <c r="B107" s="1" t="s">
        <v>253</v>
      </c>
    </row>
    <row r="108" spans="2:6">
      <c r="B108" s="47" t="s">
        <v>263</v>
      </c>
      <c r="C108" s="349">
        <f>BS!C66</f>
        <v>17978772896</v>
      </c>
      <c r="D108" s="1" t="str">
        <f>Reporting_currency</f>
        <v>CNY</v>
      </c>
    </row>
    <row r="109" spans="2:6">
      <c r="B109" s="47" t="s">
        <v>265</v>
      </c>
      <c r="C109" s="349">
        <f>DCF!C8</f>
        <v>12818096532.505692</v>
      </c>
      <c r="D109" s="1" t="str">
        <f>Reporting_currency</f>
        <v>CNY</v>
      </c>
    </row>
    <row r="110" spans="2:6">
      <c r="B110" s="47" t="s">
        <v>281</v>
      </c>
      <c r="C110" s="223">
        <f>C109*scaling_factor*Exchange_Rate/Common_Shares</f>
        <v>10.295865527077117</v>
      </c>
      <c r="D110" s="1" t="str">
        <f>Market_currency</f>
        <v>HKD</v>
      </c>
    </row>
    <row r="112" spans="2:6">
      <c r="B112" s="1" t="s">
        <v>255</v>
      </c>
    </row>
    <row r="113" spans="1:6">
      <c r="B113" s="47" t="s">
        <v>256</v>
      </c>
      <c r="C113" s="349">
        <f>DCF!C9</f>
        <v>2755411575.5</v>
      </c>
      <c r="D113" s="1" t="str">
        <f>Reporting_currency</f>
        <v>CNY</v>
      </c>
    </row>
    <row r="114" spans="1:6">
      <c r="B114" s="47" t="s">
        <v>282</v>
      </c>
      <c r="C114" s="223">
        <f>C113*scaling_factor*Exchange_Rate/Common_Shares</f>
        <v>2.2132261979114642</v>
      </c>
      <c r="D114" s="1" t="str">
        <f>Market_currency</f>
        <v>HKD</v>
      </c>
    </row>
    <row r="116" spans="1:6" ht="24.6" customHeight="1">
      <c r="B116" s="360" t="s">
        <v>363</v>
      </c>
      <c r="C116" s="360"/>
      <c r="D116" s="360"/>
      <c r="E116" s="360"/>
      <c r="F116" s="360"/>
    </row>
    <row r="118" spans="1:6">
      <c r="B118" s="47" t="s">
        <v>446</v>
      </c>
      <c r="C118" s="223">
        <f>IF(valuation_method="DCF",DCF!C12,DDM!C7)</f>
        <v>43.105834024661675</v>
      </c>
      <c r="D118" s="1" t="str">
        <f>Market_currency</f>
        <v>HKD</v>
      </c>
    </row>
    <row r="119" spans="1:6">
      <c r="B119" s="296" t="s">
        <v>402</v>
      </c>
      <c r="C119" s="223">
        <f>BS!D47</f>
        <v>1.3619238080260068</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117.18 HKD</v>
      </c>
      <c r="F126" s="232">
        <f>DCF!F74</f>
        <v>0.05</v>
      </c>
    </row>
    <row r="127" spans="1:6">
      <c r="B127" s="218" t="str">
        <f>DCF!B75</f>
        <v>Optimistic</v>
      </c>
      <c r="C127" s="219">
        <f>DCF!C75</f>
        <v>0.08</v>
      </c>
      <c r="D127" s="220">
        <f>DCF!D75</f>
        <v>30</v>
      </c>
      <c r="E127" s="231" t="str">
        <f>ROUND(IF(valuation_method="DCF",DCF!E75,DDM!E70),2)&amp;" "&amp;Market_currency</f>
        <v>90.67 HKD</v>
      </c>
      <c r="F127" s="221">
        <f>DCF!F75</f>
        <v>0.18</v>
      </c>
    </row>
    <row r="128" spans="1:6">
      <c r="B128" s="218" t="str">
        <f>DCF!B76</f>
        <v>Base</v>
      </c>
      <c r="C128" s="219">
        <f>DCF!C76</f>
        <v>0.06</v>
      </c>
      <c r="D128" s="220">
        <f>DCF!D76</f>
        <v>30</v>
      </c>
      <c r="E128" s="231" t="str">
        <f>ROUND(IF(valuation_method="DCF",DCF!E76,DDM!E71),2)&amp;" "&amp;Market_currency</f>
        <v>72.21 HKD</v>
      </c>
      <c r="F128" s="221">
        <f>DCF!F76</f>
        <v>0.44999999999999996</v>
      </c>
    </row>
    <row r="129" spans="1:6">
      <c r="B129" s="218" t="str">
        <f>DCF!B77</f>
        <v>Pessimistic</v>
      </c>
      <c r="C129" s="219">
        <f>DCF!C77</f>
        <v>0.04</v>
      </c>
      <c r="D129" s="220">
        <f>DCF!D77</f>
        <v>30</v>
      </c>
      <c r="E129" s="231" t="str">
        <f>ROUND(IF(valuation_method="DCF",DCF!E77,DDM!E72),2)&amp;" "&amp;Market_currency</f>
        <v>59.19 HKD</v>
      </c>
      <c r="F129" s="221">
        <f>DCF!F77</f>
        <v>0.26999999999999996</v>
      </c>
    </row>
    <row r="130" spans="1:6">
      <c r="B130" s="218" t="str">
        <f>DCF!B78</f>
        <v>Devil's advocate</v>
      </c>
      <c r="C130" s="219">
        <f>DCF!C78</f>
        <v>0.02</v>
      </c>
      <c r="D130" s="220">
        <f>DCF!D78</f>
        <v>30</v>
      </c>
      <c r="E130" s="231" t="str">
        <f>ROUND(IF(valuation_method="DCF",DCF!E78,DDM!E73),2)&amp;" "&amp;Market_currency</f>
        <v>49.88 HKD</v>
      </c>
      <c r="F130" s="221">
        <f>DCF!F78</f>
        <v>0.05</v>
      </c>
    </row>
    <row r="132" spans="1:6">
      <c r="B132" s="211" t="s">
        <v>257</v>
      </c>
      <c r="C132" s="217">
        <f>Scenarios!C60</f>
        <v>73.149283790265514</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1.8069612690080918</v>
      </c>
      <c r="D143" s="212" t="str">
        <f>Market_currency</f>
        <v>HKD</v>
      </c>
    </row>
    <row r="145" spans="2:4">
      <c r="B145" s="210" t="s">
        <v>405</v>
      </c>
      <c r="C145" s="241" t="str">
        <f>C11</f>
        <v>0168.HK</v>
      </c>
      <c r="D145" s="241" t="str">
        <f>IF(D11="","",D11)</f>
        <v/>
      </c>
    </row>
    <row r="146" spans="2:4">
      <c r="B146" s="1" t="s">
        <v>404</v>
      </c>
      <c r="C146" s="297">
        <f>F29</f>
        <v>0.3674</v>
      </c>
    </row>
    <row r="147" spans="2:4">
      <c r="B147" s="212" t="str">
        <f>"PV("&amp;C141&amp;" yrs of Dividends)"</f>
        <v>PV(3 yrs of Dividends)</v>
      </c>
      <c r="C147" s="216">
        <f>Scenarios!C81</f>
        <v>2.9946034027950117</v>
      </c>
    </row>
    <row r="148" spans="2:4">
      <c r="B148" s="212" t="str">
        <f>"+ PV(Equity Value realized at year "&amp;C141&amp;")"</f>
        <v>+ PV(Equity Value realized at year 3)</v>
      </c>
      <c r="C148" s="216">
        <f>Scenarios!C82</f>
        <v>28.610361915633387</v>
      </c>
    </row>
    <row r="149" spans="2:4">
      <c r="B149" s="80" t="s">
        <v>259</v>
      </c>
      <c r="C149" s="215">
        <f>Scenarios!C83</f>
        <v>31.604965318428398</v>
      </c>
      <c r="D149" s="300" t="str">
        <f>IF($D$11="","",C149*$E$25)</f>
        <v/>
      </c>
    </row>
    <row r="150" spans="2:4">
      <c r="B150" s="259" t="s">
        <v>413</v>
      </c>
      <c r="C150" s="298" t="str">
        <f>Market_currency</f>
        <v>HKD</v>
      </c>
      <c r="D150" s="298" t="str">
        <f>IF($D$11="","",D$13)</f>
        <v/>
      </c>
    </row>
    <row r="151" spans="2:4">
      <c r="B151" s="214" t="s">
        <v>261</v>
      </c>
      <c r="C151" s="92">
        <f>Scenarios!F83</f>
        <v>0.56793882754824332</v>
      </c>
    </row>
    <row r="153" spans="2:4">
      <c r="B153" s="210" t="s">
        <v>408</v>
      </c>
    </row>
    <row r="154" spans="2:4">
      <c r="B154" s="1" t="s">
        <v>407</v>
      </c>
      <c r="C154" s="297">
        <f>Scenarios!C90</f>
        <v>0.21740000000000001</v>
      </c>
    </row>
    <row r="155" spans="2:4">
      <c r="B155" s="212" t="str">
        <f>"PV("&amp;C141&amp;" yrs of Dividends)"</f>
        <v>PV(3 yrs of Dividends)</v>
      </c>
      <c r="C155" s="216">
        <f>Scenarios!C91</f>
        <v>3.7049948746662231</v>
      </c>
    </row>
    <row r="156" spans="2:4">
      <c r="B156" s="212" t="str">
        <f>"+ PV(Equity Value realized at year "&amp;C141&amp;")"</f>
        <v>+ PV(Equity Value realized at year 3)</v>
      </c>
      <c r="C156" s="216">
        <f>Scenarios!C92</f>
        <v>40.542468320100205</v>
      </c>
    </row>
    <row r="157" spans="2:4">
      <c r="B157" s="80" t="s">
        <v>259</v>
      </c>
      <c r="C157" s="215">
        <f>Scenarios!C93</f>
        <v>44.247463194766425</v>
      </c>
      <c r="D157" s="300" t="str">
        <f>IF($D$11="","",C157*$E$25)</f>
        <v/>
      </c>
    </row>
    <row r="158" spans="2:4">
      <c r="B158" s="259" t="s">
        <v>413</v>
      </c>
      <c r="C158" s="298" t="str">
        <f>Market_currency</f>
        <v>HKD</v>
      </c>
      <c r="D158" s="298" t="str">
        <f>IF($D$11="","",D$13)</f>
        <v/>
      </c>
    </row>
    <row r="159" spans="2:4">
      <c r="B159" s="214" t="s">
        <v>261</v>
      </c>
      <c r="C159" s="92">
        <f>Scenarios!F93</f>
        <v>0.39510736261433166</v>
      </c>
    </row>
    <row r="161" spans="2:4">
      <c r="B161" s="210" t="s">
        <v>397</v>
      </c>
    </row>
    <row r="162" spans="2:4">
      <c r="B162" s="1" t="s">
        <v>406</v>
      </c>
      <c r="C162" s="92">
        <f>Scenarios!C96</f>
        <v>7.4999999999999997E-2</v>
      </c>
    </row>
    <row r="163" spans="2:4">
      <c r="B163" s="212" t="str">
        <f>"PV("&amp;C141&amp;" yrs of Dividends)"</f>
        <v>PV(3 yrs of Dividends)</v>
      </c>
      <c r="C163" s="216">
        <f>Scenarios!C97</f>
        <v>4.6990492910072437</v>
      </c>
    </row>
    <row r="164" spans="2:4">
      <c r="B164" s="212" t="str">
        <f>"+ PV(Equity Value realized at year "&amp;C141&amp;")"</f>
        <v>+ PV(Equity Value realized at year 3)</v>
      </c>
      <c r="C164" s="216">
        <f>Scenarios!C98</f>
        <v>58.882289139031698</v>
      </c>
    </row>
    <row r="165" spans="2:4">
      <c r="B165" s="80" t="s">
        <v>398</v>
      </c>
      <c r="C165" s="215">
        <f>Scenarios!C99</f>
        <v>63.58133843003894</v>
      </c>
      <c r="D165" s="300" t="str">
        <f>IF($D$11="","",C165*$E$25)</f>
        <v/>
      </c>
    </row>
    <row r="166" spans="2:4">
      <c r="B166" s="259" t="s">
        <v>413</v>
      </c>
      <c r="C166" s="298" t="str">
        <f>Market_currency</f>
        <v>HKD</v>
      </c>
      <c r="D166" s="298" t="str">
        <f>IF($D$11="","",D$13)</f>
        <v/>
      </c>
    </row>
    <row r="167" spans="2:4">
      <c r="B167" s="214" t="s">
        <v>261</v>
      </c>
      <c r="C167" s="92">
        <f>Scenarios!F99</f>
        <v>0.13080026029591618</v>
      </c>
    </row>
    <row r="169" spans="2:4">
      <c r="B169" s="210" t="s">
        <v>429</v>
      </c>
    </row>
    <row r="170" spans="2:4">
      <c r="B170" s="1" t="s">
        <v>420</v>
      </c>
      <c r="C170" s="92">
        <f>F32</f>
        <v>0.1174</v>
      </c>
    </row>
    <row r="171" spans="2:4">
      <c r="B171" s="212" t="str">
        <f>"PV("&amp;C141&amp;" yrs of Dividends)"</f>
        <v>PV(3 yrs of Dividends)</v>
      </c>
      <c r="C171" s="216">
        <f>Scenarios!C103</f>
        <v>4.3594804060589905</v>
      </c>
    </row>
    <row r="172" spans="2:4">
      <c r="B172" s="212" t="str">
        <f>"+ PV(Equity Value realized at year "&amp;C141&amp;")"</f>
        <v>+ PV(Equity Value realized at year 3)</v>
      </c>
      <c r="C172" s="216">
        <f>Scenarios!C104</f>
        <v>52.430509398262039</v>
      </c>
    </row>
    <row r="173" spans="2:4">
      <c r="B173" s="80" t="s">
        <v>398</v>
      </c>
      <c r="C173" s="215">
        <f>Scenarios!C105</f>
        <v>56.789989804321031</v>
      </c>
      <c r="D173" s="300" t="str">
        <f>IF($D$11="","",C173*$E$25)</f>
        <v/>
      </c>
    </row>
    <row r="174" spans="2:4">
      <c r="B174" s="259" t="s">
        <v>413</v>
      </c>
      <c r="C174" s="298" t="str">
        <f>Market_currency</f>
        <v>HKD</v>
      </c>
      <c r="D174" s="298" t="str">
        <f>IF($D$11="","",D$13)</f>
        <v/>
      </c>
    </row>
    <row r="175" spans="2:4">
      <c r="B175" s="214" t="s">
        <v>261</v>
      </c>
      <c r="C175" s="92">
        <f>Scenarios!F105</f>
        <v>0.22328912818006419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158</v>
      </c>
      <c r="C9" s="351">
        <v>48272283</v>
      </c>
      <c r="D9" s="351">
        <v>15798284</v>
      </c>
      <c r="E9" s="351">
        <v>19873379</v>
      </c>
      <c r="F9" s="351">
        <v>20561728</v>
      </c>
      <c r="G9" s="351">
        <v>18098320</v>
      </c>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368</v>
      </c>
      <c r="C22" s="351">
        <v>5154661132</v>
      </c>
      <c r="D22" s="351">
        <v>2777567140</v>
      </c>
      <c r="E22" s="351">
        <v>4878771322</v>
      </c>
      <c r="F22" s="351">
        <v>6043111455</v>
      </c>
      <c r="G22" s="351">
        <v>4953422362</v>
      </c>
      <c r="H22" s="351"/>
      <c r="I22" s="351"/>
      <c r="J22" s="351"/>
      <c r="K22" s="351"/>
      <c r="L22" s="351"/>
      <c r="M22" s="351"/>
    </row>
    <row r="23" spans="2:13">
      <c r="B23" s="27" t="s">
        <v>370</v>
      </c>
      <c r="C23" s="351">
        <v>-7421783375</v>
      </c>
      <c r="D23" s="351">
        <v>-3462971412</v>
      </c>
      <c r="E23" s="351">
        <v>-2199108158</v>
      </c>
      <c r="F23" s="351">
        <v>-10249763562</v>
      </c>
      <c r="G23" s="351">
        <v>-1487738165</v>
      </c>
      <c r="H23" s="351"/>
      <c r="I23" s="351"/>
      <c r="J23" s="351"/>
      <c r="K23" s="351"/>
      <c r="L23" s="351"/>
      <c r="M23" s="351"/>
    </row>
    <row r="24" spans="2:13">
      <c r="B24" s="27" t="s">
        <v>369</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2.0077347433423243</v>
      </c>
      <c r="D25" s="39">
        <f>2/Exchange_Rate</f>
        <v>1.8252134030384766</v>
      </c>
      <c r="E25" s="39">
        <f>1.3/Exchange_Rate</f>
        <v>1.1863887119750098</v>
      </c>
      <c r="F25" s="39">
        <f>1.1/Exchange_Rate</f>
        <v>1.0038673716711621</v>
      </c>
      <c r="G25" s="39">
        <f>0.75/Exchange_Rate</f>
        <v>0.68445502613942877</v>
      </c>
      <c r="H25" s="39"/>
      <c r="I25" s="39"/>
      <c r="J25" s="39"/>
      <c r="K25" s="39"/>
      <c r="L25" s="39"/>
      <c r="M25" s="39"/>
    </row>
    <row r="27" spans="2:13">
      <c r="B27" s="16" t="s">
        <v>28</v>
      </c>
      <c r="C27" s="97" t="s">
        <v>463</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171</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2.0077347433423243</v>
      </c>
      <c r="D65" s="73">
        <f t="shared" ref="D65:M65" si="33">IF(D$4="","",D25)</f>
        <v>1.8252134030384766</v>
      </c>
      <c r="E65" s="73">
        <f t="shared" si="33"/>
        <v>1.1863887119750098</v>
      </c>
      <c r="F65" s="73">
        <f t="shared" si="33"/>
        <v>1.0038673716711621</v>
      </c>
      <c r="G65" s="73">
        <f t="shared" si="33"/>
        <v>0.68445502613942877</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176</v>
      </c>
      <c r="G6" s="19">
        <v>0</v>
      </c>
      <c r="H6" s="261">
        <v>0.6</v>
      </c>
    </row>
    <row r="7" spans="2:8" ht="15" customHeight="1">
      <c r="B7" s="1" t="s">
        <v>69</v>
      </c>
      <c r="C7" s="19">
        <v>0</v>
      </c>
      <c r="D7" s="261">
        <v>0.6</v>
      </c>
      <c r="E7" s="25"/>
      <c r="F7" s="4" t="s">
        <v>177</v>
      </c>
      <c r="G7" s="19">
        <v>2021804089</v>
      </c>
      <c r="H7" s="261">
        <v>0.6</v>
      </c>
    </row>
    <row r="8" spans="2:8" ht="15" customHeight="1">
      <c r="B8" s="1" t="s">
        <v>172</v>
      </c>
      <c r="C8" s="19">
        <v>0</v>
      </c>
      <c r="D8" s="261">
        <v>0.6</v>
      </c>
      <c r="E8" s="25"/>
      <c r="F8" s="1" t="s">
        <v>178</v>
      </c>
      <c r="G8" s="19">
        <v>0</v>
      </c>
      <c r="H8" s="261">
        <v>0.6</v>
      </c>
    </row>
    <row r="9" spans="2:8" ht="15" customHeight="1">
      <c r="B9" s="4" t="s">
        <v>25</v>
      </c>
      <c r="C9" s="19">
        <v>241896760</v>
      </c>
      <c r="D9" s="261">
        <v>0.1</v>
      </c>
      <c r="E9" s="25"/>
      <c r="F9" s="4" t="s">
        <v>179</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2498379750</v>
      </c>
      <c r="H17" s="261">
        <v>0.6</v>
      </c>
    </row>
    <row r="18" spans="2:8" ht="15" customHeight="1">
      <c r="B18" s="4" t="s">
        <v>172</v>
      </c>
      <c r="C18" s="19">
        <v>0</v>
      </c>
      <c r="D18" s="261">
        <v>0.6</v>
      </c>
      <c r="F18" s="4" t="s">
        <v>180</v>
      </c>
      <c r="G18" s="19">
        <v>0</v>
      </c>
      <c r="H18" s="261">
        <v>0.1</v>
      </c>
    </row>
    <row r="19" spans="2:8" ht="15" customHeight="1">
      <c r="B19" s="4" t="s">
        <v>26</v>
      </c>
      <c r="C19" s="19">
        <f>11817650634+630874619+115672625+85702449</f>
        <v>12649900327</v>
      </c>
      <c r="D19" s="261">
        <v>0.1</v>
      </c>
      <c r="F19" s="4" t="s">
        <v>181</v>
      </c>
      <c r="G19" s="19">
        <v>391873803</v>
      </c>
      <c r="H19" s="261">
        <v>0.1</v>
      </c>
    </row>
    <row r="20" spans="2:8" ht="15" customHeight="1">
      <c r="B20" s="4" t="s">
        <v>18</v>
      </c>
      <c r="C20" s="19">
        <v>0</v>
      </c>
      <c r="D20" s="261">
        <v>0.05</v>
      </c>
      <c r="F20" s="4" t="s">
        <v>178</v>
      </c>
      <c r="G20" s="19">
        <v>0</v>
      </c>
      <c r="H20" s="261">
        <v>0.2</v>
      </c>
    </row>
    <row r="21" spans="2:8" ht="15" customHeight="1">
      <c r="B21" s="4" t="s">
        <v>19</v>
      </c>
      <c r="C21" s="19">
        <v>2684120584</v>
      </c>
      <c r="D21" s="261">
        <v>0.05</v>
      </c>
      <c r="F21" s="1" t="s">
        <v>179</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243</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202</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28488416376</v>
      </c>
      <c r="H35" s="200">
        <f>D12+D24</f>
        <v>5119255394.3000002</v>
      </c>
    </row>
    <row r="36" spans="2:8" ht="15" customHeight="1">
      <c r="B36" s="4" t="s">
        <v>13</v>
      </c>
      <c r="C36" s="19">
        <v>0</v>
      </c>
      <c r="F36" s="190" t="s">
        <v>196</v>
      </c>
      <c r="G36" s="191">
        <f>C4+C15</f>
        <v>185704725</v>
      </c>
      <c r="H36" s="195"/>
    </row>
    <row r="37" spans="2:8" ht="15" customHeight="1">
      <c r="B37" s="4" t="s">
        <v>14</v>
      </c>
      <c r="C37" s="19">
        <v>68236710</v>
      </c>
      <c r="F37" s="190" t="s">
        <v>197</v>
      </c>
      <c r="G37" s="191">
        <f>C6</f>
        <v>3576387537</v>
      </c>
      <c r="H37" s="195"/>
    </row>
    <row r="38" spans="2:8" ht="15" customHeight="1">
      <c r="B38" s="4" t="s">
        <v>15</v>
      </c>
      <c r="C38" s="19">
        <v>0</v>
      </c>
      <c r="F38" s="190" t="s">
        <v>198</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203</v>
      </c>
      <c r="C40" s="81">
        <f>SUM(C36:C39)</f>
        <v>68236710</v>
      </c>
      <c r="F40" s="199" t="s">
        <v>137</v>
      </c>
      <c r="G40" s="193">
        <f>G12+G24</f>
        <v>22931969456</v>
      </c>
      <c r="H40" s="200">
        <f>H12+H24</f>
        <v>18936307181.899998</v>
      </c>
    </row>
    <row r="41" spans="2:8" ht="15" customHeight="1">
      <c r="B41" s="4" t="s">
        <v>17</v>
      </c>
      <c r="C41" s="21">
        <f>C42-C40</f>
        <v>3970275812</v>
      </c>
      <c r="F41" s="190" t="s">
        <v>190</v>
      </c>
      <c r="G41" s="191">
        <f>C70</f>
        <v>17978772896</v>
      </c>
      <c r="H41" s="200">
        <f>H40-H42</f>
        <v>16180895606.399998</v>
      </c>
    </row>
    <row r="42" spans="2:8" ht="15" customHeight="1">
      <c r="B42" s="83" t="s">
        <v>22</v>
      </c>
      <c r="C42" s="84">
        <v>4038512522</v>
      </c>
      <c r="F42" s="201" t="s">
        <v>191</v>
      </c>
      <c r="G42" s="202">
        <f>C82</f>
        <v>4953196560</v>
      </c>
      <c r="H42" s="203">
        <f>D82</f>
        <v>2755411575.5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29060384527</v>
      </c>
      <c r="D46" s="76">
        <f>H29</f>
        <v>1695561271.1999969</v>
      </c>
      <c r="F46" s="253"/>
    </row>
    <row r="47" spans="2:8" ht="15" customHeight="1">
      <c r="B47" s="1" t="str">
        <f>"Equity per share ("&amp;Market_currency&amp;")"</f>
        <v>Equity per share (HKD)</v>
      </c>
      <c r="C47" s="147">
        <f>C46*H1/Common_Shares*Exchange_Rate</f>
        <v>23.342140581980495</v>
      </c>
      <c r="D47" s="147">
        <f>D46*H1/Common_Shares*Exchange_Rate</f>
        <v>1.3619238080260068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175</v>
      </c>
      <c r="C51" s="181"/>
      <c r="D51" s="92">
        <f>G29/G32</f>
        <v>0.56515298469260233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0.1361278920921285</v>
      </c>
      <c r="D54" s="92">
        <f>Normalized_FCF!G8/G35</f>
        <v>0.15753043334415495</v>
      </c>
      <c r="F54" s="253"/>
    </row>
    <row r="55" spans="2:8" ht="15" customHeight="1">
      <c r="B55" s="1" t="s">
        <v>140</v>
      </c>
      <c r="C55" s="92">
        <f>Normalized_FCF!C11/G40</f>
        <v>0</v>
      </c>
      <c r="D55" s="92">
        <f>Normalized_FCF!G11/G40</f>
        <v>2.1050212495974641E-3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273</v>
      </c>
      <c r="C61" s="235" t="s">
        <v>136</v>
      </c>
      <c r="D61" s="197" t="s">
        <v>95</v>
      </c>
      <c r="F61" s="253"/>
    </row>
    <row r="62" spans="2:8" ht="15" customHeight="1">
      <c r="B62" s="1" t="s">
        <v>244</v>
      </c>
      <c r="C62" s="92">
        <f>IF(G28&lt;=0,0,G28/G29)</f>
        <v>2.749989365273205E-2</v>
      </c>
      <c r="D62" s="92">
        <f>G28/G29</f>
        <v>2.749989365273205E-2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17978772896</v>
      </c>
      <c r="D66" s="76">
        <f>C66-D75</f>
        <v>12818096532.505692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17978772896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-2532415235.1686335</v>
      </c>
      <c r="D73" s="349">
        <f>(Normalized_FCF!C25+Normalized_FCF!C35-Normalized_FCF!C91)/12</f>
        <v>-2580338181.7471538</v>
      </c>
      <c r="F73" s="1" t="s">
        <v>348</v>
      </c>
    </row>
    <row r="74" spans="2:6" ht="15" customHeight="1">
      <c r="B74" s="257" t="s">
        <v>318</v>
      </c>
      <c r="C74" s="258">
        <f>-$C$66/C73</f>
        <v>7.0994569319919583</v>
      </c>
      <c r="D74" s="258">
        <f>-$C$66/D73</f>
        <v>6.9676033254782617</v>
      </c>
      <c r="F74" s="253" t="s">
        <v>316</v>
      </c>
    </row>
    <row r="75" spans="2:6" ht="15" customHeight="1">
      <c r="B75" s="80" t="s">
        <v>317</v>
      </c>
      <c r="C75" s="320"/>
      <c r="D75" s="321">
        <f>MAX(-D73*D76,G5)</f>
        <v>5160676363.4943075</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4520183839</v>
      </c>
      <c r="D79" s="76">
        <f>G7*H7+G17*H17</f>
        <v>2712110303.3999996</v>
      </c>
      <c r="F79" s="253"/>
    </row>
    <row r="80" spans="2:6" ht="15" customHeight="1">
      <c r="B80" s="105" t="s">
        <v>181</v>
      </c>
      <c r="C80" s="20">
        <f>G19</f>
        <v>391873803</v>
      </c>
      <c r="D80" s="76">
        <f>G19*H19</f>
        <v>39187380.300000004</v>
      </c>
      <c r="F80" s="253"/>
    </row>
    <row r="81" spans="2:8" ht="15" customHeight="1">
      <c r="B81" s="105" t="s">
        <v>179</v>
      </c>
      <c r="C81" s="20">
        <f>G9+G21</f>
        <v>41138918</v>
      </c>
      <c r="D81" s="76">
        <f>G9*H9+G21*H21</f>
        <v>4113891.8000000003</v>
      </c>
      <c r="F81" s="253"/>
    </row>
    <row r="82" spans="2:8" ht="15" customHeight="1">
      <c r="B82" s="80" t="s">
        <v>188</v>
      </c>
      <c r="C82" s="81">
        <f>SUM(C79:C81)</f>
        <v>4953196560</v>
      </c>
      <c r="D82" s="81">
        <f>SUM(D79:D81)</f>
        <v>2755411575.5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-312726591.33983326</v>
      </c>
      <c r="D86" s="223">
        <f>C86*scaling_factor/Common_Shares</f>
        <v>-0.22923862164952793</v>
      </c>
      <c r="E86" s="240" t="str">
        <f>Market_currency</f>
        <v>HKD</v>
      </c>
    </row>
    <row r="87" spans="2:8" ht="15" customHeight="1">
      <c r="B87" s="238" t="s">
        <v>286</v>
      </c>
      <c r="C87" s="76">
        <f>DCF!C8*Exchange_Rate</f>
        <v>14045586681.718531</v>
      </c>
      <c r="D87" s="223">
        <f>C87*scaling_factor/Common_Shares</f>
        <v>10.295865527077117</v>
      </c>
      <c r="E87" s="240" t="str">
        <f>Market_currency</f>
        <v>HKD</v>
      </c>
    </row>
    <row r="88" spans="2:8" ht="15" customHeight="1">
      <c r="B88" s="239" t="s">
        <v>188</v>
      </c>
      <c r="C88" s="76">
        <f>DCF!C9*Exchange_Rate</f>
        <v>3019276070.3082719</v>
      </c>
      <c r="D88" s="223">
        <f>C88*scaling_factor/Common_Shares</f>
        <v>2.2132261979114642</v>
      </c>
      <c r="E88" s="240" t="str">
        <f>Market_currency</f>
        <v>HKD</v>
      </c>
    </row>
    <row r="89" spans="2:8" ht="15" customHeight="1">
      <c r="B89" s="80" t="s">
        <v>290</v>
      </c>
      <c r="C89" s="180">
        <f>SUM(C86:C88)</f>
        <v>16752136160.686968</v>
      </c>
      <c r="D89" s="242">
        <f>SUM(D86:D88)</f>
        <v>12.279853103339052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155202645.64669716</v>
      </c>
      <c r="E12" s="268"/>
      <c r="G12" s="328">
        <f>G50</f>
        <v>155202645.64669716</v>
      </c>
      <c r="H12" s="328">
        <f t="shared" ref="H12:Q12" si="6">H50</f>
        <v>128920969.02126271</v>
      </c>
      <c r="I12" s="328">
        <f t="shared" si="6"/>
        <v>122704744.52436078</v>
      </c>
      <c r="J12" s="328">
        <f t="shared" si="6"/>
        <v>67919190.192794442</v>
      </c>
      <c r="K12" s="328">
        <f t="shared" si="6"/>
        <v>136756139.3711291</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4033270715.9544516</v>
      </c>
      <c r="E13" s="268"/>
      <c r="G13" s="329">
        <f>IF(G$4="","",SUM(G8:G12))</f>
        <v>4691267505.646697</v>
      </c>
      <c r="H13" s="329">
        <f t="shared" ref="H13:Q13" si="7">IF(H$4="","",SUM(H8:H12))</f>
        <v>4549588761.0212631</v>
      </c>
      <c r="I13" s="329">
        <f t="shared" si="7"/>
        <v>3869657952.5243607</v>
      </c>
      <c r="J13" s="329">
        <f t="shared" si="7"/>
        <v>3025010190.1927943</v>
      </c>
      <c r="K13" s="329">
        <f t="shared" si="7"/>
        <v>2470816011.371129</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-1008317678.9886129</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2878318472.4941616</v>
      </c>
      <c r="D16" s="61"/>
      <c r="E16" s="276"/>
      <c r="F16" s="61"/>
      <c r="G16" s="329">
        <f>IF(G$4="","",SUM(G13:G15))</f>
        <v>3154758363.646697</v>
      </c>
      <c r="H16" s="329">
        <f t="shared" ref="H16:Q16" si="8">IF(H$4="","",SUM(H13:H15))</f>
        <v>3071032865.0212631</v>
      </c>
      <c r="I16" s="329">
        <f t="shared" si="8"/>
        <v>2574145259.5243607</v>
      </c>
      <c r="J16" s="329">
        <f t="shared" si="8"/>
        <v>1701490535.1927943</v>
      </c>
      <c r="K16" s="329">
        <f t="shared" si="8"/>
        <v>1432590243.371129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2878318472.4941616</v>
      </c>
      <c r="D19" s="27"/>
      <c r="E19" s="265"/>
      <c r="F19" s="27"/>
      <c r="G19" s="334">
        <f>IF(G$4="","",G16+G17)</f>
        <v>3154758363.646697</v>
      </c>
      <c r="H19" s="334">
        <f t="shared" ref="H19:Q19" si="9">IF(H$4="","",H16+H17)</f>
        <v>3071032865.0212631</v>
      </c>
      <c r="I19" s="334">
        <f t="shared" si="9"/>
        <v>2574145259.5243607</v>
      </c>
      <c r="J19" s="334">
        <f t="shared" si="9"/>
        <v>1701490535.1927943</v>
      </c>
      <c r="K19" s="334">
        <f t="shared" si="9"/>
        <v>1432590243.371129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0.69237393830888427</v>
      </c>
      <c r="D28" s="26"/>
      <c r="E28" s="266" t="s">
        <v>330</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330</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-1522888768.25</v>
      </c>
      <c r="E33" s="266" t="s">
        <v>330</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330</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0.29623471957786512</v>
      </c>
      <c r="H43" s="6">
        <f t="shared" si="18"/>
        <v>0.30732632144232286</v>
      </c>
      <c r="I43" s="6">
        <f t="shared" si="18"/>
        <v>0.31047183568673226</v>
      </c>
      <c r="J43" s="6">
        <f t="shared" si="18"/>
        <v>0.40420743009863086</v>
      </c>
      <c r="K43" s="6">
        <f t="shared" si="18"/>
        <v>0.36934377744038577</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177039699.64669716</v>
      </c>
      <c r="E48" s="268"/>
      <c r="G48" s="337">
        <f>IFERROR(IF(G$4="","",($C$48/$C$49)*G49),0)</f>
        <v>177039699.64669716</v>
      </c>
      <c r="H48" s="337">
        <f t="shared" ref="H48:Q48" si="19">IFERROR(IF(H$4="","",($C$48/$C$49)*H49),0)</f>
        <v>145351559.02126271</v>
      </c>
      <c r="I48" s="337">
        <f t="shared" si="19"/>
        <v>131942544.52436078</v>
      </c>
      <c r="J48" s="337">
        <f t="shared" si="19"/>
        <v>90604557.192794442</v>
      </c>
      <c r="K48" s="337">
        <f t="shared" si="19"/>
        <v>150418821.3711291</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155202645.64669716</v>
      </c>
      <c r="E50" s="268"/>
      <c r="G50" s="329">
        <f>IF(G$4="","",(G47+G48))</f>
        <v>155202645.64669716</v>
      </c>
      <c r="H50" s="329">
        <f t="shared" ref="H50:Q50" si="20">IF(H$4="","",(H47+H48))</f>
        <v>128920969.02126271</v>
      </c>
      <c r="I50" s="329">
        <f t="shared" si="20"/>
        <v>122704744.52436078</v>
      </c>
      <c r="J50" s="329">
        <f t="shared" si="20"/>
        <v>67919190.192794442</v>
      </c>
      <c r="K50" s="329">
        <f t="shared" si="20"/>
        <v>136756139.3711291</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3.430552260533988E-2</v>
      </c>
      <c r="E53" s="265" t="s">
        <v>332</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333</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4.8344943083479747E-3</v>
      </c>
      <c r="D80" s="27"/>
      <c r="E80" s="265"/>
      <c r="F80" s="27"/>
      <c r="G80" s="6">
        <f t="shared" ref="G80:Q80" si="31">IF(G$4="","",ABS(G12/G$4))</f>
        <v>4.8292820364861863E-3</v>
      </c>
      <c r="H80" s="6">
        <f t="shared" si="31"/>
        <v>3.7988856432102395E-3</v>
      </c>
      <c r="I80" s="6">
        <f t="shared" si="31"/>
        <v>3.814074389740703E-3</v>
      </c>
      <c r="J80" s="6">
        <f t="shared" si="31"/>
        <v>2.25145451578303E-3</v>
      </c>
      <c r="K80" s="6">
        <f t="shared" si="31"/>
        <v>4.9264251971385641E-3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0.12563461298653</v>
      </c>
      <c r="D81" s="27"/>
      <c r="E81" s="265"/>
      <c r="F81" s="27"/>
      <c r="G81" s="65">
        <f t="shared" ref="G81:Q81" si="32">IF(G$4="","",G13/G$4)</f>
        <v>0.14597337435177335</v>
      </c>
      <c r="H81" s="65">
        <f t="shared" si="32"/>
        <v>0.13406172446550432</v>
      </c>
      <c r="I81" s="65">
        <f t="shared" si="32"/>
        <v>0.12028192838826576</v>
      </c>
      <c r="J81" s="65">
        <f t="shared" si="32"/>
        <v>0.10027611980747372</v>
      </c>
      <c r="K81" s="65">
        <f t="shared" si="32"/>
        <v>8.9007267329175965E-2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3.1408653246632501E-2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8.9658357400442854E-2</v>
      </c>
      <c r="D84" s="27"/>
      <c r="E84" s="265"/>
      <c r="F84" s="27"/>
      <c r="G84" s="65">
        <f t="shared" ref="G84:Q84" si="35">IF(G$4="","",ABS(G16/G$4))</f>
        <v>9.8163390395386393E-2</v>
      </c>
      <c r="H84" s="65">
        <f t="shared" si="35"/>
        <v>9.0493445320225213E-2</v>
      </c>
      <c r="I84" s="65">
        <f t="shared" si="35"/>
        <v>8.0013055305087399E-2</v>
      </c>
      <c r="J84" s="65">
        <f t="shared" si="35"/>
        <v>5.6402741819326266E-2</v>
      </c>
      <c r="K84" s="65">
        <f t="shared" si="35"/>
        <v>5.1606814177209311E-2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8.9658357400442854E-2</v>
      </c>
      <c r="D87" s="75"/>
      <c r="E87" s="265"/>
      <c r="F87" s="75"/>
      <c r="G87" s="65">
        <f t="shared" ref="G87:Q87" si="36">IF(G$4="","",ABS(G19/G$4))</f>
        <v>9.8163390395386393E-2</v>
      </c>
      <c r="H87" s="65">
        <f t="shared" si="36"/>
        <v>9.0493445320225213E-2</v>
      </c>
      <c r="I87" s="65">
        <f t="shared" si="36"/>
        <v>8.0013055305087399E-2</v>
      </c>
      <c r="J87" s="65">
        <f t="shared" si="36"/>
        <v>5.6402741819326266E-2</v>
      </c>
      <c r="K87" s="65">
        <f t="shared" si="36"/>
        <v>5.1606814177209311E-2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2.0077347433423243</v>
      </c>
      <c r="E90" s="268"/>
      <c r="G90" s="112">
        <f>Data!C65</f>
        <v>2.0077347433423243</v>
      </c>
      <c r="H90" s="112">
        <f>Data!D65</f>
        <v>1.8252134030384766</v>
      </c>
      <c r="I90" s="112">
        <f>Data!E65</f>
        <v>1.1863887119750098</v>
      </c>
      <c r="J90" s="112">
        <f>Data!F65</f>
        <v>1.0038673716711621</v>
      </c>
      <c r="K90" s="112">
        <f>Data!G65</f>
        <v>0.68445502613942877</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2738945288.023603</v>
      </c>
      <c r="E91" s="268"/>
      <c r="G91" s="74">
        <f t="shared" ref="G91:Q91" si="37">IF(G$4="","",G90*Common_Shares/scaling_factor)</f>
        <v>2738945288.023603</v>
      </c>
      <c r="H91" s="74">
        <f t="shared" si="37"/>
        <v>2489950261.8396392</v>
      </c>
      <c r="I91" s="74">
        <f t="shared" si="37"/>
        <v>1618467670.1957655</v>
      </c>
      <c r="J91" s="74">
        <f t="shared" si="37"/>
        <v>1369472644.0118015</v>
      </c>
      <c r="K91" s="74">
        <f t="shared" si="37"/>
        <v>933731348.18986475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0.95157826147369062</v>
      </c>
      <c r="E92" s="268"/>
      <c r="G92" s="170">
        <f t="shared" ref="G92:Q92" si="38">IF(G$4="","",G90/(G19*scaling_factor/Common_Shares))</f>
        <v>0.86819495261043045</v>
      </c>
      <c r="H92" s="170">
        <f t="shared" si="38"/>
        <v>0.81078593791681852</v>
      </c>
      <c r="I92" s="170">
        <f t="shared" si="38"/>
        <v>0.62873983673121037</v>
      </c>
      <c r="J92" s="170">
        <f t="shared" si="38"/>
        <v>0.80486644837940757</v>
      </c>
      <c r="K92" s="170">
        <f t="shared" si="38"/>
        <v>0.65177838011281986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3.5292212285314289E-2</v>
      </c>
      <c r="E94" s="268"/>
      <c r="G94" s="23">
        <f t="shared" ref="G94:Q94" si="39">IF(G$4="","",(G90*(1-dividend_tax_rate))/Market_Price)</f>
        <v>3.5292212285314289E-2</v>
      </c>
      <c r="H94" s="23">
        <f t="shared" si="39"/>
        <v>3.2083829350285718E-2</v>
      </c>
      <c r="I94" s="23">
        <f t="shared" si="39"/>
        <v>2.0854489077685716E-2</v>
      </c>
      <c r="J94" s="23">
        <f t="shared" si="39"/>
        <v>1.7646106142657145E-2</v>
      </c>
      <c r="K94" s="23">
        <f t="shared" si="39"/>
        <v>1.2031436006357145E-2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-0.14025991672831284</v>
      </c>
      <c r="D98" s="27"/>
      <c r="E98" s="265"/>
      <c r="F98" s="27"/>
      <c r="G98" s="6">
        <f t="shared" ref="G98:Q98" si="41">IF(H5="","",G13/H13-1)</f>
        <v>3.1141000223859905E-2</v>
      </c>
      <c r="H98" s="6">
        <f t="shared" si="41"/>
        <v>0.17570824523478912</v>
      </c>
      <c r="I98" s="6">
        <f t="shared" si="41"/>
        <v>0.27922146016894378</v>
      </c>
      <c r="J98" s="6">
        <f t="shared" si="41"/>
        <v>0.22429601243927766</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1.6339321551212387</v>
      </c>
      <c r="H115" s="295">
        <f>IF(H$4="","",Data!D$22/H19)</f>
        <v>0.90444070841318358</v>
      </c>
      <c r="I115" s="295">
        <f>IF(I$4="","",Data!E$22/I19)</f>
        <v>1.8952975959489862</v>
      </c>
      <c r="J115" s="295">
        <f>IF(J$4="","",Data!F$22/J19)</f>
        <v>3.5516574027343975</v>
      </c>
      <c r="K115" s="295">
        <f>IF(K$4="","",Data!G$22/K19)</f>
        <v>3.4576686424610523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0.12563461298653</v>
      </c>
      <c r="E118" s="268"/>
      <c r="G118" s="23">
        <f t="shared" ref="G118:Q118" si="45">IF(G4="","",IF(valuation_method="DDM",G13/(G4+G12),G81))</f>
        <v>0.14597337435177335</v>
      </c>
      <c r="H118" s="23">
        <f t="shared" si="45"/>
        <v>0.13406172446550432</v>
      </c>
      <c r="I118" s="23">
        <f t="shared" si="45"/>
        <v>0.12028192838826576</v>
      </c>
      <c r="J118" s="23">
        <f t="shared" si="45"/>
        <v>0.10027611980747372</v>
      </c>
      <c r="K118" s="23">
        <f t="shared" si="45"/>
        <v>8.9007267329175965E-2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0.135074768208723</v>
      </c>
      <c r="D121" s="103"/>
      <c r="E121" s="271"/>
      <c r="F121" s="103"/>
      <c r="G121" s="102">
        <f t="shared" ref="G121:Q121" si="48">IF(G$4="","",G13/G106)</f>
        <v>0.15711116747599391</v>
      </c>
      <c r="H121" s="102">
        <f t="shared" si="48"/>
        <v>0.16102033165763988</v>
      </c>
      <c r="I121" s="102">
        <f t="shared" si="48"/>
        <v>0.1472903440597092</v>
      </c>
      <c r="J121" s="102">
        <f t="shared" si="48"/>
        <v>0.12713496811876035</v>
      </c>
      <c r="K121" s="102">
        <f t="shared" si="48"/>
        <v>0.1156313168919811</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2.3119485690991963</v>
      </c>
      <c r="D125" s="27"/>
      <c r="E125" s="265"/>
      <c r="F125" s="27"/>
      <c r="G125" s="177">
        <f t="shared" ref="G125:Q125" si="49">IF(G$4="","",G16*$C$3/Common_Shares*Exchange_Rate)</f>
        <v>2.533993077689737</v>
      </c>
      <c r="H125" s="177">
        <f t="shared" si="49"/>
        <v>2.4667423378588333</v>
      </c>
      <c r="I125" s="177">
        <f t="shared" si="49"/>
        <v>2.0676278550419847</v>
      </c>
      <c r="J125" s="177">
        <f t="shared" si="49"/>
        <v>1.3666863641972424</v>
      </c>
      <c r="K125" s="177">
        <f t="shared" si="49"/>
        <v>1.1506978796537843</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4.5155245490218675E-2</v>
      </c>
      <c r="D126" s="27"/>
      <c r="E126" s="265"/>
      <c r="F126" s="27"/>
      <c r="G126" s="77">
        <f t="shared" ref="G126" si="50">IF(G$4="","",G125/Market_Price)</f>
        <v>4.9492052298627673E-2</v>
      </c>
      <c r="H126" s="77">
        <f t="shared" ref="H126" si="51">IF(H$4="","",H125/Market_Price)</f>
        <v>4.8178561286305335E-2</v>
      </c>
      <c r="I126" s="77">
        <f t="shared" ref="I126" si="52">IF(I$4="","",I125/Market_Price)</f>
        <v>4.0383356543788759E-2</v>
      </c>
      <c r="J126" s="77">
        <f t="shared" ref="J126" si="53">IF(J$4="","",J125/Market_Price)</f>
        <v>2.6693093050727389E-2</v>
      </c>
      <c r="K126" s="77">
        <f t="shared" ref="K126" si="54">IF(K$4="","",K125/Market_Price)</f>
        <v>2.2474567961987973E-2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6.4308913618727481E-2</v>
      </c>
      <c r="H127" s="23">
        <f>IF(H$4="","",(Data!D47*$C$3)/(Market_Price*Common_Shares))</f>
        <v>6.2253306107604614E-2</v>
      </c>
      <c r="I127" s="23">
        <f>IF(I$4="","",(Data!E47*$C$3)/(Market_Price*Common_Shares))</f>
        <v>5.4472321750685351E-2</v>
      </c>
      <c r="J127" s="23">
        <f>IF(J$4="","",(Data!F47*$C$3)/(Market_Price*Common_Shares))</f>
        <v>4.6619749910991208E-2</v>
      </c>
      <c r="K127" s="23">
        <f>IF(K$4="","",(Data!G47*$C$3)/(Market_Price*Common_Shares))</f>
        <v>3.3315288433780017E-2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2878318472.4941616</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38377579633.255493</v>
      </c>
      <c r="D6" t="str">
        <f>Reporting_currency</f>
        <v>CNY</v>
      </c>
      <c r="E6" s="366" t="s">
        <v>248</v>
      </c>
      <c r="F6" s="366"/>
      <c r="H6" s="120"/>
    </row>
    <row r="7" spans="2:8">
      <c r="B7" s="148" t="s">
        <v>223</v>
      </c>
      <c r="C7" s="338">
        <f>BS!G31</f>
        <v>285396383</v>
      </c>
      <c r="D7" t="str">
        <f>Reporting_currency</f>
        <v>CNY</v>
      </c>
      <c r="E7" s="366"/>
      <c r="F7" s="366"/>
      <c r="H7" s="120"/>
    </row>
    <row r="8" spans="2:8">
      <c r="B8" s="148" t="s">
        <v>224</v>
      </c>
      <c r="C8" s="338">
        <f>BS!D66</f>
        <v>12818096532.505692</v>
      </c>
      <c r="D8" t="str">
        <f>Reporting_currency</f>
        <v>CNY</v>
      </c>
      <c r="E8" s="366"/>
      <c r="F8" s="366"/>
      <c r="H8" s="120"/>
    </row>
    <row r="9" spans="2:8">
      <c r="B9" s="205" t="s">
        <v>189</v>
      </c>
      <c r="C9" s="348">
        <f>BS!H42</f>
        <v>2755411575.5</v>
      </c>
      <c r="D9" t="str">
        <f>Reporting_currency</f>
        <v>CNY</v>
      </c>
      <c r="E9" s="366"/>
      <c r="F9" s="366"/>
      <c r="H9" s="120"/>
    </row>
    <row r="10" spans="2:8" ht="13.15">
      <c r="B10" s="149" t="s">
        <v>226</v>
      </c>
      <c r="C10" s="347">
        <f>C6-C7+C8+C9</f>
        <v>53665691358.261185</v>
      </c>
      <c r="D10" t="str">
        <f>Reporting_currency</f>
        <v>CNY</v>
      </c>
      <c r="H10" s="120"/>
    </row>
    <row r="11" spans="2:8" ht="13.15" thickBot="1">
      <c r="B11" s="207" t="s">
        <v>165</v>
      </c>
      <c r="C11" s="208">
        <f>Exchange_Rate</f>
        <v>1.09576228</v>
      </c>
      <c r="D11" t="str">
        <f>Thesis!C15</f>
        <v>CNY/HKD</v>
      </c>
      <c r="H11" s="120"/>
    </row>
    <row r="12" spans="2:8" ht="13.5" thickTop="1">
      <c r="B12" s="149" t="s">
        <v>102</v>
      </c>
      <c r="C12" s="111">
        <f>(C10*scaling_factor)/Common_Shares*Exchange_Rate</f>
        <v>43.105834024661675</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6.1165848114484E-2</v>
      </c>
      <c r="H16" s="120"/>
    </row>
    <row r="17" spans="2:17" ht="13.35" customHeight="1">
      <c r="B17" s="118" t="s">
        <v>133</v>
      </c>
      <c r="C17" s="162">
        <f>Scenarios!C64</f>
        <v>30</v>
      </c>
      <c r="H17" s="120"/>
    </row>
    <row r="18" spans="2:17" ht="13.35" customHeight="1">
      <c r="B18" s="153" t="s">
        <v>106</v>
      </c>
      <c r="C18" s="140">
        <f>(F52-C7+C8+C9)*Exchange_Rate/Common_Shares*scaling_factor</f>
        <v>73.115997039225945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3054373263.0078526</v>
      </c>
      <c r="D21" s="138">
        <f>IF($C$17&lt;B21,0,DCF!$C$16)</f>
        <v>6.1165848114484E-2</v>
      </c>
      <c r="E21" s="124">
        <f t="shared" ref="E21:E50" si="0">IF($C$17&lt;B21,0,1/(1+Equity_Cost)^B21)</f>
        <v>0.93023255813953487</v>
      </c>
      <c r="F21" s="125">
        <f t="shared" ref="F21:F51" si="1">C21*E21</f>
        <v>2841277453.960793</v>
      </c>
      <c r="H21" s="120"/>
    </row>
    <row r="22" spans="2:17">
      <c r="B22" s="122">
        <v>2</v>
      </c>
      <c r="C22" s="123">
        <f t="shared" ref="C22:C50" si="2">IF(ROW()-ROW($C$21)&lt;$C$17, $C$21*(1+D22)^(ROW()-ROW($C$21)), 0)</f>
        <v>3241196594.0979314</v>
      </c>
      <c r="D22" s="138">
        <f>IF($C$17&lt;B22,0,DCF!$C$16)</f>
        <v>6.1165848114484E-2</v>
      </c>
      <c r="E22" s="124">
        <f t="shared" si="0"/>
        <v>0.86533261222282321</v>
      </c>
      <c r="F22" s="125">
        <f t="shared" si="1"/>
        <v>2804713115.4984808</v>
      </c>
      <c r="H22" s="120"/>
    </row>
    <row r="23" spans="2:17">
      <c r="B23" s="122">
        <v>3</v>
      </c>
      <c r="C23" s="123">
        <f t="shared" si="2"/>
        <v>3439447132.6817079</v>
      </c>
      <c r="D23" s="138">
        <f>IF($C$17&lt;B23,0,DCF!$C$16)</f>
        <v>6.1165848114484E-2</v>
      </c>
      <c r="E23" s="124">
        <f t="shared" si="0"/>
        <v>0.80496056950960304</v>
      </c>
      <c r="F23" s="125">
        <f t="shared" si="1"/>
        <v>2768619322.7216387</v>
      </c>
      <c r="G23" s="338"/>
      <c r="H23" s="339"/>
      <c r="I23" s="338"/>
      <c r="J23" s="338"/>
      <c r="K23" s="338"/>
      <c r="L23" s="338"/>
      <c r="M23" s="338"/>
      <c r="N23" s="338"/>
      <c r="O23" s="338"/>
      <c r="P23" s="338"/>
      <c r="Q23" s="338"/>
    </row>
    <row r="24" spans="2:17">
      <c r="B24" s="122">
        <v>4</v>
      </c>
      <c r="C24" s="123">
        <f t="shared" si="2"/>
        <v>3649823833.5971141</v>
      </c>
      <c r="D24" s="138">
        <f>IF($C$17&lt;B24,0,DCF!$C$16)</f>
        <v>6.1165848114484E-2</v>
      </c>
      <c r="E24" s="124">
        <f t="shared" si="0"/>
        <v>0.7488005297763749</v>
      </c>
      <c r="F24" s="125">
        <f t="shared" si="1"/>
        <v>2732990020.1879587</v>
      </c>
      <c r="G24" s="338"/>
      <c r="H24" s="339"/>
      <c r="I24" s="338"/>
      <c r="J24" s="338"/>
      <c r="K24" s="338"/>
      <c r="L24" s="338"/>
      <c r="M24" s="338"/>
      <c r="N24" s="338"/>
      <c r="O24" s="338"/>
      <c r="P24" s="338"/>
      <c r="Q24" s="338"/>
    </row>
    <row r="25" spans="2:17">
      <c r="B25" s="122">
        <v>5</v>
      </c>
      <c r="C25" s="123">
        <f t="shared" si="2"/>
        <v>3873068403.8475385</v>
      </c>
      <c r="D25" s="138">
        <f>IF($C$17&lt;B25,0,DCF!$C$16)</f>
        <v>6.1165848114484E-2</v>
      </c>
      <c r="E25" s="124">
        <f t="shared" si="0"/>
        <v>0.69655863235011617</v>
      </c>
      <c r="F25" s="125">
        <f t="shared" si="1"/>
        <v>2697819230.3824887</v>
      </c>
      <c r="G25" s="338"/>
      <c r="H25" s="339"/>
      <c r="I25" s="338"/>
      <c r="J25" s="338"/>
      <c r="K25" s="338"/>
      <c r="L25" s="338"/>
      <c r="M25" s="338"/>
      <c r="N25" s="338"/>
      <c r="O25" s="338"/>
      <c r="P25" s="338"/>
      <c r="Q25" s="338"/>
    </row>
    <row r="26" spans="2:17">
      <c r="B26" s="122">
        <v>6</v>
      </c>
      <c r="C26" s="123">
        <f t="shared" si="2"/>
        <v>4109967917.5742836</v>
      </c>
      <c r="D26" s="138">
        <f>IF($C$17&lt;B26,0,DCF!$C$16)</f>
        <v>6.1165848114484E-2</v>
      </c>
      <c r="E26" s="124">
        <f t="shared" si="0"/>
        <v>0.64796151846522443</v>
      </c>
      <c r="F26" s="125">
        <f t="shared" si="1"/>
        <v>2663101052.7147894</v>
      </c>
      <c r="H26" s="120"/>
    </row>
    <row r="27" spans="2:17">
      <c r="B27" s="122">
        <v>7</v>
      </c>
      <c r="C27" s="123">
        <f t="shared" si="2"/>
        <v>4361357590.9760332</v>
      </c>
      <c r="D27" s="138">
        <f>IF($C$17&lt;B27,0,DCF!$C$16)</f>
        <v>6.1165848114484E-2</v>
      </c>
      <c r="E27" s="124">
        <f t="shared" si="0"/>
        <v>0.60275490089788319</v>
      </c>
      <c r="F27" s="125">
        <f t="shared" si="1"/>
        <v>2628829662.5289893</v>
      </c>
      <c r="H27" s="120"/>
    </row>
    <row r="28" spans="2:17">
      <c r="B28" s="122">
        <v>8</v>
      </c>
      <c r="C28" s="123">
        <f t="shared" si="2"/>
        <v>4628123726.9586248</v>
      </c>
      <c r="D28" s="138">
        <f>IF($C$17&lt;B28,0,DCF!$C$16)</f>
        <v>6.1165848114484E-2</v>
      </c>
      <c r="E28" s="124">
        <f t="shared" si="0"/>
        <v>0.56070223339337966</v>
      </c>
      <c r="F28" s="125">
        <f t="shared" si="1"/>
        <v>2594999310.1265931</v>
      </c>
      <c r="H28" s="120"/>
    </row>
    <row r="29" spans="2:17">
      <c r="B29" s="122">
        <v>9</v>
      </c>
      <c r="C29" s="123">
        <f t="shared" si="2"/>
        <v>4911206839.8968153</v>
      </c>
      <c r="D29" s="138">
        <f>IF($C$17&lt;B29,0,DCF!$C$16)</f>
        <v>6.1165848114484E-2</v>
      </c>
      <c r="E29" s="124">
        <f t="shared" si="0"/>
        <v>0.52158347292407414</v>
      </c>
      <c r="F29" s="125">
        <f t="shared" si="1"/>
        <v>2561604319.8018484</v>
      </c>
      <c r="H29" s="120"/>
    </row>
    <row r="30" spans="2:17">
      <c r="B30" s="122">
        <v>10</v>
      </c>
      <c r="C30" s="123">
        <f t="shared" si="2"/>
        <v>5211604971.5247583</v>
      </c>
      <c r="D30" s="138">
        <f>IF($C$17&lt;B30,0,DCF!$C$16)</f>
        <v>6.1165848114484E-2</v>
      </c>
      <c r="E30" s="124">
        <f t="shared" si="0"/>
        <v>0.48519392830146441</v>
      </c>
      <c r="F30" s="125">
        <f t="shared" si="1"/>
        <v>2528639088.8895392</v>
      </c>
      <c r="H30" s="120"/>
    </row>
    <row r="31" spans="2:17">
      <c r="B31" s="122">
        <v>11</v>
      </c>
      <c r="C31" s="123">
        <f t="shared" si="2"/>
        <v>5530377209.645731</v>
      </c>
      <c r="D31" s="138">
        <f>IF($C$17&lt;B31,0,DCF!$C$16)</f>
        <v>6.1165848114484E-2</v>
      </c>
      <c r="E31" s="124">
        <f t="shared" si="0"/>
        <v>0.45134318911764126</v>
      </c>
      <c r="F31" s="125">
        <f t="shared" si="1"/>
        <v>2496098086.8250265</v>
      </c>
      <c r="H31" s="120"/>
    </row>
    <row r="32" spans="2:17">
      <c r="B32" s="122">
        <v>12</v>
      </c>
      <c r="C32" s="123">
        <f t="shared" si="2"/>
        <v>5868647422.0667248</v>
      </c>
      <c r="D32" s="138">
        <f>IF($C$17&lt;B32,0,DCF!$C$16)</f>
        <v>6.1165848114484E-2</v>
      </c>
      <c r="E32" s="124">
        <f t="shared" si="0"/>
        <v>0.41985412941175931</v>
      </c>
      <c r="F32" s="125">
        <f t="shared" si="1"/>
        <v>2463975854.2163901</v>
      </c>
      <c r="H32" s="120"/>
    </row>
    <row r="33" spans="2:17">
      <c r="B33" s="122">
        <v>13</v>
      </c>
      <c r="C33" s="341">
        <f t="shared" si="2"/>
        <v>6227608218.9223146</v>
      </c>
      <c r="D33" s="138">
        <f>IF($C$17&lt;B33,0,DCF!$C$16)</f>
        <v>6.1165848114484E-2</v>
      </c>
      <c r="E33" s="124">
        <f t="shared" si="0"/>
        <v>0.39056198084814819</v>
      </c>
      <c r="F33" s="125">
        <f t="shared" si="1"/>
        <v>2432267001.9285073</v>
      </c>
      <c r="G33" s="338"/>
      <c r="H33" s="339"/>
      <c r="I33" s="338"/>
      <c r="J33" s="338"/>
      <c r="K33" s="338"/>
      <c r="L33" s="338"/>
      <c r="M33" s="338"/>
      <c r="N33" s="338"/>
      <c r="O33" s="338"/>
      <c r="P33" s="338"/>
      <c r="Q33" s="338"/>
    </row>
    <row r="34" spans="2:17">
      <c r="B34" s="122">
        <v>14</v>
      </c>
      <c r="C34" s="341">
        <f t="shared" si="2"/>
        <v>6608525157.3574295</v>
      </c>
      <c r="D34" s="138">
        <f>IF($C$17&lt;B34,0,DCF!$C$16)</f>
        <v>6.1165848114484E-2</v>
      </c>
      <c r="E34" s="124">
        <f t="shared" si="0"/>
        <v>0.36331347055641694</v>
      </c>
      <c r="F34" s="125">
        <f t="shared" si="1"/>
        <v>2400966210.1789193</v>
      </c>
      <c r="G34" s="338"/>
      <c r="H34" s="339"/>
      <c r="I34" s="338"/>
      <c r="J34" s="338"/>
      <c r="K34" s="338"/>
      <c r="L34" s="338"/>
      <c r="M34" s="338"/>
      <c r="N34" s="338"/>
      <c r="O34" s="338"/>
      <c r="P34" s="338"/>
      <c r="Q34" s="338"/>
    </row>
    <row r="35" spans="2:17">
      <c r="B35" s="122">
        <v>15</v>
      </c>
      <c r="C35" s="341">
        <f t="shared" si="2"/>
        <v>7012741203.3930988</v>
      </c>
      <c r="D35" s="138">
        <f>IF($C$17&lt;B35,0,DCF!$C$16)</f>
        <v>6.1165848114484E-2</v>
      </c>
      <c r="E35" s="124">
        <f t="shared" si="0"/>
        <v>0.33796601912224833</v>
      </c>
      <c r="F35" s="125">
        <f t="shared" si="1"/>
        <v>2370068227.6453309</v>
      </c>
      <c r="G35" s="338"/>
      <c r="H35" s="339"/>
      <c r="I35" s="338"/>
      <c r="J35" s="338"/>
      <c r="K35" s="338"/>
      <c r="L35" s="338"/>
      <c r="M35" s="338"/>
      <c r="N35" s="338"/>
      <c r="O35" s="338"/>
      <c r="P35" s="338"/>
      <c r="Q35" s="338"/>
    </row>
    <row r="36" spans="2:17">
      <c r="B36" s="122">
        <v>16</v>
      </c>
      <c r="C36" s="123">
        <f t="shared" si="2"/>
        <v>7441681466.7060232</v>
      </c>
      <c r="D36" s="138">
        <f>IF($C$17&lt;B36,0,DCF!$C$16)</f>
        <v>6.1165848114484E-2</v>
      </c>
      <c r="E36" s="124">
        <f t="shared" si="0"/>
        <v>0.31438699453232405</v>
      </c>
      <c r="F36" s="125">
        <f t="shared" si="1"/>
        <v>2339567870.5846038</v>
      </c>
      <c r="H36" s="120"/>
    </row>
    <row r="37" spans="2:17">
      <c r="B37" s="122">
        <v>17</v>
      </c>
      <c r="C37" s="123">
        <f t="shared" si="2"/>
        <v>7896858225.0149355</v>
      </c>
      <c r="D37" s="138">
        <f>IF($C$17&lt;B37,0,DCF!$C$16)</f>
        <v>6.1165848114484E-2</v>
      </c>
      <c r="E37" s="124">
        <f t="shared" si="0"/>
        <v>0.29245301816960378</v>
      </c>
      <c r="F37" s="125">
        <f t="shared" si="1"/>
        <v>2309460021.963078</v>
      </c>
      <c r="H37" s="120"/>
    </row>
    <row r="38" spans="2:17">
      <c r="B38" s="122">
        <v>18</v>
      </c>
      <c r="C38" s="123">
        <f t="shared" si="2"/>
        <v>8379876255.7878122</v>
      </c>
      <c r="D38" s="138">
        <f>IF($C$17&lt;B38,0,DCF!$C$16)</f>
        <v>6.1165848114484E-2</v>
      </c>
      <c r="E38" s="124">
        <f t="shared" si="0"/>
        <v>0.27204931922753844</v>
      </c>
      <c r="F38" s="125">
        <f t="shared" si="1"/>
        <v>2279739630.5980883</v>
      </c>
      <c r="H38" s="120"/>
    </row>
    <row r="39" spans="2:17">
      <c r="B39" s="122">
        <v>19</v>
      </c>
      <c r="C39" s="123">
        <f t="shared" si="2"/>
        <v>8892438494.0674973</v>
      </c>
      <c r="D39" s="138">
        <f>IF($C$17&lt;B39,0,DCF!$C$16)</f>
        <v>6.1165848114484E-2</v>
      </c>
      <c r="E39" s="124">
        <f t="shared" si="0"/>
        <v>0.25306913416515198</v>
      </c>
      <c r="F39" s="125">
        <f t="shared" si="1"/>
        <v>2250401710.3105292</v>
      </c>
      <c r="H39" s="120"/>
    </row>
    <row r="40" spans="2:17">
      <c r="B40" s="122">
        <v>20</v>
      </c>
      <c r="C40" s="123">
        <f t="shared" si="2"/>
        <v>9436352036.3630199</v>
      </c>
      <c r="D40" s="138">
        <f>IF($C$17&lt;B40,0,DCF!$C$16)</f>
        <v>6.1165848114484E-2</v>
      </c>
      <c r="E40" s="124">
        <f t="shared" si="0"/>
        <v>0.23541314806060654</v>
      </c>
      <c r="F40" s="125">
        <f t="shared" si="1"/>
        <v>2221441339.0883336</v>
      </c>
      <c r="H40" s="120"/>
    </row>
    <row r="41" spans="2:17">
      <c r="B41" s="122">
        <v>21</v>
      </c>
      <c r="C41" s="123">
        <f t="shared" si="2"/>
        <v>10013534511.774002</v>
      </c>
      <c r="D41" s="138">
        <f>IF($C$17&lt;B41,0,DCF!$C$16)</f>
        <v>6.1165848114484E-2</v>
      </c>
      <c r="E41" s="124">
        <f t="shared" si="0"/>
        <v>0.21898897494009908</v>
      </c>
      <c r="F41" s="125">
        <f t="shared" si="1"/>
        <v>2192853658.260694</v>
      </c>
      <c r="H41" s="120"/>
    </row>
    <row r="42" spans="2:17">
      <c r="B42" s="122">
        <v>22</v>
      </c>
      <c r="C42" s="123">
        <f t="shared" si="2"/>
        <v>10626020842.810312</v>
      </c>
      <c r="D42" s="138">
        <f>IF($C$17&lt;B42,0,DCF!$C$16)</f>
        <v>6.1165848114484E-2</v>
      </c>
      <c r="E42" s="124">
        <f t="shared" si="0"/>
        <v>0.20371067436288287</v>
      </c>
      <c r="F42" s="125">
        <f t="shared" si="1"/>
        <v>2164633871.6829376</v>
      </c>
      <c r="H42" s="120"/>
    </row>
    <row r="43" spans="2:17">
      <c r="B43" s="122">
        <v>23</v>
      </c>
      <c r="C43" s="123">
        <f t="shared" si="2"/>
        <v>11275970419.742987</v>
      </c>
      <c r="D43" s="138">
        <f>IF($C$17&lt;B43,0,DCF!$C$16)</f>
        <v>6.1165848114484E-2</v>
      </c>
      <c r="E43" s="124">
        <f t="shared" si="0"/>
        <v>0.18949830173291429</v>
      </c>
      <c r="F43" s="125">
        <f t="shared" si="1"/>
        <v>2136777244.9318726</v>
      </c>
      <c r="H43" s="120"/>
    </row>
    <row r="44" spans="2:17">
      <c r="B44" s="122">
        <v>24</v>
      </c>
      <c r="C44" s="123">
        <f t="shared" si="2"/>
        <v>11965674713.780399</v>
      </c>
      <c r="D44" s="138">
        <f>IF($C$17&lt;B44,0,DCF!$C$16)</f>
        <v>6.1165848114484E-2</v>
      </c>
      <c r="E44" s="124">
        <f t="shared" si="0"/>
        <v>0.17627748998410636</v>
      </c>
      <c r="F44" s="125">
        <f t="shared" si="1"/>
        <v>2109279104.5114992</v>
      </c>
      <c r="H44" s="120"/>
    </row>
    <row r="45" spans="2:17">
      <c r="B45" s="122">
        <v>25</v>
      </c>
      <c r="C45" s="123">
        <f t="shared" si="2"/>
        <v>12697565355.910812</v>
      </c>
      <c r="D45" s="138">
        <f>IF($C$17&lt;B45,0,DCF!$C$16)</f>
        <v>6.1165848114484E-2</v>
      </c>
      <c r="E45" s="124">
        <f t="shared" si="0"/>
        <v>0.16397906045033148</v>
      </c>
      <c r="F45" s="125">
        <f t="shared" si="1"/>
        <v>2082134837.0689337</v>
      </c>
      <c r="H45" s="120"/>
    </row>
    <row r="46" spans="2:17">
      <c r="B46" s="122">
        <v>26</v>
      </c>
      <c r="C46" s="123">
        <f t="shared" si="2"/>
        <v>13474222709.894186</v>
      </c>
      <c r="D46" s="138">
        <f>IF($C$17&lt;B46,0,DCF!$C$16)</f>
        <v>6.1165848114484E-2</v>
      </c>
      <c r="E46" s="124">
        <f t="shared" si="0"/>
        <v>0.15253866088402931</v>
      </c>
      <c r="F46" s="125">
        <f t="shared" si="1"/>
        <v>2055339888.6204357</v>
      </c>
      <c r="H46" s="120"/>
    </row>
    <row r="47" spans="2:17">
      <c r="B47" s="122">
        <v>27</v>
      </c>
      <c r="C47" s="341">
        <f t="shared" si="2"/>
        <v>14298384969.628304</v>
      </c>
      <c r="D47" s="138">
        <f>IF($C$17&lt;B47,0,DCF!$C$16)</f>
        <v>6.1165848114484E-2</v>
      </c>
      <c r="E47" s="124">
        <f t="shared" si="0"/>
        <v>0.14189642872932959</v>
      </c>
      <c r="F47" s="125">
        <f t="shared" si="1"/>
        <v>2028889763.78738</v>
      </c>
      <c r="G47" s="338"/>
      <c r="H47" s="339"/>
      <c r="I47" s="338"/>
      <c r="J47" s="338"/>
      <c r="K47" s="338"/>
      <c r="L47" s="338"/>
      <c r="M47" s="338"/>
      <c r="N47" s="338"/>
      <c r="O47" s="338"/>
      <c r="P47" s="338"/>
      <c r="Q47" s="338"/>
    </row>
    <row r="48" spans="2:17">
      <c r="B48" s="122">
        <v>28</v>
      </c>
      <c r="C48" s="341">
        <f t="shared" si="2"/>
        <v>15172957812.963005</v>
      </c>
      <c r="D48" s="138">
        <f>IF($C$17&lt;B48,0,DCF!$C$16)</f>
        <v>6.1165848114484E-2</v>
      </c>
      <c r="E48" s="124">
        <f t="shared" si="0"/>
        <v>0.13199667788774846</v>
      </c>
      <c r="F48" s="125">
        <f t="shared" si="1"/>
        <v>2002780025.0420742</v>
      </c>
      <c r="G48" s="338"/>
      <c r="H48" s="339"/>
      <c r="I48" s="338"/>
      <c r="J48" s="338"/>
      <c r="K48" s="338"/>
      <c r="L48" s="338"/>
      <c r="M48" s="338"/>
      <c r="N48" s="338"/>
      <c r="O48" s="338"/>
      <c r="P48" s="338"/>
      <c r="Q48" s="338"/>
    </row>
    <row r="49" spans="1:17">
      <c r="B49" s="122">
        <v>29</v>
      </c>
      <c r="C49" s="341">
        <f t="shared" si="2"/>
        <v>16101024645.998173</v>
      </c>
      <c r="D49" s="138">
        <f>IF($C$17&lt;B49,0,DCF!$C$16)</f>
        <v>6.1165848114484E-2</v>
      </c>
      <c r="E49" s="124">
        <f t="shared" si="0"/>
        <v>0.1227876073374404</v>
      </c>
      <c r="F49" s="125">
        <f t="shared" si="1"/>
        <v>1977006291.963274</v>
      </c>
      <c r="G49" s="338"/>
      <c r="H49" s="339"/>
      <c r="I49" s="338"/>
      <c r="J49" s="338"/>
      <c r="K49" s="338"/>
      <c r="L49" s="338"/>
      <c r="M49" s="338"/>
      <c r="N49" s="338"/>
      <c r="O49" s="338"/>
      <c r="P49" s="338"/>
      <c r="Q49" s="338"/>
    </row>
    <row r="50" spans="1:17">
      <c r="B50" s="122">
        <v>30</v>
      </c>
      <c r="C50" s="341">
        <f t="shared" si="2"/>
        <v>17085857473.982861</v>
      </c>
      <c r="D50" s="138">
        <f>IF($C$17&lt;B50,0,DCF!$C$16)</f>
        <v>6.1165848114484E-2</v>
      </c>
      <c r="E50" s="124">
        <f t="shared" si="0"/>
        <v>0.11422103008133992</v>
      </c>
      <c r="F50" s="125">
        <f t="shared" si="1"/>
        <v>1951564240.5012829</v>
      </c>
      <c r="G50" s="338"/>
      <c r="H50" s="339"/>
      <c r="I50" s="338"/>
      <c r="J50" s="338"/>
      <c r="K50" s="338"/>
      <c r="L50" s="338"/>
      <c r="M50" s="338"/>
      <c r="N50" s="338"/>
      <c r="O50" s="338"/>
      <c r="P50" s="338"/>
      <c r="Q50" s="338"/>
    </row>
    <row r="51" spans="1:17">
      <c r="B51" s="126" t="s">
        <v>130</v>
      </c>
      <c r="C51" s="123">
        <f>C$21*(1+Terminal_Growth)^$C$17/Equity_Cost</f>
        <v>40724976840.104706</v>
      </c>
      <c r="D51" s="139">
        <f>Terminal_Growth</f>
        <v>0</v>
      </c>
      <c r="E51" s="124">
        <f>1/(1+Equity_Cost)^C17</f>
        <v>0.11422103008133992</v>
      </c>
      <c r="F51" s="125">
        <f t="shared" si="1"/>
        <v>4651648804.7154713</v>
      </c>
      <c r="H51" s="120"/>
    </row>
    <row r="52" spans="1:17">
      <c r="C52" s="114"/>
      <c r="E52" s="127" t="s">
        <v>100</v>
      </c>
      <c r="F52" s="137">
        <f>SUM(F21:F51)</f>
        <v>75739486261.237778</v>
      </c>
      <c r="H52" s="120"/>
    </row>
    <row r="53" spans="1:17">
      <c r="C53" s="114"/>
      <c r="H53" s="120"/>
    </row>
    <row r="54" spans="1:17" ht="13.15">
      <c r="B54" s="119" t="s">
        <v>128</v>
      </c>
      <c r="C54" s="136"/>
      <c r="D54" s="136"/>
      <c r="E54" s="117"/>
      <c r="F54" s="117"/>
      <c r="H54" s="120"/>
    </row>
    <row r="55" spans="1:17" ht="13.15">
      <c r="A55" s="133">
        <f>F52</f>
        <v>75739486261.237778</v>
      </c>
      <c r="B55" s="131">
        <f>C78</f>
        <v>0.02</v>
      </c>
      <c r="C55" s="131">
        <f>C77</f>
        <v>0.04</v>
      </c>
      <c r="D55" s="131">
        <f>C76</f>
        <v>0.06</v>
      </c>
      <c r="E55" s="131">
        <f>C75</f>
        <v>0.08</v>
      </c>
      <c r="F55" s="131">
        <f>C74</f>
        <v>0.1</v>
      </c>
      <c r="H55" s="120"/>
    </row>
    <row r="56" spans="1:17" ht="13.15">
      <c r="A56" s="143">
        <v>5</v>
      </c>
      <c r="B56" s="123">
        <f t="dataTable" ref="B56:F61" dt2D="1" dtr="1" r1="C16" r2="C17"/>
        <v>39594551999.450966</v>
      </c>
      <c r="C56" s="123">
        <v>40846977145.754822</v>
      </c>
      <c r="D56" s="123">
        <v>42136413578.807526</v>
      </c>
      <c r="E56" s="123">
        <v>43464468115.743462</v>
      </c>
      <c r="F56" s="123">
        <v>44832796654.079369</v>
      </c>
      <c r="H56" s="120"/>
    </row>
    <row r="57" spans="1:17" ht="13.15">
      <c r="A57" s="143">
        <v>10</v>
      </c>
      <c r="B57" s="123">
        <v>40801336259.177246</v>
      </c>
      <c r="C57" s="123">
        <v>43466476203.271286</v>
      </c>
      <c r="D57" s="123">
        <v>46401981951.688004</v>
      </c>
      <c r="E57" s="123">
        <v>49640083211.377541</v>
      </c>
      <c r="F57" s="123">
        <v>53216578922.513237</v>
      </c>
      <c r="H57" s="120"/>
    </row>
    <row r="58" spans="1:17" ht="13.15">
      <c r="A58" s="143">
        <v>15</v>
      </c>
      <c r="B58" s="123">
        <v>42329266454.150299</v>
      </c>
      <c r="C58" s="341">
        <v>46959532250.150749</v>
      </c>
      <c r="D58" s="123">
        <v>52403865411.550232</v>
      </c>
      <c r="E58" s="123">
        <v>58824626534.537994</v>
      </c>
      <c r="F58" s="123">
        <v>66416116718.234009</v>
      </c>
      <c r="G58" s="338"/>
      <c r="H58" s="339"/>
      <c r="I58" s="338"/>
      <c r="J58" s="338"/>
      <c r="K58" s="338"/>
      <c r="L58" s="338"/>
      <c r="M58" s="338"/>
      <c r="N58" s="338"/>
      <c r="O58" s="338"/>
      <c r="P58" s="338"/>
      <c r="Q58" s="338"/>
    </row>
    <row r="59" spans="1:17" ht="13.15">
      <c r="A59" s="144">
        <v>20</v>
      </c>
      <c r="B59" s="123">
        <v>43922158609.887909</v>
      </c>
      <c r="C59" s="341">
        <v>50806587784.252655</v>
      </c>
      <c r="D59" s="123">
        <v>59409571327.688225</v>
      </c>
      <c r="E59" s="123">
        <v>70219681046.333801</v>
      </c>
      <c r="F59" s="123">
        <v>83866634927.953766</v>
      </c>
      <c r="G59" s="338"/>
      <c r="H59" s="339"/>
      <c r="I59" s="338"/>
      <c r="J59" s="338"/>
      <c r="K59" s="338"/>
      <c r="L59" s="338"/>
      <c r="M59" s="338"/>
      <c r="N59" s="338"/>
      <c r="O59" s="338"/>
      <c r="P59" s="338"/>
      <c r="Q59" s="338"/>
    </row>
    <row r="60" spans="1:17" ht="13.15">
      <c r="A60" s="144">
        <v>25</v>
      </c>
      <c r="B60" s="123">
        <v>45438224305.260185</v>
      </c>
      <c r="C60" s="341">
        <v>54684556992.803925</v>
      </c>
      <c r="D60" s="123">
        <v>66922826612.322754</v>
      </c>
      <c r="E60" s="123">
        <v>83271792871.365311</v>
      </c>
      <c r="F60" s="123">
        <v>105283944362.38455</v>
      </c>
      <c r="G60" s="338"/>
      <c r="H60" s="339"/>
      <c r="I60" s="338"/>
      <c r="J60" s="338"/>
      <c r="K60" s="338"/>
      <c r="L60" s="338"/>
      <c r="M60" s="338"/>
      <c r="N60" s="338"/>
      <c r="O60" s="338"/>
      <c r="P60" s="338"/>
      <c r="Q60" s="338"/>
    </row>
    <row r="61" spans="1:17" ht="13.15">
      <c r="A61" s="144">
        <v>30</v>
      </c>
      <c r="B61" s="123">
        <v>46806892250.975021</v>
      </c>
      <c r="C61" s="341">
        <v>58401287444.274536</v>
      </c>
      <c r="D61" s="123">
        <v>74610952401.589294</v>
      </c>
      <c r="E61" s="123">
        <v>97598202492.67189</v>
      </c>
      <c r="F61" s="123">
        <v>130592603731.44321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43.105834024661675</v>
      </c>
      <c r="C65" s="124">
        <f>C12</f>
        <v>43.105834024661675</v>
      </c>
      <c r="D65" s="124">
        <f>C12</f>
        <v>43.105834024661675</v>
      </c>
      <c r="E65" s="141">
        <f>C12</f>
        <v>43.105834024661675</v>
      </c>
      <c r="F65" s="124">
        <f>C12</f>
        <v>43.105834024661675</v>
      </c>
      <c r="H65" s="120"/>
    </row>
    <row r="66" spans="1:8" ht="13.15">
      <c r="A66" s="143">
        <f t="shared" ref="A66:A71" si="3">A56</f>
        <v>5</v>
      </c>
      <c r="B66" s="124">
        <f t="shared" ref="B66:F71" si="4">(B56-$C$7+$C$8+$C$9)/Common_Shares*$C$3*Exchange_Rate</f>
        <v>44.083341394866203</v>
      </c>
      <c r="C66" s="124">
        <f t="shared" si="4"/>
        <v>45.089325462498564</v>
      </c>
      <c r="D66" s="124">
        <f t="shared" si="4"/>
        <v>46.125038065127058</v>
      </c>
      <c r="E66" s="124">
        <f t="shared" si="4"/>
        <v>47.191769844704645</v>
      </c>
      <c r="F66" s="124">
        <f t="shared" si="4"/>
        <v>48.290850865965645</v>
      </c>
      <c r="H66" s="120"/>
    </row>
    <row r="67" spans="1:8" ht="13.15">
      <c r="A67" s="143">
        <f t="shared" si="3"/>
        <v>10</v>
      </c>
      <c r="B67" s="124">
        <f t="shared" si="4"/>
        <v>45.052665383558796</v>
      </c>
      <c r="C67" s="124">
        <f t="shared" si="4"/>
        <v>47.193382798632754</v>
      </c>
      <c r="D67" s="124">
        <f t="shared" si="4"/>
        <v>49.551265840238486</v>
      </c>
      <c r="E67" s="124">
        <f t="shared" si="4"/>
        <v>52.152202340309088</v>
      </c>
      <c r="F67" s="124">
        <f t="shared" si="4"/>
        <v>55.02494704203923</v>
      </c>
      <c r="H67" s="120"/>
    </row>
    <row r="68" spans="1:8" ht="13.15">
      <c r="A68" s="143">
        <f t="shared" si="3"/>
        <v>15</v>
      </c>
      <c r="B68" s="124">
        <f t="shared" si="4"/>
        <v>46.279943067285849</v>
      </c>
      <c r="C68" s="124">
        <f t="shared" si="4"/>
        <v>49.999106350956815</v>
      </c>
      <c r="D68" s="124">
        <f t="shared" si="4"/>
        <v>54.372152065835529</v>
      </c>
      <c r="E68" s="124">
        <f t="shared" si="4"/>
        <v>59.529492934358686</v>
      </c>
      <c r="F68" s="124">
        <f t="shared" si="4"/>
        <v>65.627197213870872</v>
      </c>
      <c r="H68" s="120"/>
    </row>
    <row r="69" spans="1:8" ht="13.15">
      <c r="A69" s="144">
        <f t="shared" si="3"/>
        <v>20</v>
      </c>
      <c r="B69" s="124">
        <f t="shared" si="4"/>
        <v>47.559400075042085</v>
      </c>
      <c r="C69" s="124">
        <f t="shared" si="4"/>
        <v>53.089172520599575</v>
      </c>
      <c r="D69" s="124">
        <f t="shared" si="4"/>
        <v>59.999337494802283</v>
      </c>
      <c r="E69" s="124">
        <f t="shared" si="4"/>
        <v>68.682329990129304</v>
      </c>
      <c r="F69" s="124">
        <f t="shared" si="4"/>
        <v>79.643957690706145</v>
      </c>
      <c r="H69" s="120"/>
    </row>
    <row r="70" spans="1:8" ht="13.15">
      <c r="A70" s="144">
        <f t="shared" si="3"/>
        <v>25</v>
      </c>
      <c r="B70" s="124">
        <f t="shared" si="4"/>
        <v>48.777147849852796</v>
      </c>
      <c r="C70" s="124">
        <f t="shared" si="4"/>
        <v>56.204069446842695</v>
      </c>
      <c r="D70" s="124">
        <f t="shared" si="4"/>
        <v>66.034201242709884</v>
      </c>
      <c r="E70" s="124">
        <f t="shared" si="4"/>
        <v>79.166163362277302</v>
      </c>
      <c r="F70" s="124">
        <f t="shared" si="4"/>
        <v>96.846959503768176</v>
      </c>
    </row>
    <row r="71" spans="1:8" ht="13.15">
      <c r="A71" s="144">
        <f t="shared" si="3"/>
        <v>30</v>
      </c>
      <c r="B71" s="124">
        <f t="shared" si="4"/>
        <v>49.876501492928078</v>
      </c>
      <c r="C71" s="124">
        <f t="shared" si="4"/>
        <v>59.189454744237828</v>
      </c>
      <c r="D71" s="124">
        <f t="shared" si="4"/>
        <v>72.209526033002163</v>
      </c>
      <c r="E71" s="124">
        <f t="shared" si="4"/>
        <v>90.673549546547392</v>
      </c>
      <c r="F71" s="124">
        <f t="shared" si="4"/>
        <v>117.17560602890798</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117.17560602890798</v>
      </c>
      <c r="F74" s="142">
        <f>Scenarios!C58</f>
        <v>0.05</v>
      </c>
    </row>
    <row r="75" spans="1:8">
      <c r="B75" s="127" t="str">
        <f>Scenarios!B36</f>
        <v>Optimistic</v>
      </c>
      <c r="C75" s="142">
        <f>Scenarios!C38</f>
        <v>0.08</v>
      </c>
      <c r="D75" s="145">
        <f>Scenarios!C37</f>
        <v>30</v>
      </c>
      <c r="E75" s="135">
        <f>INDEX(B$65:F$71, MATCH(D75, A$65:A$71, 0), MATCH(C75, B$64:F$64, 0))</f>
        <v>90.673549546547392</v>
      </c>
      <c r="F75" s="142">
        <f>Scenarios!C40*(1-F$74-F$78)</f>
        <v>0.18</v>
      </c>
      <c r="H75" s="120"/>
    </row>
    <row r="76" spans="1:8">
      <c r="B76" s="127" t="str">
        <f>Scenarios!B24</f>
        <v>Base</v>
      </c>
      <c r="C76" s="142">
        <f>Scenarios!C26</f>
        <v>0.06</v>
      </c>
      <c r="D76" s="145">
        <f>Scenarios!C25</f>
        <v>30</v>
      </c>
      <c r="E76" s="135">
        <f>INDEX(B$65:F$71, MATCH(D76, A$65:A$71, 0), MATCH(C76, B$64:F$64, 0))</f>
        <v>72.209526033002163</v>
      </c>
      <c r="F76" s="142">
        <f>Scenarios!C28*(1-F$74-F$78)</f>
        <v>0.44999999999999996</v>
      </c>
      <c r="H76" s="120"/>
    </row>
    <row r="77" spans="1:8">
      <c r="B77" s="127" t="str">
        <f>Scenarios!B30</f>
        <v>Pessimistic</v>
      </c>
      <c r="C77" s="142">
        <f>Scenarios!C32</f>
        <v>0.04</v>
      </c>
      <c r="D77" s="145">
        <f>Scenarios!C31</f>
        <v>30</v>
      </c>
      <c r="E77" s="135">
        <f>INDEX(B$65:F$71, MATCH(D77, A$65:A$71, 0), MATCH(C77, B$64:F$64, 0))</f>
        <v>59.189454744237828</v>
      </c>
      <c r="F77" s="142">
        <f>Scenarios!C34*(1-F$74-F$78)</f>
        <v>0.26999999999999996</v>
      </c>
      <c r="H77" s="120"/>
    </row>
    <row r="78" spans="1:8">
      <c r="B78" s="127" t="str">
        <f>Scenarios!B48</f>
        <v>Devil's advocate</v>
      </c>
      <c r="C78" s="142">
        <f>Scenarios!C50</f>
        <v>0.02</v>
      </c>
      <c r="D78" s="145">
        <f>Scenarios!C49</f>
        <v>30</v>
      </c>
      <c r="E78" s="135">
        <f>INDEX(B$65:F$71, MATCH(D78, A$65:A$71, 0), MATCH(C78, B$64:F$64, 0))</f>
        <v>49.876501492928078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2465050759.2212429</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32867343456.283241</v>
      </c>
      <c r="D6" t="str">
        <f>Reporting_currency</f>
        <v>CNY</v>
      </c>
      <c r="E6" s="366"/>
      <c r="F6" s="366"/>
      <c r="H6" s="120"/>
    </row>
    <row r="7" spans="2:8" ht="13.15">
      <c r="B7" s="149" t="s">
        <v>441</v>
      </c>
      <c r="C7" s="111">
        <f>(C6*scaling_factor)/Common_Shares*Exchange_Rate</f>
        <v>26.400000000000002</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6.1165848114484E-2</v>
      </c>
      <c r="H11" s="120"/>
    </row>
    <row r="12" spans="2:8" ht="13.35" customHeight="1">
      <c r="B12" s="118" t="s">
        <v>133</v>
      </c>
      <c r="C12" s="162">
        <f>Scenarios!C64</f>
        <v>30</v>
      </c>
      <c r="H12" s="120"/>
    </row>
    <row r="13" spans="2:8" ht="13.35" customHeight="1">
      <c r="B13" s="153" t="s">
        <v>106</v>
      </c>
      <c r="C13" s="140">
        <f>F47/Common_Shares*scaling_factor</f>
        <v>47.548010936411345</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2615827679.5542626</v>
      </c>
      <c r="D16" s="138">
        <f>IF($C$12&lt;B16,0,DDM!$C$11)</f>
        <v>6.1165848114484E-2</v>
      </c>
      <c r="E16" s="124">
        <f t="shared" ref="E16:E45" si="0">IF($C$12&lt;B16,0,1/(1+Equity_Cost)^B16)</f>
        <v>0.93023255813953487</v>
      </c>
      <c r="F16" s="125">
        <f t="shared" ref="F16:F46" si="1">C16*E16</f>
        <v>2433328074.0039654</v>
      </c>
      <c r="H16" s="120"/>
    </row>
    <row r="17" spans="2:8">
      <c r="B17" s="122">
        <v>2</v>
      </c>
      <c r="C17" s="123">
        <f t="shared" ref="C17:C45" si="2">IF(ROW()-ROW($C$16)&lt;$C$12, $C$16*(1+D17)^(ROW()-ROW($C$16)), 0)</f>
        <v>2775826998.0955415</v>
      </c>
      <c r="D17" s="138">
        <f>IF($C$12&lt;B17,0,DDM!$C$11)</f>
        <v>6.1165848114484E-2</v>
      </c>
      <c r="E17" s="124">
        <f t="shared" si="0"/>
        <v>0.86533261222282321</v>
      </c>
      <c r="F17" s="125">
        <f t="shared" si="1"/>
        <v>2402013627.3406525</v>
      </c>
      <c r="H17" s="120"/>
    </row>
    <row r="18" spans="2:8">
      <c r="B18" s="122">
        <v>3</v>
      </c>
      <c r="C18" s="123">
        <f t="shared" si="2"/>
        <v>2945612810.6531372</v>
      </c>
      <c r="D18" s="138">
        <f>IF($C$12&lt;B18,0,DDM!$C$11)</f>
        <v>6.1165848114484E-2</v>
      </c>
      <c r="E18" s="124">
        <f t="shared" si="0"/>
        <v>0.80496056950960304</v>
      </c>
      <c r="F18" s="125">
        <f t="shared" si="1"/>
        <v>2371102165.6181316</v>
      </c>
      <c r="H18" s="120"/>
    </row>
    <row r="19" spans="2:8">
      <c r="B19" s="122">
        <v>4</v>
      </c>
      <c r="C19" s="123">
        <f t="shared" si="2"/>
        <v>3125783716.4336247</v>
      </c>
      <c r="D19" s="138">
        <f>IF($C$12&lt;B19,0,DDM!$C$11)</f>
        <v>6.1165848114484E-2</v>
      </c>
      <c r="E19" s="124">
        <f t="shared" si="0"/>
        <v>0.7488005297763749</v>
      </c>
      <c r="F19" s="125">
        <f t="shared" si="1"/>
        <v>2340588502.8318644</v>
      </c>
      <c r="H19" s="120"/>
    </row>
    <row r="20" spans="2:8">
      <c r="B20" s="122">
        <v>5</v>
      </c>
      <c r="C20" s="123">
        <f t="shared" si="2"/>
        <v>3316974928.4717307</v>
      </c>
      <c r="D20" s="138">
        <f>IF($C$12&lt;B20,0,DDM!$C$11)</f>
        <v>6.1165848114484E-2</v>
      </c>
      <c r="E20" s="124">
        <f t="shared" si="0"/>
        <v>0.69655863235011617</v>
      </c>
      <c r="F20" s="125">
        <f t="shared" si="1"/>
        <v>2310467519.7158933</v>
      </c>
      <c r="H20" s="120"/>
    </row>
    <row r="21" spans="2:8">
      <c r="B21" s="122">
        <v>6</v>
      </c>
      <c r="C21" s="123">
        <f t="shared" si="2"/>
        <v>3519860513.146184</v>
      </c>
      <c r="D21" s="138">
        <f>IF($C$12&lt;B21,0,DDM!$C$11)</f>
        <v>6.1165848114484E-2</v>
      </c>
      <c r="E21" s="124">
        <f t="shared" si="0"/>
        <v>0.64796151846522443</v>
      </c>
      <c r="F21" s="125">
        <f t="shared" si="1"/>
        <v>2280734162.8839855</v>
      </c>
      <c r="H21" s="120"/>
    </row>
    <row r="22" spans="2:8">
      <c r="B22" s="122">
        <v>7</v>
      </c>
      <c r="C22" s="123">
        <f t="shared" si="2"/>
        <v>3735155766.6774521</v>
      </c>
      <c r="D22" s="138">
        <f>IF($C$12&lt;B22,0,DDM!$C$11)</f>
        <v>6.1165848114484E-2</v>
      </c>
      <c r="E22" s="124">
        <f t="shared" si="0"/>
        <v>0.60275490089788319</v>
      </c>
      <c r="F22" s="125">
        <f t="shared" si="1"/>
        <v>2251383443.9818244</v>
      </c>
      <c r="H22" s="120"/>
    </row>
    <row r="23" spans="2:8">
      <c r="B23" s="122">
        <v>8</v>
      </c>
      <c r="C23" s="123">
        <f t="shared" si="2"/>
        <v>3963619736.9859834</v>
      </c>
      <c r="D23" s="138">
        <f>IF($C$12&lt;B23,0,DDM!$C$11)</f>
        <v>6.1165848114484E-2</v>
      </c>
      <c r="E23" s="124">
        <f t="shared" si="0"/>
        <v>0.56070223339337966</v>
      </c>
      <c r="F23" s="125">
        <f t="shared" si="1"/>
        <v>2222410438.850121</v>
      </c>
      <c r="H23" s="120"/>
    </row>
    <row r="24" spans="2:8">
      <c r="B24" s="122">
        <v>9</v>
      </c>
      <c r="C24" s="123">
        <f t="shared" si="2"/>
        <v>4206057899.8020391</v>
      </c>
      <c r="D24" s="138">
        <f>IF($C$12&lt;B24,0,DDM!$C$11)</f>
        <v>6.1165848114484E-2</v>
      </c>
      <c r="E24" s="124">
        <f t="shared" si="0"/>
        <v>0.52158347292407414</v>
      </c>
      <c r="F24" s="125">
        <f t="shared" si="1"/>
        <v>2193810286.6984849</v>
      </c>
      <c r="H24" s="120"/>
    </row>
    <row r="25" spans="2:8">
      <c r="B25" s="122">
        <v>10</v>
      </c>
      <c r="C25" s="123">
        <f t="shared" si="2"/>
        <v>4463324998.4620562</v>
      </c>
      <c r="D25" s="138">
        <f>IF($C$12&lt;B25,0,DDM!$C$11)</f>
        <v>6.1165848114484E-2</v>
      </c>
      <c r="E25" s="124">
        <f t="shared" si="0"/>
        <v>0.48519392830146441</v>
      </c>
      <c r="F25" s="125">
        <f t="shared" si="1"/>
        <v>2165578189.2899327</v>
      </c>
      <c r="H25" s="120"/>
    </row>
    <row r="26" spans="2:8">
      <c r="B26" s="122">
        <v>11</v>
      </c>
      <c r="C26" s="123">
        <f t="shared" si="2"/>
        <v>4736328057.4035645</v>
      </c>
      <c r="D26" s="138">
        <f>IF($C$12&lt;B26,0,DDM!$C$11)</f>
        <v>6.1165848114484E-2</v>
      </c>
      <c r="E26" s="124">
        <f t="shared" si="0"/>
        <v>0.45134318911764126</v>
      </c>
      <c r="F26" s="125">
        <f t="shared" si="1"/>
        <v>2137709410.1358874</v>
      </c>
      <c r="H26" s="120"/>
    </row>
    <row r="27" spans="2:8">
      <c r="B27" s="122">
        <v>12</v>
      </c>
      <c r="C27" s="123">
        <f t="shared" si="2"/>
        <v>5026029579.9830799</v>
      </c>
      <c r="D27" s="138">
        <f>IF($C$12&lt;B27,0,DDM!$C$11)</f>
        <v>6.1165848114484E-2</v>
      </c>
      <c r="E27" s="124">
        <f t="shared" si="0"/>
        <v>0.41985412941175931</v>
      </c>
      <c r="F27" s="125">
        <f t="shared" si="1"/>
        <v>2110199273.7015464</v>
      </c>
      <c r="H27" s="120"/>
    </row>
    <row r="28" spans="2:8">
      <c r="B28" s="122">
        <v>13</v>
      </c>
      <c r="C28" s="123">
        <f t="shared" si="2"/>
        <v>5333450941.8912277</v>
      </c>
      <c r="D28" s="138">
        <f>IF($C$12&lt;B28,0,DDM!$C$11)</f>
        <v>6.1165848114484E-2</v>
      </c>
      <c r="E28" s="124">
        <f t="shared" si="0"/>
        <v>0.39056198084814819</v>
      </c>
      <c r="F28" s="125">
        <f t="shared" si="1"/>
        <v>2083043164.6214597</v>
      </c>
      <c r="H28" s="120"/>
    </row>
    <row r="29" spans="2:8">
      <c r="B29" s="122">
        <v>14</v>
      </c>
      <c r="C29" s="123">
        <f t="shared" si="2"/>
        <v>5659675992.1289978</v>
      </c>
      <c r="D29" s="138">
        <f>IF($C$12&lt;B29,0,DDM!$C$11)</f>
        <v>6.1165848114484E-2</v>
      </c>
      <c r="E29" s="124">
        <f t="shared" si="0"/>
        <v>0.36331347055641694</v>
      </c>
      <c r="F29" s="125">
        <f t="shared" si="1"/>
        <v>2056236526.9252186</v>
      </c>
      <c r="H29" s="120"/>
    </row>
    <row r="30" spans="2:8">
      <c r="B30" s="122">
        <v>15</v>
      </c>
      <c r="C30" s="123">
        <f t="shared" si="2"/>
        <v>6005854874.2407503</v>
      </c>
      <c r="D30" s="138">
        <f>IF($C$12&lt;B30,0,DDM!$C$11)</f>
        <v>6.1165848114484E-2</v>
      </c>
      <c r="E30" s="124">
        <f t="shared" si="0"/>
        <v>0.33796601912224833</v>
      </c>
      <c r="F30" s="125">
        <f t="shared" si="1"/>
        <v>2029774863.2730978</v>
      </c>
      <c r="H30" s="120"/>
    </row>
    <row r="31" spans="2:8">
      <c r="B31" s="122">
        <v>16</v>
      </c>
      <c r="C31" s="123">
        <f t="shared" si="2"/>
        <v>6373208081.2761927</v>
      </c>
      <c r="D31" s="138">
        <f>IF($C$12&lt;B31,0,DDM!$C$11)</f>
        <v>6.1165848114484E-2</v>
      </c>
      <c r="E31" s="124">
        <f t="shared" si="0"/>
        <v>0.31438699453232405</v>
      </c>
      <c r="F31" s="125">
        <f t="shared" si="1"/>
        <v>2003653734.2015419</v>
      </c>
      <c r="H31" s="120"/>
    </row>
    <row r="32" spans="2:8">
      <c r="B32" s="122">
        <v>17</v>
      </c>
      <c r="C32" s="123">
        <f t="shared" si="2"/>
        <v>6763030758.7775345</v>
      </c>
      <c r="D32" s="138">
        <f>IF($C$12&lt;B32,0,DDM!$C$11)</f>
        <v>6.1165848114484E-2</v>
      </c>
      <c r="E32" s="124">
        <f t="shared" si="0"/>
        <v>0.29245301816960378</v>
      </c>
      <c r="F32" s="125">
        <f t="shared" si="1"/>
        <v>1977868757.3783555</v>
      </c>
      <c r="H32" s="120"/>
    </row>
    <row r="33" spans="2:8">
      <c r="B33" s="122">
        <v>18</v>
      </c>
      <c r="C33" s="123">
        <f t="shared" si="2"/>
        <v>7176697270.9625044</v>
      </c>
      <c r="D33" s="138">
        <f>IF($C$12&lt;B33,0,DDM!$C$11)</f>
        <v>6.1165848114484E-2</v>
      </c>
      <c r="E33" s="124">
        <f t="shared" si="0"/>
        <v>0.27204931922753844</v>
      </c>
      <c r="F33" s="125">
        <f t="shared" si="1"/>
        <v>1952415606.8674824</v>
      </c>
      <c r="H33" s="120"/>
    </row>
    <row r="34" spans="2:8">
      <c r="B34" s="122">
        <v>19</v>
      </c>
      <c r="C34" s="123">
        <f t="shared" si="2"/>
        <v>7615666046.201827</v>
      </c>
      <c r="D34" s="138">
        <f>IF($C$12&lt;B34,0,DDM!$C$11)</f>
        <v>6.1165848114484E-2</v>
      </c>
      <c r="E34" s="124">
        <f t="shared" si="0"/>
        <v>0.25306913416515198</v>
      </c>
      <c r="F34" s="125">
        <f t="shared" si="1"/>
        <v>1927290012.4032426</v>
      </c>
      <c r="H34" s="120"/>
    </row>
    <row r="35" spans="2:8">
      <c r="B35" s="122">
        <v>20</v>
      </c>
      <c r="C35" s="123">
        <f t="shared" si="2"/>
        <v>8081484718.8744392</v>
      </c>
      <c r="D35" s="138">
        <f>IF($C$12&lt;B35,0,DDM!$C$11)</f>
        <v>6.1165848114484E-2</v>
      </c>
      <c r="E35" s="124">
        <f t="shared" si="0"/>
        <v>0.23541314806060654</v>
      </c>
      <c r="F35" s="125">
        <f t="shared" si="1"/>
        <v>1902487758.6739175</v>
      </c>
      <c r="H35" s="120"/>
    </row>
    <row r="36" spans="2:8">
      <c r="B36" s="122">
        <v>21</v>
      </c>
      <c r="C36" s="123">
        <f t="shared" si="2"/>
        <v>8575795585.7286367</v>
      </c>
      <c r="D36" s="138">
        <f>IF($C$12&lt;B36,0,DDM!$C$11)</f>
        <v>6.1165848114484E-2</v>
      </c>
      <c r="E36" s="124">
        <f t="shared" si="0"/>
        <v>0.21898897494009908</v>
      </c>
      <c r="F36" s="125">
        <f t="shared" si="1"/>
        <v>1878004684.6145408</v>
      </c>
      <c r="H36" s="120"/>
    </row>
    <row r="37" spans="2:8">
      <c r="B37" s="122">
        <v>22</v>
      </c>
      <c r="C37" s="123">
        <f t="shared" si="2"/>
        <v>9100341395.9861755</v>
      </c>
      <c r="D37" s="138">
        <f>IF($C$12&lt;B37,0,DDM!$C$11)</f>
        <v>6.1165848114484E-2</v>
      </c>
      <c r="E37" s="124">
        <f t="shared" si="0"/>
        <v>0.20371067436288287</v>
      </c>
      <c r="F37" s="125">
        <f t="shared" si="1"/>
        <v>1853836682.7088027</v>
      </c>
      <c r="H37" s="120"/>
    </row>
    <row r="38" spans="2:8">
      <c r="B38" s="122">
        <v>23</v>
      </c>
      <c r="C38" s="123">
        <f t="shared" si="2"/>
        <v>9656971495.6030159</v>
      </c>
      <c r="D38" s="138">
        <f>IF($C$12&lt;B38,0,DDM!$C$11)</f>
        <v>6.1165848114484E-2</v>
      </c>
      <c r="E38" s="124">
        <f t="shared" si="0"/>
        <v>0.18949830173291429</v>
      </c>
      <c r="F38" s="125">
        <f t="shared" si="1"/>
        <v>1829979698.299933</v>
      </c>
      <c r="H38" s="120"/>
    </row>
    <row r="39" spans="2:8">
      <c r="B39" s="122">
        <v>24</v>
      </c>
      <c r="C39" s="123">
        <f t="shared" si="2"/>
        <v>10247648347.348969</v>
      </c>
      <c r="D39" s="138">
        <f>IF($C$12&lt;B39,0,DDM!$C$11)</f>
        <v>6.1165848114484E-2</v>
      </c>
      <c r="E39" s="124">
        <f t="shared" si="0"/>
        <v>0.17627748998410636</v>
      </c>
      <c r="F39" s="125">
        <f t="shared" si="1"/>
        <v>1806429728.9104519</v>
      </c>
      <c r="H39" s="120"/>
    </row>
    <row r="40" spans="2:8">
      <c r="B40" s="122">
        <v>25</v>
      </c>
      <c r="C40" s="123">
        <f t="shared" si="2"/>
        <v>10874454449.69356</v>
      </c>
      <c r="D40" s="138">
        <f>IF($C$12&lt;B40,0,DDM!$C$11)</f>
        <v>6.1165848114484E-2</v>
      </c>
      <c r="E40" s="124">
        <f t="shared" si="0"/>
        <v>0.16397906045033148</v>
      </c>
      <c r="F40" s="125">
        <f t="shared" si="1"/>
        <v>1783182823.5706763</v>
      </c>
      <c r="H40" s="120"/>
    </row>
    <row r="41" spans="2:8">
      <c r="B41" s="122">
        <v>26</v>
      </c>
      <c r="C41" s="123">
        <f t="shared" si="2"/>
        <v>11539599678.891388</v>
      </c>
      <c r="D41" s="138">
        <f>IF($C$12&lt;B41,0,DDM!$C$11)</f>
        <v>6.1165848114484E-2</v>
      </c>
      <c r="E41" s="124">
        <f t="shared" si="0"/>
        <v>0.15253866088402931</v>
      </c>
      <c r="F41" s="125">
        <f t="shared" si="1"/>
        <v>1760235082.1558671</v>
      </c>
      <c r="H41" s="120"/>
    </row>
    <row r="42" spans="2:8">
      <c r="B42" s="122">
        <v>27</v>
      </c>
      <c r="C42" s="123">
        <f t="shared" si="2"/>
        <v>12245429080.152407</v>
      </c>
      <c r="D42" s="138">
        <f>IF($C$12&lt;B42,0,DDM!$C$11)</f>
        <v>6.1165848114484E-2</v>
      </c>
      <c r="E42" s="124">
        <f t="shared" si="0"/>
        <v>0.14189642872932959</v>
      </c>
      <c r="F42" s="125">
        <f t="shared" si="1"/>
        <v>1737582654.7319059</v>
      </c>
      <c r="H42" s="120"/>
    </row>
    <row r="43" spans="2:8">
      <c r="B43" s="122">
        <v>28</v>
      </c>
      <c r="C43" s="123">
        <f t="shared" si="2"/>
        <v>12994431135.36569</v>
      </c>
      <c r="D43" s="138">
        <f>IF($C$12&lt;B43,0,DDM!$C$11)</f>
        <v>6.1165848114484E-2</v>
      </c>
      <c r="E43" s="124">
        <f t="shared" si="0"/>
        <v>0.13199667788774846</v>
      </c>
      <c r="F43" s="125">
        <f t="shared" si="1"/>
        <v>1715221740.9093945</v>
      </c>
      <c r="H43" s="120"/>
    </row>
    <row r="44" spans="2:8">
      <c r="B44" s="122">
        <v>29</v>
      </c>
      <c r="C44" s="123">
        <f t="shared" si="2"/>
        <v>13789246536.525589</v>
      </c>
      <c r="D44" s="138">
        <f>IF($C$12&lt;B44,0,DDM!$C$11)</f>
        <v>6.1165848114484E-2</v>
      </c>
      <c r="E44" s="124">
        <f t="shared" si="0"/>
        <v>0.1227876073374404</v>
      </c>
      <c r="F44" s="125">
        <f t="shared" si="1"/>
        <v>1693148589.206064</v>
      </c>
      <c r="H44" s="120"/>
    </row>
    <row r="45" spans="2:8">
      <c r="B45" s="122">
        <v>30</v>
      </c>
      <c r="C45" s="123">
        <f t="shared" si="2"/>
        <v>14632677495.791887</v>
      </c>
      <c r="D45" s="138">
        <f>IF($C$12&lt;B45,0,DDM!$C$11)</f>
        <v>6.1165848114484E-2</v>
      </c>
      <c r="E45" s="124">
        <f t="shared" si="0"/>
        <v>0.11422103008133992</v>
      </c>
      <c r="F45" s="125">
        <f t="shared" si="1"/>
        <v>1671359496.4173908</v>
      </c>
      <c r="H45" s="120"/>
    </row>
    <row r="46" spans="2:8">
      <c r="B46" s="126" t="s">
        <v>130</v>
      </c>
      <c r="C46" s="123">
        <f>C$16*(1+F4)^$C$12/Equity_Cost</f>
        <v>34877702394.056839</v>
      </c>
      <c r="D46" s="139">
        <f>Terminal_Growth</f>
        <v>0</v>
      </c>
      <c r="E46" s="124">
        <f>1/(1+Equity_Cost)^C12</f>
        <v>0.11422103008133992</v>
      </c>
      <c r="F46" s="125">
        <f t="shared" si="1"/>
        <v>3983767094.3195877</v>
      </c>
      <c r="H46" s="120"/>
    </row>
    <row r="47" spans="2:8">
      <c r="C47" s="114"/>
      <c r="E47" s="127" t="s">
        <v>100</v>
      </c>
      <c r="F47" s="137">
        <f>SUM(F16:F46)</f>
        <v>64864843795.241226</v>
      </c>
      <c r="H47" s="120"/>
    </row>
    <row r="48" spans="2:8">
      <c r="C48" s="114"/>
      <c r="H48" s="120"/>
    </row>
    <row r="49" spans="1:8" ht="13.15">
      <c r="B49" s="119" t="s">
        <v>128</v>
      </c>
      <c r="C49" s="136"/>
      <c r="D49" s="136"/>
      <c r="E49" s="117"/>
      <c r="F49" s="117"/>
      <c r="H49" s="120"/>
    </row>
    <row r="50" spans="1:8" ht="13.15">
      <c r="A50" s="133">
        <f>F47</f>
        <v>64864843795.241226</v>
      </c>
      <c r="B50" s="131">
        <f>C73</f>
        <v>0.02</v>
      </c>
      <c r="C50" s="131">
        <f>C72</f>
        <v>0.04</v>
      </c>
      <c r="D50" s="131">
        <f>C71</f>
        <v>0.06</v>
      </c>
      <c r="E50" s="131">
        <f>C70</f>
        <v>0.08</v>
      </c>
      <c r="F50" s="131">
        <f>C69</f>
        <v>0.1</v>
      </c>
      <c r="H50" s="120"/>
    </row>
    <row r="51" spans="1:8" ht="13.15">
      <c r="A51" s="143">
        <v>5</v>
      </c>
      <c r="B51" s="123">
        <f t="dataTable" ref="B51:F56" dt2D="1" dtr="1" r1="C11" r2="C12"/>
        <v>33909583459.920471</v>
      </c>
      <c r="C51" s="123">
        <v>34982185948.931656</v>
      </c>
      <c r="D51" s="123">
        <v>36086485660.252266</v>
      </c>
      <c r="E51" s="123">
        <v>37223858704.912041</v>
      </c>
      <c r="F51" s="123">
        <v>38395723227.383118</v>
      </c>
      <c r="H51" s="120"/>
    </row>
    <row r="52" spans="1:8" ht="13.15">
      <c r="A52" s="143">
        <v>10</v>
      </c>
      <c r="B52" s="123">
        <v>34943098160.980194</v>
      </c>
      <c r="C52" s="123">
        <v>37225578472.106789</v>
      </c>
      <c r="D52" s="123">
        <v>39739605583.068748</v>
      </c>
      <c r="E52" s="123">
        <v>42512781673.522774</v>
      </c>
      <c r="F52" s="123">
        <v>45575765687.396332</v>
      </c>
      <c r="H52" s="120"/>
    </row>
    <row r="53" spans="1:8" ht="13.15">
      <c r="A53" s="143">
        <v>15</v>
      </c>
      <c r="B53" s="123">
        <v>36251648803.70726</v>
      </c>
      <c r="C53" s="123">
        <v>40217103052.394547</v>
      </c>
      <c r="D53" s="123">
        <v>44879741228.541809</v>
      </c>
      <c r="E53" s="123">
        <v>50378612264.61731</v>
      </c>
      <c r="F53" s="123">
        <v>56880119592.513763</v>
      </c>
      <c r="H53" s="120"/>
    </row>
    <row r="54" spans="1:8" ht="13.15">
      <c r="A54" s="144">
        <v>20</v>
      </c>
      <c r="B54" s="123">
        <v>37615834197.151939</v>
      </c>
      <c r="C54" s="123">
        <v>43511800027.634636</v>
      </c>
      <c r="D54" s="123">
        <v>50879570939.008904</v>
      </c>
      <c r="E54" s="123">
        <v>60137569810.176651</v>
      </c>
      <c r="F54" s="123">
        <v>71825099994.351868</v>
      </c>
      <c r="H54" s="120"/>
    </row>
    <row r="55" spans="1:8" ht="13.15">
      <c r="A55" s="144">
        <v>25</v>
      </c>
      <c r="B55" s="123">
        <v>38914223839.965965</v>
      </c>
      <c r="C55" s="123">
        <v>46832972105.40419</v>
      </c>
      <c r="D55" s="123">
        <v>57314076300.593391</v>
      </c>
      <c r="E55" s="123">
        <v>71315665101.297974</v>
      </c>
      <c r="F55" s="123">
        <v>90167321463.705612</v>
      </c>
      <c r="H55" s="120"/>
    </row>
    <row r="56" spans="1:8" ht="13.15">
      <c r="A56" s="144">
        <v>30</v>
      </c>
      <c r="B56" s="123">
        <v>40086379037.852257</v>
      </c>
      <c r="C56" s="123">
        <v>50016056016.64325</v>
      </c>
      <c r="D56" s="123">
        <v>63898344335.880554</v>
      </c>
      <c r="E56" s="123">
        <v>83585095065.84053</v>
      </c>
      <c r="F56" s="123">
        <v>111842174538.08043</v>
      </c>
      <c r="H56" s="120"/>
    </row>
    <row r="57" spans="1:8">
      <c r="C57" s="114"/>
      <c r="D57" s="114"/>
      <c r="E57" s="114"/>
      <c r="F57" s="114"/>
      <c r="H57" s="120"/>
    </row>
    <row r="58" spans="1:8" ht="13.15">
      <c r="B58" s="119" t="s">
        <v>129</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26.400000000000002</v>
      </c>
      <c r="C60" s="124">
        <f>C7</f>
        <v>26.400000000000002</v>
      </c>
      <c r="D60" s="124">
        <f>C7</f>
        <v>26.400000000000002</v>
      </c>
      <c r="E60" s="141">
        <f>C7</f>
        <v>26.400000000000002</v>
      </c>
      <c r="F60" s="124">
        <f>C7</f>
        <v>26.400000000000002</v>
      </c>
      <c r="H60" s="120"/>
    </row>
    <row r="61" spans="1:8" ht="13.15">
      <c r="A61" s="143">
        <f t="shared" ref="A61:A66" si="3">A51</f>
        <v>5</v>
      </c>
      <c r="B61" s="124">
        <f t="shared" ref="B61:F66" si="4">B51/Common_Shares*$C$3*Exchange_Rate</f>
        <v>27.237157287525253</v>
      </c>
      <c r="C61" s="124">
        <f t="shared" si="4"/>
        <v>28.09870260065831</v>
      </c>
      <c r="D61" s="124">
        <f t="shared" si="4"/>
        <v>28.98570803867435</v>
      </c>
      <c r="E61" s="124">
        <f t="shared" si="4"/>
        <v>29.899278933716609</v>
      </c>
      <c r="F61" s="124">
        <f t="shared" si="4"/>
        <v>30.840554380403866</v>
      </c>
      <c r="H61" s="120"/>
    </row>
    <row r="62" spans="1:8" ht="13.15">
      <c r="A62" s="143">
        <f t="shared" si="3"/>
        <v>10</v>
      </c>
      <c r="B62" s="124">
        <f t="shared" si="4"/>
        <v>28.067306159893601</v>
      </c>
      <c r="C62" s="124">
        <f t="shared" si="4"/>
        <v>29.900660300421883</v>
      </c>
      <c r="D62" s="124">
        <f t="shared" si="4"/>
        <v>31.919999521362413</v>
      </c>
      <c r="E62" s="124">
        <f t="shared" si="4"/>
        <v>34.147494691008994</v>
      </c>
      <c r="F62" s="124">
        <f t="shared" si="4"/>
        <v>36.607771959046111</v>
      </c>
      <c r="H62" s="120"/>
    </row>
    <row r="63" spans="1:8" ht="13.15">
      <c r="A63" s="143">
        <f t="shared" si="3"/>
        <v>15</v>
      </c>
      <c r="B63" s="124">
        <f t="shared" si="4"/>
        <v>29.118371848057407</v>
      </c>
      <c r="C63" s="124">
        <f t="shared" si="4"/>
        <v>32.303539286508574</v>
      </c>
      <c r="D63" s="124">
        <f t="shared" si="4"/>
        <v>36.048705001346896</v>
      </c>
      <c r="E63" s="124">
        <f t="shared" si="4"/>
        <v>40.465557113093737</v>
      </c>
      <c r="F63" s="124">
        <f t="shared" si="4"/>
        <v>45.68775566664474</v>
      </c>
      <c r="H63" s="120"/>
    </row>
    <row r="64" spans="1:8" ht="13.15">
      <c r="A64" s="144">
        <f t="shared" si="3"/>
        <v>20</v>
      </c>
      <c r="B64" s="124">
        <f t="shared" si="4"/>
        <v>30.214124975621317</v>
      </c>
      <c r="C64" s="124">
        <f t="shared" si="4"/>
        <v>34.949935100701168</v>
      </c>
      <c r="D64" s="124">
        <f t="shared" si="4"/>
        <v>40.867941596084549</v>
      </c>
      <c r="E64" s="124">
        <f t="shared" si="4"/>
        <v>48.304233808867707</v>
      </c>
      <c r="F64" s="124">
        <f t="shared" si="4"/>
        <v>57.691995776080795</v>
      </c>
      <c r="H64" s="120"/>
    </row>
    <row r="65" spans="1:8" ht="13.15">
      <c r="A65" s="144">
        <f t="shared" si="3"/>
        <v>25</v>
      </c>
      <c r="B65" s="124">
        <f t="shared" si="4"/>
        <v>31.257029055042356</v>
      </c>
      <c r="C65" s="124">
        <f t="shared" si="4"/>
        <v>37.617596482270926</v>
      </c>
      <c r="D65" s="124">
        <f t="shared" si="4"/>
        <v>46.036322234202608</v>
      </c>
      <c r="E65" s="124">
        <f t="shared" si="4"/>
        <v>57.282802949331305</v>
      </c>
      <c r="F65" s="124">
        <f t="shared" si="4"/>
        <v>72.42499807774287</v>
      </c>
    </row>
    <row r="66" spans="1:8" ht="13.15">
      <c r="A66" s="144">
        <f t="shared" si="3"/>
        <v>30</v>
      </c>
      <c r="B66" s="124">
        <f t="shared" si="4"/>
        <v>32.198537980622483</v>
      </c>
      <c r="C66" s="124">
        <f t="shared" si="4"/>
        <v>40.174341458282868</v>
      </c>
      <c r="D66" s="124">
        <f t="shared" si="4"/>
        <v>51.324996579386138</v>
      </c>
      <c r="E66" s="124">
        <f t="shared" si="4"/>
        <v>67.137963634731975</v>
      </c>
      <c r="F66" s="124">
        <f t="shared" si="4"/>
        <v>89.834866384398012</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89.834866384398012</v>
      </c>
      <c r="F69" s="142">
        <f>Scenarios!C58</f>
        <v>0.05</v>
      </c>
    </row>
    <row r="70" spans="1:8">
      <c r="B70" s="127" t="str">
        <f>Scenarios!B36</f>
        <v>Optimistic</v>
      </c>
      <c r="C70" s="142">
        <f>Scenarios!C38</f>
        <v>0.08</v>
      </c>
      <c r="D70" s="145">
        <f>Scenarios!C37</f>
        <v>30</v>
      </c>
      <c r="E70" s="135">
        <f>INDEX(B$60:F$66, MATCH(D70, A$60:A$66, 0), MATCH(C70, B$59:F$59, 0))</f>
        <v>67.137963634731975</v>
      </c>
      <c r="F70" s="142">
        <f>Scenarios!C40*(1-F$69-F$73)</f>
        <v>0.18</v>
      </c>
      <c r="H70" s="120"/>
    </row>
    <row r="71" spans="1:8">
      <c r="B71" s="127" t="str">
        <f>Scenarios!B24</f>
        <v>Base</v>
      </c>
      <c r="C71" s="142">
        <f>Scenarios!C26</f>
        <v>0.06</v>
      </c>
      <c r="D71" s="145">
        <f>Scenarios!C25</f>
        <v>30</v>
      </c>
      <c r="E71" s="135">
        <f>INDEX(B$60:F$66, MATCH(D71, A$60:A$66, 0), MATCH(C71, B$59:F$59, 0))</f>
        <v>51.324996579386138</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40.174341458282868</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32.198537980622483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-51.2</v>
      </c>
    </row>
    <row r="4" spans="2:9">
      <c r="B4" s="152" t="s">
        <v>145</v>
      </c>
      <c r="C4" s="120">
        <v>3</v>
      </c>
      <c r="D4" s="120"/>
      <c r="E4" s="155" t="s">
        <v>149</v>
      </c>
      <c r="F4" s="155"/>
      <c r="H4" s="247">
        <v>1</v>
      </c>
      <c r="I4" s="124">
        <f t="shared" ref="I4:I13" si="0">IF(ROW()-3 &lt; $C$76, $C$77, IF(ROW()-3 = $C$76, $C$77 + $C$60, ""))</f>
        <v>1.8069612690080918</v>
      </c>
    </row>
    <row r="5" spans="2:9">
      <c r="H5" s="247">
        <v>2</v>
      </c>
      <c r="I5" s="124">
        <f t="shared" si="0"/>
        <v>1.8069612690080918</v>
      </c>
    </row>
    <row r="6" spans="2:9" ht="13.15">
      <c r="B6" s="159" t="s">
        <v>95</v>
      </c>
      <c r="C6" s="107">
        <f>DCF!C3</f>
        <v>1</v>
      </c>
      <c r="E6" s="100" t="s">
        <v>278</v>
      </c>
      <c r="F6" s="100"/>
      <c r="H6" s="247">
        <v>3</v>
      </c>
      <c r="I6" s="124">
        <f t="shared" si="0"/>
        <v>74.956245059273613</v>
      </c>
    </row>
    <row r="7" spans="2:9" ht="12.75" customHeight="1">
      <c r="B7" s="100" t="s">
        <v>274</v>
      </c>
      <c r="C7" s="338">
        <f>Normalized_FCF!G8</f>
        <v>4487792577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8"/>
      <c r="H7" s="247">
        <v>4</v>
      </c>
      <c r="I7" s="124" t="str">
        <f t="shared" si="0"/>
        <v/>
      </c>
    </row>
    <row r="8" spans="2:9">
      <c r="B8" s="100" t="s">
        <v>66</v>
      </c>
      <c r="C8" s="338">
        <f>Normalized_FCF!G19</f>
        <v>3154758363.646697</v>
      </c>
      <c r="D8" t="str">
        <f>Reporting_currency</f>
        <v>CNY</v>
      </c>
      <c r="E8" s="368"/>
      <c r="F8" s="368"/>
      <c r="H8" s="247">
        <v>5</v>
      </c>
      <c r="I8" s="124" t="str">
        <f t="shared" si="0"/>
        <v/>
      </c>
    </row>
    <row r="9" spans="2:9">
      <c r="B9" s="100" t="s">
        <v>57</v>
      </c>
      <c r="C9" s="338">
        <f>Normalized_FCF!C19</f>
        <v>2878318472.4941616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2.1321347914251776E-2</v>
      </c>
      <c r="D12" s="158"/>
      <c r="E12" s="368"/>
      <c r="F12" s="368"/>
      <c r="H12" s="247">
        <v>9</v>
      </c>
      <c r="I12" s="124" t="str">
        <f t="shared" si="0"/>
        <v/>
      </c>
    </row>
    <row r="13" spans="2:9">
      <c r="B13" s="148" t="s">
        <v>151</v>
      </c>
      <c r="C13" s="158">
        <f ca="1">(Normalized_FCF!G8/OFFSET(Normalized_FCF!G8, 0, $C$4))^(1/$C$4) - 1</f>
        <v>0.15185942572632172</v>
      </c>
      <c r="E13" s="368"/>
      <c r="F13" s="368"/>
      <c r="H13" s="247">
        <v>10</v>
      </c>
      <c r="I13" s="124" t="str">
        <f t="shared" si="0"/>
        <v/>
      </c>
    </row>
    <row r="14" spans="2:9">
      <c r="B14" s="100" t="s">
        <v>66</v>
      </c>
      <c r="C14" s="158">
        <f ca="1">(Normalized_FCF!G19/OFFSET(Normalized_FCF!G19, 0, $C$4))^(1/$C$4) - 1</f>
        <v>0.22851044779007235</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51.2</v>
      </c>
      <c r="D21" t="str">
        <f>Market_currency</f>
        <v>HKD</v>
      </c>
      <c r="E21" s="369"/>
      <c r="F21" s="369"/>
    </row>
    <row r="22" spans="2:6">
      <c r="B22" s="100" t="s">
        <v>277</v>
      </c>
      <c r="C22" s="160">
        <f>IF(valuation_method="DCF",DCF!C12,DDM!C7)</f>
        <v>43.105834024661675</v>
      </c>
      <c r="D22" t="str">
        <f>Market_currency</f>
        <v>HKD</v>
      </c>
      <c r="E22" s="369"/>
      <c r="F22" s="369"/>
    </row>
    <row r="24" spans="2:6" ht="13.15">
      <c r="B24" s="159" t="s">
        <v>114</v>
      </c>
      <c r="E24" s="159" t="s">
        <v>148</v>
      </c>
      <c r="F24" s="159"/>
    </row>
    <row r="25" spans="2:6">
      <c r="B25" s="152" t="s">
        <v>132</v>
      </c>
      <c r="C25" s="166">
        <f>C18</f>
        <v>30</v>
      </c>
      <c r="D25" s="163"/>
      <c r="E25" s="367"/>
      <c r="F25" s="367"/>
    </row>
    <row r="26" spans="2:6">
      <c r="B26" s="118" t="s">
        <v>133</v>
      </c>
      <c r="C26" s="164">
        <v>0.06</v>
      </c>
      <c r="D26" s="164"/>
      <c r="E26" s="367"/>
      <c r="F26" s="367"/>
    </row>
    <row r="27" spans="2:6">
      <c r="B27" s="100" t="s">
        <v>112</v>
      </c>
      <c r="C27" s="160">
        <f>IF(valuation_method="DCF",DCF!E76,DDM!E71)</f>
        <v>72.209526033002163</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0.04</v>
      </c>
      <c r="D32" s="164"/>
      <c r="E32" s="367"/>
      <c r="F32" s="367"/>
    </row>
    <row r="33" spans="2:6">
      <c r="B33" s="100" t="s">
        <v>112</v>
      </c>
      <c r="C33" s="160">
        <f>IF(valuation_method="DCF",DCF!E77,DDM!E72)</f>
        <v>59.189454744237828</v>
      </c>
      <c r="D33" t="str">
        <f>Market_currency</f>
        <v>HKD</v>
      </c>
      <c r="E33" s="367"/>
      <c r="F33" s="367"/>
    </row>
    <row r="34" spans="2:6">
      <c r="B34" s="100" t="s">
        <v>146</v>
      </c>
      <c r="C34" s="165">
        <v>0.3</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0.08</v>
      </c>
      <c r="D38" s="164"/>
      <c r="E38" s="367"/>
      <c r="F38" s="367"/>
    </row>
    <row r="39" spans="2:6">
      <c r="B39" s="100" t="s">
        <v>112</v>
      </c>
      <c r="C39" s="160">
        <f>IF(valuation_method="DCF",DCF!E75,DDM!E70)</f>
        <v>90.673549546547392</v>
      </c>
      <c r="D39" t="str">
        <f>Market_currency</f>
        <v>HKD</v>
      </c>
      <c r="E39" s="367"/>
      <c r="F39" s="367"/>
    </row>
    <row r="40" spans="2:6">
      <c r="B40" s="100" t="s">
        <v>146</v>
      </c>
      <c r="C40" s="167">
        <f>1-C28-C34</f>
        <v>0.2</v>
      </c>
      <c r="D40" s="165"/>
      <c r="E40" s="367"/>
      <c r="F40" s="367"/>
    </row>
    <row r="42" spans="2:6" ht="13.15">
      <c r="B42" s="100" t="s">
        <v>119</v>
      </c>
      <c r="C42" s="154">
        <f>C27*C28+C33*C34+C39*C40</f>
        <v>71.996309349081912</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0.02</v>
      </c>
      <c r="D50" s="164"/>
      <c r="E50" s="367"/>
      <c r="F50" s="367"/>
    </row>
    <row r="51" spans="2:6">
      <c r="B51" s="100" t="s">
        <v>112</v>
      </c>
      <c r="C51" s="160">
        <f>IF(valuation_method="DCF",DCF!E78,DDM!E73)</f>
        <v>49.876501492928078</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117.17560602890798</v>
      </c>
      <c r="D57" t="str">
        <f>Market_currency</f>
        <v>HKD</v>
      </c>
      <c r="E57" s="367"/>
      <c r="F57" s="367"/>
    </row>
    <row r="58" spans="2:6">
      <c r="B58" s="100" t="s">
        <v>146</v>
      </c>
      <c r="C58" s="165">
        <v>0.05</v>
      </c>
      <c r="D58" s="165"/>
      <c r="E58" s="367"/>
      <c r="F58" s="367"/>
    </row>
    <row r="60" spans="2:6" ht="13.15">
      <c r="B60" s="100" t="s">
        <v>119</v>
      </c>
      <c r="C60" s="154">
        <f>C51*C52+C57*C58+C42*(1-C52-C58)</f>
        <v>73.149283790265514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6.1165848114484E-2</v>
      </c>
      <c r="D65" s="151"/>
      <c r="E65" s="251" t="s">
        <v>309</v>
      </c>
    </row>
    <row r="66" spans="2:6">
      <c r="B66" s="100" t="s">
        <v>102</v>
      </c>
      <c r="C66" s="160">
        <f>IF(valuation_method="DCF",DCF!C18,DDM!C13)</f>
        <v>73.115997039225945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0.1678738665240796</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1.8069612690080918</v>
      </c>
      <c r="D77" t="str">
        <f>Market_currency</f>
        <v>HKD</v>
      </c>
    </row>
    <row r="79" spans="2:6" ht="13.15">
      <c r="B79" s="109" t="s">
        <v>300</v>
      </c>
    </row>
    <row r="80" spans="2:6">
      <c r="B80" s="148" t="s">
        <v>298</v>
      </c>
      <c r="C80" s="167">
        <f>Thesis!F29</f>
        <v>0.3674</v>
      </c>
    </row>
    <row r="81" spans="2:8">
      <c r="B81" s="100" t="s">
        <v>120</v>
      </c>
      <c r="C81" s="116">
        <f>PV(C80, C76, -C77, 0)</f>
        <v>2.9946034027950117</v>
      </c>
      <c r="D81" s="116"/>
      <c r="E81" s="100"/>
      <c r="F81" s="100"/>
    </row>
    <row r="82" spans="2:8">
      <c r="B82" s="100" t="s">
        <v>121</v>
      </c>
      <c r="C82" s="116">
        <f>C60/(1+C80)^C76</f>
        <v>28.610361915633387</v>
      </c>
      <c r="D82" s="116"/>
    </row>
    <row r="83" spans="2:8" ht="13.15">
      <c r="B83" s="110" t="s">
        <v>101</v>
      </c>
      <c r="C83" s="111">
        <f>C81+C82</f>
        <v>31.604965318428398</v>
      </c>
      <c r="D83" t="str">
        <f>Market_currency</f>
        <v>HKD</v>
      </c>
      <c r="E83" s="146" t="s">
        <v>125</v>
      </c>
      <c r="F83" s="291">
        <f>(1-C83/C60)</f>
        <v>0.56793882754824332</v>
      </c>
    </row>
    <row r="84" spans="2:8">
      <c r="E84" s="120"/>
    </row>
    <row r="85" spans="2:8" ht="13.15">
      <c r="B85" s="109" t="s">
        <v>301</v>
      </c>
    </row>
    <row r="86" spans="2:8">
      <c r="B86" s="148" t="s">
        <v>299</v>
      </c>
      <c r="C86" s="116">
        <f>Market_Price</f>
        <v>51.2</v>
      </c>
      <c r="D86" t="str">
        <f>Market_currency</f>
        <v>HKD</v>
      </c>
    </row>
    <row r="87" spans="2:8" ht="13.15">
      <c r="B87" s="100" t="s">
        <v>297</v>
      </c>
      <c r="C87" s="237">
        <f ca="1">IRR(OFFSET($I$3, 0, 0, $C$76 + 1, 1))</f>
        <v>0.15783274403317971</v>
      </c>
    </row>
    <row r="88" spans="2:8">
      <c r="B88" s="100"/>
    </row>
    <row r="89" spans="2:8" ht="13.15">
      <c r="B89" s="109" t="s">
        <v>409</v>
      </c>
    </row>
    <row r="90" spans="2:8">
      <c r="B90" s="148" t="s">
        <v>410</v>
      </c>
      <c r="C90" s="167">
        <f>Thesis!F30</f>
        <v>0.21740000000000001</v>
      </c>
    </row>
    <row r="91" spans="2:8">
      <c r="B91" s="100" t="s">
        <v>120</v>
      </c>
      <c r="C91" s="116">
        <f>PV(C90, C76, -C77, 0)</f>
        <v>3.7049948746662231</v>
      </c>
      <c r="D91" s="116"/>
      <c r="E91" s="100"/>
      <c r="F91" s="100"/>
    </row>
    <row r="92" spans="2:8">
      <c r="B92" s="100" t="s">
        <v>121</v>
      </c>
      <c r="C92" s="116">
        <f>C60/(1+C90)^C76</f>
        <v>40.542468320100205</v>
      </c>
      <c r="D92" s="116"/>
    </row>
    <row r="93" spans="2:8" ht="13.15">
      <c r="B93" s="110" t="s">
        <v>101</v>
      </c>
      <c r="C93" s="111">
        <f>C91+C92</f>
        <v>44.247463194766425</v>
      </c>
      <c r="D93" t="str">
        <f>Market_currency</f>
        <v>HKD</v>
      </c>
      <c r="E93" s="146" t="s">
        <v>125</v>
      </c>
      <c r="F93" s="291">
        <f>(1-C93/C60)</f>
        <v>0.39510736261433166</v>
      </c>
    </row>
    <row r="95" spans="2:8" ht="13.15">
      <c r="B95" s="109" t="s">
        <v>394</v>
      </c>
      <c r="G95" s="2"/>
      <c r="H95" s="281"/>
    </row>
    <row r="96" spans="2:8">
      <c r="B96" s="148" t="s">
        <v>400</v>
      </c>
      <c r="C96" s="134">
        <f>Thesis!F31</f>
        <v>7.4999999999999997E-2</v>
      </c>
      <c r="G96" s="2"/>
      <c r="H96" s="281"/>
    </row>
    <row r="97" spans="2:8">
      <c r="B97" s="100" t="s">
        <v>120</v>
      </c>
      <c r="C97" s="116">
        <f>PV(C96, C76, -C77, 0)</f>
        <v>4.6990492910072437</v>
      </c>
      <c r="D97" s="116"/>
      <c r="G97" s="2"/>
      <c r="H97" s="281"/>
    </row>
    <row r="98" spans="2:8">
      <c r="B98" s="100" t="s">
        <v>121</v>
      </c>
      <c r="C98" s="116">
        <f>C60/(1+C96)^C76</f>
        <v>58.882289139031698</v>
      </c>
      <c r="D98" s="116"/>
      <c r="G98" s="2"/>
      <c r="H98" s="281"/>
    </row>
    <row r="99" spans="2:8" ht="13.15">
      <c r="B99" s="110" t="s">
        <v>395</v>
      </c>
      <c r="C99" s="111">
        <f>C97+C98</f>
        <v>63.58133843003894</v>
      </c>
      <c r="D99" t="s">
        <v>393</v>
      </c>
      <c r="E99" s="146" t="s">
        <v>125</v>
      </c>
      <c r="F99" s="291">
        <f>(1-C99/C60)</f>
        <v>0.13080026029591618</v>
      </c>
    </row>
    <row r="100" spans="2:8">
      <c r="B100" s="100"/>
    </row>
    <row r="101" spans="2:8" ht="13.15">
      <c r="B101" s="109" t="s">
        <v>419</v>
      </c>
    </row>
    <row r="102" spans="2:8">
      <c r="B102" s="148" t="s">
        <v>418</v>
      </c>
      <c r="C102" s="134">
        <f>Thesis!F32</f>
        <v>0.1174</v>
      </c>
    </row>
    <row r="103" spans="2:8">
      <c r="B103" s="100" t="s">
        <v>120</v>
      </c>
      <c r="C103" s="116">
        <f>PV(C102, C76, -C77, 0)</f>
        <v>4.3594804060589905</v>
      </c>
      <c r="D103" s="116"/>
    </row>
    <row r="104" spans="2:8">
      <c r="B104" s="100" t="s">
        <v>121</v>
      </c>
      <c r="C104" s="116">
        <f>C60/(1+C102)^C76</f>
        <v>52.430509398262039</v>
      </c>
      <c r="D104" s="116"/>
    </row>
    <row r="105" spans="2:8" ht="13.15">
      <c r="B105" s="110" t="s">
        <v>395</v>
      </c>
      <c r="C105" s="111">
        <f>C103+C104</f>
        <v>56.789989804321031</v>
      </c>
      <c r="D105" t="s">
        <v>393</v>
      </c>
      <c r="E105" s="146" t="s">
        <v>125</v>
      </c>
      <c r="F105" s="291">
        <f>(1-C105/C66)</f>
        <v>0.22328912818006419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