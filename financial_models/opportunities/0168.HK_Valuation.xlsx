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29432F-CA32-4BF9-90B5-FE28AE7E1980}"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<sst xmlns="http://schemas.openxmlformats.org/spreadsheetml/2006/main" count="836" uniqueCount="560">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</sst>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9B5A239-A9E3-4C42-9380-DF203578333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68.HK_Valuation_backup.xlsx" TargetMode="External"/><Relationship Id="rId1" Type="http://schemas.openxmlformats.org/officeDocument/2006/relationships/externalLinkPath" Target="016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1364196788</v>
          </cell>
        </row>
        <row r="12">
          <cell r="C12">
            <v>52.2</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青島啤酒股份</v>
      </c>
    </row>
    <row r="6" spans="1:10">
      <c r="B6" s="4" t="s">
        <v>481</v>
      </c>
      <c r="C6" s="34">
        <f>Common_Shares</f>
        <v>1364196788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0168.HK</v>
      </c>
      <c r="D11" s="49"/>
      <c r="E11" s="34"/>
    </row>
    <row r="12" spans="1:10">
      <c r="B12" s="4" t="s">
        <v>485</v>
      </c>
      <c r="C12" s="366">
        <f>Market_Price</f>
        <v>51.65</v>
      </c>
      <c r="D12" s="50"/>
      <c r="E12" s="48"/>
    </row>
    <row r="13" spans="1:10">
      <c r="B13" s="1" t="s">
        <v>486</v>
      </c>
      <c r="C13" s="32" t="str">
        <f>Market_currency</f>
        <v>HKD</v>
      </c>
      <c r="D13" s="48"/>
      <c r="E13" s="5"/>
    </row>
    <row r="14" spans="1:10">
      <c r="B14" s="4" t="s">
        <v>487</v>
      </c>
      <c r="C14" s="35">
        <f>投资主题!C12*Common_Shares/1000000</f>
        <v>70460.764100200002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72.994626259159944</v>
      </c>
      <c r="D26" s="1" t="s">
        <v>447</v>
      </c>
      <c r="E26" s="301">
        <f ca="1">Scenarios!C87</f>
        <v>0.15365436483225703</v>
      </c>
    </row>
    <row r="27" spans="2:6">
      <c r="D27" s="5"/>
      <c r="E27" s="5"/>
    </row>
    <row r="28" spans="2:6">
      <c r="B28" s="45" t="s">
        <v>449</v>
      </c>
      <c r="C28" s="309" t="str">
        <f>C145&amp;" ("&amp;Market_currency&amp;")"</f>
        <v>0168.HK (HKD)</v>
      </c>
      <c r="D28" s="309" t="str">
        <f>IF(D11="","",D145&amp;" ("&amp;D13&amp;")")</f>
        <v/>
      </c>
      <c r="E28" s="305" t="s">
        <v>454</v>
      </c>
      <c r="F28" s="361">
        <f>Thesis!F28</f>
        <v>3</v>
      </c>
    </row>
    <row r="29" spans="2:6">
      <c r="B29" s="1" t="s">
        <v>450</v>
      </c>
      <c r="C29" s="310">
        <f>C149</f>
        <v>32.738960825033416</v>
      </c>
      <c r="D29" s="310" t="str">
        <f>D149</f>
        <v/>
      </c>
      <c r="E29" s="306" t="s">
        <v>456</v>
      </c>
      <c r="F29" s="362">
        <f>Thesis!F29</f>
        <v>0.35</v>
      </c>
    </row>
    <row r="30" spans="2:6">
      <c r="B30" s="1" t="s">
        <v>451</v>
      </c>
      <c r="C30" s="311">
        <f>C157</f>
        <v>40.907898189660102</v>
      </c>
      <c r="D30" s="311" t="str">
        <f>D157</f>
        <v/>
      </c>
      <c r="E30" s="307" t="s">
        <v>455</v>
      </c>
      <c r="F30" s="224">
        <f>Thesis!F30</f>
        <v>0.25</v>
      </c>
    </row>
    <row r="31" spans="2:6">
      <c r="B31" s="1" t="s">
        <v>452</v>
      </c>
      <c r="C31" s="311">
        <f>C165</f>
        <v>63.466785229591949</v>
      </c>
      <c r="D31" s="311" t="str">
        <f>D165</f>
        <v/>
      </c>
      <c r="E31" s="307" t="s">
        <v>492</v>
      </c>
      <c r="F31" s="224">
        <f>Thesis!F31</f>
        <v>7.4999999999999997E-2</v>
      </c>
    </row>
    <row r="32" spans="2:6">
      <c r="B32" s="1" t="s">
        <v>453</v>
      </c>
      <c r="C32" s="311">
        <f>C173</f>
        <v>56.688359127048017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v>
      </c>
    </row>
    <row r="40" spans="1:6">
      <c r="B40" s="370" t="s">
        <v>495</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496</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177072825.96237743</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155235771.96237743</v>
      </c>
      <c r="D53" s="1" t="str">
        <f>Reporting_currency</f>
        <v>CNY</v>
      </c>
    </row>
    <row r="55" spans="2:6">
      <c r="B55" s="1" t="s">
        <v>499</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-1008325960.567533</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3154791489.9623775</v>
      </c>
      <c r="D67" s="1" t="str">
        <f>Reporting_currency</f>
        <v>CNY</v>
      </c>
    </row>
    <row r="68" spans="1:6">
      <c r="B68" s="47" t="s">
        <v>244</v>
      </c>
      <c r="C68" s="349">
        <f>Normalized_FCF!C19</f>
        <v>2878343317.2309222</v>
      </c>
      <c r="D68" s="1" t="str">
        <f>Reporting_currency</f>
        <v>CNY</v>
      </c>
    </row>
    <row r="69" spans="1:6">
      <c r="B69" s="227" t="s">
        <v>371</v>
      </c>
      <c r="C69" s="92">
        <f>Normalized_FCF!C126</f>
        <v>4.4667730587526086E-2</v>
      </c>
      <c r="F69" s="314"/>
    </row>
    <row r="70" spans="1:6">
      <c r="B70" s="227" t="s">
        <v>435</v>
      </c>
      <c r="C70" s="92">
        <f>Normalized_FCF!C94</f>
        <v>3.5058733366232039E-2</v>
      </c>
      <c r="E70" s="47" t="s">
        <v>504</v>
      </c>
      <c r="F70" s="315">
        <f>Normalized_FCF!C92</f>
        <v>0.95358292721213167</v>
      </c>
    </row>
    <row r="72" spans="1:6">
      <c r="B72" s="210" t="s">
        <v>514</v>
      </c>
      <c r="C72" s="323" t="s">
        <v>430</v>
      </c>
      <c r="D72" s="323" t="s">
        <v>505</v>
      </c>
    </row>
    <row r="73" spans="1:6">
      <c r="B73" s="47" t="s">
        <v>429</v>
      </c>
      <c r="C73" s="92">
        <f>Normalized_FCF!C121</f>
        <v>0.13507587761340403</v>
      </c>
      <c r="D73" s="92">
        <f>Normalized_FCF!G121</f>
        <v>0.15711227688067494</v>
      </c>
    </row>
    <row r="74" spans="1:6">
      <c r="B74" s="259" t="str">
        <f>Normalized_FCF!B118</f>
        <v>Pre-tax Profit/Sales</v>
      </c>
      <c r="C74" s="322">
        <f>Normalized_FCF!C118</f>
        <v>0.12563564485672751</v>
      </c>
      <c r="D74" s="322">
        <f>Normalized_FCF!G118</f>
        <v>0.14597440510946813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30.761177131276298</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0.22875473117295905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515</v>
      </c>
    </row>
    <row r="108" spans="2:6">
      <c r="B108" s="47" t="s">
        <v>260</v>
      </c>
      <c r="C108" s="349">
        <f>BS!C66</f>
        <v>17978772896</v>
      </c>
      <c r="D108" s="1" t="str">
        <f>Reporting_currency</f>
        <v>CNY</v>
      </c>
    </row>
    <row r="109" spans="2:6">
      <c r="B109" s="47" t="s">
        <v>262</v>
      </c>
      <c r="C109" s="349">
        <f>DCF!C8</f>
        <v>12817130906.18187</v>
      </c>
      <c r="D109" s="1" t="str">
        <f>Reporting_currency</f>
        <v>CNY</v>
      </c>
    </row>
    <row r="110" spans="2:6">
      <c r="B110" s="47" t="s">
        <v>277</v>
      </c>
      <c r="C110" s="223">
        <f>C109*scaling_factor*Exchange_Rate/Common_Shares</f>
        <v>10.273358421827856</v>
      </c>
      <c r="D110" s="1" t="str">
        <f>Market_currency</f>
        <v>HKD</v>
      </c>
    </row>
    <row r="112" spans="2:6">
      <c r="B112" s="1" t="s">
        <v>516</v>
      </c>
    </row>
    <row r="113" spans="1:6">
      <c r="B113" s="47" t="s">
        <v>253</v>
      </c>
      <c r="C113" s="349">
        <f>DCF!C9</f>
        <v>2755411575.5</v>
      </c>
      <c r="D113" s="1" t="str">
        <f>Reporting_currency</f>
        <v>CNY</v>
      </c>
    </row>
    <row r="114" spans="1:6">
      <c r="B114" s="47" t="s">
        <v>278</v>
      </c>
      <c r="C114" s="223">
        <f>C113*scaling_factor*Exchange_Rate/Common_Shares</f>
        <v>2.2085543888072405</v>
      </c>
      <c r="D114" s="1" t="str">
        <f>Market_currency</f>
        <v>HKD</v>
      </c>
    </row>
    <row r="116" spans="1:6">
      <c r="B116" s="371" t="s">
        <v>517</v>
      </c>
      <c r="C116" s="371"/>
      <c r="D116" s="371"/>
      <c r="E116" s="371"/>
      <c r="F116" s="371"/>
    </row>
    <row r="118" spans="1:6">
      <c r="B118" s="47" t="s">
        <v>518</v>
      </c>
      <c r="C118" s="223">
        <f>IF(valuation_method="DCF",DCF!C12,DDM!C7)</f>
        <v>43.014335210738437</v>
      </c>
      <c r="D118" s="1" t="str">
        <f>Market_currency</f>
        <v>HKD</v>
      </c>
    </row>
    <row r="119" spans="1:6">
      <c r="B119" s="296" t="s">
        <v>551</v>
      </c>
      <c r="C119" s="223">
        <f>BS!D47</f>
        <v>1.3590489784891073</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72.994626259159944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1.8107835783658848</v>
      </c>
      <c r="D143" s="212" t="str">
        <f>Market_currency</f>
        <v>HKD</v>
      </c>
    </row>
    <row r="145" spans="2:4">
      <c r="B145" s="210" t="s">
        <v>532</v>
      </c>
      <c r="C145" s="241" t="str">
        <f>C11</f>
        <v>0168.HK</v>
      </c>
      <c r="D145" s="241" t="str">
        <f>IF(D11="","",D11)</f>
        <v/>
      </c>
    </row>
    <row r="146" spans="2:4">
      <c r="B146" s="1" t="s">
        <v>387</v>
      </c>
      <c r="C146" s="297">
        <f>F29</f>
        <v>0.35</v>
      </c>
    </row>
    <row r="147" spans="2:4">
      <c r="B147" s="212" t="str">
        <f>"PV("&amp;C141&amp;" yrs of Dividends)"</f>
        <v>PV(3 yrs of Dividends)</v>
      </c>
      <c r="C147" s="216">
        <f>Scenarios!C81</f>
        <v>3.0708710992152235</v>
      </c>
    </row>
    <row r="148" spans="2:4">
      <c r="B148" s="212" t="str">
        <f>"+ PV(Equity Value realized at year "&amp;C141&amp;")"</f>
        <v>+ PV(Equity Value realized at year 3)</v>
      </c>
      <c r="C148" s="216">
        <f>Scenarios!C82</f>
        <v>29.668089725818191</v>
      </c>
    </row>
    <row r="149" spans="2:4">
      <c r="B149" s="80" t="s">
        <v>256</v>
      </c>
      <c r="C149" s="215">
        <f>Scenarios!C83</f>
        <v>32.738960825033416</v>
      </c>
      <c r="D149" s="300" t="str">
        <f>IF($D$11="","",C149*$E$25)</f>
        <v/>
      </c>
    </row>
    <row r="150" spans="2:4">
      <c r="B150" s="259" t="s">
        <v>533</v>
      </c>
      <c r="C150" s="298" t="str">
        <f>Market_currency</f>
        <v>HKD</v>
      </c>
      <c r="D150" s="298" t="str">
        <f>IF($D$11="","",D$13)</f>
        <v/>
      </c>
    </row>
    <row r="151" spans="2:4">
      <c r="B151" s="214" t="s">
        <v>534</v>
      </c>
      <c r="C151" s="92">
        <f>Scenarios!F83</f>
        <v>0.55148806832989195</v>
      </c>
    </row>
    <row r="153" spans="2:4">
      <c r="B153" s="210" t="s">
        <v>391</v>
      </c>
    </row>
    <row r="154" spans="2:4">
      <c r="B154" s="1" t="s">
        <v>390</v>
      </c>
      <c r="C154" s="297">
        <f>Scenarios!C90</f>
        <v>0.25</v>
      </c>
    </row>
    <row r="155" spans="2:4">
      <c r="B155" s="212" t="str">
        <f>"PV("&amp;C141&amp;" yrs of Dividends)"</f>
        <v>PV(3 yrs of Dividends)</v>
      </c>
      <c r="C155" s="216">
        <f>Scenarios!C91</f>
        <v>3.5346495449702071</v>
      </c>
    </row>
    <row r="156" spans="2:4">
      <c r="B156" s="212" t="str">
        <f>"+ PV(Equity Value realized at year "&amp;C141&amp;")"</f>
        <v>+ PV(Equity Value realized at year 3)</v>
      </c>
      <c r="C156" s="216">
        <f>Scenarios!C92</f>
        <v>37.373248644689895</v>
      </c>
    </row>
    <row r="157" spans="2:4">
      <c r="B157" s="80" t="s">
        <v>256</v>
      </c>
      <c r="C157" s="215">
        <f>Scenarios!C93</f>
        <v>40.907898189660102</v>
      </c>
      <c r="D157" s="300" t="str">
        <f>IF($D$11="","",C157*$E$25)</f>
        <v/>
      </c>
    </row>
    <row r="158" spans="2:4">
      <c r="B158" s="259" t="s">
        <v>533</v>
      </c>
      <c r="C158" s="298" t="str">
        <f>Market_currency</f>
        <v>HKD</v>
      </c>
      <c r="D158" s="298" t="str">
        <f>IF($D$11="","",D$13)</f>
        <v/>
      </c>
    </row>
    <row r="159" spans="2:4">
      <c r="B159" s="214" t="s">
        <v>534</v>
      </c>
      <c r="C159" s="92">
        <f>Scenarios!F93</f>
        <v>0.43957657863168176</v>
      </c>
    </row>
    <row r="161" spans="2:4">
      <c r="B161" s="210" t="s">
        <v>381</v>
      </c>
    </row>
    <row r="162" spans="2:4">
      <c r="B162" s="1" t="s">
        <v>389</v>
      </c>
      <c r="C162" s="92">
        <f>Scenarios!C96</f>
        <v>7.4999999999999997E-2</v>
      </c>
    </row>
    <row r="163" spans="2:4">
      <c r="B163" s="212" t="str">
        <f>"PV("&amp;C141&amp;" yrs of Dividends)"</f>
        <v>PV(3 yrs of Dividends)</v>
      </c>
      <c r="C163" s="216">
        <f>Scenarios!C97</f>
        <v>4.708989304877937</v>
      </c>
    </row>
    <row r="164" spans="2:4">
      <c r="B164" s="212" t="str">
        <f>"+ PV(Equity Value realized at year "&amp;C141&amp;")"</f>
        <v>+ PV(Equity Value realized at year 3)</v>
      </c>
      <c r="C164" s="216">
        <f>Scenarios!C98</f>
        <v>58.75779592471401</v>
      </c>
    </row>
    <row r="165" spans="2:4">
      <c r="B165" s="80" t="s">
        <v>382</v>
      </c>
      <c r="C165" s="215">
        <f>Scenarios!C99</f>
        <v>63.466785229591949</v>
      </c>
      <c r="D165" s="300" t="str">
        <f>IF($D$11="","",C165*$E$25)</f>
        <v/>
      </c>
    </row>
    <row r="166" spans="2:4">
      <c r="B166" s="259" t="s">
        <v>533</v>
      </c>
      <c r="C166" s="298" t="str">
        <f>Market_currency</f>
        <v>HKD</v>
      </c>
      <c r="D166" s="298" t="str">
        <f>IF($D$11="","",D$13)</f>
        <v/>
      </c>
    </row>
    <row r="167" spans="2:4">
      <c r="B167" s="214" t="s">
        <v>534</v>
      </c>
      <c r="C167" s="92">
        <f>Scenarios!F99</f>
        <v>0.13052797880956846</v>
      </c>
    </row>
    <row r="169" spans="2:4">
      <c r="B169" s="210" t="s">
        <v>409</v>
      </c>
    </row>
    <row r="170" spans="2:4">
      <c r="B170" s="1" t="s">
        <v>400</v>
      </c>
      <c r="C170" s="92">
        <f>F32</f>
        <v>0.1174</v>
      </c>
    </row>
    <row r="171" spans="2:4">
      <c r="B171" s="212" t="str">
        <f>"PV("&amp;C141&amp;" yrs of Dividends)"</f>
        <v>PV(3 yrs of Dividends)</v>
      </c>
      <c r="C171" s="216">
        <f>Scenarios!C103</f>
        <v>4.3687021215639064</v>
      </c>
    </row>
    <row r="172" spans="2:4">
      <c r="B172" s="212" t="str">
        <f>"+ PV(Equity Value realized at year "&amp;C141&amp;")"</f>
        <v>+ PV(Equity Value realized at year 3)</v>
      </c>
      <c r="C172" s="216">
        <f>Scenarios!C104</f>
        <v>52.31965700548411</v>
      </c>
    </row>
    <row r="173" spans="2:4">
      <c r="B173" s="80" t="s">
        <v>382</v>
      </c>
      <c r="C173" s="215">
        <f>Scenarios!C105</f>
        <v>56.688359127048017</v>
      </c>
      <c r="D173" s="300" t="str">
        <f>IF($D$11="","",C173*$E$25)</f>
        <v/>
      </c>
    </row>
    <row r="174" spans="2:4">
      <c r="B174" s="259" t="s">
        <v>533</v>
      </c>
      <c r="C174" s="298" t="str">
        <f>Market_currency</f>
        <v>HKD</v>
      </c>
      <c r="D174" s="298" t="str">
        <f>IF($D$11="","",D$13)</f>
        <v/>
      </c>
    </row>
    <row r="175" spans="2:4">
      <c r="B175" s="214" t="s">
        <v>534</v>
      </c>
      <c r="C175" s="92">
        <f>Scenarios!F105</f>
        <v>0.22303640339266795</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1364196788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51.65</v>
      </c>
      <c r="D12" s="50"/>
      <c r="E12" s="48"/>
    </row>
    <row r="13" spans="1:10">
      <c r="B13" s="1" t="s">
        <v>465</v>
      </c>
      <c r="C13" s="48" t="s">
        <v>377</v>
      </c>
      <c r="D13" s="48"/>
      <c r="E13" s="5"/>
    </row>
    <row r="14" spans="1:10">
      <c r="B14" s="4" t="s">
        <v>466</v>
      </c>
      <c r="C14" s="35">
        <f>Thesis!C12*Common_Shares/1000000</f>
        <v>70460.764100200002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1.09344928</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72.994626259159944</v>
      </c>
      <c r="D26" s="1" t="s">
        <v>380</v>
      </c>
      <c r="E26" s="301">
        <f ca="1">Scenarios!C87</f>
        <v>0.15365436483225703</v>
      </c>
    </row>
    <row r="27" spans="2:6">
      <c r="D27" s="5"/>
      <c r="E27" s="5"/>
    </row>
    <row r="28" spans="2:6">
      <c r="B28" s="45" t="s">
        <v>410</v>
      </c>
      <c r="C28" s="309" t="str">
        <f>C145&amp;" ("&amp;Market_currency&amp;")"</f>
        <v>0168.HK (HKD)</v>
      </c>
      <c r="D28" s="309" t="str">
        <f>IF(D11="","",D145&amp;" ("&amp;D13&amp;")")</f>
        <v/>
      </c>
      <c r="E28" s="305" t="s">
        <v>406</v>
      </c>
      <c r="F28" s="303">
        <v>3</v>
      </c>
    </row>
    <row r="29" spans="2:6">
      <c r="B29" s="1" t="s">
        <v>402</v>
      </c>
      <c r="C29" s="310">
        <f>C149</f>
        <v>32.738960825033416</v>
      </c>
      <c r="D29" s="310" t="str">
        <f>D149</f>
        <v/>
      </c>
      <c r="E29" s="306" t="s">
        <v>401</v>
      </c>
      <c r="F29" s="302">
        <v>0.35</v>
      </c>
    </row>
    <row r="30" spans="2:6">
      <c r="B30" s="1" t="s">
        <v>403</v>
      </c>
      <c r="C30" s="311">
        <f>C157</f>
        <v>40.907898189660102</v>
      </c>
      <c r="D30" s="311" t="str">
        <f>D157</f>
        <v/>
      </c>
      <c r="E30" s="307" t="s">
        <v>414</v>
      </c>
      <c r="F30" s="312">
        <v>0.25</v>
      </c>
    </row>
    <row r="31" spans="2:6">
      <c r="B31" s="1" t="s">
        <v>404</v>
      </c>
      <c r="C31" s="311">
        <f>C165</f>
        <v>63.466785229591949</v>
      </c>
      <c r="D31" s="311" t="str">
        <f>D165</f>
        <v/>
      </c>
      <c r="E31" s="307" t="s">
        <v>413</v>
      </c>
      <c r="F31" s="312">
        <v>7.4999999999999997E-2</v>
      </c>
    </row>
    <row r="32" spans="2:6">
      <c r="B32" s="1" t="s">
        <v>405</v>
      </c>
      <c r="C32" s="311">
        <f>C173</f>
        <v>56.688359127048017</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3878068070.3077545</v>
      </c>
      <c r="D41" s="1" t="str">
        <f>Reporting_currency</f>
        <v>CNY</v>
      </c>
    </row>
    <row r="42" spans="1:6">
      <c r="B42" s="47"/>
      <c r="C42" s="76"/>
    </row>
    <row r="43" spans="1:6" ht="24.6" customHeight="1">
      <c r="B43" s="370" t="s">
        <v>229</v>
      </c>
      <c r="C43" s="370"/>
      <c r="D43" s="370"/>
      <c r="E43" s="370"/>
      <c r="F43" s="370"/>
    </row>
    <row r="44" spans="1:6">
      <c r="B44" s="47" t="s">
        <v>230</v>
      </c>
      <c r="C44" s="349">
        <f>Normalized_FCF!C9</f>
        <v>1191305772</v>
      </c>
      <c r="D44" s="1" t="str">
        <f>Reporting_currency</f>
        <v>CNY</v>
      </c>
    </row>
    <row r="45" spans="1:6">
      <c r="B45" s="52" t="s">
        <v>231</v>
      </c>
      <c r="C45" s="349">
        <f>Normalized_FCF!C10</f>
        <v>-1191305772</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177072825.96237743</v>
      </c>
      <c r="D51" s="1" t="str">
        <f>Reporting_currency</f>
        <v>CNY</v>
      </c>
      <c r="E51" s="286"/>
      <c r="F51" s="286"/>
    </row>
    <row r="52" spans="2:6">
      <c r="B52" s="47" t="s">
        <v>332</v>
      </c>
      <c r="C52" s="350">
        <f>Normalized_FCF!C47</f>
        <v>-21837054</v>
      </c>
      <c r="D52" s="1" t="str">
        <f>Reporting_currency</f>
        <v>CNY</v>
      </c>
      <c r="E52" s="286"/>
      <c r="F52" s="286"/>
    </row>
    <row r="53" spans="2:6">
      <c r="B53" s="47" t="s">
        <v>234</v>
      </c>
      <c r="C53" s="349">
        <f>Normalized_FCF!C12</f>
        <v>155235771.96237743</v>
      </c>
      <c r="D53" s="1" t="str">
        <f>Reporting_currency</f>
        <v>CNY</v>
      </c>
    </row>
    <row r="55" spans="2:6">
      <c r="B55" s="1" t="s">
        <v>242</v>
      </c>
    </row>
    <row r="56" spans="2:6">
      <c r="B56" s="47" t="s">
        <v>261</v>
      </c>
      <c r="C56" s="349">
        <f>Normalized_FCF!C15</f>
        <v>-146634564.47167698</v>
      </c>
      <c r="D56" s="1" t="str">
        <f>Reporting_currency</f>
        <v>CNY</v>
      </c>
    </row>
    <row r="58" spans="2:6">
      <c r="B58" s="370" t="s">
        <v>237</v>
      </c>
      <c r="C58" s="370"/>
      <c r="D58" s="370"/>
      <c r="E58" s="370"/>
      <c r="F58" s="370"/>
    </row>
    <row r="59" spans="2:6">
      <c r="B59" s="47" t="s">
        <v>235</v>
      </c>
      <c r="C59" s="349">
        <f>Normalized_FCF!C14</f>
        <v>-1008325960.567533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3154791489.9623775</v>
      </c>
      <c r="D67" s="1" t="str">
        <f>Reporting_currency</f>
        <v>CNY</v>
      </c>
    </row>
    <row r="68" spans="1:6">
      <c r="B68" s="47" t="s">
        <v>244</v>
      </c>
      <c r="C68" s="349">
        <f>Normalized_FCF!C19</f>
        <v>2878343317.2309222</v>
      </c>
      <c r="D68" s="1" t="str">
        <f>Reporting_currency</f>
        <v>CNY</v>
      </c>
    </row>
    <row r="69" spans="1:6">
      <c r="B69" s="227" t="s">
        <v>371</v>
      </c>
      <c r="C69" s="92">
        <f>Normalized_FCF!C126</f>
        <v>4.4667730587526086E-2</v>
      </c>
      <c r="F69" s="314"/>
    </row>
    <row r="70" spans="1:6">
      <c r="B70" s="227" t="s">
        <v>435</v>
      </c>
      <c r="C70" s="92">
        <f>Normalized_FCF!C94</f>
        <v>3.5058733366232039E-2</v>
      </c>
      <c r="E70" s="47" t="s">
        <v>425</v>
      </c>
      <c r="F70" s="315">
        <f>Normalized_FCF!C92</f>
        <v>0.95358292721213167</v>
      </c>
    </row>
    <row r="72" spans="1:6">
      <c r="B72" s="210" t="s">
        <v>428</v>
      </c>
      <c r="C72" s="323" t="s">
        <v>430</v>
      </c>
      <c r="D72" s="323" t="s">
        <v>431</v>
      </c>
    </row>
    <row r="73" spans="1:6">
      <c r="B73" s="47" t="s">
        <v>429</v>
      </c>
      <c r="C73" s="92">
        <f>Normalized_FCF!C121</f>
        <v>0.13507587761340403</v>
      </c>
      <c r="D73" s="92">
        <f>Normalized_FCF!G121</f>
        <v>0.15711227688067494</v>
      </c>
    </row>
    <row r="74" spans="1:6">
      <c r="B74" s="259" t="str">
        <f>Normalized_FCF!B118</f>
        <v>Pre-tax Profit/Sales</v>
      </c>
      <c r="C74" s="322">
        <f>Normalized_FCF!C118</f>
        <v>0.12563564485672751</v>
      </c>
      <c r="D74" s="322">
        <f>Normalized_FCF!G118</f>
        <v>0.14597440510946813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30.761177131276298</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285396383</v>
      </c>
      <c r="D102" s="1" t="str">
        <f>Reporting_currency</f>
        <v>CNY</v>
      </c>
    </row>
    <row r="103" spans="2:6">
      <c r="B103" s="47" t="s">
        <v>276</v>
      </c>
      <c r="C103" s="223">
        <f>C102*scaling_factor*Exchange_Rate/Common_Shares</f>
        <v>0.22875473117295905</v>
      </c>
      <c r="D103" s="1" t="str">
        <f>Market_currency</f>
        <v>HKD</v>
      </c>
    </row>
    <row r="104" spans="2:6">
      <c r="B104" s="296" t="s">
        <v>384</v>
      </c>
      <c r="C104" s="325">
        <f>IF(BS!G31/BS!G27&gt;300%,"nm",BS!G31/BS!G27)</f>
        <v>9.5579625064196368E-3</v>
      </c>
    </row>
    <row r="105" spans="2:6">
      <c r="B105" s="296" t="s">
        <v>386</v>
      </c>
      <c r="C105" s="326">
        <f>IF(BS!C50&gt;30,"nm",BS!C50)</f>
        <v>7.3592411949940734E-2</v>
      </c>
    </row>
    <row r="107" spans="2:6">
      <c r="B107" s="1" t="s">
        <v>250</v>
      </c>
    </row>
    <row r="108" spans="2:6">
      <c r="B108" s="47" t="s">
        <v>260</v>
      </c>
      <c r="C108" s="349">
        <f>BS!C66</f>
        <v>17978772896</v>
      </c>
      <c r="D108" s="1" t="str">
        <f>Reporting_currency</f>
        <v>CNY</v>
      </c>
    </row>
    <row r="109" spans="2:6">
      <c r="B109" s="47" t="s">
        <v>262</v>
      </c>
      <c r="C109" s="349">
        <f>DCF!C8</f>
        <v>12817130906.18187</v>
      </c>
      <c r="D109" s="1" t="str">
        <f>Reporting_currency</f>
        <v>CNY</v>
      </c>
    </row>
    <row r="110" spans="2:6">
      <c r="B110" s="47" t="s">
        <v>277</v>
      </c>
      <c r="C110" s="223">
        <f>C109*scaling_factor*Exchange_Rate/Common_Shares</f>
        <v>10.273358421827856</v>
      </c>
      <c r="D110" s="1" t="str">
        <f>Market_currency</f>
        <v>HKD</v>
      </c>
    </row>
    <row r="112" spans="2:6">
      <c r="B112" s="1" t="s">
        <v>252</v>
      </c>
    </row>
    <row r="113" spans="1:6">
      <c r="B113" s="47" t="s">
        <v>253</v>
      </c>
      <c r="C113" s="349">
        <f>DCF!C9</f>
        <v>2755411575.5</v>
      </c>
      <c r="D113" s="1" t="str">
        <f>Reporting_currency</f>
        <v>CNY</v>
      </c>
    </row>
    <row r="114" spans="1:6">
      <c r="B114" s="47" t="s">
        <v>278</v>
      </c>
      <c r="C114" s="223">
        <f>C113*scaling_factor*Exchange_Rate/Common_Shares</f>
        <v>2.2085543888072405</v>
      </c>
      <c r="D114" s="1" t="str">
        <f>Market_currency</f>
        <v>HKD</v>
      </c>
    </row>
    <row r="116" spans="1:6" ht="24.6" customHeight="1">
      <c r="B116" s="371" t="s">
        <v>352</v>
      </c>
      <c r="C116" s="371"/>
      <c r="D116" s="371"/>
      <c r="E116" s="371"/>
      <c r="F116" s="371"/>
    </row>
    <row r="118" spans="1:6">
      <c r="B118" s="47" t="s">
        <v>426</v>
      </c>
      <c r="C118" s="223">
        <f>IF(valuation_method="DCF",DCF!C12,DDM!C7)</f>
        <v>43.014335210738437</v>
      </c>
      <c r="D118" s="1" t="str">
        <f>Market_currency</f>
        <v>HKD</v>
      </c>
    </row>
    <row r="119" spans="1:6">
      <c r="B119" s="296" t="s">
        <v>550</v>
      </c>
      <c r="C119" s="223">
        <f>BS!D47</f>
        <v>1.3590489784891073</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254</v>
      </c>
      <c r="C132" s="217">
        <f>Scenarios!C60</f>
        <v>72.994626259159944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1.8107835783658848</v>
      </c>
      <c r="D143" s="212" t="str">
        <f>Market_currency</f>
        <v>HKD</v>
      </c>
    </row>
    <row r="145" spans="2:4">
      <c r="B145" s="210" t="s">
        <v>388</v>
      </c>
      <c r="C145" s="241" t="str">
        <f>C11</f>
        <v>0168.HK</v>
      </c>
      <c r="D145" s="241" t="str">
        <f>IF(D11="","",D11)</f>
        <v/>
      </c>
    </row>
    <row r="146" spans="2:4">
      <c r="B146" s="1" t="s">
        <v>387</v>
      </c>
      <c r="C146" s="297">
        <f>F29</f>
        <v>0.35</v>
      </c>
    </row>
    <row r="147" spans="2:4">
      <c r="B147" s="212" t="str">
        <f>"PV("&amp;C141&amp;" yrs of Dividends)"</f>
        <v>PV(3 yrs of Dividends)</v>
      </c>
      <c r="C147" s="216">
        <f>Scenarios!C81</f>
        <v>3.0708710992152235</v>
      </c>
    </row>
    <row r="148" spans="2:4">
      <c r="B148" s="212" t="str">
        <f>"+ PV(Equity Value realized at year "&amp;C141&amp;")"</f>
        <v>+ PV(Equity Value realized at year 3)</v>
      </c>
      <c r="C148" s="216">
        <f>Scenarios!C82</f>
        <v>29.668089725818191</v>
      </c>
    </row>
    <row r="149" spans="2:4">
      <c r="B149" s="80" t="s">
        <v>256</v>
      </c>
      <c r="C149" s="215">
        <f>Scenarios!C83</f>
        <v>32.738960825033416</v>
      </c>
      <c r="D149" s="300" t="str">
        <f>IF($D$11="","",C149*$E$25)</f>
        <v/>
      </c>
    </row>
    <row r="150" spans="2:4">
      <c r="B150" s="259" t="s">
        <v>396</v>
      </c>
      <c r="C150" s="298" t="str">
        <f>Market_currency</f>
        <v>HKD</v>
      </c>
      <c r="D150" s="298" t="str">
        <f>IF($D$11="","",D$13)</f>
        <v/>
      </c>
    </row>
    <row r="151" spans="2:4">
      <c r="B151" s="214" t="s">
        <v>258</v>
      </c>
      <c r="C151" s="92">
        <f>Scenarios!F83</f>
        <v>0.55148806832989195</v>
      </c>
    </row>
    <row r="153" spans="2:4">
      <c r="B153" s="210" t="s">
        <v>391</v>
      </c>
    </row>
    <row r="154" spans="2:4">
      <c r="B154" s="1" t="s">
        <v>390</v>
      </c>
      <c r="C154" s="297">
        <f>Scenarios!C90</f>
        <v>0.25</v>
      </c>
    </row>
    <row r="155" spans="2:4">
      <c r="B155" s="212" t="str">
        <f>"PV("&amp;C141&amp;" yrs of Dividends)"</f>
        <v>PV(3 yrs of Dividends)</v>
      </c>
      <c r="C155" s="216">
        <f>Scenarios!C91</f>
        <v>3.5346495449702071</v>
      </c>
    </row>
    <row r="156" spans="2:4">
      <c r="B156" s="212" t="str">
        <f>"+ PV(Equity Value realized at year "&amp;C141&amp;")"</f>
        <v>+ PV(Equity Value realized at year 3)</v>
      </c>
      <c r="C156" s="216">
        <f>Scenarios!C92</f>
        <v>37.373248644689895</v>
      </c>
    </row>
    <row r="157" spans="2:4">
      <c r="B157" s="80" t="s">
        <v>256</v>
      </c>
      <c r="C157" s="215">
        <f>Scenarios!C93</f>
        <v>40.907898189660102</v>
      </c>
      <c r="D157" s="300" t="str">
        <f>IF($D$11="","",C157*$E$25)</f>
        <v/>
      </c>
    </row>
    <row r="158" spans="2:4">
      <c r="B158" s="259" t="s">
        <v>396</v>
      </c>
      <c r="C158" s="298" t="str">
        <f>Market_currency</f>
        <v>HKD</v>
      </c>
      <c r="D158" s="298" t="str">
        <f>IF($D$11="","",D$13)</f>
        <v/>
      </c>
    </row>
    <row r="159" spans="2:4">
      <c r="B159" s="214" t="s">
        <v>258</v>
      </c>
      <c r="C159" s="92">
        <f>Scenarios!F93</f>
        <v>0.43957657863168176</v>
      </c>
    </row>
    <row r="161" spans="2:4">
      <c r="B161" s="210" t="s">
        <v>381</v>
      </c>
    </row>
    <row r="162" spans="2:4">
      <c r="B162" s="1" t="s">
        <v>389</v>
      </c>
      <c r="C162" s="92">
        <f>Scenarios!C96</f>
        <v>7.4999999999999997E-2</v>
      </c>
    </row>
    <row r="163" spans="2:4">
      <c r="B163" s="212" t="str">
        <f>"PV("&amp;C141&amp;" yrs of Dividends)"</f>
        <v>PV(3 yrs of Dividends)</v>
      </c>
      <c r="C163" s="216">
        <f>Scenarios!C97</f>
        <v>4.708989304877937</v>
      </c>
    </row>
    <row r="164" spans="2:4">
      <c r="B164" s="212" t="str">
        <f>"+ PV(Equity Value realized at year "&amp;C141&amp;")"</f>
        <v>+ PV(Equity Value realized at year 3)</v>
      </c>
      <c r="C164" s="216">
        <f>Scenarios!C98</f>
        <v>58.75779592471401</v>
      </c>
    </row>
    <row r="165" spans="2:4">
      <c r="B165" s="80" t="s">
        <v>382</v>
      </c>
      <c r="C165" s="215">
        <f>Scenarios!C99</f>
        <v>63.466785229591949</v>
      </c>
      <c r="D165" s="300" t="str">
        <f>IF($D$11="","",C165*$E$25)</f>
        <v/>
      </c>
    </row>
    <row r="166" spans="2:4">
      <c r="B166" s="259" t="s">
        <v>396</v>
      </c>
      <c r="C166" s="298" t="str">
        <f>Market_currency</f>
        <v>HKD</v>
      </c>
      <c r="D166" s="298" t="str">
        <f>IF($D$11="","",D$13)</f>
        <v/>
      </c>
    </row>
    <row r="167" spans="2:4">
      <c r="B167" s="214" t="s">
        <v>258</v>
      </c>
      <c r="C167" s="92">
        <f>Scenarios!F99</f>
        <v>0.13052797880956846</v>
      </c>
    </row>
    <row r="169" spans="2:4">
      <c r="B169" s="210" t="s">
        <v>409</v>
      </c>
    </row>
    <row r="170" spans="2:4">
      <c r="B170" s="1" t="s">
        <v>400</v>
      </c>
      <c r="C170" s="92">
        <f>F32</f>
        <v>0.1174</v>
      </c>
    </row>
    <row r="171" spans="2:4">
      <c r="B171" s="212" t="str">
        <f>"PV("&amp;C141&amp;" yrs of Dividends)"</f>
        <v>PV(3 yrs of Dividends)</v>
      </c>
      <c r="C171" s="216">
        <f>Scenarios!C103</f>
        <v>4.3687021215639064</v>
      </c>
    </row>
    <row r="172" spans="2:4">
      <c r="B172" s="212" t="str">
        <f>"+ PV(Equity Value realized at year "&amp;C141&amp;")"</f>
        <v>+ PV(Equity Value realized at year 3)</v>
      </c>
      <c r="C172" s="216">
        <f>Scenarios!C104</f>
        <v>52.31965700548411</v>
      </c>
    </row>
    <row r="173" spans="2:4">
      <c r="B173" s="80" t="s">
        <v>382</v>
      </c>
      <c r="C173" s="215">
        <f>Scenarios!C105</f>
        <v>56.688359127048017</v>
      </c>
      <c r="D173" s="300" t="str">
        <f>IF($D$11="","",C173*$E$25)</f>
        <v/>
      </c>
    </row>
    <row r="174" spans="2:4">
      <c r="B174" s="259" t="s">
        <v>396</v>
      </c>
      <c r="C174" s="298" t="str">
        <f>Market_currency</f>
        <v>HKD</v>
      </c>
      <c r="D174" s="298" t="str">
        <f>IF($D$11="","",D$13)</f>
        <v/>
      </c>
    </row>
    <row r="175" spans="2:4">
      <c r="B175" s="214" t="s">
        <v>258</v>
      </c>
      <c r="C175" s="92">
        <f>Scenarios!F105</f>
        <v>0.22303640339266795</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32137830111</v>
      </c>
      <c r="D4" s="351">
        <v>33936522741</v>
      </c>
      <c r="E4" s="351">
        <v>32171565624</v>
      </c>
      <c r="F4" s="351">
        <v>30166805377</v>
      </c>
      <c r="G4" s="351">
        <v>27759710926</v>
      </c>
      <c r="H4" s="351"/>
      <c r="I4" s="351"/>
      <c r="J4" s="351"/>
      <c r="K4" s="351"/>
      <c r="L4" s="351"/>
      <c r="M4" s="351"/>
    </row>
    <row r="5" spans="2:13">
      <c r="B5" s="40" t="s">
        <v>41</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52</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59</v>
      </c>
      <c r="C7" s="352">
        <v>4602519864</v>
      </c>
      <c r="D7" s="352">
        <v>4708402798</v>
      </c>
      <c r="E7" s="352">
        <v>4199502747</v>
      </c>
      <c r="F7" s="352">
        <v>4096874125</v>
      </c>
      <c r="G7" s="352">
        <v>4984549837</v>
      </c>
      <c r="H7" s="352"/>
      <c r="I7" s="352"/>
      <c r="J7" s="352"/>
      <c r="K7" s="352"/>
      <c r="L7" s="352"/>
      <c r="M7" s="352"/>
    </row>
    <row r="8" spans="2:13">
      <c r="B8" s="40" t="s">
        <v>47</v>
      </c>
      <c r="C8" s="351">
        <v>102766675</v>
      </c>
      <c r="D8" s="351">
        <v>100637006</v>
      </c>
      <c r="E8" s="351">
        <v>62954899</v>
      </c>
      <c r="F8" s="351">
        <v>30890245</v>
      </c>
      <c r="G8" s="351">
        <v>21467092</v>
      </c>
      <c r="H8" s="351"/>
      <c r="I8" s="351"/>
      <c r="J8" s="351"/>
      <c r="K8" s="351"/>
      <c r="L8" s="351"/>
      <c r="M8" s="351"/>
    </row>
    <row r="9" spans="2:13">
      <c r="B9" s="40" t="s">
        <v>155</v>
      </c>
      <c r="C9" s="351">
        <v>48272283</v>
      </c>
      <c r="D9" s="351">
        <v>15798284</v>
      </c>
      <c r="E9" s="351">
        <v>19873379</v>
      </c>
      <c r="F9" s="351">
        <v>20561728</v>
      </c>
      <c r="G9" s="351">
        <v>18098320</v>
      </c>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21837054</v>
      </c>
      <c r="D12" s="351">
        <v>16430590</v>
      </c>
      <c r="E12" s="351">
        <v>9237800</v>
      </c>
      <c r="F12" s="351">
        <v>22685367</v>
      </c>
      <c r="G12" s="351">
        <v>13662682</v>
      </c>
      <c r="H12" s="351"/>
      <c r="I12" s="351"/>
      <c r="J12" s="351"/>
      <c r="K12" s="351"/>
      <c r="L12" s="351"/>
      <c r="M12" s="351"/>
    </row>
    <row r="13" spans="2:13">
      <c r="B13" s="40" t="s">
        <v>65</v>
      </c>
      <c r="C13" s="351">
        <v>616771200</v>
      </c>
      <c r="D13" s="351">
        <v>506376003</v>
      </c>
      <c r="E13" s="351">
        <v>459661656</v>
      </c>
      <c r="F13" s="351">
        <v>315648307</v>
      </c>
      <c r="G13" s="351">
        <v>524029340</v>
      </c>
      <c r="H13" s="351"/>
      <c r="I13" s="351"/>
      <c r="J13" s="351"/>
      <c r="K13" s="351"/>
      <c r="L13" s="351"/>
      <c r="M13" s="351"/>
    </row>
    <row r="14" spans="2:13">
      <c r="B14" s="40" t="s">
        <v>48</v>
      </c>
      <c r="C14" s="351">
        <v>1389716314</v>
      </c>
      <c r="D14" s="351">
        <v>1398208378</v>
      </c>
      <c r="E14" s="351">
        <v>1201419808</v>
      </c>
      <c r="F14" s="351">
        <v>1222731595</v>
      </c>
      <c r="G14" s="351">
        <v>912580519</v>
      </c>
      <c r="H14" s="351"/>
      <c r="I14" s="351"/>
      <c r="J14" s="351"/>
      <c r="K14" s="351"/>
      <c r="L14" s="351"/>
      <c r="M14" s="351"/>
    </row>
    <row r="15" spans="2:13">
      <c r="B15" s="43" t="s">
        <v>40</v>
      </c>
      <c r="C15" s="353">
        <v>4491776686</v>
      </c>
      <c r="D15" s="353">
        <v>4348198924</v>
      </c>
      <c r="E15" s="353">
        <v>3804721478</v>
      </c>
      <c r="F15" s="353">
        <v>3256243870</v>
      </c>
      <c r="G15" s="353">
        <v>2326968805</v>
      </c>
      <c r="H15" s="353"/>
      <c r="I15" s="353"/>
      <c r="J15" s="353"/>
      <c r="K15" s="353"/>
      <c r="L15" s="353"/>
      <c r="M15" s="353"/>
    </row>
    <row r="16" spans="2:13">
      <c r="B16" s="28" t="s">
        <v>42</v>
      </c>
      <c r="C16" s="351">
        <v>146792828</v>
      </c>
      <c r="D16" s="351">
        <v>80347518</v>
      </c>
      <c r="E16" s="351">
        <v>94092885</v>
      </c>
      <c r="F16" s="351">
        <v>100788060</v>
      </c>
      <c r="G16" s="351">
        <v>125645249</v>
      </c>
      <c r="H16" s="351"/>
      <c r="I16" s="351"/>
      <c r="J16" s="351"/>
      <c r="K16" s="351"/>
      <c r="L16" s="351"/>
      <c r="M16" s="351"/>
    </row>
    <row r="18" spans="2:13">
      <c r="B18" s="16" t="s">
        <v>49</v>
      </c>
      <c r="C18" s="9"/>
    </row>
    <row r="19" spans="2:13">
      <c r="B19" s="27" t="s">
        <v>45</v>
      </c>
      <c r="C19" s="351">
        <v>1191305772</v>
      </c>
      <c r="D19" s="351">
        <v>1140399624</v>
      </c>
      <c r="E19" s="351">
        <v>1083856796</v>
      </c>
      <c r="F19" s="351">
        <v>1109733268</v>
      </c>
      <c r="G19" s="351"/>
      <c r="H19" s="351"/>
      <c r="I19" s="351"/>
      <c r="J19" s="351"/>
      <c r="K19" s="351"/>
      <c r="L19" s="351"/>
      <c r="M19" s="351"/>
    </row>
    <row r="20" spans="2:13">
      <c r="B20" s="27" t="s">
        <v>51</v>
      </c>
      <c r="C20" s="351">
        <f>C19</f>
        <v>1191305772</v>
      </c>
      <c r="D20" s="351">
        <f>D19</f>
        <v>1140399624</v>
      </c>
      <c r="E20" s="351">
        <f>E19</f>
        <v>1083856796</v>
      </c>
      <c r="F20" s="351">
        <f>F19</f>
        <v>1109733268</v>
      </c>
      <c r="G20" s="351"/>
      <c r="H20" s="351"/>
      <c r="I20" s="351"/>
      <c r="J20" s="351"/>
      <c r="K20" s="351"/>
      <c r="L20" s="351"/>
      <c r="M20" s="351"/>
    </row>
    <row r="21" spans="2:13">
      <c r="B21" s="27" t="s">
        <v>50</v>
      </c>
      <c r="C21" s="351">
        <v>583532518</v>
      </c>
      <c r="D21" s="351">
        <v>1575918543</v>
      </c>
      <c r="E21" s="351">
        <v>878667968</v>
      </c>
      <c r="F21" s="351">
        <v>2804548241</v>
      </c>
      <c r="G21" s="351"/>
      <c r="H21" s="351"/>
      <c r="I21" s="351"/>
      <c r="J21" s="351"/>
      <c r="K21" s="351"/>
      <c r="L21" s="351"/>
      <c r="M21" s="351"/>
    </row>
    <row r="22" spans="2:13">
      <c r="B22" s="27" t="s">
        <v>354</v>
      </c>
      <c r="C22" s="351">
        <v>5154661132</v>
      </c>
      <c r="D22" s="351">
        <v>2777567140</v>
      </c>
      <c r="E22" s="351">
        <v>4878771322</v>
      </c>
      <c r="F22" s="351">
        <v>6043111455</v>
      </c>
      <c r="G22" s="351">
        <v>4953422362</v>
      </c>
      <c r="H22" s="351"/>
      <c r="I22" s="351"/>
      <c r="J22" s="351"/>
      <c r="K22" s="351"/>
      <c r="L22" s="351"/>
      <c r="M22" s="351"/>
    </row>
    <row r="23" spans="2:13">
      <c r="B23" s="27" t="s">
        <v>356</v>
      </c>
      <c r="C23" s="351">
        <v>-7421783375</v>
      </c>
      <c r="D23" s="351">
        <v>-3462971412</v>
      </c>
      <c r="E23" s="351">
        <v>-2199108158</v>
      </c>
      <c r="F23" s="351">
        <v>-10249763562</v>
      </c>
      <c r="G23" s="351">
        <v>-1487738165</v>
      </c>
      <c r="H23" s="351"/>
      <c r="I23" s="351"/>
      <c r="J23" s="351"/>
      <c r="K23" s="351"/>
      <c r="L23" s="351"/>
      <c r="M23" s="351"/>
    </row>
    <row r="24" spans="2:13">
      <c r="B24" s="27" t="s">
        <v>355</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2.0119817537398719</v>
      </c>
      <c r="D25" s="39">
        <f>2/Exchange_Rate</f>
        <v>1.8290743215817016</v>
      </c>
      <c r="E25" s="39">
        <f>1.3/Exchange_Rate</f>
        <v>1.188898309028106</v>
      </c>
      <c r="F25" s="39">
        <f>1.1/Exchange_Rate</f>
        <v>1.0059908768699359</v>
      </c>
      <c r="G25" s="39">
        <f>0.75/Exchange_Rate</f>
        <v>0.68590287059313815</v>
      </c>
      <c r="H25" s="39"/>
      <c r="I25" s="39"/>
      <c r="J25" s="39"/>
      <c r="K25" s="39"/>
      <c r="L25" s="39"/>
      <c r="M25" s="39"/>
    </row>
    <row r="27" spans="2:13">
      <c r="B27" s="16" t="s">
        <v>26</v>
      </c>
      <c r="C27" s="97" t="s">
        <v>558</v>
      </c>
    </row>
    <row r="28" spans="2:13">
      <c r="B28" s="26" t="s">
        <v>22</v>
      </c>
      <c r="C28" s="333">
        <f>BS!C4</f>
        <v>185704725</v>
      </c>
      <c r="D28" s="351">
        <v>100391321</v>
      </c>
      <c r="E28" s="351">
        <v>124099728</v>
      </c>
      <c r="F28" s="351">
        <v>124929816</v>
      </c>
      <c r="G28" s="351">
        <v>125155008</v>
      </c>
      <c r="H28" s="351"/>
      <c r="I28" s="351"/>
      <c r="J28" s="351"/>
      <c r="K28" s="351"/>
      <c r="L28" s="351"/>
      <c r="M28" s="351"/>
    </row>
    <row r="29" spans="2:13">
      <c r="B29" s="26" t="s">
        <v>30</v>
      </c>
      <c r="C29" s="333">
        <f>BS!C6</f>
        <v>3576387537</v>
      </c>
      <c r="D29" s="351">
        <v>3539828305</v>
      </c>
      <c r="E29" s="351">
        <v>4152187132</v>
      </c>
      <c r="F29" s="351">
        <v>3492997857</v>
      </c>
      <c r="G29" s="351">
        <v>3281033526</v>
      </c>
      <c r="H29" s="351"/>
      <c r="I29" s="351"/>
      <c r="J29" s="351"/>
      <c r="K29" s="351"/>
      <c r="L29" s="351"/>
      <c r="M29" s="351"/>
    </row>
    <row r="30" spans="2:13">
      <c r="B30" s="29" t="s">
        <v>38</v>
      </c>
      <c r="C30" s="334">
        <f>BS!C33+BS!C42</f>
        <v>21560843821</v>
      </c>
      <c r="D30" s="353">
        <v>21001264174</v>
      </c>
      <c r="E30" s="353">
        <v>24039387261</v>
      </c>
      <c r="F30" s="353">
        <v>22769313149</v>
      </c>
      <c r="G30" s="353">
        <v>20146133669</v>
      </c>
      <c r="H30" s="353"/>
      <c r="I30" s="353"/>
      <c r="J30" s="353"/>
      <c r="K30" s="353"/>
      <c r="L30" s="353"/>
      <c r="M30" s="353"/>
    </row>
    <row r="31" spans="2:13">
      <c r="B31" s="29" t="s">
        <v>28</v>
      </c>
      <c r="C31" s="334">
        <f>BS!G27</f>
        <v>29859542011</v>
      </c>
      <c r="D31" s="353">
        <v>28254747175</v>
      </c>
      <c r="E31" s="353">
        <v>26272312535</v>
      </c>
      <c r="F31" s="353">
        <v>23793691342</v>
      </c>
      <c r="G31" s="353">
        <v>21368052166</v>
      </c>
      <c r="H31" s="353"/>
      <c r="I31" s="353"/>
      <c r="J31" s="353"/>
      <c r="K31" s="353"/>
      <c r="L31" s="353"/>
      <c r="M31" s="353"/>
    </row>
    <row r="32" spans="2:13">
      <c r="B32" s="26" t="s">
        <v>168</v>
      </c>
      <c r="C32" s="333">
        <f>BS!G28</f>
        <v>799157484</v>
      </c>
      <c r="D32" s="351">
        <v>805268959</v>
      </c>
      <c r="E32" s="351">
        <v>777490832</v>
      </c>
      <c r="F32" s="351">
        <v>791846744</v>
      </c>
      <c r="G32" s="351">
        <v>746091651</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2.0119817537398719</v>
      </c>
      <c r="D65" s="73">
        <f t="shared" ref="D65:M65" si="33">IF(D$4="","",D25)</f>
        <v>1.8290743215817016</v>
      </c>
      <c r="E65" s="73">
        <f t="shared" si="33"/>
        <v>1.188898309028106</v>
      </c>
      <c r="F65" s="73">
        <f t="shared" si="33"/>
        <v>1.0059908768699359</v>
      </c>
      <c r="G65" s="73">
        <f t="shared" si="33"/>
        <v>0.68590287059313815</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84</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38</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Normalized_FCF!G1</f>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102420347+83284378</f>
        <v>185704725</v>
      </c>
      <c r="D4" s="261">
        <v>0.6</v>
      </c>
      <c r="E4" s="25"/>
      <c r="F4" s="4" t="s">
        <v>75</v>
      </c>
      <c r="G4" s="19">
        <v>17978772896</v>
      </c>
      <c r="H4" s="261">
        <v>0.9</v>
      </c>
    </row>
    <row r="5" spans="2:8" ht="15" customHeight="1">
      <c r="B5" s="1" t="s">
        <v>31</v>
      </c>
      <c r="C5" s="19">
        <v>0</v>
      </c>
      <c r="D5" s="261">
        <v>0.6</v>
      </c>
      <c r="E5" s="25"/>
      <c r="F5" s="1" t="s">
        <v>27</v>
      </c>
      <c r="G5" s="19">
        <v>0</v>
      </c>
      <c r="H5" s="261">
        <v>0.7</v>
      </c>
    </row>
    <row r="6" spans="2:8" ht="15" customHeight="1">
      <c r="B6" s="4" t="s">
        <v>8</v>
      </c>
      <c r="C6" s="19">
        <v>3576387537</v>
      </c>
      <c r="D6" s="261">
        <v>0.5</v>
      </c>
      <c r="E6" s="25"/>
      <c r="F6" s="4" t="s">
        <v>173</v>
      </c>
      <c r="G6" s="19">
        <v>0</v>
      </c>
      <c r="H6" s="261">
        <v>0.6</v>
      </c>
    </row>
    <row r="7" spans="2:8" ht="15" customHeight="1">
      <c r="B7" s="1" t="s">
        <v>67</v>
      </c>
      <c r="C7" s="19">
        <v>0</v>
      </c>
      <c r="D7" s="261">
        <v>0.6</v>
      </c>
      <c r="E7" s="25"/>
      <c r="F7" s="4" t="s">
        <v>174</v>
      </c>
      <c r="G7" s="19">
        <v>2021804089</v>
      </c>
      <c r="H7" s="261">
        <v>0.6</v>
      </c>
    </row>
    <row r="8" spans="2:8" ht="15" customHeight="1">
      <c r="B8" s="1" t="s">
        <v>169</v>
      </c>
      <c r="C8" s="19">
        <v>0</v>
      </c>
      <c r="D8" s="261">
        <v>0.6</v>
      </c>
      <c r="E8" s="25"/>
      <c r="F8" s="1" t="s">
        <v>175</v>
      </c>
      <c r="G8" s="19">
        <v>0</v>
      </c>
      <c r="H8" s="261">
        <v>0.6</v>
      </c>
    </row>
    <row r="9" spans="2:8" ht="15" customHeight="1">
      <c r="B9" s="4" t="s">
        <v>23</v>
      </c>
      <c r="C9" s="19">
        <v>241896760</v>
      </c>
      <c r="D9" s="261">
        <v>0.1</v>
      </c>
      <c r="E9" s="25"/>
      <c r="F9" s="4" t="s">
        <v>176</v>
      </c>
      <c r="G9" s="19">
        <v>0</v>
      </c>
      <c r="H9" s="261">
        <v>0.6</v>
      </c>
    </row>
    <row r="10" spans="2:8" ht="15" customHeight="1">
      <c r="B10" s="4" t="s">
        <v>9</v>
      </c>
      <c r="C10" s="19">
        <v>0</v>
      </c>
      <c r="D10" s="261">
        <v>0.9</v>
      </c>
      <c r="H10" s="262"/>
    </row>
    <row r="11" spans="2:8" ht="15" customHeight="1">
      <c r="B11" s="4" t="s">
        <v>10</v>
      </c>
      <c r="C11" s="19">
        <f>51713930+1132635624</f>
        <v>1184349554</v>
      </c>
      <c r="D11" s="261">
        <v>0.05</v>
      </c>
      <c r="H11" s="262"/>
    </row>
    <row r="12" spans="2:8" ht="15" customHeight="1">
      <c r="B12" s="80" t="s">
        <v>70</v>
      </c>
      <c r="C12" s="81">
        <f>SUM(C4:C11)</f>
        <v>5188338576</v>
      </c>
      <c r="D12" s="20">
        <f>C4*D4+C5*D5+C9*D9+C6*D6+C8*D8+C7*D7+C10*D10+C11*D11</f>
        <v>1983023757.2</v>
      </c>
      <c r="F12" s="80" t="s">
        <v>68</v>
      </c>
      <c r="G12" s="81">
        <f>SUM(G4:G9)</f>
        <v>20000576985</v>
      </c>
      <c r="H12" s="20">
        <f>G4*H4+G5*H5+G6*H6+G7*H7+G8*H8+G9*H9</f>
        <v>17393978059.799999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2498379750</v>
      </c>
      <c r="H17" s="261">
        <v>0.6</v>
      </c>
    </row>
    <row r="18" spans="2:8" ht="15" customHeight="1">
      <c r="B18" s="4" t="s">
        <v>169</v>
      </c>
      <c r="C18" s="19">
        <v>0</v>
      </c>
      <c r="D18" s="261">
        <v>0.6</v>
      </c>
      <c r="F18" s="4" t="s">
        <v>177</v>
      </c>
      <c r="G18" s="19">
        <v>0</v>
      </c>
      <c r="H18" s="261">
        <v>0.1</v>
      </c>
    </row>
    <row r="19" spans="2:8" ht="15" customHeight="1">
      <c r="B19" s="4" t="s">
        <v>24</v>
      </c>
      <c r="C19" s="19">
        <f>11817650634+630874619+115672625+85702449</f>
        <v>12649900327</v>
      </c>
      <c r="D19" s="261">
        <v>0.1</v>
      </c>
      <c r="F19" s="4" t="s">
        <v>178</v>
      </c>
      <c r="G19" s="19">
        <v>391873803</v>
      </c>
      <c r="H19" s="261">
        <v>0.1</v>
      </c>
    </row>
    <row r="20" spans="2:8" ht="15" customHeight="1">
      <c r="B20" s="4" t="s">
        <v>16</v>
      </c>
      <c r="C20" s="19">
        <v>0</v>
      </c>
      <c r="D20" s="261">
        <v>0.05</v>
      </c>
      <c r="F20" s="4" t="s">
        <v>175</v>
      </c>
      <c r="G20" s="19">
        <v>0</v>
      </c>
      <c r="H20" s="261">
        <v>0.2</v>
      </c>
    </row>
    <row r="21" spans="2:8" ht="15" customHeight="1">
      <c r="B21" s="4" t="s">
        <v>17</v>
      </c>
      <c r="C21" s="19">
        <v>2684120584</v>
      </c>
      <c r="D21" s="261">
        <v>0.05</v>
      </c>
      <c r="F21" s="1" t="s">
        <v>176</v>
      </c>
      <c r="G21" s="19">
        <v>41138918</v>
      </c>
      <c r="H21" s="261">
        <v>0.1</v>
      </c>
    </row>
    <row r="22" spans="2:8" ht="15" customHeight="1">
      <c r="B22" s="4" t="s">
        <v>18</v>
      </c>
      <c r="C22" s="19">
        <v>1930039528</v>
      </c>
      <c r="D22" s="261">
        <v>0.9</v>
      </c>
      <c r="H22" s="262"/>
    </row>
    <row r="23" spans="2:8" ht="15" customHeight="1">
      <c r="B23" s="4" t="s">
        <v>19</v>
      </c>
      <c r="C23" s="19">
        <f>1307103982+4728913379</f>
        <v>6036017361</v>
      </c>
      <c r="D23" s="261">
        <v>0</v>
      </c>
      <c r="H23" s="262"/>
    </row>
    <row r="24" spans="2:8" ht="15" customHeight="1">
      <c r="B24" s="80" t="s">
        <v>71</v>
      </c>
      <c r="C24" s="81">
        <f>SUM(C15:C23)</f>
        <v>23300077800</v>
      </c>
      <c r="D24" s="20">
        <f>C15*D15+C16*D16+C18*D18+C17*D17+C19*D19+C20*D20+C21*D21+C22*D22+C23*D23</f>
        <v>3136231637.1000004</v>
      </c>
      <c r="F24" s="80" t="s">
        <v>69</v>
      </c>
      <c r="G24" s="81">
        <f>SUM(G15:G21)</f>
        <v>2931392471</v>
      </c>
      <c r="H24" s="20">
        <f>G15*H15+G16*H16+G17*H17+G18*H18+G19*H19+G20*H20+G21*H21</f>
        <v>1542329122.0999999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29859542011</v>
      </c>
      <c r="H27" s="188">
        <f>H32-G30</f>
        <v>2494718755.1999969</v>
      </c>
    </row>
    <row r="28" spans="2:8" ht="15" customHeight="1">
      <c r="B28" s="4" t="s">
        <v>4</v>
      </c>
      <c r="C28" s="19">
        <v>0</v>
      </c>
      <c r="F28" s="189" t="s">
        <v>240</v>
      </c>
      <c r="G28" s="12">
        <v>799157484</v>
      </c>
      <c r="H28" s="188"/>
    </row>
    <row r="29" spans="2:8" ht="15" customHeight="1">
      <c r="B29" s="4" t="s">
        <v>5</v>
      </c>
      <c r="C29" s="19">
        <v>0</v>
      </c>
      <c r="F29" s="190" t="s">
        <v>73</v>
      </c>
      <c r="G29" s="14">
        <f>G27-G28</f>
        <v>29060384527</v>
      </c>
      <c r="H29" s="188">
        <f>H27-G28</f>
        <v>1695561271.1999969</v>
      </c>
    </row>
    <row r="30" spans="2:8" ht="15" customHeight="1">
      <c r="B30" s="2" t="s">
        <v>6</v>
      </c>
      <c r="C30" s="19">
        <v>217159673</v>
      </c>
      <c r="F30" s="187" t="s">
        <v>21</v>
      </c>
      <c r="G30" s="85">
        <f>C33+C42</f>
        <v>21560843821</v>
      </c>
      <c r="H30" s="188"/>
    </row>
    <row r="31" spans="2:8" ht="15" customHeight="1">
      <c r="B31" s="80" t="s">
        <v>199</v>
      </c>
      <c r="C31" s="81">
        <f>SUM(C27:C30)</f>
        <v>217159673</v>
      </c>
      <c r="F31" s="190" t="s">
        <v>74</v>
      </c>
      <c r="G31" s="191">
        <f>C31+C40</f>
        <v>285396383</v>
      </c>
      <c r="H31" s="188"/>
    </row>
    <row r="32" spans="2:8" ht="15" customHeight="1">
      <c r="B32" s="4" t="s">
        <v>7</v>
      </c>
      <c r="C32" s="21">
        <f>C33-C31</f>
        <v>17305171626</v>
      </c>
      <c r="F32" s="192" t="s">
        <v>72</v>
      </c>
      <c r="G32" s="193">
        <f>G35+G40</f>
        <v>51420385832</v>
      </c>
      <c r="H32" s="188">
        <f>H35+H40</f>
        <v>24055562576.199997</v>
      </c>
    </row>
    <row r="33" spans="2:8" ht="15" customHeight="1">
      <c r="B33" s="83" t="s">
        <v>2</v>
      </c>
      <c r="C33" s="84">
        <v>17522331299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28488416376</v>
      </c>
      <c r="H35" s="200">
        <f>D12+D24</f>
        <v>5119255394.3000002</v>
      </c>
    </row>
    <row r="36" spans="2:8" ht="15" customHeight="1">
      <c r="B36" s="4" t="s">
        <v>11</v>
      </c>
      <c r="C36" s="19">
        <v>0</v>
      </c>
      <c r="F36" s="190" t="s">
        <v>193</v>
      </c>
      <c r="G36" s="191">
        <f>C4+C15</f>
        <v>185704725</v>
      </c>
      <c r="H36" s="195"/>
    </row>
    <row r="37" spans="2:8" ht="15" customHeight="1">
      <c r="B37" s="4" t="s">
        <v>12</v>
      </c>
      <c r="C37" s="19">
        <v>68236710</v>
      </c>
      <c r="F37" s="190" t="s">
        <v>194</v>
      </c>
      <c r="G37" s="191">
        <f>C6</f>
        <v>3576387537</v>
      </c>
      <c r="H37" s="195"/>
    </row>
    <row r="38" spans="2:8" ht="15" customHeight="1">
      <c r="B38" s="4" t="s">
        <v>13</v>
      </c>
      <c r="C38" s="19">
        <v>0</v>
      </c>
      <c r="F38" s="190" t="s">
        <v>195</v>
      </c>
      <c r="G38" s="191">
        <f>C7+C17</f>
        <v>0</v>
      </c>
      <c r="H38" s="195"/>
    </row>
    <row r="39" spans="2:8" ht="15" customHeight="1">
      <c r="B39" s="2" t="s">
        <v>14</v>
      </c>
      <c r="C39" s="19">
        <v>0</v>
      </c>
      <c r="F39" s="190" t="s">
        <v>77</v>
      </c>
      <c r="G39" s="191">
        <f>C7+C17+C19+C20</f>
        <v>12649900327</v>
      </c>
      <c r="H39" s="188">
        <f>C7*D7+C17*D17+C19*D19+C20*D20</f>
        <v>1264990032.7</v>
      </c>
    </row>
    <row r="40" spans="2:8" ht="15" customHeight="1">
      <c r="B40" s="80" t="s">
        <v>200</v>
      </c>
      <c r="C40" s="81">
        <f>SUM(C36:C39)</f>
        <v>68236710</v>
      </c>
      <c r="F40" s="199" t="s">
        <v>134</v>
      </c>
      <c r="G40" s="193">
        <f>G12+G24</f>
        <v>22931969456</v>
      </c>
      <c r="H40" s="200">
        <f>H12+H24</f>
        <v>18936307181.899998</v>
      </c>
    </row>
    <row r="41" spans="2:8" ht="15" customHeight="1">
      <c r="B41" s="4" t="s">
        <v>15</v>
      </c>
      <c r="C41" s="21">
        <f>C42-C40</f>
        <v>3970275812</v>
      </c>
      <c r="F41" s="190" t="s">
        <v>187</v>
      </c>
      <c r="G41" s="191">
        <f>C70</f>
        <v>17978772896</v>
      </c>
      <c r="H41" s="200">
        <f>H40-H42</f>
        <v>16180895606.399998</v>
      </c>
    </row>
    <row r="42" spans="2:8" ht="15" customHeight="1">
      <c r="B42" s="83" t="s">
        <v>20</v>
      </c>
      <c r="C42" s="84">
        <v>4038512522</v>
      </c>
      <c r="F42" s="201" t="s">
        <v>188</v>
      </c>
      <c r="G42" s="202">
        <f>C82</f>
        <v>4953196560</v>
      </c>
      <c r="H42" s="203">
        <f>D82</f>
        <v>2755411575.5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29060384527</v>
      </c>
      <c r="D46" s="76">
        <f>H29</f>
        <v>1695561271.1999969</v>
      </c>
      <c r="F46" s="253"/>
    </row>
    <row r="47" spans="2:8" ht="15" customHeight="1">
      <c r="B47" s="1" t="str">
        <f>"Equity per share ("&amp;Market_currency&amp;")"</f>
        <v>Equity per share (HKD)</v>
      </c>
      <c r="C47" s="147">
        <f>C46*H1/Common_Shares*Exchange_Rate</f>
        <v>23.29286860743678</v>
      </c>
      <c r="D47" s="147">
        <f>D46*H1/Common_Shares*Exchange_Rate</f>
        <v>1.3590489784891073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7.3592411949940734E-2</v>
      </c>
      <c r="D50" s="95">
        <f>G31/Normalized_FCF!G8</f>
        <v>6.3593933566061064E-2</v>
      </c>
      <c r="F50" s="253"/>
    </row>
    <row r="51" spans="2:8" ht="15" customHeight="1">
      <c r="B51" s="1" t="s">
        <v>172</v>
      </c>
      <c r="C51" s="181"/>
      <c r="D51" s="92">
        <f>G29/G32</f>
        <v>0.56515298469260233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0.1361278920921285</v>
      </c>
      <c r="D54" s="92">
        <f>Normalized_FCF!G8/G35</f>
        <v>0.15753043334415495</v>
      </c>
      <c r="F54" s="253"/>
    </row>
    <row r="55" spans="2:8" ht="15" customHeight="1">
      <c r="B55" s="1" t="s">
        <v>137</v>
      </c>
      <c r="C55" s="92">
        <f>Normalized_FCF!C11/G40</f>
        <v>0</v>
      </c>
      <c r="D55" s="92">
        <f>Normalized_FCF!G11/G40</f>
        <v>2.1050212495974641E-3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9.4175111360938715E-2</v>
      </c>
      <c r="F58" s="5"/>
    </row>
    <row r="59" spans="2:8" ht="15" customHeight="1">
      <c r="B59" s="1" t="s">
        <v>90</v>
      </c>
      <c r="C59" s="98"/>
      <c r="D59" s="92">
        <f>G39/G32</f>
        <v>0.24600944007556819</v>
      </c>
      <c r="F59" s="253"/>
    </row>
    <row r="60" spans="2:8" ht="15" customHeight="1">
      <c r="F60" s="253"/>
    </row>
    <row r="61" spans="2:8" ht="15" customHeight="1">
      <c r="B61" s="157" t="s">
        <v>269</v>
      </c>
      <c r="C61" s="235" t="s">
        <v>133</v>
      </c>
      <c r="D61" s="197" t="s">
        <v>92</v>
      </c>
      <c r="F61" s="253"/>
    </row>
    <row r="62" spans="2:8" ht="15" customHeight="1">
      <c r="B62" s="1" t="s">
        <v>241</v>
      </c>
      <c r="C62" s="92">
        <f>IF(G28&lt;=0,0,G28/G29)</f>
        <v>2.749989365273205E-2</v>
      </c>
      <c r="D62" s="92">
        <f>G28/G29</f>
        <v>2.749989365273205E-2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17978772896</v>
      </c>
      <c r="D66" s="76">
        <f>C66-D75</f>
        <v>12817130906.18187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17978772896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-2532898048.3305449</v>
      </c>
      <c r="D73" s="349">
        <f>(Normalized_FCF!C25+Normalized_FCF!C35-Normalized_FCF!C91)/12</f>
        <v>-2580820994.9090657</v>
      </c>
      <c r="F73" s="1" t="s">
        <v>342</v>
      </c>
    </row>
    <row r="74" spans="2:6" ht="15" customHeight="1">
      <c r="B74" s="257" t="s">
        <v>312</v>
      </c>
      <c r="C74" s="258">
        <f>-$C$66/C73</f>
        <v>7.09810365555375</v>
      </c>
      <c r="D74" s="258">
        <f>-$C$66/D73</f>
        <v>6.9662998446870104</v>
      </c>
      <c r="F74" s="253" t="s">
        <v>310</v>
      </c>
    </row>
    <row r="75" spans="2:6" ht="15" customHeight="1">
      <c r="B75" s="80" t="s">
        <v>311</v>
      </c>
      <c r="C75" s="320"/>
      <c r="D75" s="321">
        <f>MAX(-D73*D76,G5)</f>
        <v>5161641989.8181314</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4520183839</v>
      </c>
      <c r="D79" s="76">
        <f>G7*H7+G17*H17</f>
        <v>2712110303.3999996</v>
      </c>
      <c r="F79" s="253"/>
    </row>
    <row r="80" spans="2:6" ht="15" customHeight="1">
      <c r="B80" s="105" t="s">
        <v>178</v>
      </c>
      <c r="C80" s="20">
        <f>G19</f>
        <v>391873803</v>
      </c>
      <c r="D80" s="76">
        <f>G19*H19</f>
        <v>39187380.300000004</v>
      </c>
      <c r="F80" s="253"/>
    </row>
    <row r="81" spans="2:8" ht="15" customHeight="1">
      <c r="B81" s="105" t="s">
        <v>176</v>
      </c>
      <c r="C81" s="20">
        <f>G9+G21</f>
        <v>41138918</v>
      </c>
      <c r="D81" s="76">
        <f>G9*H9+G21*H21</f>
        <v>4113891.8000000003</v>
      </c>
      <c r="F81" s="253"/>
    </row>
    <row r="82" spans="2:8" ht="15" customHeight="1">
      <c r="B82" s="80" t="s">
        <v>185</v>
      </c>
      <c r="C82" s="81">
        <f>SUM(C79:C81)</f>
        <v>4953196560</v>
      </c>
      <c r="D82" s="81">
        <f>SUM(D79:D81)</f>
        <v>2755411575.5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-312066469.50595421</v>
      </c>
      <c r="D86" s="223">
        <f>C86*scaling_factor/Common_Shares</f>
        <v>-0.22875473117295905</v>
      </c>
      <c r="E86" s="240" t="str">
        <f>Market_currency</f>
        <v>HKD</v>
      </c>
    </row>
    <row r="87" spans="2:8" ht="15" customHeight="1">
      <c r="B87" s="238" t="s">
        <v>282</v>
      </c>
      <c r="C87" s="76">
        <f>DCF!C8*Exchange_Rate</f>
        <v>14014882561.030312</v>
      </c>
      <c r="D87" s="223">
        <f>C87*scaling_factor/Common_Shares</f>
        <v>10.273358421827856</v>
      </c>
      <c r="E87" s="240" t="str">
        <f>Market_currency</f>
        <v>HKD</v>
      </c>
    </row>
    <row r="88" spans="2:8" ht="15" customHeight="1">
      <c r="B88" s="239" t="s">
        <v>185</v>
      </c>
      <c r="C88" s="76">
        <f>DCF!C9*Exchange_Rate</f>
        <v>3012902803.3341408</v>
      </c>
      <c r="D88" s="223">
        <f>C88*scaling_factor/Common_Shares</f>
        <v>2.2085543888072405</v>
      </c>
      <c r="E88" s="240" t="str">
        <f>Market_currency</f>
        <v>HKD</v>
      </c>
    </row>
    <row r="89" spans="2:8" ht="15" customHeight="1">
      <c r="B89" s="80" t="s">
        <v>286</v>
      </c>
      <c r="C89" s="180">
        <f>SUM(C86:C88)</f>
        <v>16715718894.858498</v>
      </c>
      <c r="D89" s="242">
        <f>SUM(D86:D88)</f>
        <v>12.253158079462137</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44</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155235771.96237743</v>
      </c>
      <c r="E12" s="268"/>
      <c r="G12" s="328">
        <f>G50</f>
        <v>155235771.96237743</v>
      </c>
      <c r="H12" s="328">
        <f t="shared" ref="H12:Q12" si="6">H50</f>
        <v>128948166.09422636</v>
      </c>
      <c r="I12" s="328">
        <f t="shared" si="6"/>
        <v>122729432.60500199</v>
      </c>
      <c r="J12" s="328">
        <f t="shared" si="6"/>
        <v>67936143.425146431</v>
      </c>
      <c r="K12" s="328">
        <f t="shared" si="6"/>
        <v>136784284.59150022</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4033303842.2701321</v>
      </c>
      <c r="E13" s="268"/>
      <c r="G13" s="329">
        <f>IF(G$4="","",SUM(G8:G12))</f>
        <v>4691300631.9623775</v>
      </c>
      <c r="H13" s="329">
        <f t="shared" ref="H13:Q13" si="7">IF(H$4="","",SUM(H8:H12))</f>
        <v>4549615958.0942268</v>
      </c>
      <c r="I13" s="329">
        <f t="shared" si="7"/>
        <v>3869682640.6050019</v>
      </c>
      <c r="J13" s="329">
        <f t="shared" si="7"/>
        <v>3025027143.4251466</v>
      </c>
      <c r="K13" s="329">
        <f t="shared" si="7"/>
        <v>2470844156.5915003</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-1008325960.567533</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2878343317.2309222</v>
      </c>
      <c r="D16" s="61"/>
      <c r="E16" s="276"/>
      <c r="F16" s="61"/>
      <c r="G16" s="329">
        <f>IF(G$4="","",SUM(G13:G15))</f>
        <v>3154791489.9623775</v>
      </c>
      <c r="H16" s="329">
        <f t="shared" ref="H16:Q16" si="8">IF(H$4="","",SUM(H13:H15))</f>
        <v>3071060062.0942268</v>
      </c>
      <c r="I16" s="329">
        <f t="shared" si="8"/>
        <v>2574169947.6050019</v>
      </c>
      <c r="J16" s="329">
        <f t="shared" si="8"/>
        <v>1701507488.4251466</v>
      </c>
      <c r="K16" s="329">
        <f t="shared" si="8"/>
        <v>1432618388.5915003</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2878343317.2309222</v>
      </c>
      <c r="D19" s="27"/>
      <c r="E19" s="265"/>
      <c r="F19" s="27"/>
      <c r="G19" s="334">
        <f>IF(G$4="","",G16+G17)</f>
        <v>3154791489.9623775</v>
      </c>
      <c r="H19" s="334">
        <f t="shared" ref="H19:Q19" si="9">IF(H$4="","",H16+H17)</f>
        <v>3071060062.0942268</v>
      </c>
      <c r="I19" s="334">
        <f t="shared" si="9"/>
        <v>2574169947.6050019</v>
      </c>
      <c r="J19" s="334">
        <f t="shared" si="9"/>
        <v>1701507488.4251466</v>
      </c>
      <c r="K19" s="334">
        <f t="shared" si="9"/>
        <v>1432618388.5915003</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0.69237393830888427</v>
      </c>
      <c r="D28" s="26"/>
      <c r="E28" s="266" t="s">
        <v>324</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324</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-1522888768.25</v>
      </c>
      <c r="E33" s="266" t="s">
        <v>324</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-74312206.25</v>
      </c>
      <c r="D34" s="58"/>
      <c r="E34" s="266" t="s">
        <v>324</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0.29623262779871767</v>
      </c>
      <c r="H43" s="6">
        <f t="shared" si="18"/>
        <v>0.30732448428145809</v>
      </c>
      <c r="I43" s="6">
        <f t="shared" si="18"/>
        <v>0.31046985491610368</v>
      </c>
      <c r="J43" s="6">
        <f t="shared" si="18"/>
        <v>0.40420516478921181</v>
      </c>
      <c r="K43" s="6">
        <f t="shared" si="18"/>
        <v>0.36933957027014358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177072825.96237743</v>
      </c>
      <c r="E48" s="268"/>
      <c r="G48" s="337">
        <f>IFERROR(IF(G$4="","",($C$48/$C$49)*G49),0)</f>
        <v>177072825.96237743</v>
      </c>
      <c r="H48" s="337">
        <f t="shared" ref="H48:Q48" si="19">IFERROR(IF(H$4="","",($C$48/$C$49)*H49),0)</f>
        <v>145378756.09422636</v>
      </c>
      <c r="I48" s="337">
        <f t="shared" si="19"/>
        <v>131967232.60500199</v>
      </c>
      <c r="J48" s="337">
        <f t="shared" si="19"/>
        <v>90621510.425146431</v>
      </c>
      <c r="K48" s="337">
        <f t="shared" si="19"/>
        <v>150446966.59150022</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155235771.96237743</v>
      </c>
      <c r="E50" s="268"/>
      <c r="G50" s="329">
        <f>IF(G$4="","",(G47+G48))</f>
        <v>155235771.96237743</v>
      </c>
      <c r="H50" s="329">
        <f t="shared" ref="H50:Q50" si="20">IF(H$4="","",(H47+H48))</f>
        <v>128948166.09422636</v>
      </c>
      <c r="I50" s="329">
        <f t="shared" si="20"/>
        <v>122729432.60500199</v>
      </c>
      <c r="J50" s="329">
        <f t="shared" si="20"/>
        <v>67936143.425146431</v>
      </c>
      <c r="K50" s="329">
        <f t="shared" si="20"/>
        <v>136784284.59150022</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3.430552260533988E-2</v>
      </c>
      <c r="E53" s="265" t="s">
        <v>326</v>
      </c>
      <c r="G53" s="6">
        <f>IF(Normalized_FCF!G4="","",Normalized_FCF!G49/BS!$C$66)</f>
        <v>3.430552260533988E-2</v>
      </c>
      <c r="H53" s="169"/>
      <c r="I53" s="169"/>
      <c r="J53" s="169"/>
      <c r="K53" s="169"/>
      <c r="L53" s="169"/>
      <c r="M53" s="169"/>
      <c r="N53" s="169"/>
      <c r="O53" s="169"/>
      <c r="P53" s="169"/>
      <c r="Q53" s="169"/>
    </row>
    <row r="54" spans="1:17" ht="15.75" customHeight="1">
      <c r="A54" s="10"/>
      <c r="B54" s="8" t="s">
        <v>85</v>
      </c>
      <c r="C54" s="82">
        <f>G54</f>
        <v>7.6514823945754068E-2</v>
      </c>
      <c r="E54" s="265" t="s">
        <v>327</v>
      </c>
      <c r="G54" s="23">
        <f>IFERROR(ABS(Normalized_FCF!G47/BS!$G$31),0)</f>
        <v>7.6514823945754068E-2</v>
      </c>
      <c r="H54" s="169"/>
      <c r="I54" s="169"/>
      <c r="J54" s="169"/>
      <c r="K54" s="169"/>
      <c r="L54" s="169"/>
      <c r="M54" s="169"/>
      <c r="N54" s="169"/>
      <c r="O54" s="169"/>
      <c r="P54" s="169"/>
      <c r="Q54" s="169"/>
    </row>
    <row r="55" spans="1:17" ht="15.75" customHeight="1">
      <c r="A55" s="10"/>
      <c r="B55" s="26" t="s">
        <v>88</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3.7108652048024243E-2</v>
      </c>
      <c r="D78" s="27"/>
      <c r="E78" s="266" t="s">
        <v>559</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4.8355261785454533E-3</v>
      </c>
      <c r="D80" s="27"/>
      <c r="E80" s="265"/>
      <c r="F80" s="27"/>
      <c r="G80" s="6">
        <f t="shared" ref="G80:Q80" si="31">IF(G$4="","",ABS(G12/G$4))</f>
        <v>4.8303127941809612E-3</v>
      </c>
      <c r="H80" s="6">
        <f t="shared" si="31"/>
        <v>3.7996870533361744E-3</v>
      </c>
      <c r="I80" s="6">
        <f t="shared" si="31"/>
        <v>3.8148417779657507E-3</v>
      </c>
      <c r="J80" s="6">
        <f t="shared" si="31"/>
        <v>2.2520164988017858E-3</v>
      </c>
      <c r="K80" s="6">
        <f t="shared" si="31"/>
        <v>4.927439084511028E-3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0.12563564485672751</v>
      </c>
      <c r="D81" s="27"/>
      <c r="E81" s="265"/>
      <c r="F81" s="27"/>
      <c r="G81" s="65">
        <f t="shared" ref="G81:Q81" si="32">IF(G$4="","",G13/G$4)</f>
        <v>0.14597440510946813</v>
      </c>
      <c r="H81" s="65">
        <f t="shared" si="32"/>
        <v>0.13406252587563025</v>
      </c>
      <c r="I81" s="65">
        <f t="shared" si="32"/>
        <v>0.12028269577649081</v>
      </c>
      <c r="J81" s="65">
        <f t="shared" si="32"/>
        <v>0.10027668179049248</v>
      </c>
      <c r="K81" s="65">
        <f t="shared" si="32"/>
        <v>8.900828121654844E-2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3.1408911214181878E-2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8.9659131303090972E-2</v>
      </c>
      <c r="D84" s="27"/>
      <c r="E84" s="265"/>
      <c r="F84" s="27"/>
      <c r="G84" s="65">
        <f t="shared" ref="G84:Q84" si="35">IF(G$4="","",ABS(G16/G$4))</f>
        <v>9.8164421153081174E-2</v>
      </c>
      <c r="H84" s="65">
        <f t="shared" si="35"/>
        <v>9.0494246730351155E-2</v>
      </c>
      <c r="I84" s="65">
        <f t="shared" si="35"/>
        <v>8.0013822693312447E-2</v>
      </c>
      <c r="J84" s="65">
        <f t="shared" si="35"/>
        <v>5.6403303802345033E-2</v>
      </c>
      <c r="K84" s="65">
        <f t="shared" si="35"/>
        <v>5.1607828064581779E-2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8.9659131303090972E-2</v>
      </c>
      <c r="D87" s="75"/>
      <c r="E87" s="265"/>
      <c r="F87" s="75"/>
      <c r="G87" s="65">
        <f t="shared" ref="G87:Q87" si="36">IF(G$4="","",ABS(G19/G$4))</f>
        <v>9.8164421153081174E-2</v>
      </c>
      <c r="H87" s="65">
        <f t="shared" si="36"/>
        <v>9.0494246730351155E-2</v>
      </c>
      <c r="I87" s="65">
        <f t="shared" si="36"/>
        <v>8.0013822693312447E-2</v>
      </c>
      <c r="J87" s="65">
        <f t="shared" si="36"/>
        <v>5.6403303802345033E-2</v>
      </c>
      <c r="K87" s="65">
        <f t="shared" si="36"/>
        <v>5.1607828064581779E-2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2.0119817537398719</v>
      </c>
      <c r="E90" s="268"/>
      <c r="G90" s="112">
        <f>Data!C65</f>
        <v>2.0119817537398719</v>
      </c>
      <c r="H90" s="112">
        <f>Data!D65</f>
        <v>1.8290743215817016</v>
      </c>
      <c r="I90" s="112">
        <f>Data!E65</f>
        <v>1.188898309028106</v>
      </c>
      <c r="J90" s="112">
        <f>Data!F65</f>
        <v>1.0059908768699359</v>
      </c>
      <c r="K90" s="112">
        <f>Data!G65</f>
        <v>0.68590287059313815</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2744739045.9665403</v>
      </c>
      <c r="E91" s="268"/>
      <c r="G91" s="74">
        <f t="shared" ref="G91:Q91" si="37">IF(G$4="","",G90*Common_Shares/scaling_factor)</f>
        <v>2744739045.9665403</v>
      </c>
      <c r="H91" s="74">
        <f t="shared" si="37"/>
        <v>2495217314.5150366</v>
      </c>
      <c r="I91" s="74">
        <f t="shared" si="37"/>
        <v>1621891254.4347737</v>
      </c>
      <c r="J91" s="74">
        <f t="shared" si="37"/>
        <v>1372369522.9832702</v>
      </c>
      <c r="K91" s="74">
        <f t="shared" si="37"/>
        <v>935706492.94313872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0.95358292721213167</v>
      </c>
      <c r="E92" s="268"/>
      <c r="G92" s="170">
        <f t="shared" ref="G92:Q92" si="38">IF(G$4="","",G90/(G19*scaling_factor/Common_Shares))</f>
        <v>0.87002233101601045</v>
      </c>
      <c r="H92" s="170">
        <f t="shared" si="38"/>
        <v>0.81249381779055463</v>
      </c>
      <c r="I92" s="170">
        <f t="shared" si="38"/>
        <v>0.63006378267440155</v>
      </c>
      <c r="J92" s="170">
        <f t="shared" si="38"/>
        <v>0.80656096568430935</v>
      </c>
      <c r="K92" s="170">
        <f t="shared" si="38"/>
        <v>0.65314427093393113</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3.5058733366232039E-2</v>
      </c>
      <c r="E94" s="268"/>
      <c r="G94" s="23">
        <f t="shared" ref="G94:Q94" si="39">IF(G$4="","",(G90*(1-dividend_tax_rate))/Market_Price)</f>
        <v>3.5058733366232039E-2</v>
      </c>
      <c r="H94" s="23">
        <f t="shared" si="39"/>
        <v>3.1871575787483668E-2</v>
      </c>
      <c r="I94" s="23">
        <f t="shared" si="39"/>
        <v>2.0716524261864384E-2</v>
      </c>
      <c r="J94" s="23">
        <f t="shared" si="39"/>
        <v>1.752936668311602E-2</v>
      </c>
      <c r="K94" s="23">
        <f t="shared" si="39"/>
        <v>1.1951840920306376E-2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-0.14025892632188963</v>
      </c>
      <c r="D98" s="27"/>
      <c r="E98" s="265"/>
      <c r="F98" s="27"/>
      <c r="G98" s="6">
        <f t="shared" ref="G98:Q98" si="41">IF(H5="","",G13/H13-1)</f>
        <v>3.1142117306864003E-2</v>
      </c>
      <c r="H98" s="6">
        <f t="shared" si="41"/>
        <v>0.17570777261024206</v>
      </c>
      <c r="I98" s="6">
        <f t="shared" si="41"/>
        <v>0.27922245227309839</v>
      </c>
      <c r="J98" s="6">
        <f t="shared" si="41"/>
        <v>0.2242889278772382</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1.633914998313081</v>
      </c>
      <c r="H115" s="295">
        <f>IF(H$4="","",Data!D$22/H19)</f>
        <v>0.90443269875546251</v>
      </c>
      <c r="I115" s="295">
        <f>IF(I$4="","",Data!E$22/I19)</f>
        <v>1.8952794187264872</v>
      </c>
      <c r="J115" s="295">
        <f>IF(J$4="","",Data!F$22/J19)</f>
        <v>3.5516220152479518</v>
      </c>
      <c r="K115" s="295">
        <f>IF(K$4="","",Data!G$22/K19)</f>
        <v>3.4576007131040876</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0.12563564485672751</v>
      </c>
      <c r="E118" s="268"/>
      <c r="G118" s="23">
        <f t="shared" ref="G118:Q118" si="45">IF(G4="","",IF(valuation_method="DDM",G13/(G4+G12),G81))</f>
        <v>0.14597440510946813</v>
      </c>
      <c r="H118" s="23">
        <f t="shared" si="45"/>
        <v>0.13406252587563025</v>
      </c>
      <c r="I118" s="23">
        <f t="shared" si="45"/>
        <v>0.12028269577649081</v>
      </c>
      <c r="J118" s="23">
        <f t="shared" si="45"/>
        <v>0.10027668179049248</v>
      </c>
      <c r="K118" s="23">
        <f t="shared" si="45"/>
        <v>8.900828121654844E-2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0.13507587761340403</v>
      </c>
      <c r="D121" s="103"/>
      <c r="E121" s="271"/>
      <c r="F121" s="103"/>
      <c r="G121" s="102">
        <f t="shared" ref="G121:Q121" si="48">IF(G$4="","",G13/G106)</f>
        <v>0.15711227688067494</v>
      </c>
      <c r="H121" s="102">
        <f t="shared" si="48"/>
        <v>0.16102129422413516</v>
      </c>
      <c r="I121" s="102">
        <f t="shared" si="48"/>
        <v>0.14729128375927344</v>
      </c>
      <c r="J121" s="102">
        <f t="shared" si="48"/>
        <v>0.1271356806283121</v>
      </c>
      <c r="K121" s="102">
        <f t="shared" si="48"/>
        <v>0.11563263405557432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2.3070882848457224</v>
      </c>
      <c r="D125" s="27"/>
      <c r="E125" s="265"/>
      <c r="F125" s="27"/>
      <c r="G125" s="177">
        <f t="shared" ref="G125:Q125" si="49">IF(G$4="","",G16*$C$3/Common_Shares*Exchange_Rate)</f>
        <v>2.5286707266822042</v>
      </c>
      <c r="H125" s="177">
        <f t="shared" si="49"/>
        <v>2.4615571912149141</v>
      </c>
      <c r="I125" s="177">
        <f t="shared" si="49"/>
        <v>2.0632831718750002</v>
      </c>
      <c r="J125" s="177">
        <f t="shared" si="49"/>
        <v>1.3638150701562015</v>
      </c>
      <c r="K125" s="177">
        <f t="shared" si="49"/>
        <v>1.1482914776662969</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4.4667730587526086E-2</v>
      </c>
      <c r="D126" s="27"/>
      <c r="E126" s="265"/>
      <c r="F126" s="27"/>
      <c r="G126" s="77">
        <f t="shared" ref="G126" si="50">IF(G$4="","",G125/Market_Price)</f>
        <v>4.8957806905754193E-2</v>
      </c>
      <c r="H126" s="77">
        <f t="shared" ref="H126" si="51">IF(H$4="","",H125/Market_Price)</f>
        <v>4.765841609322196E-2</v>
      </c>
      <c r="I126" s="77">
        <f t="shared" ref="I126" si="52">IF(I$4="","",I125/Market_Price)</f>
        <v>3.9947399261858668E-2</v>
      </c>
      <c r="J126" s="77">
        <f t="shared" ref="J126" si="53">IF(J$4="","",J125/Market_Price)</f>
        <v>2.6404938434776409E-2</v>
      </c>
      <c r="K126" s="77">
        <f t="shared" ref="K126" si="54">IF(K$4="","",K125/Market_Price)</f>
        <v>2.2232168009028015E-2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6.374862298700576E-2</v>
      </c>
      <c r="H127" s="23">
        <f>IF(H$4="","",(Data!D47*$C$3)/(Market_Price*Common_Shares))</f>
        <v>6.17109249314493E-2</v>
      </c>
      <c r="I127" s="23">
        <f>IF(I$4="","",(Data!E47*$C$3)/(Market_Price*Common_Shares))</f>
        <v>5.3997732306584521E-2</v>
      </c>
      <c r="J127" s="23">
        <f>IF(J$4="","",(Data!F47*$C$3)/(Market_Price*Common_Shares))</f>
        <v>4.6213575904022273E-2</v>
      </c>
      <c r="K127" s="23">
        <f>IF(K$4="","",(Data!G47*$C$3)/(Market_Price*Common_Shares))</f>
        <v>3.3025029386438275E-2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2878343317.2309222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38377910896.4123</v>
      </c>
      <c r="D6" t="str">
        <f>Reporting_currency</f>
        <v>CNY</v>
      </c>
      <c r="E6" s="378" t="s">
        <v>245</v>
      </c>
      <c r="F6" s="378"/>
      <c r="H6" s="120"/>
    </row>
    <row r="7" spans="2:8">
      <c r="B7" s="148" t="s">
        <v>220</v>
      </c>
      <c r="C7" s="338">
        <f>BS!G31</f>
        <v>285396383</v>
      </c>
      <c r="D7" t="str">
        <f>Reporting_currency</f>
        <v>CNY</v>
      </c>
      <c r="E7" s="378"/>
      <c r="F7" s="378"/>
      <c r="H7" s="120"/>
    </row>
    <row r="8" spans="2:8">
      <c r="B8" s="148" t="s">
        <v>221</v>
      </c>
      <c r="C8" s="338">
        <f>BS!D66</f>
        <v>12817130906.18187</v>
      </c>
      <c r="D8" t="str">
        <f>Reporting_currency</f>
        <v>CNY</v>
      </c>
      <c r="E8" s="378"/>
      <c r="F8" s="378"/>
      <c r="H8" s="120"/>
    </row>
    <row r="9" spans="2:8">
      <c r="B9" s="205" t="s">
        <v>186</v>
      </c>
      <c r="C9" s="348">
        <f>BS!H42</f>
        <v>2755411575.5</v>
      </c>
      <c r="D9" t="str">
        <f>Reporting_currency</f>
        <v>CNY</v>
      </c>
      <c r="E9" s="378"/>
      <c r="F9" s="378"/>
      <c r="H9" s="120"/>
    </row>
    <row r="10" spans="2:8" ht="13.15">
      <c r="B10" s="149" t="s">
        <v>223</v>
      </c>
      <c r="C10" s="347">
        <f>C6-C7+C8+C9</f>
        <v>53665056995.09417</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43.014335210738437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6.1165848114484E-2</v>
      </c>
      <c r="H16" s="120"/>
    </row>
    <row r="17" spans="2:17" ht="13.35" customHeight="1">
      <c r="B17" s="118" t="s">
        <v>130</v>
      </c>
      <c r="C17" s="162">
        <f>Scenarios!C64</f>
        <v>30</v>
      </c>
      <c r="H17" s="120"/>
    </row>
    <row r="18" spans="2:17" ht="13.35" customHeight="1">
      <c r="B18" s="153" t="s">
        <v>103</v>
      </c>
      <c r="C18" s="140">
        <f>(F52-C7+C8+C9)*Exchange_Rate/Common_Shares*scaling_factor</f>
        <v>72.96140948505419</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3054399627.3940086</v>
      </c>
      <c r="D21" s="138">
        <f>IF($C$17&lt;B21,0,DCF!$C$16)</f>
        <v>6.1165848114484E-2</v>
      </c>
      <c r="E21" s="124">
        <f t="shared" ref="E21:E50" si="0">IF($C$17&lt;B21,0,1/(1+Equity_Cost)^B21)</f>
        <v>0.93023255813953487</v>
      </c>
      <c r="F21" s="125">
        <f t="shared" ref="F21:F51" si="1">C21*E21</f>
        <v>2841301978.9711709</v>
      </c>
      <c r="H21" s="120"/>
    </row>
    <row r="22" spans="2:17">
      <c r="B22" s="122">
        <v>2</v>
      </c>
      <c r="C22" s="123">
        <f t="shared" ref="C22:C50" si="2">IF(ROW()-ROW($C$21)&lt;$C$17, $C$21*(1+D22)^(ROW()-ROW($C$21)), 0)</f>
        <v>3241224571.0841269</v>
      </c>
      <c r="D22" s="138">
        <f>IF($C$17&lt;B22,0,DCF!$C$16)</f>
        <v>6.1165848114484E-2</v>
      </c>
      <c r="E22" s="124">
        <f t="shared" si="0"/>
        <v>0.86533261222282321</v>
      </c>
      <c r="F22" s="125">
        <f t="shared" si="1"/>
        <v>2804737324.8970275</v>
      </c>
      <c r="H22" s="120"/>
    </row>
    <row r="23" spans="2:17">
      <c r="B23" s="122">
        <v>3</v>
      </c>
      <c r="C23" s="123">
        <f t="shared" si="2"/>
        <v>3439476820.9039912</v>
      </c>
      <c r="D23" s="138">
        <f>IF($C$17&lt;B23,0,DCF!$C$16)</f>
        <v>6.1165848114484E-2</v>
      </c>
      <c r="E23" s="124">
        <f t="shared" si="0"/>
        <v>0.80496056950960304</v>
      </c>
      <c r="F23" s="125">
        <f t="shared" si="1"/>
        <v>2768643220.5699558</v>
      </c>
      <c r="G23" s="338"/>
      <c r="H23" s="339"/>
      <c r="I23" s="338"/>
      <c r="J23" s="338"/>
      <c r="K23" s="338"/>
      <c r="L23" s="338"/>
      <c r="M23" s="338"/>
      <c r="N23" s="338"/>
      <c r="O23" s="338"/>
      <c r="P23" s="338"/>
      <c r="Q23" s="338"/>
    </row>
    <row r="24" spans="2:17">
      <c r="B24" s="122">
        <v>4</v>
      </c>
      <c r="C24" s="123">
        <f t="shared" si="2"/>
        <v>3649855337.7246928</v>
      </c>
      <c r="D24" s="138">
        <f>IF($C$17&lt;B24,0,DCF!$C$16)</f>
        <v>6.1165848114484E-2</v>
      </c>
      <c r="E24" s="124">
        <f t="shared" si="0"/>
        <v>0.7488005297763749</v>
      </c>
      <c r="F24" s="125">
        <f t="shared" si="1"/>
        <v>2733013610.4953799</v>
      </c>
      <c r="G24" s="338"/>
      <c r="H24" s="339"/>
      <c r="I24" s="338"/>
      <c r="J24" s="338"/>
      <c r="K24" s="338"/>
      <c r="L24" s="338"/>
      <c r="M24" s="338"/>
      <c r="N24" s="338"/>
      <c r="O24" s="338"/>
      <c r="P24" s="338"/>
      <c r="Q24" s="338"/>
    </row>
    <row r="25" spans="2:17">
      <c r="B25" s="122">
        <v>5</v>
      </c>
      <c r="C25" s="123">
        <f t="shared" si="2"/>
        <v>3873101834.9517999</v>
      </c>
      <c r="D25" s="138">
        <f>IF($C$17&lt;B25,0,DCF!$C$16)</f>
        <v>6.1165848114484E-2</v>
      </c>
      <c r="E25" s="124">
        <f t="shared" si="0"/>
        <v>0.69655863235011617</v>
      </c>
      <c r="F25" s="125">
        <f t="shared" si="1"/>
        <v>2697842517.106751</v>
      </c>
      <c r="G25" s="338"/>
      <c r="H25" s="339"/>
      <c r="I25" s="338"/>
      <c r="J25" s="338"/>
      <c r="K25" s="338"/>
      <c r="L25" s="338"/>
      <c r="M25" s="338"/>
      <c r="N25" s="338"/>
      <c r="O25" s="338"/>
      <c r="P25" s="338"/>
      <c r="Q25" s="338"/>
    </row>
    <row r="26" spans="2:17">
      <c r="B26" s="122">
        <v>6</v>
      </c>
      <c r="C26" s="123">
        <f t="shared" si="2"/>
        <v>4110003393.5203905</v>
      </c>
      <c r="D26" s="138">
        <f>IF($C$17&lt;B26,0,DCF!$C$16)</f>
        <v>6.1165848114484E-2</v>
      </c>
      <c r="E26" s="124">
        <f t="shared" si="0"/>
        <v>0.64796151846522443</v>
      </c>
      <c r="F26" s="125">
        <f t="shared" si="1"/>
        <v>2663124039.7626977</v>
      </c>
      <c r="H26" s="120"/>
    </row>
    <row r="27" spans="2:17">
      <c r="B27" s="122">
        <v>7</v>
      </c>
      <c r="C27" s="123">
        <f t="shared" si="2"/>
        <v>4361395236.8384714</v>
      </c>
      <c r="D27" s="138">
        <f>IF($C$17&lt;B27,0,DCF!$C$16)</f>
        <v>6.1165848114484E-2</v>
      </c>
      <c r="E27" s="124">
        <f t="shared" si="0"/>
        <v>0.60275490089788319</v>
      </c>
      <c r="F27" s="125">
        <f t="shared" si="1"/>
        <v>2628852353.7570724</v>
      </c>
      <c r="H27" s="120"/>
    </row>
    <row r="28" spans="2:17">
      <c r="B28" s="122">
        <v>8</v>
      </c>
      <c r="C28" s="123">
        <f t="shared" si="2"/>
        <v>4628163675.4621668</v>
      </c>
      <c r="D28" s="138">
        <f>IF($C$17&lt;B28,0,DCF!$C$16)</f>
        <v>6.1165848114484E-2</v>
      </c>
      <c r="E28" s="124">
        <f t="shared" si="0"/>
        <v>0.56070223339337966</v>
      </c>
      <c r="F28" s="125">
        <f t="shared" si="1"/>
        <v>2595021709.3417497</v>
      </c>
      <c r="H28" s="120"/>
    </row>
    <row r="29" spans="2:17">
      <c r="B29" s="122">
        <v>9</v>
      </c>
      <c r="C29" s="123">
        <f t="shared" si="2"/>
        <v>4911249231.8844576</v>
      </c>
      <c r="D29" s="138">
        <f>IF($C$17&lt;B29,0,DCF!$C$16)</f>
        <v>6.1165848114484E-2</v>
      </c>
      <c r="E29" s="124">
        <f t="shared" si="0"/>
        <v>0.52158347292407414</v>
      </c>
      <c r="F29" s="125">
        <f t="shared" si="1"/>
        <v>2561626430.7619867</v>
      </c>
      <c r="H29" s="120"/>
    </row>
    <row r="30" spans="2:17">
      <c r="B30" s="122">
        <v>10</v>
      </c>
      <c r="C30" s="123">
        <f t="shared" si="2"/>
        <v>5211649956.454278</v>
      </c>
      <c r="D30" s="138">
        <f>IF($C$17&lt;B30,0,DCF!$C$16)</f>
        <v>6.1165848114484E-2</v>
      </c>
      <c r="E30" s="124">
        <f t="shared" si="0"/>
        <v>0.48519392830146441</v>
      </c>
      <c r="F30" s="125">
        <f t="shared" si="1"/>
        <v>2528660915.3042068</v>
      </c>
      <c r="H30" s="120"/>
    </row>
    <row r="31" spans="2:17">
      <c r="B31" s="122">
        <v>11</v>
      </c>
      <c r="C31" s="123">
        <f t="shared" si="2"/>
        <v>5530424946.1166162</v>
      </c>
      <c r="D31" s="138">
        <f>IF($C$17&lt;B31,0,DCF!$C$16)</f>
        <v>6.1165848114484E-2</v>
      </c>
      <c r="E31" s="124">
        <f t="shared" si="0"/>
        <v>0.45134318911764126</v>
      </c>
      <c r="F31" s="125">
        <f t="shared" si="1"/>
        <v>2496119632.3560328</v>
      </c>
      <c r="H31" s="120"/>
    </row>
    <row r="32" spans="2:17">
      <c r="B32" s="122">
        <v>12</v>
      </c>
      <c r="C32" s="123">
        <f t="shared" si="2"/>
        <v>5868698078.3793383</v>
      </c>
      <c r="D32" s="138">
        <f>IF($C$17&lt;B32,0,DCF!$C$16)</f>
        <v>6.1165848114484E-2</v>
      </c>
      <c r="E32" s="124">
        <f t="shared" si="0"/>
        <v>0.41985412941175931</v>
      </c>
      <c r="F32" s="125">
        <f t="shared" si="1"/>
        <v>2463997122.4784217</v>
      </c>
      <c r="H32" s="120"/>
    </row>
    <row r="33" spans="2:17">
      <c r="B33" s="122">
        <v>13</v>
      </c>
      <c r="C33" s="341">
        <f t="shared" si="2"/>
        <v>6227661973.6712523</v>
      </c>
      <c r="D33" s="138">
        <f>IF($C$17&lt;B33,0,DCF!$C$16)</f>
        <v>6.1165848114484E-2</v>
      </c>
      <c r="E33" s="124">
        <f t="shared" si="0"/>
        <v>0.39056198084814819</v>
      </c>
      <c r="F33" s="125">
        <f t="shared" si="1"/>
        <v>2432287996.4897323</v>
      </c>
      <c r="G33" s="338"/>
      <c r="H33" s="339"/>
      <c r="I33" s="338"/>
      <c r="J33" s="338"/>
      <c r="K33" s="338"/>
      <c r="L33" s="338"/>
      <c r="M33" s="338"/>
      <c r="N33" s="338"/>
      <c r="O33" s="338"/>
      <c r="P33" s="338"/>
      <c r="Q33" s="338"/>
    </row>
    <row r="34" spans="2:17">
      <c r="B34" s="122">
        <v>14</v>
      </c>
      <c r="C34" s="341">
        <f t="shared" si="2"/>
        <v>6608582200.0611753</v>
      </c>
      <c r="D34" s="138">
        <f>IF($C$17&lt;B34,0,DCF!$C$16)</f>
        <v>6.1165848114484E-2</v>
      </c>
      <c r="E34" s="124">
        <f t="shared" si="0"/>
        <v>0.36331347055641694</v>
      </c>
      <c r="F34" s="125">
        <f t="shared" si="1"/>
        <v>2400986934.5615869</v>
      </c>
      <c r="G34" s="338"/>
      <c r="H34" s="339"/>
      <c r="I34" s="338"/>
      <c r="J34" s="338"/>
      <c r="K34" s="338"/>
      <c r="L34" s="338"/>
      <c r="M34" s="338"/>
      <c r="N34" s="338"/>
      <c r="O34" s="338"/>
      <c r="P34" s="338"/>
      <c r="Q34" s="338"/>
    </row>
    <row r="35" spans="2:17">
      <c r="B35" s="122">
        <v>15</v>
      </c>
      <c r="C35" s="341">
        <f t="shared" si="2"/>
        <v>7012801735.1621981</v>
      </c>
      <c r="D35" s="138">
        <f>IF($C$17&lt;B35,0,DCF!$C$16)</f>
        <v>6.1165848114484E-2</v>
      </c>
      <c r="E35" s="124">
        <f t="shared" si="0"/>
        <v>0.33796601912224833</v>
      </c>
      <c r="F35" s="125">
        <f t="shared" si="1"/>
        <v>2370088685.3263636</v>
      </c>
      <c r="G35" s="338"/>
      <c r="H35" s="339"/>
      <c r="I35" s="338"/>
      <c r="J35" s="338"/>
      <c r="K35" s="338"/>
      <c r="L35" s="338"/>
      <c r="M35" s="338"/>
      <c r="N35" s="338"/>
      <c r="O35" s="338"/>
      <c r="P35" s="338"/>
      <c r="Q35" s="338"/>
    </row>
    <row r="36" spans="2:17">
      <c r="B36" s="122">
        <v>16</v>
      </c>
      <c r="C36" s="123">
        <f t="shared" si="2"/>
        <v>7441745700.952117</v>
      </c>
      <c r="D36" s="138">
        <f>IF($C$17&lt;B36,0,DCF!$C$16)</f>
        <v>6.1165848114484E-2</v>
      </c>
      <c r="E36" s="124">
        <f t="shared" si="0"/>
        <v>0.31438699453232405</v>
      </c>
      <c r="F36" s="125">
        <f t="shared" si="1"/>
        <v>2339588064.9961791</v>
      </c>
      <c r="H36" s="120"/>
    </row>
    <row r="37" spans="2:17">
      <c r="B37" s="122">
        <v>17</v>
      </c>
      <c r="C37" s="123">
        <f t="shared" si="2"/>
        <v>7896926388.2031689</v>
      </c>
      <c r="D37" s="138">
        <f>IF($C$17&lt;B37,0,DCF!$C$16)</f>
        <v>6.1165848114484E-2</v>
      </c>
      <c r="E37" s="124">
        <f t="shared" si="0"/>
        <v>0.29245301816960378</v>
      </c>
      <c r="F37" s="125">
        <f t="shared" si="1"/>
        <v>2309479956.4932051</v>
      </c>
      <c r="H37" s="120"/>
    </row>
    <row r="38" spans="2:17">
      <c r="B38" s="122">
        <v>18</v>
      </c>
      <c r="C38" s="123">
        <f t="shared" si="2"/>
        <v>8379948588.2352648</v>
      </c>
      <c r="D38" s="138">
        <f>IF($C$17&lt;B38,0,DCF!$C$16)</f>
        <v>6.1165848114484E-2</v>
      </c>
      <c r="E38" s="124">
        <f t="shared" si="0"/>
        <v>0.27204931922753844</v>
      </c>
      <c r="F38" s="125">
        <f t="shared" si="1"/>
        <v>2279759308.5911756</v>
      </c>
      <c r="H38" s="120"/>
    </row>
    <row r="39" spans="2:17">
      <c r="B39" s="122">
        <v>19</v>
      </c>
      <c r="C39" s="123">
        <f t="shared" si="2"/>
        <v>8892515250.7904453</v>
      </c>
      <c r="D39" s="138">
        <f>IF($C$17&lt;B39,0,DCF!$C$16)</f>
        <v>6.1165848114484E-2</v>
      </c>
      <c r="E39" s="124">
        <f t="shared" si="0"/>
        <v>0.25306913416515198</v>
      </c>
      <c r="F39" s="125">
        <f t="shared" si="1"/>
        <v>2250421135.0679474</v>
      </c>
      <c r="H39" s="120"/>
    </row>
    <row r="40" spans="2:17">
      <c r="B40" s="122">
        <v>20</v>
      </c>
      <c r="C40" s="123">
        <f t="shared" si="2"/>
        <v>9436433487.9760246</v>
      </c>
      <c r="D40" s="138">
        <f>IF($C$17&lt;B40,0,DCF!$C$16)</f>
        <v>6.1165848114484E-2</v>
      </c>
      <c r="E40" s="124">
        <f t="shared" si="0"/>
        <v>0.23541314806060654</v>
      </c>
      <c r="F40" s="125">
        <f t="shared" si="1"/>
        <v>2221460513.8689656</v>
      </c>
      <c r="H40" s="120"/>
    </row>
    <row r="41" spans="2:17">
      <c r="B41" s="122">
        <v>21</v>
      </c>
      <c r="C41" s="123">
        <f t="shared" si="2"/>
        <v>10013620945.443996</v>
      </c>
      <c r="D41" s="138">
        <f>IF($C$17&lt;B41,0,DCF!$C$16)</f>
        <v>6.1165848114484E-2</v>
      </c>
      <c r="E41" s="124">
        <f t="shared" si="0"/>
        <v>0.21898897494009908</v>
      </c>
      <c r="F41" s="125">
        <f t="shared" si="1"/>
        <v>2192872586.2814865</v>
      </c>
      <c r="H41" s="120"/>
    </row>
    <row r="42" spans="2:17">
      <c r="B42" s="122">
        <v>22</v>
      </c>
      <c r="C42" s="123">
        <f t="shared" si="2"/>
        <v>10626112563.269039</v>
      </c>
      <c r="D42" s="138">
        <f>IF($C$17&lt;B42,0,DCF!$C$16)</f>
        <v>6.1165848114484E-2</v>
      </c>
      <c r="E42" s="124">
        <f t="shared" si="0"/>
        <v>0.20371067436288287</v>
      </c>
      <c r="F42" s="125">
        <f t="shared" si="1"/>
        <v>2164652556.1194377</v>
      </c>
      <c r="H42" s="120"/>
    </row>
    <row r="43" spans="2:17">
      <c r="B43" s="122">
        <v>23</v>
      </c>
      <c r="C43" s="123">
        <f t="shared" si="2"/>
        <v>11276067750.361361</v>
      </c>
      <c r="D43" s="138">
        <f>IF($C$17&lt;B43,0,DCF!$C$16)</f>
        <v>6.1165848114484E-2</v>
      </c>
      <c r="E43" s="124">
        <f t="shared" si="0"/>
        <v>0.18949830173291429</v>
      </c>
      <c r="F43" s="125">
        <f t="shared" si="1"/>
        <v>2136795688.9187613</v>
      </c>
      <c r="H43" s="120"/>
    </row>
    <row r="44" spans="2:17">
      <c r="B44" s="122">
        <v>24</v>
      </c>
      <c r="C44" s="123">
        <f t="shared" si="2"/>
        <v>11965777997.708593</v>
      </c>
      <c r="D44" s="138">
        <f>IF($C$17&lt;B44,0,DCF!$C$16)</f>
        <v>6.1165848114484E-2</v>
      </c>
      <c r="E44" s="124">
        <f t="shared" si="0"/>
        <v>0.17627748998410636</v>
      </c>
      <c r="F44" s="125">
        <f t="shared" si="1"/>
        <v>2109297311.143117</v>
      </c>
      <c r="H44" s="120"/>
    </row>
    <row r="45" spans="2:17">
      <c r="B45" s="122">
        <v>25</v>
      </c>
      <c r="C45" s="123">
        <f t="shared" si="2"/>
        <v>12697674957.288071</v>
      </c>
      <c r="D45" s="138">
        <f>IF($C$17&lt;B45,0,DCF!$C$16)</f>
        <v>6.1165848114484E-2</v>
      </c>
      <c r="E45" s="124">
        <f t="shared" si="0"/>
        <v>0.16397906045033148</v>
      </c>
      <c r="F45" s="125">
        <f t="shared" si="1"/>
        <v>2082152809.3998008</v>
      </c>
      <c r="H45" s="120"/>
    </row>
    <row r="46" spans="2:17">
      <c r="B46" s="122">
        <v>26</v>
      </c>
      <c r="C46" s="123">
        <f t="shared" si="2"/>
        <v>13474339015.132639</v>
      </c>
      <c r="D46" s="138">
        <f>IF($C$17&lt;B46,0,DCF!$C$16)</f>
        <v>6.1165848114484E-2</v>
      </c>
      <c r="E46" s="124">
        <f t="shared" si="0"/>
        <v>0.15253866088402931</v>
      </c>
      <c r="F46" s="125">
        <f t="shared" si="1"/>
        <v>2055357629.6657631</v>
      </c>
      <c r="H46" s="120"/>
    </row>
    <row r="47" spans="2:17">
      <c r="B47" s="122">
        <v>27</v>
      </c>
      <c r="C47" s="341">
        <f t="shared" si="2"/>
        <v>14298508388.775307</v>
      </c>
      <c r="D47" s="138">
        <f>IF($C$17&lt;B47,0,DCF!$C$16)</f>
        <v>6.1165848114484E-2</v>
      </c>
      <c r="E47" s="124">
        <f t="shared" si="0"/>
        <v>0.14189642872932959</v>
      </c>
      <c r="F47" s="125">
        <f t="shared" si="1"/>
        <v>2028907276.5235765</v>
      </c>
      <c r="G47" s="338"/>
      <c r="H47" s="339"/>
      <c r="I47" s="338"/>
      <c r="J47" s="338"/>
      <c r="K47" s="338"/>
      <c r="L47" s="338"/>
      <c r="M47" s="338"/>
      <c r="N47" s="338"/>
      <c r="O47" s="338"/>
      <c r="P47" s="338"/>
      <c r="Q47" s="338"/>
    </row>
    <row r="48" spans="2:17">
      <c r="B48" s="122">
        <v>28</v>
      </c>
      <c r="C48" s="341">
        <f t="shared" si="2"/>
        <v>15173088781.146809</v>
      </c>
      <c r="D48" s="138">
        <f>IF($C$17&lt;B48,0,DCF!$C$16)</f>
        <v>6.1165848114484E-2</v>
      </c>
      <c r="E48" s="124">
        <f t="shared" si="0"/>
        <v>0.13199667788774846</v>
      </c>
      <c r="F48" s="125">
        <f t="shared" si="1"/>
        <v>2002797312.4072452</v>
      </c>
      <c r="G48" s="338"/>
      <c r="H48" s="339"/>
      <c r="I48" s="338"/>
      <c r="J48" s="338"/>
      <c r="K48" s="338"/>
      <c r="L48" s="338"/>
      <c r="M48" s="338"/>
      <c r="N48" s="338"/>
      <c r="O48" s="338"/>
      <c r="P48" s="338"/>
      <c r="Q48" s="338"/>
    </row>
    <row r="49" spans="1:17">
      <c r="B49" s="122">
        <v>29</v>
      </c>
      <c r="C49" s="341">
        <f t="shared" si="2"/>
        <v>16101163624.962013</v>
      </c>
      <c r="D49" s="138">
        <f>IF($C$17&lt;B49,0,DCF!$C$16)</f>
        <v>6.1165848114484E-2</v>
      </c>
      <c r="E49" s="124">
        <f t="shared" si="0"/>
        <v>0.1227876073374404</v>
      </c>
      <c r="F49" s="125">
        <f t="shared" si="1"/>
        <v>1977023356.8577142</v>
      </c>
      <c r="G49" s="338"/>
      <c r="H49" s="339"/>
      <c r="I49" s="338"/>
      <c r="J49" s="338"/>
      <c r="K49" s="338"/>
      <c r="L49" s="338"/>
      <c r="M49" s="338"/>
      <c r="N49" s="338"/>
      <c r="O49" s="338"/>
      <c r="P49" s="338"/>
      <c r="Q49" s="338"/>
    </row>
    <row r="50" spans="1:17">
      <c r="B50" s="122">
        <v>30</v>
      </c>
      <c r="C50" s="341">
        <f t="shared" si="2"/>
        <v>17086004953.712894</v>
      </c>
      <c r="D50" s="138">
        <f>IF($C$17&lt;B50,0,DCF!$C$16)</f>
        <v>6.1165848114484E-2</v>
      </c>
      <c r="E50" s="124">
        <f t="shared" si="0"/>
        <v>0.11422103008133992</v>
      </c>
      <c r="F50" s="125">
        <f t="shared" si="1"/>
        <v>1951581085.7879634</v>
      </c>
      <c r="G50" s="338"/>
      <c r="H50" s="339"/>
      <c r="I50" s="338"/>
      <c r="J50" s="338"/>
      <c r="K50" s="338"/>
      <c r="L50" s="338"/>
      <c r="M50" s="338"/>
      <c r="N50" s="338"/>
      <c r="O50" s="338"/>
      <c r="P50" s="338"/>
      <c r="Q50" s="338"/>
    </row>
    <row r="51" spans="1:17">
      <c r="B51" s="126" t="s">
        <v>127</v>
      </c>
      <c r="C51" s="123">
        <f>C$21*(1+Terminal_Growth)^$C$17/Equity_Cost</f>
        <v>40725328365.253448</v>
      </c>
      <c r="D51" s="139">
        <f>Terminal_Growth</f>
        <v>0</v>
      </c>
      <c r="E51" s="124">
        <f>1/(1+Equity_Cost)^C17</f>
        <v>0.11422103008133992</v>
      </c>
      <c r="F51" s="125">
        <f t="shared" si="1"/>
        <v>4651688956.2800598</v>
      </c>
      <c r="H51" s="120"/>
    </row>
    <row r="52" spans="1:17">
      <c r="C52" s="114"/>
      <c r="E52" s="127" t="s">
        <v>97</v>
      </c>
      <c r="F52" s="137">
        <f>SUM(F21:F51)</f>
        <v>75740140020.582535</v>
      </c>
      <c r="H52" s="120"/>
    </row>
    <row r="53" spans="1:17">
      <c r="C53" s="114"/>
      <c r="H53" s="120"/>
    </row>
    <row r="54" spans="1:17" ht="13.15">
      <c r="B54" s="119" t="s">
        <v>125</v>
      </c>
      <c r="C54" s="136"/>
      <c r="D54" s="136"/>
      <c r="E54" s="117"/>
      <c r="F54" s="117"/>
      <c r="H54" s="120"/>
    </row>
    <row r="55" spans="1:17" ht="13.15">
      <c r="A55" s="133">
        <f>F52</f>
        <v>75740140020.582535</v>
      </c>
      <c r="B55" s="131">
        <f>C78</f>
        <v>0.02</v>
      </c>
      <c r="C55" s="131">
        <f>C77</f>
        <v>0.04</v>
      </c>
      <c r="D55" s="131">
        <f>C76</f>
        <v>0.06</v>
      </c>
      <c r="E55" s="131">
        <f>C75</f>
        <v>0.08</v>
      </c>
      <c r="F55" s="131">
        <f>C74</f>
        <v>0.1</v>
      </c>
      <c r="H55" s="120"/>
    </row>
    <row r="56" spans="1:17" ht="13.15">
      <c r="A56" s="143">
        <v>5</v>
      </c>
      <c r="B56" s="123">
        <f t="dataTable" ref="B56:F61" dt2D="1" dtr="1" r1="C16" r2="C17"/>
        <v>39594893767.129204</v>
      </c>
      <c r="C56" s="123">
        <v>40847329723.971718</v>
      </c>
      <c r="D56" s="123">
        <v>42136777287.032799</v>
      </c>
      <c r="E56" s="123">
        <v>43464843287.316406</v>
      </c>
      <c r="F56" s="123">
        <v>44833183636.632477</v>
      </c>
      <c r="H56" s="120"/>
    </row>
    <row r="57" spans="1:17" ht="13.15">
      <c r="A57" s="143">
        <v>10</v>
      </c>
      <c r="B57" s="123">
        <v>40801688443.436386</v>
      </c>
      <c r="C57" s="123">
        <v>43466851392.177414</v>
      </c>
      <c r="D57" s="123">
        <v>46402382478.953415</v>
      </c>
      <c r="E57" s="123">
        <v>49640511688.911179</v>
      </c>
      <c r="F57" s="123">
        <v>53217038271.229263</v>
      </c>
      <c r="H57" s="120"/>
    </row>
    <row r="58" spans="1:17" ht="13.15">
      <c r="A58" s="143">
        <v>15</v>
      </c>
      <c r="B58" s="123">
        <v>42329631827.020721</v>
      </c>
      <c r="C58" s="341">
        <v>46959937590.014404</v>
      </c>
      <c r="D58" s="123">
        <v>52404317745.17968</v>
      </c>
      <c r="E58" s="123">
        <v>58825134290.151291</v>
      </c>
      <c r="F58" s="123">
        <v>66416690001.195</v>
      </c>
      <c r="G58" s="338"/>
      <c r="H58" s="339"/>
      <c r="I58" s="338"/>
      <c r="J58" s="338"/>
      <c r="K58" s="338"/>
      <c r="L58" s="338"/>
      <c r="M58" s="338"/>
      <c r="N58" s="338"/>
      <c r="O58" s="338"/>
      <c r="P58" s="338"/>
      <c r="Q58" s="338"/>
    </row>
    <row r="59" spans="1:17" ht="13.15">
      <c r="A59" s="144">
        <v>20</v>
      </c>
      <c r="B59" s="123">
        <v>43922537732.100769</v>
      </c>
      <c r="C59" s="341">
        <v>50807026330.685699</v>
      </c>
      <c r="D59" s="123">
        <v>59410084132.360397</v>
      </c>
      <c r="E59" s="123">
        <v>70220287160.461777</v>
      </c>
      <c r="F59" s="123">
        <v>83867358838.281204</v>
      </c>
      <c r="G59" s="338"/>
      <c r="H59" s="339"/>
      <c r="I59" s="338"/>
      <c r="J59" s="338"/>
      <c r="K59" s="338"/>
      <c r="L59" s="338"/>
      <c r="M59" s="338"/>
      <c r="N59" s="338"/>
      <c r="O59" s="338"/>
      <c r="P59" s="338"/>
      <c r="Q59" s="338"/>
    </row>
    <row r="60" spans="1:17" ht="13.15">
      <c r="A60" s="144">
        <v>25</v>
      </c>
      <c r="B60" s="123">
        <v>45438616513.673706</v>
      </c>
      <c r="C60" s="341">
        <v>54685029012.643425</v>
      </c>
      <c r="D60" s="123">
        <v>66923404269.04364</v>
      </c>
      <c r="E60" s="123">
        <v>83272511647.203781</v>
      </c>
      <c r="F60" s="123">
        <v>105284853140.16849</v>
      </c>
      <c r="G60" s="338"/>
      <c r="H60" s="339"/>
      <c r="I60" s="338"/>
      <c r="J60" s="338"/>
      <c r="K60" s="338"/>
      <c r="L60" s="338"/>
      <c r="M60" s="338"/>
      <c r="N60" s="338"/>
      <c r="O60" s="338"/>
      <c r="P60" s="338"/>
      <c r="Q60" s="338"/>
    </row>
    <row r="61" spans="1:17" ht="13.15">
      <c r="A61" s="144">
        <v>30</v>
      </c>
      <c r="B61" s="123">
        <v>46807296273.298347</v>
      </c>
      <c r="C61" s="341">
        <v>58401791545.758438</v>
      </c>
      <c r="D61" s="123">
        <v>74611596419.785889</v>
      </c>
      <c r="E61" s="123">
        <v>97599044929.557312</v>
      </c>
      <c r="F61" s="123">
        <v>130593730965.5883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43.014335210738437</v>
      </c>
      <c r="C65" s="124">
        <f>C12</f>
        <v>43.014335210738437</v>
      </c>
      <c r="D65" s="124">
        <f>C12</f>
        <v>43.014335210738437</v>
      </c>
      <c r="E65" s="141">
        <f>C12</f>
        <v>43.014335210738437</v>
      </c>
      <c r="F65" s="124">
        <f>C12</f>
        <v>43.014335210738437</v>
      </c>
      <c r="H65" s="120"/>
    </row>
    <row r="66" spans="1:8" ht="13.15">
      <c r="A66" s="143">
        <f t="shared" ref="A66:A71" si="3">A56</f>
        <v>5</v>
      </c>
      <c r="B66" s="124">
        <f t="shared" ref="B66:F71" si="4">(B56-$C$7+$C$8+$C$9)/Common_Shares*$C$3*Exchange_Rate</f>
        <v>43.989787620143858</v>
      </c>
      <c r="C66" s="124">
        <f t="shared" si="4"/>
        <v>44.99365686195852</v>
      </c>
      <c r="D66" s="124">
        <f t="shared" si="4"/>
        <v>46.027192142080359</v>
      </c>
      <c r="E66" s="124">
        <f t="shared" si="4"/>
        <v>47.091681389215708</v>
      </c>
      <c r="F66" s="124">
        <f t="shared" si="4"/>
        <v>48.188451871975865</v>
      </c>
      <c r="H66" s="120"/>
    </row>
    <row r="67" spans="1:8" ht="13.15">
      <c r="A67" s="143">
        <f t="shared" si="3"/>
        <v>10</v>
      </c>
      <c r="B67" s="124">
        <f t="shared" si="4"/>
        <v>44.957073851517038</v>
      </c>
      <c r="C67" s="124">
        <f t="shared" si="4"/>
        <v>47.093290952318156</v>
      </c>
      <c r="D67" s="124">
        <f t="shared" si="4"/>
        <v>49.446217144116837</v>
      </c>
      <c r="E67" s="124">
        <f t="shared" si="4"/>
        <v>52.041685836259283</v>
      </c>
      <c r="F67" s="124">
        <f t="shared" si="4"/>
        <v>54.908391322401044</v>
      </c>
      <c r="H67" s="120"/>
    </row>
    <row r="68" spans="1:8" ht="13.15">
      <c r="A68" s="143">
        <f t="shared" si="3"/>
        <v>15</v>
      </c>
      <c r="B68" s="124">
        <f t="shared" si="4"/>
        <v>46.181771495843307</v>
      </c>
      <c r="C68" s="124">
        <f t="shared" si="4"/>
        <v>49.893116183986116</v>
      </c>
      <c r="D68" s="124">
        <f t="shared" si="4"/>
        <v>54.256968681718106</v>
      </c>
      <c r="E68" s="124">
        <f t="shared" si="4"/>
        <v>59.40346755187327</v>
      </c>
      <c r="F68" s="124">
        <f t="shared" si="4"/>
        <v>65.48835295795196</v>
      </c>
      <c r="H68" s="120"/>
    </row>
    <row r="69" spans="1:8" ht="13.15">
      <c r="A69" s="144">
        <f t="shared" si="3"/>
        <v>20</v>
      </c>
      <c r="B69" s="124">
        <f t="shared" si="4"/>
        <v>47.458538770432085</v>
      </c>
      <c r="C69" s="124">
        <f t="shared" si="4"/>
        <v>52.976686274889403</v>
      </c>
      <c r="D69" s="124">
        <f t="shared" si="4"/>
        <v>59.872324383545902</v>
      </c>
      <c r="E69" s="124">
        <f t="shared" si="4"/>
        <v>68.537063094051703</v>
      </c>
      <c r="F69" s="124">
        <f t="shared" si="4"/>
        <v>79.475646758434323</v>
      </c>
      <c r="H69" s="120"/>
    </row>
    <row r="70" spans="1:8" ht="13.15">
      <c r="A70" s="144">
        <f t="shared" si="3"/>
        <v>25</v>
      </c>
      <c r="B70" s="124">
        <f t="shared" si="4"/>
        <v>48.673726540053337</v>
      </c>
      <c r="C70" s="124">
        <f t="shared" si="4"/>
        <v>56.085034922038353</v>
      </c>
      <c r="D70" s="124">
        <f t="shared" si="4"/>
        <v>65.894501364265921</v>
      </c>
      <c r="E70" s="124">
        <f t="shared" si="4"/>
        <v>78.998856871143062</v>
      </c>
      <c r="F70" s="124">
        <f t="shared" si="4"/>
        <v>96.642483632560399</v>
      </c>
    </row>
    <row r="71" spans="1:8" ht="13.15">
      <c r="A71" s="144">
        <f t="shared" si="3"/>
        <v>30</v>
      </c>
      <c r="B71" s="124">
        <f t="shared" si="4"/>
        <v>49.77076907150969</v>
      </c>
      <c r="C71" s="124">
        <f t="shared" si="4"/>
        <v>59.064144205621858</v>
      </c>
      <c r="D71" s="124">
        <f t="shared" si="4"/>
        <v>72.056844103729077</v>
      </c>
      <c r="E71" s="124">
        <f t="shared" si="4"/>
        <v>90.482051700718841</v>
      </c>
      <c r="F71" s="124">
        <f t="shared" si="4"/>
        <v>116.92839434518206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116.92839434518206</v>
      </c>
      <c r="F74" s="142">
        <f>Scenarios!C58</f>
        <v>0.05</v>
      </c>
    </row>
    <row r="75" spans="1:8">
      <c r="B75" s="127" t="str">
        <f>Scenarios!B36</f>
        <v>Optimistic</v>
      </c>
      <c r="C75" s="142">
        <f>Scenarios!C38</f>
        <v>0.08</v>
      </c>
      <c r="D75" s="145">
        <f>Scenarios!C37</f>
        <v>30</v>
      </c>
      <c r="E75" s="135">
        <f>INDEX(B$65:F$71, MATCH(D75, A$65:A$71, 0), MATCH(C75, B$64:F$64, 0))</f>
        <v>90.482051700718841</v>
      </c>
      <c r="F75" s="142">
        <f>Scenarios!C40*(1-F$74-F$78)</f>
        <v>0.18</v>
      </c>
      <c r="H75" s="120"/>
    </row>
    <row r="76" spans="1:8">
      <c r="B76" s="127" t="str">
        <f>Scenarios!B24</f>
        <v>Base</v>
      </c>
      <c r="C76" s="142">
        <f>Scenarios!C26</f>
        <v>0.06</v>
      </c>
      <c r="D76" s="145">
        <f>Scenarios!C25</f>
        <v>30</v>
      </c>
      <c r="E76" s="135">
        <f>INDEX(B$65:F$71, MATCH(D76, A$65:A$71, 0), MATCH(C76, B$64:F$64, 0))</f>
        <v>72.056844103729077</v>
      </c>
      <c r="F76" s="142">
        <f>Scenarios!C28*(1-F$74-F$78)</f>
        <v>0.44999999999999996</v>
      </c>
      <c r="H76" s="120"/>
    </row>
    <row r="77" spans="1:8">
      <c r="B77" s="127" t="str">
        <f>Scenarios!B30</f>
        <v>Pessimistic</v>
      </c>
      <c r="C77" s="142">
        <f>Scenarios!C32</f>
        <v>0.04</v>
      </c>
      <c r="D77" s="145">
        <f>Scenarios!C31</f>
        <v>30</v>
      </c>
      <c r="E77" s="135">
        <f>INDEX(B$65:F$71, MATCH(D77, A$65:A$71, 0), MATCH(C77, B$64:F$64, 0))</f>
        <v>59.064144205621858</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49.77076907150969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2470265141.3698864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32936868551.598488</v>
      </c>
      <c r="D6" t="str">
        <f>Reporting_currency</f>
        <v>CNY</v>
      </c>
      <c r="E6" s="378"/>
      <c r="F6" s="378"/>
      <c r="H6" s="120"/>
    </row>
    <row r="7" spans="2:8" ht="13.15">
      <c r="B7" s="149" t="s">
        <v>421</v>
      </c>
      <c r="C7" s="111">
        <f>(C6*scaling_factor)/Common_Shares*Exchange_Rate</f>
        <v>26.400000000000006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6.1165848114484E-2</v>
      </c>
      <c r="H11" s="120"/>
    </row>
    <row r="12" spans="2:8" ht="13.35" customHeight="1">
      <c r="B12" s="118" t="s">
        <v>130</v>
      </c>
      <c r="C12" s="162">
        <f>Scenarios!C64</f>
        <v>30</v>
      </c>
      <c r="H12" s="120"/>
    </row>
    <row r="13" spans="2:8" ht="13.35" customHeight="1">
      <c r="B13" s="153" t="s">
        <v>103</v>
      </c>
      <c r="C13" s="140">
        <f>F47/Common_Shares*scaling_factor</f>
        <v>47.648590406632337</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2621361003.8094211</v>
      </c>
      <c r="D16" s="138">
        <f>IF($C$12&lt;B16,0,DDM!$C$11)</f>
        <v>6.1165848114484E-2</v>
      </c>
      <c r="E16" s="124">
        <f t="shared" ref="E16:E45" si="0">IF($C$12&lt;B16,0,1/(1+Equity_Cost)^B16)</f>
        <v>0.93023255813953487</v>
      </c>
      <c r="F16" s="125">
        <f t="shared" ref="F16:F46" si="1">C16*E16</f>
        <v>2438475352.380857</v>
      </c>
      <c r="H16" s="120"/>
    </row>
    <row r="17" spans="2:8">
      <c r="B17" s="122">
        <v>2</v>
      </c>
      <c r="C17" s="123">
        <f t="shared" ref="C17:C45" si="2">IF(ROW()-ROW($C$16)&lt;$C$12, $C$16*(1+D17)^(ROW()-ROW($C$16)), 0)</f>
        <v>2781698772.8216591</v>
      </c>
      <c r="D17" s="138">
        <f>IF($C$12&lt;B17,0,DDM!$C$11)</f>
        <v>6.1165848114484E-2</v>
      </c>
      <c r="E17" s="124">
        <f t="shared" si="0"/>
        <v>0.86533261222282321</v>
      </c>
      <c r="F17" s="125">
        <f t="shared" si="1"/>
        <v>2407094665.5027881</v>
      </c>
      <c r="H17" s="120"/>
    </row>
    <row r="18" spans="2:8">
      <c r="B18" s="122">
        <v>3</v>
      </c>
      <c r="C18" s="123">
        <f t="shared" si="2"/>
        <v>2951843737.4603148</v>
      </c>
      <c r="D18" s="138">
        <f>IF($C$12&lt;B18,0,DDM!$C$11)</f>
        <v>6.1165848114484E-2</v>
      </c>
      <c r="E18" s="124">
        <f t="shared" si="0"/>
        <v>0.80496056950960304</v>
      </c>
      <c r="F18" s="125">
        <f t="shared" si="1"/>
        <v>2376117816.0094099</v>
      </c>
      <c r="H18" s="120"/>
    </row>
    <row r="19" spans="2:8">
      <c r="B19" s="122">
        <v>4</v>
      </c>
      <c r="C19" s="123">
        <f t="shared" si="2"/>
        <v>3132395763.1635027</v>
      </c>
      <c r="D19" s="138">
        <f>IF($C$12&lt;B19,0,DDM!$C$11)</f>
        <v>6.1165848114484E-2</v>
      </c>
      <c r="E19" s="124">
        <f t="shared" si="0"/>
        <v>0.7488005297763749</v>
      </c>
      <c r="F19" s="125">
        <f t="shared" si="1"/>
        <v>2345539606.9261031</v>
      </c>
      <c r="H19" s="120"/>
    </row>
    <row r="20" spans="2:8">
      <c r="B20" s="122">
        <v>5</v>
      </c>
      <c r="C20" s="123">
        <f t="shared" si="2"/>
        <v>3323991406.6476145</v>
      </c>
      <c r="D20" s="138">
        <f>IF($C$12&lt;B20,0,DDM!$C$11)</f>
        <v>6.1165848114484E-2</v>
      </c>
      <c r="E20" s="124">
        <f t="shared" si="0"/>
        <v>0.69655863235011617</v>
      </c>
      <c r="F20" s="125">
        <f t="shared" si="1"/>
        <v>2315354908.1580014</v>
      </c>
      <c r="H20" s="120"/>
    </row>
    <row r="21" spans="2:8">
      <c r="B21" s="122">
        <v>6</v>
      </c>
      <c r="C21" s="123">
        <f t="shared" si="2"/>
        <v>3527306160.1604724</v>
      </c>
      <c r="D21" s="138">
        <f>IF($C$12&lt;B21,0,DDM!$C$11)</f>
        <v>6.1165848114484E-2</v>
      </c>
      <c r="E21" s="124">
        <f t="shared" si="0"/>
        <v>0.64796151846522443</v>
      </c>
      <c r="F21" s="125">
        <f t="shared" si="1"/>
        <v>2285558655.6293197</v>
      </c>
      <c r="H21" s="120"/>
    </row>
    <row r="22" spans="2:8">
      <c r="B22" s="122">
        <v>7</v>
      </c>
      <c r="C22" s="123">
        <f t="shared" si="2"/>
        <v>3743056833.0061307</v>
      </c>
      <c r="D22" s="138">
        <f>IF($C$12&lt;B22,0,DDM!$C$11)</f>
        <v>6.1165848114484E-2</v>
      </c>
      <c r="E22" s="124">
        <f t="shared" si="0"/>
        <v>0.60275490089788319</v>
      </c>
      <c r="F22" s="125">
        <f t="shared" si="1"/>
        <v>2256145850.4337549</v>
      </c>
      <c r="H22" s="120"/>
    </row>
    <row r="23" spans="2:8">
      <c r="B23" s="122">
        <v>8</v>
      </c>
      <c r="C23" s="123">
        <f t="shared" si="2"/>
        <v>3972004078.7376642</v>
      </c>
      <c r="D23" s="138">
        <f>IF($C$12&lt;B23,0,DDM!$C$11)</f>
        <v>6.1165848114484E-2</v>
      </c>
      <c r="E23" s="124">
        <f t="shared" si="0"/>
        <v>0.56070223339337966</v>
      </c>
      <c r="F23" s="125">
        <f t="shared" si="1"/>
        <v>2227111557.995822</v>
      </c>
      <c r="H23" s="120"/>
    </row>
    <row r="24" spans="2:8">
      <c r="B24" s="122">
        <v>9</v>
      </c>
      <c r="C24" s="123">
        <f t="shared" si="2"/>
        <v>4214955076.9278436</v>
      </c>
      <c r="D24" s="138">
        <f>IF($C$12&lt;B24,0,DDM!$C$11)</f>
        <v>6.1165848114484E-2</v>
      </c>
      <c r="E24" s="124">
        <f t="shared" si="0"/>
        <v>0.52158347292407414</v>
      </c>
      <c r="F24" s="125">
        <f t="shared" si="1"/>
        <v>2198450907.2429829</v>
      </c>
      <c r="H24" s="120"/>
    </row>
    <row r="25" spans="2:8">
      <c r="B25" s="122">
        <v>10</v>
      </c>
      <c r="C25" s="123">
        <f t="shared" si="2"/>
        <v>4472766378.9725847</v>
      </c>
      <c r="D25" s="138">
        <f>IF($C$12&lt;B25,0,DDM!$C$11)</f>
        <v>6.1165848114484E-2</v>
      </c>
      <c r="E25" s="124">
        <f t="shared" si="0"/>
        <v>0.48519392830146441</v>
      </c>
      <c r="F25" s="125">
        <f t="shared" si="1"/>
        <v>2170159089.788425</v>
      </c>
      <c r="H25" s="120"/>
    </row>
    <row r="26" spans="2:8">
      <c r="B26" s="122">
        <v>11</v>
      </c>
      <c r="C26" s="123">
        <f t="shared" si="2"/>
        <v>4746346927.960391</v>
      </c>
      <c r="D26" s="138">
        <f>IF($C$12&lt;B26,0,DDM!$C$11)</f>
        <v>6.1165848114484E-2</v>
      </c>
      <c r="E26" s="124">
        <f t="shared" si="0"/>
        <v>0.45134318911764126</v>
      </c>
      <c r="F26" s="125">
        <f t="shared" si="1"/>
        <v>2142231359.1243625</v>
      </c>
      <c r="H26" s="120"/>
    </row>
    <row r="27" spans="2:8">
      <c r="B27" s="122">
        <v>12</v>
      </c>
      <c r="C27" s="123">
        <f t="shared" si="2"/>
        <v>5036661263.2546635</v>
      </c>
      <c r="D27" s="138">
        <f>IF($C$12&lt;B27,0,DDM!$C$11)</f>
        <v>6.1165848114484E-2</v>
      </c>
      <c r="E27" s="124">
        <f t="shared" si="0"/>
        <v>0.41985412941175931</v>
      </c>
      <c r="F27" s="125">
        <f t="shared" si="1"/>
        <v>2114663029.8257186</v>
      </c>
      <c r="H27" s="120"/>
    </row>
    <row r="28" spans="2:8">
      <c r="B28" s="122">
        <v>13</v>
      </c>
      <c r="C28" s="123">
        <f t="shared" si="2"/>
        <v>5344732921.0870028</v>
      </c>
      <c r="D28" s="138">
        <f>IF($C$12&lt;B28,0,DDM!$C$11)</f>
        <v>6.1165848114484E-2</v>
      </c>
      <c r="E28" s="124">
        <f t="shared" si="0"/>
        <v>0.39056198084814819</v>
      </c>
      <c r="F28" s="125">
        <f t="shared" si="1"/>
        <v>2087449476.7640491</v>
      </c>
      <c r="H28" s="120"/>
    </row>
    <row r="29" spans="2:8">
      <c r="B29" s="122">
        <v>14</v>
      </c>
      <c r="C29" s="123">
        <f t="shared" si="2"/>
        <v>5671648043.1506929</v>
      </c>
      <c r="D29" s="138">
        <f>IF($C$12&lt;B29,0,DDM!$C$11)</f>
        <v>6.1165848114484E-2</v>
      </c>
      <c r="E29" s="124">
        <f t="shared" si="0"/>
        <v>0.36331347055641694</v>
      </c>
      <c r="F29" s="125">
        <f t="shared" si="1"/>
        <v>2060586134.331589</v>
      </c>
      <c r="H29" s="120"/>
    </row>
    <row r="30" spans="2:8">
      <c r="B30" s="122">
        <v>15</v>
      </c>
      <c r="C30" s="123">
        <f t="shared" si="2"/>
        <v>6018559205.9168577</v>
      </c>
      <c r="D30" s="138">
        <f>IF($C$12&lt;B30,0,DDM!$C$11)</f>
        <v>6.1165848114484E-2</v>
      </c>
      <c r="E30" s="124">
        <f t="shared" si="0"/>
        <v>0.33796601912224833</v>
      </c>
      <c r="F30" s="125">
        <f t="shared" si="1"/>
        <v>2034068495.6752806</v>
      </c>
      <c r="H30" s="120"/>
    </row>
    <row r="31" spans="2:8">
      <c r="B31" s="122">
        <v>16</v>
      </c>
      <c r="C31" s="123">
        <f t="shared" si="2"/>
        <v>6386689484.173996</v>
      </c>
      <c r="D31" s="138">
        <f>IF($C$12&lt;B31,0,DDM!$C$11)</f>
        <v>6.1165848114484E-2</v>
      </c>
      <c r="E31" s="124">
        <f t="shared" si="0"/>
        <v>0.31438699453232405</v>
      </c>
      <c r="F31" s="125">
        <f t="shared" si="1"/>
        <v>2007892111.9406617</v>
      </c>
      <c r="H31" s="120"/>
    </row>
    <row r="32" spans="2:8">
      <c r="B32" s="122">
        <v>17</v>
      </c>
      <c r="C32" s="123">
        <f t="shared" si="2"/>
        <v>6777336763.1173553</v>
      </c>
      <c r="D32" s="138">
        <f>IF($C$12&lt;B32,0,DDM!$C$11)</f>
        <v>6.1165848114484E-2</v>
      </c>
      <c r="E32" s="124">
        <f t="shared" si="0"/>
        <v>0.29245301816960378</v>
      </c>
      <c r="F32" s="125">
        <f t="shared" si="1"/>
        <v>1982052591.5254836</v>
      </c>
      <c r="H32" s="120"/>
    </row>
    <row r="33" spans="2:8">
      <c r="B33" s="122">
        <v>18</v>
      </c>
      <c r="C33" s="123">
        <f t="shared" si="2"/>
        <v>7191878314.1908998</v>
      </c>
      <c r="D33" s="138">
        <f>IF($C$12&lt;B33,0,DDM!$C$11)</f>
        <v>6.1165848114484E-2</v>
      </c>
      <c r="E33" s="124">
        <f t="shared" si="0"/>
        <v>0.27204931922753844</v>
      </c>
      <c r="F33" s="125">
        <f t="shared" si="1"/>
        <v>1956545599.342931</v>
      </c>
      <c r="H33" s="120"/>
    </row>
    <row r="34" spans="2:8">
      <c r="B34" s="122">
        <v>19</v>
      </c>
      <c r="C34" s="123">
        <f t="shared" si="2"/>
        <v>7631775650.8145494</v>
      </c>
      <c r="D34" s="138">
        <f>IF($C$12&lt;B34,0,DDM!$C$11)</f>
        <v>6.1165848114484E-2</v>
      </c>
      <c r="E34" s="124">
        <f t="shared" si="0"/>
        <v>0.25306913416515198</v>
      </c>
      <c r="F34" s="125">
        <f t="shared" si="1"/>
        <v>1931366856.0943272</v>
      </c>
      <c r="H34" s="120"/>
    </row>
    <row r="35" spans="2:8">
      <c r="B35" s="122">
        <v>20</v>
      </c>
      <c r="C35" s="123">
        <f t="shared" si="2"/>
        <v>8098579681.1160879</v>
      </c>
      <c r="D35" s="138">
        <f>IF($C$12&lt;B35,0,DDM!$C$11)</f>
        <v>6.1165848114484E-2</v>
      </c>
      <c r="E35" s="124">
        <f t="shared" si="0"/>
        <v>0.23541314806060654</v>
      </c>
      <c r="F35" s="125">
        <f t="shared" si="1"/>
        <v>1906512137.5512013</v>
      </c>
      <c r="H35" s="120"/>
    </row>
    <row r="36" spans="2:8">
      <c r="B36" s="122">
        <v>21</v>
      </c>
      <c r="C36" s="123">
        <f t="shared" si="2"/>
        <v>8593936175.8342819</v>
      </c>
      <c r="D36" s="138">
        <f>IF($C$12&lt;B36,0,DDM!$C$11)</f>
        <v>6.1165848114484E-2</v>
      </c>
      <c r="E36" s="124">
        <f t="shared" si="0"/>
        <v>0.21898897494009908</v>
      </c>
      <c r="F36" s="125">
        <f t="shared" si="1"/>
        <v>1881977273.8465846</v>
      </c>
      <c r="H36" s="120"/>
    </row>
    <row r="37" spans="2:8">
      <c r="B37" s="122">
        <v>22</v>
      </c>
      <c r="C37" s="123">
        <f t="shared" si="2"/>
        <v>9119591570.670929</v>
      </c>
      <c r="D37" s="138">
        <f>IF($C$12&lt;B37,0,DDM!$C$11)</f>
        <v>6.1165848114484E-2</v>
      </c>
      <c r="E37" s="124">
        <f t="shared" si="0"/>
        <v>0.20371067436288287</v>
      </c>
      <c r="F37" s="125">
        <f t="shared" si="1"/>
        <v>1857758148.7754371</v>
      </c>
      <c r="H37" s="120"/>
    </row>
    <row r="38" spans="2:8">
      <c r="B38" s="122">
        <v>23</v>
      </c>
      <c r="C38" s="123">
        <f t="shared" si="2"/>
        <v>9677399123.5487137</v>
      </c>
      <c r="D38" s="138">
        <f>IF($C$12&lt;B38,0,DDM!$C$11)</f>
        <v>6.1165848114484E-2</v>
      </c>
      <c r="E38" s="124">
        <f t="shared" si="0"/>
        <v>0.18949830173291429</v>
      </c>
      <c r="F38" s="125">
        <f t="shared" si="1"/>
        <v>1833850699.1040745</v>
      </c>
      <c r="H38" s="120"/>
    </row>
    <row r="39" spans="2:8">
      <c r="B39" s="122">
        <v>24</v>
      </c>
      <c r="C39" s="123">
        <f t="shared" si="2"/>
        <v>10269325448.482933</v>
      </c>
      <c r="D39" s="138">
        <f>IF($C$12&lt;B39,0,DDM!$C$11)</f>
        <v>6.1165848114484E-2</v>
      </c>
      <c r="E39" s="124">
        <f t="shared" si="0"/>
        <v>0.17627748998410636</v>
      </c>
      <c r="F39" s="125">
        <f t="shared" si="1"/>
        <v>1810250913.8884788</v>
      </c>
      <c r="H39" s="120"/>
    </row>
    <row r="40" spans="2:8">
      <c r="B40" s="122">
        <v>25</v>
      </c>
      <c r="C40" s="123">
        <f t="shared" si="2"/>
        <v>10897457449.103046</v>
      </c>
      <c r="D40" s="138">
        <f>IF($C$12&lt;B40,0,DDM!$C$11)</f>
        <v>6.1165848114484E-2</v>
      </c>
      <c r="E40" s="124">
        <f t="shared" si="0"/>
        <v>0.16397906045033148</v>
      </c>
      <c r="F40" s="125">
        <f t="shared" si="1"/>
        <v>1786954833.8013835</v>
      </c>
      <c r="H40" s="120"/>
    </row>
    <row r="41" spans="2:8">
      <c r="B41" s="122">
        <v>26</v>
      </c>
      <c r="C41" s="123">
        <f t="shared" si="2"/>
        <v>11564009676.268934</v>
      </c>
      <c r="D41" s="138">
        <f>IF($C$12&lt;B41,0,DDM!$C$11)</f>
        <v>6.1165848114484E-2</v>
      </c>
      <c r="E41" s="124">
        <f t="shared" si="0"/>
        <v>0.15253866088402931</v>
      </c>
      <c r="F41" s="125">
        <f t="shared" si="1"/>
        <v>1763958550.4680207</v>
      </c>
      <c r="H41" s="120"/>
    </row>
    <row r="42" spans="2:8">
      <c r="B42" s="122">
        <v>27</v>
      </c>
      <c r="C42" s="123">
        <f t="shared" si="2"/>
        <v>12271332135.722021</v>
      </c>
      <c r="D42" s="138">
        <f>IF($C$12&lt;B42,0,DDM!$C$11)</f>
        <v>6.1165848114484E-2</v>
      </c>
      <c r="E42" s="124">
        <f t="shared" si="0"/>
        <v>0.14189642872932959</v>
      </c>
      <c r="F42" s="125">
        <f t="shared" si="1"/>
        <v>1741258205.8104117</v>
      </c>
      <c r="H42" s="120"/>
    </row>
    <row r="43" spans="2:8">
      <c r="B43" s="122">
        <v>28</v>
      </c>
      <c r="C43" s="123">
        <f t="shared" si="2"/>
        <v>13021918573.297977</v>
      </c>
      <c r="D43" s="138">
        <f>IF($C$12&lt;B43,0,DDM!$C$11)</f>
        <v>6.1165848114484E-2</v>
      </c>
      <c r="E43" s="124">
        <f t="shared" si="0"/>
        <v>0.13199667788774846</v>
      </c>
      <c r="F43" s="125">
        <f t="shared" si="1"/>
        <v>1718849991.4001021</v>
      </c>
      <c r="H43" s="120"/>
    </row>
    <row r="44" spans="2:8">
      <c r="B44" s="122">
        <v>29</v>
      </c>
      <c r="C44" s="123">
        <f t="shared" si="2"/>
        <v>13818415266.911499</v>
      </c>
      <c r="D44" s="138">
        <f>IF($C$12&lt;B44,0,DDM!$C$11)</f>
        <v>6.1165848114484E-2</v>
      </c>
      <c r="E44" s="124">
        <f t="shared" si="0"/>
        <v>0.1227876073374404</v>
      </c>
      <c r="F44" s="125">
        <f t="shared" si="1"/>
        <v>1696730147.8192208</v>
      </c>
      <c r="H44" s="120"/>
    </row>
    <row r="45" spans="2:8">
      <c r="B45" s="122">
        <v>30</v>
      </c>
      <c r="C45" s="123">
        <f t="shared" si="2"/>
        <v>14663630356.310274</v>
      </c>
      <c r="D45" s="138">
        <f>IF($C$12&lt;B45,0,DDM!$C$11)</f>
        <v>6.1165848114484E-2</v>
      </c>
      <c r="E45" s="124">
        <f t="shared" si="0"/>
        <v>0.11422103008133992</v>
      </c>
      <c r="F45" s="125">
        <f t="shared" si="1"/>
        <v>1674894964.0297651</v>
      </c>
      <c r="H45" s="120"/>
    </row>
    <row r="46" spans="2:8">
      <c r="B46" s="126" t="s">
        <v>127</v>
      </c>
      <c r="C46" s="123">
        <f>C$16*(1+F4)^$C$12/Equity_Cost</f>
        <v>34951480050.792282</v>
      </c>
      <c r="D46" s="139">
        <f>Terminal_Growth</f>
        <v>0</v>
      </c>
      <c r="E46" s="124">
        <f>1/(1+Equity_Cost)^C12</f>
        <v>0.11422103008133992</v>
      </c>
      <c r="F46" s="125">
        <f t="shared" si="1"/>
        <v>3992194054.2688975</v>
      </c>
      <c r="H46" s="120"/>
    </row>
    <row r="47" spans="2:8">
      <c r="C47" s="114"/>
      <c r="E47" s="127" t="s">
        <v>97</v>
      </c>
      <c r="F47" s="137">
        <f>SUM(F16:F46)</f>
        <v>65002053985.455444</v>
      </c>
      <c r="H47" s="120"/>
    </row>
    <row r="48" spans="2:8">
      <c r="C48" s="114"/>
      <c r="H48" s="120"/>
    </row>
    <row r="49" spans="1:8" ht="13.15">
      <c r="B49" s="119" t="s">
        <v>125</v>
      </c>
      <c r="C49" s="136"/>
      <c r="D49" s="136"/>
      <c r="E49" s="117"/>
      <c r="F49" s="117"/>
      <c r="H49" s="120"/>
    </row>
    <row r="50" spans="1:8" ht="13.15">
      <c r="A50" s="133">
        <f>F47</f>
        <v>65002053985.455444</v>
      </c>
      <c r="B50" s="131">
        <f>C73</f>
        <v>0.02</v>
      </c>
      <c r="C50" s="131">
        <f>C72</f>
        <v>0.04</v>
      </c>
      <c r="D50" s="131">
        <f>C71</f>
        <v>0.06</v>
      </c>
      <c r="E50" s="131">
        <f>C70</f>
        <v>0.08</v>
      </c>
      <c r="F50" s="131">
        <f>C69</f>
        <v>0.1</v>
      </c>
      <c r="H50" s="120"/>
    </row>
    <row r="51" spans="1:8" ht="13.15">
      <c r="A51" s="143">
        <v>5</v>
      </c>
      <c r="B51" s="123">
        <f t="dataTable" ref="B51:F56" dt2D="1" dtr="1" r1="C11" r2="C12"/>
        <v>33981313231.001213</v>
      </c>
      <c r="C51" s="123">
        <v>35056184622.28566</v>
      </c>
      <c r="D51" s="123">
        <v>36162820285.788963</v>
      </c>
      <c r="E51" s="123">
        <v>37302599243.462189</v>
      </c>
      <c r="F51" s="123">
        <v>38476942639.613136</v>
      </c>
      <c r="H51" s="120"/>
    </row>
    <row r="52" spans="1:8" ht="13.15">
      <c r="A52" s="143">
        <v>10</v>
      </c>
      <c r="B52" s="123">
        <v>35017014150.980537</v>
      </c>
      <c r="C52" s="123">
        <v>37304322648.522537</v>
      </c>
      <c r="D52" s="123">
        <v>39823667742.507591</v>
      </c>
      <c r="E52" s="123">
        <v>42602710000.157982</v>
      </c>
      <c r="F52" s="123">
        <v>45672173219.014954</v>
      </c>
      <c r="H52" s="120"/>
    </row>
    <row r="53" spans="1:8" ht="13.15">
      <c r="A53" s="143">
        <v>15</v>
      </c>
      <c r="B53" s="123">
        <v>36328332802.88002</v>
      </c>
      <c r="C53" s="123">
        <v>40302175273.906448</v>
      </c>
      <c r="D53" s="123">
        <v>44974676442.602791</v>
      </c>
      <c r="E53" s="123">
        <v>50485179375.044296</v>
      </c>
      <c r="F53" s="123">
        <v>57000439500.372215</v>
      </c>
      <c r="H53" s="120"/>
    </row>
    <row r="54" spans="1:8" ht="13.15">
      <c r="A54" s="144">
        <v>20</v>
      </c>
      <c r="B54" s="123">
        <v>37695403891.045769</v>
      </c>
      <c r="C54" s="123">
        <v>43603841602.223198</v>
      </c>
      <c r="D54" s="123">
        <v>50987197739.569725</v>
      </c>
      <c r="E54" s="123">
        <v>60264780282.134659</v>
      </c>
      <c r="F54" s="123">
        <v>71977033384.702591</v>
      </c>
      <c r="H54" s="120"/>
    </row>
    <row r="55" spans="1:8" ht="13.15">
      <c r="A55" s="144">
        <v>25</v>
      </c>
      <c r="B55" s="123">
        <v>38996540049.220642</v>
      </c>
      <c r="C55" s="123">
        <v>46932039036.501175</v>
      </c>
      <c r="D55" s="123">
        <v>57435314167.687958</v>
      </c>
      <c r="E55" s="123">
        <v>71466520871.562241</v>
      </c>
      <c r="F55" s="123">
        <v>90358054603.651108</v>
      </c>
      <c r="H55" s="120"/>
    </row>
    <row r="56" spans="1:8" ht="13.15">
      <c r="A56" s="144">
        <v>30</v>
      </c>
      <c r="B56" s="123">
        <v>40171174735.659622</v>
      </c>
      <c r="C56" s="123">
        <v>50121856202.973351</v>
      </c>
      <c r="D56" s="123">
        <v>64033510066.154686</v>
      </c>
      <c r="E56" s="123">
        <v>83761904661.332077</v>
      </c>
      <c r="F56" s="123">
        <v>112078757024.74734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27.237157287525257</v>
      </c>
      <c r="C61" s="124">
        <f t="shared" si="4"/>
        <v>28.098702600658317</v>
      </c>
      <c r="D61" s="124">
        <f t="shared" si="4"/>
        <v>28.985708038674357</v>
      </c>
      <c r="E61" s="124">
        <f t="shared" si="4"/>
        <v>29.899278933716616</v>
      </c>
      <c r="F61" s="124">
        <f t="shared" si="4"/>
        <v>30.840554380403866</v>
      </c>
      <c r="H61" s="120"/>
    </row>
    <row r="62" spans="1:8" ht="13.15">
      <c r="A62" s="143">
        <f t="shared" si="3"/>
        <v>10</v>
      </c>
      <c r="B62" s="124">
        <f t="shared" si="4"/>
        <v>28.067306159893612</v>
      </c>
      <c r="C62" s="124">
        <f t="shared" si="4"/>
        <v>29.90066030042189</v>
      </c>
      <c r="D62" s="124">
        <f t="shared" si="4"/>
        <v>31.919999521362421</v>
      </c>
      <c r="E62" s="124">
        <f t="shared" si="4"/>
        <v>34.147494691009008</v>
      </c>
      <c r="F62" s="124">
        <f t="shared" si="4"/>
        <v>36.607771959046119</v>
      </c>
      <c r="H62" s="120"/>
    </row>
    <row r="63" spans="1:8" ht="13.15">
      <c r="A63" s="143">
        <f t="shared" si="3"/>
        <v>15</v>
      </c>
      <c r="B63" s="124">
        <f t="shared" si="4"/>
        <v>29.118371848057407</v>
      </c>
      <c r="C63" s="124">
        <f t="shared" si="4"/>
        <v>32.303539286508574</v>
      </c>
      <c r="D63" s="124">
        <f t="shared" si="4"/>
        <v>36.048705001346903</v>
      </c>
      <c r="E63" s="124">
        <f t="shared" si="4"/>
        <v>40.465557113093737</v>
      </c>
      <c r="F63" s="124">
        <f t="shared" si="4"/>
        <v>45.68775566664474</v>
      </c>
      <c r="H63" s="120"/>
    </row>
    <row r="64" spans="1:8" ht="13.15">
      <c r="A64" s="144">
        <f t="shared" si="3"/>
        <v>20</v>
      </c>
      <c r="B64" s="124">
        <f t="shared" si="4"/>
        <v>30.214124975621328</v>
      </c>
      <c r="C64" s="124">
        <f t="shared" si="4"/>
        <v>34.949935100701175</v>
      </c>
      <c r="D64" s="124">
        <f t="shared" si="4"/>
        <v>40.867941596084556</v>
      </c>
      <c r="E64" s="124">
        <f t="shared" si="4"/>
        <v>48.304233808867707</v>
      </c>
      <c r="F64" s="124">
        <f t="shared" si="4"/>
        <v>57.691995776080809</v>
      </c>
      <c r="H64" s="120"/>
    </row>
    <row r="65" spans="1:8" ht="13.15">
      <c r="A65" s="144">
        <f t="shared" si="3"/>
        <v>25</v>
      </c>
      <c r="B65" s="124">
        <f t="shared" si="4"/>
        <v>31.257029055042366</v>
      </c>
      <c r="C65" s="124">
        <f t="shared" si="4"/>
        <v>37.617596482270926</v>
      </c>
      <c r="D65" s="124">
        <f t="shared" si="4"/>
        <v>46.036322234202615</v>
      </c>
      <c r="E65" s="124">
        <f t="shared" si="4"/>
        <v>57.282802949331312</v>
      </c>
      <c r="F65" s="124">
        <f t="shared" si="4"/>
        <v>72.424998077742856</v>
      </c>
    </row>
    <row r="66" spans="1:8" ht="13.15">
      <c r="A66" s="144">
        <f t="shared" si="3"/>
        <v>30</v>
      </c>
      <c r="B66" s="124">
        <f t="shared" si="4"/>
        <v>32.19853798062249</v>
      </c>
      <c r="C66" s="124">
        <f t="shared" si="4"/>
        <v>40.174341458282882</v>
      </c>
      <c r="D66" s="124">
        <f t="shared" si="4"/>
        <v>51.324996579386166</v>
      </c>
      <c r="E66" s="124">
        <f t="shared" si="4"/>
        <v>67.137963634732003</v>
      </c>
      <c r="F66" s="124">
        <f t="shared" si="4"/>
        <v>89.834866384397998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89.834866384397998</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51.324996579386166</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40.174341458282882</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-51.65</v>
      </c>
    </row>
    <row r="4" spans="2:9">
      <c r="B4" s="152" t="s">
        <v>142</v>
      </c>
      <c r="C4" s="120">
        <v>3</v>
      </c>
      <c r="D4" s="120"/>
      <c r="E4" s="155" t="s">
        <v>146</v>
      </c>
      <c r="F4" s="155"/>
      <c r="H4" s="247">
        <v>1</v>
      </c>
      <c r="I4" s="124">
        <f t="shared" ref="I4:I13" si="0">IF(ROW()-3 &lt; $C$76, $C$77, IF(ROW()-3 = $C$76, $C$77 + $C$60, ""))</f>
        <v>1.8107835783658848</v>
      </c>
    </row>
    <row r="5" spans="2:9">
      <c r="H5" s="247">
        <v>2</v>
      </c>
      <c r="I5" s="124">
        <f t="shared" si="0"/>
        <v>1.8107835783658848</v>
      </c>
    </row>
    <row r="6" spans="2:9" ht="13.15">
      <c r="B6" s="159" t="s">
        <v>92</v>
      </c>
      <c r="C6" s="107">
        <f>DCF!C3</f>
        <v>1</v>
      </c>
      <c r="E6" s="100" t="s">
        <v>274</v>
      </c>
      <c r="F6" s="100"/>
      <c r="H6" s="247">
        <v>3</v>
      </c>
      <c r="I6" s="124">
        <f t="shared" si="0"/>
        <v>74.805409837525829</v>
      </c>
    </row>
    <row r="7" spans="2:9" ht="12.75" customHeight="1">
      <c r="B7" s="100" t="s">
        <v>270</v>
      </c>
      <c r="C7" s="338">
        <f>Normalized_FCF!G8</f>
        <v>4487792577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80"/>
      <c r="H7" s="247">
        <v>4</v>
      </c>
      <c r="I7" s="124" t="str">
        <f t="shared" si="0"/>
        <v/>
      </c>
    </row>
    <row r="8" spans="2:9">
      <c r="B8" s="100" t="s">
        <v>64</v>
      </c>
      <c r="C8" s="338">
        <f>Normalized_FCF!G19</f>
        <v>3154791489.9623775</v>
      </c>
      <c r="D8" t="str">
        <f>Reporting_currency</f>
        <v>CNY</v>
      </c>
      <c r="E8" s="380"/>
      <c r="F8" s="380"/>
      <c r="H8" s="247">
        <v>5</v>
      </c>
      <c r="I8" s="124" t="str">
        <f t="shared" si="0"/>
        <v/>
      </c>
    </row>
    <row r="9" spans="2:9">
      <c r="B9" s="100" t="s">
        <v>55</v>
      </c>
      <c r="C9" s="338">
        <f>Normalized_FCF!C19</f>
        <v>2878343317.2309222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2.1321347914251776E-2</v>
      </c>
      <c r="D12" s="158"/>
      <c r="E12" s="380"/>
      <c r="F12" s="380"/>
      <c r="H12" s="247">
        <v>9</v>
      </c>
      <c r="I12" s="124" t="str">
        <f t="shared" si="0"/>
        <v/>
      </c>
    </row>
    <row r="13" spans="2:9">
      <c r="B13" s="148" t="s">
        <v>148</v>
      </c>
      <c r="C13" s="158">
        <f ca="1">(Normalized_FCF!G8/OFFSET(Normalized_FCF!G8, 0, $C$4))^(1/$C$4) - 1</f>
        <v>0.15185942572632172</v>
      </c>
      <c r="E13" s="380"/>
      <c r="F13" s="380"/>
      <c r="H13" s="247">
        <v>10</v>
      </c>
      <c r="I13" s="124" t="str">
        <f t="shared" si="0"/>
        <v/>
      </c>
    </row>
    <row r="14" spans="2:9">
      <c r="B14" s="100" t="s">
        <v>64</v>
      </c>
      <c r="C14" s="158">
        <f ca="1">(Normalized_FCF!G19/OFFSET(Normalized_FCF!G19, 0, $C$4))^(1/$C$4) - 1</f>
        <v>0.22851066755824223</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51.65</v>
      </c>
      <c r="D21" t="str">
        <f>Market_currency</f>
        <v>HKD</v>
      </c>
      <c r="E21" s="381"/>
      <c r="F21" s="381"/>
    </row>
    <row r="22" spans="2:6">
      <c r="B22" s="100" t="s">
        <v>273</v>
      </c>
      <c r="C22" s="160">
        <f>IF(valuation_method="DCF",DCF!C12,DDM!C7)</f>
        <v>43.014335210738437</v>
      </c>
      <c r="D22" t="str">
        <f>Market_currency</f>
        <v>HKD</v>
      </c>
      <c r="E22" s="381"/>
      <c r="F22" s="381"/>
    </row>
    <row r="24" spans="2:6" ht="13.15">
      <c r="B24" s="159" t="s">
        <v>111</v>
      </c>
      <c r="E24" s="159" t="s">
        <v>145</v>
      </c>
      <c r="F24" s="159"/>
    </row>
    <row r="25" spans="2:6">
      <c r="B25" s="152" t="s">
        <v>129</v>
      </c>
      <c r="C25" s="166">
        <f>C18</f>
        <v>30</v>
      </c>
      <c r="D25" s="163"/>
      <c r="E25" s="379"/>
      <c r="F25" s="379"/>
    </row>
    <row r="26" spans="2:6">
      <c r="B26" s="118" t="s">
        <v>130</v>
      </c>
      <c r="C26" s="164">
        <v>0.06</v>
      </c>
      <c r="D26" s="164"/>
      <c r="E26" s="379"/>
      <c r="F26" s="379"/>
    </row>
    <row r="27" spans="2:6">
      <c r="B27" s="100" t="s">
        <v>109</v>
      </c>
      <c r="C27" s="160">
        <f>IF(valuation_method="DCF",DCF!E76,DDM!E71)</f>
        <v>72.056844103729077</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0.04</v>
      </c>
      <c r="D32" s="164"/>
      <c r="E32" s="379"/>
      <c r="F32" s="379"/>
    </row>
    <row r="33" spans="2:6">
      <c r="B33" s="100" t="s">
        <v>109</v>
      </c>
      <c r="C33" s="160">
        <f>IF(valuation_method="DCF",DCF!E77,DDM!E72)</f>
        <v>59.064144205621858</v>
      </c>
      <c r="D33" t="str">
        <f>Market_currency</f>
        <v>HKD</v>
      </c>
      <c r="E33" s="379"/>
      <c r="F33" s="379"/>
    </row>
    <row r="34" spans="2:6">
      <c r="B34" s="100" t="s">
        <v>143</v>
      </c>
      <c r="C34" s="165">
        <v>0.3</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0.08</v>
      </c>
      <c r="D38" s="164"/>
      <c r="E38" s="379"/>
      <c r="F38" s="379"/>
    </row>
    <row r="39" spans="2:6">
      <c r="B39" s="100" t="s">
        <v>109</v>
      </c>
      <c r="C39" s="160">
        <f>IF(valuation_method="DCF",DCF!E75,DDM!E70)</f>
        <v>90.482051700718841</v>
      </c>
      <c r="D39" t="str">
        <f>Market_currency</f>
        <v>HKD</v>
      </c>
      <c r="E39" s="379"/>
      <c r="F39" s="379"/>
    </row>
    <row r="40" spans="2:6">
      <c r="B40" s="100" t="s">
        <v>143</v>
      </c>
      <c r="C40" s="167">
        <f>1-C28-C34</f>
        <v>0.2</v>
      </c>
      <c r="D40" s="165"/>
      <c r="E40" s="379"/>
      <c r="F40" s="379"/>
    </row>
    <row r="42" spans="2:6" ht="13.15">
      <c r="B42" s="100" t="s">
        <v>116</v>
      </c>
      <c r="C42" s="154">
        <f>C27*C28+C33*C34+C39*C40</f>
        <v>71.844075653694858</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0.02</v>
      </c>
      <c r="D50" s="164"/>
      <c r="E50" s="379"/>
      <c r="F50" s="379"/>
    </row>
    <row r="51" spans="2:6">
      <c r="B51" s="100" t="s">
        <v>109</v>
      </c>
      <c r="C51" s="160">
        <f>IF(valuation_method="DCF",DCF!E78,DDM!E73)</f>
        <v>49.77076907150969</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116.92839434518206</v>
      </c>
      <c r="D57" t="str">
        <f>Market_currency</f>
        <v>HKD</v>
      </c>
      <c r="E57" s="379"/>
      <c r="F57" s="379"/>
    </row>
    <row r="58" spans="2:6">
      <c r="B58" s="100" t="s">
        <v>143</v>
      </c>
      <c r="C58" s="165">
        <v>0.05</v>
      </c>
      <c r="D58" s="165"/>
      <c r="E58" s="379"/>
      <c r="F58" s="379"/>
    </row>
    <row r="60" spans="2:6" ht="13.15">
      <c r="B60" s="100" t="s">
        <v>116</v>
      </c>
      <c r="C60" s="154">
        <f>C51*C52+C57*C58+C42*(1-C52-C58)</f>
        <v>72.994626259159944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6.1165848114484E-2</v>
      </c>
      <c r="D65" s="151"/>
      <c r="E65" s="251" t="s">
        <v>304</v>
      </c>
    </row>
    <row r="66" spans="2:6">
      <c r="B66" s="100" t="s">
        <v>99</v>
      </c>
      <c r="C66" s="160">
        <f>IF(valuation_method="DCF",DCF!C18,DDM!C13)</f>
        <v>72.96140948505419</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0.16786383748248199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1.8107835783658848</v>
      </c>
      <c r="D77" t="str">
        <f>Market_currency</f>
        <v>HKD</v>
      </c>
    </row>
    <row r="79" spans="2:6" ht="13.15">
      <c r="B79" s="109" t="s">
        <v>296</v>
      </c>
    </row>
    <row r="80" spans="2:6">
      <c r="B80" s="148" t="s">
        <v>294</v>
      </c>
      <c r="C80" s="167">
        <f>Thesis!F29</f>
        <v>0.35</v>
      </c>
    </row>
    <row r="81" spans="2:8">
      <c r="B81" s="100" t="s">
        <v>117</v>
      </c>
      <c r="C81" s="116">
        <f>PV(C80, C76, -C77, 0)</f>
        <v>3.0708710992152235</v>
      </c>
      <c r="D81" s="116"/>
      <c r="E81" s="100"/>
      <c r="F81" s="100"/>
    </row>
    <row r="82" spans="2:8">
      <c r="B82" s="100" t="s">
        <v>118</v>
      </c>
      <c r="C82" s="116">
        <f>C60/(1+C80)^C76</f>
        <v>29.668089725818191</v>
      </c>
      <c r="D82" s="116"/>
    </row>
    <row r="83" spans="2:8" ht="13.15">
      <c r="B83" s="110" t="s">
        <v>98</v>
      </c>
      <c r="C83" s="111">
        <f>C81+C82</f>
        <v>32.738960825033416</v>
      </c>
      <c r="D83" t="str">
        <f>Market_currency</f>
        <v>HKD</v>
      </c>
      <c r="E83" s="146" t="s">
        <v>122</v>
      </c>
      <c r="F83" s="291">
        <f>(1-C83/C60)</f>
        <v>0.55148806832989195</v>
      </c>
    </row>
    <row r="84" spans="2:8">
      <c r="E84" s="120"/>
    </row>
    <row r="85" spans="2:8" ht="13.15">
      <c r="B85" s="109" t="s">
        <v>297</v>
      </c>
    </row>
    <row r="86" spans="2:8">
      <c r="B86" s="148" t="s">
        <v>295</v>
      </c>
      <c r="C86" s="116">
        <f>Market_Price</f>
        <v>51.65</v>
      </c>
      <c r="D86" t="str">
        <f>Market_currency</f>
        <v>HKD</v>
      </c>
    </row>
    <row r="87" spans="2:8" ht="13.15">
      <c r="B87" s="100" t="s">
        <v>293</v>
      </c>
      <c r="C87" s="237">
        <f ca="1">IRR(OFFSET($I$3, 0, 0, $C$76 + 1, 1))</f>
        <v>0.15365436483225703</v>
      </c>
    </row>
    <row r="88" spans="2:8">
      <c r="B88" s="100"/>
    </row>
    <row r="89" spans="2:8" ht="13.15">
      <c r="B89" s="109" t="s">
        <v>392</v>
      </c>
    </row>
    <row r="90" spans="2:8">
      <c r="B90" s="148" t="s">
        <v>393</v>
      </c>
      <c r="C90" s="167">
        <f>Thesis!F30</f>
        <v>0.25</v>
      </c>
    </row>
    <row r="91" spans="2:8">
      <c r="B91" s="100" t="s">
        <v>117</v>
      </c>
      <c r="C91" s="116">
        <f>PV(C90, C76, -C77, 0)</f>
        <v>3.5346495449702071</v>
      </c>
      <c r="D91" s="116"/>
      <c r="E91" s="100"/>
      <c r="F91" s="100"/>
    </row>
    <row r="92" spans="2:8">
      <c r="B92" s="100" t="s">
        <v>118</v>
      </c>
      <c r="C92" s="116">
        <f>C60/(1+C90)^C76</f>
        <v>37.373248644689895</v>
      </c>
      <c r="D92" s="116"/>
    </row>
    <row r="93" spans="2:8" ht="13.15">
      <c r="B93" s="110" t="s">
        <v>98</v>
      </c>
      <c r="C93" s="111">
        <f>C91+C92</f>
        <v>40.907898189660102</v>
      </c>
      <c r="D93" t="str">
        <f>Market_currency</f>
        <v>HKD</v>
      </c>
      <c r="E93" s="146" t="s">
        <v>122</v>
      </c>
      <c r="F93" s="291">
        <f>(1-C93/C60)</f>
        <v>0.43957657863168176</v>
      </c>
    </row>
    <row r="95" spans="2:8" ht="13.15">
      <c r="B95" s="109" t="s">
        <v>378</v>
      </c>
      <c r="G95" s="2"/>
      <c r="H95" s="281"/>
    </row>
    <row r="96" spans="2:8">
      <c r="B96" s="148" t="s">
        <v>383</v>
      </c>
      <c r="C96" s="134">
        <f>Thesis!F31</f>
        <v>7.4999999999999997E-2</v>
      </c>
      <c r="G96" s="2"/>
      <c r="H96" s="281"/>
    </row>
    <row r="97" spans="2:8">
      <c r="B97" s="100" t="s">
        <v>117</v>
      </c>
      <c r="C97" s="116">
        <f>PV(C96, C76, -C77, 0)</f>
        <v>4.708989304877937</v>
      </c>
      <c r="D97" s="116"/>
      <c r="G97" s="2"/>
      <c r="H97" s="281"/>
    </row>
    <row r="98" spans="2:8">
      <c r="B98" s="100" t="s">
        <v>118</v>
      </c>
      <c r="C98" s="116">
        <f>C60/(1+C96)^C76</f>
        <v>58.75779592471401</v>
      </c>
      <c r="D98" s="116"/>
      <c r="G98" s="2"/>
      <c r="H98" s="281"/>
    </row>
    <row r="99" spans="2:8" ht="13.15">
      <c r="B99" s="110" t="s">
        <v>379</v>
      </c>
      <c r="C99" s="111">
        <f>C97+C98</f>
        <v>63.466785229591949</v>
      </c>
      <c r="D99" t="s">
        <v>377</v>
      </c>
      <c r="E99" s="146" t="s">
        <v>122</v>
      </c>
      <c r="F99" s="291">
        <f>(1-C99/C60)</f>
        <v>0.13052797880956846</v>
      </c>
    </row>
    <row r="100" spans="2:8">
      <c r="B100" s="100"/>
    </row>
    <row r="101" spans="2:8" ht="13.15">
      <c r="B101" s="109" t="s">
        <v>399</v>
      </c>
    </row>
    <row r="102" spans="2:8">
      <c r="B102" s="148" t="s">
        <v>398</v>
      </c>
      <c r="C102" s="134">
        <f>Thesis!F32</f>
        <v>0.1174</v>
      </c>
    </row>
    <row r="103" spans="2:8">
      <c r="B103" s="100" t="s">
        <v>117</v>
      </c>
      <c r="C103" s="116">
        <f>PV(C102, C76, -C77, 0)</f>
        <v>4.3687021215639064</v>
      </c>
      <c r="D103" s="116"/>
    </row>
    <row r="104" spans="2:8">
      <c r="B104" s="100" t="s">
        <v>118</v>
      </c>
      <c r="C104" s="116">
        <f>C60/(1+C102)^C76</f>
        <v>52.31965700548411</v>
      </c>
      <c r="D104" s="116"/>
    </row>
    <row r="105" spans="2:8" ht="13.15">
      <c r="B105" s="110" t="s">
        <v>379</v>
      </c>
      <c r="C105" s="111">
        <f>C103+C104</f>
        <v>56.688359127048017</v>
      </c>
      <c r="D105" t="s">
        <v>377</v>
      </c>
      <c r="E105" s="146" t="s">
        <v>122</v>
      </c>
      <c r="F105" s="291">
        <f>(1-C105/C66)</f>
        <v>0.22303640339266795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73F45-2474-4438-AB98-54A2BE564E5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