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5C53FF5-0336-44EC-A70F-812AB69D3DD6}"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5" i="4"/>
  <c r="D5" i="4"/>
  <c r="E5" i="4"/>
  <c r="F5" i="4"/>
  <c r="G5" i="4"/>
  <c r="C6" i="4"/>
  <c r="D6" i="4"/>
  <c r="E6" i="4"/>
  <c r="F6" i="4"/>
  <c r="G6" i="4"/>
  <c r="C20" i="4"/>
  <c r="D20" i="4"/>
  <c r="E20" i="4"/>
  <c r="F20" i="4"/>
  <c r="C25" i="4"/>
  <c r="D25" i="4"/>
  <c r="E25" i="4"/>
  <c r="F25" i="4"/>
  <c r="G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3" i="2" l="1"/>
  <c r="F71" i="4"/>
  <c r="C31" i="4"/>
  <c r="P120" i="2"/>
  <c r="P117" i="2"/>
  <c r="P118" i="2"/>
  <c r="N120" i="2"/>
  <c r="N117" i="2"/>
  <c r="N118" i="2"/>
  <c r="O120" i="2"/>
  <c r="O118" i="2"/>
  <c r="O117" i="2"/>
  <c r="Q120" i="2"/>
  <c r="Q118" i="2"/>
  <c r="Q117"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1" i="3" s="1"/>
  <c r="C8" i="6" s="1"/>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K92" i="2" l="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<sst xmlns="http://schemas.openxmlformats.org/spreadsheetml/2006/main" count="685" uniqueCount="465">
  <si>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</si>
  <si>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</si>
  <si>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</si>
  <si>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</si>
  <si>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</si>
  <si>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</si>
  <si>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</si>
  <si>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</si>
  <si>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</si>
  <si>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</si>
  <si>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</si>
  <si>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</si>
  <si>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</si>
  <si>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</si>
  <si>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</si>
  <si>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</si>
  <si>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</si>
  <si>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</si>
  <si>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</si>
  <si>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</si>
  <si>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</si>
  <si>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</si>
  <si>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</si>
  <si>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</si>
  <si>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</si>
  <si>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</si>
  <si>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</si>
  <si>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</si>
  <si>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</si>
  <si>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</si>
  <si>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</si>
  <si>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</si>
  <si>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</si>
  <si>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</si>
  <si>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</si>
  <si>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</si>
  <si>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</si>
  <si>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</si>
  <si>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</si>
  <si>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</si>
  <si>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</si>
  <si>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</si>
  <si>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</si>
  <si>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</si>
  <si>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</si>
  <si>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</si>
  <si>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</si>
  <si>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</si>
  <si>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</si>
  <si>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</si>
  <si>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</si>
  <si>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</si>
  <si>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</si>
  <si>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</si>
  <si>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</si>
  <si>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</si>
  <si>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</si>
  <si>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</si>
  <si>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</si>
  <si>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</si>
  <si>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</si>
  <si>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</si>
  <si>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</si>
  <si>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</si>
  <si>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</si>
  <si>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</si>
  <si>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</si>
  <si>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</si>
  <si>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</si>
  <si>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</si>
  <si>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</si>
  <si>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</si>
  <si>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</si>
  <si>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</si>
  <si>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</si>
  <si>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</si>
  <si>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</si>
  <si>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</si>
  <si>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</si>
  <si>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</si>
  <si>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</si>
  <si>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</si>
  <si>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</si>
  <si>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</si>
  <si>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</si>
  <si>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</si>
  <si>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</si>
  <si>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</si>
  <si>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</si>
  <si>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</si>
  <si>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</si>
  <si>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</si>
  <si>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</si>
  <si>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</si>
  <si>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</si>
  <si>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</si>
  <si>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</si>
  <si>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</si>
  <si>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</si>
  <si>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</si>
  <si>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</si>
  <si>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</si>
  <si>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</si>
  <si>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</si>
  <si>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</si>
  <si>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</si>
  <si>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</si>
  <si>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</si>
  <si>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</si>
  <si>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</si>
  <si>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</si>
  <si>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</si>
  <si>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</si>
  <si>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</si>
  <si>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</si>
  <si>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</si>
  <si>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</si>
  <si>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</si>
  <si>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</si>
  <si>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</si>
  <si>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</si>
  <si>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</si>
  <si>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</si>
  <si>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</si>
  <si>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</si>
  <si>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</si>
  <si>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</si>
  <si>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</si>
  <si>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</si>
  <si>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</si>
  <si>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</si>
  <si>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</si>
  <si>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</si>
  <si>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</si>
  <si>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</si>
  <si>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</si>
  <si>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</si>
  <si>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</si>
  <si>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</si>
  <si>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</si>
  <si>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</si>
  <si>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</si>
  <si>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</si>
  <si>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</si>
  <si>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</si>
  <si>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</si>
  <si>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</si>
  <si>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</si>
  <si>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</si>
  <si>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</si>
  <si>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</si>
  <si>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</si>
  <si>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</si>
  <si>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</si>
  <si>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</si>
  <si>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</si>
  <si>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</si>
  <si>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</si>
  <si>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</si>
  <si>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</si>
  <si>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</si>
  <si>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</si>
  <si>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</si>
  <si>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</si>
  <si>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</si>
  <si>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</si>
  <si>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</si>
  <si>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</si>
  <si>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</si>
  <si>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</si>
  <si>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</si>
  <si>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</si>
  <si>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</si>
  <si>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</si>
  <si>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</si>
  <si>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</si>
  <si>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</si>
  <si>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</si>
  <si>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</si>
  <si>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</si>
  <si>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</si>
  <si>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</si>
  <si>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</si>
  <si>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</si>
  <si>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</si>
  <si>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</si>
  <si>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</si>
  <si>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</si>
  <si>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</si>
  <si>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</si>
  <si>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</si>
  <si>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</si>
  <si>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</si>
  <si>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</si>
  <si>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</si>
  <si>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</si>
  <si>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</si>
  <si>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</si>
  <si>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</si>
  <si>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</si>
  <si>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</si>
  <si>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</si>
  <si>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</si>
  <si>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</si>
  <si>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</si>
  <si>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</si>
  <si>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</si>
  <si>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</si>
  <si>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</si>
  <si>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</si>
  <si>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</si>
  <si>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</si>
  <si>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</si>
  <si>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</si>
  <si>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</si>
  <si>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</si>
  <si>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</si>
  <si>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</si>
  <si>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</si>
  <si>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</si>
  <si>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</si>
  <si>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</si>
  <si>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</si>
  <si>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</si>
  <si>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</si>
  <si>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</si>
  <si>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</si>
  <si>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</si>
  <si>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</si>
  <si>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</si>
  <si>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</si>
  <si>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</si>
  <si>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</si>
  <si>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</si>
  <si>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</si>
  <si>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</si>
  <si>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</si>
  <si>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</si>
  <si>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</si>
  <si>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</si>
  <si>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</si>
  <si>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</si>
  <si>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</si>
  <si>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</si>
  <si>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</si>
  <si>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</si>
  <si>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</si>
  <si>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</si>
  <si>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</si>
  <si>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</si>
  <si>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</si>
  <si>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</si>
  <si>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</si>
  <si>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</si>
  <si>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</si>
  <si>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</si>
  <si>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</si>
  <si>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</si>
  <si>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</si>
  <si>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</si>
  <si>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</si>
  <si>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</si>
  <si>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</si>
  <si>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</si>
  <si>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</si>
  <si>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</si>
  <si>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</si>
  <si>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</si>
  <si>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</si>
  <si>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</si>
  <si>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</si>
  <si>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</si>
  <si>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</si>
  <si>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</si>
  <si>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</si>
  <si>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</si>
  <si>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</si>
  <si>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</si>
  <si>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</si>
  <si>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</si>
  <si>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</si>
  <si>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</si>
  <si>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</si>
  <si>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</si>
  <si>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</si>
  <si>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</si>
  <si>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</si>
  <si>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</si>
  <si>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</si>
  <si>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</si>
  <si>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</si>
  <si>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</si>
  <si>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</si>
  <si>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</si>
  <si>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</si>
  <si>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</si>
  <si>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</si>
  <si>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</si>
  <si>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</si>
  <si>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</si>
  <si>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</si>
  <si>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</si>
  <si>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</si>
  <si>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</si>
  <si>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</si>
  <si>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</si>
  <si>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</si>
  <si>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</si>
  <si>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</si>
  <si>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</si>
  <si>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</si>
  <si>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</si>
  <si>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</si>
  <si>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</si>
  <si>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</si>
  <si>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</si>
  <si>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</si>
  <si>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</si>
  <si>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</si>
  <si>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</si>
  <si>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</si>
  <si>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</si>
  <si>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</si>
  <si>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</si>
  <si>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</si>
  <si>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</si>
  <si>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</si>
  <si>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</si>
  <si>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</si>
  <si>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</si>
  <si>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</si>
  <si>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</si>
  <si>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</si>
  <si>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</si>
  <si>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</si>
  <si>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</si>
  <si>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</si>
  <si>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</si>
  <si>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</si>
  <si>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</si>
  <si>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</si>
  <si>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</si>
  <si>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</si>
  <si>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</si>
  <si>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</si>
  <si>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</si>
  <si>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</si>
  <si>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</si>
  <si>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</si>
  <si>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</si>
  <si>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</si>
  <si>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</si>
  <si>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</si>
  <si>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</si>
  <si>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</si>
  <si>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</si>
  <si>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</si>
  <si>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</si>
  <si>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</si>
  <si>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</si>
  <si>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</si>
  <si>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</si>
  <si>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</si>
  <si>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</si>
  <si>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</si>
  <si>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</si>
  <si>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</si>
  <si>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</si>
  <si>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</si>
  <si>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</si>
  <si>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</si>
  <si>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</si>
  <si>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</si>
  <si>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</si>
  <si>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</si>
  <si>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</si>
  <si>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</si>
  <si>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</si>
  <si>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</si>
  <si>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</si>
  <si>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</si>
  <si>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</si>
  <si>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</si>
  <si>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</si>
  <si>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</si>
  <si>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</si>
  <si>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</si>
  <si>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</si>
  <si>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</si>
  <si>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</si>
  <si>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</si>
  <si>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</si>
  <si>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</si>
  <si>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</si>
  <si>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</si>
  <si>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</si>
  <si>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</si>
  <si>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</si>
  <si>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</si>
  <si>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</si>
  <si>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</si>
  <si>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</si>
  <si>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</si>
  <si>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</si>
  <si>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</si>
  <si>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</si>
  <si>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</si>
  <si>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</si>
  <si>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</si>
  <si>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</si>
  <si>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</si>
  <si>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</si>
  <si>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</si>
  <si>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</si>
  <si>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</si>
  <si>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</si>
  <si>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</si>
  <si>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</si>
  <si>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</si>
  <si>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</si>
  <si>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</si>
  <si>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</si>
  <si>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</si>
  <si>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</si>
  <si>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</si>
  <si>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</si>
  <si>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</si>
  <si>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</si>
  <si>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</si>
  <si>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</si>
  <si>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</si>
  <si>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</si>
  <si>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</si>
  <si>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</si>
  <si>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</si>
  <si>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</si>
  <si>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</si>
  <si>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</si>
  <si>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</si>
  <si>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</si>
  <si>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</si>
  <si>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</si>
  <si>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</si>
  <si>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</si>
  <si>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</si>
  <si>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</si>
  <si>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</si>
  <si>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</si>
  <si>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</si>
  <si>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</si>
  <si>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</si>
  <si>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</si>
  <si>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</si>
  <si>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</si>
  <si>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</si>
  <si>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</si>
  <si>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</si>
  <si>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青島啤酒股份</t>
  </si>
  <si>
    <t>0168.HK</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</si>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</sst>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1364196788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54.1</v>
      </c>
      <c r="D12" s="50"/>
      <c r="E12" s="48"/>
    </row>
    <row r="13" spans="1:10">
      <c r="B13" s="1" t="s">
        <v>416</v>
      </c>
      <c r="C13" s="48" t="s">
        <v>396</v>
      </c>
      <c r="D13" s="48"/>
      <c r="E13" s="5"/>
    </row>
    <row r="14" spans="1:10">
      <c r="B14" s="4" t="s">
        <v>420</v>
      </c>
      <c r="C14" s="35">
        <f>Thesis!C12*Common_Shares/1000000</f>
        <v>73803.046230799999</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1.08936492</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72.721527671288641</v>
      </c>
      <c r="D26" s="1" t="s">
        <v>399</v>
      </c>
      <c r="E26" s="301">
        <f ca="1">Scenarios!C87</f>
        <v>0.13762765383940545</v>
      </c>
    </row>
    <row r="27" spans="2:6">
      <c r="D27" s="5"/>
      <c r="E27" s="5"/>
    </row>
    <row r="28" spans="2:6">
      <c r="B28" s="45" t="s">
        <v>433</v>
      </c>
      <c r="C28" s="309" t="str">
        <f>C145&amp;" ("&amp;Market_currency&amp;")"</f>
        <v>0168.HK (HKD)</v>
      </c>
      <c r="D28" s="309" t="str">
        <f>IF(D11="","",D145&amp;" ("&amp;D13&amp;")")</f>
        <v/>
      </c>
      <c r="E28" s="305" t="s">
        <v>429</v>
      </c>
      <c r="F28" s="303">
        <v>3</v>
      </c>
    </row>
    <row r="29" spans="2:6">
      <c r="B29" s="1" t="s">
        <v>425</v>
      </c>
      <c r="C29" s="310">
        <f>C149</f>
        <v>31.789933789186676</v>
      </c>
      <c r="D29" s="310" t="str">
        <f>D149</f>
        <v/>
      </c>
      <c r="E29" s="306" t="s">
        <v>424</v>
      </c>
      <c r="F29" s="302">
        <v>0.3674</v>
      </c>
    </row>
    <row r="30" spans="2:6">
      <c r="B30" s="1" t="s">
        <v>426</v>
      </c>
      <c r="C30" s="311">
        <f>C157</f>
        <v>44.446223852133244</v>
      </c>
      <c r="D30" s="311" t="str">
        <f>D157</f>
        <v/>
      </c>
      <c r="E30" s="307" t="s">
        <v>437</v>
      </c>
      <c r="F30" s="312">
        <v>0.21740000000000001</v>
      </c>
    </row>
    <row r="31" spans="2:6">
      <c r="B31" s="1" t="s">
        <v>427</v>
      </c>
      <c r="C31" s="311">
        <f>C165</f>
        <v>63.789789814583621</v>
      </c>
      <c r="D31" s="311" t="str">
        <f>D165</f>
        <v/>
      </c>
      <c r="E31" s="307" t="s">
        <v>436</v>
      </c>
      <c r="F31" s="312">
        <v>7.4999999999999997E-2</v>
      </c>
    </row>
    <row r="32" spans="2:6">
      <c r="B32" s="1" t="s">
        <v>428</v>
      </c>
      <c r="C32" s="311">
        <f>C173</f>
        <v>56.996223768634614</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3878068070.3077545</v>
      </c>
      <c r="D41" s="1" t="str">
        <f>Reporting_currency</f>
        <v>CNY</v>
      </c>
    </row>
    <row r="42" spans="1:6">
      <c r="B42" s="47"/>
      <c r="C42" s="76"/>
    </row>
    <row r="43" spans="1:6" ht="24.5" customHeight="1">
      <c r="B43" s="357" t="s">
        <v>233</v>
      </c>
      <c r="C43" s="357"/>
      <c r="D43" s="357"/>
      <c r="E43" s="357"/>
      <c r="F43" s="357"/>
    </row>
    <row r="44" spans="1:6">
      <c r="B44" s="47" t="s">
        <v>234</v>
      </c>
      <c r="C44" s="349">
        <f>Normalized_FCF!C9</f>
        <v>1191305772</v>
      </c>
      <c r="D44" s="1" t="str">
        <f>Reporting_currency</f>
        <v>CNY</v>
      </c>
    </row>
    <row r="45" spans="1:6">
      <c r="B45" s="52" t="s">
        <v>235</v>
      </c>
      <c r="C45" s="349">
        <f>Normalized_FCF!C10</f>
        <v>-1191305772</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177131664.85333782</v>
      </c>
      <c r="D51" s="1" t="str">
        <f>Reporting_currency</f>
        <v>CNY</v>
      </c>
      <c r="E51" s="286"/>
      <c r="F51" s="286"/>
    </row>
    <row r="52" spans="2:6">
      <c r="B52" s="47" t="s">
        <v>341</v>
      </c>
      <c r="C52" s="350">
        <f>Normalized_FCF!C47</f>
        <v>-21837054</v>
      </c>
      <c r="D52" s="1" t="str">
        <f>Reporting_currency</f>
        <v>CNY</v>
      </c>
      <c r="E52" s="286"/>
      <c r="F52" s="286"/>
    </row>
    <row r="53" spans="2:6">
      <c r="B53" s="47" t="s">
        <v>238</v>
      </c>
      <c r="C53" s="349">
        <f>Normalized_FCF!C12</f>
        <v>155294610.85333782</v>
      </c>
      <c r="D53" s="1" t="str">
        <f>Reporting_currency</f>
        <v>CNY</v>
      </c>
    </row>
    <row r="55" spans="2:6">
      <c r="B55" s="1" t="s">
        <v>246</v>
      </c>
    </row>
    <row r="56" spans="2:6">
      <c r="B56" s="47" t="s">
        <v>265</v>
      </c>
      <c r="C56" s="349">
        <f>Normalized_FCF!C15</f>
        <v>-146634564.47167698</v>
      </c>
      <c r="D56" s="1" t="str">
        <f>Reporting_currency</f>
        <v>CNY</v>
      </c>
    </row>
    <row r="58" spans="2:6">
      <c r="B58" s="357" t="s">
        <v>241</v>
      </c>
      <c r="C58" s="357"/>
      <c r="D58" s="357"/>
      <c r="E58" s="357"/>
      <c r="F58" s="357"/>
    </row>
    <row r="59" spans="2:6">
      <c r="B59" s="47" t="s">
        <v>239</v>
      </c>
      <c r="C59" s="349">
        <f>Normalized_FCF!C14</f>
        <v>-1008340670.2902731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3154850328.8533382</v>
      </c>
      <c r="D67" s="1" t="str">
        <f>Reporting_currency</f>
        <v>CNY</v>
      </c>
    </row>
    <row r="68" spans="1:6">
      <c r="B68" s="47" t="s">
        <v>248</v>
      </c>
      <c r="C68" s="349">
        <f>Normalized_FCF!C19</f>
        <v>2878387446.3991423</v>
      </c>
      <c r="D68" s="1" t="str">
        <f>Reporting_currency</f>
        <v>CNY</v>
      </c>
    </row>
    <row r="69" spans="1:6">
      <c r="B69" s="227" t="s">
        <v>390</v>
      </c>
      <c r="C69" s="92">
        <f>Normalized_FCF!C125</f>
        <v>4.2486245086277068E-2</v>
      </c>
      <c r="F69" s="314"/>
    </row>
    <row r="70" spans="1:6">
      <c r="B70" s="227" t="s">
        <v>308</v>
      </c>
      <c r="C70" s="92">
        <f>Normalized_FCF!C93</f>
        <v>3.7329487698921263E-2</v>
      </c>
      <c r="E70" s="47" t="s">
        <v>448</v>
      </c>
      <c r="F70" s="315">
        <f>Normalized_FCF!C92</f>
        <v>0.95714352487956522</v>
      </c>
    </row>
    <row r="72" spans="1:6">
      <c r="B72" s="210" t="s">
        <v>451</v>
      </c>
      <c r="C72" s="323" t="s">
        <v>453</v>
      </c>
      <c r="D72" s="323" t="s">
        <v>454</v>
      </c>
    </row>
    <row r="73" spans="1:6">
      <c r="B73" s="47" t="s">
        <v>452</v>
      </c>
      <c r="C73" s="92">
        <f>Normalized_FCF!C120</f>
        <v>0.13507784813562232</v>
      </c>
      <c r="D73" s="92">
        <f>Normalized_FCF!G120</f>
        <v>0.15711424740289323</v>
      </c>
    </row>
    <row r="74" spans="1:6">
      <c r="B74" s="259" t="str">
        <f>Normalized_FCF!B117</f>
        <v>Pre-tax Profit/Sales</v>
      </c>
      <c r="C74" s="322">
        <f>Normalized_FCF!C117</f>
        <v>0.12563747766236216</v>
      </c>
      <c r="D74" s="322">
        <f>Normalized_FCF!G117</f>
        <v>0.14597623593907791</v>
      </c>
    </row>
    <row r="75" spans="1:6">
      <c r="B75" s="259" t="str">
        <f>Normalized_FCF!B118</f>
        <v>Sales/Total Assets</v>
      </c>
      <c r="C75" s="324">
        <f>Normalized_FCF!C118</f>
        <v>0.62432788948992113</v>
      </c>
      <c r="D75" s="324">
        <f>Normalized_FCF!G118</f>
        <v>0.62500173016982585</v>
      </c>
    </row>
    <row r="76" spans="1:6">
      <c r="B76" s="259" t="str">
        <f>Normalized_FCF!B119</f>
        <v>Total Assets/Equity</v>
      </c>
      <c r="C76" s="324">
        <f>Normalized_FCF!C119</f>
        <v>1.7220755031358876</v>
      </c>
      <c r="D76" s="324">
        <f>Normalized_FCF!G119</f>
        <v>1.7220755031358876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30.646744788901191</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285396383</v>
      </c>
      <c r="D102" s="1" t="str">
        <f>Reporting_currency</f>
        <v>CNY</v>
      </c>
    </row>
    <row r="103" spans="2:6">
      <c r="B103" s="47" t="s">
        <v>281</v>
      </c>
      <c r="C103" s="223">
        <f>C102*scaling_factor*Exchange_Rate/Common_Shares</f>
        <v>0.22790026385481002</v>
      </c>
      <c r="D103" s="1" t="str">
        <f>Market_currency</f>
        <v>HKD</v>
      </c>
    </row>
    <row r="104" spans="2:6">
      <c r="B104" s="296" t="s">
        <v>404</v>
      </c>
      <c r="C104" s="325">
        <f>IF(BS!G31/BS!G27&gt;300%,"nm",BS!G31/BS!G27)</f>
        <v>9.5579625064196368E-3</v>
      </c>
    </row>
    <row r="105" spans="2:6">
      <c r="B105" s="296" t="s">
        <v>406</v>
      </c>
      <c r="C105" s="326">
        <f>IF(BS!C50&gt;30,"nm",BS!C50)</f>
        <v>7.3592411949940734E-2</v>
      </c>
    </row>
    <row r="107" spans="2:6">
      <c r="B107" s="1" t="s">
        <v>254</v>
      </c>
    </row>
    <row r="108" spans="2:6">
      <c r="B108" s="47" t="s">
        <v>264</v>
      </c>
      <c r="C108" s="349">
        <f>BS!C66</f>
        <v>17978772896</v>
      </c>
      <c r="D108" s="1" t="str">
        <f>Reporting_currency</f>
        <v>CNY</v>
      </c>
    </row>
    <row r="109" spans="2:6">
      <c r="B109" s="47" t="s">
        <v>266</v>
      </c>
      <c r="C109" s="349">
        <f>DCF!C8</f>
        <v>12815415762.773697</v>
      </c>
      <c r="D109" s="1" t="str">
        <f>Reporting_currency</f>
        <v>CNY</v>
      </c>
    </row>
    <row r="110" spans="2:6">
      <c r="B110" s="47" t="s">
        <v>282</v>
      </c>
      <c r="C110" s="223">
        <f>C109*scaling_factor*Exchange_Rate/Common_Shares</f>
        <v>10.233614746775599</v>
      </c>
      <c r="D110" s="1" t="str">
        <f>Market_currency</f>
        <v>HKD</v>
      </c>
    </row>
    <row r="112" spans="2:6">
      <c r="B112" s="1" t="s">
        <v>256</v>
      </c>
    </row>
    <row r="113" spans="1:6">
      <c r="B113" s="47" t="s">
        <v>257</v>
      </c>
      <c r="C113" s="349">
        <f>DCF!C9</f>
        <v>2755411575.5</v>
      </c>
      <c r="D113" s="1" t="str">
        <f>Reporting_currency</f>
        <v>CNY</v>
      </c>
    </row>
    <row r="114" spans="1:6">
      <c r="B114" s="47" t="s">
        <v>283</v>
      </c>
      <c r="C114" s="223">
        <f>C113*scaling_factor*Exchange_Rate/Common_Shares</f>
        <v>2.2003047778115947</v>
      </c>
      <c r="D114" s="1" t="str">
        <f>Market_currency</f>
        <v>HKD</v>
      </c>
    </row>
    <row r="116" spans="1:6" ht="24.5" customHeight="1">
      <c r="B116" s="356" t="s">
        <v>366</v>
      </c>
      <c r="C116" s="356"/>
      <c r="D116" s="356"/>
      <c r="E116" s="356"/>
      <c r="F116" s="356"/>
    </row>
    <row r="118" spans="1:6">
      <c r="B118" s="47" t="s">
        <v>449</v>
      </c>
      <c r="C118" s="223">
        <f>IF(valuation_method="DCF",DCF!C12,DDM!C7)</f>
        <v>42.852764049633578</v>
      </c>
      <c r="D118" s="1" t="str">
        <f>Market_currency</f>
        <v>HKD</v>
      </c>
    </row>
    <row r="119" spans="1:6">
      <c r="B119" s="296" t="s">
        <v>405</v>
      </c>
      <c r="C119" s="223">
        <f>BS!D47</f>
        <v>1.3539725242014591</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30</v>
      </c>
      <c r="E126" s="231" t="str">
        <f>ROUND(IF(valuation_method="DCF",DCF!E74,DDM!E69),2)&amp;" "&amp;Market_currency</f>
        <v>116.49 HKD</v>
      </c>
      <c r="F126" s="232">
        <f>DCF!F74</f>
        <v>0.05</v>
      </c>
    </row>
    <row r="127" spans="1:6">
      <c r="B127" s="218" t="str">
        <f>DCF!B75</f>
        <v>Optimistic</v>
      </c>
      <c r="C127" s="219">
        <f>DCF!C75</f>
        <v>0.08</v>
      </c>
      <c r="D127" s="220">
        <f>DCF!D75</f>
        <v>30</v>
      </c>
      <c r="E127" s="231" t="str">
        <f>ROUND(IF(valuation_method="DCF",DCF!E75,DDM!E70),2)&amp;" "&amp;Market_currency</f>
        <v>90.14 HKD</v>
      </c>
      <c r="F127" s="221">
        <f>DCF!F75</f>
        <v>0.18</v>
      </c>
    </row>
    <row r="128" spans="1:6">
      <c r="B128" s="218" t="str">
        <f>DCF!B76</f>
        <v>Base</v>
      </c>
      <c r="C128" s="219">
        <f>DCF!C76</f>
        <v>0.06</v>
      </c>
      <c r="D128" s="220">
        <f>DCF!D76</f>
        <v>30</v>
      </c>
      <c r="E128" s="231" t="str">
        <f>ROUND(IF(valuation_method="DCF",DCF!E76,DDM!E71),2)&amp;" "&amp;Market_currency</f>
        <v>71.79 HKD</v>
      </c>
      <c r="F128" s="221">
        <f>DCF!F76</f>
        <v>0.44999999999999996</v>
      </c>
    </row>
    <row r="129" spans="1:6">
      <c r="B129" s="218" t="str">
        <f>DCF!B77</f>
        <v>Pessimistic</v>
      </c>
      <c r="C129" s="219">
        <f>DCF!C77</f>
        <v>0.04</v>
      </c>
      <c r="D129" s="220">
        <f>DCF!D77</f>
        <v>30</v>
      </c>
      <c r="E129" s="231" t="str">
        <f>ROUND(IF(valuation_method="DCF",DCF!E77,DDM!E72),2)&amp;" "&amp;Market_currency</f>
        <v>58.84 HKD</v>
      </c>
      <c r="F129" s="221">
        <f>DCF!F77</f>
        <v>0.26999999999999996</v>
      </c>
    </row>
    <row r="130" spans="1:6">
      <c r="B130" s="218" t="str">
        <f>DCF!B78</f>
        <v>Devil's advocate</v>
      </c>
      <c r="C130" s="219">
        <f>DCF!C78</f>
        <v>0.02</v>
      </c>
      <c r="D130" s="220">
        <f>DCF!D78</f>
        <v>30</v>
      </c>
      <c r="E130" s="231" t="str">
        <f>ROUND(IF(valuation_method="DCF",DCF!E78,DDM!E73),2)&amp;" "&amp;Market_currency</f>
        <v>49.58 HKD</v>
      </c>
      <c r="F130" s="221">
        <f>DCF!F78</f>
        <v>0.05</v>
      </c>
    </row>
    <row r="132" spans="1:6">
      <c r="B132" s="211" t="s">
        <v>258</v>
      </c>
      <c r="C132" s="217">
        <f>Scenarios!C60</f>
        <v>72.721527671288641</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2.0195252845116403</v>
      </c>
      <c r="D143" s="212" t="str">
        <f>Market_currency</f>
        <v>HKD</v>
      </c>
    </row>
    <row r="145" spans="2:4">
      <c r="B145" s="210" t="s">
        <v>408</v>
      </c>
      <c r="C145" s="241" t="str">
        <f>C11</f>
        <v>0168.HK</v>
      </c>
      <c r="D145" s="241" t="str">
        <f>IF(D11="","",D11)</f>
        <v/>
      </c>
    </row>
    <row r="146" spans="2:4">
      <c r="B146" s="1" t="s">
        <v>407</v>
      </c>
      <c r="C146" s="297">
        <f>F29</f>
        <v>0.3674</v>
      </c>
    </row>
    <row r="147" spans="2:4">
      <c r="B147" s="212" t="str">
        <f>"PV("&amp;C141&amp;" yrs of Dividends)"</f>
        <v>PV(3 yrs of Dividends)</v>
      </c>
      <c r="C147" s="216">
        <f>Scenarios!C81</f>
        <v>3.3468770984498839</v>
      </c>
    </row>
    <row r="148" spans="2:4">
      <c r="B148" s="212" t="str">
        <f>"+ PV(Equity Value realized at year "&amp;C141&amp;")"</f>
        <v>+ PV(Equity Value realized at year 3)</v>
      </c>
      <c r="C148" s="216">
        <f>Scenarios!C82</f>
        <v>28.443056690736793</v>
      </c>
    </row>
    <row r="149" spans="2:4">
      <c r="B149" s="80" t="s">
        <v>260</v>
      </c>
      <c r="C149" s="215">
        <f>Scenarios!C83</f>
        <v>31.789933789186676</v>
      </c>
      <c r="D149" s="300" t="str">
        <f>IF($D$11="","",C149*$E$25)</f>
        <v/>
      </c>
    </row>
    <row r="150" spans="2:4">
      <c r="B150" s="259" t="s">
        <v>416</v>
      </c>
      <c r="C150" s="298" t="str">
        <f>Market_currency</f>
        <v>HKD</v>
      </c>
      <c r="D150" s="298" t="str">
        <f>IF($D$11="","",D$13)</f>
        <v/>
      </c>
    </row>
    <row r="151" spans="2:4">
      <c r="B151" s="214" t="s">
        <v>262</v>
      </c>
      <c r="C151" s="92">
        <f>Scenarios!F83</f>
        <v>0.56285387825072142</v>
      </c>
    </row>
    <row r="153" spans="2:4">
      <c r="B153" s="210" t="s">
        <v>411</v>
      </c>
    </row>
    <row r="154" spans="2:4">
      <c r="B154" s="1" t="s">
        <v>410</v>
      </c>
      <c r="C154" s="297">
        <f>Scenarios!C90</f>
        <v>0.21740000000000001</v>
      </c>
    </row>
    <row r="155" spans="2:4">
      <c r="B155" s="212" t="str">
        <f>"PV("&amp;C141&amp;" yrs of Dividends)"</f>
        <v>PV(3 yrs of Dividends)</v>
      </c>
      <c r="C155" s="216">
        <f>Scenarios!C91</f>
        <v>4.1408363071787377</v>
      </c>
    </row>
    <row r="156" spans="2:4">
      <c r="B156" s="212" t="str">
        <f>"+ PV(Equity Value realized at year "&amp;C141&amp;")"</f>
        <v>+ PV(Equity Value realized at year 3)</v>
      </c>
      <c r="C156" s="216">
        <f>Scenarios!C92</f>
        <v>40.305387544954506</v>
      </c>
    </row>
    <row r="157" spans="2:4">
      <c r="B157" s="80" t="s">
        <v>260</v>
      </c>
      <c r="C157" s="215">
        <f>Scenarios!C93</f>
        <v>44.446223852133244</v>
      </c>
      <c r="D157" s="300" t="str">
        <f>IF($D$11="","",C157*$E$25)</f>
        <v/>
      </c>
    </row>
    <row r="158" spans="2:4">
      <c r="B158" s="259" t="s">
        <v>416</v>
      </c>
      <c r="C158" s="298" t="str">
        <f>Market_currency</f>
        <v>HKD</v>
      </c>
      <c r="D158" s="298" t="str">
        <f>IF($D$11="","",D$13)</f>
        <v/>
      </c>
    </row>
    <row r="159" spans="2:4">
      <c r="B159" s="214" t="s">
        <v>262</v>
      </c>
      <c r="C159" s="92">
        <f>Scenarios!F93</f>
        <v>0.38881614185779589</v>
      </c>
    </row>
    <row r="161" spans="2:4">
      <c r="B161" s="210" t="s">
        <v>400</v>
      </c>
    </row>
    <row r="162" spans="2:4">
      <c r="B162" s="1" t="s">
        <v>409</v>
      </c>
      <c r="C162" s="92">
        <f>Scenarios!C96</f>
        <v>7.4999999999999997E-2</v>
      </c>
    </row>
    <row r="163" spans="2:4">
      <c r="B163" s="212" t="str">
        <f>"PV("&amp;C141&amp;" yrs of Dividends)"</f>
        <v>PV(3 yrs of Dividends)</v>
      </c>
      <c r="C163" s="216">
        <f>Scenarios!C97</f>
        <v>5.2518274846947639</v>
      </c>
    </row>
    <row r="164" spans="2:4">
      <c r="B164" s="212" t="str">
        <f>"+ PV(Equity Value realized at year "&amp;C141&amp;")"</f>
        <v>+ PV(Equity Value realized at year 3)</v>
      </c>
      <c r="C164" s="216">
        <f>Scenarios!C98</f>
        <v>58.537962329888856</v>
      </c>
    </row>
    <row r="165" spans="2:4">
      <c r="B165" s="80" t="s">
        <v>401</v>
      </c>
      <c r="C165" s="215">
        <f>Scenarios!C99</f>
        <v>63.789789814583621</v>
      </c>
      <c r="D165" s="300" t="str">
        <f>IF($D$11="","",C165*$E$25)</f>
        <v/>
      </c>
    </row>
    <row r="166" spans="2:4">
      <c r="B166" s="259" t="s">
        <v>416</v>
      </c>
      <c r="C166" s="298" t="str">
        <f>Market_currency</f>
        <v>HKD</v>
      </c>
      <c r="D166" s="298" t="str">
        <f>IF($D$11="","",D$13)</f>
        <v/>
      </c>
    </row>
    <row r="167" spans="2:4">
      <c r="B167" s="214" t="s">
        <v>262</v>
      </c>
      <c r="C167" s="92">
        <f>Scenarios!F99</f>
        <v>0.12282109772332772</v>
      </c>
    </row>
    <row r="169" spans="2:4">
      <c r="B169" s="210" t="s">
        <v>432</v>
      </c>
    </row>
    <row r="170" spans="2:4">
      <c r="B170" s="1" t="s">
        <v>423</v>
      </c>
      <c r="C170" s="92">
        <f>F32</f>
        <v>0.1174</v>
      </c>
    </row>
    <row r="171" spans="2:4">
      <c r="B171" s="212" t="str">
        <f>"PV("&amp;C141&amp;" yrs of Dividends)"</f>
        <v>PV(3 yrs of Dividends)</v>
      </c>
      <c r="C171" s="216">
        <f>Scenarios!C103</f>
        <v>4.8723130143249227</v>
      </c>
    </row>
    <row r="172" spans="2:4">
      <c r="B172" s="212" t="str">
        <f>"+ PV(Equity Value realized at year "&amp;C141&amp;")"</f>
        <v>+ PV(Equity Value realized at year 3)</v>
      </c>
      <c r="C172" s="216">
        <f>Scenarios!C104</f>
        <v>52.123910754309691</v>
      </c>
    </row>
    <row r="173" spans="2:4">
      <c r="B173" s="80" t="s">
        <v>401</v>
      </c>
      <c r="C173" s="215">
        <f>Scenarios!C105</f>
        <v>56.996223768634614</v>
      </c>
      <c r="D173" s="300" t="str">
        <f>IF($D$11="","",C173*$E$25)</f>
        <v/>
      </c>
    </row>
    <row r="174" spans="2:4">
      <c r="B174" s="259" t="s">
        <v>416</v>
      </c>
      <c r="C174" s="298" t="str">
        <f>Market_currency</f>
        <v>HKD</v>
      </c>
      <c r="D174" s="298" t="str">
        <f>IF($D$11="","",D$13)</f>
        <v/>
      </c>
    </row>
    <row r="175" spans="2:4">
      <c r="B175" s="214" t="s">
        <v>262</v>
      </c>
      <c r="C175" s="92">
        <f>Scenarios!F105</f>
        <v>0.21588318432495979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159</v>
      </c>
      <c r="C9" s="351">
        <v>48272283</v>
      </c>
      <c r="D9" s="351">
        <v>15798284</v>
      </c>
      <c r="E9" s="351">
        <v>19873379</v>
      </c>
      <c r="F9" s="351">
        <v>20561728</v>
      </c>
      <c r="G9" s="351">
        <v>18098320</v>
      </c>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371</v>
      </c>
      <c r="C22" s="351">
        <v>5154661132</v>
      </c>
      <c r="D22" s="351">
        <v>2777567140</v>
      </c>
      <c r="E22" s="351">
        <v>4878771322</v>
      </c>
      <c r="F22" s="351">
        <v>6043111455</v>
      </c>
      <c r="G22" s="351">
        <v>4953422362</v>
      </c>
      <c r="H22" s="351"/>
      <c r="I22" s="351"/>
      <c r="J22" s="351"/>
      <c r="K22" s="351"/>
      <c r="L22" s="351"/>
      <c r="M22" s="351"/>
    </row>
    <row r="23" spans="2:13">
      <c r="B23" s="27" t="s">
        <v>373</v>
      </c>
      <c r="C23" s="351">
        <v>-7421783375</v>
      </c>
      <c r="D23" s="351">
        <v>-3462971412</v>
      </c>
      <c r="E23" s="351">
        <v>-2199108158</v>
      </c>
      <c r="F23" s="351">
        <v>-10249763562</v>
      </c>
      <c r="G23" s="351">
        <v>-1487738165</v>
      </c>
      <c r="H23" s="351"/>
      <c r="I23" s="351"/>
      <c r="J23" s="351"/>
      <c r="K23" s="351"/>
      <c r="L23" s="351"/>
      <c r="M23" s="351"/>
    </row>
    <row r="24" spans="2:13">
      <c r="B24" s="27" t="s">
        <v>372</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2.0195252845116403</v>
      </c>
      <c r="D25" s="39">
        <f>2/Exchange_Rate</f>
        <v>1.8359320768287637</v>
      </c>
      <c r="E25" s="39">
        <f>1.3/Exchange_Rate</f>
        <v>1.1933558499386965</v>
      </c>
      <c r="F25" s="39">
        <f>1.1/Exchange_Rate</f>
        <v>1.0097626422558201</v>
      </c>
      <c r="G25" s="39">
        <f>0.75/Exchange_Rate</f>
        <v>0.68847452881078641</v>
      </c>
      <c r="H25" s="39"/>
      <c r="I25" s="39"/>
      <c r="J25" s="39"/>
      <c r="K25" s="39"/>
      <c r="L25" s="39"/>
      <c r="M25" s="39"/>
    </row>
    <row r="27" spans="2:13">
      <c r="B27" s="16" t="s">
        <v>28</v>
      </c>
      <c r="C27" s="97" t="s">
        <v>462</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172</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2.0195252845116403</v>
      </c>
      <c r="D65" s="73">
        <f t="shared" ref="D65:M65" si="33">IF(D$4="","",D25)</f>
        <v>1.8359320768287637</v>
      </c>
      <c r="E65" s="73">
        <f t="shared" si="33"/>
        <v>1.1933558499386965</v>
      </c>
      <c r="F65" s="73">
        <f t="shared" si="33"/>
        <v>1.0097626422558201</v>
      </c>
      <c r="G65" s="73">
        <f t="shared" si="33"/>
        <v>0.68847452881078641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177</v>
      </c>
      <c r="G6" s="19">
        <v>0</v>
      </c>
      <c r="H6" s="261">
        <v>0.6</v>
      </c>
    </row>
    <row r="7" spans="2:8" ht="15" customHeight="1">
      <c r="B7" s="1" t="s">
        <v>69</v>
      </c>
      <c r="C7" s="19">
        <v>0</v>
      </c>
      <c r="D7" s="261">
        <v>0.6</v>
      </c>
      <c r="E7" s="25"/>
      <c r="F7" s="4" t="s">
        <v>178</v>
      </c>
      <c r="G7" s="19">
        <v>2021804089</v>
      </c>
      <c r="H7" s="261">
        <v>0.6</v>
      </c>
    </row>
    <row r="8" spans="2:8" ht="15" customHeight="1">
      <c r="B8" s="1" t="s">
        <v>173</v>
      </c>
      <c r="C8" s="19">
        <v>0</v>
      </c>
      <c r="D8" s="261">
        <v>0.6</v>
      </c>
      <c r="E8" s="25"/>
      <c r="F8" s="1" t="s">
        <v>179</v>
      </c>
      <c r="G8" s="19">
        <v>0</v>
      </c>
      <c r="H8" s="261">
        <v>0.6</v>
      </c>
    </row>
    <row r="9" spans="2:8" ht="15" customHeight="1">
      <c r="B9" s="4" t="s">
        <v>25</v>
      </c>
      <c r="C9" s="19">
        <v>241896760</v>
      </c>
      <c r="D9" s="261">
        <v>0.1</v>
      </c>
      <c r="E9" s="25"/>
      <c r="F9" s="4" t="s">
        <v>180</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2498379750</v>
      </c>
      <c r="H17" s="261">
        <v>0.6</v>
      </c>
    </row>
    <row r="18" spans="2:8" ht="15" customHeight="1">
      <c r="B18" s="4" t="s">
        <v>173</v>
      </c>
      <c r="C18" s="19">
        <v>0</v>
      </c>
      <c r="D18" s="261">
        <v>0.6</v>
      </c>
      <c r="F18" s="4" t="s">
        <v>181</v>
      </c>
      <c r="G18" s="19">
        <v>0</v>
      </c>
      <c r="H18" s="261">
        <v>0.1</v>
      </c>
    </row>
    <row r="19" spans="2:8" ht="15" customHeight="1">
      <c r="B19" s="4" t="s">
        <v>26</v>
      </c>
      <c r="C19" s="19">
        <f>11817650634+630874619+115672625+85702449</f>
        <v>12649900327</v>
      </c>
      <c r="D19" s="261">
        <v>0.1</v>
      </c>
      <c r="F19" s="4" t="s">
        <v>182</v>
      </c>
      <c r="G19" s="19">
        <v>391873803</v>
      </c>
      <c r="H19" s="261">
        <v>0.1</v>
      </c>
    </row>
    <row r="20" spans="2:8" ht="15" customHeight="1">
      <c r="B20" s="4" t="s">
        <v>18</v>
      </c>
      <c r="C20" s="19">
        <v>0</v>
      </c>
      <c r="D20" s="261">
        <v>0.05</v>
      </c>
      <c r="F20" s="4" t="s">
        <v>179</v>
      </c>
      <c r="G20" s="19">
        <v>0</v>
      </c>
      <c r="H20" s="261">
        <v>0.2</v>
      </c>
    </row>
    <row r="21" spans="2:8" ht="15" customHeight="1">
      <c r="B21" s="4" t="s">
        <v>19</v>
      </c>
      <c r="C21" s="19">
        <v>2684120584</v>
      </c>
      <c r="D21" s="261">
        <v>0.05</v>
      </c>
      <c r="F21" s="1" t="s">
        <v>180</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244</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203</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28488416376</v>
      </c>
      <c r="H35" s="200">
        <f>D12+D24</f>
        <v>5119255394.3000002</v>
      </c>
    </row>
    <row r="36" spans="2:8" ht="15" customHeight="1">
      <c r="B36" s="4" t="s">
        <v>13</v>
      </c>
      <c r="C36" s="19">
        <v>0</v>
      </c>
      <c r="F36" s="190" t="s">
        <v>197</v>
      </c>
      <c r="G36" s="191">
        <f>C4+C15</f>
        <v>185704725</v>
      </c>
      <c r="H36" s="195"/>
    </row>
    <row r="37" spans="2:8" ht="15" customHeight="1">
      <c r="B37" s="4" t="s">
        <v>14</v>
      </c>
      <c r="C37" s="19">
        <v>68236710</v>
      </c>
      <c r="F37" s="190" t="s">
        <v>198</v>
      </c>
      <c r="G37" s="191">
        <f>C6</f>
        <v>3576387537</v>
      </c>
      <c r="H37" s="195"/>
    </row>
    <row r="38" spans="2:8" ht="15" customHeight="1">
      <c r="B38" s="4" t="s">
        <v>15</v>
      </c>
      <c r="C38" s="19">
        <v>0</v>
      </c>
      <c r="F38" s="190" t="s">
        <v>199</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204</v>
      </c>
      <c r="C40" s="81">
        <f>SUM(C36:C39)</f>
        <v>68236710</v>
      </c>
      <c r="F40" s="199" t="s">
        <v>138</v>
      </c>
      <c r="G40" s="193">
        <f>G12+G24</f>
        <v>22931969456</v>
      </c>
      <c r="H40" s="200">
        <f>H12+H24</f>
        <v>18936307181.899998</v>
      </c>
    </row>
    <row r="41" spans="2:8" ht="15" customHeight="1">
      <c r="B41" s="4" t="s">
        <v>17</v>
      </c>
      <c r="C41" s="21">
        <f>C42-C40</f>
        <v>3970275812</v>
      </c>
      <c r="F41" s="190" t="s">
        <v>191</v>
      </c>
      <c r="G41" s="191">
        <f>C70</f>
        <v>17978772896</v>
      </c>
      <c r="H41" s="200">
        <f>H40-H42</f>
        <v>16180895606.399998</v>
      </c>
    </row>
    <row r="42" spans="2:8" ht="15" customHeight="1">
      <c r="B42" s="83" t="s">
        <v>22</v>
      </c>
      <c r="C42" s="84">
        <v>4038512522</v>
      </c>
      <c r="F42" s="201" t="s">
        <v>192</v>
      </c>
      <c r="G42" s="202">
        <f>C82</f>
        <v>4953196560</v>
      </c>
      <c r="H42" s="203">
        <f>D82</f>
        <v>2755411575.5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29060384527</v>
      </c>
      <c r="D46" s="76">
        <f>H29</f>
        <v>1695561271.1999969</v>
      </c>
      <c r="F46" s="253"/>
    </row>
    <row r="47" spans="2:8" ht="15" customHeight="1">
      <c r="B47" s="1" t="str">
        <f>"Equity per share ("&amp;Market_currency&amp;")"</f>
        <v>Equity per share (HKD)</v>
      </c>
      <c r="C47" s="147">
        <f>C46*H1/Common_Shares*Exchange_Rate</f>
        <v>23.205862778665765</v>
      </c>
      <c r="D47" s="147">
        <f>D46*H1/Common_Shares*Exchange_Rate</f>
        <v>1.3539725242014591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176</v>
      </c>
      <c r="C51" s="181"/>
      <c r="D51" s="92">
        <f>G29/G32</f>
        <v>0.56515298469260233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0.1361278920921285</v>
      </c>
      <c r="D54" s="92">
        <f>Normalized_FCF!G8/G35</f>
        <v>0.15753043334415495</v>
      </c>
      <c r="F54" s="253"/>
    </row>
    <row r="55" spans="2:8" ht="15" customHeight="1">
      <c r="B55" s="1" t="s">
        <v>141</v>
      </c>
      <c r="C55" s="92">
        <f>Normalized_FCF!C11/G40</f>
        <v>0</v>
      </c>
      <c r="D55" s="92">
        <f>Normalized_FCF!G11/G40</f>
        <v>2.1050212495974641E-3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274</v>
      </c>
      <c r="C61" s="235" t="s">
        <v>137</v>
      </c>
      <c r="D61" s="197" t="s">
        <v>95</v>
      </c>
      <c r="F61" s="253"/>
    </row>
    <row r="62" spans="2:8" ht="15" customHeight="1">
      <c r="B62" s="1" t="s">
        <v>245</v>
      </c>
      <c r="C62" s="92">
        <f>IF(G28&lt;=0,0,G28/G29)</f>
        <v>2.749989365273205E-2</v>
      </c>
      <c r="D62" s="92">
        <f>G28/G29</f>
        <v>2.749989365273205E-2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17978772896</v>
      </c>
      <c r="D66" s="76">
        <f>C66-D75</f>
        <v>12815415762.773697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17978772896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-2533755620.0346303</v>
      </c>
      <c r="D73" s="349">
        <f>(Normalized_FCF!C25+Normalized_FCF!C35-Normalized_FCF!C91)/12</f>
        <v>-2581678566.6131511</v>
      </c>
      <c r="F73" s="1" t="s">
        <v>351</v>
      </c>
    </row>
    <row r="74" spans="2:6" ht="15" customHeight="1">
      <c r="B74" s="257" t="s">
        <v>321</v>
      </c>
      <c r="C74" s="258">
        <f>-$C$66/C73</f>
        <v>7.0957012404196558</v>
      </c>
      <c r="D74" s="258">
        <f>-$C$66/D73</f>
        <v>6.9639858069496112</v>
      </c>
      <c r="F74" s="253" t="s">
        <v>319</v>
      </c>
    </row>
    <row r="75" spans="2:6" ht="15" customHeight="1">
      <c r="B75" s="80" t="s">
        <v>320</v>
      </c>
      <c r="C75" s="320"/>
      <c r="D75" s="321">
        <f>MAX(-D73*D76,G5)</f>
        <v>5163357133.2263021</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4520183839</v>
      </c>
      <c r="D79" s="76">
        <f>G7*H7+G17*H17</f>
        <v>2712110303.3999996</v>
      </c>
      <c r="F79" s="253"/>
    </row>
    <row r="80" spans="2:6" ht="15" customHeight="1">
      <c r="B80" s="105" t="s">
        <v>182</v>
      </c>
      <c r="C80" s="20">
        <f>G19</f>
        <v>391873803</v>
      </c>
      <c r="D80" s="76">
        <f>G19*H19</f>
        <v>39187380.300000004</v>
      </c>
      <c r="F80" s="253"/>
    </row>
    <row r="81" spans="2:8" ht="15" customHeight="1">
      <c r="B81" s="105" t="s">
        <v>180</v>
      </c>
      <c r="C81" s="20">
        <f>G9+G21</f>
        <v>41138918</v>
      </c>
      <c r="D81" s="76">
        <f>G9*H9+G21*H21</f>
        <v>4113891.8000000003</v>
      </c>
      <c r="F81" s="253"/>
    </row>
    <row r="82" spans="2:8" ht="15" customHeight="1">
      <c r="B82" s="80" t="s">
        <v>189</v>
      </c>
      <c r="C82" s="81">
        <f>SUM(C79:C81)</f>
        <v>4953196560</v>
      </c>
      <c r="D82" s="81">
        <f>SUM(D79:D81)</f>
        <v>2755411575.5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-310900807.93508434</v>
      </c>
      <c r="D86" s="223">
        <f>C86*scaling_factor/Common_Shares</f>
        <v>-0.22790026385481002</v>
      </c>
      <c r="E86" s="240" t="str">
        <f>Market_currency</f>
        <v>HKD</v>
      </c>
    </row>
    <row r="87" spans="2:8" ht="15" customHeight="1">
      <c r="B87" s="238" t="s">
        <v>287</v>
      </c>
      <c r="C87" s="76">
        <f>DCF!C8*Exchange_Rate</f>
        <v>13960664367.180706</v>
      </c>
      <c r="D87" s="223">
        <f>C87*scaling_factor/Common_Shares</f>
        <v>10.233614746775599</v>
      </c>
      <c r="E87" s="240" t="str">
        <f>Market_currency</f>
        <v>HKD</v>
      </c>
    </row>
    <row r="88" spans="2:8" ht="15" customHeight="1">
      <c r="B88" s="239" t="s">
        <v>189</v>
      </c>
      <c r="C88" s="76">
        <f>DCF!C9*Exchange_Rate</f>
        <v>3001648710.5116315</v>
      </c>
      <c r="D88" s="223">
        <f>C88*scaling_factor/Common_Shares</f>
        <v>2.2003047778115947</v>
      </c>
      <c r="E88" s="240" t="str">
        <f>Market_currency</f>
        <v>HKD</v>
      </c>
    </row>
    <row r="89" spans="2:8" ht="15" customHeight="1">
      <c r="B89" s="80" t="s">
        <v>291</v>
      </c>
      <c r="C89" s="180">
        <f>SUM(C86:C88)</f>
        <v>16651412269.757252</v>
      </c>
      <c r="D89" s="242">
        <f>SUM(D86:D88)</f>
        <v>12.206019260732383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155294610.85333782</v>
      </c>
      <c r="E12" s="268"/>
      <c r="G12" s="328">
        <f>G50</f>
        <v>155294610.85333782</v>
      </c>
      <c r="H12" s="328">
        <f t="shared" ref="H12:Q12" si="6">H50</f>
        <v>128996473.47697297</v>
      </c>
      <c r="I12" s="328">
        <f t="shared" si="6"/>
        <v>122773283.52095926</v>
      </c>
      <c r="J12" s="328">
        <f t="shared" si="6"/>
        <v>67966255.720139146</v>
      </c>
      <c r="K12" s="328">
        <f t="shared" si="6"/>
        <v>136834276.07164118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4033362681.1610923</v>
      </c>
      <c r="E13" s="268"/>
      <c r="G13" s="329">
        <f>IF(G$4="","",SUM(G8:G12))</f>
        <v>4691359470.8533382</v>
      </c>
      <c r="H13" s="329">
        <f t="shared" ref="H13:Q13" si="7">IF(H$4="","",SUM(H8:H12))</f>
        <v>4549664265.4769726</v>
      </c>
      <c r="I13" s="329">
        <f t="shared" si="7"/>
        <v>3869726491.5209594</v>
      </c>
      <c r="J13" s="329">
        <f t="shared" si="7"/>
        <v>3025057255.720139</v>
      </c>
      <c r="K13" s="329">
        <f t="shared" si="7"/>
        <v>2470894148.071641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-1008340670.2902731</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2878387446.3991423</v>
      </c>
      <c r="D16" s="61"/>
      <c r="E16" s="276"/>
      <c r="F16" s="61"/>
      <c r="G16" s="329">
        <f>IF(G$4="","",SUM(G13:G15))</f>
        <v>3154850328.8533382</v>
      </c>
      <c r="H16" s="329">
        <f t="shared" ref="H16:Q16" si="8">IF(H$4="","",SUM(H13:H15))</f>
        <v>3071108369.4769726</v>
      </c>
      <c r="I16" s="329">
        <f t="shared" si="8"/>
        <v>2574213798.5209594</v>
      </c>
      <c r="J16" s="329">
        <f t="shared" si="8"/>
        <v>1701537600.720139</v>
      </c>
      <c r="K16" s="329">
        <f t="shared" si="8"/>
        <v>1432668380.071641</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2878387446.3991423</v>
      </c>
      <c r="D19" s="27"/>
      <c r="E19" s="265"/>
      <c r="F19" s="27"/>
      <c r="G19" s="334">
        <f>IF(G$4="","",G16+G17)</f>
        <v>3154850328.8533382</v>
      </c>
      <c r="H19" s="334">
        <f t="shared" ref="H19:Q19" si="9">IF(H$4="","",H16+H17)</f>
        <v>3071108369.4769726</v>
      </c>
      <c r="I19" s="334">
        <f t="shared" si="9"/>
        <v>2574213798.5209594</v>
      </c>
      <c r="J19" s="334">
        <f t="shared" si="9"/>
        <v>1701537600.720139</v>
      </c>
      <c r="K19" s="334">
        <f t="shared" si="9"/>
        <v>1432668380.071641</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0.69237393830888427</v>
      </c>
      <c r="D28" s="26"/>
      <c r="E28" s="266" t="s">
        <v>333</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333</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-1522888768.25</v>
      </c>
      <c r="E33" s="266" t="s">
        <v>333</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333</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0.29622891245790989</v>
      </c>
      <c r="H43" s="6">
        <f t="shared" si="18"/>
        <v>0.30732122117441918</v>
      </c>
      <c r="I43" s="6">
        <f t="shared" si="18"/>
        <v>0.31046633673786939</v>
      </c>
      <c r="J43" s="6">
        <f t="shared" si="18"/>
        <v>0.40420114121407563</v>
      </c>
      <c r="K43" s="6">
        <f t="shared" si="18"/>
        <v>0.36933209773968056</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177131664.85333782</v>
      </c>
      <c r="E48" s="268"/>
      <c r="G48" s="337">
        <f>IFERROR(IF(G$4="","",($C$48/$C$49)*G49),0)</f>
        <v>177131664.85333782</v>
      </c>
      <c r="H48" s="337">
        <f t="shared" ref="H48:Q48" si="19">IFERROR(IF(H$4="","",($C$48/$C$49)*H49),0)</f>
        <v>145427063.47697297</v>
      </c>
      <c r="I48" s="337">
        <f t="shared" si="19"/>
        <v>132011083.52095926</v>
      </c>
      <c r="J48" s="337">
        <f t="shared" si="19"/>
        <v>90651622.720139146</v>
      </c>
      <c r="K48" s="337">
        <f t="shared" si="19"/>
        <v>150496958.07164118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155294610.85333782</v>
      </c>
      <c r="E50" s="268"/>
      <c r="G50" s="329">
        <f>IF(G$4="","",(G47+G48))</f>
        <v>155294610.85333782</v>
      </c>
      <c r="H50" s="329">
        <f t="shared" ref="H50:Q50" si="20">IF(H$4="","",(H47+H48))</f>
        <v>128996473.47697297</v>
      </c>
      <c r="I50" s="329">
        <f t="shared" si="20"/>
        <v>122773283.52095926</v>
      </c>
      <c r="J50" s="329">
        <f t="shared" si="20"/>
        <v>67966255.720139146</v>
      </c>
      <c r="K50" s="329">
        <f t="shared" si="20"/>
        <v>136834276.07164118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3.430552260533988E-2</v>
      </c>
      <c r="E53" s="265" t="s">
        <v>335</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336</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4.8373589841801271E-3</v>
      </c>
      <c r="D80" s="27"/>
      <c r="E80" s="265"/>
      <c r="F80" s="27"/>
      <c r="G80" s="6">
        <f t="shared" ref="G80:Q80" si="31">IF(G$4="","",ABS(G12/G$4))</f>
        <v>4.8321436237907123E-3</v>
      </c>
      <c r="H80" s="6">
        <f t="shared" si="31"/>
        <v>3.8011105162853776E-3</v>
      </c>
      <c r="I80" s="6">
        <f t="shared" si="31"/>
        <v>3.8162048112874662E-3</v>
      </c>
      <c r="J80" s="6">
        <f t="shared" si="31"/>
        <v>2.2530146918360301E-3</v>
      </c>
      <c r="K80" s="6">
        <f t="shared" si="31"/>
        <v>4.9292399490904262E-3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0.12563747766236216</v>
      </c>
      <c r="D81" s="27"/>
      <c r="E81" s="265"/>
      <c r="F81" s="27"/>
      <c r="G81" s="65">
        <f t="shared" ref="G81:Q81" si="32">IF(G$4="","",G13/G$4)</f>
        <v>0.14597623593907791</v>
      </c>
      <c r="H81" s="65">
        <f t="shared" si="32"/>
        <v>0.13406394933857943</v>
      </c>
      <c r="I81" s="65">
        <f t="shared" si="32"/>
        <v>0.12028405880981254</v>
      </c>
      <c r="J81" s="65">
        <f t="shared" si="32"/>
        <v>0.10027767998352671</v>
      </c>
      <c r="K81" s="65">
        <f t="shared" si="32"/>
        <v>8.9010082081127831E-2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3.1409369415590541E-2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8.9660505907316973E-2</v>
      </c>
      <c r="D84" s="27"/>
      <c r="E84" s="265"/>
      <c r="F84" s="27"/>
      <c r="G84" s="65">
        <f t="shared" ref="G84:Q84" si="35">IF(G$4="","",ABS(G16/G$4))</f>
        <v>9.8166251982690939E-2</v>
      </c>
      <c r="H84" s="65">
        <f t="shared" si="35"/>
        <v>9.0495670193300334E-2</v>
      </c>
      <c r="I84" s="65">
        <f t="shared" si="35"/>
        <v>8.0015185726634172E-2</v>
      </c>
      <c r="J84" s="65">
        <f t="shared" si="35"/>
        <v>5.6404301995379262E-2</v>
      </c>
      <c r="K84" s="65">
        <f t="shared" si="35"/>
        <v>5.1609628929161169E-2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8.9660505907316973E-2</v>
      </c>
      <c r="D87" s="75"/>
      <c r="E87" s="265"/>
      <c r="F87" s="75"/>
      <c r="G87" s="65">
        <f t="shared" ref="G87:Q87" si="36">IF(G$4="","",ABS(G19/G$4))</f>
        <v>9.8166251982690939E-2</v>
      </c>
      <c r="H87" s="65">
        <f t="shared" si="36"/>
        <v>9.0495670193300334E-2</v>
      </c>
      <c r="I87" s="65">
        <f t="shared" si="36"/>
        <v>8.0015185726634172E-2</v>
      </c>
      <c r="J87" s="65">
        <f t="shared" si="36"/>
        <v>5.6404301995379262E-2</v>
      </c>
      <c r="K87" s="65">
        <f t="shared" si="36"/>
        <v>5.1609628929161169E-2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2.0195252845116403</v>
      </c>
      <c r="E90" s="268"/>
      <c r="G90" s="112">
        <f>Data!C65</f>
        <v>2.0195252845116403</v>
      </c>
      <c r="H90" s="112">
        <f>Data!D65</f>
        <v>1.8359320768287637</v>
      </c>
      <c r="I90" s="112">
        <f>Data!E65</f>
        <v>1.1933558499386965</v>
      </c>
      <c r="J90" s="112">
        <f>Data!F65</f>
        <v>1.0097626422558201</v>
      </c>
      <c r="K90" s="112">
        <f>Data!G65</f>
        <v>0.68847452881078641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2755029906.415566</v>
      </c>
      <c r="E91" s="268"/>
      <c r="G91" s="74">
        <f t="shared" ref="G91:Q91" si="37">IF(G$4="","",G90*Common_Shares/scaling_factor)</f>
        <v>2755029906.415566</v>
      </c>
      <c r="H91" s="74">
        <f t="shared" si="37"/>
        <v>2504572642.1959686</v>
      </c>
      <c r="I91" s="74">
        <f t="shared" si="37"/>
        <v>1627972217.4273798</v>
      </c>
      <c r="J91" s="74">
        <f t="shared" si="37"/>
        <v>1377514953.207783</v>
      </c>
      <c r="K91" s="74">
        <f t="shared" si="37"/>
        <v>939214740.82348824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0.95714352487956522</v>
      </c>
      <c r="E92" s="268"/>
      <c r="G92" s="170">
        <f t="shared" ref="G92:Q92" si="38">IF(G$4="","",G90/(G19*scaling_factor/Common_Shares))</f>
        <v>0.87326802201006759</v>
      </c>
      <c r="H92" s="170">
        <f t="shared" si="38"/>
        <v>0.81552727578366502</v>
      </c>
      <c r="I92" s="170">
        <f t="shared" si="38"/>
        <v>0.63241531001144802</v>
      </c>
      <c r="J92" s="170">
        <f t="shared" si="38"/>
        <v>0.80957068043913893</v>
      </c>
      <c r="K92" s="170">
        <f t="shared" si="38"/>
        <v>0.65557023096756173</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3.7329487698921263E-2</v>
      </c>
      <c r="E93" s="268"/>
      <c r="G93" s="23">
        <f t="shared" ref="G93:Q93" si="39">IF(G$4="","",G90/Market_Price)</f>
        <v>3.7329487698921263E-2</v>
      </c>
      <c r="H93" s="23">
        <f t="shared" si="39"/>
        <v>3.3935897908110232E-2</v>
      </c>
      <c r="I93" s="23">
        <f t="shared" si="39"/>
        <v>2.2058333640271655E-2</v>
      </c>
      <c r="J93" s="23">
        <f t="shared" si="39"/>
        <v>1.8664743849460631E-2</v>
      </c>
      <c r="K93" s="23">
        <f t="shared" si="39"/>
        <v>1.2725961715541339E-2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-1.0781421032572958E-3</v>
      </c>
      <c r="D96" s="27"/>
      <c r="E96" s="26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-0.14025716719860715</v>
      </c>
      <c r="D97" s="27"/>
      <c r="E97" s="265"/>
      <c r="F97" s="27"/>
      <c r="G97" s="6">
        <f t="shared" ref="G97:Q97" si="41">IF(H5="","",G13/H13-1)</f>
        <v>3.114410143437496E-2</v>
      </c>
      <c r="H97" s="6">
        <f t="shared" si="41"/>
        <v>0.17570693315040198</v>
      </c>
      <c r="I97" s="6">
        <f t="shared" si="41"/>
        <v>0.27922421441895651</v>
      </c>
      <c r="J97" s="6">
        <f t="shared" si="41"/>
        <v>0.22427634469124613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51420385832</v>
      </c>
      <c r="D101" s="26"/>
      <c r="E101" s="269"/>
      <c r="F101" s="26"/>
      <c r="G101" s="333">
        <f t="shared" ref="G101:Q101" si="42">IF(G$4="","",G105+G104)</f>
        <v>51420385832</v>
      </c>
      <c r="H101" s="333">
        <f t="shared" si="42"/>
        <v>49256011349</v>
      </c>
      <c r="I101" s="333">
        <f t="shared" si="42"/>
        <v>50311699796</v>
      </c>
      <c r="J101" s="333">
        <f t="shared" si="42"/>
        <v>46563004491</v>
      </c>
      <c r="K101" s="333">
        <f t="shared" si="42"/>
        <v>41514185835</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185704725</v>
      </c>
      <c r="D102" s="89"/>
      <c r="E102" s="270"/>
      <c r="F102" s="89"/>
      <c r="G102" s="346">
        <f>IF(G$4="","",Data!D77)</f>
        <v>100391321</v>
      </c>
      <c r="H102" s="346">
        <f>IF(H$4="","",Data!E77)</f>
        <v>124099728</v>
      </c>
      <c r="I102" s="346">
        <f>IF(I$4="","",Data!F77)</f>
        <v>124929816</v>
      </c>
      <c r="J102" s="346">
        <f>IF(J$4="","",Data!G77)</f>
        <v>125155008</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3576387537</v>
      </c>
      <c r="D103" s="89"/>
      <c r="E103" s="270"/>
      <c r="F103" s="89"/>
      <c r="G103" s="346">
        <f>IF(G$4="","",Data!D78)</f>
        <v>3539828305</v>
      </c>
      <c r="H103" s="346">
        <f>IF(H$4="","",Data!E78)</f>
        <v>4152187132</v>
      </c>
      <c r="I103" s="346">
        <f>IF(I$4="","",Data!F78)</f>
        <v>3492997857</v>
      </c>
      <c r="J103" s="346">
        <f>IF(J$4="","",Data!G78)</f>
        <v>3281033526</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21560843821</v>
      </c>
      <c r="D104" s="26"/>
      <c r="E104" s="269"/>
      <c r="F104" s="26"/>
      <c r="G104" s="333">
        <f>Data!C79</f>
        <v>21560843821</v>
      </c>
      <c r="H104" s="333">
        <f>Data!D79</f>
        <v>21001264174</v>
      </c>
      <c r="I104" s="333">
        <f>Data!E79</f>
        <v>24039387261</v>
      </c>
      <c r="J104" s="333">
        <f>Data!F79</f>
        <v>22769313149</v>
      </c>
      <c r="K104" s="333">
        <f>Data!G79</f>
        <v>20146133669</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29859542011</v>
      </c>
      <c r="D105" s="26"/>
      <c r="E105" s="269"/>
      <c r="F105" s="26"/>
      <c r="G105" s="333">
        <f>Data!C80</f>
        <v>29859542011</v>
      </c>
      <c r="H105" s="333">
        <f>Data!D80</f>
        <v>28254747175</v>
      </c>
      <c r="I105" s="333">
        <f>Data!E80</f>
        <v>26272312535</v>
      </c>
      <c r="J105" s="333">
        <f>Data!F80</f>
        <v>23793691342</v>
      </c>
      <c r="K105" s="333">
        <f>Data!G80</f>
        <v>21368052166</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5.7846206957679613E-3</v>
      </c>
      <c r="D108" s="26"/>
      <c r="E108" s="26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0.11140290244427979</v>
      </c>
      <c r="D109" s="26"/>
      <c r="E109" s="26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1.1475773379531717</v>
      </c>
      <c r="H113" s="295">
        <f>IF(H$4="","",Data!D$22/Data!D15)</f>
        <v>0.63878566471951048</v>
      </c>
      <c r="I113" s="295">
        <f>IF(I$4="","",Data!E$22/Data!E15)</f>
        <v>1.2822939471944179</v>
      </c>
      <c r="J113" s="295">
        <f>IF(J$4="","",Data!F$22/Data!F15)</f>
        <v>1.8558534606930408</v>
      </c>
      <c r="K113" s="295">
        <f>IF(K$4="","",Data!G$22/Data!G15)</f>
        <v>2.1287016617311294</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1.6338845253155045</v>
      </c>
      <c r="H114" s="295">
        <f>IF(H$4="","",Data!D$22/H19)</f>
        <v>0.90441847236834427</v>
      </c>
      <c r="I114" s="295">
        <f>IF(I$4="","",Data!E$22/I19)</f>
        <v>1.8952471332424476</v>
      </c>
      <c r="J114" s="295">
        <f>IF(J$4="","",Data!F$22/J19)</f>
        <v>3.5515591618089331</v>
      </c>
      <c r="K114" s="295">
        <f>IF(K$4="","",Data!G$22/K19)</f>
        <v>3.4574800637062308</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0.12563747766236216</v>
      </c>
      <c r="E117" s="268"/>
      <c r="G117" s="23">
        <f t="shared" ref="G117:Q117" si="45">IF(G4="","",IF(valuation_method="DDM",G13/(G4+G12),G81))</f>
        <v>0.14597623593907791</v>
      </c>
      <c r="H117" s="23">
        <f t="shared" si="45"/>
        <v>0.13406394933857943</v>
      </c>
      <c r="I117" s="23">
        <f t="shared" si="45"/>
        <v>0.12028405880981254</v>
      </c>
      <c r="J117" s="23">
        <f t="shared" si="45"/>
        <v>0.10027767998352671</v>
      </c>
      <c r="K117" s="23">
        <f t="shared" si="45"/>
        <v>8.9010082081127831E-2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0.62432788948992113</v>
      </c>
      <c r="E118" s="268"/>
      <c r="G118" s="42">
        <f t="shared" ref="G118:Q118" si="46">IF(G4="","",IF(valuation_method="DDM",(G4+G12)/G101,G4/G101))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1.7220755031358876</v>
      </c>
      <c r="D119" s="11"/>
      <c r="E119" s="27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0.13507784813562232</v>
      </c>
      <c r="D120" s="103"/>
      <c r="E120" s="271"/>
      <c r="F120" s="103"/>
      <c r="G120" s="102">
        <f>IF(G$4="","",G13/G105)</f>
        <v>0.15711424740289323</v>
      </c>
      <c r="H120" s="102">
        <f t="shared" ref="H120:Q120" si="48">IF(H$4="","",H13/H105)</f>
        <v>0.16102300393268243</v>
      </c>
      <c r="I120" s="102">
        <f t="shared" si="48"/>
        <v>0.14729295285162683</v>
      </c>
      <c r="J120" s="102">
        <f t="shared" si="48"/>
        <v>0.12713694618625179</v>
      </c>
      <c r="K120" s="102">
        <f t="shared" si="48"/>
        <v>0.11563497359872746</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2.2985058591675895</v>
      </c>
      <c r="D124" s="27"/>
      <c r="E124" s="265"/>
      <c r="F124" s="27"/>
      <c r="G124" s="177">
        <f t="shared" ref="G124:Q124" si="49">IF(G$4="","",G16*$C$3/Common_Shares*Exchange_Rate)</f>
        <v>2.5192723706246478</v>
      </c>
      <c r="H124" s="177">
        <f t="shared" si="49"/>
        <v>2.4524011144546196</v>
      </c>
      <c r="I124" s="177">
        <f t="shared" si="49"/>
        <v>2.0556112089956637</v>
      </c>
      <c r="J124" s="177">
        <f t="shared" si="49"/>
        <v>1.3587448589458828</v>
      </c>
      <c r="K124" s="177">
        <f t="shared" si="49"/>
        <v>1.1440421858281584</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4.2486245086277068E-2</v>
      </c>
      <c r="D125" s="27"/>
      <c r="E125" s="265"/>
      <c r="F125" s="27"/>
      <c r="G125" s="77">
        <f t="shared" ref="G125" si="50">IF(G$4="","",G124/Market_Price)</f>
        <v>4.6566956943154304E-2</v>
      </c>
      <c r="H125" s="77">
        <f t="shared" ref="H125" si="51">IF(H$4="","",H124/Market_Price)</f>
        <v>4.5330889361453228E-2</v>
      </c>
      <c r="I125" s="77">
        <f t="shared" ref="I125" si="52">IF(I$4="","",I124/Market_Price)</f>
        <v>3.799651033263704E-2</v>
      </c>
      <c r="J125" s="77">
        <f t="shared" ref="J125" si="53">IF(J$4="","",J124/Market_Price)</f>
        <v>2.5115431773491365E-2</v>
      </c>
      <c r="K125" s="77">
        <f t="shared" ref="K125" si="54">IF(K$4="","",K124/Market_Price)</f>
        <v>2.1146805653015868E-2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6.0861670559682945E-2</v>
      </c>
      <c r="H126" s="23">
        <f>IF(H$4="","",(Data!D47*$C$3)/(Market_Price*Common_Shares))</f>
        <v>5.8916252730302335E-2</v>
      </c>
      <c r="I126" s="23">
        <f>IF(I$4="","",(Data!E47*$C$3)/(Market_Price*Common_Shares))</f>
        <v>5.1552363653143994E-2</v>
      </c>
      <c r="J126" s="23">
        <f>IF(J$4="","",(Data!F47*$C$3)/(Market_Price*Common_Shares))</f>
        <v>4.4120724499865989E-2</v>
      </c>
      <c r="K126" s="23">
        <f>IF(K$4="","",(Data!G47*$C$3)/(Market_Price*Common_Shares))</f>
        <v>3.1529441179473879E-2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2878387446.3991423</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38378499285.321899</v>
      </c>
      <c r="D6" t="str">
        <f>Reporting_currency</f>
        <v>CNY</v>
      </c>
      <c r="E6" s="364" t="s">
        <v>249</v>
      </c>
      <c r="F6" s="364"/>
      <c r="H6" s="120"/>
    </row>
    <row r="7" spans="2:8">
      <c r="B7" s="148" t="s">
        <v>224</v>
      </c>
      <c r="C7" s="338">
        <f>BS!G31</f>
        <v>285396383</v>
      </c>
      <c r="D7" t="str">
        <f>Reporting_currency</f>
        <v>CNY</v>
      </c>
      <c r="E7" s="364"/>
      <c r="F7" s="364"/>
      <c r="H7" s="120"/>
    </row>
    <row r="8" spans="2:8">
      <c r="B8" s="148" t="s">
        <v>225</v>
      </c>
      <c r="C8" s="338">
        <f>BS!D66</f>
        <v>12815415762.773697</v>
      </c>
      <c r="D8" t="str">
        <f>Reporting_currency</f>
        <v>CNY</v>
      </c>
      <c r="E8" s="364"/>
      <c r="F8" s="364"/>
      <c r="H8" s="120"/>
    </row>
    <row r="9" spans="2:8">
      <c r="B9" s="205" t="s">
        <v>190</v>
      </c>
      <c r="C9" s="348">
        <f>BS!H42</f>
        <v>2755411575.5</v>
      </c>
      <c r="D9" t="str">
        <f>Reporting_currency</f>
        <v>CNY</v>
      </c>
      <c r="E9" s="364"/>
      <c r="F9" s="364"/>
      <c r="H9" s="120"/>
    </row>
    <row r="10" spans="2:8" ht="13.15">
      <c r="B10" s="149" t="s">
        <v>227</v>
      </c>
      <c r="C10" s="347">
        <f>C6-C7+C8+C9</f>
        <v>53663930240.595596</v>
      </c>
      <c r="D10" t="str">
        <f>Reporting_currency</f>
        <v>CNY</v>
      </c>
      <c r="H10" s="120"/>
    </row>
    <row r="11" spans="2:8" ht="13.15" thickBot="1">
      <c r="B11" s="207" t="s">
        <v>166</v>
      </c>
      <c r="C11" s="208">
        <f>Exchange_Rate</f>
        <v>1.08936492</v>
      </c>
      <c r="D11" t="str">
        <f>Thesis!C15</f>
        <v>CNY/HKD</v>
      </c>
      <c r="H11" s="120"/>
    </row>
    <row r="12" spans="2:8" ht="13.5" thickTop="1">
      <c r="B12" s="149" t="s">
        <v>102</v>
      </c>
      <c r="C12" s="111">
        <f>(C10*scaling_factor)/Common_Shares*Exchange_Rate</f>
        <v>42.852764049633578</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6.1165848114484E-2</v>
      </c>
      <c r="H16" s="120"/>
    </row>
    <row r="17" spans="2:17" ht="13.25" customHeight="1">
      <c r="B17" s="118" t="s">
        <v>134</v>
      </c>
      <c r="C17" s="162">
        <f>Scenarios!C64</f>
        <v>30</v>
      </c>
      <c r="H17" s="120"/>
    </row>
    <row r="18" spans="2:17" ht="13.25" customHeight="1">
      <c r="B18" s="153" t="s">
        <v>106</v>
      </c>
      <c r="C18" s="140">
        <f>(F52-C7+C8+C9)*Exchange_Rate/Common_Shares*scaling_factor</f>
        <v>72.688434464406939</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3054446455.7602291</v>
      </c>
      <c r="D21" s="138">
        <f>IF($C$17&lt;B21,0,DCF!$C$16)</f>
        <v>6.1165848114484E-2</v>
      </c>
      <c r="E21" s="124">
        <f t="shared" ref="E21:E50" si="0">IF($C$17&lt;B21,0,1/(1+Equity_Cost)^B21)</f>
        <v>0.93023255813953487</v>
      </c>
      <c r="F21" s="125">
        <f t="shared" ref="F21:F51" si="1">C21*E21</f>
        <v>2841345540.2420735</v>
      </c>
      <c r="H21" s="120"/>
    </row>
    <row r="22" spans="2:17">
      <c r="B22" s="122">
        <v>2</v>
      </c>
      <c r="C22" s="123">
        <f t="shared" ref="C22:C50" si="2">IF(ROW()-ROW($C$21)&lt;$C$17, $C$21*(1+D22)^(ROW()-ROW($C$21)), 0)</f>
        <v>3241274263.7470827</v>
      </c>
      <c r="D22" s="138">
        <f>IF($C$17&lt;B22,0,DCF!$C$16)</f>
        <v>6.1165848114484E-2</v>
      </c>
      <c r="E22" s="124">
        <f t="shared" si="0"/>
        <v>0.86533261222282321</v>
      </c>
      <c r="F22" s="125">
        <f t="shared" si="1"/>
        <v>2804780325.5788713</v>
      </c>
      <c r="H22" s="120"/>
    </row>
    <row r="23" spans="2:17">
      <c r="B23" s="122">
        <v>3</v>
      </c>
      <c r="C23" s="123">
        <f t="shared" si="2"/>
        <v>3439529553.0608225</v>
      </c>
      <c r="D23" s="138">
        <f>IF($C$17&lt;B23,0,DCF!$C$16)</f>
        <v>6.1165848114484E-2</v>
      </c>
      <c r="E23" s="124">
        <f t="shared" si="0"/>
        <v>0.80496056950960304</v>
      </c>
      <c r="F23" s="125">
        <f t="shared" si="1"/>
        <v>2768685667.8769503</v>
      </c>
      <c r="G23" s="338"/>
      <c r="H23" s="339"/>
      <c r="I23" s="338"/>
      <c r="J23" s="338"/>
      <c r="K23" s="338"/>
      <c r="L23" s="338"/>
      <c r="M23" s="338"/>
      <c r="N23" s="338"/>
      <c r="O23" s="338"/>
      <c r="P23" s="338"/>
      <c r="Q23" s="338"/>
    </row>
    <row r="24" spans="2:17">
      <c r="B24" s="122">
        <v>4</v>
      </c>
      <c r="C24" s="123">
        <f t="shared" si="2"/>
        <v>3649911295.288619</v>
      </c>
      <c r="D24" s="138">
        <f>IF($C$17&lt;B24,0,DCF!$C$16)</f>
        <v>6.1165848114484E-2</v>
      </c>
      <c r="E24" s="124">
        <f t="shared" si="0"/>
        <v>0.7488005297763749</v>
      </c>
      <c r="F24" s="125">
        <f t="shared" si="1"/>
        <v>2733055511.5488925</v>
      </c>
      <c r="G24" s="338"/>
      <c r="H24" s="339"/>
      <c r="I24" s="338"/>
      <c r="J24" s="338"/>
      <c r="K24" s="338"/>
      <c r="L24" s="338"/>
      <c r="M24" s="338"/>
      <c r="N24" s="338"/>
      <c r="O24" s="338"/>
      <c r="P24" s="338"/>
      <c r="Q24" s="338"/>
    </row>
    <row r="25" spans="2:17">
      <c r="B25" s="122">
        <v>5</v>
      </c>
      <c r="C25" s="123">
        <f t="shared" si="2"/>
        <v>3873161215.207582</v>
      </c>
      <c r="D25" s="138">
        <f>IF($C$17&lt;B25,0,DCF!$C$16)</f>
        <v>6.1165848114484E-2</v>
      </c>
      <c r="E25" s="124">
        <f t="shared" si="0"/>
        <v>0.69655863235011617</v>
      </c>
      <c r="F25" s="125">
        <f t="shared" si="1"/>
        <v>2697883878.9365072</v>
      </c>
      <c r="G25" s="338"/>
      <c r="H25" s="339"/>
      <c r="I25" s="338"/>
      <c r="J25" s="338"/>
      <c r="K25" s="338"/>
      <c r="L25" s="338"/>
      <c r="M25" s="338"/>
      <c r="N25" s="338"/>
      <c r="O25" s="338"/>
      <c r="P25" s="338"/>
      <c r="Q25" s="338"/>
    </row>
    <row r="26" spans="2:17">
      <c r="B26" s="122">
        <v>6</v>
      </c>
      <c r="C26" s="123">
        <f t="shared" si="2"/>
        <v>4110066405.8198791</v>
      </c>
      <c r="D26" s="138">
        <f>IF($C$17&lt;B26,0,DCF!$C$16)</f>
        <v>6.1165848114484E-2</v>
      </c>
      <c r="E26" s="124">
        <f t="shared" si="0"/>
        <v>0.64796151846522443</v>
      </c>
      <c r="F26" s="125">
        <f t="shared" si="1"/>
        <v>2663164869.3079562</v>
      </c>
      <c r="H26" s="120"/>
    </row>
    <row r="27" spans="2:17">
      <c r="B27" s="122">
        <v>7</v>
      </c>
      <c r="C27" s="123">
        <f t="shared" si="2"/>
        <v>4361462103.3387003</v>
      </c>
      <c r="D27" s="138">
        <f>IF($C$17&lt;B27,0,DCF!$C$16)</f>
        <v>6.1165848114484E-2</v>
      </c>
      <c r="E27" s="124">
        <f t="shared" si="0"/>
        <v>0.60275490089788319</v>
      </c>
      <c r="F27" s="125">
        <f t="shared" si="1"/>
        <v>2628892657.8677917</v>
      </c>
      <c r="H27" s="120"/>
    </row>
    <row r="28" spans="2:17">
      <c r="B28" s="122">
        <v>8</v>
      </c>
      <c r="C28" s="123">
        <f t="shared" si="2"/>
        <v>4628234631.9085922</v>
      </c>
      <c r="D28" s="138">
        <f>IF($C$17&lt;B28,0,DCF!$C$16)</f>
        <v>6.1165848114484E-2</v>
      </c>
      <c r="E28" s="124">
        <f t="shared" si="0"/>
        <v>0.56070223339337966</v>
      </c>
      <c r="F28" s="125">
        <f t="shared" si="1"/>
        <v>2595061494.7797341</v>
      </c>
      <c r="H28" s="120"/>
    </row>
    <row r="29" spans="2:17">
      <c r="B29" s="122">
        <v>9</v>
      </c>
      <c r="C29" s="123">
        <f t="shared" si="2"/>
        <v>4911324528.4421082</v>
      </c>
      <c r="D29" s="138">
        <f>IF($C$17&lt;B29,0,DCF!$C$16)</f>
        <v>6.1165848114484E-2</v>
      </c>
      <c r="E29" s="124">
        <f t="shared" si="0"/>
        <v>0.52158347292407414</v>
      </c>
      <c r="F29" s="125">
        <f t="shared" si="1"/>
        <v>2561665704.2020254</v>
      </c>
      <c r="H29" s="120"/>
    </row>
    <row r="30" spans="2:17">
      <c r="B30" s="122">
        <v>10</v>
      </c>
      <c r="C30" s="123">
        <f t="shared" si="2"/>
        <v>5211729858.5897369</v>
      </c>
      <c r="D30" s="138">
        <f>IF($C$17&lt;B30,0,DCF!$C$16)</f>
        <v>6.1165848114484E-2</v>
      </c>
      <c r="E30" s="124">
        <f t="shared" si="0"/>
        <v>0.48519392830146441</v>
      </c>
      <c r="F30" s="125">
        <f t="shared" si="1"/>
        <v>2528699683.3351898</v>
      </c>
      <c r="H30" s="120"/>
    </row>
    <row r="31" spans="2:17">
      <c r="B31" s="122">
        <v>11</v>
      </c>
      <c r="C31" s="123">
        <f t="shared" si="2"/>
        <v>5530509735.5339565</v>
      </c>
      <c r="D31" s="138">
        <f>IF($C$17&lt;B31,0,DCF!$C$16)</f>
        <v>6.1165848114484E-2</v>
      </c>
      <c r="E31" s="124">
        <f t="shared" si="0"/>
        <v>0.45134318911764126</v>
      </c>
      <c r="F31" s="125">
        <f t="shared" si="1"/>
        <v>2496157901.4820585</v>
      </c>
      <c r="H31" s="120"/>
    </row>
    <row r="32" spans="2:17">
      <c r="B32" s="122">
        <v>12</v>
      </c>
      <c r="C32" s="123">
        <f t="shared" si="2"/>
        <v>5868788054.0133009</v>
      </c>
      <c r="D32" s="138">
        <f>IF($C$17&lt;B32,0,DCF!$C$16)</f>
        <v>6.1165848114484E-2</v>
      </c>
      <c r="E32" s="124">
        <f t="shared" si="0"/>
        <v>0.41985412941175931</v>
      </c>
      <c r="F32" s="125">
        <f t="shared" si="1"/>
        <v>2464034899.1198874</v>
      </c>
      <c r="H32" s="120"/>
    </row>
    <row r="33" spans="2:17">
      <c r="B33" s="122">
        <v>13</v>
      </c>
      <c r="C33" s="341">
        <f t="shared" si="2"/>
        <v>6227757452.7411766</v>
      </c>
      <c r="D33" s="138">
        <f>IF($C$17&lt;B33,0,DCF!$C$16)</f>
        <v>6.1165848114484E-2</v>
      </c>
      <c r="E33" s="124">
        <f t="shared" si="0"/>
        <v>0.39056198084814819</v>
      </c>
      <c r="F33" s="125">
        <f t="shared" si="1"/>
        <v>2432325286.9844117</v>
      </c>
      <c r="G33" s="338"/>
      <c r="H33" s="339"/>
      <c r="I33" s="338"/>
      <c r="J33" s="338"/>
      <c r="K33" s="338"/>
      <c r="L33" s="338"/>
      <c r="M33" s="338"/>
      <c r="N33" s="338"/>
      <c r="O33" s="338"/>
      <c r="P33" s="338"/>
      <c r="Q33" s="338"/>
    </row>
    <row r="34" spans="2:17">
      <c r="B34" s="122">
        <v>14</v>
      </c>
      <c r="C34" s="341">
        <f t="shared" si="2"/>
        <v>6608683519.1893883</v>
      </c>
      <c r="D34" s="138">
        <f>IF($C$17&lt;B34,0,DCF!$C$16)</f>
        <v>6.1165848114484E-2</v>
      </c>
      <c r="E34" s="124">
        <f t="shared" si="0"/>
        <v>0.36331347055641694</v>
      </c>
      <c r="F34" s="125">
        <f t="shared" si="1"/>
        <v>2401023745.1656919</v>
      </c>
      <c r="G34" s="338"/>
      <c r="H34" s="339"/>
      <c r="I34" s="338"/>
      <c r="J34" s="338"/>
      <c r="K34" s="338"/>
      <c r="L34" s="338"/>
      <c r="M34" s="338"/>
      <c r="N34" s="338"/>
      <c r="O34" s="338"/>
      <c r="P34" s="338"/>
      <c r="Q34" s="338"/>
    </row>
    <row r="35" spans="2:17">
      <c r="B35" s="122">
        <v>15</v>
      </c>
      <c r="C35" s="341">
        <f t="shared" si="2"/>
        <v>7012909251.5608187</v>
      </c>
      <c r="D35" s="138">
        <f>IF($C$17&lt;B35,0,DCF!$C$16)</f>
        <v>6.1165848114484E-2</v>
      </c>
      <c r="E35" s="124">
        <f t="shared" si="0"/>
        <v>0.33796601912224833</v>
      </c>
      <c r="F35" s="125">
        <f t="shared" si="1"/>
        <v>2370125022.2155957</v>
      </c>
      <c r="G35" s="338"/>
      <c r="H35" s="339"/>
      <c r="I35" s="338"/>
      <c r="J35" s="338"/>
      <c r="K35" s="338"/>
      <c r="L35" s="338"/>
      <c r="M35" s="338"/>
      <c r="N35" s="338"/>
      <c r="O35" s="338"/>
      <c r="P35" s="338"/>
      <c r="Q35" s="338"/>
    </row>
    <row r="36" spans="2:17">
      <c r="B36" s="122">
        <v>16</v>
      </c>
      <c r="C36" s="123">
        <f t="shared" si="2"/>
        <v>7441859793.6824455</v>
      </c>
      <c r="D36" s="138">
        <f>IF($C$17&lt;B36,0,DCF!$C$16)</f>
        <v>6.1165848114484E-2</v>
      </c>
      <c r="E36" s="124">
        <f t="shared" si="0"/>
        <v>0.31438699453232405</v>
      </c>
      <c r="F36" s="125">
        <f t="shared" si="1"/>
        <v>2339623934.2667651</v>
      </c>
      <c r="H36" s="120"/>
    </row>
    <row r="37" spans="2:17">
      <c r="B37" s="122">
        <v>17</v>
      </c>
      <c r="C37" s="123">
        <f t="shared" si="2"/>
        <v>7897047459.5121117</v>
      </c>
      <c r="D37" s="138">
        <f>IF($C$17&lt;B37,0,DCF!$C$16)</f>
        <v>6.1165848114484E-2</v>
      </c>
      <c r="E37" s="124">
        <f t="shared" si="0"/>
        <v>0.29245301816960378</v>
      </c>
      <c r="F37" s="125">
        <f t="shared" si="1"/>
        <v>2309515364.162919</v>
      </c>
      <c r="H37" s="120"/>
    </row>
    <row r="38" spans="2:17">
      <c r="B38" s="122">
        <v>18</v>
      </c>
      <c r="C38" s="123">
        <f t="shared" si="2"/>
        <v>8380077064.9735012</v>
      </c>
      <c r="D38" s="138">
        <f>IF($C$17&lt;B38,0,DCF!$C$16)</f>
        <v>6.1165848114484E-2</v>
      </c>
      <c r="E38" s="124">
        <f t="shared" si="0"/>
        <v>0.27204931922753844</v>
      </c>
      <c r="F38" s="125">
        <f t="shared" si="1"/>
        <v>2279794260.6003494</v>
      </c>
      <c r="H38" s="120"/>
    </row>
    <row r="39" spans="2:17">
      <c r="B39" s="122">
        <v>19</v>
      </c>
      <c r="C39" s="123">
        <f t="shared" si="2"/>
        <v>8892651585.9173393</v>
      </c>
      <c r="D39" s="138">
        <f>IF($C$17&lt;B39,0,DCF!$C$16)</f>
        <v>6.1165848114484E-2</v>
      </c>
      <c r="E39" s="124">
        <f t="shared" si="0"/>
        <v>0.25306913416515198</v>
      </c>
      <c r="F39" s="125">
        <f t="shared" si="1"/>
        <v>2250455637.2804666</v>
      </c>
      <c r="H39" s="120"/>
    </row>
    <row r="40" spans="2:17">
      <c r="B40" s="122">
        <v>20</v>
      </c>
      <c r="C40" s="123">
        <f t="shared" si="2"/>
        <v>9436578162.1565838</v>
      </c>
      <c r="D40" s="138">
        <f>IF($C$17&lt;B40,0,DCF!$C$16)</f>
        <v>6.1165848114484E-2</v>
      </c>
      <c r="E40" s="124">
        <f t="shared" si="0"/>
        <v>0.23541314806060654</v>
      </c>
      <c r="F40" s="125">
        <f t="shared" si="1"/>
        <v>2221494572.0732541</v>
      </c>
      <c r="H40" s="120"/>
    </row>
    <row r="41" spans="2:17">
      <c r="B41" s="122">
        <v>21</v>
      </c>
      <c r="C41" s="123">
        <f t="shared" si="2"/>
        <v>10013774468.743509</v>
      </c>
      <c r="D41" s="138">
        <f>IF($C$17&lt;B41,0,DCF!$C$16)</f>
        <v>6.1165848114484E-2</v>
      </c>
      <c r="E41" s="124">
        <f t="shared" si="0"/>
        <v>0.21898897494009908</v>
      </c>
      <c r="F41" s="125">
        <f t="shared" si="1"/>
        <v>2192906206.1914763</v>
      </c>
      <c r="H41" s="120"/>
    </row>
    <row r="42" spans="2:17">
      <c r="B42" s="122">
        <v>22</v>
      </c>
      <c r="C42" s="123">
        <f t="shared" si="2"/>
        <v>10626275476.95137</v>
      </c>
      <c r="D42" s="138">
        <f>IF($C$17&lt;B42,0,DCF!$C$16)</f>
        <v>6.1165848114484E-2</v>
      </c>
      <c r="E42" s="124">
        <f t="shared" si="0"/>
        <v>0.20371067436288287</v>
      </c>
      <c r="F42" s="125">
        <f t="shared" si="1"/>
        <v>2164685743.3755283</v>
      </c>
      <c r="H42" s="120"/>
    </row>
    <row r="43" spans="2:17">
      <c r="B43" s="122">
        <v>23</v>
      </c>
      <c r="C43" s="123">
        <f t="shared" si="2"/>
        <v>11276240628.797241</v>
      </c>
      <c r="D43" s="138">
        <f>IF($C$17&lt;B43,0,DCF!$C$16)</f>
        <v>6.1165848114484E-2</v>
      </c>
      <c r="E43" s="124">
        <f t="shared" si="0"/>
        <v>0.18949830173291429</v>
      </c>
      <c r="F43" s="125">
        <f t="shared" si="1"/>
        <v>2136828449.0887668</v>
      </c>
      <c r="H43" s="120"/>
    </row>
    <row r="44" spans="2:17">
      <c r="B44" s="122">
        <v>24</v>
      </c>
      <c r="C44" s="123">
        <f t="shared" si="2"/>
        <v>11965961450.400625</v>
      </c>
      <c r="D44" s="138">
        <f>IF($C$17&lt;B44,0,DCF!$C$16)</f>
        <v>6.1165848114484E-2</v>
      </c>
      <c r="E44" s="124">
        <f t="shared" si="0"/>
        <v>0.17627748998410636</v>
      </c>
      <c r="F44" s="125">
        <f t="shared" si="1"/>
        <v>2109329649.7231991</v>
      </c>
      <c r="H44" s="120"/>
    </row>
    <row r="45" spans="2:17">
      <c r="B45" s="122">
        <v>25</v>
      </c>
      <c r="C45" s="123">
        <f t="shared" si="2"/>
        <v>12697869631.019602</v>
      </c>
      <c r="D45" s="138">
        <f>IF($C$17&lt;B45,0,DCF!$C$16)</f>
        <v>6.1165848114484E-2</v>
      </c>
      <c r="E45" s="124">
        <f t="shared" si="0"/>
        <v>0.16397906045033148</v>
      </c>
      <c r="F45" s="125">
        <f t="shared" si="1"/>
        <v>2082184731.8153915</v>
      </c>
      <c r="H45" s="120"/>
    </row>
    <row r="46" spans="2:17">
      <c r="B46" s="122">
        <v>26</v>
      </c>
      <c r="C46" s="123">
        <f t="shared" si="2"/>
        <v>13474545596.248064</v>
      </c>
      <c r="D46" s="138">
        <f>IF($C$17&lt;B46,0,DCF!$C$16)</f>
        <v>6.1165848114484E-2</v>
      </c>
      <c r="E46" s="124">
        <f t="shared" si="0"/>
        <v>0.15253866088402931</v>
      </c>
      <c r="F46" s="125">
        <f t="shared" si="1"/>
        <v>2055389141.2724741</v>
      </c>
      <c r="H46" s="120"/>
    </row>
    <row r="47" spans="2:17">
      <c r="B47" s="122">
        <v>27</v>
      </c>
      <c r="C47" s="341">
        <f t="shared" si="2"/>
        <v>14298727605.599859</v>
      </c>
      <c r="D47" s="138">
        <f>IF($C$17&lt;B47,0,DCF!$C$16)</f>
        <v>6.1165848114484E-2</v>
      </c>
      <c r="E47" s="124">
        <f t="shared" si="0"/>
        <v>0.14189642872932959</v>
      </c>
      <c r="F47" s="125">
        <f t="shared" si="1"/>
        <v>2028938382.608098</v>
      </c>
      <c r="G47" s="338"/>
      <c r="H47" s="339"/>
      <c r="I47" s="338"/>
      <c r="J47" s="338"/>
      <c r="K47" s="338"/>
      <c r="L47" s="338"/>
      <c r="M47" s="338"/>
      <c r="N47" s="338"/>
      <c r="O47" s="338"/>
      <c r="P47" s="338"/>
      <c r="Q47" s="338"/>
    </row>
    <row r="48" spans="2:17">
      <c r="B48" s="122">
        <v>28</v>
      </c>
      <c r="C48" s="341">
        <f t="shared" si="2"/>
        <v>15173321406.554358</v>
      </c>
      <c r="D48" s="138">
        <f>IF($C$17&lt;B48,0,DCF!$C$16)</f>
        <v>6.1165848114484E-2</v>
      </c>
      <c r="E48" s="124">
        <f t="shared" si="0"/>
        <v>0.13199667788774846</v>
      </c>
      <c r="F48" s="125">
        <f t="shared" si="1"/>
        <v>2002828018.1882341</v>
      </c>
      <c r="G48" s="338"/>
      <c r="H48" s="339"/>
      <c r="I48" s="338"/>
      <c r="J48" s="338"/>
      <c r="K48" s="338"/>
      <c r="L48" s="338"/>
      <c r="M48" s="338"/>
      <c r="N48" s="338"/>
      <c r="O48" s="338"/>
      <c r="P48" s="338"/>
      <c r="Q48" s="338"/>
    </row>
    <row r="49" spans="1:17">
      <c r="B49" s="122">
        <v>29</v>
      </c>
      <c r="C49" s="341">
        <f t="shared" si="2"/>
        <v>16101410479.099909</v>
      </c>
      <c r="D49" s="138">
        <f>IF($C$17&lt;B49,0,DCF!$C$16)</f>
        <v>6.1165848114484E-2</v>
      </c>
      <c r="E49" s="124">
        <f t="shared" si="0"/>
        <v>0.1227876073374404</v>
      </c>
      <c r="F49" s="125">
        <f t="shared" si="1"/>
        <v>1977053667.4866676</v>
      </c>
      <c r="G49" s="338"/>
      <c r="H49" s="339"/>
      <c r="I49" s="338"/>
      <c r="J49" s="338"/>
      <c r="K49" s="338"/>
      <c r="L49" s="338"/>
      <c r="M49" s="338"/>
      <c r="N49" s="338"/>
      <c r="O49" s="338"/>
      <c r="P49" s="338"/>
      <c r="Q49" s="338"/>
    </row>
    <row r="50" spans="1:17">
      <c r="B50" s="122">
        <v>30</v>
      </c>
      <c r="C50" s="341">
        <f t="shared" si="2"/>
        <v>17086266906.893494</v>
      </c>
      <c r="D50" s="138">
        <f>IF($C$17&lt;B50,0,DCF!$C$16)</f>
        <v>6.1165848114484E-2</v>
      </c>
      <c r="E50" s="124">
        <f t="shared" si="0"/>
        <v>0.11422103008133992</v>
      </c>
      <c r="F50" s="125">
        <f t="shared" si="1"/>
        <v>1951611006.3500845</v>
      </c>
      <c r="G50" s="338"/>
      <c r="H50" s="339"/>
      <c r="I50" s="338"/>
      <c r="J50" s="338"/>
      <c r="K50" s="338"/>
      <c r="L50" s="338"/>
      <c r="M50" s="338"/>
      <c r="N50" s="338"/>
      <c r="O50" s="338"/>
      <c r="P50" s="338"/>
      <c r="Q50" s="338"/>
    </row>
    <row r="51" spans="1:17">
      <c r="B51" s="126" t="s">
        <v>131</v>
      </c>
      <c r="C51" s="123">
        <f>C$21*(1+Terminal_Growth)^$C$17/Equity_Cost</f>
        <v>40725952743.469727</v>
      </c>
      <c r="D51" s="139">
        <f>Terminal_Growth</f>
        <v>0</v>
      </c>
      <c r="E51" s="124">
        <f>1/(1+Equity_Cost)^C17</f>
        <v>0.11422103008133992</v>
      </c>
      <c r="F51" s="125">
        <f t="shared" si="1"/>
        <v>4651760273.4030838</v>
      </c>
      <c r="H51" s="120"/>
    </row>
    <row r="52" spans="1:17">
      <c r="C52" s="114"/>
      <c r="E52" s="127" t="s">
        <v>100</v>
      </c>
      <c r="F52" s="137">
        <f>SUM(F21:F51)</f>
        <v>75741301226.530396</v>
      </c>
      <c r="H52" s="120"/>
    </row>
    <row r="53" spans="1:17">
      <c r="C53" s="114"/>
      <c r="H53" s="120"/>
    </row>
    <row r="54" spans="1:17" ht="13.15">
      <c r="B54" s="119" t="s">
        <v>129</v>
      </c>
      <c r="C54" s="136"/>
      <c r="D54" s="136"/>
      <c r="E54" s="117"/>
      <c r="F54" s="117"/>
      <c r="H54" s="120"/>
    </row>
    <row r="55" spans="1:17" ht="13.15">
      <c r="A55" s="133">
        <f>F52</f>
        <v>75741301226.530396</v>
      </c>
      <c r="B55" s="131">
        <f>C78</f>
        <v>0.02</v>
      </c>
      <c r="C55" s="131">
        <f>C77</f>
        <v>0.04</v>
      </c>
      <c r="D55" s="131">
        <f>C76</f>
        <v>0.06</v>
      </c>
      <c r="E55" s="131">
        <f>C75</f>
        <v>0.08</v>
      </c>
      <c r="F55" s="131">
        <f>C74</f>
        <v>0.1</v>
      </c>
      <c r="H55" s="120"/>
    </row>
    <row r="56" spans="1:17" ht="13.15">
      <c r="A56" s="143">
        <v>5</v>
      </c>
      <c r="B56" s="123">
        <f t="dataTable" ref="B56:F61" dt2D="1" dtr="1" r1="C16" r2="C17"/>
        <v>39595500814.147278</v>
      </c>
      <c r="C56" s="123">
        <v>40847955972.645355</v>
      </c>
      <c r="D56" s="123">
        <v>42137423304.803513</v>
      </c>
      <c r="E56" s="123">
        <v>43465509666.260712</v>
      </c>
      <c r="F56" s="123">
        <v>44833870994.214417</v>
      </c>
      <c r="H56" s="120"/>
    </row>
    <row r="57" spans="1:17" ht="13.15">
      <c r="A57" s="143">
        <v>10</v>
      </c>
      <c r="B57" s="123">
        <v>40802313992.363167</v>
      </c>
      <c r="C57" s="123">
        <v>43467517801.908867</v>
      </c>
      <c r="D57" s="123">
        <v>46403093894.624352</v>
      </c>
      <c r="E57" s="123">
        <v>49641272749.788719</v>
      </c>
      <c r="F57" s="123">
        <v>53217854165.434784</v>
      </c>
      <c r="H57" s="120"/>
    </row>
    <row r="58" spans="1:17" ht="13.15">
      <c r="A58" s="143">
        <v>15</v>
      </c>
      <c r="B58" s="123">
        <v>42330280801.530624</v>
      </c>
      <c r="C58" s="341">
        <v>46960657553.812004</v>
      </c>
      <c r="D58" s="123">
        <v>52405121179.203476</v>
      </c>
      <c r="E58" s="123">
        <v>58826036164.584099</v>
      </c>
      <c r="F58" s="123">
        <v>66417708265.162384</v>
      </c>
      <c r="G58" s="338"/>
      <c r="H58" s="339"/>
      <c r="I58" s="338"/>
      <c r="J58" s="338"/>
      <c r="K58" s="338"/>
      <c r="L58" s="338"/>
      <c r="M58" s="338"/>
      <c r="N58" s="338"/>
      <c r="O58" s="338"/>
      <c r="P58" s="338"/>
      <c r="Q58" s="338"/>
    </row>
    <row r="59" spans="1:17" ht="13.15">
      <c r="A59" s="144">
        <v>20</v>
      </c>
      <c r="B59" s="123">
        <v>43923211128.163231</v>
      </c>
      <c r="C59" s="341">
        <v>50807805275.920692</v>
      </c>
      <c r="D59" s="123">
        <v>59410994974.920753</v>
      </c>
      <c r="E59" s="123">
        <v>70221363739.077698</v>
      </c>
      <c r="F59" s="123">
        <v>83868644646.254211</v>
      </c>
      <c r="G59" s="338"/>
      <c r="H59" s="339"/>
      <c r="I59" s="338"/>
      <c r="J59" s="338"/>
      <c r="K59" s="338"/>
      <c r="L59" s="338"/>
      <c r="M59" s="338"/>
      <c r="N59" s="338"/>
      <c r="O59" s="338"/>
      <c r="P59" s="338"/>
      <c r="Q59" s="338"/>
    </row>
    <row r="60" spans="1:17" ht="13.15">
      <c r="A60" s="144">
        <v>25</v>
      </c>
      <c r="B60" s="123">
        <v>45439313153.417763</v>
      </c>
      <c r="C60" s="341">
        <v>54685867413.271278</v>
      </c>
      <c r="D60" s="123">
        <v>66924430301.673988</v>
      </c>
      <c r="E60" s="123">
        <v>83273788335.308578</v>
      </c>
      <c r="F60" s="123">
        <v>105286467309.32176</v>
      </c>
      <c r="G60" s="338"/>
      <c r="H60" s="339"/>
      <c r="I60" s="338"/>
      <c r="J60" s="338"/>
      <c r="K60" s="338"/>
      <c r="L60" s="338"/>
      <c r="M60" s="338"/>
      <c r="N60" s="338"/>
      <c r="O60" s="338"/>
      <c r="P60" s="338"/>
      <c r="Q60" s="338"/>
    </row>
    <row r="61" spans="1:17" ht="13.15">
      <c r="A61" s="144">
        <v>30</v>
      </c>
      <c r="B61" s="123">
        <v>46808013896.883705</v>
      </c>
      <c r="C61" s="341">
        <v>58402686929.734322</v>
      </c>
      <c r="D61" s="123">
        <v>74612740323.527267</v>
      </c>
      <c r="E61" s="123">
        <v>97600541264.148819</v>
      </c>
      <c r="F61" s="123">
        <v>130595733156.46237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42.852764049633578</v>
      </c>
      <c r="C65" s="124">
        <f>C12</f>
        <v>42.852764049633578</v>
      </c>
      <c r="D65" s="124">
        <f>C12</f>
        <v>42.852764049633578</v>
      </c>
      <c r="E65" s="141">
        <f>C12</f>
        <v>42.852764049633578</v>
      </c>
      <c r="F65" s="124">
        <f>C12</f>
        <v>42.852764049633578</v>
      </c>
      <c r="H65" s="120"/>
    </row>
    <row r="66" spans="1:8" ht="13.15">
      <c r="A66" s="143">
        <f t="shared" ref="A66:A71" si="3">A56</f>
        <v>5</v>
      </c>
      <c r="B66" s="124">
        <f t="shared" ref="B66:F71" si="4">(B56-$C$7+$C$8+$C$9)/Common_Shares*$C$3*Exchange_Rate</f>
        <v>43.824587751866737</v>
      </c>
      <c r="C66" s="124">
        <f t="shared" si="4"/>
        <v>44.82472257518728</v>
      </c>
      <c r="D66" s="124">
        <f t="shared" si="4"/>
        <v>45.854413078416272</v>
      </c>
      <c r="E66" s="124">
        <f t="shared" si="4"/>
        <v>46.914942399133238</v>
      </c>
      <c r="F66" s="124">
        <f t="shared" si="4"/>
        <v>48.007632868477295</v>
      </c>
      <c r="H66" s="120"/>
    </row>
    <row r="67" spans="1:8" ht="13.15">
      <c r="A67" s="143">
        <f t="shared" si="3"/>
        <v>10</v>
      </c>
      <c r="B67" s="124">
        <f t="shared" si="4"/>
        <v>44.788275654452598</v>
      </c>
      <c r="C67" s="124">
        <f t="shared" si="4"/>
        <v>46.916545974620988</v>
      </c>
      <c r="D67" s="124">
        <f t="shared" si="4"/>
        <v>49.260719222590041</v>
      </c>
      <c r="E67" s="124">
        <f t="shared" si="4"/>
        <v>51.84653270678205</v>
      </c>
      <c r="F67" s="124">
        <f t="shared" si="4"/>
        <v>54.702573977367976</v>
      </c>
      <c r="H67" s="120"/>
    </row>
    <row r="68" spans="1:8" ht="13.15">
      <c r="A68" s="143">
        <f t="shared" si="3"/>
        <v>15</v>
      </c>
      <c r="B68" s="124">
        <f t="shared" si="4"/>
        <v>46.0084173931468</v>
      </c>
      <c r="C68" s="124">
        <f t="shared" si="4"/>
        <v>49.70595578693964</v>
      </c>
      <c r="D68" s="124">
        <f t="shared" si="4"/>
        <v>54.053574645075734</v>
      </c>
      <c r="E68" s="124">
        <f t="shared" si="4"/>
        <v>59.180928411705437</v>
      </c>
      <c r="F68" s="124">
        <f t="shared" si="4"/>
        <v>65.243177893055716</v>
      </c>
      <c r="H68" s="120"/>
    </row>
    <row r="69" spans="1:8" ht="13.15">
      <c r="A69" s="144">
        <f t="shared" si="3"/>
        <v>20</v>
      </c>
      <c r="B69" s="124">
        <f t="shared" si="4"/>
        <v>47.280435061786633</v>
      </c>
      <c r="C69" s="124">
        <f t="shared" si="4"/>
        <v>52.778054920575116</v>
      </c>
      <c r="D69" s="124">
        <f t="shared" si="4"/>
        <v>59.648041084327936</v>
      </c>
      <c r="E69" s="124">
        <f t="shared" si="4"/>
        <v>68.280546751784712</v>
      </c>
      <c r="F69" s="124">
        <f t="shared" si="4"/>
        <v>79.178438613456407</v>
      </c>
      <c r="H69" s="120"/>
    </row>
    <row r="70" spans="1:8" ht="13.15">
      <c r="A70" s="144">
        <f t="shared" si="3"/>
        <v>25</v>
      </c>
      <c r="B70" s="124">
        <f t="shared" si="4"/>
        <v>48.491102302745738</v>
      </c>
      <c r="C70" s="124">
        <f t="shared" si="4"/>
        <v>55.874840433612086</v>
      </c>
      <c r="D70" s="124">
        <f t="shared" si="4"/>
        <v>65.647815417218183</v>
      </c>
      <c r="E70" s="124">
        <f t="shared" si="4"/>
        <v>78.703422396379082</v>
      </c>
      <c r="F70" s="124">
        <f t="shared" si="4"/>
        <v>96.281414428355305</v>
      </c>
    </row>
    <row r="71" spans="1:8" ht="13.15">
      <c r="A71" s="144">
        <f t="shared" si="3"/>
        <v>30</v>
      </c>
      <c r="B71" s="124">
        <f t="shared" si="4"/>
        <v>49.58406380875811</v>
      </c>
      <c r="C71" s="124">
        <f t="shared" si="4"/>
        <v>58.842867356723566</v>
      </c>
      <c r="D71" s="124">
        <f t="shared" si="4"/>
        <v>71.787234088750324</v>
      </c>
      <c r="E71" s="124">
        <f t="shared" si="4"/>
        <v>90.143899456192997</v>
      </c>
      <c r="F71" s="124">
        <f t="shared" si="4"/>
        <v>116.49186104965983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30</v>
      </c>
      <c r="E74" s="135">
        <f>INDEX(B$65:F$71, MATCH(D74, A$65:A$71, 0), MATCH(C74, B$64:F$64, 0))</f>
        <v>116.49186104965983</v>
      </c>
      <c r="F74" s="142">
        <f>Scenarios!C58</f>
        <v>0.05</v>
      </c>
    </row>
    <row r="75" spans="1:8">
      <c r="B75" s="127" t="str">
        <f>Scenarios!B36</f>
        <v>Optimistic</v>
      </c>
      <c r="C75" s="142">
        <f>Scenarios!C38</f>
        <v>0.08</v>
      </c>
      <c r="D75" s="145">
        <f>Scenarios!C37</f>
        <v>30</v>
      </c>
      <c r="E75" s="135">
        <f>INDEX(B$65:F$71, MATCH(D75, A$65:A$71, 0), MATCH(C75, B$64:F$64, 0))</f>
        <v>90.143899456192997</v>
      </c>
      <c r="F75" s="142">
        <f>Scenarios!C40*(1-F$74-F$78)</f>
        <v>0.18</v>
      </c>
      <c r="H75" s="120"/>
    </row>
    <row r="76" spans="1:8">
      <c r="B76" s="127" t="str">
        <f>Scenarios!B24</f>
        <v>Base</v>
      </c>
      <c r="C76" s="142">
        <f>Scenarios!C26</f>
        <v>0.06</v>
      </c>
      <c r="D76" s="145">
        <f>Scenarios!C25</f>
        <v>30</v>
      </c>
      <c r="E76" s="135">
        <f>INDEX(B$65:F$71, MATCH(D76, A$65:A$71, 0), MATCH(C76, B$64:F$64, 0))</f>
        <v>71.787234088750324</v>
      </c>
      <c r="F76" s="142">
        <f>Scenarios!C28*(1-F$74-F$78)</f>
        <v>0.44999999999999996</v>
      </c>
      <c r="H76" s="120"/>
    </row>
    <row r="77" spans="1:8">
      <c r="B77" s="127" t="str">
        <f>Scenarios!B30</f>
        <v>Pessimistic</v>
      </c>
      <c r="C77" s="142">
        <f>Scenarios!C32</f>
        <v>0.04</v>
      </c>
      <c r="D77" s="145">
        <f>Scenarios!C31</f>
        <v>30</v>
      </c>
      <c r="E77" s="135">
        <f>INDEX(B$65:F$71, MATCH(D77, A$65:A$71, 0), MATCH(C77, B$64:F$64, 0))</f>
        <v>58.842867356723566</v>
      </c>
      <c r="F77" s="142">
        <f>Scenarios!C34*(1-F$74-F$78)</f>
        <v>0.26999999999999996</v>
      </c>
      <c r="H77" s="120"/>
    </row>
    <row r="78" spans="1:8">
      <c r="B78" s="127" t="str">
        <f>Scenarios!B48</f>
        <v>Devil's advocate</v>
      </c>
      <c r="C78" s="142">
        <f>Scenarios!C50</f>
        <v>0.02</v>
      </c>
      <c r="D78" s="145">
        <f>Scenarios!C49</f>
        <v>30</v>
      </c>
      <c r="E78" s="135">
        <f>INDEX(B$65:F$71, MATCH(D78, A$65:A$71, 0), MATCH(C78, B$64:F$64, 0))</f>
        <v>49.58406380875811</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2755029906.415566</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36733732085.540878</v>
      </c>
      <c r="D6" t="str">
        <f>Reporting_currency</f>
        <v>CNY</v>
      </c>
      <c r="E6" s="364"/>
      <c r="F6" s="364"/>
      <c r="H6" s="120"/>
    </row>
    <row r="7" spans="2:8" ht="13.15">
      <c r="B7" s="149" t="s">
        <v>444</v>
      </c>
      <c r="C7" s="111">
        <f>(C6*scaling_factor)/Common_Shares*Exchange_Rate</f>
        <v>29.333333333333336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6.1165848114484E-2</v>
      </c>
      <c r="H11" s="120"/>
    </row>
    <row r="12" spans="2:8" ht="13.25" customHeight="1">
      <c r="B12" s="118" t="s">
        <v>134</v>
      </c>
      <c r="C12" s="162">
        <f>Scenarios!C64</f>
        <v>30</v>
      </c>
      <c r="H12" s="120"/>
    </row>
    <row r="13" spans="2:8" ht="13.25" customHeight="1">
      <c r="B13" s="153" t="s">
        <v>106</v>
      </c>
      <c r="C13" s="140">
        <f>F47/Common_Shares*scaling_factor</f>
        <v>53.14137716246131</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2923543647.2222414</v>
      </c>
      <c r="D16" s="138">
        <f>IF($C$12&lt;B16,0,DDM!$C$11)</f>
        <v>6.1165848114484E-2</v>
      </c>
      <c r="E16" s="124">
        <f t="shared" ref="E16:E45" si="0">IF($C$12&lt;B16,0,1/(1+Equity_Cost)^B16)</f>
        <v>0.93023255813953487</v>
      </c>
      <c r="F16" s="125">
        <f t="shared" ref="F16:F46" si="1">C16*E16</f>
        <v>2719575485.7881317</v>
      </c>
      <c r="H16" s="120"/>
    </row>
    <row r="17" spans="2:8">
      <c r="B17" s="122">
        <v>2</v>
      </c>
      <c r="C17" s="123">
        <f t="shared" ref="C17:C45" si="2">IF(ROW()-ROW($C$16)&lt;$C$12, $C$16*(1+D17)^(ROW()-ROW($C$16)), 0)</f>
        <v>3102364673.9043012</v>
      </c>
      <c r="D17" s="138">
        <f>IF($C$12&lt;B17,0,DDM!$C$11)</f>
        <v>6.1165848114484E-2</v>
      </c>
      <c r="E17" s="124">
        <f t="shared" si="0"/>
        <v>0.86533261222282321</v>
      </c>
      <c r="F17" s="125">
        <f t="shared" si="1"/>
        <v>2684577327.3374162</v>
      </c>
      <c r="H17" s="120"/>
    </row>
    <row r="18" spans="2:8">
      <c r="B18" s="122">
        <v>3</v>
      </c>
      <c r="C18" s="123">
        <f t="shared" si="2"/>
        <v>3292123440.3440719</v>
      </c>
      <c r="D18" s="138">
        <f>IF($C$12&lt;B18,0,DDM!$C$11)</f>
        <v>6.1165848114484E-2</v>
      </c>
      <c r="E18" s="124">
        <f t="shared" si="0"/>
        <v>0.80496056950960304</v>
      </c>
      <c r="F18" s="125">
        <f t="shared" si="1"/>
        <v>2650029559.4352779</v>
      </c>
      <c r="H18" s="120"/>
    </row>
    <row r="19" spans="2:8">
      <c r="B19" s="122">
        <v>4</v>
      </c>
      <c r="C19" s="123">
        <f t="shared" si="2"/>
        <v>3493488962.6702895</v>
      </c>
      <c r="D19" s="138">
        <f>IF($C$12&lt;B19,0,DDM!$C$11)</f>
        <v>6.1165848114484E-2</v>
      </c>
      <c r="E19" s="124">
        <f t="shared" si="0"/>
        <v>0.7488005297763749</v>
      </c>
      <c r="F19" s="125">
        <f t="shared" si="1"/>
        <v>2615926386.0154314</v>
      </c>
      <c r="H19" s="120"/>
    </row>
    <row r="20" spans="2:8">
      <c r="B20" s="122">
        <v>5</v>
      </c>
      <c r="C20" s="123">
        <f t="shared" si="2"/>
        <v>3707171177.9506063</v>
      </c>
      <c r="D20" s="138">
        <f>IF($C$12&lt;B20,0,DDM!$C$11)</f>
        <v>6.1165848114484E-2</v>
      </c>
      <c r="E20" s="124">
        <f t="shared" si="0"/>
        <v>0.69655863235011617</v>
      </c>
      <c r="F20" s="125">
        <f t="shared" si="1"/>
        <v>2582262085.6010437</v>
      </c>
      <c r="H20" s="120"/>
    </row>
    <row r="21" spans="2:8">
      <c r="B21" s="122">
        <v>6</v>
      </c>
      <c r="C21" s="123">
        <f t="shared" si="2"/>
        <v>3933923447.1555257</v>
      </c>
      <c r="D21" s="138">
        <f>IF($C$12&lt;B21,0,DDM!$C$11)</f>
        <v>6.1165848114484E-2</v>
      </c>
      <c r="E21" s="124">
        <f t="shared" si="0"/>
        <v>0.64796151846522443</v>
      </c>
      <c r="F21" s="125">
        <f t="shared" si="1"/>
        <v>2549031010.3448443</v>
      </c>
      <c r="H21" s="120"/>
    </row>
    <row r="22" spans="2:8">
      <c r="B22" s="122">
        <v>7</v>
      </c>
      <c r="C22" s="123">
        <f t="shared" si="2"/>
        <v>4174545211.2182469</v>
      </c>
      <c r="D22" s="138">
        <f>IF($C$12&lt;B22,0,DDM!$C$11)</f>
        <v>6.1165848114484E-2</v>
      </c>
      <c r="E22" s="124">
        <f t="shared" si="0"/>
        <v>0.60275490089788319</v>
      </c>
      <c r="F22" s="125">
        <f t="shared" si="1"/>
        <v>2516227585.0815873</v>
      </c>
      <c r="H22" s="120"/>
    </row>
    <row r="23" spans="2:8">
      <c r="B23" s="122">
        <v>8</v>
      </c>
      <c r="C23" s="123">
        <f t="shared" si="2"/>
        <v>4429884809.5546675</v>
      </c>
      <c r="D23" s="138">
        <f>IF($C$12&lt;B23,0,DDM!$C$11)</f>
        <v>6.1165848114484E-2</v>
      </c>
      <c r="E23" s="124">
        <f t="shared" si="0"/>
        <v>0.56070223339337966</v>
      </c>
      <c r="F23" s="125">
        <f t="shared" si="1"/>
        <v>2483846306.3927083</v>
      </c>
      <c r="H23" s="120"/>
    </row>
    <row r="24" spans="2:8">
      <c r="B24" s="122">
        <v>9</v>
      </c>
      <c r="C24" s="123">
        <f t="shared" si="2"/>
        <v>4700842470.9805489</v>
      </c>
      <c r="D24" s="138">
        <f>IF($C$12&lt;B24,0,DDM!$C$11)</f>
        <v>6.1165848114484E-2</v>
      </c>
      <c r="E24" s="124">
        <f t="shared" si="0"/>
        <v>0.52158347292407414</v>
      </c>
      <c r="F24" s="125">
        <f t="shared" si="1"/>
        <v>2451881741.6830211</v>
      </c>
      <c r="H24" s="120"/>
    </row>
    <row r="25" spans="2:8">
      <c r="B25" s="122">
        <v>10</v>
      </c>
      <c r="C25" s="123">
        <f t="shared" si="2"/>
        <v>4988373487.5706596</v>
      </c>
      <c r="D25" s="138">
        <f>IF($C$12&lt;B25,0,DDM!$C$11)</f>
        <v>6.1165848114484E-2</v>
      </c>
      <c r="E25" s="124">
        <f t="shared" si="0"/>
        <v>0.48519392830146441</v>
      </c>
      <c r="F25" s="125">
        <f t="shared" si="1"/>
        <v>2420328528.2692847</v>
      </c>
      <c r="H25" s="120"/>
    </row>
    <row r="26" spans="2:8">
      <c r="B26" s="122">
        <v>11</v>
      </c>
      <c r="C26" s="123">
        <f t="shared" si="2"/>
        <v>5293491582.649725</v>
      </c>
      <c r="D26" s="138">
        <f>IF($C$12&lt;B26,0,DDM!$C$11)</f>
        <v>6.1165848114484E-2</v>
      </c>
      <c r="E26" s="124">
        <f t="shared" si="0"/>
        <v>0.45134318911764126</v>
      </c>
      <c r="F26" s="125">
        <f t="shared" si="1"/>
        <v>2389181372.4805169</v>
      </c>
      <c r="H26" s="120"/>
    </row>
    <row r="27" spans="2:8">
      <c r="B27" s="122">
        <v>12</v>
      </c>
      <c r="C27" s="123">
        <f t="shared" si="2"/>
        <v>5617272484.7893772</v>
      </c>
      <c r="D27" s="138">
        <f>IF($C$12&lt;B27,0,DDM!$C$11)</f>
        <v>6.1165848114484E-2</v>
      </c>
      <c r="E27" s="124">
        <f t="shared" si="0"/>
        <v>0.41985412941175931</v>
      </c>
      <c r="F27" s="125">
        <f t="shared" si="1"/>
        <v>2358435048.7698741</v>
      </c>
      <c r="H27" s="120"/>
    </row>
    <row r="28" spans="2:8">
      <c r="B28" s="122">
        <v>13</v>
      </c>
      <c r="C28" s="123">
        <f t="shared" si="2"/>
        <v>5960857720.4116735</v>
      </c>
      <c r="D28" s="138">
        <f>IF($C$12&lt;B28,0,DDM!$C$11)</f>
        <v>6.1165848114484E-2</v>
      </c>
      <c r="E28" s="124">
        <f t="shared" si="0"/>
        <v>0.39056198084814819</v>
      </c>
      <c r="F28" s="125">
        <f t="shared" si="1"/>
        <v>2328084398.8379602</v>
      </c>
      <c r="H28" s="120"/>
    </row>
    <row r="29" spans="2:8">
      <c r="B29" s="122">
        <v>14</v>
      </c>
      <c r="C29" s="123">
        <f t="shared" si="2"/>
        <v>6325458638.3704233</v>
      </c>
      <c r="D29" s="138">
        <f>IF($C$12&lt;B29,0,DDM!$C$11)</f>
        <v>6.1165848114484E-2</v>
      </c>
      <c r="E29" s="124">
        <f t="shared" si="0"/>
        <v>0.36331347055641694</v>
      </c>
      <c r="F29" s="125">
        <f t="shared" si="1"/>
        <v>2298124330.767426</v>
      </c>
      <c r="H29" s="120"/>
    </row>
    <row r="30" spans="2:8">
      <c r="B30" s="122">
        <v>15</v>
      </c>
      <c r="C30" s="123">
        <f t="shared" si="2"/>
        <v>6712360680.6994371</v>
      </c>
      <c r="D30" s="138">
        <f>IF($C$12&lt;B30,0,DDM!$C$11)</f>
        <v>6.1165848114484E-2</v>
      </c>
      <c r="E30" s="124">
        <f t="shared" si="0"/>
        <v>0.33796601912224833</v>
      </c>
      <c r="F30" s="125">
        <f t="shared" si="1"/>
        <v>2268549818.168694</v>
      </c>
      <c r="H30" s="120"/>
    </row>
    <row r="31" spans="2:8">
      <c r="B31" s="122">
        <v>16</v>
      </c>
      <c r="C31" s="123">
        <f t="shared" si="2"/>
        <v>7122927914.5847321</v>
      </c>
      <c r="D31" s="138">
        <f>IF($C$12&lt;B31,0,DDM!$C$11)</f>
        <v>6.1165848114484E-2</v>
      </c>
      <c r="E31" s="124">
        <f t="shared" si="0"/>
        <v>0.31438699453232405</v>
      </c>
      <c r="F31" s="125">
        <f t="shared" si="1"/>
        <v>2239355899.3366885</v>
      </c>
      <c r="H31" s="120"/>
    </row>
    <row r="32" spans="2:8">
      <c r="B32" s="122">
        <v>17</v>
      </c>
      <c r="C32" s="123">
        <f t="shared" si="2"/>
        <v>7558607841.53864</v>
      </c>
      <c r="D32" s="138">
        <f>IF($C$12&lt;B32,0,DDM!$C$11)</f>
        <v>6.1165848114484E-2</v>
      </c>
      <c r="E32" s="124">
        <f t="shared" si="0"/>
        <v>0.29245301816960378</v>
      </c>
      <c r="F32" s="125">
        <f t="shared" si="1"/>
        <v>2210537676.4184093</v>
      </c>
      <c r="H32" s="120"/>
    </row>
    <row r="33" spans="2:8">
      <c r="B33" s="122">
        <v>18</v>
      </c>
      <c r="C33" s="123">
        <f t="shared" si="2"/>
        <v>8020936500.7311401</v>
      </c>
      <c r="D33" s="138">
        <f>IF($C$12&lt;B33,0,DDM!$C$11)</f>
        <v>6.1165848114484E-2</v>
      </c>
      <c r="E33" s="124">
        <f t="shared" si="0"/>
        <v>0.27204931922753844</v>
      </c>
      <c r="F33" s="125">
        <f t="shared" si="1"/>
        <v>2182090314.5912209</v>
      </c>
      <c r="H33" s="120"/>
    </row>
    <row r="34" spans="2:8">
      <c r="B34" s="122">
        <v>19</v>
      </c>
      <c r="C34" s="123">
        <f t="shared" si="2"/>
        <v>8511543884.4707804</v>
      </c>
      <c r="D34" s="138">
        <f>IF($C$12&lt;B34,0,DDM!$C$11)</f>
        <v>6.1165848114484E-2</v>
      </c>
      <c r="E34" s="124">
        <f t="shared" si="0"/>
        <v>0.25306913416515198</v>
      </c>
      <c r="F34" s="125">
        <f t="shared" si="1"/>
        <v>2154009041.2517147</v>
      </c>
      <c r="H34" s="120"/>
    </row>
    <row r="35" spans="2:8">
      <c r="B35" s="122">
        <v>20</v>
      </c>
      <c r="C35" s="123">
        <f t="shared" si="2"/>
        <v>9032159684.9280834</v>
      </c>
      <c r="D35" s="138">
        <f>IF($C$12&lt;B35,0,DDM!$C$11)</f>
        <v>6.1165848114484E-2</v>
      </c>
      <c r="E35" s="124">
        <f t="shared" si="0"/>
        <v>0.23541314806060654</v>
      </c>
      <c r="F35" s="125">
        <f t="shared" si="1"/>
        <v>2126289145.2150161</v>
      </c>
      <c r="H35" s="120"/>
    </row>
    <row r="36" spans="2:8">
      <c r="B36" s="122">
        <v>21</v>
      </c>
      <c r="C36" s="123">
        <f t="shared" si="2"/>
        <v>9584619392.3621597</v>
      </c>
      <c r="D36" s="138">
        <f>IF($C$12&lt;B36,0,DDM!$C$11)</f>
        <v>6.1165848114484E-2</v>
      </c>
      <c r="E36" s="124">
        <f t="shared" si="0"/>
        <v>0.21898897494009908</v>
      </c>
      <c r="F36" s="125">
        <f t="shared" si="1"/>
        <v>2098925975.9243848</v>
      </c>
      <c r="H36" s="120"/>
    </row>
    <row r="37" spans="2:8">
      <c r="B37" s="122">
        <v>22</v>
      </c>
      <c r="C37" s="123">
        <f t="shared" si="2"/>
        <v>10170870766.350521</v>
      </c>
      <c r="D37" s="138">
        <f>IF($C$12&lt;B37,0,DDM!$C$11)</f>
        <v>6.1165848114484E-2</v>
      </c>
      <c r="E37" s="124">
        <f t="shared" si="0"/>
        <v>0.20371067436288287</v>
      </c>
      <c r="F37" s="125">
        <f t="shared" si="1"/>
        <v>2071914942.670996</v>
      </c>
      <c r="H37" s="120"/>
    </row>
    <row r="38" spans="2:8">
      <c r="B38" s="122">
        <v>23</v>
      </c>
      <c r="C38" s="123">
        <f t="shared" si="2"/>
        <v>10792980702.83716</v>
      </c>
      <c r="D38" s="138">
        <f>IF($C$12&lt;B38,0,DDM!$C$11)</f>
        <v>6.1165848114484E-2</v>
      </c>
      <c r="E38" s="124">
        <f t="shared" si="0"/>
        <v>0.18949830173291429</v>
      </c>
      <c r="F38" s="125">
        <f t="shared" si="1"/>
        <v>2045251513.8237576</v>
      </c>
      <c r="H38" s="120"/>
    </row>
    <row r="39" spans="2:8">
      <c r="B39" s="122">
        <v>24</v>
      </c>
      <c r="C39" s="123">
        <f t="shared" si="2"/>
        <v>11453142521.209452</v>
      </c>
      <c r="D39" s="138">
        <f>IF($C$12&lt;B39,0,DDM!$C$11)</f>
        <v>6.1165848114484E-2</v>
      </c>
      <c r="E39" s="124">
        <f t="shared" si="0"/>
        <v>0.17627748998410636</v>
      </c>
      <c r="F39" s="125">
        <f t="shared" si="1"/>
        <v>2018931216.0690417</v>
      </c>
      <c r="H39" s="120"/>
    </row>
    <row r="40" spans="2:8">
      <c r="B40" s="122">
        <v>25</v>
      </c>
      <c r="C40" s="123">
        <f t="shared" si="2"/>
        <v>12153683697.095289</v>
      </c>
      <c r="D40" s="138">
        <f>IF($C$12&lt;B40,0,DDM!$C$11)</f>
        <v>6.1165848114484E-2</v>
      </c>
      <c r="E40" s="124">
        <f t="shared" si="0"/>
        <v>0.16397906045033148</v>
      </c>
      <c r="F40" s="125">
        <f t="shared" si="1"/>
        <v>1992949633.6601965</v>
      </c>
      <c r="H40" s="120"/>
    </row>
    <row r="41" spans="2:8">
      <c r="B41" s="122">
        <v>26</v>
      </c>
      <c r="C41" s="123">
        <f t="shared" si="2"/>
        <v>12897074068.143297</v>
      </c>
      <c r="D41" s="138">
        <f>IF($C$12&lt;B41,0,DDM!$C$11)</f>
        <v>6.1165848114484E-2</v>
      </c>
      <c r="E41" s="124">
        <f t="shared" si="0"/>
        <v>0.15253866088402931</v>
      </c>
      <c r="F41" s="125">
        <f t="shared" si="1"/>
        <v>1967302407.6767187</v>
      </c>
      <c r="H41" s="120"/>
    </row>
    <row r="42" spans="2:8">
      <c r="B42" s="122">
        <v>27</v>
      </c>
      <c r="C42" s="123">
        <f t="shared" si="2"/>
        <v>13685934541.716599</v>
      </c>
      <c r="D42" s="138">
        <f>IF($C$12&lt;B42,0,DDM!$C$11)</f>
        <v>6.1165848114484E-2</v>
      </c>
      <c r="E42" s="124">
        <f t="shared" si="0"/>
        <v>0.14189642872932959</v>
      </c>
      <c r="F42" s="125">
        <f t="shared" si="1"/>
        <v>1941985235.2929592</v>
      </c>
      <c r="H42" s="120"/>
    </row>
    <row r="43" spans="2:8">
      <c r="B43" s="122">
        <v>28</v>
      </c>
      <c r="C43" s="123">
        <f t="shared" si="2"/>
        <v>14523046335.200003</v>
      </c>
      <c r="D43" s="138">
        <f>IF($C$12&lt;B43,0,DDM!$C$11)</f>
        <v>6.1165848114484E-2</v>
      </c>
      <c r="E43" s="124">
        <f t="shared" si="0"/>
        <v>0.13199667788774846</v>
      </c>
      <c r="F43" s="125">
        <f t="shared" si="1"/>
        <v>1916993869.0562406</v>
      </c>
      <c r="H43" s="120"/>
    </row>
    <row r="44" spans="2:8">
      <c r="B44" s="122">
        <v>29</v>
      </c>
      <c r="C44" s="123">
        <f t="shared" si="2"/>
        <v>15411360781.498459</v>
      </c>
      <c r="D44" s="138">
        <f>IF($C$12&lt;B44,0,DDM!$C$11)</f>
        <v>6.1165848114484E-2</v>
      </c>
      <c r="E44" s="124">
        <f t="shared" si="0"/>
        <v>0.1227876073374404</v>
      </c>
      <c r="F44" s="125">
        <f t="shared" si="1"/>
        <v>1892324116.1742613</v>
      </c>
      <c r="H44" s="120"/>
    </row>
    <row r="45" spans="2:8">
      <c r="B45" s="122">
        <v>30</v>
      </c>
      <c r="C45" s="123">
        <f t="shared" si="2"/>
        <v>16354009734.29711</v>
      </c>
      <c r="D45" s="138">
        <f>IF($C$12&lt;B45,0,DDM!$C$11)</f>
        <v>6.1165848114484E-2</v>
      </c>
      <c r="E45" s="124">
        <f t="shared" si="0"/>
        <v>0.11422103008133992</v>
      </c>
      <c r="F45" s="125">
        <f t="shared" si="1"/>
        <v>1867971837.811676</v>
      </c>
      <c r="H45" s="120"/>
    </row>
    <row r="46" spans="2:8">
      <c r="B46" s="126" t="s">
        <v>131</v>
      </c>
      <c r="C46" s="123">
        <f>C$16*(1+F4)^$C$12/Equity_Cost</f>
        <v>38980581962.963219</v>
      </c>
      <c r="D46" s="139">
        <f>Terminal_Growth</f>
        <v>0</v>
      </c>
      <c r="E46" s="124">
        <f>1/(1+Equity_Cost)^C12</f>
        <v>0.11422103008133992</v>
      </c>
      <c r="F46" s="125">
        <f t="shared" si="1"/>
        <v>4452402224.9797583</v>
      </c>
      <c r="H46" s="120"/>
    </row>
    <row r="47" spans="2:8">
      <c r="C47" s="114"/>
      <c r="E47" s="127" t="s">
        <v>100</v>
      </c>
      <c r="F47" s="137">
        <f>SUM(F16:F46)</f>
        <v>72495296034.92627</v>
      </c>
      <c r="H47" s="120"/>
    </row>
    <row r="48" spans="2:8">
      <c r="C48" s="114"/>
      <c r="H48" s="120"/>
    </row>
    <row r="49" spans="1:8" ht="13.15">
      <c r="B49" s="119" t="s">
        <v>129</v>
      </c>
      <c r="C49" s="136"/>
      <c r="D49" s="136"/>
      <c r="E49" s="117"/>
      <c r="F49" s="117"/>
      <c r="H49" s="120"/>
    </row>
    <row r="50" spans="1:8" ht="13.15">
      <c r="A50" s="133">
        <f>F47</f>
        <v>72495296034.92627</v>
      </c>
      <c r="B50" s="131">
        <f>C73</f>
        <v>0.02</v>
      </c>
      <c r="C50" s="131">
        <f>C72</f>
        <v>0.04</v>
      </c>
      <c r="D50" s="131">
        <f>C71</f>
        <v>0.06</v>
      </c>
      <c r="E50" s="131">
        <f>C70</f>
        <v>0.08</v>
      </c>
      <c r="F50" s="131">
        <f>C69</f>
        <v>0.1</v>
      </c>
      <c r="H50" s="120"/>
    </row>
    <row r="51" spans="1:8" ht="13.15">
      <c r="A51" s="143">
        <v>5</v>
      </c>
      <c r="B51" s="123">
        <f t="dataTable" ref="B51:F56" dt2D="1" dtr="1" r1="C11" r2="C12"/>
        <v>37898577218.624619</v>
      </c>
      <c r="C51" s="123">
        <v>39097356563.783081</v>
      </c>
      <c r="D51" s="123">
        <v>40331561871.301971</v>
      </c>
      <c r="E51" s="123">
        <v>41602731132.651596</v>
      </c>
      <c r="F51" s="123">
        <v>42912449317.398087</v>
      </c>
      <c r="H51" s="120"/>
    </row>
    <row r="52" spans="1:8" ht="13.15">
      <c r="A52" s="143">
        <v>10</v>
      </c>
      <c r="B52" s="123">
        <v>39053670637.89328</v>
      </c>
      <c r="C52" s="123">
        <v>41604653206.684311</v>
      </c>
      <c r="D52" s="123">
        <v>44414420855.618179</v>
      </c>
      <c r="E52" s="123">
        <v>47513822779.240692</v>
      </c>
      <c r="F52" s="123">
        <v>50937124522.430908</v>
      </c>
      <c r="H52" s="120"/>
    </row>
    <row r="53" spans="1:8" ht="13.15">
      <c r="A53" s="143">
        <v>15</v>
      </c>
      <c r="B53" s="123">
        <v>40516154175.518806</v>
      </c>
      <c r="C53" s="123">
        <v>44948089301.717812</v>
      </c>
      <c r="D53" s="123">
        <v>50159222407.203583</v>
      </c>
      <c r="E53" s="123">
        <v>56304959609.262817</v>
      </c>
      <c r="F53" s="123">
        <v>63571279403.340149</v>
      </c>
      <c r="H53" s="120"/>
    </row>
    <row r="54" spans="1:8" ht="13.15">
      <c r="A54" s="144">
        <v>20</v>
      </c>
      <c r="B54" s="123">
        <v>42040817123.239502</v>
      </c>
      <c r="C54" s="123">
        <v>48630361833.189316</v>
      </c>
      <c r="D54" s="123">
        <v>56864849146.897789</v>
      </c>
      <c r="E54" s="123">
        <v>67211923611.07093</v>
      </c>
      <c r="F54" s="123">
        <v>80274330163.587433</v>
      </c>
      <c r="H54" s="120"/>
    </row>
    <row r="55" spans="1:8" ht="13.15">
      <c r="A55" s="144">
        <v>25</v>
      </c>
      <c r="B55" s="123">
        <v>43491944359.768677</v>
      </c>
      <c r="C55" s="123">
        <v>52342223897.035034</v>
      </c>
      <c r="D55" s="123">
        <v>64056285119.50103</v>
      </c>
      <c r="E55" s="123">
        <v>79704967297.332108</v>
      </c>
      <c r="F55" s="123">
        <v>100774260442.56136</v>
      </c>
      <c r="H55" s="120"/>
    </row>
    <row r="56" spans="1:8" ht="13.15">
      <c r="A56" s="144">
        <v>30</v>
      </c>
      <c r="B56" s="123">
        <v>44801987413.874954</v>
      </c>
      <c r="C56" s="123">
        <v>55899753630.363632</v>
      </c>
      <c r="D56" s="123">
        <v>71415101274.184555</v>
      </c>
      <c r="E56" s="123">
        <v>93417726095.720917</v>
      </c>
      <c r="F56" s="123">
        <v>124998860367.60753</v>
      </c>
      <c r="H56" s="120"/>
    </row>
    <row r="57" spans="1:8">
      <c r="C57" s="114"/>
      <c r="D57" s="114"/>
      <c r="E57" s="114"/>
      <c r="F57" s="114"/>
      <c r="H57" s="120"/>
    </row>
    <row r="58" spans="1:8" ht="13.15">
      <c r="B58" s="119" t="s">
        <v>130</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29.333333333333336</v>
      </c>
      <c r="C60" s="124">
        <f>C7</f>
        <v>29.333333333333336</v>
      </c>
      <c r="D60" s="124">
        <f>C7</f>
        <v>29.333333333333336</v>
      </c>
      <c r="E60" s="141">
        <f>C7</f>
        <v>29.333333333333336</v>
      </c>
      <c r="F60" s="124">
        <f>C7</f>
        <v>29.333333333333336</v>
      </c>
      <c r="H60" s="120"/>
    </row>
    <row r="61" spans="1:8" ht="13.15">
      <c r="A61" s="143">
        <f t="shared" ref="A61:A66" si="3">A51</f>
        <v>5</v>
      </c>
      <c r="B61" s="124">
        <f t="shared" ref="B61:F66" si="4">B51/Common_Shares*$C$3*Exchange_Rate</f>
        <v>30.263508097250284</v>
      </c>
      <c r="C61" s="124">
        <f t="shared" si="4"/>
        <v>31.220780667398131</v>
      </c>
      <c r="D61" s="124">
        <f t="shared" si="4"/>
        <v>32.206342265193726</v>
      </c>
      <c r="E61" s="124">
        <f t="shared" si="4"/>
        <v>33.221421037462903</v>
      </c>
      <c r="F61" s="124">
        <f t="shared" si="4"/>
        <v>34.267282644893179</v>
      </c>
      <c r="H61" s="120"/>
    </row>
    <row r="62" spans="1:8" ht="13.15">
      <c r="A62" s="143">
        <f t="shared" si="3"/>
        <v>10</v>
      </c>
      <c r="B62" s="124">
        <f t="shared" si="4"/>
        <v>31.185895733215112</v>
      </c>
      <c r="C62" s="124">
        <f t="shared" si="4"/>
        <v>33.22295588935765</v>
      </c>
      <c r="D62" s="124">
        <f t="shared" si="4"/>
        <v>35.466666134847131</v>
      </c>
      <c r="E62" s="124">
        <f t="shared" si="4"/>
        <v>37.941660767787788</v>
      </c>
      <c r="F62" s="124">
        <f t="shared" si="4"/>
        <v>40.675302176717913</v>
      </c>
      <c r="H62" s="120"/>
    </row>
    <row r="63" spans="1:8" ht="13.15">
      <c r="A63" s="143">
        <f t="shared" si="3"/>
        <v>15</v>
      </c>
      <c r="B63" s="124">
        <f t="shared" si="4"/>
        <v>32.353746497841563</v>
      </c>
      <c r="C63" s="124">
        <f t="shared" si="4"/>
        <v>35.892821429453974</v>
      </c>
      <c r="D63" s="124">
        <f t="shared" si="4"/>
        <v>40.054116668163225</v>
      </c>
      <c r="E63" s="124">
        <f t="shared" si="4"/>
        <v>44.96173012565972</v>
      </c>
      <c r="F63" s="124">
        <f t="shared" si="4"/>
        <v>50.764172962938609</v>
      </c>
      <c r="H63" s="120"/>
    </row>
    <row r="64" spans="1:8" ht="13.15">
      <c r="A64" s="144">
        <f t="shared" si="3"/>
        <v>20</v>
      </c>
      <c r="B64" s="124">
        <f t="shared" si="4"/>
        <v>33.571249972912582</v>
      </c>
      <c r="C64" s="124">
        <f t="shared" si="4"/>
        <v>38.833261223001301</v>
      </c>
      <c r="D64" s="124">
        <f t="shared" si="4"/>
        <v>45.408823995649499</v>
      </c>
      <c r="E64" s="124">
        <f t="shared" si="4"/>
        <v>53.671370898741912</v>
      </c>
      <c r="F64" s="124">
        <f t="shared" si="4"/>
        <v>64.102217528978684</v>
      </c>
      <c r="H64" s="120"/>
    </row>
    <row r="65" spans="1:8" ht="13.15">
      <c r="A65" s="144">
        <f t="shared" si="3"/>
        <v>25</v>
      </c>
      <c r="B65" s="124">
        <f t="shared" si="4"/>
        <v>34.730032283380403</v>
      </c>
      <c r="C65" s="124">
        <f t="shared" si="4"/>
        <v>41.79732942474547</v>
      </c>
      <c r="D65" s="124">
        <f t="shared" si="4"/>
        <v>51.151469149114014</v>
      </c>
      <c r="E65" s="124">
        <f t="shared" si="4"/>
        <v>63.64755883259037</v>
      </c>
      <c r="F65" s="124">
        <f t="shared" si="4"/>
        <v>80.472220086380986</v>
      </c>
    </row>
    <row r="66" spans="1:8" ht="13.15">
      <c r="A66" s="144">
        <f t="shared" si="3"/>
        <v>30</v>
      </c>
      <c r="B66" s="124">
        <f t="shared" si="4"/>
        <v>35.776153311802766</v>
      </c>
      <c r="C66" s="124">
        <f t="shared" si="4"/>
        <v>44.638157175869836</v>
      </c>
      <c r="D66" s="124">
        <f t="shared" si="4"/>
        <v>57.027773977095706</v>
      </c>
      <c r="E66" s="124">
        <f t="shared" si="4"/>
        <v>74.597737371924467</v>
      </c>
      <c r="F66" s="124">
        <f t="shared" si="4"/>
        <v>99.816518204886677</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30</v>
      </c>
      <c r="E69" s="135">
        <f>INDEX(B$60:F$66, MATCH(D69, A$60:A$66, 0), MATCH(C69, B$59:F$59, 0))</f>
        <v>99.816518204886677</v>
      </c>
      <c r="F69" s="142">
        <f>Scenarios!C58</f>
        <v>0.05</v>
      </c>
    </row>
    <row r="70" spans="1:8">
      <c r="B70" s="127" t="str">
        <f>Scenarios!B36</f>
        <v>Optimistic</v>
      </c>
      <c r="C70" s="142">
        <f>Scenarios!C38</f>
        <v>0.08</v>
      </c>
      <c r="D70" s="145">
        <f>Scenarios!C37</f>
        <v>30</v>
      </c>
      <c r="E70" s="135">
        <f>INDEX(B$60:F$66, MATCH(D70, A$60:A$66, 0), MATCH(C70, B$59:F$59, 0))</f>
        <v>74.597737371924467</v>
      </c>
      <c r="F70" s="142">
        <f>Scenarios!C40*(1-F$69-F$73)</f>
        <v>0.18</v>
      </c>
      <c r="H70" s="120"/>
    </row>
    <row r="71" spans="1:8">
      <c r="B71" s="127" t="str">
        <f>Scenarios!B24</f>
        <v>Base</v>
      </c>
      <c r="C71" s="142">
        <f>Scenarios!C26</f>
        <v>0.06</v>
      </c>
      <c r="D71" s="145">
        <f>Scenarios!C25</f>
        <v>30</v>
      </c>
      <c r="E71" s="135">
        <f>INDEX(B$60:F$66, MATCH(D71, A$60:A$66, 0), MATCH(C71, B$59:F$59, 0))</f>
        <v>57.027773977095706</v>
      </c>
      <c r="F71" s="142">
        <f>Scenarios!C28*(1-F$69-F$73)</f>
        <v>0.44999999999999996</v>
      </c>
      <c r="H71" s="120"/>
    </row>
    <row r="72" spans="1:8">
      <c r="B72" s="127" t="str">
        <f>Scenarios!B30</f>
        <v>Pessimistic</v>
      </c>
      <c r="C72" s="142">
        <f>Scenarios!C32</f>
        <v>0.04</v>
      </c>
      <c r="D72" s="145">
        <f>Scenarios!C31</f>
        <v>30</v>
      </c>
      <c r="E72" s="135">
        <f>INDEX(B$60:F$66, MATCH(D72, A$60:A$66, 0), MATCH(C72, B$59:F$59, 0))</f>
        <v>44.638157175869836</v>
      </c>
      <c r="F72" s="142">
        <f>Scenarios!C34*(1-F$69-F$73)</f>
        <v>0.26999999999999996</v>
      </c>
      <c r="H72" s="120"/>
    </row>
    <row r="73" spans="1:8">
      <c r="B73" s="127" t="str">
        <f>Scenarios!B48</f>
        <v>Devil's advocate</v>
      </c>
      <c r="C73" s="142">
        <f>Scenarios!C50</f>
        <v>0.02</v>
      </c>
      <c r="D73" s="145">
        <f>Scenarios!C49</f>
        <v>30</v>
      </c>
      <c r="E73" s="135">
        <f>INDEX(B$60:F$66, MATCH(D73, A$60:A$66, 0), MATCH(C73, B$59:F$59, 0))</f>
        <v>35.776153311802766</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-54.1</v>
      </c>
    </row>
    <row r="4" spans="2:9">
      <c r="B4" s="152" t="s">
        <v>146</v>
      </c>
      <c r="C4" s="120">
        <v>3</v>
      </c>
      <c r="D4" s="120"/>
      <c r="E4" s="155" t="s">
        <v>150</v>
      </c>
      <c r="F4" s="155"/>
      <c r="H4" s="247">
        <v>1</v>
      </c>
      <c r="I4" s="124">
        <f t="shared" ref="I4:I13" si="0">IF(ROW()-3 &lt; $C$76, $C$77, IF(ROW()-3 = $C$76, $C$77 + $C$60, ""))</f>
        <v>2.0195252845116403</v>
      </c>
    </row>
    <row r="5" spans="2:9">
      <c r="H5" s="247">
        <v>2</v>
      </c>
      <c r="I5" s="124">
        <f t="shared" si="0"/>
        <v>2.0195252845116403</v>
      </c>
    </row>
    <row r="6" spans="2:9" ht="13.15">
      <c r="B6" s="159" t="s">
        <v>95</v>
      </c>
      <c r="C6" s="107">
        <f>DCF!C3</f>
        <v>1</v>
      </c>
      <c r="E6" s="100" t="s">
        <v>279</v>
      </c>
      <c r="F6" s="100"/>
      <c r="H6" s="247">
        <v>3</v>
      </c>
      <c r="I6" s="124">
        <f t="shared" si="0"/>
        <v>74.741052955800285</v>
      </c>
    </row>
    <row r="7" spans="2:9" ht="12.75" customHeight="1">
      <c r="B7" s="100" t="s">
        <v>275</v>
      </c>
      <c r="C7" s="338">
        <f>Normalized_FCF!G8</f>
        <v>4487792577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6"/>
      <c r="H7" s="247">
        <v>4</v>
      </c>
      <c r="I7" s="124" t="str">
        <f t="shared" si="0"/>
        <v/>
      </c>
    </row>
    <row r="8" spans="2:9">
      <c r="B8" s="100" t="s">
        <v>66</v>
      </c>
      <c r="C8" s="338">
        <f>Normalized_FCF!G19</f>
        <v>3154850328.8533382</v>
      </c>
      <c r="D8" t="str">
        <f>Reporting_currency</f>
        <v>CNY</v>
      </c>
      <c r="E8" s="366"/>
      <c r="F8" s="366"/>
      <c r="H8" s="247">
        <v>5</v>
      </c>
      <c r="I8" s="124" t="str">
        <f t="shared" si="0"/>
        <v/>
      </c>
    </row>
    <row r="9" spans="2:9">
      <c r="B9" s="100" t="s">
        <v>57</v>
      </c>
      <c r="C9" s="338">
        <f>Normalized_FCF!C19</f>
        <v>2878387446.3991423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2.1321347914251776E-2</v>
      </c>
      <c r="D12" s="158"/>
      <c r="E12" s="366"/>
      <c r="F12" s="366"/>
      <c r="H12" s="247">
        <v>9</v>
      </c>
      <c r="I12" s="124" t="str">
        <f t="shared" si="0"/>
        <v/>
      </c>
    </row>
    <row r="13" spans="2:9">
      <c r="B13" s="148" t="s">
        <v>152</v>
      </c>
      <c r="C13" s="158">
        <f ca="1">(Normalized_FCF!G8/OFFSET(Normalized_FCF!G8, 0, $C$4))^(1/$C$4) - 1</f>
        <v>0.15185942572632172</v>
      </c>
      <c r="E13" s="366"/>
      <c r="F13" s="366"/>
      <c r="H13" s="247">
        <v>10</v>
      </c>
      <c r="I13" s="124" t="str">
        <f t="shared" si="0"/>
        <v/>
      </c>
    </row>
    <row r="14" spans="2:9">
      <c r="B14" s="100" t="s">
        <v>66</v>
      </c>
      <c r="C14" s="158">
        <f ca="1">(Normalized_FCF!G19/OFFSET(Normalized_FCF!G19, 0, $C$4))^(1/$C$4) - 1</f>
        <v>0.22851105789900417</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54.1</v>
      </c>
      <c r="D21" t="str">
        <f>Market_currency</f>
        <v>HKD</v>
      </c>
      <c r="E21" s="367"/>
      <c r="F21" s="367"/>
    </row>
    <row r="22" spans="2:6">
      <c r="B22" s="100" t="s">
        <v>278</v>
      </c>
      <c r="C22" s="160">
        <f>IF(valuation_method="DCF",DCF!C12,DDM!C7)</f>
        <v>42.852764049633578</v>
      </c>
      <c r="D22" t="str">
        <f>Market_currency</f>
        <v>HKD</v>
      </c>
      <c r="E22" s="367"/>
      <c r="F22" s="367"/>
    </row>
    <row r="24" spans="2:6" ht="13.15">
      <c r="B24" s="159" t="s">
        <v>115</v>
      </c>
      <c r="E24" s="159" t="s">
        <v>149</v>
      </c>
      <c r="F24" s="159"/>
    </row>
    <row r="25" spans="2:6">
      <c r="B25" s="152" t="s">
        <v>133</v>
      </c>
      <c r="C25" s="166">
        <f>C18</f>
        <v>30</v>
      </c>
      <c r="D25" s="163"/>
      <c r="E25" s="365"/>
      <c r="F25" s="365"/>
    </row>
    <row r="26" spans="2:6">
      <c r="B26" s="118" t="s">
        <v>134</v>
      </c>
      <c r="C26" s="164">
        <v>0.06</v>
      </c>
      <c r="D26" s="164"/>
      <c r="E26" s="365"/>
      <c r="F26" s="365"/>
    </row>
    <row r="27" spans="2:6">
      <c r="B27" s="100" t="s">
        <v>113</v>
      </c>
      <c r="C27" s="160">
        <f>IF(valuation_method="DCF",DCF!E76,DDM!E71)</f>
        <v>71.787234088750324</v>
      </c>
      <c r="D27" s="160" t="str">
        <f>Market_currency</f>
        <v>HKD</v>
      </c>
      <c r="E27" s="365"/>
      <c r="F27" s="365"/>
    </row>
    <row r="28" spans="2:6">
      <c r="B28" s="100" t="s">
        <v>147</v>
      </c>
      <c r="C28" s="165">
        <v>0.5</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0.04</v>
      </c>
      <c r="D32" s="164"/>
      <c r="E32" s="365"/>
      <c r="F32" s="365"/>
    </row>
    <row r="33" spans="2:6">
      <c r="B33" s="100" t="s">
        <v>113</v>
      </c>
      <c r="C33" s="160">
        <f>IF(valuation_method="DCF",DCF!E77,DDM!E72)</f>
        <v>58.842867356723566</v>
      </c>
      <c r="D33" t="str">
        <f>Market_currency</f>
        <v>HKD</v>
      </c>
      <c r="E33" s="365"/>
      <c r="F33" s="365"/>
    </row>
    <row r="34" spans="2:6">
      <c r="B34" s="100" t="s">
        <v>147</v>
      </c>
      <c r="C34" s="165">
        <v>0.3</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0.08</v>
      </c>
      <c r="D38" s="164"/>
      <c r="E38" s="365"/>
      <c r="F38" s="365"/>
    </row>
    <row r="39" spans="2:6">
      <c r="B39" s="100" t="s">
        <v>113</v>
      </c>
      <c r="C39" s="160">
        <f>IF(valuation_method="DCF",DCF!E75,DDM!E70)</f>
        <v>90.143899456192997</v>
      </c>
      <c r="D39" t="str">
        <f>Market_currency</f>
        <v>HKD</v>
      </c>
      <c r="E39" s="365"/>
      <c r="F39" s="365"/>
    </row>
    <row r="40" spans="2:6">
      <c r="B40" s="100" t="s">
        <v>147</v>
      </c>
      <c r="C40" s="167">
        <f>1-C28-C34</f>
        <v>0.2</v>
      </c>
      <c r="D40" s="165"/>
      <c r="E40" s="365"/>
      <c r="F40" s="365"/>
    </row>
    <row r="42" spans="2:6" ht="13.15">
      <c r="B42" s="100" t="s">
        <v>120</v>
      </c>
      <c r="C42" s="154">
        <f>C27*C28+C33*C34+C39*C40</f>
        <v>71.575257142630832</v>
      </c>
      <c r="D42" t="str">
        <f>Market_currency</f>
        <v>HKD</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0.02</v>
      </c>
      <c r="D50" s="164"/>
      <c r="E50" s="365"/>
      <c r="F50" s="365"/>
    </row>
    <row r="51" spans="2:6">
      <c r="B51" s="100" t="s">
        <v>113</v>
      </c>
      <c r="C51" s="160">
        <f>IF(valuation_method="DCF",DCF!E78,DDM!E73)</f>
        <v>49.58406380875811</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0.1</v>
      </c>
      <c r="D56" s="164"/>
      <c r="E56" s="365"/>
      <c r="F56" s="365"/>
    </row>
    <row r="57" spans="2:6">
      <c r="B57" s="100" t="s">
        <v>113</v>
      </c>
      <c r="C57" s="160">
        <f>IF(valuation_method="DCF",DCF!E74,DDM!E69)</f>
        <v>116.49186104965983</v>
      </c>
      <c r="D57" t="str">
        <f>Market_currency</f>
        <v>HKD</v>
      </c>
      <c r="E57" s="365"/>
      <c r="F57" s="365"/>
    </row>
    <row r="58" spans="2:6">
      <c r="B58" s="100" t="s">
        <v>147</v>
      </c>
      <c r="C58" s="165">
        <v>0.05</v>
      </c>
      <c r="D58" s="165"/>
      <c r="E58" s="365"/>
      <c r="F58" s="365"/>
    </row>
    <row r="60" spans="2:6" ht="13.15">
      <c r="B60" s="100" t="s">
        <v>120</v>
      </c>
      <c r="C60" s="154">
        <f>C51*C52+C57*C58+C42*(1-C52-C58)</f>
        <v>72.721527671288641</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6.1165848114484E-2</v>
      </c>
      <c r="D65" s="151"/>
      <c r="E65" s="251" t="s">
        <v>312</v>
      </c>
    </row>
    <row r="66" spans="2:6">
      <c r="B66" s="100" t="s">
        <v>102</v>
      </c>
      <c r="C66" s="160">
        <f>IF(valuation_method="DCF",DCF!C18,DDM!C13)</f>
        <v>72.688434464406939</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0.16784602375111365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2.0195252845116403</v>
      </c>
      <c r="D77" t="str">
        <f>Market_currency</f>
        <v>HKD</v>
      </c>
    </row>
    <row r="79" spans="2:6" ht="13.15">
      <c r="B79" s="109" t="s">
        <v>301</v>
      </c>
    </row>
    <row r="80" spans="2:6">
      <c r="B80" s="148" t="s">
        <v>299</v>
      </c>
      <c r="C80" s="167">
        <f>Thesis!F29</f>
        <v>0.3674</v>
      </c>
    </row>
    <row r="81" spans="2:8">
      <c r="B81" s="100" t="s">
        <v>121</v>
      </c>
      <c r="C81" s="116">
        <f>PV(C80, C76, -C77, 0)</f>
        <v>3.3468770984498839</v>
      </c>
      <c r="D81" s="116"/>
      <c r="E81" s="100"/>
      <c r="F81" s="100"/>
    </row>
    <row r="82" spans="2:8">
      <c r="B82" s="100" t="s">
        <v>122</v>
      </c>
      <c r="C82" s="116">
        <f>C60/(1+C80)^C76</f>
        <v>28.443056690736793</v>
      </c>
      <c r="D82" s="116"/>
    </row>
    <row r="83" spans="2:8" ht="13.15">
      <c r="B83" s="110" t="s">
        <v>101</v>
      </c>
      <c r="C83" s="111">
        <f>C81+C82</f>
        <v>31.789933789186676</v>
      </c>
      <c r="D83" t="str">
        <f>Market_currency</f>
        <v>HKD</v>
      </c>
      <c r="E83" s="146" t="s">
        <v>126</v>
      </c>
      <c r="F83" s="291">
        <f>(1-C83/C60)</f>
        <v>0.56285387825072142</v>
      </c>
    </row>
    <row r="84" spans="2:8">
      <c r="E84" s="120"/>
    </row>
    <row r="85" spans="2:8" ht="13.15">
      <c r="B85" s="109" t="s">
        <v>302</v>
      </c>
    </row>
    <row r="86" spans="2:8">
      <c r="B86" s="148" t="s">
        <v>300</v>
      </c>
      <c r="C86" s="116">
        <f>Market_Price</f>
        <v>54.1</v>
      </c>
      <c r="D86" t="str">
        <f>Market_currency</f>
        <v>HKD</v>
      </c>
    </row>
    <row r="87" spans="2:8" ht="13.15">
      <c r="B87" s="100" t="s">
        <v>298</v>
      </c>
      <c r="C87" s="237">
        <f ca="1">IRR(OFFSET($I$3, 0, 0, $C$76 + 1, 1))</f>
        <v>0.13762765383940545</v>
      </c>
    </row>
    <row r="88" spans="2:8">
      <c r="B88" s="100"/>
    </row>
    <row r="89" spans="2:8" ht="13.15">
      <c r="B89" s="109" t="s">
        <v>412</v>
      </c>
    </row>
    <row r="90" spans="2:8">
      <c r="B90" s="148" t="s">
        <v>413</v>
      </c>
      <c r="C90" s="167">
        <f>Thesis!F30</f>
        <v>0.21740000000000001</v>
      </c>
    </row>
    <row r="91" spans="2:8">
      <c r="B91" s="100" t="s">
        <v>121</v>
      </c>
      <c r="C91" s="116">
        <f>PV(C90, C76, -C77, 0)</f>
        <v>4.1408363071787377</v>
      </c>
      <c r="D91" s="116"/>
      <c r="E91" s="100"/>
      <c r="F91" s="100"/>
    </row>
    <row r="92" spans="2:8">
      <c r="B92" s="100" t="s">
        <v>122</v>
      </c>
      <c r="C92" s="116">
        <f>C60/(1+C90)^C76</f>
        <v>40.305387544954506</v>
      </c>
      <c r="D92" s="116"/>
    </row>
    <row r="93" spans="2:8" ht="13.15">
      <c r="B93" s="110" t="s">
        <v>101</v>
      </c>
      <c r="C93" s="111">
        <f>C91+C92</f>
        <v>44.446223852133244</v>
      </c>
      <c r="D93" t="str">
        <f>Market_currency</f>
        <v>HKD</v>
      </c>
      <c r="E93" s="146" t="s">
        <v>126</v>
      </c>
      <c r="F93" s="291">
        <f>(1-C93/C60)</f>
        <v>0.38881614185779589</v>
      </c>
    </row>
    <row r="95" spans="2:8" ht="13.15">
      <c r="B95" s="109" t="s">
        <v>397</v>
      </c>
      <c r="G95" s="2"/>
      <c r="H95" s="281"/>
    </row>
    <row r="96" spans="2:8">
      <c r="B96" s="148" t="s">
        <v>403</v>
      </c>
      <c r="C96" s="134">
        <f>Thesis!F31</f>
        <v>7.4999999999999997E-2</v>
      </c>
      <c r="G96" s="2"/>
      <c r="H96" s="281"/>
    </row>
    <row r="97" spans="2:8">
      <c r="B97" s="100" t="s">
        <v>121</v>
      </c>
      <c r="C97" s="116">
        <f>PV(C96, C76, -C77, 0)</f>
        <v>5.2518274846947639</v>
      </c>
      <c r="D97" s="116"/>
      <c r="G97" s="2"/>
      <c r="H97" s="281"/>
    </row>
    <row r="98" spans="2:8">
      <c r="B98" s="100" t="s">
        <v>122</v>
      </c>
      <c r="C98" s="116">
        <f>C60/(1+C96)^C76</f>
        <v>58.537962329888856</v>
      </c>
      <c r="D98" s="116"/>
      <c r="G98" s="2"/>
      <c r="H98" s="281"/>
    </row>
    <row r="99" spans="2:8" ht="13.15">
      <c r="B99" s="110" t="s">
        <v>398</v>
      </c>
      <c r="C99" s="111">
        <f>C97+C98</f>
        <v>63.789789814583621</v>
      </c>
      <c r="D99" t="s">
        <v>396</v>
      </c>
      <c r="E99" s="146" t="s">
        <v>126</v>
      </c>
      <c r="F99" s="291">
        <f>(1-C99/C60)</f>
        <v>0.12282109772332772</v>
      </c>
    </row>
    <row r="100" spans="2:8">
      <c r="B100" s="100"/>
    </row>
    <row r="101" spans="2:8" ht="13.15">
      <c r="B101" s="109" t="s">
        <v>422</v>
      </c>
    </row>
    <row r="102" spans="2:8">
      <c r="B102" s="148" t="s">
        <v>421</v>
      </c>
      <c r="C102" s="134">
        <f>Thesis!F32</f>
        <v>0.1174</v>
      </c>
    </row>
    <row r="103" spans="2:8">
      <c r="B103" s="100" t="s">
        <v>121</v>
      </c>
      <c r="C103" s="116">
        <f>PV(C102, C76, -C77, 0)</f>
        <v>4.8723130143249227</v>
      </c>
      <c r="D103" s="116"/>
    </row>
    <row r="104" spans="2:8">
      <c r="B104" s="100" t="s">
        <v>122</v>
      </c>
      <c r="C104" s="116">
        <f>C60/(1+C102)^C76</f>
        <v>52.123910754309691</v>
      </c>
      <c r="D104" s="116"/>
    </row>
    <row r="105" spans="2:8" ht="13.15">
      <c r="B105" s="110" t="s">
        <v>398</v>
      </c>
      <c r="C105" s="111">
        <f>C103+C104</f>
        <v>56.996223768634614</v>
      </c>
      <c r="D105" t="s">
        <v>396</v>
      </c>
      <c r="E105" s="146" t="s">
        <v>126</v>
      </c>
      <c r="F105" s="291">
        <f>(1-C105/C66)</f>
        <v>0.21588318432495979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