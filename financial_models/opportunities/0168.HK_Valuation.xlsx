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E6FFD71C-EA96-4440-B33A-0154E40003D9}" xr6:coauthVersionLast="47" xr6:coauthVersionMax="47" xr10:uidLastSave="{00000000-0000-0000-0000-000000000000}"/>
  <bookViews>
    <workbookView xWindow="0" yWindow="0" windowWidth="17120" windowHeight="1076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8" i="4" s="1"/>
  <c r="C11" i="3"/>
  <c r="C5" i="4"/>
  <c r="D5" i="4"/>
  <c r="E5" i="4"/>
  <c r="F5" i="4"/>
  <c r="G5" i="4"/>
  <c r="C6" i="4"/>
  <c r="D6" i="4"/>
  <c r="E6" i="4"/>
  <c r="F6" i="4"/>
  <c r="G6" i="4"/>
  <c r="C20" i="4"/>
  <c r="D20" i="4"/>
  <c r="E20" i="4"/>
  <c r="F20" i="4"/>
  <c r="C25" i="4"/>
  <c r="D25" i="4"/>
  <c r="E25" i="4"/>
  <c r="F25" i="4"/>
  <c r="G25"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C62" i="10"/>
  <c r="C64" i="10"/>
  <c r="C66" i="10"/>
  <c r="B66" i="10"/>
  <c r="D64" i="10"/>
  <c r="D66" i="10"/>
  <c r="F62" i="10"/>
  <c r="F66" i="10"/>
  <c r="E61" i="10"/>
  <c r="F63" i="10"/>
  <c r="D62" i="10"/>
  <c r="B61" i="10"/>
  <c r="D65" i="10"/>
  <c r="F65" i="10"/>
  <c r="E62" i="10"/>
  <c r="E64" i="10"/>
  <c r="E66" i="10"/>
  <c r="F64" i="10"/>
  <c r="D63" i="10"/>
  <c r="B64" i="10"/>
  <c r="F61" i="10"/>
  <c r="E65" i="10"/>
  <c r="C61" i="10"/>
  <c r="C63" i="10"/>
  <c r="C65" i="10"/>
  <c r="B62" i="10"/>
  <c r="D61" i="10"/>
  <c r="B63" i="10"/>
  <c r="E63" i="10"/>
  <c r="B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1" i="2" l="1"/>
  <c r="C4"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1" i="3" s="1"/>
  <c r="C8" i="6" s="1"/>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C70" i="8"/>
  <c r="E66" i="8"/>
  <c r="F70" i="8"/>
  <c r="E67" i="8"/>
  <c r="C66" i="8"/>
  <c r="E70" i="8"/>
  <c r="B66" i="8"/>
  <c r="G54" i="2"/>
  <c r="C54" i="2" s="1"/>
  <c r="D66" i="8" l="1"/>
  <c r="C67" i="8"/>
  <c r="F71" i="8"/>
  <c r="F66" i="8"/>
  <c r="D69"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98" i="9" l="1"/>
  <c r="C99" i="9" s="1"/>
  <c r="C127" i="6"/>
  <c r="C26" i="6" s="1"/>
  <c r="C82" i="9"/>
  <c r="C83" i="9" s="1"/>
  <c r="F83" i="9" s="1"/>
  <c r="I6" i="9"/>
  <c r="C87" i="9" s="1"/>
  <c r="F72" i="9"/>
  <c r="C72" i="9" s="1"/>
  <c r="C104" i="9"/>
  <c r="C105" i="9" s="1"/>
  <c r="C168" i="6" s="1"/>
  <c r="H76" i="2"/>
  <c r="H120" i="2"/>
  <c r="H116" i="2" s="1"/>
  <c r="H13" i="2"/>
  <c r="C159" i="6" l="1"/>
  <c r="C143" i="6"/>
  <c r="C167" i="6"/>
  <c r="D168" i="6"/>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<sst xmlns="http://schemas.openxmlformats.org/spreadsheetml/2006/main" count="682" uniqueCount="462">
  <si>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</si>
  <si>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</si>
  <si>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</si>
  <si>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</si>
  <si>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</si>
  <si>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</si>
  <si>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</si>
  <si>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</si>
  <si>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</si>
  <si>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</si>
  <si>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</si>
  <si>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</si>
  <si>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</si>
  <si>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</si>
  <si>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</si>
  <si>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</si>
  <si>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</si>
  <si>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</si>
  <si>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</si>
  <si>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</si>
  <si>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</si>
  <si>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</si>
  <si>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</si>
  <si>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</si>
  <si>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</si>
  <si>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</si>
  <si>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</si>
  <si>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</si>
  <si>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</si>
  <si>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</si>
  <si>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</si>
  <si>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</si>
  <si>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</si>
  <si>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</si>
  <si>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</si>
  <si>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</si>
  <si>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</si>
  <si>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</si>
  <si>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</si>
  <si>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</si>
  <si>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</si>
  <si>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</si>
  <si>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</si>
  <si>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</si>
  <si>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</si>
  <si>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</si>
  <si>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</si>
  <si>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</si>
  <si>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</si>
  <si>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</si>
  <si>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</si>
  <si>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</si>
  <si>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</si>
  <si>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</si>
  <si>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</si>
  <si>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</si>
  <si>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</si>
  <si>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</si>
  <si>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</si>
  <si>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</si>
  <si>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</si>
  <si>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</si>
  <si>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</si>
  <si>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</si>
  <si>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</si>
  <si>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</si>
  <si>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</si>
  <si>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</si>
  <si>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</si>
  <si>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</si>
  <si>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</si>
  <si>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</si>
  <si>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</si>
  <si>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</si>
  <si>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</si>
  <si>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</si>
  <si>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</si>
  <si>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</si>
  <si>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</si>
  <si>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</si>
  <si>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</si>
  <si>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</si>
  <si>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</si>
  <si>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</si>
  <si>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</si>
  <si>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</si>
  <si>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</si>
  <si>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</si>
  <si>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</si>
  <si>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</si>
  <si>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</si>
  <si>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</si>
  <si>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</si>
  <si>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</si>
  <si>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</si>
  <si>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</si>
  <si>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</si>
  <si>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</si>
  <si>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</si>
  <si>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</si>
  <si>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</si>
  <si>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</si>
  <si>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</si>
  <si>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</si>
  <si>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</si>
  <si>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</si>
  <si>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</si>
  <si>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</si>
  <si>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</si>
  <si>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</si>
  <si>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</si>
  <si>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</si>
  <si>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</si>
  <si>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</si>
  <si>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</si>
  <si>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</si>
  <si>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</si>
  <si>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</si>
  <si>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</si>
  <si>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</si>
  <si>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</si>
  <si>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</si>
  <si>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</si>
  <si>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</si>
  <si>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</si>
  <si>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</si>
  <si>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</si>
  <si>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</si>
  <si>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</si>
  <si>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</si>
  <si>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</si>
  <si>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</si>
  <si>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</si>
  <si>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</si>
  <si>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</si>
  <si>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</si>
  <si>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</si>
  <si>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</si>
  <si>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</si>
  <si>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</si>
  <si>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</si>
  <si>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</si>
  <si>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</si>
  <si>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</si>
  <si>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</si>
  <si>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</si>
  <si>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</si>
  <si>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</si>
  <si>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</si>
  <si>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</si>
  <si>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</si>
  <si>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</si>
  <si>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</si>
  <si>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</si>
  <si>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</si>
  <si>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</si>
  <si>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</si>
  <si>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</si>
  <si>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</si>
  <si>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</si>
  <si>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</si>
  <si>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</si>
  <si>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</si>
  <si>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</si>
  <si>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</si>
  <si>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</si>
  <si>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</si>
  <si>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</si>
  <si>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</si>
  <si>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</si>
  <si>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</si>
  <si>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</si>
  <si>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</si>
  <si>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</si>
  <si>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</si>
  <si>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</si>
  <si>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</si>
  <si>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</si>
  <si>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</si>
  <si>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</si>
  <si>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</si>
  <si>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</si>
  <si>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</si>
  <si>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</si>
  <si>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</si>
  <si>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</si>
  <si>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</si>
  <si>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</si>
  <si>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</si>
  <si>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</si>
  <si>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</si>
  <si>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</si>
  <si>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</si>
  <si>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</si>
  <si>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</si>
  <si>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</si>
  <si>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</si>
  <si>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</si>
  <si>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</si>
  <si>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</si>
  <si>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</si>
  <si>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</si>
  <si>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</si>
  <si>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</si>
  <si>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</si>
  <si>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</si>
  <si>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</si>
  <si>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</si>
  <si>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</si>
  <si>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</si>
  <si>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</si>
  <si>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</si>
  <si>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</si>
  <si>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</si>
  <si>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</si>
  <si>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</si>
  <si>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</si>
  <si>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</si>
  <si>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</si>
  <si>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</si>
  <si>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</si>
  <si>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</si>
  <si>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</si>
  <si>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</si>
  <si>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</si>
  <si>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</si>
  <si>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</si>
  <si>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</si>
  <si>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</si>
  <si>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</si>
  <si>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</si>
  <si>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</si>
  <si>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</si>
  <si>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</si>
  <si>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</si>
  <si>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</si>
  <si>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</si>
  <si>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</si>
  <si>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</si>
  <si>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</si>
  <si>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</si>
  <si>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</si>
  <si>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</si>
  <si>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</si>
  <si>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</si>
  <si>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</si>
  <si>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</si>
  <si>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</si>
  <si>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</si>
  <si>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</si>
  <si>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</si>
  <si>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</si>
  <si>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</si>
  <si>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</si>
  <si>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</si>
  <si>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</si>
  <si>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</si>
  <si>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</si>
  <si>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</si>
  <si>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</si>
  <si>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</si>
  <si>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</si>
  <si>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</si>
  <si>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</si>
  <si>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</si>
  <si>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</si>
  <si>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</si>
  <si>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</si>
  <si>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</si>
  <si>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</si>
  <si>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</si>
  <si>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</si>
  <si>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</si>
  <si>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</si>
  <si>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</si>
  <si>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</si>
  <si>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</si>
  <si>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</si>
  <si>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</si>
  <si>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</si>
  <si>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</si>
  <si>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</si>
  <si>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</si>
  <si>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</si>
  <si>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</si>
  <si>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</si>
  <si>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</si>
  <si>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</si>
  <si>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</si>
  <si>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</si>
  <si>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</si>
  <si>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</si>
  <si>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</si>
  <si>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</si>
  <si>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</si>
  <si>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</si>
  <si>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</si>
  <si>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</si>
  <si>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</si>
  <si>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</si>
  <si>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</si>
  <si>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</si>
  <si>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</si>
  <si>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</si>
  <si>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</si>
  <si>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</si>
  <si>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</si>
  <si>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</si>
  <si>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</si>
  <si>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</si>
  <si>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</si>
  <si>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</si>
  <si>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</si>
  <si>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</si>
  <si>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</si>
  <si>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</si>
  <si>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</si>
  <si>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</si>
  <si>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</si>
  <si>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</si>
  <si>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</si>
  <si>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</si>
  <si>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</si>
  <si>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</si>
  <si>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</si>
  <si>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</si>
  <si>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</si>
  <si>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</si>
  <si>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</si>
  <si>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</si>
  <si>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</si>
  <si>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</si>
  <si>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</si>
  <si>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</si>
  <si>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</si>
  <si>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</si>
  <si>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</si>
  <si>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</si>
  <si>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</si>
  <si>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</si>
  <si>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</si>
  <si>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</si>
  <si>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</si>
  <si>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</si>
  <si>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</si>
  <si>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</si>
  <si>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</si>
  <si>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</si>
  <si>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</si>
  <si>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</si>
  <si>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</si>
  <si>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</si>
  <si>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</si>
  <si>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</si>
  <si>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</si>
  <si>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</si>
  <si>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</si>
  <si>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</si>
  <si>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</si>
  <si>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</si>
  <si>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</si>
  <si>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</si>
  <si>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</si>
  <si>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</si>
  <si>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</si>
  <si>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</si>
  <si>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</si>
  <si>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</si>
  <si>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</si>
  <si>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</si>
  <si>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</si>
  <si>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</si>
  <si>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</si>
  <si>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</si>
  <si>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</si>
  <si>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</si>
  <si>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</si>
  <si>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</si>
  <si>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</si>
  <si>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</si>
  <si>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</si>
  <si>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</si>
  <si>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</si>
  <si>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</si>
  <si>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</si>
  <si>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</si>
  <si>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</si>
  <si>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</si>
  <si>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</si>
  <si>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</si>
  <si>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</si>
  <si>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</si>
  <si>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</si>
  <si>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</si>
  <si>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</si>
  <si>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</si>
  <si>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</si>
  <si>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</si>
  <si>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</si>
  <si>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</si>
  <si>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</si>
  <si>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</si>
  <si>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</si>
  <si>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</si>
  <si>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</si>
  <si>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</si>
  <si>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</si>
  <si>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</si>
  <si>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</si>
  <si>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</si>
  <si>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</si>
  <si>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</si>
  <si>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</si>
  <si>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</si>
  <si>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</si>
  <si>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</si>
  <si>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</si>
  <si>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</si>
  <si>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</si>
  <si>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</si>
  <si>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</si>
  <si>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</si>
  <si>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</si>
  <si>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</si>
  <si>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</si>
  <si>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</si>
  <si>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</si>
  <si>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</si>
  <si>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</si>
  <si>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</si>
  <si>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</si>
  <si>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</si>
  <si>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</si>
  <si>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</si>
  <si>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</si>
  <si>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</si>
  <si>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</si>
  <si>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</si>
  <si>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</si>
  <si>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</si>
  <si>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</si>
  <si>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</si>
  <si>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</si>
  <si>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</si>
  <si>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</si>
  <si>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</si>
  <si>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</si>
  <si>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</si>
  <si>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</si>
  <si>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</si>
  <si>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</si>
  <si>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</si>
  <si>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N</t>
  </si>
  <si>
    <t>青島啤酒股份</t>
  </si>
  <si>
    <t>0168.HK</t>
  </si>
  <si>
    <t/>
  </si>
  <si>
    <t>CNS_03</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</si>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</sst>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7" fillId="0" borderId="0" xfId="0" applyFont="1" applyAlignment="1">
      <alignment horizontal="left"/>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1" sqref="D1"/>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45754</v>
      </c>
      <c r="D1" s="358" t="s">
        <v>461</v>
      </c>
      <c r="E1" s="320" t="s">
        <v>354</v>
      </c>
      <c r="F1" s="276" t="s">
        <v>452</v>
      </c>
    </row>
    <row r="2" spans="1:10" ht="16" x14ac:dyDescent="0.25">
      <c r="A2" s="244" t="s">
        <v>268</v>
      </c>
      <c r="B2" s="36"/>
      <c r="C2" s="36"/>
      <c r="D2" s="36"/>
      <c r="E2" s="36"/>
      <c r="F2" s="36"/>
      <c r="G2" s="22"/>
      <c r="H2" s="22"/>
      <c r="I2" s="22"/>
      <c r="J2" s="22"/>
    </row>
    <row r="4" spans="1:10" x14ac:dyDescent="0.15">
      <c r="B4" s="45" t="s">
        <v>417</v>
      </c>
      <c r="C4" s="46"/>
      <c r="D4" s="5"/>
      <c r="E4" s="2"/>
      <c r="F4" s="2"/>
    </row>
    <row r="5" spans="1:10" ht="14" x14ac:dyDescent="0.2">
      <c r="B5" s="4" t="s">
        <v>316</v>
      </c>
      <c r="C5" s="322" t="s">
        <v>453</v>
      </c>
    </row>
    <row r="6" spans="1:10" x14ac:dyDescent="0.15">
      <c r="B6" s="4" t="s">
        <v>0</v>
      </c>
      <c r="C6" s="51">
        <v>1364196788</v>
      </c>
      <c r="E6" s="48"/>
    </row>
    <row r="7" spans="1:10" x14ac:dyDescent="0.15">
      <c r="B7" s="2" t="s">
        <v>308</v>
      </c>
      <c r="C7" s="272">
        <v>6</v>
      </c>
      <c r="D7" s="48"/>
      <c r="E7" s="48"/>
    </row>
    <row r="8" spans="1:10" x14ac:dyDescent="0.15">
      <c r="B8" s="1" t="s">
        <v>269</v>
      </c>
      <c r="C8" s="33">
        <f>EOMONTH(EDATE(BS!C1,C7+2),0)</f>
        <v>45900</v>
      </c>
      <c r="E8" s="48"/>
    </row>
    <row r="9" spans="1:10" x14ac:dyDescent="0.15">
      <c r="E9" s="34"/>
    </row>
    <row r="10" spans="1:10" x14ac:dyDescent="0.15">
      <c r="B10" s="45" t="s">
        <v>420</v>
      </c>
      <c r="C10" s="46"/>
      <c r="E10" s="34"/>
    </row>
    <row r="11" spans="1:10" x14ac:dyDescent="0.15">
      <c r="B11" s="1" t="s">
        <v>419</v>
      </c>
      <c r="C11" s="49" t="s">
        <v>454</v>
      </c>
      <c r="D11" s="49" t="s">
        <v>455</v>
      </c>
      <c r="E11" s="34"/>
    </row>
    <row r="12" spans="1:10" x14ac:dyDescent="0.15">
      <c r="B12" s="4" t="s">
        <v>95</v>
      </c>
      <c r="C12" s="50">
        <v>55.3</v>
      </c>
      <c r="D12" s="50"/>
      <c r="E12" s="48"/>
    </row>
    <row r="13" spans="1:10" x14ac:dyDescent="0.15">
      <c r="B13" s="1" t="s">
        <v>418</v>
      </c>
      <c r="C13" s="48" t="s">
        <v>397</v>
      </c>
      <c r="D13" s="48"/>
      <c r="E13" s="5"/>
    </row>
    <row r="14" spans="1:10" x14ac:dyDescent="0.15">
      <c r="B14" s="4" t="s">
        <v>422</v>
      </c>
      <c r="C14" s="35">
        <f>Thesis!C12*Common_Shares/1000000</f>
        <v>75440.082376399994</v>
      </c>
      <c r="D14" s="35" t="str">
        <f>IF(D11="","",Thesis!D12*Common_Shares/1000000)</f>
        <v/>
      </c>
      <c r="E14" s="5"/>
    </row>
    <row r="15" spans="1:10" x14ac:dyDescent="0.15">
      <c r="B15" s="4" t="s">
        <v>421</v>
      </c>
      <c r="C15" s="32" t="str">
        <f>IF(C25=C13,C13,C25&amp;"/"&amp;C13)</f>
        <v>CNY/HKD</v>
      </c>
      <c r="D15" s="32" t="str">
        <f>IF(D11="","",IF(C25=D13,D13,C25&amp;"/"&amp;D13))</f>
        <v/>
      </c>
      <c r="E15" s="5"/>
    </row>
    <row r="16" spans="1:10" x14ac:dyDescent="0.15">
      <c r="B16" s="4" t="s">
        <v>1</v>
      </c>
      <c r="C16" s="50">
        <v>1.0837740600000001</v>
      </c>
      <c r="D16" s="50"/>
      <c r="E16" s="5"/>
    </row>
    <row r="17" spans="2:6" x14ac:dyDescent="0.15">
      <c r="D17" s="5"/>
      <c r="E17" s="5"/>
    </row>
    <row r="18" spans="2:6" ht="24.5" customHeight="1" x14ac:dyDescent="0.15">
      <c r="B18" s="346" t="s">
        <v>360</v>
      </c>
      <c r="C18" s="346"/>
      <c r="D18" s="346"/>
      <c r="E18" s="346"/>
      <c r="F18" s="346"/>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 xml:space="preserve">Low Growth </v>
      </c>
      <c r="D21" s="1" t="s">
        <v>441</v>
      </c>
      <c r="E21" s="338" t="s">
        <v>457</v>
      </c>
    </row>
    <row r="22" spans="2:6" x14ac:dyDescent="0.15">
      <c r="B22" s="2" t="s">
        <v>56</v>
      </c>
      <c r="C22" s="48" t="s">
        <v>456</v>
      </c>
      <c r="D22" s="1" t="str">
        <f>IF(valuation_method="DDM","DDM Terminal Value","")</f>
        <v/>
      </c>
      <c r="E22" s="343"/>
    </row>
    <row r="23" spans="2:6" x14ac:dyDescent="0.15">
      <c r="B23" s="1" t="s">
        <v>436</v>
      </c>
      <c r="C23" s="286" t="s">
        <v>452</v>
      </c>
    </row>
    <row r="24" spans="2:6" x14ac:dyDescent="0.15">
      <c r="B24" s="1" t="s">
        <v>437</v>
      </c>
      <c r="C24" s="286" t="s">
        <v>452</v>
      </c>
    </row>
    <row r="25" spans="2:6" x14ac:dyDescent="0.15">
      <c r="B25" s="4" t="s">
        <v>348</v>
      </c>
      <c r="C25" s="48" t="s">
        <v>416</v>
      </c>
      <c r="D25" s="32" t="str">
        <f>IF(D11="","",Market_currency&amp;"/"&amp;D13&amp;":")</f>
        <v/>
      </c>
      <c r="E25" s="329" t="str">
        <f>IF(D11="","",1/Exchange_Rate*D16)</f>
        <v/>
      </c>
    </row>
    <row r="26" spans="2:6" x14ac:dyDescent="0.15">
      <c r="B26" s="1" t="str">
        <f>"Expected Equity Value ("&amp;C13&amp;") :"</f>
        <v>Expected Equity Value (HKD) :</v>
      </c>
      <c r="C26" s="334">
        <f>C127</f>
        <v>67.994623493205935</v>
      </c>
      <c r="D26" s="1" t="s">
        <v>400</v>
      </c>
      <c r="E26" s="331">
        <f ca="1">Scenarios!C87</f>
        <v>0.10568154188169632</v>
      </c>
    </row>
    <row r="27" spans="2:6" x14ac:dyDescent="0.15">
      <c r="D27" s="5"/>
      <c r="E27" s="5"/>
    </row>
    <row r="28" spans="2:6" x14ac:dyDescent="0.15">
      <c r="B28" s="45" t="s">
        <v>435</v>
      </c>
      <c r="C28" s="339" t="str">
        <f>C140&amp;" ("&amp;Market_currency&amp;")"</f>
        <v>0168.HK (HKD)</v>
      </c>
      <c r="D28" s="339" t="str">
        <f>IF(D11="","",D140&amp;" ("&amp;D13&amp;")")</f>
        <v/>
      </c>
      <c r="E28" s="335" t="s">
        <v>431</v>
      </c>
      <c r="F28" s="333">
        <v>3</v>
      </c>
    </row>
    <row r="29" spans="2:6" x14ac:dyDescent="0.15">
      <c r="B29" s="1" t="s">
        <v>427</v>
      </c>
      <c r="C29" s="340">
        <f>C144</f>
        <v>28.004802010367644</v>
      </c>
      <c r="D29" s="340" t="str">
        <f>D144</f>
        <v/>
      </c>
      <c r="E29" s="336" t="s">
        <v>426</v>
      </c>
      <c r="F29" s="332">
        <v>0.4</v>
      </c>
    </row>
    <row r="30" spans="2:6" x14ac:dyDescent="0.15">
      <c r="B30" s="1" t="s">
        <v>428</v>
      </c>
      <c r="C30" s="341">
        <f>C152</f>
        <v>41.84773226953584</v>
      </c>
      <c r="D30" s="341" t="str">
        <f>D152</f>
        <v/>
      </c>
      <c r="E30" s="337" t="s">
        <v>439</v>
      </c>
      <c r="F30" s="342">
        <v>0.21740000000000001</v>
      </c>
    </row>
    <row r="31" spans="2:6" x14ac:dyDescent="0.15">
      <c r="B31" s="1" t="s">
        <v>429</v>
      </c>
      <c r="C31" s="341">
        <f>C160</f>
        <v>59.207685364910532</v>
      </c>
      <c r="D31" s="341" t="str">
        <f>D160</f>
        <v/>
      </c>
      <c r="E31" s="337" t="s">
        <v>438</v>
      </c>
      <c r="F31" s="342">
        <v>0.08</v>
      </c>
    </row>
    <row r="32" spans="2:6" x14ac:dyDescent="0.15">
      <c r="B32" s="1" t="s">
        <v>430</v>
      </c>
      <c r="C32" s="341">
        <f>C168</f>
        <v>53.633300849783382</v>
      </c>
      <c r="D32" s="341" t="str">
        <f>D168</f>
        <v/>
      </c>
      <c r="E32" s="337" t="s">
        <v>440</v>
      </c>
      <c r="F32" s="342">
        <v>0.1174</v>
      </c>
    </row>
    <row r="33" spans="1:6" x14ac:dyDescent="0.15">
      <c r="D33" s="5"/>
      <c r="E33" s="5"/>
    </row>
    <row r="34" spans="1:6" ht="16" x14ac:dyDescent="0.25">
      <c r="A34" s="244" t="s">
        <v>355</v>
      </c>
      <c r="B34" s="36"/>
      <c r="C34" s="36"/>
      <c r="D34" s="36"/>
      <c r="E34" s="36"/>
      <c r="F34" s="36"/>
    </row>
    <row r="36" spans="1:6" ht="24.5" customHeight="1" x14ac:dyDescent="0.15">
      <c r="B36" s="346" t="s">
        <v>361</v>
      </c>
      <c r="C36" s="346"/>
      <c r="D36" s="346"/>
      <c r="E36" s="346"/>
      <c r="F36" s="346"/>
    </row>
    <row r="37" spans="1:6" ht="24.5" customHeight="1" x14ac:dyDescent="0.15">
      <c r="B37" s="348" t="s">
        <v>340</v>
      </c>
      <c r="C37" s="348"/>
      <c r="D37" s="348"/>
      <c r="E37" s="348"/>
      <c r="F37" s="348"/>
    </row>
    <row r="39" spans="1:6" x14ac:dyDescent="0.15">
      <c r="B39" s="232" t="s">
        <v>231</v>
      </c>
      <c r="C39" s="108">
        <f>scaling_factor</f>
        <v>1</v>
      </c>
    </row>
    <row r="40" spans="1:6" ht="24.5" customHeight="1" x14ac:dyDescent="0.15">
      <c r="B40" s="347" t="s">
        <v>232</v>
      </c>
      <c r="C40" s="347"/>
      <c r="D40" s="347"/>
      <c r="E40" s="347"/>
      <c r="F40" s="347"/>
    </row>
    <row r="41" spans="1:6" x14ac:dyDescent="0.15">
      <c r="B41" s="47" t="s">
        <v>233</v>
      </c>
      <c r="C41" s="76">
        <f>Normalized_FCF!C8</f>
        <v>3878068070.3077545</v>
      </c>
      <c r="D41" s="1" t="str">
        <f>Reporting_currency</f>
        <v>CNY</v>
      </c>
    </row>
    <row r="42" spans="1:6" x14ac:dyDescent="0.15">
      <c r="B42" s="47"/>
      <c r="C42" s="76"/>
    </row>
    <row r="43" spans="1:6" ht="24.5" customHeight="1" x14ac:dyDescent="0.15">
      <c r="B43" s="347" t="s">
        <v>234</v>
      </c>
      <c r="C43" s="347"/>
      <c r="D43" s="347"/>
      <c r="E43" s="347"/>
      <c r="F43" s="347"/>
    </row>
    <row r="44" spans="1:6" x14ac:dyDescent="0.15">
      <c r="B44" s="47" t="s">
        <v>235</v>
      </c>
      <c r="C44" s="76">
        <f>Normalized_FCF!C9</f>
        <v>1191305772</v>
      </c>
      <c r="D44" s="1" t="str">
        <f>Reporting_currency</f>
        <v>CNY</v>
      </c>
    </row>
    <row r="45" spans="1:6" x14ac:dyDescent="0.15">
      <c r="B45" s="52" t="s">
        <v>236</v>
      </c>
      <c r="C45" s="76">
        <f>Normalized_FCF!C10</f>
        <v>-1191305772</v>
      </c>
      <c r="D45" s="1" t="str">
        <f>Reporting_currency</f>
        <v>CNY</v>
      </c>
    </row>
    <row r="47" spans="1:6" x14ac:dyDescent="0.15">
      <c r="B47" s="347" t="s">
        <v>237</v>
      </c>
      <c r="C47" s="347"/>
      <c r="D47" s="347"/>
      <c r="E47" s="347"/>
      <c r="F47" s="347"/>
    </row>
    <row r="48" spans="1:6" x14ac:dyDescent="0.15">
      <c r="B48" s="47" t="s">
        <v>238</v>
      </c>
      <c r="C48" s="76">
        <f>Normalized_FCF!C11</f>
        <v>0</v>
      </c>
      <c r="D48" s="1" t="str">
        <f>Reporting_currency</f>
        <v>CNY</v>
      </c>
    </row>
    <row r="50" spans="2:6" x14ac:dyDescent="0.15">
      <c r="B50" s="347" t="s">
        <v>241</v>
      </c>
      <c r="C50" s="347"/>
      <c r="D50" s="347"/>
      <c r="E50" s="347"/>
      <c r="F50" s="347"/>
    </row>
    <row r="51" spans="2:6" x14ac:dyDescent="0.15">
      <c r="B51" s="47" t="s">
        <v>341</v>
      </c>
      <c r="C51" s="312">
        <f>Normalized_FCF!C48</f>
        <v>177212925.25639853</v>
      </c>
      <c r="D51" s="1" t="str">
        <f>Reporting_currency</f>
        <v>CNY</v>
      </c>
      <c r="E51" s="311"/>
      <c r="F51" s="311"/>
    </row>
    <row r="52" spans="2:6" x14ac:dyDescent="0.15">
      <c r="B52" s="47" t="s">
        <v>342</v>
      </c>
      <c r="C52" s="312">
        <f>Normalized_FCF!C47</f>
        <v>-21837054</v>
      </c>
      <c r="D52" s="1" t="str">
        <f>Reporting_currency</f>
        <v>CNY</v>
      </c>
      <c r="E52" s="311"/>
      <c r="F52" s="311"/>
    </row>
    <row r="53" spans="2:6" x14ac:dyDescent="0.15">
      <c r="B53" s="47" t="s">
        <v>239</v>
      </c>
      <c r="C53" s="76">
        <f>Normalized_FCF!C12</f>
        <v>155375871.25639853</v>
      </c>
      <c r="D53" s="1" t="str">
        <f>Reporting_currency</f>
        <v>CNY</v>
      </c>
    </row>
    <row r="55" spans="2:6" x14ac:dyDescent="0.15">
      <c r="B55" s="1" t="s">
        <v>247</v>
      </c>
    </row>
    <row r="56" spans="2:6" x14ac:dyDescent="0.15">
      <c r="B56" s="47" t="s">
        <v>266</v>
      </c>
      <c r="C56" s="76">
        <f>Normalized_FCF!C15</f>
        <v>-146634564.47167698</v>
      </c>
      <c r="D56" s="1" t="str">
        <f>Reporting_currency</f>
        <v>CNY</v>
      </c>
    </row>
    <row r="58" spans="2:6" x14ac:dyDescent="0.15">
      <c r="B58" s="347" t="s">
        <v>242</v>
      </c>
      <c r="C58" s="347"/>
      <c r="D58" s="347"/>
      <c r="E58" s="347"/>
      <c r="F58" s="347"/>
    </row>
    <row r="59" spans="2:6" x14ac:dyDescent="0.15">
      <c r="B59" s="47" t="s">
        <v>240</v>
      </c>
      <c r="C59" s="76">
        <f>Normalized_FCF!C14</f>
        <v>-1008360985.3910383</v>
      </c>
      <c r="D59" s="1" t="str">
        <f>Reporting_currency</f>
        <v>CNY</v>
      </c>
    </row>
    <row r="61" spans="2:6" x14ac:dyDescent="0.15">
      <c r="B61" s="347" t="s">
        <v>339</v>
      </c>
      <c r="C61" s="350"/>
      <c r="D61" s="350"/>
      <c r="E61" s="350"/>
      <c r="F61" s="350"/>
    </row>
    <row r="62" spans="2:6" x14ac:dyDescent="0.15">
      <c r="B62" s="47" t="s">
        <v>243</v>
      </c>
      <c r="C62" s="1">
        <f>Normalized_FCF!C17</f>
        <v>0</v>
      </c>
      <c r="D62" s="1" t="str">
        <f>Reporting_currency</f>
        <v>CNY</v>
      </c>
    </row>
    <row r="64" spans="2:6" ht="24.5" customHeight="1" x14ac:dyDescent="0.15">
      <c r="B64" s="346" t="s">
        <v>344</v>
      </c>
      <c r="C64" s="346"/>
      <c r="D64" s="346"/>
      <c r="E64" s="346"/>
      <c r="F64" s="346"/>
    </row>
    <row r="65" spans="1:6" ht="24.5" customHeight="1" x14ac:dyDescent="0.15">
      <c r="B65" s="346" t="s">
        <v>362</v>
      </c>
      <c r="C65" s="346"/>
      <c r="D65" s="346"/>
      <c r="E65" s="346"/>
      <c r="F65" s="346"/>
    </row>
    <row r="67" spans="1:6" x14ac:dyDescent="0.15">
      <c r="B67" s="47" t="s">
        <v>271</v>
      </c>
      <c r="C67" s="76">
        <f>Normalized_FCF!G19</f>
        <v>3154931589.2563982</v>
      </c>
      <c r="D67" s="1" t="str">
        <f>Reporting_currency</f>
        <v>CNY</v>
      </c>
    </row>
    <row r="68" spans="1:6" x14ac:dyDescent="0.15">
      <c r="B68" s="47" t="s">
        <v>249</v>
      </c>
      <c r="C68" s="76">
        <f>Normalized_FCF!C19</f>
        <v>2878448391.701438</v>
      </c>
      <c r="D68" s="1" t="str">
        <f>Reporting_currency</f>
        <v>CNY</v>
      </c>
    </row>
    <row r="69" spans="1:6" x14ac:dyDescent="0.15">
      <c r="B69" s="249" t="s">
        <v>391</v>
      </c>
      <c r="C69" s="92">
        <f>Normalized_FCF!C125</f>
        <v>4.1351859670697315E-2</v>
      </c>
      <c r="F69" s="344"/>
    </row>
    <row r="70" spans="1:6" x14ac:dyDescent="0.15">
      <c r="B70" s="249" t="s">
        <v>309</v>
      </c>
      <c r="C70" s="92">
        <f>Normalized_FCF!C93</f>
        <v>3.6707837248215983E-2</v>
      </c>
      <c r="E70" s="47" t="s">
        <v>450</v>
      </c>
      <c r="F70" s="345">
        <f>Normalized_FCF!C92</f>
        <v>0.96206076643535421</v>
      </c>
    </row>
    <row r="72" spans="1:6" ht="16" x14ac:dyDescent="0.25">
      <c r="A72" s="244" t="s">
        <v>356</v>
      </c>
      <c r="B72" s="36"/>
      <c r="C72" s="36"/>
      <c r="D72" s="36"/>
      <c r="E72" s="36"/>
      <c r="F72" s="36"/>
    </row>
    <row r="73" spans="1:6" x14ac:dyDescent="0.15">
      <c r="A73" s="231"/>
    </row>
    <row r="74" spans="1:6" ht="24.5" customHeight="1" x14ac:dyDescent="0.15">
      <c r="A74" s="17"/>
      <c r="B74" s="346" t="s">
        <v>363</v>
      </c>
      <c r="C74" s="346"/>
      <c r="D74" s="346"/>
      <c r="E74" s="346"/>
      <c r="F74" s="346"/>
    </row>
    <row r="75" spans="1:6" x14ac:dyDescent="0.15">
      <c r="B75" s="348" t="s">
        <v>253</v>
      </c>
      <c r="C75" s="348"/>
      <c r="D75" s="348"/>
      <c r="E75" s="348"/>
      <c r="F75" s="348"/>
    </row>
    <row r="77" spans="1:6" x14ac:dyDescent="0.15">
      <c r="B77" s="232" t="s">
        <v>231</v>
      </c>
    </row>
    <row r="78" spans="1:6" x14ac:dyDescent="0.15">
      <c r="B78" s="1" t="s">
        <v>433</v>
      </c>
      <c r="C78" s="92">
        <f>F31</f>
        <v>0.08</v>
      </c>
    </row>
    <row r="79" spans="1:6" x14ac:dyDescent="0.15">
      <c r="B79" s="1" t="s">
        <v>432</v>
      </c>
      <c r="C79" s="92">
        <f>IF(C23="Y",1%,0)+IF(C24="Y",1%,0)</f>
        <v>0</v>
      </c>
    </row>
    <row r="80" spans="1:6" x14ac:dyDescent="0.15">
      <c r="B80" s="80" t="s">
        <v>248</v>
      </c>
      <c r="C80" s="258">
        <f>F31+C79</f>
        <v>0.08</v>
      </c>
    </row>
    <row r="81" spans="1:6" x14ac:dyDescent="0.15">
      <c r="C81" s="122"/>
    </row>
    <row r="82" spans="1:6" x14ac:dyDescent="0.15">
      <c r="B82" s="321" t="s">
        <v>357</v>
      </c>
      <c r="C82" s="122"/>
    </row>
    <row r="83" spans="1:6" ht="24.5" customHeight="1" x14ac:dyDescent="0.15">
      <c r="B83" s="346" t="s">
        <v>364</v>
      </c>
      <c r="C83" s="346"/>
      <c r="D83" s="346"/>
      <c r="E83" s="346"/>
      <c r="F83" s="346"/>
    </row>
    <row r="84" spans="1:6" ht="24.5" customHeight="1" x14ac:dyDescent="0.15">
      <c r="B84" s="346" t="s">
        <v>365</v>
      </c>
      <c r="C84" s="346"/>
      <c r="D84" s="346"/>
      <c r="E84" s="346"/>
      <c r="F84" s="346"/>
    </row>
    <row r="86" spans="1:6" x14ac:dyDescent="0.15">
      <c r="B86" s="47" t="s">
        <v>252</v>
      </c>
      <c r="C86" s="258">
        <v>0</v>
      </c>
    </row>
    <row r="87" spans="1:6" x14ac:dyDescent="0.15">
      <c r="B87" s="47" t="s">
        <v>281</v>
      </c>
      <c r="C87" s="245">
        <f>DCF!C6*scaling_factor*Exchange_Rate/Common_Shares</f>
        <v>28.584472997369517</v>
      </c>
      <c r="D87" s="1" t="str">
        <f>Market_currency</f>
        <v>HKD</v>
      </c>
    </row>
    <row r="89" spans="1:6" ht="16" x14ac:dyDescent="0.25">
      <c r="A89" s="244" t="s">
        <v>358</v>
      </c>
      <c r="B89" s="36"/>
      <c r="C89" s="36"/>
      <c r="D89" s="36"/>
      <c r="E89" s="36"/>
      <c r="F89" s="36"/>
    </row>
    <row r="90" spans="1:6" x14ac:dyDescent="0.15">
      <c r="A90" s="231"/>
    </row>
    <row r="91" spans="1:6" x14ac:dyDescent="0.15">
      <c r="B91" s="346" t="s">
        <v>366</v>
      </c>
      <c r="C91" s="346"/>
      <c r="D91" s="346"/>
      <c r="E91" s="346"/>
      <c r="F91" s="346"/>
    </row>
    <row r="92" spans="1:6" x14ac:dyDescent="0.15">
      <c r="B92" s="1" t="s">
        <v>254</v>
      </c>
    </row>
    <row r="94" spans="1:6" x14ac:dyDescent="0.15">
      <c r="B94" s="232" t="s">
        <v>231</v>
      </c>
    </row>
    <row r="95" spans="1:6" ht="24.5" customHeight="1" x14ac:dyDescent="0.15">
      <c r="B95" s="346" t="s">
        <v>345</v>
      </c>
      <c r="C95" s="346"/>
      <c r="D95" s="346"/>
      <c r="E95" s="346"/>
      <c r="F95" s="346"/>
    </row>
    <row r="96" spans="1:6" x14ac:dyDescent="0.15">
      <c r="B96" s="47" t="s">
        <v>256</v>
      </c>
      <c r="C96" s="76">
        <f>DCF!C7</f>
        <v>285396383</v>
      </c>
      <c r="D96" s="1" t="str">
        <f>Reporting_currency</f>
        <v>CNY</v>
      </c>
    </row>
    <row r="97" spans="2:6" x14ac:dyDescent="0.15">
      <c r="B97" s="47" t="s">
        <v>282</v>
      </c>
      <c r="C97" s="245">
        <f>C96*scaling_factor*Exchange_Rate/Common_Shares</f>
        <v>0.22673062965254909</v>
      </c>
      <c r="D97" s="1" t="str">
        <f>Market_currency</f>
        <v>HKD</v>
      </c>
    </row>
    <row r="98" spans="2:6" x14ac:dyDescent="0.15">
      <c r="B98" s="325" t="s">
        <v>405</v>
      </c>
      <c r="C98" s="326">
        <f>BS!G30/BS!G27</f>
        <v>0.72207550313588764</v>
      </c>
    </row>
    <row r="99" spans="2:6" x14ac:dyDescent="0.15">
      <c r="B99" s="325" t="s">
        <v>406</v>
      </c>
      <c r="C99" s="326">
        <f>BS!G31/BS!G27</f>
        <v>9.5579625064196368E-3</v>
      </c>
    </row>
    <row r="100" spans="2:6" x14ac:dyDescent="0.15">
      <c r="B100" s="325" t="s">
        <v>408</v>
      </c>
      <c r="C100" s="327">
        <f>BS!C50</f>
        <v>7.3592411949940734E-2</v>
      </c>
    </row>
    <row r="102" spans="2:6" x14ac:dyDescent="0.15">
      <c r="B102" s="1" t="s">
        <v>255</v>
      </c>
    </row>
    <row r="103" spans="2:6" x14ac:dyDescent="0.15">
      <c r="B103" s="47" t="s">
        <v>265</v>
      </c>
      <c r="C103" s="76">
        <f>BS!C66</f>
        <v>17978772896</v>
      </c>
      <c r="D103" s="1" t="str">
        <f>Reporting_currency</f>
        <v>CNY</v>
      </c>
    </row>
    <row r="104" spans="2:6" x14ac:dyDescent="0.15">
      <c r="B104" s="47" t="s">
        <v>267</v>
      </c>
      <c r="C104" s="76">
        <f>DCF!C8</f>
        <v>12813047036.198811</v>
      </c>
      <c r="D104" s="1" t="str">
        <f>Reporting_currency</f>
        <v>CNY</v>
      </c>
    </row>
    <row r="105" spans="2:6" x14ac:dyDescent="0.15">
      <c r="B105" s="47" t="s">
        <v>283</v>
      </c>
      <c r="C105" s="245">
        <f>C104*scaling_factor*Exchange_Rate/Common_Shares</f>
        <v>10.179211774681406</v>
      </c>
      <c r="D105" s="1" t="str">
        <f>Market_currency</f>
        <v>HKD</v>
      </c>
    </row>
    <row r="107" spans="2:6" x14ac:dyDescent="0.15">
      <c r="B107" s="1" t="s">
        <v>257</v>
      </c>
    </row>
    <row r="108" spans="2:6" x14ac:dyDescent="0.15">
      <c r="B108" s="47" t="s">
        <v>258</v>
      </c>
      <c r="C108" s="76">
        <f>DCF!C9</f>
        <v>2755411575.5</v>
      </c>
      <c r="D108" s="1" t="str">
        <f>Reporting_currency</f>
        <v>CNY</v>
      </c>
    </row>
    <row r="109" spans="2:6" x14ac:dyDescent="0.15">
      <c r="B109" s="47" t="s">
        <v>284</v>
      </c>
      <c r="C109" s="245">
        <f>C108*scaling_factor*Exchange_Rate/Common_Shares</f>
        <v>2.1890123304927704</v>
      </c>
      <c r="D109" s="1" t="str">
        <f>Market_currency</f>
        <v>HKD</v>
      </c>
    </row>
    <row r="111" spans="2:6" ht="24.5" customHeight="1" x14ac:dyDescent="0.15">
      <c r="B111" s="346" t="s">
        <v>367</v>
      </c>
      <c r="C111" s="346"/>
      <c r="D111" s="346"/>
      <c r="E111" s="346"/>
      <c r="F111" s="346"/>
    </row>
    <row r="113" spans="1:6" x14ac:dyDescent="0.15">
      <c r="B113" s="47" t="s">
        <v>451</v>
      </c>
      <c r="C113" s="245">
        <f>IF(valuation_method="DCF",DCF!C12,DDM!C7)</f>
        <v>40.725966472891137</v>
      </c>
      <c r="D113" s="1" t="str">
        <f>Market_currency</f>
        <v>HKD</v>
      </c>
    </row>
    <row r="114" spans="1:6" x14ac:dyDescent="0.15">
      <c r="B114" s="325" t="s">
        <v>407</v>
      </c>
      <c r="C114" s="245">
        <f>BS!D47</f>
        <v>1.3470236398674045</v>
      </c>
      <c r="D114" s="1" t="str">
        <f>Market_currency</f>
        <v>HKD</v>
      </c>
    </row>
    <row r="116" spans="1:6" ht="16" x14ac:dyDescent="0.25">
      <c r="A116" s="244" t="s">
        <v>359</v>
      </c>
      <c r="B116" s="36"/>
      <c r="C116" s="36"/>
      <c r="D116" s="36"/>
      <c r="E116" s="36"/>
      <c r="F116" s="36"/>
    </row>
    <row r="118" spans="1:6" ht="24.5" customHeight="1" x14ac:dyDescent="0.15">
      <c r="B118" s="347" t="s">
        <v>368</v>
      </c>
      <c r="C118" s="347"/>
      <c r="D118" s="347"/>
      <c r="E118" s="347"/>
      <c r="F118" s="347"/>
    </row>
    <row r="120" spans="1:6" ht="14" x14ac:dyDescent="0.2">
      <c r="B120" s="255" t="s">
        <v>118</v>
      </c>
      <c r="C120" s="255" t="s">
        <v>133</v>
      </c>
      <c r="D120" s="255" t="s">
        <v>113</v>
      </c>
      <c r="E120" s="255" t="s">
        <v>260</v>
      </c>
      <c r="F120" s="255" t="s">
        <v>148</v>
      </c>
    </row>
    <row r="121" spans="1:6" x14ac:dyDescent="0.15">
      <c r="B121" s="250" t="str">
        <f>DCF!B74</f>
        <v>Snowball Scenario</v>
      </c>
      <c r="C121" s="251">
        <f>DCF!C74</f>
        <v>0.1</v>
      </c>
      <c r="D121" s="252">
        <f>DCF!D74</f>
        <v>30</v>
      </c>
      <c r="E121" s="253" t="str">
        <f>ROUND(IF(valuation_method="DCF",DCF!E74,DDM!E69),2)&amp;" "&amp;Market_currency</f>
        <v>107.59 HKD</v>
      </c>
      <c r="F121" s="254">
        <f>DCF!F74</f>
        <v>0.05</v>
      </c>
    </row>
    <row r="122" spans="1:6" x14ac:dyDescent="0.15">
      <c r="B122" s="240" t="str">
        <f>DCF!B75</f>
        <v>Optimistic</v>
      </c>
      <c r="C122" s="241">
        <f>DCF!C75</f>
        <v>0.08</v>
      </c>
      <c r="D122" s="242">
        <f>DCF!D75</f>
        <v>30</v>
      </c>
      <c r="E122" s="253" t="str">
        <f>ROUND(IF(valuation_method="DCF",DCF!E75,DDM!E70),2)&amp;" "&amp;Market_currency</f>
        <v>83.81 HKD</v>
      </c>
      <c r="F122" s="243">
        <f>DCF!F75</f>
        <v>0.18</v>
      </c>
    </row>
    <row r="123" spans="1:6" x14ac:dyDescent="0.15">
      <c r="B123" s="240" t="str">
        <f>DCF!B76</f>
        <v>Base</v>
      </c>
      <c r="C123" s="241">
        <f>DCF!C76</f>
        <v>0.06</v>
      </c>
      <c r="D123" s="242">
        <f>DCF!D76</f>
        <v>30</v>
      </c>
      <c r="E123" s="253" t="str">
        <f>ROUND(IF(valuation_method="DCF",DCF!E76,DDM!E71),2)&amp;" "&amp;Market_currency</f>
        <v>67.17 HKD</v>
      </c>
      <c r="F123" s="243">
        <f>DCF!F76</f>
        <v>0.44999999999999996</v>
      </c>
    </row>
    <row r="124" spans="1:6" x14ac:dyDescent="0.15">
      <c r="B124" s="240" t="str">
        <f>DCF!B77</f>
        <v>Pessimistic</v>
      </c>
      <c r="C124" s="241">
        <f>DCF!C77</f>
        <v>0.04</v>
      </c>
      <c r="D124" s="242">
        <f>DCF!D77</f>
        <v>30</v>
      </c>
      <c r="E124" s="253" t="str">
        <f>ROUND(IF(valuation_method="DCF",DCF!E77,DDM!E72),2)&amp;" "&amp;Market_currency</f>
        <v>55.39 HKD</v>
      </c>
      <c r="F124" s="243">
        <f>DCF!F77</f>
        <v>0.26999999999999996</v>
      </c>
    </row>
    <row r="125" spans="1:6" x14ac:dyDescent="0.15">
      <c r="B125" s="240" t="str">
        <f>DCF!B78</f>
        <v>Devil's advocate</v>
      </c>
      <c r="C125" s="241">
        <f>DCF!C78</f>
        <v>0.02</v>
      </c>
      <c r="D125" s="242">
        <f>DCF!D78</f>
        <v>30</v>
      </c>
      <c r="E125" s="253" t="str">
        <f>ROUND(IF(valuation_method="DCF",DCF!E78,DDM!E73),2)&amp;" "&amp;Market_currency</f>
        <v>46.92 HKD</v>
      </c>
      <c r="F125" s="243">
        <f>DCF!F78</f>
        <v>0.05</v>
      </c>
    </row>
    <row r="127" spans="1:6" x14ac:dyDescent="0.15">
      <c r="B127" s="233" t="s">
        <v>259</v>
      </c>
      <c r="C127" s="239">
        <f>Scenarios!C60</f>
        <v>67.994623493205935</v>
      </c>
      <c r="D127" s="234" t="str">
        <f>Market_currency</f>
        <v>HKD</v>
      </c>
    </row>
    <row r="129" spans="1:6" ht="24.5" customHeight="1" x14ac:dyDescent="0.15">
      <c r="B129" s="351" t="s">
        <v>371</v>
      </c>
      <c r="C129" s="351"/>
      <c r="D129" s="351"/>
      <c r="E129" s="351"/>
      <c r="F129" s="351"/>
    </row>
    <row r="131" spans="1:6" ht="16" x14ac:dyDescent="0.25">
      <c r="A131" s="244" t="s">
        <v>403</v>
      </c>
      <c r="B131" s="36"/>
      <c r="C131" s="36"/>
      <c r="D131" s="36"/>
      <c r="E131" s="36"/>
      <c r="F131" s="36"/>
    </row>
    <row r="133" spans="1:6" x14ac:dyDescent="0.15">
      <c r="B133" s="349" t="s">
        <v>369</v>
      </c>
      <c r="C133" s="349"/>
      <c r="D133" s="349"/>
      <c r="E133" s="349"/>
      <c r="F133" s="349"/>
    </row>
    <row r="134" spans="1:6" ht="24.5" customHeight="1" x14ac:dyDescent="0.15">
      <c r="B134" s="346" t="s">
        <v>370</v>
      </c>
      <c r="C134" s="346"/>
      <c r="D134" s="346"/>
      <c r="E134" s="346"/>
      <c r="F134" s="346"/>
    </row>
    <row r="135" spans="1:6" x14ac:dyDescent="0.15">
      <c r="B135" s="232" t="s">
        <v>231</v>
      </c>
    </row>
    <row r="136" spans="1:6" x14ac:dyDescent="0.15">
      <c r="B136" s="1" t="s">
        <v>264</v>
      </c>
      <c r="C136" s="247">
        <f>F28</f>
        <v>3</v>
      </c>
    </row>
    <row r="137" spans="1:6" x14ac:dyDescent="0.15">
      <c r="B137" s="1" t="s">
        <v>277</v>
      </c>
      <c r="C137" s="246">
        <f>F29</f>
        <v>0.4</v>
      </c>
    </row>
    <row r="138" spans="1:6" x14ac:dyDescent="0.15">
      <c r="B138" s="234" t="s">
        <v>262</v>
      </c>
      <c r="C138" s="235">
        <f>Scenarios!C77</f>
        <v>2.0299433998263439</v>
      </c>
      <c r="D138" s="234" t="str">
        <f>Market_currency</f>
        <v>HKD</v>
      </c>
    </row>
    <row r="140" spans="1:6" x14ac:dyDescent="0.15">
      <c r="B140" s="232" t="s">
        <v>410</v>
      </c>
      <c r="C140" s="263" t="str">
        <f>C11</f>
        <v>0168.HK</v>
      </c>
      <c r="D140" s="263" t="str">
        <f>IF(D11="","",D11)</f>
        <v/>
      </c>
    </row>
    <row r="141" spans="1:6" x14ac:dyDescent="0.15">
      <c r="B141" s="1" t="s">
        <v>409</v>
      </c>
      <c r="C141" s="326">
        <f>F29</f>
        <v>0.4</v>
      </c>
    </row>
    <row r="142" spans="1:6" x14ac:dyDescent="0.15">
      <c r="B142" s="234" t="str">
        <f>"PV("&amp;C136&amp;" yrs of Dividends)"</f>
        <v>PV(3 yrs of Dividends)</v>
      </c>
      <c r="C142" s="238">
        <f>Scenarios!C81</f>
        <v>3.2254202708610995</v>
      </c>
    </row>
    <row r="143" spans="1:6" x14ac:dyDescent="0.15">
      <c r="B143" s="234" t="str">
        <f>"+ PV(Equity Value realized at year "&amp;C136&amp;")"</f>
        <v>+ PV(Equity Value realized at year 3)</v>
      </c>
      <c r="C143" s="238">
        <f>Scenarios!C82</f>
        <v>24.779381739506544</v>
      </c>
    </row>
    <row r="144" spans="1:6" x14ac:dyDescent="0.15">
      <c r="B144" s="80" t="s">
        <v>261</v>
      </c>
      <c r="C144" s="237">
        <f>Scenarios!C83</f>
        <v>28.004802010367644</v>
      </c>
      <c r="D144" s="330" t="str">
        <f>IF($D$11="","",C144*$E$25)</f>
        <v/>
      </c>
    </row>
    <row r="145" spans="2:4" x14ac:dyDescent="0.15">
      <c r="B145" s="281" t="s">
        <v>418</v>
      </c>
      <c r="C145" s="328" t="str">
        <f>Market_currency</f>
        <v>HKD</v>
      </c>
      <c r="D145" s="328" t="str">
        <f>IF($D$11="","",D$13)</f>
        <v/>
      </c>
    </row>
    <row r="146" spans="2:4" x14ac:dyDescent="0.15">
      <c r="B146" s="236" t="s">
        <v>263</v>
      </c>
      <c r="C146" s="92">
        <f>Scenarios!F83</f>
        <v>0.58813211145781397</v>
      </c>
    </row>
    <row r="148" spans="2:4" x14ac:dyDescent="0.15">
      <c r="B148" s="232" t="s">
        <v>413</v>
      </c>
    </row>
    <row r="149" spans="2:4" x14ac:dyDescent="0.15">
      <c r="B149" s="1" t="s">
        <v>412</v>
      </c>
      <c r="C149" s="326">
        <f>Scenarios!C90</f>
        <v>0.21740000000000001</v>
      </c>
    </row>
    <row r="150" spans="2:4" x14ac:dyDescent="0.15">
      <c r="B150" s="234" t="str">
        <f>"PV("&amp;C136&amp;" yrs of Dividends)"</f>
        <v>PV(3 yrs of Dividends)</v>
      </c>
      <c r="C150" s="238">
        <f>Scenarios!C91</f>
        <v>4.162197619403126</v>
      </c>
    </row>
    <row r="151" spans="2:4" x14ac:dyDescent="0.15">
      <c r="B151" s="234" t="str">
        <f>"+ PV(Equity Value realized at year "&amp;C136&amp;")"</f>
        <v>+ PV(Equity Value realized at year 3)</v>
      </c>
      <c r="C151" s="238">
        <f>Scenarios!C92</f>
        <v>37.685534650132716</v>
      </c>
    </row>
    <row r="152" spans="2:4" x14ac:dyDescent="0.15">
      <c r="B152" s="80" t="s">
        <v>261</v>
      </c>
      <c r="C152" s="237">
        <f>Scenarios!C93</f>
        <v>41.84773226953584</v>
      </c>
      <c r="D152" s="330" t="str">
        <f>IF($D$11="","",C152*$E$25)</f>
        <v/>
      </c>
    </row>
    <row r="153" spans="2:4" x14ac:dyDescent="0.15">
      <c r="B153" s="281" t="s">
        <v>418</v>
      </c>
      <c r="C153" s="328" t="str">
        <f>Market_currency</f>
        <v>HKD</v>
      </c>
      <c r="D153" s="328" t="str">
        <f>IF($D$11="","",D$13)</f>
        <v/>
      </c>
    </row>
    <row r="154" spans="2:4" x14ac:dyDescent="0.15">
      <c r="B154" s="236" t="s">
        <v>263</v>
      </c>
      <c r="C154" s="92">
        <f>Scenarios!F93</f>
        <v>0.38454351065393733</v>
      </c>
    </row>
    <row r="156" spans="2:4" x14ac:dyDescent="0.15">
      <c r="B156" s="232" t="s">
        <v>401</v>
      </c>
    </row>
    <row r="157" spans="2:4" x14ac:dyDescent="0.15">
      <c r="B157" s="1" t="s">
        <v>411</v>
      </c>
      <c r="C157" s="92">
        <f>Scenarios!C96</f>
        <v>0.08</v>
      </c>
    </row>
    <row r="158" spans="2:4" x14ac:dyDescent="0.15">
      <c r="B158" s="234" t="str">
        <f>"PV("&amp;C136&amp;" yrs of Dividends)"</f>
        <v>PV(3 yrs of Dividends)</v>
      </c>
      <c r="C158" s="238">
        <f>Scenarios!C97</f>
        <v>5.2313610199761902</v>
      </c>
    </row>
    <row r="159" spans="2:4" x14ac:dyDescent="0.15">
      <c r="B159" s="234" t="str">
        <f>"+ PV(Equity Value realized at year "&amp;C136&amp;")"</f>
        <v>+ PV(Equity Value realized at year 3)</v>
      </c>
      <c r="C159" s="238">
        <f>Scenarios!C98</f>
        <v>53.976324344934341</v>
      </c>
    </row>
    <row r="160" spans="2:4" x14ac:dyDescent="0.15">
      <c r="B160" s="80" t="s">
        <v>402</v>
      </c>
      <c r="C160" s="237">
        <f>Scenarios!C99</f>
        <v>59.207685364910532</v>
      </c>
      <c r="D160" s="330" t="str">
        <f>IF($D$11="","",C160*$E$25)</f>
        <v/>
      </c>
    </row>
    <row r="161" spans="1:6" x14ac:dyDescent="0.15">
      <c r="B161" s="281" t="s">
        <v>418</v>
      </c>
      <c r="C161" s="328" t="str">
        <f>Market_currency</f>
        <v>HKD</v>
      </c>
      <c r="D161" s="328" t="str">
        <f>IF($D$11="","",D$13)</f>
        <v/>
      </c>
    </row>
    <row r="162" spans="1:6" x14ac:dyDescent="0.15">
      <c r="B162" s="236" t="s">
        <v>263</v>
      </c>
      <c r="C162" s="92">
        <f>Scenarios!F99</f>
        <v>0.12922989608396607</v>
      </c>
    </row>
    <row r="164" spans="1:6" x14ac:dyDescent="0.15">
      <c r="B164" s="232" t="s">
        <v>434</v>
      </c>
    </row>
    <row r="165" spans="1:6" x14ac:dyDescent="0.15">
      <c r="B165" s="1" t="s">
        <v>425</v>
      </c>
      <c r="C165" s="92">
        <f>F32</f>
        <v>0.1174</v>
      </c>
    </row>
    <row r="166" spans="1:6" x14ac:dyDescent="0.15">
      <c r="B166" s="234" t="str">
        <f>"PV("&amp;C136&amp;" yrs of Dividends)"</f>
        <v>PV(3 yrs of Dividends)</v>
      </c>
      <c r="C166" s="238">
        <f>Scenarios!C103</f>
        <v>4.897447791899566</v>
      </c>
    </row>
    <row r="167" spans="1:6" x14ac:dyDescent="0.15">
      <c r="B167" s="234" t="str">
        <f>"+ PV(Equity Value realized at year "&amp;C136&amp;")"</f>
        <v>+ PV(Equity Value realized at year 3)</v>
      </c>
      <c r="C167" s="238">
        <f>Scenarios!C104</f>
        <v>48.735853057883816</v>
      </c>
    </row>
    <row r="168" spans="1:6" x14ac:dyDescent="0.15">
      <c r="B168" s="80" t="s">
        <v>402</v>
      </c>
      <c r="C168" s="237">
        <f>Scenarios!C105</f>
        <v>53.633300849783382</v>
      </c>
      <c r="D168" s="330" t="str">
        <f>IF($D$11="","",C168*$E$25)</f>
        <v/>
      </c>
    </row>
    <row r="169" spans="1:6" x14ac:dyDescent="0.15">
      <c r="B169" s="281" t="s">
        <v>418</v>
      </c>
      <c r="C169" s="328" t="str">
        <f>Market_currency</f>
        <v>HKD</v>
      </c>
      <c r="D169" s="328" t="str">
        <f>IF($D$11="","",D$13)</f>
        <v/>
      </c>
    </row>
    <row r="170" spans="1:6" x14ac:dyDescent="0.15">
      <c r="B170" s="236" t="s">
        <v>263</v>
      </c>
      <c r="C170" s="92">
        <f>Scenarios!F105</f>
        <v>0.21119127843863472</v>
      </c>
    </row>
    <row r="172" spans="1:6" ht="16" x14ac:dyDescent="0.25">
      <c r="A172" s="244" t="s">
        <v>375</v>
      </c>
      <c r="B172" s="36"/>
      <c r="C172" s="36"/>
      <c r="D172" s="36"/>
      <c r="E172" s="36"/>
      <c r="F172" s="36"/>
    </row>
    <row r="174" spans="1:6" x14ac:dyDescent="0.15">
      <c r="B174" s="353" t="s">
        <v>377</v>
      </c>
      <c r="C174" s="346"/>
      <c r="D174" s="346"/>
      <c r="E174" s="346"/>
      <c r="F174" s="346"/>
    </row>
    <row r="176" spans="1:6" x14ac:dyDescent="0.15">
      <c r="B176" s="232" t="s">
        <v>376</v>
      </c>
    </row>
    <row r="177" spans="2:6" x14ac:dyDescent="0.15">
      <c r="B177" s="350" t="s">
        <v>381</v>
      </c>
      <c r="C177" s="350"/>
      <c r="D177" s="350"/>
      <c r="E177" s="350"/>
      <c r="F177" s="350"/>
    </row>
    <row r="178" spans="2:6" x14ac:dyDescent="0.15">
      <c r="B178" s="236" t="s">
        <v>378</v>
      </c>
    </row>
    <row r="179" spans="2:6" x14ac:dyDescent="0.15">
      <c r="B179" s="236" t="s">
        <v>379</v>
      </c>
    </row>
    <row r="180" spans="2:6" x14ac:dyDescent="0.15">
      <c r="B180" s="236" t="s">
        <v>380</v>
      </c>
    </row>
    <row r="182" spans="2:6" x14ac:dyDescent="0.15">
      <c r="B182" s="1" t="s">
        <v>385</v>
      </c>
    </row>
    <row r="183" spans="2:6" ht="46.5" customHeight="1" x14ac:dyDescent="0.15">
      <c r="B183" s="347" t="s">
        <v>382</v>
      </c>
      <c r="C183" s="347"/>
      <c r="D183" s="347"/>
      <c r="E183" s="347"/>
      <c r="F183" s="347"/>
    </row>
    <row r="185" spans="2:6" x14ac:dyDescent="0.15">
      <c r="B185" s="1" t="s">
        <v>386</v>
      </c>
    </row>
    <row r="186" spans="2:6" ht="24.5" customHeight="1" x14ac:dyDescent="0.15">
      <c r="B186" s="352" t="s">
        <v>383</v>
      </c>
      <c r="C186" s="352"/>
      <c r="D186" s="352"/>
      <c r="E186" s="352"/>
      <c r="F186" s="352"/>
    </row>
    <row r="187" spans="2:6" ht="24.5" customHeight="1" x14ac:dyDescent="0.15">
      <c r="B187" s="352" t="s">
        <v>384</v>
      </c>
      <c r="C187" s="352"/>
      <c r="D187" s="352"/>
      <c r="E187" s="352"/>
      <c r="F187" s="352"/>
    </row>
    <row r="189" spans="2:6" x14ac:dyDescent="0.15">
      <c r="B189" s="1" t="s">
        <v>390</v>
      </c>
    </row>
    <row r="190" spans="2:6" x14ac:dyDescent="0.15">
      <c r="B190" s="236" t="s">
        <v>387</v>
      </c>
    </row>
    <row r="191" spans="2:6" x14ac:dyDescent="0.15">
      <c r="B191" s="236" t="s">
        <v>388</v>
      </c>
    </row>
    <row r="192" spans="2:6" x14ac:dyDescent="0.15">
      <c r="B192" s="236"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v>
      </c>
    </row>
    <row r="4" spans="2:13" x14ac:dyDescent="0.15">
      <c r="B4" s="32" t="s">
        <v>2</v>
      </c>
      <c r="C4" s="181">
        <v>32137830111</v>
      </c>
      <c r="D4" s="181">
        <v>33936522741</v>
      </c>
      <c r="E4" s="181">
        <v>32171565624</v>
      </c>
      <c r="F4" s="181">
        <v>30166805377</v>
      </c>
      <c r="G4" s="181">
        <v>27759710926</v>
      </c>
      <c r="H4" s="181"/>
      <c r="I4" s="181"/>
      <c r="J4" s="181"/>
      <c r="K4" s="181"/>
      <c r="L4" s="181"/>
      <c r="M4" s="181"/>
    </row>
    <row r="5" spans="2:13" x14ac:dyDescent="0.15">
      <c r="B5" s="40" t="s">
        <v>43</v>
      </c>
      <c r="C5" s="181">
        <f>19209915823+2328256391</f>
        <v>21538172214</v>
      </c>
      <c r="D5" s="181">
        <f>20816889655+2386660732</f>
        <v>23203550387</v>
      </c>
      <c r="E5" s="181">
        <f>20317934822+2390725323</f>
        <v>22708660145</v>
      </c>
      <c r="F5" s="181">
        <f>19091130744+2318835745</f>
        <v>21409966489</v>
      </c>
      <c r="G5" s="181">
        <f>16540609624+2219072099</f>
        <v>18759681723</v>
      </c>
      <c r="H5" s="181"/>
      <c r="I5" s="181"/>
      <c r="J5" s="181"/>
      <c r="K5" s="181"/>
      <c r="L5" s="181"/>
      <c r="M5" s="181"/>
    </row>
    <row r="6" spans="2:13" x14ac:dyDescent="0.15">
      <c r="B6" s="40" t="s">
        <v>54</v>
      </c>
      <c r="C6" s="181">
        <f>1406578781+C7</f>
        <v>6009098645</v>
      </c>
      <c r="D6" s="181">
        <f>1519063042+D7</f>
        <v>6227465840</v>
      </c>
      <c r="E6" s="181">
        <f>1473368004+E7</f>
        <v>5672870751</v>
      </c>
      <c r="F6" s="181">
        <f>1692545246+F7</f>
        <v>5789419371</v>
      </c>
      <c r="G6" s="181">
        <f>1678050722+G7</f>
        <v>6662600559</v>
      </c>
      <c r="H6" s="181"/>
      <c r="I6" s="181"/>
      <c r="J6" s="181"/>
      <c r="K6" s="181"/>
      <c r="L6" s="181"/>
      <c r="M6" s="181"/>
    </row>
    <row r="7" spans="2:13" x14ac:dyDescent="0.15">
      <c r="B7" s="69" t="s">
        <v>61</v>
      </c>
      <c r="C7" s="188">
        <v>4602519864</v>
      </c>
      <c r="D7" s="188">
        <v>4708402798</v>
      </c>
      <c r="E7" s="188">
        <v>4199502747</v>
      </c>
      <c r="F7" s="188">
        <v>4096874125</v>
      </c>
      <c r="G7" s="188">
        <v>4984549837</v>
      </c>
      <c r="H7" s="188"/>
      <c r="I7" s="188"/>
      <c r="J7" s="188"/>
      <c r="K7" s="188"/>
      <c r="L7" s="188"/>
      <c r="M7" s="188"/>
    </row>
    <row r="8" spans="2:13" x14ac:dyDescent="0.15">
      <c r="B8" s="40" t="s">
        <v>49</v>
      </c>
      <c r="C8" s="181">
        <v>102766675</v>
      </c>
      <c r="D8" s="181">
        <v>100637006</v>
      </c>
      <c r="E8" s="181">
        <v>62954899</v>
      </c>
      <c r="F8" s="181">
        <v>30890245</v>
      </c>
      <c r="G8" s="181">
        <v>21467092</v>
      </c>
      <c r="H8" s="181"/>
      <c r="I8" s="181"/>
      <c r="J8" s="181"/>
      <c r="K8" s="181"/>
      <c r="L8" s="181"/>
      <c r="M8" s="181"/>
    </row>
    <row r="9" spans="2:13" x14ac:dyDescent="0.15">
      <c r="B9" s="40" t="s">
        <v>160</v>
      </c>
      <c r="C9" s="181">
        <v>48272283</v>
      </c>
      <c r="D9" s="181">
        <v>15798284</v>
      </c>
      <c r="E9" s="181">
        <v>19873379</v>
      </c>
      <c r="F9" s="181">
        <v>20561728</v>
      </c>
      <c r="G9" s="181">
        <v>18098320</v>
      </c>
      <c r="H9" s="181"/>
      <c r="I9" s="181"/>
      <c r="J9" s="181"/>
      <c r="K9" s="181"/>
      <c r="L9" s="181"/>
      <c r="M9" s="181"/>
    </row>
    <row r="10" spans="2:13" x14ac:dyDescent="0.15">
      <c r="B10" s="40" t="s">
        <v>168</v>
      </c>
      <c r="C10" s="181"/>
      <c r="D10" s="181"/>
      <c r="E10" s="181"/>
      <c r="F10" s="181"/>
      <c r="G10" s="181"/>
      <c r="H10" s="181"/>
      <c r="I10" s="181"/>
      <c r="J10" s="181"/>
      <c r="K10" s="181"/>
      <c r="L10" s="181"/>
      <c r="M10" s="181"/>
    </row>
    <row r="11" spans="2:13" x14ac:dyDescent="0.15">
      <c r="B11" s="40" t="s">
        <v>159</v>
      </c>
      <c r="C11" s="181"/>
      <c r="D11" s="181"/>
      <c r="E11" s="181"/>
      <c r="F11" s="181"/>
      <c r="G11" s="181"/>
      <c r="H11" s="181"/>
      <c r="I11" s="181"/>
      <c r="J11" s="181"/>
      <c r="K11" s="181"/>
      <c r="L11" s="181"/>
      <c r="M11" s="181"/>
    </row>
    <row r="12" spans="2:13" x14ac:dyDescent="0.15">
      <c r="B12" s="40" t="s">
        <v>39</v>
      </c>
      <c r="C12" s="181">
        <v>21837054</v>
      </c>
      <c r="D12" s="181">
        <v>16430590</v>
      </c>
      <c r="E12" s="181">
        <v>9237800</v>
      </c>
      <c r="F12" s="181">
        <v>22685367</v>
      </c>
      <c r="G12" s="181">
        <v>13662682</v>
      </c>
      <c r="H12" s="181"/>
      <c r="I12" s="181"/>
      <c r="J12" s="181"/>
      <c r="K12" s="181"/>
      <c r="L12" s="181"/>
      <c r="M12" s="181"/>
    </row>
    <row r="13" spans="2:13" x14ac:dyDescent="0.15">
      <c r="B13" s="40" t="s">
        <v>67</v>
      </c>
      <c r="C13" s="181">
        <v>616771200</v>
      </c>
      <c r="D13" s="181">
        <v>506376003</v>
      </c>
      <c r="E13" s="181">
        <v>459661656</v>
      </c>
      <c r="F13" s="181">
        <v>315648307</v>
      </c>
      <c r="G13" s="181">
        <v>524029340</v>
      </c>
      <c r="H13" s="181"/>
      <c r="I13" s="181"/>
      <c r="J13" s="181"/>
      <c r="K13" s="181"/>
      <c r="L13" s="181"/>
      <c r="M13" s="181"/>
    </row>
    <row r="14" spans="2:13" x14ac:dyDescent="0.15">
      <c r="B14" s="40" t="s">
        <v>50</v>
      </c>
      <c r="C14" s="181">
        <v>1389716314</v>
      </c>
      <c r="D14" s="181">
        <v>1398208378</v>
      </c>
      <c r="E14" s="181">
        <v>1201419808</v>
      </c>
      <c r="F14" s="181">
        <v>1222731595</v>
      </c>
      <c r="G14" s="181">
        <v>912580519</v>
      </c>
      <c r="H14" s="181"/>
      <c r="I14" s="181"/>
      <c r="J14" s="181"/>
      <c r="K14" s="181"/>
      <c r="L14" s="181"/>
      <c r="M14" s="181"/>
    </row>
    <row r="15" spans="2:13" x14ac:dyDescent="0.15">
      <c r="B15" s="43" t="s">
        <v>42</v>
      </c>
      <c r="C15" s="182">
        <v>4491776686</v>
      </c>
      <c r="D15" s="182">
        <v>4348198924</v>
      </c>
      <c r="E15" s="182">
        <v>3804721478</v>
      </c>
      <c r="F15" s="182">
        <v>3256243870</v>
      </c>
      <c r="G15" s="182">
        <v>2326968805</v>
      </c>
      <c r="H15" s="182"/>
      <c r="I15" s="182"/>
      <c r="J15" s="182"/>
      <c r="K15" s="182"/>
      <c r="L15" s="182"/>
      <c r="M15" s="182"/>
    </row>
    <row r="16" spans="2:13" x14ac:dyDescent="0.15">
      <c r="B16" s="28" t="s">
        <v>44</v>
      </c>
      <c r="C16" s="181">
        <v>146792828</v>
      </c>
      <c r="D16" s="181">
        <v>80347518</v>
      </c>
      <c r="E16" s="181">
        <v>94092885</v>
      </c>
      <c r="F16" s="181">
        <v>100788060</v>
      </c>
      <c r="G16" s="181">
        <v>125645249</v>
      </c>
      <c r="H16" s="181"/>
      <c r="I16" s="181"/>
      <c r="J16" s="181"/>
      <c r="K16" s="181"/>
      <c r="L16" s="181"/>
      <c r="M16" s="181"/>
    </row>
    <row r="18" spans="2:13" x14ac:dyDescent="0.15">
      <c r="B18" s="16" t="s">
        <v>51</v>
      </c>
      <c r="C18" s="9"/>
    </row>
    <row r="19" spans="2:13" ht="13" x14ac:dyDescent="0.15">
      <c r="B19" s="27" t="s">
        <v>47</v>
      </c>
      <c r="C19" s="181">
        <v>1191305772</v>
      </c>
      <c r="D19" s="181">
        <v>1140399624</v>
      </c>
      <c r="E19" s="181">
        <v>1083856796</v>
      </c>
      <c r="F19" s="181">
        <v>1109733268</v>
      </c>
      <c r="G19" s="181"/>
      <c r="H19" s="181"/>
      <c r="I19" s="181"/>
      <c r="J19" s="181"/>
      <c r="K19" s="181"/>
      <c r="L19" s="181"/>
      <c r="M19" s="181"/>
    </row>
    <row r="20" spans="2:13" ht="13" x14ac:dyDescent="0.15">
      <c r="B20" s="27" t="s">
        <v>53</v>
      </c>
      <c r="C20" s="181">
        <f>C19</f>
        <v>1191305772</v>
      </c>
      <c r="D20" s="181">
        <f>D19</f>
        <v>1140399624</v>
      </c>
      <c r="E20" s="181">
        <f>E19</f>
        <v>1083856796</v>
      </c>
      <c r="F20" s="181">
        <f>F19</f>
        <v>1109733268</v>
      </c>
      <c r="G20" s="181"/>
      <c r="H20" s="181"/>
      <c r="I20" s="181"/>
      <c r="J20" s="181"/>
      <c r="K20" s="181"/>
      <c r="L20" s="181"/>
      <c r="M20" s="181"/>
    </row>
    <row r="21" spans="2:13" ht="13" x14ac:dyDescent="0.15">
      <c r="B21" s="27" t="s">
        <v>52</v>
      </c>
      <c r="C21" s="181">
        <v>583532518</v>
      </c>
      <c r="D21" s="181">
        <v>1575918543</v>
      </c>
      <c r="E21" s="181">
        <v>878667968</v>
      </c>
      <c r="F21" s="181">
        <v>2804548241</v>
      </c>
      <c r="G21" s="181"/>
      <c r="H21" s="181"/>
      <c r="I21" s="181"/>
      <c r="J21" s="181"/>
      <c r="K21" s="181"/>
      <c r="L21" s="181"/>
      <c r="M21" s="181"/>
    </row>
    <row r="22" spans="2:13" ht="13" x14ac:dyDescent="0.15">
      <c r="B22" s="27" t="s">
        <v>372</v>
      </c>
      <c r="C22" s="181">
        <v>5154661132</v>
      </c>
      <c r="D22" s="181">
        <v>2777567140</v>
      </c>
      <c r="E22" s="181">
        <v>4878771322</v>
      </c>
      <c r="F22" s="181">
        <v>6043111455</v>
      </c>
      <c r="G22" s="181">
        <v>4953422362</v>
      </c>
      <c r="H22" s="181"/>
      <c r="I22" s="181"/>
      <c r="J22" s="181"/>
      <c r="K22" s="181"/>
      <c r="L22" s="181"/>
      <c r="M22" s="181"/>
    </row>
    <row r="23" spans="2:13" ht="13" x14ac:dyDescent="0.15">
      <c r="B23" s="27" t="s">
        <v>374</v>
      </c>
      <c r="C23" s="181">
        <v>-7421783375</v>
      </c>
      <c r="D23" s="181">
        <v>-3462971412</v>
      </c>
      <c r="E23" s="181">
        <v>-2199108158</v>
      </c>
      <c r="F23" s="181">
        <v>-10249763562</v>
      </c>
      <c r="G23" s="181">
        <v>-1487738165</v>
      </c>
      <c r="H23" s="181"/>
      <c r="I23" s="181"/>
      <c r="J23" s="181"/>
      <c r="K23" s="181"/>
      <c r="L23" s="181"/>
      <c r="M23" s="181"/>
    </row>
    <row r="24" spans="2:13" ht="13" x14ac:dyDescent="0.15">
      <c r="B24" s="27" t="s">
        <v>373</v>
      </c>
      <c r="C24" s="181">
        <v>-2983143705</v>
      </c>
      <c r="D24" s="181">
        <v>-2868065880</v>
      </c>
      <c r="E24" s="181">
        <v>-1675712527</v>
      </c>
      <c r="F24" s="181">
        <v>-1613622636</v>
      </c>
      <c r="G24" s="181">
        <v>-356090851</v>
      </c>
      <c r="H24" s="181"/>
      <c r="I24" s="181"/>
      <c r="J24" s="181"/>
      <c r="K24" s="181"/>
      <c r="L24" s="181"/>
      <c r="M24" s="181"/>
    </row>
    <row r="25" spans="2:13" x14ac:dyDescent="0.15">
      <c r="B25" s="24" t="str">
        <f>"Dividend per share ("&amp;Market_currency&amp;")"</f>
        <v>Dividend per share (HKD)</v>
      </c>
      <c r="C25" s="39">
        <f>2.2/Exchange_Rate</f>
        <v>2.0299433998263439</v>
      </c>
      <c r="D25" s="39">
        <f>2/Exchange_Rate</f>
        <v>1.8454030907512216</v>
      </c>
      <c r="E25" s="39">
        <f>1.3/Exchange_Rate</f>
        <v>1.199512008988294</v>
      </c>
      <c r="F25" s="39">
        <f>1.1/Exchange_Rate</f>
        <v>1.0149716999131719</v>
      </c>
      <c r="G25" s="39">
        <f>0.75/Exchange_Rate</f>
        <v>0.69202615903170805</v>
      </c>
      <c r="H25" s="39"/>
      <c r="I25" s="39"/>
      <c r="J25" s="39"/>
      <c r="K25" s="39"/>
      <c r="L25" s="39"/>
      <c r="M25" s="39"/>
    </row>
    <row r="27" spans="2:13" x14ac:dyDescent="0.15">
      <c r="B27" s="16" t="s">
        <v>28</v>
      </c>
      <c r="C27" s="97" t="s">
        <v>458</v>
      </c>
    </row>
    <row r="28" spans="2:13" ht="13" x14ac:dyDescent="0.15">
      <c r="B28" s="26" t="s">
        <v>24</v>
      </c>
      <c r="C28" s="183">
        <f>BS!C4</f>
        <v>185704725</v>
      </c>
      <c r="D28" s="181">
        <v>100391321</v>
      </c>
      <c r="E28" s="181">
        <v>124099728</v>
      </c>
      <c r="F28" s="181">
        <v>124929816</v>
      </c>
      <c r="G28" s="181">
        <v>125155008</v>
      </c>
      <c r="H28" s="181"/>
      <c r="I28" s="181"/>
      <c r="J28" s="181"/>
      <c r="K28" s="181"/>
      <c r="L28" s="181"/>
      <c r="M28" s="181"/>
    </row>
    <row r="29" spans="2:13" ht="13" x14ac:dyDescent="0.15">
      <c r="B29" s="26" t="s">
        <v>32</v>
      </c>
      <c r="C29" s="183">
        <f>BS!C6</f>
        <v>3576387537</v>
      </c>
      <c r="D29" s="181">
        <v>3539828305</v>
      </c>
      <c r="E29" s="181">
        <v>4152187132</v>
      </c>
      <c r="F29" s="181">
        <v>3492997857</v>
      </c>
      <c r="G29" s="181">
        <v>3281033526</v>
      </c>
      <c r="H29" s="181"/>
      <c r="I29" s="181"/>
      <c r="J29" s="181"/>
      <c r="K29" s="181"/>
      <c r="L29" s="181"/>
      <c r="M29" s="181"/>
    </row>
    <row r="30" spans="2:13" ht="13" x14ac:dyDescent="0.15">
      <c r="B30" s="29" t="s">
        <v>40</v>
      </c>
      <c r="C30" s="186">
        <f>BS!C33+BS!C42</f>
        <v>21560843821</v>
      </c>
      <c r="D30" s="182">
        <v>21001264174</v>
      </c>
      <c r="E30" s="182">
        <v>24039387261</v>
      </c>
      <c r="F30" s="182">
        <v>22769313149</v>
      </c>
      <c r="G30" s="182">
        <v>20146133669</v>
      </c>
      <c r="H30" s="182"/>
      <c r="I30" s="182"/>
      <c r="J30" s="182"/>
      <c r="K30" s="182"/>
      <c r="L30" s="182"/>
      <c r="M30" s="182"/>
    </row>
    <row r="31" spans="2:13" ht="13" x14ac:dyDescent="0.15">
      <c r="B31" s="29" t="s">
        <v>30</v>
      </c>
      <c r="C31" s="186">
        <f>BS!G27</f>
        <v>29859542011</v>
      </c>
      <c r="D31" s="182">
        <v>28254747175</v>
      </c>
      <c r="E31" s="182">
        <v>26272312535</v>
      </c>
      <c r="F31" s="182">
        <v>23793691342</v>
      </c>
      <c r="G31" s="182">
        <v>21368052166</v>
      </c>
      <c r="H31" s="182"/>
      <c r="I31" s="182"/>
      <c r="J31" s="182"/>
      <c r="K31" s="182"/>
      <c r="L31" s="182"/>
      <c r="M31" s="182"/>
    </row>
    <row r="32" spans="2:13" ht="13" x14ac:dyDescent="0.15">
      <c r="B32" s="26" t="s">
        <v>173</v>
      </c>
      <c r="C32" s="183">
        <f>BS!G28</f>
        <v>799157484</v>
      </c>
      <c r="D32" s="181">
        <v>805268959</v>
      </c>
      <c r="E32" s="181">
        <v>777490832</v>
      </c>
      <c r="F32" s="181">
        <v>791846744</v>
      </c>
      <c r="G32" s="182">
        <v>746091651</v>
      </c>
      <c r="H32" s="182"/>
      <c r="I32" s="182"/>
      <c r="J32" s="182"/>
      <c r="K32" s="182"/>
      <c r="L32" s="182"/>
      <c r="M32" s="182"/>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183">
        <f t="shared" ref="C36:M36" si="1">IF(C$4="","",C4)</f>
        <v>32137830111</v>
      </c>
      <c r="D36" s="183">
        <f t="shared" si="1"/>
        <v>33936522741</v>
      </c>
      <c r="E36" s="183">
        <f t="shared" si="1"/>
        <v>32171565624</v>
      </c>
      <c r="F36" s="183">
        <f t="shared" si="1"/>
        <v>30166805377</v>
      </c>
      <c r="G36" s="183">
        <f t="shared" si="1"/>
        <v>27759710926</v>
      </c>
      <c r="H36" s="183" t="str">
        <f t="shared" si="1"/>
        <v/>
      </c>
      <c r="I36" s="183" t="str">
        <f t="shared" si="1"/>
        <v/>
      </c>
      <c r="J36" s="183" t="str">
        <f t="shared" si="1"/>
        <v/>
      </c>
      <c r="K36" s="183" t="str">
        <f t="shared" si="1"/>
        <v/>
      </c>
      <c r="L36" s="183" t="str">
        <f t="shared" si="1"/>
        <v/>
      </c>
      <c r="M36" s="183" t="str">
        <f t="shared" si="1"/>
        <v/>
      </c>
    </row>
    <row r="37" spans="2:13" x14ac:dyDescent="0.15">
      <c r="B37" s="40" t="s">
        <v>43</v>
      </c>
      <c r="C37" s="183">
        <f t="shared" ref="C37:M37" si="2">IF(C$4="","",-C5)</f>
        <v>-21538172214</v>
      </c>
      <c r="D37" s="183">
        <f t="shared" si="2"/>
        <v>-23203550387</v>
      </c>
      <c r="E37" s="183">
        <f t="shared" si="2"/>
        <v>-22708660145</v>
      </c>
      <c r="F37" s="183">
        <f t="shared" si="2"/>
        <v>-21409966489</v>
      </c>
      <c r="G37" s="183">
        <f t="shared" si="2"/>
        <v>-18759681723</v>
      </c>
      <c r="H37" s="183" t="str">
        <f t="shared" si="2"/>
        <v/>
      </c>
      <c r="I37" s="183" t="str">
        <f t="shared" si="2"/>
        <v/>
      </c>
      <c r="J37" s="183" t="str">
        <f t="shared" si="2"/>
        <v/>
      </c>
      <c r="K37" s="183" t="str">
        <f t="shared" si="2"/>
        <v/>
      </c>
      <c r="L37" s="183" t="str">
        <f t="shared" si="2"/>
        <v/>
      </c>
      <c r="M37" s="183" t="str">
        <f t="shared" si="2"/>
        <v/>
      </c>
    </row>
    <row r="38" spans="2:13" ht="13" x14ac:dyDescent="0.15">
      <c r="B38" s="31" t="s">
        <v>58</v>
      </c>
      <c r="C38" s="184">
        <f>IF(C36="","",C36+C37)</f>
        <v>10599657897</v>
      </c>
      <c r="D38" s="184">
        <f t="shared" ref="D38" si="3">IF(D36="","",D36+D37)</f>
        <v>10732972354</v>
      </c>
      <c r="E38" s="184">
        <f t="shared" ref="E38" si="4">IF(E36="","",E36+E37)</f>
        <v>9462905479</v>
      </c>
      <c r="F38" s="184">
        <f t="shared" ref="F38" si="5">IF(F36="","",F36+F37)</f>
        <v>8756838888</v>
      </c>
      <c r="G38" s="184">
        <f t="shared" ref="G38" si="6">IF(G36="","",G36+G37)</f>
        <v>9000029203</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15">
      <c r="B39" s="40" t="s">
        <v>54</v>
      </c>
      <c r="C39" s="183">
        <f t="shared" ref="C39:M39" si="13">IF(C$4="","",-C6)</f>
        <v>-6009098645</v>
      </c>
      <c r="D39" s="183">
        <f t="shared" si="13"/>
        <v>-6227465840</v>
      </c>
      <c r="E39" s="183">
        <f t="shared" si="13"/>
        <v>-5672870751</v>
      </c>
      <c r="F39" s="183">
        <f t="shared" si="13"/>
        <v>-5789419371</v>
      </c>
      <c r="G39" s="183">
        <f t="shared" si="13"/>
        <v>-6662600559</v>
      </c>
      <c r="H39" s="183" t="str">
        <f t="shared" si="13"/>
        <v/>
      </c>
      <c r="I39" s="183" t="str">
        <f t="shared" si="13"/>
        <v/>
      </c>
      <c r="J39" s="183" t="str">
        <f t="shared" si="13"/>
        <v/>
      </c>
      <c r="K39" s="183" t="str">
        <f t="shared" si="13"/>
        <v/>
      </c>
      <c r="L39" s="183" t="str">
        <f t="shared" si="13"/>
        <v/>
      </c>
      <c r="M39" s="183" t="str">
        <f t="shared" si="13"/>
        <v/>
      </c>
    </row>
    <row r="40" spans="2:13" x14ac:dyDescent="0.15">
      <c r="B40" s="69" t="s">
        <v>61</v>
      </c>
      <c r="C40" s="185">
        <f t="shared" ref="C40:M40" si="14">IF(C$4="","",-C7)</f>
        <v>-4602519864</v>
      </c>
      <c r="D40" s="185">
        <f t="shared" si="14"/>
        <v>-4708402798</v>
      </c>
      <c r="E40" s="185">
        <f t="shared" si="14"/>
        <v>-4199502747</v>
      </c>
      <c r="F40" s="185">
        <f t="shared" si="14"/>
        <v>-4096874125</v>
      </c>
      <c r="G40" s="185">
        <f t="shared" si="14"/>
        <v>-4984549837</v>
      </c>
      <c r="H40" s="185" t="str">
        <f t="shared" si="14"/>
        <v/>
      </c>
      <c r="I40" s="185" t="str">
        <f t="shared" si="14"/>
        <v/>
      </c>
      <c r="J40" s="185" t="str">
        <f t="shared" si="14"/>
        <v/>
      </c>
      <c r="K40" s="185" t="str">
        <f t="shared" si="14"/>
        <v/>
      </c>
      <c r="L40" s="185" t="str">
        <f t="shared" si="14"/>
        <v/>
      </c>
      <c r="M40" s="185" t="str">
        <f t="shared" si="14"/>
        <v/>
      </c>
    </row>
    <row r="41" spans="2:13" x14ac:dyDescent="0.15">
      <c r="B41" s="69" t="s">
        <v>64</v>
      </c>
      <c r="C41" s="185">
        <f>IF(C$4="","",C39-C40)</f>
        <v>-1406578781</v>
      </c>
      <c r="D41" s="185">
        <f t="shared" ref="D41:M41" si="15">IF(D$4="","",D39-D40)</f>
        <v>-1519063042</v>
      </c>
      <c r="E41" s="185">
        <f t="shared" si="15"/>
        <v>-1473368004</v>
      </c>
      <c r="F41" s="185">
        <f t="shared" si="15"/>
        <v>-1692545246</v>
      </c>
      <c r="G41" s="185">
        <f t="shared" si="15"/>
        <v>-1678050722</v>
      </c>
      <c r="H41" s="185" t="str">
        <f t="shared" si="15"/>
        <v/>
      </c>
      <c r="I41" s="185" t="str">
        <f t="shared" si="15"/>
        <v/>
      </c>
      <c r="J41" s="185" t="str">
        <f t="shared" si="15"/>
        <v/>
      </c>
      <c r="K41" s="185" t="str">
        <f t="shared" si="15"/>
        <v/>
      </c>
      <c r="L41" s="185" t="str">
        <f t="shared" si="15"/>
        <v/>
      </c>
      <c r="M41" s="185" t="str">
        <f t="shared" si="15"/>
        <v/>
      </c>
    </row>
    <row r="42" spans="2:13" x14ac:dyDescent="0.15">
      <c r="B42" s="40" t="s">
        <v>49</v>
      </c>
      <c r="C42" s="183">
        <f t="shared" ref="C42:M42" si="16">IF(C$4="","",-C8)</f>
        <v>-102766675</v>
      </c>
      <c r="D42" s="183">
        <f t="shared" si="16"/>
        <v>-100637006</v>
      </c>
      <c r="E42" s="183">
        <f t="shared" si="16"/>
        <v>-62954899</v>
      </c>
      <c r="F42" s="183">
        <f t="shared" si="16"/>
        <v>-30890245</v>
      </c>
      <c r="G42" s="183">
        <f t="shared" si="16"/>
        <v>-21467092</v>
      </c>
      <c r="H42" s="183" t="str">
        <f t="shared" si="16"/>
        <v/>
      </c>
      <c r="I42" s="183" t="str">
        <f t="shared" si="16"/>
        <v/>
      </c>
      <c r="J42" s="183" t="str">
        <f t="shared" si="16"/>
        <v/>
      </c>
      <c r="K42" s="183" t="str">
        <f t="shared" si="16"/>
        <v/>
      </c>
      <c r="L42" s="183" t="str">
        <f t="shared" si="16"/>
        <v/>
      </c>
      <c r="M42" s="183" t="str">
        <f t="shared" si="16"/>
        <v/>
      </c>
    </row>
    <row r="43" spans="2:13" x14ac:dyDescent="0.15">
      <c r="B43" s="43" t="s">
        <v>153</v>
      </c>
      <c r="C43" s="186">
        <f>IF(C$4="","",C38+C39+C42)</f>
        <v>4487792577</v>
      </c>
      <c r="D43" s="186">
        <f t="shared" ref="D43:M43" si="17">IF(D$4="","",D38+D39+D42)</f>
        <v>4404869508</v>
      </c>
      <c r="E43" s="186">
        <f t="shared" si="17"/>
        <v>3727079829</v>
      </c>
      <c r="F43" s="186">
        <f t="shared" si="17"/>
        <v>2936529272</v>
      </c>
      <c r="G43" s="186">
        <f t="shared" si="17"/>
        <v>2315961552</v>
      </c>
      <c r="H43" s="186" t="str">
        <f t="shared" si="17"/>
        <v/>
      </c>
      <c r="I43" s="186" t="str">
        <f t="shared" si="17"/>
        <v/>
      </c>
      <c r="J43" s="186" t="str">
        <f t="shared" si="17"/>
        <v/>
      </c>
      <c r="K43" s="186" t="str">
        <f t="shared" si="17"/>
        <v/>
      </c>
      <c r="L43" s="186" t="str">
        <f t="shared" si="17"/>
        <v/>
      </c>
      <c r="M43" s="186" t="str">
        <f t="shared" si="17"/>
        <v/>
      </c>
    </row>
    <row r="44" spans="2:13" x14ac:dyDescent="0.15">
      <c r="B44" s="43" t="s">
        <v>169</v>
      </c>
      <c r="C44" s="187">
        <f t="shared" ref="C44:M44" si="18">IF(C$4="","",C47-C46-C45-C43)</f>
        <v>798766277</v>
      </c>
      <c r="D44" s="187">
        <f t="shared" si="18"/>
        <v>851592381</v>
      </c>
      <c r="E44" s="187">
        <f t="shared" si="18"/>
        <v>828637601</v>
      </c>
      <c r="F44" s="187">
        <f t="shared" si="18"/>
        <v>1249483253</v>
      </c>
      <c r="G44" s="187">
        <f t="shared" si="18"/>
        <v>413221114</v>
      </c>
      <c r="H44" s="187" t="str">
        <f t="shared" si="18"/>
        <v/>
      </c>
      <c r="I44" s="187" t="str">
        <f t="shared" si="18"/>
        <v/>
      </c>
      <c r="J44" s="187" t="str">
        <f t="shared" si="18"/>
        <v/>
      </c>
      <c r="K44" s="187" t="str">
        <f t="shared" si="18"/>
        <v/>
      </c>
      <c r="L44" s="187" t="str">
        <f t="shared" si="18"/>
        <v/>
      </c>
      <c r="M44" s="187" t="str">
        <f t="shared" si="18"/>
        <v/>
      </c>
    </row>
    <row r="45" spans="2:13" x14ac:dyDescent="0.15">
      <c r="B45" s="40" t="s">
        <v>68</v>
      </c>
      <c r="C45" s="76">
        <f t="shared" ref="C45:M45" si="19">IF(C$4="","",C51+C52)</f>
        <v>594934146</v>
      </c>
      <c r="D45" s="76">
        <f t="shared" si="19"/>
        <v>489945413</v>
      </c>
      <c r="E45" s="76">
        <f t="shared" si="19"/>
        <v>450423856</v>
      </c>
      <c r="F45" s="76">
        <f t="shared" si="19"/>
        <v>292962940</v>
      </c>
      <c r="G45" s="76">
        <f t="shared" si="19"/>
        <v>510366658</v>
      </c>
      <c r="H45" s="76" t="str">
        <f t="shared" si="19"/>
        <v/>
      </c>
      <c r="I45" s="76" t="str">
        <f t="shared" si="19"/>
        <v/>
      </c>
      <c r="J45" s="76" t="str">
        <f t="shared" si="19"/>
        <v/>
      </c>
      <c r="K45" s="76" t="str">
        <f t="shared" si="19"/>
        <v/>
      </c>
      <c r="L45" s="76" t="str">
        <f t="shared" si="19"/>
        <v/>
      </c>
      <c r="M45" s="76" t="str">
        <f t="shared" si="19"/>
        <v/>
      </c>
    </row>
    <row r="46" spans="2:13" x14ac:dyDescent="0.15">
      <c r="B46" s="40" t="s">
        <v>50</v>
      </c>
      <c r="C46" s="183">
        <f t="shared" ref="C46:M46" si="20">IF(C$4="","",-C14)</f>
        <v>-1389716314</v>
      </c>
      <c r="D46" s="183">
        <f t="shared" si="20"/>
        <v>-1398208378</v>
      </c>
      <c r="E46" s="183">
        <f t="shared" si="20"/>
        <v>-1201419808</v>
      </c>
      <c r="F46" s="183">
        <f t="shared" si="20"/>
        <v>-1222731595</v>
      </c>
      <c r="G46" s="183">
        <f t="shared" si="20"/>
        <v>-912580519</v>
      </c>
      <c r="H46" s="183" t="str">
        <f t="shared" si="20"/>
        <v/>
      </c>
      <c r="I46" s="183" t="str">
        <f t="shared" si="20"/>
        <v/>
      </c>
      <c r="J46" s="183" t="str">
        <f t="shared" si="20"/>
        <v/>
      </c>
      <c r="K46" s="183" t="str">
        <f t="shared" si="20"/>
        <v/>
      </c>
      <c r="L46" s="183" t="str">
        <f t="shared" si="20"/>
        <v/>
      </c>
      <c r="M46" s="183" t="str">
        <f t="shared" si="20"/>
        <v/>
      </c>
    </row>
    <row r="47" spans="2:13" x14ac:dyDescent="0.15">
      <c r="B47" s="43" t="s">
        <v>42</v>
      </c>
      <c r="C47" s="186">
        <f t="shared" ref="C47:M47" si="21">IF(C$4="","",C15)</f>
        <v>4491776686</v>
      </c>
      <c r="D47" s="186">
        <f t="shared" si="21"/>
        <v>4348198924</v>
      </c>
      <c r="E47" s="186">
        <f t="shared" si="21"/>
        <v>3804721478</v>
      </c>
      <c r="F47" s="186">
        <f t="shared" si="21"/>
        <v>3256243870</v>
      </c>
      <c r="G47" s="186">
        <f t="shared" si="21"/>
        <v>2326968805</v>
      </c>
      <c r="H47" s="186" t="str">
        <f t="shared" si="21"/>
        <v/>
      </c>
      <c r="I47" s="186" t="str">
        <f t="shared" si="21"/>
        <v/>
      </c>
      <c r="J47" s="186" t="str">
        <f t="shared" si="21"/>
        <v/>
      </c>
      <c r="K47" s="186" t="str">
        <f t="shared" si="21"/>
        <v/>
      </c>
      <c r="L47" s="186" t="str">
        <f t="shared" si="21"/>
        <v/>
      </c>
      <c r="M47" s="186" t="str">
        <f t="shared" si="21"/>
        <v/>
      </c>
    </row>
    <row r="48" spans="2:13" x14ac:dyDescent="0.15">
      <c r="B48" s="28" t="s">
        <v>44</v>
      </c>
      <c r="C48" s="183">
        <f t="shared" ref="C48:M48" si="22">IF(C$4="","",MIN(-C16,0))</f>
        <v>-146792828</v>
      </c>
      <c r="D48" s="183">
        <f t="shared" si="22"/>
        <v>-80347518</v>
      </c>
      <c r="E48" s="183">
        <f t="shared" si="22"/>
        <v>-94092885</v>
      </c>
      <c r="F48" s="183">
        <f t="shared" si="22"/>
        <v>-100788060</v>
      </c>
      <c r="G48" s="183">
        <f t="shared" si="22"/>
        <v>-125645249</v>
      </c>
      <c r="H48" s="183" t="str">
        <f t="shared" si="22"/>
        <v/>
      </c>
      <c r="I48" s="183" t="str">
        <f t="shared" si="22"/>
        <v/>
      </c>
      <c r="J48" s="183" t="str">
        <f t="shared" si="22"/>
        <v/>
      </c>
      <c r="K48" s="183" t="str">
        <f t="shared" si="22"/>
        <v/>
      </c>
      <c r="L48" s="183" t="str">
        <f t="shared" si="22"/>
        <v/>
      </c>
      <c r="M48" s="183" t="str">
        <f t="shared" si="22"/>
        <v/>
      </c>
    </row>
    <row r="50" spans="2:13" x14ac:dyDescent="0.15">
      <c r="B50" s="16" t="s">
        <v>68</v>
      </c>
    </row>
    <row r="51" spans="2:13" x14ac:dyDescent="0.15">
      <c r="B51" s="40" t="s">
        <v>39</v>
      </c>
      <c r="C51" s="183">
        <f t="shared" ref="C51:M51" si="23">IF(C$4="","",-C12)</f>
        <v>-21837054</v>
      </c>
      <c r="D51" s="183">
        <f t="shared" si="23"/>
        <v>-16430590</v>
      </c>
      <c r="E51" s="183">
        <f t="shared" si="23"/>
        <v>-9237800</v>
      </c>
      <c r="F51" s="183">
        <f t="shared" si="23"/>
        <v>-22685367</v>
      </c>
      <c r="G51" s="183">
        <f t="shared" si="23"/>
        <v>-13662682</v>
      </c>
      <c r="H51" s="183" t="str">
        <f t="shared" si="23"/>
        <v/>
      </c>
      <c r="I51" s="183" t="str">
        <f t="shared" si="23"/>
        <v/>
      </c>
      <c r="J51" s="183" t="str">
        <f t="shared" si="23"/>
        <v/>
      </c>
      <c r="K51" s="183" t="str">
        <f t="shared" si="23"/>
        <v/>
      </c>
      <c r="L51" s="183" t="str">
        <f t="shared" si="23"/>
        <v/>
      </c>
      <c r="M51" s="183" t="str">
        <f t="shared" si="23"/>
        <v/>
      </c>
    </row>
    <row r="52" spans="2:13" x14ac:dyDescent="0.15">
      <c r="B52" s="40" t="s">
        <v>67</v>
      </c>
      <c r="C52" s="183">
        <f t="shared" ref="C52:M52" si="24">IF(C$4="","",C13)</f>
        <v>616771200</v>
      </c>
      <c r="D52" s="183">
        <f t="shared" si="24"/>
        <v>506376003</v>
      </c>
      <c r="E52" s="183">
        <f t="shared" si="24"/>
        <v>459661656</v>
      </c>
      <c r="F52" s="183">
        <f t="shared" si="24"/>
        <v>315648307</v>
      </c>
      <c r="G52" s="183">
        <f t="shared" si="24"/>
        <v>524029340</v>
      </c>
      <c r="H52" s="183" t="str">
        <f t="shared" si="24"/>
        <v/>
      </c>
      <c r="I52" s="183" t="str">
        <f t="shared" si="24"/>
        <v/>
      </c>
      <c r="J52" s="183" t="str">
        <f t="shared" si="24"/>
        <v/>
      </c>
      <c r="K52" s="183" t="str">
        <f t="shared" si="24"/>
        <v/>
      </c>
      <c r="L52" s="183" t="str">
        <f t="shared" si="24"/>
        <v/>
      </c>
      <c r="M52" s="183" t="str">
        <f t="shared" si="24"/>
        <v/>
      </c>
    </row>
    <row r="54" spans="2:13" x14ac:dyDescent="0.15">
      <c r="B54" s="175" t="s">
        <v>169</v>
      </c>
    </row>
    <row r="55" spans="2:13" x14ac:dyDescent="0.15">
      <c r="B55" s="40" t="s">
        <v>160</v>
      </c>
      <c r="C55" s="76">
        <f t="shared" ref="C55:M55" si="25">IF(C$4="","",C9)</f>
        <v>48272283</v>
      </c>
      <c r="D55" s="76">
        <f t="shared" si="25"/>
        <v>15798284</v>
      </c>
      <c r="E55" s="76">
        <f t="shared" si="25"/>
        <v>19873379</v>
      </c>
      <c r="F55" s="76">
        <f t="shared" si="25"/>
        <v>20561728</v>
      </c>
      <c r="G55" s="76">
        <f t="shared" si="25"/>
        <v>18098320</v>
      </c>
      <c r="H55" s="76" t="str">
        <f t="shared" si="25"/>
        <v/>
      </c>
      <c r="I55" s="76" t="str">
        <f t="shared" si="25"/>
        <v/>
      </c>
      <c r="J55" s="76" t="str">
        <f t="shared" si="25"/>
        <v/>
      </c>
      <c r="K55" s="76" t="str">
        <f t="shared" si="25"/>
        <v/>
      </c>
      <c r="L55" s="76" t="str">
        <f t="shared" si="25"/>
        <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t="str">
        <f t="shared" si="26"/>
        <v/>
      </c>
      <c r="I56" s="76" t="str">
        <f t="shared" si="26"/>
        <v/>
      </c>
      <c r="J56" s="76" t="str">
        <f t="shared" si="26"/>
        <v/>
      </c>
      <c r="K56" s="76" t="str">
        <f t="shared" si="26"/>
        <v/>
      </c>
      <c r="L56" s="76" t="str">
        <f t="shared" si="26"/>
        <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t="str">
        <f t="shared" si="27"/>
        <v/>
      </c>
      <c r="I57" s="76" t="str">
        <f t="shared" si="27"/>
        <v/>
      </c>
      <c r="J57" s="76" t="str">
        <f t="shared" si="27"/>
        <v/>
      </c>
      <c r="K57" s="76" t="str">
        <f t="shared" si="27"/>
        <v/>
      </c>
      <c r="L57" s="76" t="str">
        <f t="shared" si="27"/>
        <v/>
      </c>
      <c r="M57" s="76" t="str">
        <f t="shared" si="27"/>
        <v/>
      </c>
    </row>
    <row r="58" spans="2:13" x14ac:dyDescent="0.15">
      <c r="B58" s="40" t="s">
        <v>161</v>
      </c>
      <c r="C58" s="76">
        <f>IF(C$4="","",C44-C55-C56-C57)</f>
        <v>750493994</v>
      </c>
      <c r="D58" s="76">
        <f t="shared" ref="D58:M58" si="28">IF(D$4="","",D44-D55-D56-D57)</f>
        <v>835794097</v>
      </c>
      <c r="E58" s="76">
        <f t="shared" si="28"/>
        <v>808764222</v>
      </c>
      <c r="F58" s="76">
        <f t="shared" si="28"/>
        <v>1228921525</v>
      </c>
      <c r="G58" s="76">
        <f t="shared" si="28"/>
        <v>395122794</v>
      </c>
      <c r="H58" s="76" t="str">
        <f t="shared" si="28"/>
        <v/>
      </c>
      <c r="I58" s="76" t="str">
        <f t="shared" si="28"/>
        <v/>
      </c>
      <c r="J58" s="76" t="str">
        <f t="shared" si="28"/>
        <v/>
      </c>
      <c r="K58" s="76" t="str">
        <f t="shared" si="28"/>
        <v/>
      </c>
      <c r="L58" s="76" t="str">
        <f t="shared" si="28"/>
        <v/>
      </c>
      <c r="M58" s="76" t="str">
        <f t="shared" si="28"/>
        <v/>
      </c>
    </row>
    <row r="60" spans="2:13" x14ac:dyDescent="0.15">
      <c r="B60" s="16" t="s">
        <v>51</v>
      </c>
      <c r="C60" s="9"/>
    </row>
    <row r="61" spans="2:13" ht="13" x14ac:dyDescent="0.15">
      <c r="B61" s="27" t="s">
        <v>47</v>
      </c>
      <c r="C61" s="183">
        <f>IF(C$4="","",-C19)</f>
        <v>-1191305772</v>
      </c>
      <c r="D61" s="183">
        <f t="shared" ref="D61:M61" si="29">IF(D$4="","",-D19)</f>
        <v>-1140399624</v>
      </c>
      <c r="E61" s="183">
        <f t="shared" si="29"/>
        <v>-1083856796</v>
      </c>
      <c r="F61" s="183">
        <f t="shared" si="29"/>
        <v>-1109733268</v>
      </c>
      <c r="G61" s="183">
        <f t="shared" si="29"/>
        <v>0</v>
      </c>
      <c r="H61" s="183" t="str">
        <f t="shared" si="29"/>
        <v/>
      </c>
      <c r="I61" s="183" t="str">
        <f t="shared" si="29"/>
        <v/>
      </c>
      <c r="J61" s="183" t="str">
        <f t="shared" si="29"/>
        <v/>
      </c>
      <c r="K61" s="183" t="str">
        <f t="shared" si="29"/>
        <v/>
      </c>
      <c r="L61" s="183" t="str">
        <f t="shared" si="29"/>
        <v/>
      </c>
      <c r="M61" s="183" t="str">
        <f t="shared" si="29"/>
        <v/>
      </c>
    </row>
    <row r="62" spans="2:13" ht="13" x14ac:dyDescent="0.15">
      <c r="B62" s="27" t="s">
        <v>53</v>
      </c>
      <c r="C62" s="183">
        <f>IF(C$4="","",IF(C20=0,C61,-C20))</f>
        <v>-1191305772</v>
      </c>
      <c r="D62" s="183">
        <f t="shared" ref="D62:M62" si="30">IF(D$4="","",IF(D20=0,D61,-D20))</f>
        <v>-1140399624</v>
      </c>
      <c r="E62" s="183">
        <f t="shared" si="30"/>
        <v>-1083856796</v>
      </c>
      <c r="F62" s="183">
        <f t="shared" si="30"/>
        <v>-1109733268</v>
      </c>
      <c r="G62" s="183">
        <f t="shared" si="30"/>
        <v>0</v>
      </c>
      <c r="H62" s="183" t="str">
        <f t="shared" si="30"/>
        <v/>
      </c>
      <c r="I62" s="183" t="str">
        <f t="shared" si="30"/>
        <v/>
      </c>
      <c r="J62" s="183" t="str">
        <f t="shared" si="30"/>
        <v/>
      </c>
      <c r="K62" s="183" t="str">
        <f t="shared" si="30"/>
        <v/>
      </c>
      <c r="L62" s="183" t="str">
        <f t="shared" si="30"/>
        <v/>
      </c>
      <c r="M62" s="183" t="str">
        <f t="shared" si="30"/>
        <v/>
      </c>
    </row>
    <row r="63" spans="2:13" ht="13" x14ac:dyDescent="0.15">
      <c r="B63" s="27" t="s">
        <v>52</v>
      </c>
      <c r="C63" s="183">
        <f>IF(C$4="","",-C21)</f>
        <v>-583532518</v>
      </c>
      <c r="D63" s="183">
        <f t="shared" ref="D63:M63" si="31">IF(D$4="","",-D21)</f>
        <v>-1575918543</v>
      </c>
      <c r="E63" s="183">
        <f t="shared" si="31"/>
        <v>-878667968</v>
      </c>
      <c r="F63" s="183">
        <f t="shared" si="31"/>
        <v>-2804548241</v>
      </c>
      <c r="G63" s="183">
        <f t="shared" si="31"/>
        <v>0</v>
      </c>
      <c r="H63" s="183" t="str">
        <f t="shared" si="31"/>
        <v/>
      </c>
      <c r="I63" s="183" t="str">
        <f t="shared" si="31"/>
        <v/>
      </c>
      <c r="J63" s="183" t="str">
        <f t="shared" si="31"/>
        <v/>
      </c>
      <c r="K63" s="183" t="str">
        <f t="shared" si="31"/>
        <v/>
      </c>
      <c r="L63" s="183" t="str">
        <f t="shared" si="31"/>
        <v/>
      </c>
      <c r="M63" s="183" t="str">
        <f t="shared" si="31"/>
        <v/>
      </c>
    </row>
    <row r="64" spans="2:13" ht="13" x14ac:dyDescent="0.15">
      <c r="B64" s="27" t="s">
        <v>394</v>
      </c>
      <c r="C64" s="183">
        <f>IF(C$4="","",C22+C23+C24)</f>
        <v>-5250265948</v>
      </c>
      <c r="D64" s="183">
        <f t="shared" ref="D64:M64" si="32">IF(D$4="","",D22+D23+D24)</f>
        <v>-3553470152</v>
      </c>
      <c r="E64" s="183">
        <f t="shared" si="32"/>
        <v>1003950637</v>
      </c>
      <c r="F64" s="183">
        <f t="shared" si="32"/>
        <v>-5820274743</v>
      </c>
      <c r="G64" s="183">
        <f t="shared" si="32"/>
        <v>3109593346</v>
      </c>
      <c r="H64" s="183" t="str">
        <f t="shared" si="32"/>
        <v/>
      </c>
      <c r="I64" s="183" t="str">
        <f t="shared" si="32"/>
        <v/>
      </c>
      <c r="J64" s="183" t="str">
        <f t="shared" si="32"/>
        <v/>
      </c>
      <c r="K64" s="183" t="str">
        <f t="shared" si="32"/>
        <v/>
      </c>
      <c r="L64" s="183" t="str">
        <f t="shared" si="32"/>
        <v/>
      </c>
      <c r="M64" s="183" t="str">
        <f t="shared" si="32"/>
        <v/>
      </c>
    </row>
    <row r="65" spans="2:13" x14ac:dyDescent="0.15">
      <c r="B65" s="24" t="s">
        <v>36</v>
      </c>
      <c r="C65" s="73">
        <f>IF(C$4="","",C25)</f>
        <v>2.0299433998263439</v>
      </c>
      <c r="D65" s="73">
        <f t="shared" ref="D65:M65" si="33">IF(D$4="","",D25)</f>
        <v>1.8454030907512216</v>
      </c>
      <c r="E65" s="73">
        <f t="shared" si="33"/>
        <v>1.199512008988294</v>
      </c>
      <c r="F65" s="73">
        <f t="shared" si="33"/>
        <v>1.0149716999131719</v>
      </c>
      <c r="G65" s="73">
        <f t="shared" si="33"/>
        <v>0.69202615903170805</v>
      </c>
      <c r="H65" s="73" t="str">
        <f t="shared" si="33"/>
        <v/>
      </c>
      <c r="I65" s="73" t="str">
        <f t="shared" si="33"/>
        <v/>
      </c>
      <c r="J65" s="73" t="str">
        <f t="shared" si="33"/>
        <v/>
      </c>
      <c r="K65" s="73" t="str">
        <f t="shared" si="33"/>
        <v/>
      </c>
      <c r="L65" s="73" t="str">
        <f t="shared" si="33"/>
        <v/>
      </c>
      <c r="M65" s="73" t="str">
        <f t="shared" si="33"/>
        <v/>
      </c>
    </row>
    <row r="67" spans="2:13" x14ac:dyDescent="0.15">
      <c r="B67" s="91" t="s">
        <v>85</v>
      </c>
    </row>
    <row r="68" spans="2:13" x14ac:dyDescent="0.15">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ht="13" x14ac:dyDescent="0.15">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15">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15">
      <c r="B71" s="43" t="s">
        <v>169</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15">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51420385832</v>
      </c>
      <c r="D76" s="76">
        <f t="shared" ref="D76:M76" si="39">IF(D$4="","",D79+D80)</f>
        <v>49256011349</v>
      </c>
      <c r="E76" s="76">
        <f t="shared" si="39"/>
        <v>50311699796</v>
      </c>
      <c r="F76" s="76">
        <f t="shared" si="39"/>
        <v>46563004491</v>
      </c>
      <c r="G76" s="76">
        <f t="shared" si="39"/>
        <v>41514185835</v>
      </c>
      <c r="H76" s="76" t="str">
        <f t="shared" si="39"/>
        <v/>
      </c>
      <c r="I76" s="76" t="str">
        <f t="shared" si="39"/>
        <v/>
      </c>
      <c r="J76" s="76" t="str">
        <f t="shared" si="39"/>
        <v/>
      </c>
      <c r="K76" s="76" t="str">
        <f t="shared" si="39"/>
        <v/>
      </c>
      <c r="L76" s="76" t="str">
        <f t="shared" si="39"/>
        <v/>
      </c>
      <c r="M76" s="76" t="str">
        <f t="shared" si="39"/>
        <v/>
      </c>
    </row>
    <row r="77" spans="2:13" ht="13" x14ac:dyDescent="0.15">
      <c r="B77" s="93" t="s">
        <v>86</v>
      </c>
      <c r="C77" s="185">
        <f t="shared" ref="C77:H78" si="40">IF(C$4="","",C28)</f>
        <v>185704725</v>
      </c>
      <c r="D77" s="185">
        <f t="shared" si="40"/>
        <v>100391321</v>
      </c>
      <c r="E77" s="185">
        <f t="shared" si="40"/>
        <v>124099728</v>
      </c>
      <c r="F77" s="185">
        <f t="shared" si="40"/>
        <v>124929816</v>
      </c>
      <c r="G77" s="185">
        <f t="shared" si="40"/>
        <v>125155008</v>
      </c>
      <c r="H77" s="185" t="str">
        <f t="shared" si="40"/>
        <v/>
      </c>
      <c r="I77" s="324"/>
      <c r="J77" s="324"/>
      <c r="K77" s="324"/>
      <c r="L77" s="324"/>
      <c r="M77" s="324"/>
    </row>
    <row r="78" spans="2:13" ht="13" x14ac:dyDescent="0.15">
      <c r="B78" s="93" t="s">
        <v>87</v>
      </c>
      <c r="C78" s="185">
        <f t="shared" si="40"/>
        <v>3576387537</v>
      </c>
      <c r="D78" s="185">
        <f t="shared" si="40"/>
        <v>3539828305</v>
      </c>
      <c r="E78" s="185">
        <f t="shared" si="40"/>
        <v>4152187132</v>
      </c>
      <c r="F78" s="185">
        <f t="shared" si="40"/>
        <v>3492997857</v>
      </c>
      <c r="G78" s="185">
        <f t="shared" si="40"/>
        <v>3281033526</v>
      </c>
      <c r="H78" s="185" t="str">
        <f t="shared" si="40"/>
        <v/>
      </c>
      <c r="I78" s="324"/>
      <c r="J78" s="324"/>
      <c r="K78" s="324"/>
      <c r="L78" s="324"/>
      <c r="M78" s="324"/>
    </row>
    <row r="79" spans="2:13" ht="13" x14ac:dyDescent="0.15">
      <c r="B79" s="26" t="s">
        <v>40</v>
      </c>
      <c r="C79" s="183">
        <f t="shared" ref="C79:M79" si="41">IF(C$4="","",C30)</f>
        <v>21560843821</v>
      </c>
      <c r="D79" s="183">
        <f t="shared" si="41"/>
        <v>21001264174</v>
      </c>
      <c r="E79" s="183">
        <f t="shared" si="41"/>
        <v>24039387261</v>
      </c>
      <c r="F79" s="183">
        <f t="shared" si="41"/>
        <v>22769313149</v>
      </c>
      <c r="G79" s="183">
        <f t="shared" si="41"/>
        <v>20146133669</v>
      </c>
      <c r="H79" s="183" t="str">
        <f t="shared" si="41"/>
        <v/>
      </c>
      <c r="I79" s="183" t="str">
        <f t="shared" si="41"/>
        <v/>
      </c>
      <c r="J79" s="183" t="str">
        <f t="shared" si="41"/>
        <v/>
      </c>
      <c r="K79" s="183" t="str">
        <f t="shared" si="41"/>
        <v/>
      </c>
      <c r="L79" s="183" t="str">
        <f t="shared" si="41"/>
        <v/>
      </c>
      <c r="M79" s="183" t="str">
        <f t="shared" si="41"/>
        <v/>
      </c>
    </row>
    <row r="80" spans="2:13" ht="13" x14ac:dyDescent="0.15">
      <c r="B80" s="26" t="s">
        <v>30</v>
      </c>
      <c r="C80" s="183">
        <f t="shared" ref="C80:M80" si="42">IF(C$4="","",C31)</f>
        <v>29859542011</v>
      </c>
      <c r="D80" s="183">
        <f t="shared" si="42"/>
        <v>28254747175</v>
      </c>
      <c r="E80" s="183">
        <f t="shared" si="42"/>
        <v>26272312535</v>
      </c>
      <c r="F80" s="183">
        <f t="shared" si="42"/>
        <v>23793691342</v>
      </c>
      <c r="G80" s="183">
        <f t="shared" si="42"/>
        <v>21368052166</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f>Normalized_FCF!G1</f>
        <v>45657</v>
      </c>
      <c r="F1" s="86" t="str">
        <f>IF(MONTH(C1)=MONTH(Normalized_FCF!G1),"FY","Quarter")&amp;" Report"</f>
        <v>FY Report</v>
      </c>
      <c r="H1" s="107">
        <f>scaling_factor</f>
        <v>1</v>
      </c>
    </row>
    <row r="2" spans="2:8" ht="15" customHeight="1" x14ac:dyDescent="0.15">
      <c r="B2" s="79" t="s">
        <v>157</v>
      </c>
      <c r="C2" s="37"/>
      <c r="D2" s="37"/>
      <c r="E2" s="37"/>
      <c r="F2" s="37"/>
      <c r="G2" s="37"/>
      <c r="H2" s="37"/>
    </row>
    <row r="3" spans="2:8" ht="15" customHeight="1" x14ac:dyDescent="0.15">
      <c r="B3" s="16" t="s">
        <v>185</v>
      </c>
      <c r="C3" s="201" t="s">
        <v>137</v>
      </c>
      <c r="D3" s="202" t="s">
        <v>35</v>
      </c>
      <c r="F3" s="16" t="s">
        <v>186</v>
      </c>
      <c r="G3" s="201" t="s">
        <v>137</v>
      </c>
      <c r="H3" s="202" t="s">
        <v>35</v>
      </c>
    </row>
    <row r="4" spans="2:8" ht="15" customHeight="1" x14ac:dyDescent="0.15">
      <c r="B4" s="4" t="s">
        <v>24</v>
      </c>
      <c r="C4" s="19">
        <f>102420347+83284378</f>
        <v>185704725</v>
      </c>
      <c r="D4" s="285">
        <v>0.6</v>
      </c>
      <c r="E4" s="25"/>
      <c r="F4" s="4" t="s">
        <v>78</v>
      </c>
      <c r="G4" s="19">
        <v>17978772896</v>
      </c>
      <c r="H4" s="285">
        <v>0.9</v>
      </c>
    </row>
    <row r="5" spans="2:8" ht="15" customHeight="1" x14ac:dyDescent="0.15">
      <c r="B5" s="1" t="s">
        <v>33</v>
      </c>
      <c r="C5" s="19">
        <v>0</v>
      </c>
      <c r="D5" s="285">
        <v>0.6</v>
      </c>
      <c r="E5" s="25"/>
      <c r="F5" s="1" t="s">
        <v>29</v>
      </c>
      <c r="G5" s="19">
        <v>0</v>
      </c>
      <c r="H5" s="285">
        <v>0.7</v>
      </c>
    </row>
    <row r="6" spans="2:8" ht="15" customHeight="1" x14ac:dyDescent="0.15">
      <c r="B6" s="4" t="s">
        <v>10</v>
      </c>
      <c r="C6" s="19">
        <v>3576387537</v>
      </c>
      <c r="D6" s="285">
        <v>0.5</v>
      </c>
      <c r="E6" s="25"/>
      <c r="F6" s="4" t="s">
        <v>178</v>
      </c>
      <c r="G6" s="19">
        <v>0</v>
      </c>
      <c r="H6" s="285">
        <v>0.6</v>
      </c>
    </row>
    <row r="7" spans="2:8" ht="15" customHeight="1" x14ac:dyDescent="0.15">
      <c r="B7" s="1" t="s">
        <v>69</v>
      </c>
      <c r="C7" s="19">
        <v>0</v>
      </c>
      <c r="D7" s="285">
        <v>0.6</v>
      </c>
      <c r="E7" s="25"/>
      <c r="F7" s="4" t="s">
        <v>179</v>
      </c>
      <c r="G7" s="19">
        <v>2021804089</v>
      </c>
      <c r="H7" s="285">
        <v>0.6</v>
      </c>
    </row>
    <row r="8" spans="2:8" ht="15" customHeight="1" x14ac:dyDescent="0.15">
      <c r="B8" s="1" t="s">
        <v>174</v>
      </c>
      <c r="C8" s="19">
        <v>0</v>
      </c>
      <c r="D8" s="285">
        <v>0.6</v>
      </c>
      <c r="E8" s="25"/>
      <c r="F8" s="1" t="s">
        <v>180</v>
      </c>
      <c r="G8" s="19">
        <v>0</v>
      </c>
      <c r="H8" s="285">
        <v>0.6</v>
      </c>
    </row>
    <row r="9" spans="2:8" ht="15" customHeight="1" x14ac:dyDescent="0.15">
      <c r="B9" s="4" t="s">
        <v>25</v>
      </c>
      <c r="C9" s="19">
        <v>241896760</v>
      </c>
      <c r="D9" s="285">
        <v>0.1</v>
      </c>
      <c r="E9" s="25"/>
      <c r="F9" s="4" t="s">
        <v>181</v>
      </c>
      <c r="G9" s="19">
        <v>0</v>
      </c>
      <c r="H9" s="285">
        <v>0.6</v>
      </c>
    </row>
    <row r="10" spans="2:8" ht="15" customHeight="1" x14ac:dyDescent="0.15">
      <c r="B10" s="4" t="s">
        <v>11</v>
      </c>
      <c r="C10" s="19">
        <v>0</v>
      </c>
      <c r="D10" s="285">
        <v>0.9</v>
      </c>
      <c r="H10" s="286"/>
    </row>
    <row r="11" spans="2:8" ht="15" customHeight="1" x14ac:dyDescent="0.15">
      <c r="B11" s="4" t="s">
        <v>12</v>
      </c>
      <c r="C11" s="19">
        <f>51713930+1132635624</f>
        <v>1184349554</v>
      </c>
      <c r="D11" s="285">
        <v>0.05</v>
      </c>
      <c r="H11" s="286"/>
    </row>
    <row r="12" spans="2:8" ht="15" customHeight="1" x14ac:dyDescent="0.15">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x14ac:dyDescent="0.15">
      <c r="F13" s="80"/>
      <c r="G13" s="81"/>
      <c r="H13" s="20"/>
    </row>
    <row r="14" spans="2:8" ht="15" customHeight="1" x14ac:dyDescent="0.15">
      <c r="B14" s="16" t="s">
        <v>184</v>
      </c>
      <c r="C14" s="201" t="s">
        <v>137</v>
      </c>
      <c r="D14" s="202" t="s">
        <v>35</v>
      </c>
      <c r="F14" s="16" t="s">
        <v>187</v>
      </c>
      <c r="G14" s="201" t="s">
        <v>137</v>
      </c>
      <c r="H14" s="202" t="s">
        <v>35</v>
      </c>
    </row>
    <row r="15" spans="2:8" ht="15" customHeight="1" x14ac:dyDescent="0.15">
      <c r="B15" s="4" t="s">
        <v>73</v>
      </c>
      <c r="C15" s="19">
        <v>0</v>
      </c>
      <c r="D15" s="285">
        <v>0.4</v>
      </c>
      <c r="F15" s="4" t="s">
        <v>79</v>
      </c>
      <c r="G15" s="19">
        <v>0</v>
      </c>
      <c r="H15" s="285">
        <v>0.8</v>
      </c>
    </row>
    <row r="16" spans="2:8" ht="15" customHeight="1" x14ac:dyDescent="0.15">
      <c r="B16" s="1" t="s">
        <v>34</v>
      </c>
      <c r="C16" s="19">
        <v>0</v>
      </c>
      <c r="D16" s="285">
        <v>0.5</v>
      </c>
      <c r="F16" s="4" t="s">
        <v>178</v>
      </c>
      <c r="G16" s="19">
        <v>0</v>
      </c>
      <c r="H16" s="285">
        <v>0.6</v>
      </c>
    </row>
    <row r="17" spans="2:8" ht="15" customHeight="1" x14ac:dyDescent="0.15">
      <c r="B17" s="1" t="s">
        <v>69</v>
      </c>
      <c r="C17" s="19">
        <v>0</v>
      </c>
      <c r="D17" s="285">
        <v>0.6</v>
      </c>
      <c r="F17" s="4" t="s">
        <v>179</v>
      </c>
      <c r="G17" s="19">
        <v>2498379750</v>
      </c>
      <c r="H17" s="285">
        <v>0.6</v>
      </c>
    </row>
    <row r="18" spans="2:8" ht="15" customHeight="1" x14ac:dyDescent="0.15">
      <c r="B18" s="4" t="s">
        <v>174</v>
      </c>
      <c r="C18" s="19">
        <v>0</v>
      </c>
      <c r="D18" s="285">
        <v>0.6</v>
      </c>
      <c r="F18" s="4" t="s">
        <v>182</v>
      </c>
      <c r="G18" s="19">
        <v>0</v>
      </c>
      <c r="H18" s="285">
        <v>0.1</v>
      </c>
    </row>
    <row r="19" spans="2:8" ht="15" customHeight="1" x14ac:dyDescent="0.15">
      <c r="B19" s="4" t="s">
        <v>26</v>
      </c>
      <c r="C19" s="19">
        <f>11817650634+630874619+115672625+85702449</f>
        <v>12649900327</v>
      </c>
      <c r="D19" s="285">
        <v>0.1</v>
      </c>
      <c r="F19" s="4" t="s">
        <v>183</v>
      </c>
      <c r="G19" s="19">
        <v>391873803</v>
      </c>
      <c r="H19" s="285">
        <v>0.1</v>
      </c>
    </row>
    <row r="20" spans="2:8" ht="15" customHeight="1" x14ac:dyDescent="0.15">
      <c r="B20" s="4" t="s">
        <v>18</v>
      </c>
      <c r="C20" s="19">
        <v>0</v>
      </c>
      <c r="D20" s="285">
        <v>0.05</v>
      </c>
      <c r="F20" s="4" t="s">
        <v>180</v>
      </c>
      <c r="G20" s="19">
        <v>0</v>
      </c>
      <c r="H20" s="285">
        <v>0.2</v>
      </c>
    </row>
    <row r="21" spans="2:8" ht="15" customHeight="1" x14ac:dyDescent="0.15">
      <c r="B21" s="4" t="s">
        <v>19</v>
      </c>
      <c r="C21" s="19">
        <v>2684120584</v>
      </c>
      <c r="D21" s="285">
        <v>0.05</v>
      </c>
      <c r="F21" s="1" t="s">
        <v>181</v>
      </c>
      <c r="G21" s="19">
        <v>41138918</v>
      </c>
      <c r="H21" s="285">
        <v>0.1</v>
      </c>
    </row>
    <row r="22" spans="2:8" ht="15" customHeight="1" x14ac:dyDescent="0.15">
      <c r="B22" s="4" t="s">
        <v>20</v>
      </c>
      <c r="C22" s="19">
        <v>1930039528</v>
      </c>
      <c r="D22" s="285">
        <v>0.9</v>
      </c>
      <c r="H22" s="286"/>
    </row>
    <row r="23" spans="2:8" ht="15" customHeight="1" x14ac:dyDescent="0.15">
      <c r="B23" s="4" t="s">
        <v>21</v>
      </c>
      <c r="C23" s="19">
        <f>1307103982+4728913379</f>
        <v>6036017361</v>
      </c>
      <c r="D23" s="285">
        <v>0</v>
      </c>
      <c r="H23" s="286"/>
    </row>
    <row r="24" spans="2:8" ht="15" customHeight="1" x14ac:dyDescent="0.15">
      <c r="B24" s="80" t="s">
        <v>74</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x14ac:dyDescent="0.15">
      <c r="B26" s="16" t="s">
        <v>201</v>
      </c>
      <c r="C26" s="201" t="s">
        <v>137</v>
      </c>
      <c r="F26" s="203" t="s">
        <v>197</v>
      </c>
      <c r="G26" s="204" t="s">
        <v>137</v>
      </c>
      <c r="H26" s="205" t="s">
        <v>35</v>
      </c>
    </row>
    <row r="27" spans="2:8" ht="15" customHeight="1" x14ac:dyDescent="0.15">
      <c r="B27" s="4" t="s">
        <v>5</v>
      </c>
      <c r="C27" s="19">
        <v>0</v>
      </c>
      <c r="F27" s="206" t="s">
        <v>30</v>
      </c>
      <c r="G27" s="85">
        <f>G32-G30</f>
        <v>29859542011</v>
      </c>
      <c r="H27" s="207">
        <f>H32-G30</f>
        <v>2494718755.1999969</v>
      </c>
    </row>
    <row r="28" spans="2:8" ht="15" customHeight="1" x14ac:dyDescent="0.15">
      <c r="B28" s="4" t="s">
        <v>6</v>
      </c>
      <c r="C28" s="19">
        <v>0</v>
      </c>
      <c r="F28" s="208" t="s">
        <v>245</v>
      </c>
      <c r="G28" s="12">
        <v>799157484</v>
      </c>
      <c r="H28" s="207"/>
    </row>
    <row r="29" spans="2:8" ht="15" customHeight="1" x14ac:dyDescent="0.15">
      <c r="B29" s="4" t="s">
        <v>7</v>
      </c>
      <c r="C29" s="19">
        <v>0</v>
      </c>
      <c r="F29" s="209" t="s">
        <v>76</v>
      </c>
      <c r="G29" s="14">
        <f>G27-G28</f>
        <v>29060384527</v>
      </c>
      <c r="H29" s="207">
        <f>H27-G28</f>
        <v>1695561271.1999969</v>
      </c>
    </row>
    <row r="30" spans="2:8" ht="15" customHeight="1" x14ac:dyDescent="0.15">
      <c r="B30" s="2" t="s">
        <v>8</v>
      </c>
      <c r="C30" s="19">
        <v>217159673</v>
      </c>
      <c r="F30" s="206" t="s">
        <v>23</v>
      </c>
      <c r="G30" s="85">
        <f>C33+C42</f>
        <v>21560843821</v>
      </c>
      <c r="H30" s="207"/>
    </row>
    <row r="31" spans="2:8" ht="15" customHeight="1" x14ac:dyDescent="0.15">
      <c r="B31" s="80" t="s">
        <v>204</v>
      </c>
      <c r="C31" s="81">
        <f>SUM(C27:C30)</f>
        <v>217159673</v>
      </c>
      <c r="F31" s="209" t="s">
        <v>77</v>
      </c>
      <c r="G31" s="210">
        <f>C31+C40</f>
        <v>285396383</v>
      </c>
      <c r="H31" s="207"/>
    </row>
    <row r="32" spans="2:8" ht="15" customHeight="1" x14ac:dyDescent="0.15">
      <c r="B32" s="4" t="s">
        <v>9</v>
      </c>
      <c r="C32" s="21">
        <f>C33-C31</f>
        <v>17305171626</v>
      </c>
      <c r="F32" s="211" t="s">
        <v>75</v>
      </c>
      <c r="G32" s="212">
        <f>G35+G40</f>
        <v>51420385832</v>
      </c>
      <c r="H32" s="207">
        <f>H35+H40</f>
        <v>24055562576.199997</v>
      </c>
    </row>
    <row r="33" spans="2:8" ht="15" customHeight="1" x14ac:dyDescent="0.15">
      <c r="B33" s="83" t="s">
        <v>4</v>
      </c>
      <c r="C33" s="84">
        <v>17522331299</v>
      </c>
      <c r="F33" s="213"/>
      <c r="G33" s="2"/>
      <c r="H33" s="214"/>
    </row>
    <row r="34" spans="2:8" ht="15" customHeight="1" x14ac:dyDescent="0.15">
      <c r="B34" s="83"/>
      <c r="C34" s="84"/>
      <c r="F34" s="215" t="s">
        <v>203</v>
      </c>
      <c r="G34" s="216" t="s">
        <v>137</v>
      </c>
      <c r="H34" s="217" t="s">
        <v>35</v>
      </c>
    </row>
    <row r="35" spans="2:8" ht="15" customHeight="1" x14ac:dyDescent="0.15">
      <c r="B35" s="16" t="s">
        <v>202</v>
      </c>
      <c r="C35" s="201" t="s">
        <v>137</v>
      </c>
      <c r="F35" s="218" t="s">
        <v>31</v>
      </c>
      <c r="G35" s="212">
        <f>C12+C24</f>
        <v>28488416376</v>
      </c>
      <c r="H35" s="219">
        <f>D12+D24</f>
        <v>5119255394.3000002</v>
      </c>
    </row>
    <row r="36" spans="2:8" ht="15" customHeight="1" x14ac:dyDescent="0.15">
      <c r="B36" s="4" t="s">
        <v>13</v>
      </c>
      <c r="C36" s="19">
        <v>0</v>
      </c>
      <c r="F36" s="209" t="s">
        <v>198</v>
      </c>
      <c r="G36" s="210">
        <f>C4+C15</f>
        <v>185704725</v>
      </c>
      <c r="H36" s="214"/>
    </row>
    <row r="37" spans="2:8" ht="15" customHeight="1" x14ac:dyDescent="0.15">
      <c r="B37" s="4" t="s">
        <v>14</v>
      </c>
      <c r="C37" s="19">
        <v>68236710</v>
      </c>
      <c r="F37" s="209" t="s">
        <v>199</v>
      </c>
      <c r="G37" s="210">
        <f>C6</f>
        <v>3576387537</v>
      </c>
      <c r="H37" s="214"/>
    </row>
    <row r="38" spans="2:8" ht="15" customHeight="1" x14ac:dyDescent="0.15">
      <c r="B38" s="4" t="s">
        <v>15</v>
      </c>
      <c r="C38" s="19">
        <v>0</v>
      </c>
      <c r="F38" s="209" t="s">
        <v>200</v>
      </c>
      <c r="G38" s="210">
        <f>C7+C17</f>
        <v>0</v>
      </c>
      <c r="H38" s="214"/>
    </row>
    <row r="39" spans="2:8" ht="15" customHeight="1" x14ac:dyDescent="0.15">
      <c r="B39" s="2" t="s">
        <v>16</v>
      </c>
      <c r="C39" s="19">
        <v>0</v>
      </c>
      <c r="F39" s="209" t="s">
        <v>80</v>
      </c>
      <c r="G39" s="210">
        <f>C7+C17+C19+C20</f>
        <v>12649900327</v>
      </c>
      <c r="H39" s="207">
        <f>C7*D7+C17*D17+C19*D19+C20*D20</f>
        <v>1264990032.7</v>
      </c>
    </row>
    <row r="40" spans="2:8" ht="15" customHeight="1" x14ac:dyDescent="0.15">
      <c r="B40" s="80" t="s">
        <v>205</v>
      </c>
      <c r="C40" s="81">
        <f>SUM(C36:C39)</f>
        <v>68236710</v>
      </c>
      <c r="F40" s="218" t="s">
        <v>139</v>
      </c>
      <c r="G40" s="212">
        <f>G12+G24</f>
        <v>22931969456</v>
      </c>
      <c r="H40" s="219">
        <f>H12+H24</f>
        <v>18936307181.899998</v>
      </c>
    </row>
    <row r="41" spans="2:8" ht="15" customHeight="1" x14ac:dyDescent="0.15">
      <c r="B41" s="4" t="s">
        <v>17</v>
      </c>
      <c r="C41" s="21">
        <f>C42-C40</f>
        <v>3970275812</v>
      </c>
      <c r="F41" s="209" t="s">
        <v>192</v>
      </c>
      <c r="G41" s="210">
        <f>C70</f>
        <v>17978772896</v>
      </c>
      <c r="H41" s="219">
        <f>H40-H42</f>
        <v>16180895606.399998</v>
      </c>
    </row>
    <row r="42" spans="2:8" ht="15" customHeight="1" x14ac:dyDescent="0.15">
      <c r="B42" s="83" t="s">
        <v>22</v>
      </c>
      <c r="C42" s="84">
        <v>4038512522</v>
      </c>
      <c r="F42" s="220" t="s">
        <v>193</v>
      </c>
      <c r="G42" s="221">
        <f>C82</f>
        <v>4953196560</v>
      </c>
      <c r="H42" s="222">
        <f>D82</f>
        <v>2755411575.5</v>
      </c>
    </row>
    <row r="44" spans="2:8" ht="15" customHeight="1" x14ac:dyDescent="0.15">
      <c r="B44" s="79" t="s">
        <v>97</v>
      </c>
      <c r="C44" s="37"/>
      <c r="D44" s="37"/>
      <c r="E44" s="37"/>
      <c r="F44" s="37"/>
      <c r="G44" s="37"/>
      <c r="H44" s="37"/>
    </row>
    <row r="45" spans="2:8" ht="15" customHeight="1" x14ac:dyDescent="0.15">
      <c r="B45" s="16" t="s">
        <v>272</v>
      </c>
      <c r="C45" s="256" t="s">
        <v>137</v>
      </c>
      <c r="D45" s="201" t="s">
        <v>407</v>
      </c>
      <c r="F45" s="278" t="s">
        <v>59</v>
      </c>
    </row>
    <row r="46" spans="2:8" ht="15" customHeight="1" x14ac:dyDescent="0.15">
      <c r="B46" s="1" t="s">
        <v>274</v>
      </c>
      <c r="C46" s="76">
        <f>G29</f>
        <v>29060384527</v>
      </c>
      <c r="D46" s="76">
        <f>H29</f>
        <v>1695561271.1999969</v>
      </c>
      <c r="F46" s="275"/>
    </row>
    <row r="47" spans="2:8" ht="15" customHeight="1" x14ac:dyDescent="0.15">
      <c r="B47" s="1" t="str">
        <f>"Equity per share ("&amp;Market_currency&amp;")"</f>
        <v>Equity per share (HKD)</v>
      </c>
      <c r="C47" s="148">
        <f>C46*H1/Common_Shares*Exchange_Rate</f>
        <v>23.086765194749873</v>
      </c>
      <c r="D47" s="148">
        <f>D46*H1/Common_Shares*Exchange_Rate</f>
        <v>1.3470236398674045</v>
      </c>
      <c r="F47" s="275"/>
    </row>
    <row r="48" spans="2:8" ht="15" customHeight="1" x14ac:dyDescent="0.15">
      <c r="F48" s="275"/>
    </row>
    <row r="49" spans="2:8" ht="15" customHeight="1" x14ac:dyDescent="0.15">
      <c r="B49" s="158" t="s">
        <v>144</v>
      </c>
      <c r="C49" s="257" t="s">
        <v>57</v>
      </c>
      <c r="D49" s="216" t="s">
        <v>96</v>
      </c>
      <c r="E49" s="2"/>
      <c r="F49" s="275"/>
    </row>
    <row r="50" spans="2:8" ht="15" customHeight="1" x14ac:dyDescent="0.15">
      <c r="B50" s="8" t="s">
        <v>94</v>
      </c>
      <c r="C50" s="95">
        <f>G31/Normalized_FCF!C8</f>
        <v>7.3592411949940734E-2</v>
      </c>
      <c r="D50" s="95">
        <f>G31/Normalized_FCF!G8</f>
        <v>6.3593933566061064E-2</v>
      </c>
      <c r="F50" s="275"/>
    </row>
    <row r="51" spans="2:8" ht="15" customHeight="1" x14ac:dyDescent="0.15">
      <c r="B51" s="1" t="s">
        <v>177</v>
      </c>
      <c r="C51" s="200"/>
      <c r="D51" s="92">
        <f>G29/G32</f>
        <v>0.56515298469260233</v>
      </c>
      <c r="F51" s="275"/>
    </row>
    <row r="52" spans="2:8" ht="15" customHeight="1" x14ac:dyDescent="0.15">
      <c r="F52" s="275"/>
    </row>
    <row r="53" spans="2:8" ht="15" customHeight="1" x14ac:dyDescent="0.15">
      <c r="B53" s="158" t="s">
        <v>143</v>
      </c>
      <c r="C53" s="257" t="s">
        <v>57</v>
      </c>
      <c r="D53" s="216" t="s">
        <v>96</v>
      </c>
      <c r="F53" s="275"/>
    </row>
    <row r="54" spans="2:8" ht="15" customHeight="1" x14ac:dyDescent="0.15">
      <c r="B54" s="1" t="s">
        <v>140</v>
      </c>
      <c r="C54" s="92">
        <f>Normalized_FCF!C8/G35</f>
        <v>0.1361278920921285</v>
      </c>
      <c r="D54" s="92">
        <f>Normalized_FCF!G8/G35</f>
        <v>0.15753043334415495</v>
      </c>
      <c r="F54" s="275"/>
    </row>
    <row r="55" spans="2:8" ht="15" customHeight="1" x14ac:dyDescent="0.15">
      <c r="B55" s="1" t="s">
        <v>142</v>
      </c>
      <c r="C55" s="92">
        <f>Normalized_FCF!C11/G40</f>
        <v>0</v>
      </c>
      <c r="D55" s="92">
        <f>Normalized_FCF!G11/G40</f>
        <v>2.1050212495974641E-3</v>
      </c>
      <c r="F55" s="275"/>
    </row>
    <row r="56" spans="2:8" ht="15" customHeight="1" x14ac:dyDescent="0.15">
      <c r="F56" s="275"/>
    </row>
    <row r="57" spans="2:8" ht="15" customHeight="1" x14ac:dyDescent="0.15">
      <c r="B57" s="158" t="s">
        <v>176</v>
      </c>
      <c r="C57" s="257" t="s">
        <v>57</v>
      </c>
      <c r="D57" s="216" t="s">
        <v>96</v>
      </c>
      <c r="F57" s="275"/>
    </row>
    <row r="58" spans="2:8" ht="15" customHeight="1" x14ac:dyDescent="0.15">
      <c r="B58" s="2" t="s">
        <v>90</v>
      </c>
      <c r="C58" s="98"/>
      <c r="D58" s="23">
        <f>Normalized_FCF!G9/BS!$G$39</f>
        <v>9.4175111360938715E-2</v>
      </c>
      <c r="F58" s="5"/>
    </row>
    <row r="59" spans="2:8" ht="15" customHeight="1" x14ac:dyDescent="0.15">
      <c r="B59" s="1" t="s">
        <v>93</v>
      </c>
      <c r="C59" s="98"/>
      <c r="D59" s="92">
        <f>G39/G32</f>
        <v>0.24600944007556819</v>
      </c>
      <c r="F59" s="275"/>
    </row>
    <row r="60" spans="2:8" ht="15" customHeight="1" x14ac:dyDescent="0.15">
      <c r="F60" s="275"/>
    </row>
    <row r="61" spans="2:8" ht="15" customHeight="1" x14ac:dyDescent="0.15">
      <c r="B61" s="158" t="s">
        <v>275</v>
      </c>
      <c r="C61" s="257" t="s">
        <v>138</v>
      </c>
      <c r="D61" s="216" t="s">
        <v>96</v>
      </c>
      <c r="F61" s="275"/>
    </row>
    <row r="62" spans="2:8" ht="15" customHeight="1" x14ac:dyDescent="0.15">
      <c r="B62" s="1" t="s">
        <v>246</v>
      </c>
      <c r="C62" s="92">
        <f>IF(G28&lt;=0,0,G28/G29)</f>
        <v>2.749989365273205E-2</v>
      </c>
      <c r="D62" s="92">
        <f>G28/G29</f>
        <v>2.749989365273205E-2</v>
      </c>
      <c r="F62" s="275" t="s">
        <v>273</v>
      </c>
    </row>
    <row r="64" spans="2:8" ht="15" customHeight="1" x14ac:dyDescent="0.15">
      <c r="B64" s="79" t="s">
        <v>194</v>
      </c>
      <c r="C64" s="37"/>
      <c r="D64" s="37"/>
      <c r="E64" s="37"/>
      <c r="F64" s="37"/>
      <c r="G64" s="37"/>
      <c r="H64" s="37"/>
    </row>
    <row r="65" spans="2:6" ht="15" customHeight="1" x14ac:dyDescent="0.15">
      <c r="B65" s="16" t="s">
        <v>189</v>
      </c>
      <c r="C65" s="256" t="s">
        <v>137</v>
      </c>
      <c r="D65" s="202" t="s">
        <v>286</v>
      </c>
      <c r="F65" s="278" t="s">
        <v>59</v>
      </c>
    </row>
    <row r="66" spans="2:6" ht="15" customHeight="1" x14ac:dyDescent="0.15">
      <c r="B66" s="105" t="s">
        <v>188</v>
      </c>
      <c r="C66" s="20">
        <f>G4+G5+G15</f>
        <v>17978772896</v>
      </c>
      <c r="D66" s="76">
        <f>C66-D75</f>
        <v>12813047036.198811</v>
      </c>
      <c r="F66" s="5" t="s">
        <v>227</v>
      </c>
    </row>
    <row r="67" spans="2:6" ht="15" customHeight="1" x14ac:dyDescent="0.15">
      <c r="B67" s="105" t="s">
        <v>178</v>
      </c>
      <c r="C67" s="20">
        <f>G6+G16</f>
        <v>0</v>
      </c>
      <c r="F67" s="275"/>
    </row>
    <row r="68" spans="2:6" ht="15" customHeight="1" x14ac:dyDescent="0.15">
      <c r="B68" s="105" t="s">
        <v>182</v>
      </c>
      <c r="C68" s="20">
        <f>G18</f>
        <v>0</v>
      </c>
      <c r="F68" s="275"/>
    </row>
    <row r="69" spans="2:6" ht="15" customHeight="1" x14ac:dyDescent="0.15">
      <c r="B69" s="105" t="s">
        <v>180</v>
      </c>
      <c r="C69" s="20">
        <f>G8+G20</f>
        <v>0</v>
      </c>
      <c r="F69" s="275"/>
    </row>
    <row r="70" spans="2:6" ht="15" customHeight="1" x14ac:dyDescent="0.15">
      <c r="B70" s="80" t="s">
        <v>189</v>
      </c>
      <c r="C70" s="81">
        <f>SUM(C66:C69)</f>
        <v>17978772896</v>
      </c>
      <c r="F70" s="275"/>
    </row>
    <row r="71" spans="2:6" ht="15" customHeight="1" x14ac:dyDescent="0.15">
      <c r="F71" s="275"/>
    </row>
    <row r="72" spans="2:6" ht="15" customHeight="1" x14ac:dyDescent="0.15">
      <c r="B72" s="277" t="s">
        <v>319</v>
      </c>
      <c r="C72" s="256" t="s">
        <v>96</v>
      </c>
      <c r="D72" s="201" t="s">
        <v>57</v>
      </c>
      <c r="F72" s="275"/>
    </row>
    <row r="73" spans="2:6" ht="15" customHeight="1" x14ac:dyDescent="0.15">
      <c r="B73" s="105" t="s">
        <v>318</v>
      </c>
      <c r="C73" s="76">
        <f>(Normalized_FCF!G25+Normalized_FCF!G35-Normalized_FCF!G91)/12</f>
        <v>-2534939983.3220749</v>
      </c>
      <c r="D73" s="76">
        <f>(Normalized_FCF!C25+Normalized_FCF!C35-Normalized_FCF!C91)/12</f>
        <v>-2582862929.9005952</v>
      </c>
      <c r="F73" s="1" t="s">
        <v>352</v>
      </c>
    </row>
    <row r="74" spans="2:6" ht="15" customHeight="1" x14ac:dyDescent="0.15">
      <c r="B74" s="279" t="s">
        <v>322</v>
      </c>
      <c r="C74" s="280">
        <f>-$C$66/C73</f>
        <v>7.0923860187169252</v>
      </c>
      <c r="D74" s="280">
        <f>-$C$66/D73</f>
        <v>6.9607924942001995</v>
      </c>
      <c r="F74" s="275" t="s">
        <v>320</v>
      </c>
    </row>
    <row r="75" spans="2:6" ht="15" customHeight="1" x14ac:dyDescent="0.15">
      <c r="B75" s="80" t="s">
        <v>321</v>
      </c>
      <c r="C75" s="284"/>
      <c r="D75" s="283">
        <f>MAX(-D73*D76,G5)</f>
        <v>5165725859.8011904</v>
      </c>
      <c r="F75" s="275" t="s">
        <v>353</v>
      </c>
    </row>
    <row r="76" spans="2:6" ht="15" customHeight="1" x14ac:dyDescent="0.15">
      <c r="B76" s="281" t="s">
        <v>323</v>
      </c>
      <c r="C76" s="282"/>
      <c r="D76" s="317">
        <f>IF(D74&lt;=3,1,IF(D74&gt;18,6,2))</f>
        <v>2</v>
      </c>
      <c r="F76" s="275" t="s">
        <v>324</v>
      </c>
    </row>
    <row r="77" spans="2:6" ht="15" customHeight="1" x14ac:dyDescent="0.15">
      <c r="F77" s="275"/>
    </row>
    <row r="78" spans="2:6" ht="15" customHeight="1" x14ac:dyDescent="0.15">
      <c r="B78" s="16" t="s">
        <v>190</v>
      </c>
      <c r="C78" s="256" t="s">
        <v>137</v>
      </c>
      <c r="D78" s="202" t="s">
        <v>35</v>
      </c>
      <c r="F78" s="275"/>
    </row>
    <row r="79" spans="2:6" ht="15" customHeight="1" x14ac:dyDescent="0.15">
      <c r="B79" s="105" t="s">
        <v>179</v>
      </c>
      <c r="C79" s="20">
        <f>G7+G17</f>
        <v>4520183839</v>
      </c>
      <c r="D79" s="76">
        <f>G7*H7+G17*H17</f>
        <v>2712110303.3999996</v>
      </c>
      <c r="F79" s="275"/>
    </row>
    <row r="80" spans="2:6" ht="15" customHeight="1" x14ac:dyDescent="0.15">
      <c r="B80" s="105" t="s">
        <v>183</v>
      </c>
      <c r="C80" s="20">
        <f>G19</f>
        <v>391873803</v>
      </c>
      <c r="D80" s="76">
        <f>G19*H19</f>
        <v>39187380.300000004</v>
      </c>
      <c r="F80" s="275"/>
    </row>
    <row r="81" spans="2:8" ht="15" customHeight="1" x14ac:dyDescent="0.15">
      <c r="B81" s="105" t="s">
        <v>181</v>
      </c>
      <c r="C81" s="20">
        <f>G9+G21</f>
        <v>41138918</v>
      </c>
      <c r="D81" s="76">
        <f>G9*H9+G21*H21</f>
        <v>4113891.8000000003</v>
      </c>
      <c r="F81" s="275"/>
    </row>
    <row r="82" spans="2:8" ht="15" customHeight="1" x14ac:dyDescent="0.15">
      <c r="B82" s="80" t="s">
        <v>190</v>
      </c>
      <c r="C82" s="81">
        <f>SUM(C79:C81)</f>
        <v>4953196560</v>
      </c>
      <c r="D82" s="81">
        <f>SUM(D79:D81)</f>
        <v>2755411575.5</v>
      </c>
      <c r="F82" s="275"/>
    </row>
    <row r="84" spans="2:8" ht="15" customHeight="1" x14ac:dyDescent="0.15">
      <c r="B84" s="79" t="s">
        <v>289</v>
      </c>
      <c r="C84" s="37"/>
      <c r="D84" s="37"/>
      <c r="E84" s="37"/>
      <c r="F84" s="37"/>
      <c r="G84" s="37"/>
      <c r="H84" s="37"/>
    </row>
    <row r="85" spans="2:8" ht="15" customHeight="1" x14ac:dyDescent="0.15">
      <c r="B85" s="16" t="s">
        <v>290</v>
      </c>
      <c r="D85" s="263" t="s">
        <v>291</v>
      </c>
    </row>
    <row r="86" spans="2:8" ht="15" customHeight="1" x14ac:dyDescent="0.15">
      <c r="B86" s="260" t="s">
        <v>287</v>
      </c>
      <c r="C86" s="76">
        <f>-DCF!C7*Exchange_Rate</f>
        <v>-309305196.71322501</v>
      </c>
      <c r="D86" s="245">
        <f>C86*scaling_factor/Common_Shares</f>
        <v>-0.22673062965254909</v>
      </c>
      <c r="E86" s="262" t="str">
        <f>Market_currency</f>
        <v>HKD</v>
      </c>
    </row>
    <row r="87" spans="2:8" ht="15" customHeight="1" x14ac:dyDescent="0.15">
      <c r="B87" s="260" t="s">
        <v>288</v>
      </c>
      <c r="C87" s="76">
        <f>DCF!C8*Exchange_Rate</f>
        <v>13886448007.392153</v>
      </c>
      <c r="D87" s="245">
        <f>C87*scaling_factor/Common_Shares</f>
        <v>10.179211774681406</v>
      </c>
      <c r="E87" s="262" t="str">
        <f>Market_currency</f>
        <v>HKD</v>
      </c>
    </row>
    <row r="88" spans="2:8" ht="15" customHeight="1" x14ac:dyDescent="0.15">
      <c r="B88" s="261" t="s">
        <v>190</v>
      </c>
      <c r="C88" s="76">
        <f>DCF!C9*Exchange_Rate</f>
        <v>2986243590.1506319</v>
      </c>
      <c r="D88" s="245">
        <f>C88*scaling_factor/Common_Shares</f>
        <v>2.1890123304927704</v>
      </c>
      <c r="E88" s="262" t="str">
        <f>Market_currency</f>
        <v>HKD</v>
      </c>
    </row>
    <row r="89" spans="2:8" ht="15" customHeight="1" x14ac:dyDescent="0.15">
      <c r="B89" s="80" t="s">
        <v>292</v>
      </c>
      <c r="C89" s="187">
        <f>SUM(C86:C88)</f>
        <v>16563386400.829559</v>
      </c>
      <c r="D89" s="264">
        <f>SUM(D86:D88)</f>
        <v>12.141493475521628</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v>
      </c>
      <c r="D3" s="9"/>
      <c r="E3" s="293"/>
      <c r="F3" s="9"/>
      <c r="G3" s="9"/>
    </row>
    <row r="4" spans="1:17" ht="15.75" customHeight="1" x14ac:dyDescent="0.15">
      <c r="A4" s="10"/>
      <c r="B4" s="26" t="s">
        <v>2</v>
      </c>
      <c r="C4" s="189">
        <f>AVERAGE(G4:J4)</f>
        <v>32103180963.25</v>
      </c>
      <c r="D4" s="57"/>
      <c r="E4" s="291"/>
      <c r="F4" s="57"/>
      <c r="G4" s="183">
        <f>Data!C36</f>
        <v>32137830111</v>
      </c>
      <c r="H4" s="183">
        <f>Data!D36</f>
        <v>33936522741</v>
      </c>
      <c r="I4" s="183">
        <f>Data!E36</f>
        <v>32171565624</v>
      </c>
      <c r="J4" s="183">
        <f>Data!F36</f>
        <v>30166805377</v>
      </c>
      <c r="K4" s="183">
        <f>Data!G36</f>
        <v>27759710926</v>
      </c>
      <c r="L4" s="183" t="str">
        <f>Data!H36</f>
        <v/>
      </c>
      <c r="M4" s="183" t="str">
        <f>Data!I36</f>
        <v/>
      </c>
      <c r="N4" s="183" t="str">
        <f>Data!J36</f>
        <v/>
      </c>
      <c r="O4" s="183" t="str">
        <f>Data!K36</f>
        <v/>
      </c>
      <c r="P4" s="183" t="str">
        <f>Data!L36</f>
        <v/>
      </c>
      <c r="Q4" s="183" t="str">
        <f>Data!M36</f>
        <v/>
      </c>
    </row>
    <row r="5" spans="1:17" ht="15.75" customHeight="1" x14ac:dyDescent="0.15">
      <c r="A5" s="10"/>
      <c r="B5" s="2" t="s">
        <v>46</v>
      </c>
      <c r="C5" s="190">
        <f>C25</f>
        <v>-26627911918.442245</v>
      </c>
      <c r="E5" s="293"/>
      <c r="G5" s="183">
        <f t="shared" ref="G5:Q5" si="1">G25</f>
        <v>-26140692078</v>
      </c>
      <c r="H5" s="183">
        <f t="shared" si="1"/>
        <v>-27911953185</v>
      </c>
      <c r="I5" s="183">
        <f t="shared" si="1"/>
        <v>-26908162892</v>
      </c>
      <c r="J5" s="183">
        <f t="shared" si="1"/>
        <v>-25506840614</v>
      </c>
      <c r="K5" s="183">
        <f t="shared" si="1"/>
        <v>-23744231560</v>
      </c>
      <c r="L5" s="183" t="str">
        <f t="shared" si="1"/>
        <v/>
      </c>
      <c r="M5" s="183" t="str">
        <f t="shared" si="1"/>
        <v/>
      </c>
      <c r="N5" s="183" t="str">
        <f t="shared" si="1"/>
        <v/>
      </c>
      <c r="O5" s="183" t="str">
        <f t="shared" si="1"/>
        <v/>
      </c>
      <c r="P5" s="183" t="str">
        <f t="shared" si="1"/>
        <v/>
      </c>
      <c r="Q5" s="183" t="str">
        <f t="shared" si="1"/>
        <v/>
      </c>
    </row>
    <row r="6" spans="1:17" ht="15.75" customHeight="1" x14ac:dyDescent="0.15">
      <c r="A6" s="10"/>
      <c r="B6" s="31" t="s">
        <v>48</v>
      </c>
      <c r="C6" s="184">
        <f>C4+C5</f>
        <v>5475269044.8077545</v>
      </c>
      <c r="E6" s="293"/>
      <c r="G6" s="184">
        <f>IF(G4="","",G4+G5)</f>
        <v>5997138033</v>
      </c>
      <c r="H6" s="184">
        <f t="shared" ref="H6:Q6" si="2">IF(H4="","",H4+H5)</f>
        <v>6024569556</v>
      </c>
      <c r="I6" s="184">
        <f t="shared" si="2"/>
        <v>5263402732</v>
      </c>
      <c r="J6" s="184">
        <f t="shared" si="2"/>
        <v>4659964763</v>
      </c>
      <c r="K6" s="184">
        <f t="shared" si="2"/>
        <v>4015479366</v>
      </c>
      <c r="L6" s="184" t="str">
        <f t="shared" si="2"/>
        <v/>
      </c>
      <c r="M6" s="184" t="str">
        <f t="shared" si="2"/>
        <v/>
      </c>
      <c r="N6" s="184" t="str">
        <f t="shared" si="2"/>
        <v/>
      </c>
      <c r="O6" s="184" t="str">
        <f t="shared" si="2"/>
        <v/>
      </c>
      <c r="P6" s="184" t="str">
        <f t="shared" si="2"/>
        <v/>
      </c>
      <c r="Q6" s="184" t="str">
        <f t="shared" si="2"/>
        <v/>
      </c>
    </row>
    <row r="7" spans="1:17" ht="15.75" customHeight="1" x14ac:dyDescent="0.15">
      <c r="A7" s="10"/>
      <c r="B7" s="8" t="s">
        <v>45</v>
      </c>
      <c r="C7" s="190">
        <f>C35</f>
        <v>-1597200974.5</v>
      </c>
      <c r="E7" s="293"/>
      <c r="G7" s="190">
        <f t="shared" ref="G7:Q7" si="3">G35</f>
        <v>-1509345456</v>
      </c>
      <c r="H7" s="190">
        <f t="shared" si="3"/>
        <v>-1619700048</v>
      </c>
      <c r="I7" s="190">
        <f t="shared" si="3"/>
        <v>-1536322903</v>
      </c>
      <c r="J7" s="190">
        <f t="shared" si="3"/>
        <v>-1723435491</v>
      </c>
      <c r="K7" s="190">
        <f t="shared" si="3"/>
        <v>-1699517814</v>
      </c>
      <c r="L7" s="190" t="str">
        <f t="shared" si="3"/>
        <v/>
      </c>
      <c r="M7" s="190" t="str">
        <f t="shared" si="3"/>
        <v/>
      </c>
      <c r="N7" s="190" t="str">
        <f t="shared" si="3"/>
        <v/>
      </c>
      <c r="O7" s="190" t="str">
        <f t="shared" si="3"/>
        <v/>
      </c>
      <c r="P7" s="190" t="str">
        <f t="shared" si="3"/>
        <v/>
      </c>
      <c r="Q7" s="190" t="str">
        <f t="shared" si="3"/>
        <v/>
      </c>
    </row>
    <row r="8" spans="1:17" ht="15.75" customHeight="1" x14ac:dyDescent="0.15">
      <c r="A8" s="10"/>
      <c r="B8" s="29" t="s">
        <v>153</v>
      </c>
      <c r="C8" s="191">
        <f>C6+C7</f>
        <v>3878068070.3077545</v>
      </c>
      <c r="D8" s="59"/>
      <c r="E8" s="299"/>
      <c r="F8" s="59"/>
      <c r="G8" s="184">
        <f>IF(G$4="","",G6+G7)</f>
        <v>4487792577</v>
      </c>
      <c r="H8" s="184">
        <f t="shared" ref="H8:Q8" si="4">IF(H$4="","",H6+H7)</f>
        <v>4404869508</v>
      </c>
      <c r="I8" s="184">
        <f t="shared" si="4"/>
        <v>3727079829</v>
      </c>
      <c r="J8" s="184">
        <f t="shared" si="4"/>
        <v>2936529272</v>
      </c>
      <c r="K8" s="184">
        <f t="shared" si="4"/>
        <v>2315961552</v>
      </c>
      <c r="L8" s="184" t="str">
        <f t="shared" si="4"/>
        <v/>
      </c>
      <c r="M8" s="184" t="str">
        <f t="shared" si="4"/>
        <v/>
      </c>
      <c r="N8" s="184" t="str">
        <f t="shared" si="4"/>
        <v/>
      </c>
      <c r="O8" s="184" t="str">
        <f t="shared" si="4"/>
        <v/>
      </c>
      <c r="P8" s="184" t="str">
        <f t="shared" si="4"/>
        <v/>
      </c>
      <c r="Q8" s="184" t="str">
        <f t="shared" si="4"/>
        <v/>
      </c>
    </row>
    <row r="9" spans="1:17" ht="15.75" customHeight="1" x14ac:dyDescent="0.15">
      <c r="A9" s="10"/>
      <c r="B9" s="2" t="s">
        <v>65</v>
      </c>
      <c r="C9" s="190">
        <f>BS!$G$39*BS!D58</f>
        <v>1191305772</v>
      </c>
      <c r="E9" s="293"/>
      <c r="G9" s="190">
        <f>IF(Data!C61="","",-Data!C61)</f>
        <v>1191305772</v>
      </c>
      <c r="H9" s="190">
        <f>IF(Data!D61="","",-Data!D61)</f>
        <v>1140399624</v>
      </c>
      <c r="I9" s="190">
        <f>IF(Data!E61="","",-Data!E61)</f>
        <v>1083856796</v>
      </c>
      <c r="J9" s="190">
        <f>IF(Data!F61="","",-Data!F61)</f>
        <v>1109733268</v>
      </c>
      <c r="K9" s="190">
        <f>IF(Data!G61="","",-Data!G61)</f>
        <v>0</v>
      </c>
      <c r="L9" s="190" t="str">
        <f>IF(Data!H61="","",-Data!H61)</f>
        <v/>
      </c>
      <c r="M9" s="190" t="str">
        <f>IF(Data!I61="","",-Data!I61)</f>
        <v/>
      </c>
      <c r="N9" s="190" t="str">
        <f>IF(Data!J61="","",-Data!J61)</f>
        <v/>
      </c>
      <c r="O9" s="190" t="str">
        <f>IF(Data!K61="","",-Data!K61)</f>
        <v/>
      </c>
      <c r="P9" s="190" t="str">
        <f>IF(Data!L61="","",-Data!L61)</f>
        <v/>
      </c>
      <c r="Q9" s="190" t="str">
        <f>IF(Data!M61="","",-Data!M61)</f>
        <v/>
      </c>
    </row>
    <row r="10" spans="1:17" ht="15.75" customHeight="1" x14ac:dyDescent="0.15">
      <c r="A10" s="10"/>
      <c r="B10" s="2" t="s">
        <v>81</v>
      </c>
      <c r="C10" s="190">
        <f>-C4*C78</f>
        <v>-1191305772</v>
      </c>
      <c r="E10" s="293"/>
      <c r="G10" s="190">
        <f>Data!C62</f>
        <v>-1191305772</v>
      </c>
      <c r="H10" s="190">
        <f>Data!D62</f>
        <v>-1140399624</v>
      </c>
      <c r="I10" s="190">
        <f>Data!E62</f>
        <v>-1083856796</v>
      </c>
      <c r="J10" s="190">
        <f>Data!F62</f>
        <v>-1109733268</v>
      </c>
      <c r="K10" s="190">
        <f>Data!G62</f>
        <v>0</v>
      </c>
      <c r="L10" s="190" t="str">
        <f>Data!H62</f>
        <v/>
      </c>
      <c r="M10" s="190" t="str">
        <f>Data!I62</f>
        <v/>
      </c>
      <c r="N10" s="190" t="str">
        <f>Data!J62</f>
        <v/>
      </c>
      <c r="O10" s="190" t="str">
        <f>Data!K62</f>
        <v/>
      </c>
      <c r="P10" s="190" t="str">
        <f>Data!L62</f>
        <v/>
      </c>
      <c r="Q10" s="190" t="str">
        <f>Data!M62</f>
        <v/>
      </c>
    </row>
    <row r="11" spans="1:17" ht="15.75" customHeight="1" x14ac:dyDescent="0.15">
      <c r="A11" s="10"/>
      <c r="B11" s="31" t="s">
        <v>195</v>
      </c>
      <c r="C11" s="192">
        <f>C63</f>
        <v>0</v>
      </c>
      <c r="D11" s="169"/>
      <c r="E11" s="292"/>
      <c r="F11" s="169"/>
      <c r="G11" s="186">
        <f>G61</f>
        <v>48272283</v>
      </c>
      <c r="H11" s="186">
        <f t="shared" ref="H11:Q11" si="5">H61</f>
        <v>15798284</v>
      </c>
      <c r="I11" s="186">
        <f t="shared" si="5"/>
        <v>19873379</v>
      </c>
      <c r="J11" s="186">
        <f t="shared" si="5"/>
        <v>20561728</v>
      </c>
      <c r="K11" s="186">
        <f t="shared" si="5"/>
        <v>18098320</v>
      </c>
      <c r="L11" s="186" t="str">
        <f t="shared" si="5"/>
        <v/>
      </c>
      <c r="M11" s="186" t="str">
        <f t="shared" si="5"/>
        <v/>
      </c>
      <c r="N11" s="186" t="str">
        <f t="shared" si="5"/>
        <v/>
      </c>
      <c r="O11" s="186" t="str">
        <f t="shared" si="5"/>
        <v/>
      </c>
      <c r="P11" s="186" t="str">
        <f t="shared" si="5"/>
        <v/>
      </c>
      <c r="Q11" s="186" t="str">
        <f t="shared" si="5"/>
        <v/>
      </c>
    </row>
    <row r="12" spans="1:17" ht="15.75" customHeight="1" x14ac:dyDescent="0.15">
      <c r="A12" s="10"/>
      <c r="B12" s="2" t="s">
        <v>68</v>
      </c>
      <c r="C12" s="190">
        <f>C50</f>
        <v>155375871.25639853</v>
      </c>
      <c r="E12" s="293"/>
      <c r="G12" s="190">
        <f>G50</f>
        <v>155375871.25639853</v>
      </c>
      <c r="H12" s="190">
        <f t="shared" ref="H12:Q12" si="6">H50</f>
        <v>129063189.17009231</v>
      </c>
      <c r="I12" s="190">
        <f t="shared" si="6"/>
        <v>122833844.53846154</v>
      </c>
      <c r="J12" s="190">
        <f t="shared" si="6"/>
        <v>68007842.792707145</v>
      </c>
      <c r="K12" s="190">
        <f t="shared" si="6"/>
        <v>136903317.61473534</v>
      </c>
      <c r="L12" s="190" t="str">
        <f t="shared" si="6"/>
        <v/>
      </c>
      <c r="M12" s="190" t="str">
        <f t="shared" si="6"/>
        <v/>
      </c>
      <c r="N12" s="190" t="str">
        <f t="shared" si="6"/>
        <v/>
      </c>
      <c r="O12" s="190" t="str">
        <f t="shared" si="6"/>
        <v/>
      </c>
      <c r="P12" s="190" t="str">
        <f t="shared" si="6"/>
        <v/>
      </c>
      <c r="Q12" s="190" t="str">
        <f t="shared" si="6"/>
        <v/>
      </c>
    </row>
    <row r="13" spans="1:17" ht="15.75" customHeight="1" x14ac:dyDescent="0.15">
      <c r="A13" s="10"/>
      <c r="B13" s="70" t="s">
        <v>165</v>
      </c>
      <c r="C13" s="184">
        <f>SUM(C8:C12)</f>
        <v>4033443941.5641532</v>
      </c>
      <c r="E13" s="293"/>
      <c r="G13" s="184">
        <f>IF(G$4="","",SUM(G8:G12))</f>
        <v>4691440731.2563982</v>
      </c>
      <c r="H13" s="184">
        <f t="shared" ref="H13:Q13" si="7">IF(H$4="","",SUM(H8:H12))</f>
        <v>4549730981.1700926</v>
      </c>
      <c r="I13" s="184">
        <f t="shared" si="7"/>
        <v>3869787052.5384617</v>
      </c>
      <c r="J13" s="184">
        <f t="shared" si="7"/>
        <v>3025098842.792707</v>
      </c>
      <c r="K13" s="184">
        <f t="shared" si="7"/>
        <v>2470963189.6147351</v>
      </c>
      <c r="L13" s="184" t="str">
        <f t="shared" si="7"/>
        <v/>
      </c>
      <c r="M13" s="184" t="str">
        <f t="shared" si="7"/>
        <v/>
      </c>
      <c r="N13" s="184" t="str">
        <f t="shared" si="7"/>
        <v/>
      </c>
      <c r="O13" s="184" t="str">
        <f t="shared" si="7"/>
        <v/>
      </c>
      <c r="P13" s="184" t="str">
        <f t="shared" si="7"/>
        <v/>
      </c>
      <c r="Q13" s="184" t="str">
        <f t="shared" si="7"/>
        <v/>
      </c>
    </row>
    <row r="14" spans="1:17" ht="15.75" customHeight="1" x14ac:dyDescent="0.15">
      <c r="A14" s="10"/>
      <c r="B14" s="2" t="s">
        <v>63</v>
      </c>
      <c r="C14" s="190">
        <f>-SUM(C8+C11,C12)*C43</f>
        <v>-1008360985.3910383</v>
      </c>
      <c r="E14" s="293"/>
      <c r="G14" s="190">
        <f>Data!C46</f>
        <v>-1389716314</v>
      </c>
      <c r="H14" s="190">
        <f>Data!D46</f>
        <v>-1398208378</v>
      </c>
      <c r="I14" s="190">
        <f>Data!E46</f>
        <v>-1201419808</v>
      </c>
      <c r="J14" s="190">
        <f>Data!F46</f>
        <v>-1222731595</v>
      </c>
      <c r="K14" s="190">
        <f>Data!G46</f>
        <v>-912580519</v>
      </c>
      <c r="L14" s="190" t="str">
        <f>Data!H46</f>
        <v/>
      </c>
      <c r="M14" s="190" t="str">
        <f>Data!I46</f>
        <v/>
      </c>
      <c r="N14" s="190" t="str">
        <f>Data!J46</f>
        <v/>
      </c>
      <c r="O14" s="190" t="str">
        <f>Data!K46</f>
        <v/>
      </c>
      <c r="P14" s="190" t="str">
        <f>Data!L46</f>
        <v/>
      </c>
      <c r="Q14" s="190" t="str">
        <f>Data!M46</f>
        <v/>
      </c>
    </row>
    <row r="15" spans="1:17" ht="15.75" customHeight="1" x14ac:dyDescent="0.15">
      <c r="A15" s="10"/>
      <c r="B15" s="40" t="s">
        <v>244</v>
      </c>
      <c r="C15" s="190">
        <f>-C4*C83</f>
        <v>-146634564.47167698</v>
      </c>
      <c r="D15" s="60"/>
      <c r="E15" s="300"/>
      <c r="F15" s="60"/>
      <c r="G15" s="183">
        <f>Data!C48</f>
        <v>-146792828</v>
      </c>
      <c r="H15" s="183">
        <f>Data!D48</f>
        <v>-80347518</v>
      </c>
      <c r="I15" s="183">
        <f>Data!E48</f>
        <v>-94092885</v>
      </c>
      <c r="J15" s="183">
        <f>Data!F48</f>
        <v>-100788060</v>
      </c>
      <c r="K15" s="183">
        <f>Data!G48</f>
        <v>-125645249</v>
      </c>
      <c r="L15" s="183" t="str">
        <f>Data!H48</f>
        <v/>
      </c>
      <c r="M15" s="183" t="str">
        <f>Data!I48</f>
        <v/>
      </c>
      <c r="N15" s="183" t="str">
        <f>Data!J48</f>
        <v/>
      </c>
      <c r="O15" s="183" t="str">
        <f>Data!K48</f>
        <v/>
      </c>
      <c r="P15" s="183" t="str">
        <f>Data!L48</f>
        <v/>
      </c>
      <c r="Q15" s="183" t="str">
        <f>Data!M48</f>
        <v/>
      </c>
    </row>
    <row r="16" spans="1:17" ht="15.75" customHeight="1" x14ac:dyDescent="0.15">
      <c r="A16" s="10"/>
      <c r="B16" s="41" t="s">
        <v>155</v>
      </c>
      <c r="C16" s="193">
        <f>SUM(C13:C15)</f>
        <v>2878448391.701438</v>
      </c>
      <c r="D16" s="61"/>
      <c r="E16" s="301"/>
      <c r="F16" s="61"/>
      <c r="G16" s="184">
        <f>IF(G$4="","",SUM(G13:G15))</f>
        <v>3154931589.2563982</v>
      </c>
      <c r="H16" s="184">
        <f t="shared" ref="H16:Q16" si="8">IF(H$4="","",SUM(H13:H15))</f>
        <v>3071175085.1700926</v>
      </c>
      <c r="I16" s="184">
        <f t="shared" si="8"/>
        <v>2574274359.5384617</v>
      </c>
      <c r="J16" s="184">
        <f t="shared" si="8"/>
        <v>1701579187.792707</v>
      </c>
      <c r="K16" s="184">
        <f t="shared" si="8"/>
        <v>1432737421.6147351</v>
      </c>
      <c r="L16" s="184" t="str">
        <f t="shared" si="8"/>
        <v/>
      </c>
      <c r="M16" s="184" t="str">
        <f t="shared" si="8"/>
        <v/>
      </c>
      <c r="N16" s="184" t="str">
        <f t="shared" si="8"/>
        <v/>
      </c>
      <c r="O16" s="184" t="str">
        <f t="shared" si="8"/>
        <v/>
      </c>
      <c r="P16" s="184" t="str">
        <f t="shared" si="8"/>
        <v/>
      </c>
      <c r="Q16" s="184" t="str">
        <f t="shared" si="8"/>
        <v/>
      </c>
    </row>
    <row r="17" spans="1:17" ht="15.75" customHeight="1" x14ac:dyDescent="0.15">
      <c r="A17" s="10"/>
      <c r="B17" s="27" t="s">
        <v>52</v>
      </c>
      <c r="C17" s="190">
        <f>-C4*C85</f>
        <v>0</v>
      </c>
      <c r="D17" s="58"/>
      <c r="E17" s="292" t="s">
        <v>332</v>
      </c>
      <c r="F17" s="58"/>
      <c r="G17" s="194"/>
      <c r="H17" s="194"/>
      <c r="I17" s="194"/>
      <c r="J17" s="194"/>
      <c r="K17" s="194"/>
      <c r="L17" s="194"/>
      <c r="M17" s="194"/>
      <c r="N17" s="194"/>
      <c r="O17" s="194"/>
      <c r="P17" s="194"/>
      <c r="Q17" s="194"/>
    </row>
    <row r="18" spans="1:17" ht="15.75" customHeight="1" x14ac:dyDescent="0.15">
      <c r="A18" s="10"/>
      <c r="B18" s="27" t="s">
        <v>99</v>
      </c>
      <c r="C18" s="190">
        <v>0</v>
      </c>
      <c r="D18" s="58"/>
      <c r="E18" s="292" t="s">
        <v>333</v>
      </c>
      <c r="F18" s="58"/>
      <c r="G18" s="195"/>
      <c r="H18" s="195"/>
      <c r="I18" s="195"/>
      <c r="J18" s="195"/>
      <c r="K18" s="195"/>
      <c r="L18" s="195"/>
      <c r="M18" s="195"/>
      <c r="N18" s="195"/>
      <c r="O18" s="195"/>
      <c r="P18" s="195"/>
      <c r="Q18" s="195"/>
    </row>
    <row r="19" spans="1:17" ht="15.75" customHeight="1" x14ac:dyDescent="0.15">
      <c r="A19" s="10"/>
      <c r="B19" s="31" t="s">
        <v>66</v>
      </c>
      <c r="C19" s="184">
        <f>C16+C17</f>
        <v>2878448391.701438</v>
      </c>
      <c r="D19" s="27"/>
      <c r="E19" s="290"/>
      <c r="F19" s="27"/>
      <c r="G19" s="186">
        <f>IF(G$4="","",G16+G17)</f>
        <v>3154931589.2563982</v>
      </c>
      <c r="H19" s="186">
        <f t="shared" ref="H19:Q19" si="9">IF(H$4="","",H16+H17)</f>
        <v>3071175085.1700926</v>
      </c>
      <c r="I19" s="186">
        <f t="shared" si="9"/>
        <v>2574274359.5384617</v>
      </c>
      <c r="J19" s="186">
        <f t="shared" si="9"/>
        <v>1701579187.792707</v>
      </c>
      <c r="K19" s="186">
        <f t="shared" si="9"/>
        <v>1432737421.6147351</v>
      </c>
      <c r="L19" s="186" t="str">
        <f t="shared" si="9"/>
        <v/>
      </c>
      <c r="M19" s="186" t="str">
        <f t="shared" si="9"/>
        <v/>
      </c>
      <c r="N19" s="186" t="str">
        <f t="shared" si="9"/>
        <v/>
      </c>
      <c r="O19" s="186" t="str">
        <f t="shared" si="9"/>
        <v/>
      </c>
      <c r="P19" s="186" t="str">
        <f t="shared" si="9"/>
        <v/>
      </c>
      <c r="Q19" s="186"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90"/>
      <c r="F22" s="27"/>
      <c r="G22" s="12"/>
      <c r="H22" s="12"/>
      <c r="I22" s="12"/>
      <c r="J22" s="12"/>
      <c r="K22" s="12"/>
      <c r="L22" s="12"/>
      <c r="M22" s="12"/>
      <c r="N22" s="12"/>
      <c r="O22" s="12"/>
      <c r="P22" s="12"/>
      <c r="Q22" s="12"/>
    </row>
    <row r="23" spans="1:17" ht="15.75" customHeight="1" x14ac:dyDescent="0.15">
      <c r="A23" s="10"/>
      <c r="B23" s="27" t="s">
        <v>43</v>
      </c>
      <c r="C23" s="196">
        <f>-C4*C28</f>
        <v>-22227405835.768204</v>
      </c>
      <c r="D23" s="58"/>
      <c r="E23" s="292"/>
      <c r="F23" s="58"/>
      <c r="G23" s="183">
        <f>Data!C37</f>
        <v>-21538172214</v>
      </c>
      <c r="H23" s="183">
        <f>Data!D37</f>
        <v>-23203550387</v>
      </c>
      <c r="I23" s="183">
        <f>Data!E37</f>
        <v>-22708660145</v>
      </c>
      <c r="J23" s="183">
        <f>Data!F37</f>
        <v>-21409966489</v>
      </c>
      <c r="K23" s="183">
        <f>Data!G37</f>
        <v>-18759681723</v>
      </c>
      <c r="L23" s="183" t="str">
        <f>Data!H37</f>
        <v/>
      </c>
      <c r="M23" s="183" t="str">
        <f>Data!I37</f>
        <v/>
      </c>
      <c r="N23" s="183" t="str">
        <f>Data!J37</f>
        <v/>
      </c>
      <c r="O23" s="183" t="str">
        <f>Data!K37</f>
        <v/>
      </c>
      <c r="P23" s="183" t="str">
        <f>Data!L37</f>
        <v/>
      </c>
      <c r="Q23" s="183" t="str">
        <f>Data!M37</f>
        <v/>
      </c>
    </row>
    <row r="24" spans="1:17" ht="15.75" customHeight="1" x14ac:dyDescent="0.2">
      <c r="A24" s="10"/>
      <c r="B24" s="68" t="s">
        <v>62</v>
      </c>
      <c r="C24" s="190">
        <f>-C4*C29</f>
        <v>-4400506082.6740408</v>
      </c>
      <c r="D24" s="27"/>
      <c r="E24" s="290"/>
      <c r="F24" s="27"/>
      <c r="G24" s="183">
        <f>Data!C40</f>
        <v>-4602519864</v>
      </c>
      <c r="H24" s="183">
        <f>Data!D40</f>
        <v>-4708402798</v>
      </c>
      <c r="I24" s="183">
        <f>Data!E40</f>
        <v>-4199502747</v>
      </c>
      <c r="J24" s="183">
        <f>Data!F40</f>
        <v>-4096874125</v>
      </c>
      <c r="K24" s="183">
        <f>Data!G40</f>
        <v>-4984549837</v>
      </c>
      <c r="L24" s="183" t="str">
        <f>Data!H40</f>
        <v/>
      </c>
      <c r="M24" s="183" t="str">
        <f>Data!I40</f>
        <v/>
      </c>
      <c r="N24" s="183" t="str">
        <f>Data!J40</f>
        <v/>
      </c>
      <c r="O24" s="183" t="str">
        <f>Data!K40</f>
        <v/>
      </c>
      <c r="P24" s="183" t="str">
        <f>Data!L40</f>
        <v/>
      </c>
      <c r="Q24" s="183" t="str">
        <f>Data!M40</f>
        <v/>
      </c>
    </row>
    <row r="25" spans="1:17" ht="15.75" customHeight="1" x14ac:dyDescent="0.15">
      <c r="A25" s="10"/>
      <c r="B25" s="70" t="s">
        <v>46</v>
      </c>
      <c r="C25" s="184">
        <f>C23+C24</f>
        <v>-26627911918.442245</v>
      </c>
      <c r="D25" s="9"/>
      <c r="E25" s="298"/>
      <c r="F25" s="9"/>
      <c r="G25" s="184">
        <f t="shared" ref="G25:Q25" si="10">IF(G$4="","",G23+G24)</f>
        <v>-26140692078</v>
      </c>
      <c r="H25" s="184">
        <f t="shared" si="10"/>
        <v>-27911953185</v>
      </c>
      <c r="I25" s="184">
        <f t="shared" si="10"/>
        <v>-26908162892</v>
      </c>
      <c r="J25" s="184">
        <f t="shared" si="10"/>
        <v>-25506840614</v>
      </c>
      <c r="K25" s="184">
        <f t="shared" si="10"/>
        <v>-23744231560</v>
      </c>
      <c r="L25" s="184" t="str">
        <f t="shared" si="10"/>
        <v/>
      </c>
      <c r="M25" s="184" t="str">
        <f t="shared" si="10"/>
        <v/>
      </c>
      <c r="N25" s="184" t="str">
        <f t="shared" si="10"/>
        <v/>
      </c>
      <c r="O25" s="184" t="str">
        <f t="shared" si="10"/>
        <v/>
      </c>
      <c r="P25" s="184" t="str">
        <f t="shared" si="10"/>
        <v/>
      </c>
      <c r="Q25" s="184" t="str">
        <f t="shared" si="10"/>
        <v/>
      </c>
    </row>
    <row r="26" spans="1:17" ht="15.75" customHeight="1" x14ac:dyDescent="0.15">
      <c r="A26" s="10"/>
      <c r="E26" s="293"/>
    </row>
    <row r="27" spans="1:17" ht="15.75" customHeight="1" x14ac:dyDescent="0.15">
      <c r="A27" s="10"/>
      <c r="B27" s="64" t="s">
        <v>207</v>
      </c>
      <c r="E27" s="293"/>
    </row>
    <row r="28" spans="1:17" ht="15.75" customHeight="1" x14ac:dyDescent="0.15">
      <c r="A28" s="10"/>
      <c r="B28" s="26" t="s">
        <v>43</v>
      </c>
      <c r="C28" s="63">
        <f>AVERAGE(G28:J28)</f>
        <v>0.69237393830888427</v>
      </c>
      <c r="D28" s="26"/>
      <c r="E28" s="291" t="s">
        <v>334</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x14ac:dyDescent="0.2">
      <c r="A29" s="10"/>
      <c r="B29" s="68" t="str">
        <f>B24</f>
        <v>Selling Expenses</v>
      </c>
      <c r="C29" s="63">
        <f>AVERAGE(G29:J29)</f>
        <v>0.13707383351548572</v>
      </c>
      <c r="D29" s="26"/>
      <c r="E29" s="291" t="s">
        <v>334</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x14ac:dyDescent="0.15">
      <c r="A30" s="10"/>
      <c r="B30" s="70" t="s">
        <v>46</v>
      </c>
      <c r="C30" s="71">
        <f>ABS(C25/$C$4)</f>
        <v>0.82944777182437002</v>
      </c>
      <c r="E30" s="293"/>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x14ac:dyDescent="0.15">
      <c r="A31" s="10"/>
      <c r="E31" s="293"/>
    </row>
    <row r="32" spans="1:17" ht="15.75" customHeight="1" x14ac:dyDescent="0.15">
      <c r="A32" s="10"/>
      <c r="B32" s="64" t="s">
        <v>45</v>
      </c>
      <c r="E32" s="293"/>
    </row>
    <row r="33" spans="1:17" ht="15.75" customHeight="1" x14ac:dyDescent="0.15">
      <c r="A33" s="10"/>
      <c r="B33" s="8" t="s">
        <v>175</v>
      </c>
      <c r="C33" s="197">
        <f>AVERAGE(G33:J33)</f>
        <v>-1522888768.25</v>
      </c>
      <c r="E33" s="291" t="s">
        <v>334</v>
      </c>
      <c r="G33" s="190">
        <f>Data!C41</f>
        <v>-1406578781</v>
      </c>
      <c r="H33" s="190">
        <f>Data!D41</f>
        <v>-1519063042</v>
      </c>
      <c r="I33" s="190">
        <f>Data!E41</f>
        <v>-1473368004</v>
      </c>
      <c r="J33" s="190">
        <f>Data!F41</f>
        <v>-1692545246</v>
      </c>
      <c r="K33" s="190">
        <f>Data!G41</f>
        <v>-1678050722</v>
      </c>
      <c r="L33" s="190" t="str">
        <f>Data!H41</f>
        <v/>
      </c>
      <c r="M33" s="190" t="str">
        <f>Data!I41</f>
        <v/>
      </c>
      <c r="N33" s="190" t="str">
        <f>Data!J41</f>
        <v/>
      </c>
      <c r="O33" s="190" t="str">
        <f>Data!K41</f>
        <v/>
      </c>
      <c r="P33" s="190" t="str">
        <f>Data!L41</f>
        <v/>
      </c>
      <c r="Q33" s="190" t="str">
        <f>Data!M41</f>
        <v/>
      </c>
    </row>
    <row r="34" spans="1:17" ht="15.75" customHeight="1" x14ac:dyDescent="0.15">
      <c r="A34" s="10"/>
      <c r="B34" s="27" t="s">
        <v>49</v>
      </c>
      <c r="C34" s="197">
        <f>AVERAGE(G34:J34)</f>
        <v>-74312206.25</v>
      </c>
      <c r="D34" s="58"/>
      <c r="E34" s="291" t="s">
        <v>334</v>
      </c>
      <c r="F34" s="58"/>
      <c r="G34" s="183">
        <f>Data!C42</f>
        <v>-102766675</v>
      </c>
      <c r="H34" s="183">
        <f>Data!D42</f>
        <v>-100637006</v>
      </c>
      <c r="I34" s="183">
        <f>Data!E42</f>
        <v>-62954899</v>
      </c>
      <c r="J34" s="183">
        <f>Data!F42</f>
        <v>-30890245</v>
      </c>
      <c r="K34" s="183">
        <f>Data!G42</f>
        <v>-21467092</v>
      </c>
      <c r="L34" s="183" t="str">
        <f>Data!H42</f>
        <v/>
      </c>
      <c r="M34" s="183" t="str">
        <f>Data!I42</f>
        <v/>
      </c>
      <c r="N34" s="183" t="str">
        <f>Data!J42</f>
        <v/>
      </c>
      <c r="O34" s="183" t="str">
        <f>Data!K42</f>
        <v/>
      </c>
      <c r="P34" s="183" t="str">
        <f>Data!L42</f>
        <v/>
      </c>
      <c r="Q34" s="183" t="str">
        <f>Data!M42</f>
        <v/>
      </c>
    </row>
    <row r="35" spans="1:17" ht="15.75" customHeight="1" x14ac:dyDescent="0.15">
      <c r="A35" s="10"/>
      <c r="B35" s="70" t="s">
        <v>45</v>
      </c>
      <c r="C35" s="184">
        <f>C33+C34</f>
        <v>-1597200974.5</v>
      </c>
      <c r="D35" s="58"/>
      <c r="E35" s="292"/>
      <c r="F35" s="58"/>
      <c r="G35" s="184">
        <f t="shared" ref="G35:Q35" si="14">IF(G4="","",G33+G34)</f>
        <v>-1509345456</v>
      </c>
      <c r="H35" s="184">
        <f t="shared" si="14"/>
        <v>-1619700048</v>
      </c>
      <c r="I35" s="184">
        <f t="shared" si="14"/>
        <v>-1536322903</v>
      </c>
      <c r="J35" s="184">
        <f t="shared" si="14"/>
        <v>-1723435491</v>
      </c>
      <c r="K35" s="184">
        <f t="shared" si="14"/>
        <v>-1699517814</v>
      </c>
      <c r="L35" s="184" t="str">
        <f t="shared" si="14"/>
        <v/>
      </c>
      <c r="M35" s="184" t="str">
        <f t="shared" si="14"/>
        <v/>
      </c>
      <c r="N35" s="184" t="str">
        <f t="shared" si="14"/>
        <v/>
      </c>
      <c r="O35" s="184" t="str">
        <f t="shared" si="14"/>
        <v/>
      </c>
      <c r="P35" s="184" t="str">
        <f t="shared" si="14"/>
        <v/>
      </c>
      <c r="Q35" s="184" t="str">
        <f t="shared" si="14"/>
        <v/>
      </c>
    </row>
    <row r="36" spans="1:17" ht="15.75" customHeight="1" x14ac:dyDescent="0.15">
      <c r="A36" s="10"/>
      <c r="E36" s="293"/>
    </row>
    <row r="37" spans="1:17" ht="15.75" customHeight="1" x14ac:dyDescent="0.15">
      <c r="A37" s="10"/>
      <c r="B37" s="64" t="s">
        <v>208</v>
      </c>
      <c r="E37" s="293"/>
    </row>
    <row r="38" spans="1:17" ht="15.75" customHeight="1" x14ac:dyDescent="0.15">
      <c r="A38" s="10"/>
      <c r="B38" s="2" t="str">
        <f>B33</f>
        <v>G&amp;A and other Opex</v>
      </c>
      <c r="C38" s="23">
        <f>ABS(C33/$C$4)</f>
        <v>4.7437316881256138E-2</v>
      </c>
      <c r="D38" s="27"/>
      <c r="E38" s="290"/>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x14ac:dyDescent="0.15">
      <c r="A39" s="10"/>
      <c r="B39" s="27" t="str">
        <f>B34</f>
        <v>R&amp;D</v>
      </c>
      <c r="C39" s="23">
        <f>ABS(C34/$C$4)</f>
        <v>2.314792616191792E-3</v>
      </c>
      <c r="D39" s="27"/>
      <c r="E39" s="290"/>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x14ac:dyDescent="0.15">
      <c r="A40" s="10"/>
      <c r="B40" s="70" t="s">
        <v>45</v>
      </c>
      <c r="C40" s="71">
        <f>ABS(C35/$C$4)</f>
        <v>4.9752109497447933E-2</v>
      </c>
      <c r="E40" s="293"/>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x14ac:dyDescent="0.15">
      <c r="A41" s="10"/>
      <c r="E41" s="293"/>
    </row>
    <row r="42" spans="1:17" ht="15.75" customHeight="1" x14ac:dyDescent="0.15">
      <c r="A42" s="10"/>
      <c r="B42" s="64" t="s">
        <v>209</v>
      </c>
      <c r="E42" s="293"/>
    </row>
    <row r="43" spans="1:17" ht="15.75" customHeight="1" x14ac:dyDescent="0.15">
      <c r="A43" s="10"/>
      <c r="B43" s="27" t="s">
        <v>172</v>
      </c>
      <c r="C43" s="287">
        <v>0.25</v>
      </c>
      <c r="D43" s="27"/>
      <c r="E43" s="290" t="s">
        <v>335</v>
      </c>
      <c r="F43" s="27"/>
      <c r="G43" s="6">
        <f t="shared" ref="G43:Q43" si="18">IF(G$4="","",-G14/SUM(G8+G11,G12))</f>
        <v>0.29622378147955947</v>
      </c>
      <c r="H43" s="6">
        <f t="shared" si="18"/>
        <v>0.30731671472153965</v>
      </c>
      <c r="I43" s="6">
        <f t="shared" si="18"/>
        <v>0.31046147803195151</v>
      </c>
      <c r="J43" s="6">
        <f t="shared" si="18"/>
        <v>0.4041955845221904</v>
      </c>
      <c r="K43" s="6">
        <f t="shared" si="18"/>
        <v>0.36932177817763717</v>
      </c>
      <c r="L43" s="6" t="str">
        <f t="shared" si="18"/>
        <v/>
      </c>
      <c r="M43" s="6" t="str">
        <f t="shared" si="18"/>
        <v/>
      </c>
      <c r="N43" s="6" t="str">
        <f t="shared" si="18"/>
        <v/>
      </c>
      <c r="O43" s="6" t="str">
        <f t="shared" si="18"/>
        <v/>
      </c>
      <c r="P43" s="6" t="str">
        <f t="shared" si="18"/>
        <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93"/>
    </row>
    <row r="47" spans="1:17" ht="15.75" customHeight="1" x14ac:dyDescent="0.15">
      <c r="A47" s="10"/>
      <c r="B47" s="2" t="s">
        <v>39</v>
      </c>
      <c r="C47" s="190">
        <f>-BS!G31*Normalized_FCF!C54</f>
        <v>-21837054</v>
      </c>
      <c r="E47" s="293"/>
      <c r="G47" s="190">
        <f>Data!C51</f>
        <v>-21837054</v>
      </c>
      <c r="H47" s="190">
        <f>Data!D51</f>
        <v>-16430590</v>
      </c>
      <c r="I47" s="190">
        <f>Data!E51</f>
        <v>-9237800</v>
      </c>
      <c r="J47" s="190">
        <f>Data!F51</f>
        <v>-22685367</v>
      </c>
      <c r="K47" s="190">
        <f>Data!G51</f>
        <v>-13662682</v>
      </c>
      <c r="L47" s="190" t="str">
        <f>Data!H51</f>
        <v/>
      </c>
      <c r="M47" s="190" t="str">
        <f>Data!I51</f>
        <v/>
      </c>
      <c r="N47" s="190" t="str">
        <f>Data!J51</f>
        <v/>
      </c>
      <c r="O47" s="190" t="str">
        <f>Data!K51</f>
        <v/>
      </c>
      <c r="P47" s="190" t="str">
        <f>Data!L51</f>
        <v/>
      </c>
      <c r="Q47" s="190" t="str">
        <f>Data!M51</f>
        <v/>
      </c>
    </row>
    <row r="48" spans="1:17" ht="15.75" customHeight="1" x14ac:dyDescent="0.15">
      <c r="A48" s="10"/>
      <c r="B48" s="2" t="s">
        <v>346</v>
      </c>
      <c r="C48" s="190">
        <f>BS!D75*C53</f>
        <v>177212925.25639853</v>
      </c>
      <c r="E48" s="293"/>
      <c r="G48" s="318">
        <f>IFERROR(IF(G$4="","",($C$48/$C$49)*G49),0)</f>
        <v>177212925.25639853</v>
      </c>
      <c r="H48" s="318">
        <f t="shared" ref="H48:Q48" si="19">IFERROR(IF(H$4="","",($C$48/$C$49)*H49),0)</f>
        <v>145493779.17009231</v>
      </c>
      <c r="I48" s="318">
        <f t="shared" si="19"/>
        <v>132071644.53846154</v>
      </c>
      <c r="J48" s="318">
        <f t="shared" si="19"/>
        <v>90693209.792707145</v>
      </c>
      <c r="K48" s="318">
        <f t="shared" si="19"/>
        <v>150565999.61473534</v>
      </c>
      <c r="L48" s="318" t="str">
        <f t="shared" si="19"/>
        <v/>
      </c>
      <c r="M48" s="318" t="str">
        <f t="shared" si="19"/>
        <v/>
      </c>
      <c r="N48" s="318" t="str">
        <f t="shared" si="19"/>
        <v/>
      </c>
      <c r="O48" s="318" t="str">
        <f t="shared" si="19"/>
        <v/>
      </c>
      <c r="P48" s="318" t="str">
        <f t="shared" si="19"/>
        <v/>
      </c>
      <c r="Q48" s="318" t="str">
        <f t="shared" si="19"/>
        <v/>
      </c>
    </row>
    <row r="49" spans="1:17" ht="15.75" customHeight="1" x14ac:dyDescent="0.15">
      <c r="A49" s="10"/>
      <c r="B49" s="313" t="s">
        <v>343</v>
      </c>
      <c r="C49" s="314">
        <f>BS!$C$66*C53</f>
        <v>616771200</v>
      </c>
      <c r="D49" s="315"/>
      <c r="E49" s="316"/>
      <c r="F49" s="315"/>
      <c r="G49" s="314">
        <f>Data!C52</f>
        <v>616771200</v>
      </c>
      <c r="H49" s="314">
        <f>Data!D52</f>
        <v>506376003</v>
      </c>
      <c r="I49" s="314">
        <f>Data!E52</f>
        <v>459661656</v>
      </c>
      <c r="J49" s="314">
        <f>Data!F52</f>
        <v>315648307</v>
      </c>
      <c r="K49" s="314">
        <f>Data!G52</f>
        <v>524029340</v>
      </c>
      <c r="L49" s="314" t="str">
        <f>Data!H52</f>
        <v/>
      </c>
      <c r="M49" s="314" t="str">
        <f>Data!I52</f>
        <v/>
      </c>
      <c r="N49" s="314" t="str">
        <f>Data!J52</f>
        <v/>
      </c>
      <c r="O49" s="314" t="str">
        <f>Data!K52</f>
        <v/>
      </c>
      <c r="P49" s="314" t="str">
        <f>Data!L52</f>
        <v/>
      </c>
      <c r="Q49" s="314" t="str">
        <f>Data!M52</f>
        <v/>
      </c>
    </row>
    <row r="50" spans="1:17" ht="15.75" customHeight="1" x14ac:dyDescent="0.15">
      <c r="A50" s="10"/>
      <c r="B50" s="70" t="s">
        <v>68</v>
      </c>
      <c r="C50" s="184">
        <f>C47+C48</f>
        <v>155375871.25639853</v>
      </c>
      <c r="E50" s="293"/>
      <c r="G50" s="184">
        <f>IF(G$4="","",(G47+G48))</f>
        <v>155375871.25639853</v>
      </c>
      <c r="H50" s="184">
        <f t="shared" ref="H50:Q50" si="20">IF(H$4="","",(H47+H48))</f>
        <v>129063189.17009231</v>
      </c>
      <c r="I50" s="184">
        <f t="shared" si="20"/>
        <v>122833844.53846154</v>
      </c>
      <c r="J50" s="184">
        <f t="shared" si="20"/>
        <v>68007842.792707145</v>
      </c>
      <c r="K50" s="184">
        <f t="shared" si="20"/>
        <v>136903317.61473534</v>
      </c>
      <c r="L50" s="184" t="str">
        <f t="shared" si="20"/>
        <v/>
      </c>
      <c r="M50" s="184" t="str">
        <f t="shared" si="20"/>
        <v/>
      </c>
      <c r="N50" s="184" t="str">
        <f t="shared" si="20"/>
        <v/>
      </c>
      <c r="O50" s="184" t="str">
        <f t="shared" si="20"/>
        <v/>
      </c>
      <c r="P50" s="184" t="str">
        <f t="shared" si="20"/>
        <v/>
      </c>
      <c r="Q50" s="184" t="str">
        <f t="shared" si="20"/>
        <v/>
      </c>
    </row>
    <row r="51" spans="1:17" ht="15.75" customHeight="1" x14ac:dyDescent="0.15">
      <c r="A51" s="10"/>
      <c r="E51" s="293"/>
    </row>
    <row r="52" spans="1:17" ht="15.75" customHeight="1" x14ac:dyDescent="0.15">
      <c r="A52" s="10"/>
      <c r="B52" s="72" t="s">
        <v>156</v>
      </c>
      <c r="E52" s="293"/>
      <c r="G52" s="97" t="s">
        <v>220</v>
      </c>
    </row>
    <row r="53" spans="1:17" ht="15.75" customHeight="1" x14ac:dyDescent="0.15">
      <c r="A53" s="10"/>
      <c r="B53" s="8" t="s">
        <v>89</v>
      </c>
      <c r="C53" s="87">
        <f>G53</f>
        <v>3.430552260533988E-2</v>
      </c>
      <c r="E53" s="290" t="s">
        <v>336</v>
      </c>
      <c r="G53" s="6">
        <f>IF(Normalized_FCF!G4="","",Normalized_FCF!G49/BS!$C$66)</f>
        <v>3.430552260533988E-2</v>
      </c>
      <c r="H53" s="170"/>
      <c r="I53" s="170"/>
      <c r="J53" s="170"/>
      <c r="K53" s="170"/>
      <c r="L53" s="170"/>
      <c r="M53" s="170"/>
      <c r="N53" s="170"/>
      <c r="O53" s="170"/>
      <c r="P53" s="170"/>
      <c r="Q53" s="170"/>
    </row>
    <row r="54" spans="1:17" ht="15.75" customHeight="1" x14ac:dyDescent="0.15">
      <c r="A54" s="10"/>
      <c r="B54" s="8" t="s">
        <v>88</v>
      </c>
      <c r="C54" s="82">
        <f>G54</f>
        <v>7.6514823945754068E-2</v>
      </c>
      <c r="E54" s="290" t="s">
        <v>337</v>
      </c>
      <c r="G54" s="23">
        <f>IFERROR(ABS(Normalized_FCF!G47/BS!$G$31),0)</f>
        <v>7.6514823945754068E-2</v>
      </c>
      <c r="H54" s="170"/>
      <c r="I54" s="170"/>
      <c r="J54" s="170"/>
      <c r="K54" s="170"/>
      <c r="L54" s="170"/>
      <c r="M54" s="170"/>
      <c r="N54" s="170"/>
      <c r="O54" s="170"/>
      <c r="P54" s="170"/>
      <c r="Q54" s="170"/>
    </row>
    <row r="55" spans="1:17" ht="15.75" customHeight="1" x14ac:dyDescent="0.15">
      <c r="A55" s="10"/>
      <c r="B55" s="26" t="s">
        <v>91</v>
      </c>
      <c r="C55" s="42">
        <f>-C8/C47</f>
        <v>177.59117462949692</v>
      </c>
      <c r="E55" s="293"/>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x14ac:dyDescent="0.15">
      <c r="A56" s="10"/>
      <c r="E56" s="293"/>
    </row>
    <row r="57" spans="1:17" ht="15.75" customHeight="1" x14ac:dyDescent="0.15">
      <c r="A57" s="10"/>
      <c r="B57" s="64" t="s">
        <v>169</v>
      </c>
      <c r="E57" s="293"/>
      <c r="G57" s="97" t="s">
        <v>220</v>
      </c>
    </row>
    <row r="58" spans="1:17" ht="15.75" customHeight="1" x14ac:dyDescent="0.15">
      <c r="A58" s="10"/>
      <c r="B58" s="40" t="s">
        <v>168</v>
      </c>
      <c r="C58" s="190">
        <f>BS!$C67*C66</f>
        <v>0</v>
      </c>
      <c r="E58" s="293"/>
      <c r="G58" s="190">
        <f>Data!C56</f>
        <v>0</v>
      </c>
      <c r="H58" s="190">
        <f>Data!D56</f>
        <v>0</v>
      </c>
      <c r="I58" s="190">
        <f>Data!E56</f>
        <v>0</v>
      </c>
      <c r="J58" s="190">
        <f>Data!F56</f>
        <v>0</v>
      </c>
      <c r="K58" s="190">
        <f>Data!G56</f>
        <v>0</v>
      </c>
      <c r="L58" s="190" t="str">
        <f>Data!H56</f>
        <v/>
      </c>
      <c r="M58" s="190" t="str">
        <f>Data!I56</f>
        <v/>
      </c>
      <c r="N58" s="190" t="str">
        <f>Data!J56</f>
        <v/>
      </c>
      <c r="O58" s="190" t="str">
        <f>Data!K56</f>
        <v/>
      </c>
      <c r="P58" s="190" t="str">
        <f>Data!L56</f>
        <v/>
      </c>
      <c r="Q58" s="190" t="str">
        <f>Data!M56</f>
        <v/>
      </c>
    </row>
    <row r="59" spans="1:17" ht="15.75" customHeight="1" x14ac:dyDescent="0.15">
      <c r="A59" s="10"/>
      <c r="B59" s="40" t="s">
        <v>160</v>
      </c>
      <c r="C59" s="190">
        <f>BS!$C68*C67</f>
        <v>0</v>
      </c>
      <c r="E59" s="293"/>
      <c r="G59" s="190">
        <f>Data!C55</f>
        <v>48272283</v>
      </c>
      <c r="H59" s="190">
        <f>Data!D55</f>
        <v>15798284</v>
      </c>
      <c r="I59" s="190">
        <f>Data!E55</f>
        <v>19873379</v>
      </c>
      <c r="J59" s="190">
        <f>Data!F55</f>
        <v>20561728</v>
      </c>
      <c r="K59" s="190">
        <f>Data!G55</f>
        <v>18098320</v>
      </c>
      <c r="L59" s="190" t="str">
        <f>Data!H55</f>
        <v/>
      </c>
      <c r="M59" s="190" t="str">
        <f>Data!I55</f>
        <v/>
      </c>
      <c r="N59" s="190" t="str">
        <f>Data!J55</f>
        <v/>
      </c>
      <c r="O59" s="190" t="str">
        <f>Data!K55</f>
        <v/>
      </c>
      <c r="P59" s="190" t="str">
        <f>Data!L55</f>
        <v/>
      </c>
      <c r="Q59" s="190" t="str">
        <f>Data!M55</f>
        <v/>
      </c>
    </row>
    <row r="60" spans="1:17" ht="15.75" customHeight="1" x14ac:dyDescent="0.15">
      <c r="A60" s="10"/>
      <c r="B60" s="40" t="s">
        <v>159</v>
      </c>
      <c r="C60" s="190">
        <f>BS!$C69*C68</f>
        <v>0</v>
      </c>
      <c r="E60" s="293"/>
      <c r="G60" s="190">
        <f>Data!C57</f>
        <v>0</v>
      </c>
      <c r="H60" s="190">
        <f>Data!D57</f>
        <v>0</v>
      </c>
      <c r="I60" s="190">
        <f>Data!E57</f>
        <v>0</v>
      </c>
      <c r="J60" s="190">
        <f>Data!F57</f>
        <v>0</v>
      </c>
      <c r="K60" s="190">
        <f>Data!G57</f>
        <v>0</v>
      </c>
      <c r="L60" s="190" t="str">
        <f>Data!H57</f>
        <v/>
      </c>
      <c r="M60" s="190" t="str">
        <f>Data!I57</f>
        <v/>
      </c>
      <c r="N60" s="190" t="str">
        <f>Data!J57</f>
        <v/>
      </c>
      <c r="O60" s="190" t="str">
        <f>Data!K57</f>
        <v/>
      </c>
      <c r="P60" s="190" t="str">
        <f>Data!L57</f>
        <v/>
      </c>
      <c r="Q60" s="190" t="str">
        <f>Data!M57</f>
        <v/>
      </c>
    </row>
    <row r="61" spans="1:17" ht="15.75" customHeight="1" x14ac:dyDescent="0.15">
      <c r="A61" s="10"/>
      <c r="B61" s="31" t="s">
        <v>195</v>
      </c>
      <c r="C61" s="184">
        <f>SUM(C58:C60)</f>
        <v>0</v>
      </c>
      <c r="E61" s="293"/>
      <c r="G61" s="184">
        <f t="shared" ref="G61:Q61" si="22">IF(G4="","",SUM(G58:G60))</f>
        <v>48272283</v>
      </c>
      <c r="H61" s="184">
        <f t="shared" si="22"/>
        <v>15798284</v>
      </c>
      <c r="I61" s="184">
        <f t="shared" si="22"/>
        <v>19873379</v>
      </c>
      <c r="J61" s="184">
        <f t="shared" si="22"/>
        <v>20561728</v>
      </c>
      <c r="K61" s="184">
        <f t="shared" si="22"/>
        <v>18098320</v>
      </c>
      <c r="L61" s="184" t="str">
        <f t="shared" si="22"/>
        <v/>
      </c>
      <c r="M61" s="184" t="str">
        <f t="shared" si="22"/>
        <v/>
      </c>
      <c r="N61" s="184" t="str">
        <f t="shared" si="22"/>
        <v/>
      </c>
      <c r="O61" s="184" t="str">
        <f t="shared" si="22"/>
        <v/>
      </c>
      <c r="P61" s="184" t="str">
        <f t="shared" si="22"/>
        <v/>
      </c>
      <c r="Q61" s="184" t="str">
        <f t="shared" si="22"/>
        <v/>
      </c>
    </row>
    <row r="62" spans="1:17" ht="15.75" customHeight="1" x14ac:dyDescent="0.15">
      <c r="A62" s="10"/>
      <c r="B62" s="40" t="s">
        <v>161</v>
      </c>
      <c r="C62" s="288">
        <v>0</v>
      </c>
      <c r="E62" s="291" t="s">
        <v>338</v>
      </c>
      <c r="G62" s="190">
        <f>Data!C58</f>
        <v>750493994</v>
      </c>
      <c r="H62" s="190">
        <f>Data!D58</f>
        <v>835794097</v>
      </c>
      <c r="I62" s="190">
        <f>Data!E58</f>
        <v>808764222</v>
      </c>
      <c r="J62" s="190">
        <f>Data!F58</f>
        <v>1228921525</v>
      </c>
      <c r="K62" s="190">
        <f>Data!G58</f>
        <v>395122794</v>
      </c>
      <c r="L62" s="190" t="str">
        <f>Data!H58</f>
        <v/>
      </c>
      <c r="M62" s="190" t="str">
        <f>Data!I58</f>
        <v/>
      </c>
      <c r="N62" s="190" t="str">
        <f>Data!J58</f>
        <v/>
      </c>
      <c r="O62" s="190" t="str">
        <f>Data!K58</f>
        <v/>
      </c>
      <c r="P62" s="190" t="str">
        <f>Data!L58</f>
        <v/>
      </c>
      <c r="Q62" s="190" t="str">
        <f>Data!M58</f>
        <v/>
      </c>
    </row>
    <row r="63" spans="1:17" ht="15.75" customHeight="1" x14ac:dyDescent="0.15">
      <c r="A63" s="10"/>
      <c r="B63" s="31" t="s">
        <v>196</v>
      </c>
      <c r="C63" s="184">
        <f>C61+C62</f>
        <v>0</v>
      </c>
      <c r="E63" s="293"/>
      <c r="G63" s="184">
        <f t="shared" ref="G63:Q63" si="23">IF(G4="","",G61+G62)</f>
        <v>798766277</v>
      </c>
      <c r="H63" s="184">
        <f t="shared" si="23"/>
        <v>851592381</v>
      </c>
      <c r="I63" s="184">
        <f t="shared" si="23"/>
        <v>828637601</v>
      </c>
      <c r="J63" s="184">
        <f t="shared" si="23"/>
        <v>1249483253</v>
      </c>
      <c r="K63" s="184">
        <f t="shared" si="23"/>
        <v>413221114</v>
      </c>
      <c r="L63" s="184" t="str">
        <f t="shared" si="23"/>
        <v/>
      </c>
      <c r="M63" s="184" t="str">
        <f t="shared" si="23"/>
        <v/>
      </c>
      <c r="N63" s="184" t="str">
        <f t="shared" si="23"/>
        <v/>
      </c>
      <c r="O63" s="184" t="str">
        <f t="shared" si="23"/>
        <v/>
      </c>
      <c r="P63" s="184" t="str">
        <f t="shared" si="23"/>
        <v/>
      </c>
      <c r="Q63" s="184" t="str">
        <f t="shared" si="23"/>
        <v/>
      </c>
    </row>
    <row r="64" spans="1:17" ht="15.75" customHeight="1" x14ac:dyDescent="0.15">
      <c r="A64" s="10"/>
      <c r="E64" s="293"/>
    </row>
    <row r="65" spans="1:17" ht="15.75" customHeight="1" x14ac:dyDescent="0.15">
      <c r="A65" s="10"/>
      <c r="B65" s="96" t="s">
        <v>170</v>
      </c>
      <c r="E65" s="293"/>
      <c r="G65" s="97" t="s">
        <v>220</v>
      </c>
    </row>
    <row r="66" spans="1:17" ht="15.75" customHeight="1" x14ac:dyDescent="0.15">
      <c r="A66" s="10"/>
      <c r="B66" s="40" t="s">
        <v>168</v>
      </c>
      <c r="C66" s="177">
        <f>G66</f>
        <v>0</v>
      </c>
      <c r="E66" s="293"/>
      <c r="G66" s="23">
        <f>IFERROR(G58/BS!$C$67,0)</f>
        <v>0</v>
      </c>
      <c r="H66" s="176"/>
      <c r="I66" s="176"/>
      <c r="J66" s="176"/>
      <c r="K66" s="176"/>
      <c r="L66" s="176"/>
      <c r="M66" s="176"/>
      <c r="N66" s="176"/>
      <c r="O66" s="176"/>
      <c r="P66" s="176"/>
      <c r="Q66" s="176"/>
    </row>
    <row r="67" spans="1:17" ht="15.75" customHeight="1" x14ac:dyDescent="0.15">
      <c r="A67" s="10"/>
      <c r="B67" s="105" t="s">
        <v>158</v>
      </c>
      <c r="C67" s="177">
        <f>G67</f>
        <v>0</v>
      </c>
      <c r="E67" s="293"/>
      <c r="G67" s="23">
        <f>IFERROR(G59/BS!$C$68,0)</f>
        <v>0</v>
      </c>
      <c r="H67" s="176"/>
      <c r="I67" s="176"/>
      <c r="J67" s="176"/>
      <c r="K67" s="176"/>
      <c r="L67" s="176"/>
      <c r="M67" s="176"/>
      <c r="N67" s="176"/>
      <c r="O67" s="176"/>
      <c r="P67" s="176"/>
      <c r="Q67" s="176"/>
    </row>
    <row r="68" spans="1:17" ht="15.75" customHeight="1" x14ac:dyDescent="0.15">
      <c r="A68" s="10"/>
      <c r="B68" s="105" t="s">
        <v>159</v>
      </c>
      <c r="C68" s="177">
        <f>G68</f>
        <v>0</v>
      </c>
      <c r="E68" s="293"/>
      <c r="G68" s="23">
        <f>IFERROR(G60/BS!$C$69,0)</f>
        <v>0</v>
      </c>
      <c r="H68" s="176"/>
      <c r="I68" s="176"/>
      <c r="J68" s="176"/>
      <c r="K68" s="176"/>
      <c r="L68" s="176"/>
      <c r="M68" s="176"/>
      <c r="N68" s="176"/>
      <c r="O68" s="176"/>
      <c r="P68" s="176"/>
      <c r="Q68" s="176"/>
    </row>
    <row r="69" spans="1:17" ht="15.75" customHeight="1" x14ac:dyDescent="0.15">
      <c r="A69" s="10"/>
      <c r="B69" s="31" t="s">
        <v>195</v>
      </c>
      <c r="C69" s="71">
        <f>C61/BS!C70</f>
        <v>0</v>
      </c>
      <c r="D69" s="9"/>
      <c r="E69" s="298"/>
      <c r="F69" s="9"/>
      <c r="G69" s="71">
        <f>G61/BS!C70</f>
        <v>2.684959828973636E-3</v>
      </c>
      <c r="H69" s="176"/>
      <c r="I69" s="176"/>
      <c r="J69" s="176"/>
      <c r="K69" s="176"/>
      <c r="L69" s="176"/>
      <c r="M69" s="176"/>
      <c r="N69" s="176"/>
      <c r="O69" s="176"/>
      <c r="P69" s="176"/>
      <c r="Q69" s="176"/>
    </row>
    <row r="70" spans="1:17" ht="15.75" customHeight="1" x14ac:dyDescent="0.15">
      <c r="A70" s="10"/>
    </row>
    <row r="71" spans="1:17" ht="15.75" customHeight="1" x14ac:dyDescent="0.25">
      <c r="A71" s="10"/>
      <c r="B71" s="54" t="s">
        <v>213</v>
      </c>
      <c r="C71" s="54"/>
      <c r="D71" s="56"/>
      <c r="E71" s="66" t="s">
        <v>459</v>
      </c>
      <c r="F71" s="56"/>
      <c r="G71" s="37"/>
      <c r="H71" s="37"/>
      <c r="I71" s="37"/>
      <c r="J71" s="37"/>
      <c r="K71" s="37"/>
      <c r="L71" s="37"/>
      <c r="M71" s="37"/>
      <c r="N71" s="37"/>
      <c r="O71" s="37"/>
      <c r="P71" s="37"/>
      <c r="Q71" s="37"/>
    </row>
    <row r="72" spans="1:17" ht="15.75" customHeight="1" x14ac:dyDescent="0.15">
      <c r="A72" s="10"/>
      <c r="B72" s="72" t="s">
        <v>217</v>
      </c>
      <c r="C72" s="62"/>
      <c r="D72" s="27"/>
      <c r="E72" s="290"/>
      <c r="F72" s="27"/>
      <c r="G72" s="97"/>
      <c r="H72" s="12"/>
      <c r="I72" s="12"/>
      <c r="J72" s="12"/>
      <c r="K72" s="12"/>
      <c r="L72" s="12"/>
      <c r="M72" s="12"/>
      <c r="N72" s="12"/>
      <c r="O72" s="12"/>
      <c r="P72" s="12"/>
      <c r="Q72" s="12"/>
    </row>
    <row r="73" spans="1:17" ht="15.75" customHeight="1" x14ac:dyDescent="0.15">
      <c r="A73" s="10"/>
      <c r="B73" s="2" t="s">
        <v>46</v>
      </c>
      <c r="C73" s="77">
        <f>ABS(C5/C$4)</f>
        <v>0.82944777182437002</v>
      </c>
      <c r="D73" s="27"/>
      <c r="E73" s="290"/>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x14ac:dyDescent="0.15">
      <c r="A74" s="10"/>
      <c r="B74" s="31" t="s">
        <v>48</v>
      </c>
      <c r="C74" s="78">
        <f>ABS(C6/C$4)</f>
        <v>0.17055222817562998</v>
      </c>
      <c r="D74" s="27"/>
      <c r="E74" s="290"/>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x14ac:dyDescent="0.15">
      <c r="A75" s="10"/>
      <c r="B75" s="8" t="s">
        <v>45</v>
      </c>
      <c r="C75" s="77">
        <f>ABS(C7/C$4)</f>
        <v>4.9752109497447933E-2</v>
      </c>
      <c r="D75" s="27"/>
      <c r="E75" s="290"/>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x14ac:dyDescent="0.15">
      <c r="A76" s="10"/>
      <c r="B76" s="29" t="s">
        <v>153</v>
      </c>
      <c r="C76" s="78">
        <f>ABS(C8/C$4)</f>
        <v>0.12080011867818204</v>
      </c>
      <c r="D76" s="27"/>
      <c r="E76" s="290"/>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x14ac:dyDescent="0.15">
      <c r="A77" s="10"/>
      <c r="B77" s="2" t="s">
        <v>65</v>
      </c>
      <c r="C77" s="77">
        <f>ABS(C9/C$4)</f>
        <v>3.7108652048024243E-2</v>
      </c>
      <c r="D77" s="27"/>
      <c r="E77" s="290"/>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15">
      <c r="A78" s="10"/>
      <c r="B78" s="2" t="s">
        <v>81</v>
      </c>
      <c r="C78" s="88">
        <f>MAX(AVERAGE(G78:J78),C77)</f>
        <v>3.7108652048024243E-2</v>
      </c>
      <c r="D78" s="27"/>
      <c r="E78" s="291" t="s">
        <v>460</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15">
      <c r="A79" s="10"/>
      <c r="B79" s="31" t="s">
        <v>154</v>
      </c>
      <c r="C79" s="78">
        <f>ABS(C11/C$4)</f>
        <v>0</v>
      </c>
      <c r="D79" s="27"/>
      <c r="E79" s="290"/>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x14ac:dyDescent="0.15">
      <c r="A80" s="10"/>
      <c r="B80" s="2" t="s">
        <v>68</v>
      </c>
      <c r="C80" s="77">
        <f>ABS(C12/C$4)</f>
        <v>4.8398902100780759E-3</v>
      </c>
      <c r="D80" s="27"/>
      <c r="E80" s="290"/>
      <c r="F80" s="27"/>
      <c r="G80" s="6">
        <f t="shared" ref="G80:Q80" si="31">IF(G$4="","",ABS(G12/G$4))</f>
        <v>4.8346721206674482E-3</v>
      </c>
      <c r="H80" s="6">
        <f t="shared" si="31"/>
        <v>3.8030764128396156E-3</v>
      </c>
      <c r="I80" s="6">
        <f t="shared" si="31"/>
        <v>3.8180872505262052E-3</v>
      </c>
      <c r="J80" s="6">
        <f t="shared" si="31"/>
        <v>2.2543932624883838E-3</v>
      </c>
      <c r="K80" s="6">
        <f t="shared" si="31"/>
        <v>4.9317270622768064E-3</v>
      </c>
      <c r="L80" s="6" t="str">
        <f t="shared" si="31"/>
        <v/>
      </c>
      <c r="M80" s="6" t="str">
        <f t="shared" si="31"/>
        <v/>
      </c>
      <c r="N80" s="6" t="str">
        <f t="shared" si="31"/>
        <v/>
      </c>
      <c r="O80" s="6" t="str">
        <f t="shared" si="31"/>
        <v/>
      </c>
      <c r="P80" s="6" t="str">
        <f t="shared" si="31"/>
        <v/>
      </c>
      <c r="Q80" s="6" t="str">
        <f t="shared" si="31"/>
        <v/>
      </c>
    </row>
    <row r="81" spans="1:17" ht="15.75" customHeight="1" x14ac:dyDescent="0.15">
      <c r="A81" s="10"/>
      <c r="B81" s="70" t="s">
        <v>165</v>
      </c>
      <c r="C81" s="78">
        <f>C13/C4</f>
        <v>0.12564000888826013</v>
      </c>
      <c r="D81" s="27"/>
      <c r="E81" s="290"/>
      <c r="F81" s="27"/>
      <c r="G81" s="65">
        <f t="shared" ref="G81:Q81" si="32">IF(G$4="","",G13/G$4)</f>
        <v>0.14597876443595462</v>
      </c>
      <c r="H81" s="65">
        <f t="shared" si="32"/>
        <v>0.13406591523513367</v>
      </c>
      <c r="I81" s="65">
        <f t="shared" si="32"/>
        <v>0.12028594124905127</v>
      </c>
      <c r="J81" s="65">
        <f t="shared" si="32"/>
        <v>0.10027905855417907</v>
      </c>
      <c r="K81" s="65">
        <f t="shared" si="32"/>
        <v>8.9012569194314203E-2</v>
      </c>
      <c r="L81" s="65" t="str">
        <f t="shared" si="32"/>
        <v/>
      </c>
      <c r="M81" s="65" t="str">
        <f t="shared" si="32"/>
        <v/>
      </c>
      <c r="N81" s="65" t="str">
        <f t="shared" si="32"/>
        <v/>
      </c>
      <c r="O81" s="65" t="str">
        <f t="shared" si="32"/>
        <v/>
      </c>
      <c r="P81" s="65" t="str">
        <f t="shared" si="32"/>
        <v/>
      </c>
      <c r="Q81" s="65" t="str">
        <f t="shared" si="32"/>
        <v/>
      </c>
    </row>
    <row r="82" spans="1:17" ht="15.75" customHeight="1" x14ac:dyDescent="0.15">
      <c r="A82" s="10"/>
      <c r="B82" s="2" t="s">
        <v>63</v>
      </c>
      <c r="C82" s="77">
        <f>ABS(C14/C$4)</f>
        <v>3.1410002222065032E-2</v>
      </c>
      <c r="D82" s="27"/>
      <c r="E82" s="290"/>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x14ac:dyDescent="0.15">
      <c r="A83" s="10"/>
      <c r="B83" s="40" t="str">
        <f>B15</f>
        <v>NCI’s Share of Profits</v>
      </c>
      <c r="C83" s="289">
        <f>MIN(BS!C62,MAX(G83:K83))</f>
        <v>4.5676023394546593E-3</v>
      </c>
      <c r="D83" s="27"/>
      <c r="E83" s="290"/>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x14ac:dyDescent="0.15">
      <c r="A84" s="10"/>
      <c r="B84" s="41" t="s">
        <v>155</v>
      </c>
      <c r="C84" s="78">
        <f>ABS(C16/C$4)</f>
        <v>8.9662404326740441E-2</v>
      </c>
      <c r="D84" s="27"/>
      <c r="E84" s="290"/>
      <c r="F84" s="27"/>
      <c r="G84" s="65">
        <f t="shared" ref="G84:Q84" si="35">IF(G$4="","",ABS(G16/G$4))</f>
        <v>9.8168780479567647E-2</v>
      </c>
      <c r="H84" s="65">
        <f t="shared" si="35"/>
        <v>9.0497636089854588E-2</v>
      </c>
      <c r="I84" s="65">
        <f t="shared" si="35"/>
        <v>8.0017068165872909E-2</v>
      </c>
      <c r="J84" s="65">
        <f t="shared" si="35"/>
        <v>5.6405680566031617E-2</v>
      </c>
      <c r="K84" s="65">
        <f t="shared" si="35"/>
        <v>5.1612116042347549E-2</v>
      </c>
      <c r="L84" s="65" t="str">
        <f t="shared" si="35"/>
        <v/>
      </c>
      <c r="M84" s="65" t="str">
        <f t="shared" si="35"/>
        <v/>
      </c>
      <c r="N84" s="65" t="str">
        <f t="shared" si="35"/>
        <v/>
      </c>
      <c r="O84" s="65" t="str">
        <f t="shared" si="35"/>
        <v/>
      </c>
      <c r="P84" s="65" t="str">
        <f t="shared" si="35"/>
        <v/>
      </c>
      <c r="Q84" s="65" t="str">
        <f t="shared" si="35"/>
        <v/>
      </c>
    </row>
    <row r="85" spans="1:17" ht="15.75" customHeight="1" x14ac:dyDescent="0.15">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x14ac:dyDescent="0.15">
      <c r="A86" s="10"/>
      <c r="B86" s="8" t="s">
        <v>99</v>
      </c>
      <c r="C86" s="77">
        <v>0</v>
      </c>
      <c r="E86" s="292" t="str">
        <f>E18</f>
        <v>Net borrowing is excluded</v>
      </c>
      <c r="G86" s="170"/>
      <c r="H86" s="170"/>
      <c r="I86" s="170"/>
      <c r="J86" s="170"/>
      <c r="K86" s="170"/>
      <c r="L86" s="170"/>
      <c r="M86" s="170"/>
      <c r="N86" s="170"/>
      <c r="O86" s="170"/>
      <c r="P86" s="170"/>
      <c r="Q86" s="170"/>
    </row>
    <row r="87" spans="1:17" ht="15.75" customHeight="1" x14ac:dyDescent="0.15">
      <c r="A87" s="10"/>
      <c r="B87" s="31" t="s">
        <v>141</v>
      </c>
      <c r="C87" s="78">
        <f>ABS(C19/C$4)</f>
        <v>8.9662404326740441E-2</v>
      </c>
      <c r="D87" s="75"/>
      <c r="E87" s="290"/>
      <c r="F87" s="75"/>
      <c r="G87" s="65">
        <f t="shared" ref="G87:Q87" si="36">IF(G$4="","",ABS(G19/G$4))</f>
        <v>9.8168780479567647E-2</v>
      </c>
      <c r="H87" s="65">
        <f t="shared" si="36"/>
        <v>9.0497636089854588E-2</v>
      </c>
      <c r="I87" s="65">
        <f t="shared" si="36"/>
        <v>8.0017068165872909E-2</v>
      </c>
      <c r="J87" s="65">
        <f t="shared" si="36"/>
        <v>5.6405680566031617E-2</v>
      </c>
      <c r="K87" s="65">
        <f t="shared" si="36"/>
        <v>5.1612116042347549E-2</v>
      </c>
      <c r="L87" s="65" t="str">
        <f t="shared" si="36"/>
        <v/>
      </c>
      <c r="M87" s="65" t="str">
        <f t="shared" si="36"/>
        <v/>
      </c>
      <c r="N87" s="65" t="str">
        <f t="shared" si="36"/>
        <v/>
      </c>
      <c r="O87" s="65" t="str">
        <f t="shared" si="36"/>
        <v/>
      </c>
      <c r="P87" s="65" t="str">
        <f t="shared" si="36"/>
        <v/>
      </c>
      <c r="Q87" s="65" t="str">
        <f t="shared" si="36"/>
        <v/>
      </c>
    </row>
    <row r="88" spans="1:17" ht="15.75" customHeight="1" x14ac:dyDescent="0.15">
      <c r="A88" s="10"/>
      <c r="E88" s="293"/>
    </row>
    <row r="89" spans="1:17" ht="15.75" customHeight="1" x14ac:dyDescent="0.15">
      <c r="A89" s="10"/>
      <c r="B89" s="64" t="s">
        <v>215</v>
      </c>
      <c r="E89" s="293"/>
    </row>
    <row r="90" spans="1:17" ht="15.75" customHeight="1" x14ac:dyDescent="0.15">
      <c r="A90" s="10"/>
      <c r="B90" s="2" t="str">
        <f>"Dividend per share ("&amp;Market_currency&amp;")"</f>
        <v>Dividend per share (HKD)</v>
      </c>
      <c r="C90" s="114">
        <f>G90</f>
        <v>2.0299433998263439</v>
      </c>
      <c r="E90" s="293"/>
      <c r="G90" s="113">
        <f>Data!C65</f>
        <v>2.0299433998263439</v>
      </c>
      <c r="H90" s="113">
        <f>Data!D65</f>
        <v>1.8454030907512216</v>
      </c>
      <c r="I90" s="113">
        <f>Data!E65</f>
        <v>1.199512008988294</v>
      </c>
      <c r="J90" s="113">
        <f>Data!F65</f>
        <v>1.0149716999131719</v>
      </c>
      <c r="K90" s="113">
        <f>Data!G65</f>
        <v>0.69202615903170805</v>
      </c>
      <c r="L90" s="113" t="str">
        <f>Data!H65</f>
        <v/>
      </c>
      <c r="M90" s="113" t="str">
        <f>Data!I65</f>
        <v/>
      </c>
      <c r="N90" s="113" t="str">
        <f>Data!J65</f>
        <v/>
      </c>
      <c r="O90" s="113" t="str">
        <f>Data!K65</f>
        <v/>
      </c>
      <c r="P90" s="113" t="str">
        <f>Data!L65</f>
        <v/>
      </c>
      <c r="Q90" s="113" t="str">
        <f>Data!M65</f>
        <v/>
      </c>
    </row>
    <row r="91" spans="1:17" ht="15.75" customHeight="1" x14ac:dyDescent="0.15">
      <c r="A91" s="10"/>
      <c r="B91" s="2" t="str">
        <f>"Dividend ("&amp;Market_currency&amp;")"</f>
        <v>Dividend (HKD)</v>
      </c>
      <c r="C91" s="74">
        <f>C90*Common_Shares/scaling_factor</f>
        <v>2769242265.8648982</v>
      </c>
      <c r="E91" s="293"/>
      <c r="G91" s="74">
        <f t="shared" ref="G91:Q91" si="37">IF(G$4="","",G90*Common_Shares/scaling_factor)</f>
        <v>2769242265.8648982</v>
      </c>
      <c r="H91" s="74">
        <f t="shared" si="37"/>
        <v>2517492968.9680891</v>
      </c>
      <c r="I91" s="74">
        <f t="shared" si="37"/>
        <v>1636370429.8292577</v>
      </c>
      <c r="J91" s="74">
        <f t="shared" si="37"/>
        <v>1384621132.9324491</v>
      </c>
      <c r="K91" s="74">
        <f t="shared" si="37"/>
        <v>944059863.36303329</v>
      </c>
      <c r="L91" s="74" t="str">
        <f t="shared" si="37"/>
        <v/>
      </c>
      <c r="M91" s="74" t="str">
        <f t="shared" si="37"/>
        <v/>
      </c>
      <c r="N91" s="74" t="str">
        <f t="shared" si="37"/>
        <v/>
      </c>
      <c r="O91" s="74" t="str">
        <f t="shared" si="37"/>
        <v/>
      </c>
      <c r="P91" s="74" t="str">
        <f t="shared" si="37"/>
        <v/>
      </c>
      <c r="Q91" s="74" t="str">
        <f t="shared" si="37"/>
        <v/>
      </c>
    </row>
    <row r="92" spans="1:17" ht="15.75" customHeight="1" x14ac:dyDescent="0.15">
      <c r="A92" s="10"/>
      <c r="B92" s="2" t="s">
        <v>214</v>
      </c>
      <c r="C92" s="23">
        <f>C90/(C19*scaling_factor/Common_Shares)</f>
        <v>0.96206076643535421</v>
      </c>
      <c r="E92" s="293"/>
      <c r="G92" s="171">
        <f t="shared" ref="G92:Q92" si="38">IF(G$4="","",G90/(G19*scaling_factor/Common_Shares))</f>
        <v>0.87775033705805161</v>
      </c>
      <c r="H92" s="171">
        <f t="shared" si="38"/>
        <v>0.81971652515820703</v>
      </c>
      <c r="I92" s="171">
        <f t="shared" si="38"/>
        <v>0.63566279319296815</v>
      </c>
      <c r="J92" s="171">
        <f t="shared" si="38"/>
        <v>0.81372712058648489</v>
      </c>
      <c r="K92" s="171">
        <f t="shared" si="38"/>
        <v>0.65892036399736909</v>
      </c>
      <c r="L92" s="171" t="str">
        <f t="shared" si="38"/>
        <v/>
      </c>
      <c r="M92" s="171" t="str">
        <f t="shared" si="38"/>
        <v/>
      </c>
      <c r="N92" s="171" t="str">
        <f t="shared" si="38"/>
        <v/>
      </c>
      <c r="O92" s="171" t="str">
        <f t="shared" si="38"/>
        <v/>
      </c>
      <c r="P92" s="171" t="str">
        <f t="shared" si="38"/>
        <v/>
      </c>
      <c r="Q92" s="171" t="str">
        <f t="shared" si="38"/>
        <v/>
      </c>
    </row>
    <row r="93" spans="1:17" ht="15.75" customHeight="1" x14ac:dyDescent="0.15">
      <c r="A93" s="10"/>
      <c r="B93" s="2" t="s">
        <v>310</v>
      </c>
      <c r="C93" s="23">
        <f>C90/Market_Price</f>
        <v>3.6707837248215983E-2</v>
      </c>
      <c r="E93" s="293"/>
      <c r="G93" s="23">
        <f t="shared" ref="G93:Q93" si="39">IF(G$4="","",G90/Market_Price)</f>
        <v>3.6707837248215983E-2</v>
      </c>
      <c r="H93" s="23">
        <f t="shared" si="39"/>
        <v>3.33707611347418E-2</v>
      </c>
      <c r="I93" s="23">
        <f t="shared" si="39"/>
        <v>2.1690994737582171E-2</v>
      </c>
      <c r="J93" s="23">
        <f t="shared" si="39"/>
        <v>1.8353918624107991E-2</v>
      </c>
      <c r="K93" s="23">
        <f t="shared" si="39"/>
        <v>1.2514035425528175E-2</v>
      </c>
      <c r="L93" s="23" t="str">
        <f t="shared" si="39"/>
        <v/>
      </c>
      <c r="M93" s="23" t="str">
        <f t="shared" si="39"/>
        <v/>
      </c>
      <c r="N93" s="23" t="str">
        <f t="shared" si="39"/>
        <v/>
      </c>
      <c r="O93" s="23" t="str">
        <f t="shared" si="39"/>
        <v/>
      </c>
      <c r="P93" s="23" t="str">
        <f t="shared" si="39"/>
        <v/>
      </c>
      <c r="Q93" s="23" t="str">
        <f t="shared" si="39"/>
        <v/>
      </c>
    </row>
    <row r="94" spans="1:17" ht="15.75" customHeight="1" x14ac:dyDescent="0.15">
      <c r="A94" s="10"/>
      <c r="E94" s="293"/>
    </row>
    <row r="95" spans="1:17" ht="15.75" customHeight="1" x14ac:dyDescent="0.15">
      <c r="A95" s="10"/>
      <c r="B95" s="158" t="s">
        <v>85</v>
      </c>
      <c r="C95" s="62"/>
      <c r="D95" s="27"/>
      <c r="E95" s="290"/>
      <c r="F95" s="27"/>
      <c r="G95" s="12"/>
      <c r="H95" s="12"/>
      <c r="I95" s="12"/>
      <c r="J95" s="12"/>
      <c r="K95" s="12"/>
      <c r="L95" s="12"/>
      <c r="M95" s="12"/>
      <c r="N95" s="12"/>
      <c r="O95" s="12"/>
      <c r="P95" s="12"/>
      <c r="Q95" s="12"/>
    </row>
    <row r="96" spans="1:17" ht="15.75" customHeight="1" x14ac:dyDescent="0.15">
      <c r="A96" s="10"/>
      <c r="B96" s="27" t="s">
        <v>145</v>
      </c>
      <c r="C96" s="77">
        <f>C4/G4-1</f>
        <v>-1.0781421032572958E-3</v>
      </c>
      <c r="D96" s="27"/>
      <c r="E96" s="290"/>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15">
      <c r="A97" s="10"/>
      <c r="B97" s="70" t="s">
        <v>165</v>
      </c>
      <c r="C97" s="77">
        <f>C13/G13-1</f>
        <v>-0.14025473780546494</v>
      </c>
      <c r="D97" s="27"/>
      <c r="E97" s="290"/>
      <c r="F97" s="27"/>
      <c r="G97" s="6">
        <f t="shared" ref="G97:Q97" si="41">IF(H5="","",G13/H13-1)</f>
        <v>3.1146841576523476E-2</v>
      </c>
      <c r="H97" s="6">
        <f t="shared" si="41"/>
        <v>0.17570577383207908</v>
      </c>
      <c r="I97" s="6">
        <f t="shared" si="41"/>
        <v>0.27922664800134478</v>
      </c>
      <c r="J97" s="6">
        <f t="shared" si="41"/>
        <v>0.22425896731564454</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93"/>
      <c r="G100" s="97" t="s">
        <v>220</v>
      </c>
    </row>
    <row r="101" spans="1:17" ht="15.75" customHeight="1" x14ac:dyDescent="0.15">
      <c r="A101" s="10"/>
      <c r="B101" s="26" t="s">
        <v>3</v>
      </c>
      <c r="C101" s="198">
        <f>BS!G32</f>
        <v>51420385832</v>
      </c>
      <c r="D101" s="26"/>
      <c r="E101" s="294"/>
      <c r="F101" s="26"/>
      <c r="G101" s="183">
        <f t="shared" ref="G101:Q101" si="42">IF(G$4="","",G105+G104)</f>
        <v>51420385832</v>
      </c>
      <c r="H101" s="183">
        <f t="shared" si="42"/>
        <v>49256011349</v>
      </c>
      <c r="I101" s="183">
        <f t="shared" si="42"/>
        <v>50311699796</v>
      </c>
      <c r="J101" s="183">
        <f t="shared" si="42"/>
        <v>46563004491</v>
      </c>
      <c r="K101" s="183">
        <f t="shared" si="42"/>
        <v>41514185835</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15">
      <c r="A102" s="10"/>
      <c r="B102" s="93" t="s">
        <v>211</v>
      </c>
      <c r="C102" s="199">
        <f>BS!C4</f>
        <v>185704725</v>
      </c>
      <c r="D102" s="89"/>
      <c r="E102" s="295"/>
      <c r="F102" s="89"/>
      <c r="G102" s="185">
        <f>IF(G$4="","",Data!D77)</f>
        <v>100391321</v>
      </c>
      <c r="H102" s="185">
        <f>IF(H$4="","",Data!E77)</f>
        <v>124099728</v>
      </c>
      <c r="I102" s="185">
        <f>IF(I$4="","",Data!F77)</f>
        <v>124929816</v>
      </c>
      <c r="J102" s="185">
        <f>IF(J$4="","",Data!G77)</f>
        <v>125155008</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15">
      <c r="A103" s="10"/>
      <c r="B103" s="93" t="s">
        <v>212</v>
      </c>
      <c r="C103" s="199">
        <f>BS!C6+BS!C7</f>
        <v>3576387537</v>
      </c>
      <c r="D103" s="89"/>
      <c r="E103" s="295"/>
      <c r="F103" s="89"/>
      <c r="G103" s="185">
        <f>IF(G$4="","",Data!D78)</f>
        <v>3539828305</v>
      </c>
      <c r="H103" s="185">
        <f>IF(H$4="","",Data!E78)</f>
        <v>4152187132</v>
      </c>
      <c r="I103" s="185">
        <f>IF(I$4="","",Data!F78)</f>
        <v>3492997857</v>
      </c>
      <c r="J103" s="185">
        <f>IF(J$4="","",Data!G78)</f>
        <v>3281033526</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15">
      <c r="A104" s="10"/>
      <c r="B104" s="26" t="s">
        <v>40</v>
      </c>
      <c r="C104" s="198">
        <f>BS!G30</f>
        <v>21560843821</v>
      </c>
      <c r="D104" s="26"/>
      <c r="E104" s="294"/>
      <c r="F104" s="26"/>
      <c r="G104" s="183">
        <f>Data!C79</f>
        <v>21560843821</v>
      </c>
      <c r="H104" s="183">
        <f>Data!D79</f>
        <v>21001264174</v>
      </c>
      <c r="I104" s="183">
        <f>Data!E79</f>
        <v>24039387261</v>
      </c>
      <c r="J104" s="183">
        <f>Data!F79</f>
        <v>22769313149</v>
      </c>
      <c r="K104" s="183">
        <f>Data!G79</f>
        <v>20146133669</v>
      </c>
      <c r="L104" s="183" t="str">
        <f>Data!H79</f>
        <v/>
      </c>
      <c r="M104" s="183" t="str">
        <f>Data!I79</f>
        <v/>
      </c>
      <c r="N104" s="183" t="str">
        <f>Data!J79</f>
        <v/>
      </c>
      <c r="O104" s="183" t="str">
        <f>Data!K79</f>
        <v/>
      </c>
      <c r="P104" s="183" t="str">
        <f>Data!L79</f>
        <v/>
      </c>
      <c r="Q104" s="183" t="str">
        <f>Data!M79</f>
        <v/>
      </c>
    </row>
    <row r="105" spans="1:17" ht="15.75" customHeight="1" x14ac:dyDescent="0.15">
      <c r="A105" s="10"/>
      <c r="B105" s="26" t="s">
        <v>30</v>
      </c>
      <c r="C105" s="198">
        <f>BS!G27</f>
        <v>29859542011</v>
      </c>
      <c r="D105" s="26"/>
      <c r="E105" s="294"/>
      <c r="F105" s="26"/>
      <c r="G105" s="183">
        <f>Data!C80</f>
        <v>29859542011</v>
      </c>
      <c r="H105" s="183">
        <f>Data!D80</f>
        <v>28254747175</v>
      </c>
      <c r="I105" s="183">
        <f>Data!E80</f>
        <v>26272312535</v>
      </c>
      <c r="J105" s="183">
        <f>Data!F80</f>
        <v>23793691342</v>
      </c>
      <c r="K105" s="183">
        <f>Data!G80</f>
        <v>21368052166</v>
      </c>
      <c r="L105" s="183" t="str">
        <f>Data!H80</f>
        <v/>
      </c>
      <c r="M105" s="183" t="str">
        <f>Data!I80</f>
        <v/>
      </c>
      <c r="N105" s="183" t="str">
        <f>Data!J80</f>
        <v/>
      </c>
      <c r="O105" s="183" t="str">
        <f>Data!K80</f>
        <v/>
      </c>
      <c r="P105" s="183" t="str">
        <f>Data!L80</f>
        <v/>
      </c>
      <c r="Q105" s="183" t="str">
        <f>Data!M80</f>
        <v/>
      </c>
    </row>
    <row r="106" spans="1:17" ht="15.75" customHeight="1" x14ac:dyDescent="0.15">
      <c r="A106" s="10"/>
      <c r="E106" s="293"/>
    </row>
    <row r="107" spans="1:17" ht="15.75" customHeight="1" x14ac:dyDescent="0.15">
      <c r="A107" s="10"/>
      <c r="B107" s="91" t="s">
        <v>221</v>
      </c>
      <c r="C107" s="26"/>
      <c r="D107" s="26"/>
      <c r="E107" s="294"/>
      <c r="F107" s="26"/>
      <c r="G107" s="97" t="s">
        <v>220</v>
      </c>
      <c r="H107" s="12"/>
      <c r="I107" s="12"/>
      <c r="J107" s="12"/>
      <c r="K107" s="12"/>
      <c r="L107" s="12"/>
      <c r="M107" s="12"/>
      <c r="N107" s="12"/>
      <c r="O107" s="12"/>
      <c r="P107" s="12"/>
      <c r="Q107" s="12"/>
    </row>
    <row r="108" spans="1:17" ht="15.75" customHeight="1" x14ac:dyDescent="0.15">
      <c r="A108" s="10"/>
      <c r="B108" s="26" t="s">
        <v>218</v>
      </c>
      <c r="C108" s="94">
        <f>C102/C$4</f>
        <v>5.7846206957679613E-3</v>
      </c>
      <c r="D108" s="26"/>
      <c r="E108" s="294"/>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15">
      <c r="A109" s="10"/>
      <c r="B109" s="26" t="s">
        <v>219</v>
      </c>
      <c r="C109" s="94">
        <f>C103/C$4</f>
        <v>0.11140290244427979</v>
      </c>
      <c r="D109" s="26"/>
      <c r="E109" s="294"/>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15">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x14ac:dyDescent="0.15">
      <c r="A111" s="10"/>
      <c r="E111" s="293"/>
    </row>
    <row r="112" spans="1:17" ht="15.75" customHeight="1" x14ac:dyDescent="0.15">
      <c r="A112" s="10"/>
      <c r="B112" s="64" t="s">
        <v>51</v>
      </c>
      <c r="E112" s="293"/>
    </row>
    <row r="113" spans="1:17" ht="15.75" customHeight="1" x14ac:dyDescent="0.15">
      <c r="A113" s="10"/>
      <c r="B113" s="2" t="s">
        <v>392</v>
      </c>
      <c r="C113" s="170"/>
      <c r="E113" s="293"/>
      <c r="G113" s="323">
        <f>IF(G$4="","",Data!C$22/Data!C15)</f>
        <v>1.1475773379531717</v>
      </c>
      <c r="H113" s="323">
        <f>IF(H$4="","",Data!D$22/Data!D15)</f>
        <v>0.63878566471951048</v>
      </c>
      <c r="I113" s="323">
        <f>IF(I$4="","",Data!E$22/Data!E15)</f>
        <v>1.2822939471944179</v>
      </c>
      <c r="J113" s="323">
        <f>IF(J$4="","",Data!F$22/Data!F15)</f>
        <v>1.8558534606930408</v>
      </c>
      <c r="K113" s="323">
        <f>IF(K$4="","",Data!G$22/Data!G15)</f>
        <v>2.1287016617311294</v>
      </c>
      <c r="L113" s="323" t="str">
        <f>IF(L$4="","",Data!H$22/Data!H15)</f>
        <v/>
      </c>
      <c r="M113" s="323" t="str">
        <f>IF(M$4="","",Data!I$22/Data!I15)</f>
        <v/>
      </c>
      <c r="N113" s="323" t="str">
        <f>IF(N$4="","",Data!J$22/Data!J15)</f>
        <v/>
      </c>
      <c r="O113" s="323" t="str">
        <f>IF(O$4="","",Data!K$22/Data!K15)</f>
        <v/>
      </c>
      <c r="P113" s="323" t="str">
        <f>IF(P$4="","",Data!L$22/Data!L15)</f>
        <v/>
      </c>
      <c r="Q113" s="323" t="str">
        <f>IF(Q$4="","",Data!M$22/Data!M15)</f>
        <v/>
      </c>
    </row>
    <row r="114" spans="1:17" ht="15.75" customHeight="1" x14ac:dyDescent="0.15">
      <c r="A114" s="10"/>
      <c r="B114" s="2" t="s">
        <v>393</v>
      </c>
      <c r="C114" s="170"/>
      <c r="E114" s="293"/>
      <c r="G114" s="323">
        <f>IF(G$4="","",Data!C$22/G19)</f>
        <v>1.6338424419576489</v>
      </c>
      <c r="H114" s="323">
        <f>IF(H$4="","",Data!D$22/H19)</f>
        <v>0.90439882552191531</v>
      </c>
      <c r="I114" s="323">
        <f>IF(I$4="","",Data!E$22/I19)</f>
        <v>1.8952025466604534</v>
      </c>
      <c r="J114" s="323">
        <f>IF(J$4="","",Data!F$22/J19)</f>
        <v>3.551472360706962</v>
      </c>
      <c r="K114" s="323">
        <f>IF(K$4="","",Data!G$22/K19)</f>
        <v>3.4573134527451335</v>
      </c>
      <c r="L114" s="323" t="str">
        <f>IF(L$4="","",Data!H$22/L19)</f>
        <v/>
      </c>
      <c r="M114" s="323" t="str">
        <f>IF(M$4="","",Data!I$22/M19)</f>
        <v/>
      </c>
      <c r="N114" s="323" t="str">
        <f>IF(N$4="","",Data!J$22/N19)</f>
        <v/>
      </c>
      <c r="O114" s="323" t="str">
        <f>IF(O$4="","",Data!K$22/O19)</f>
        <v/>
      </c>
      <c r="P114" s="323" t="str">
        <f>IF(P$4="","",Data!L$22/P19)</f>
        <v/>
      </c>
      <c r="Q114" s="323" t="str">
        <f>IF(Q$4="","",Data!M$22/Q19)</f>
        <v/>
      </c>
    </row>
    <row r="115" spans="1:17" ht="15.75" customHeight="1" x14ac:dyDescent="0.15">
      <c r="A115" s="10"/>
      <c r="E115" s="293"/>
    </row>
    <row r="116" spans="1:17" ht="15.75" customHeight="1" x14ac:dyDescent="0.15">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0.12564000888826013</v>
      </c>
      <c r="E117" s="293"/>
      <c r="G117" s="23">
        <f t="shared" ref="G117:Q117" si="45">G81</f>
        <v>0.14597876443595462</v>
      </c>
      <c r="H117" s="23">
        <f t="shared" si="45"/>
        <v>0.13406591523513367</v>
      </c>
      <c r="I117" s="23">
        <f t="shared" si="45"/>
        <v>0.12028594124905127</v>
      </c>
      <c r="J117" s="23">
        <f t="shared" si="45"/>
        <v>0.10027905855417907</v>
      </c>
      <c r="K117" s="23">
        <f t="shared" si="45"/>
        <v>8.9012569194314203E-2</v>
      </c>
      <c r="L117" s="23" t="str">
        <f t="shared" si="45"/>
        <v/>
      </c>
      <c r="M117" s="23" t="str">
        <f t="shared" si="45"/>
        <v/>
      </c>
      <c r="N117" s="23" t="str">
        <f t="shared" si="45"/>
        <v/>
      </c>
      <c r="O117" s="23" t="str">
        <f t="shared" si="45"/>
        <v/>
      </c>
      <c r="P117" s="23" t="str">
        <f t="shared" si="45"/>
        <v/>
      </c>
      <c r="Q117" s="23" t="str">
        <f t="shared" si="45"/>
        <v/>
      </c>
    </row>
    <row r="118" spans="1:17" ht="15.75" customHeight="1" x14ac:dyDescent="0.15">
      <c r="B118" s="7" t="s">
        <v>84</v>
      </c>
      <c r="C118" s="42">
        <f>C4/C101</f>
        <v>0.62432788948992113</v>
      </c>
      <c r="E118" s="293"/>
      <c r="G118" s="42">
        <f t="shared" ref="G118:Q118" si="46">IF(G4="","",G4/G101)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x14ac:dyDescent="0.15">
      <c r="B119" s="7" t="s">
        <v>92</v>
      </c>
      <c r="C119" s="15">
        <f>C101/C105</f>
        <v>1.7220755031358876</v>
      </c>
      <c r="D119" s="11"/>
      <c r="E119" s="297"/>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x14ac:dyDescent="0.15">
      <c r="A120" s="10"/>
      <c r="B120" s="70" t="s">
        <v>223</v>
      </c>
      <c r="C120" s="102">
        <f>C8/C105</f>
        <v>0.1298770111369795</v>
      </c>
      <c r="D120" s="103"/>
      <c r="E120" s="296"/>
      <c r="F120" s="103"/>
      <c r="G120" s="102">
        <f t="shared" ref="G120:Q120" si="48">IF(G$4="","",G8/G105)</f>
        <v>0.15029676528014849</v>
      </c>
      <c r="H120" s="102">
        <f t="shared" si="48"/>
        <v>0.15589838694070707</v>
      </c>
      <c r="I120" s="102">
        <f t="shared" si="48"/>
        <v>0.14186340939857428</v>
      </c>
      <c r="J120" s="102">
        <f t="shared" si="48"/>
        <v>0.12341629677344412</v>
      </c>
      <c r="K120" s="102">
        <f t="shared" si="48"/>
        <v>0.10838430821902739</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9" t="s">
        <v>171</v>
      </c>
      <c r="C123" s="180"/>
      <c r="D123" s="27"/>
      <c r="E123" s="290"/>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(HKD)</v>
      </c>
      <c r="C124" s="178">
        <f>C16*$C$3/Common_Shares*Exchange_Rate</f>
        <v>2.2867578397895612</v>
      </c>
      <c r="D124" s="27"/>
      <c r="E124" s="290"/>
      <c r="F124" s="27"/>
      <c r="G124" s="178">
        <f t="shared" ref="G124:Q124" si="49">IF(G$4="","",G16*$C$3/Common_Shares*Exchange_Rate)</f>
        <v>2.5064074681802135</v>
      </c>
      <c r="H124" s="178">
        <f t="shared" si="49"/>
        <v>2.4398678550661104</v>
      </c>
      <c r="I124" s="178">
        <f t="shared" si="49"/>
        <v>2.0451094730116743</v>
      </c>
      <c r="J124" s="178">
        <f t="shared" si="49"/>
        <v>1.3518045204234892</v>
      </c>
      <c r="K124" s="178">
        <f t="shared" si="49"/>
        <v>1.1382255595351345</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15">
      <c r="A125" s="10"/>
      <c r="B125" s="27" t="s">
        <v>270</v>
      </c>
      <c r="C125" s="77">
        <f>C19*Exchange_Rate*$C$3/(Market_Price*Common_Shares)</f>
        <v>4.1351859670697315E-2</v>
      </c>
      <c r="D125" s="27"/>
      <c r="E125" s="290"/>
      <c r="F125" s="27"/>
      <c r="G125" s="77">
        <f t="shared" ref="G125" si="50">IF(G$4="","",G124/Market_Price)</f>
        <v>4.5323824017725382E-2</v>
      </c>
      <c r="H125" s="77">
        <f t="shared" ref="H125" si="51">IF(H$4="","",H124/Market_Price)</f>
        <v>4.4120576040978493E-2</v>
      </c>
      <c r="I125" s="77">
        <f t="shared" ref="I125" si="52">IF(I$4="","",I124/Market_Price)</f>
        <v>3.6982088119560115E-2</v>
      </c>
      <c r="J125" s="77">
        <f t="shared" ref="J125" si="53">IF(J$4="","",J124/Market_Price)</f>
        <v>2.4444928036591127E-2</v>
      </c>
      <c r="K125" s="77">
        <f t="shared" ref="K125" si="54">IF(K$4="","",K124/Market_Price)</f>
        <v>2.0582740678754693E-2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15">
      <c r="B126" s="2" t="s">
        <v>395</v>
      </c>
      <c r="C126" s="170"/>
      <c r="G126" s="23">
        <f>IF(G$4="","",(Data!C47*$C$3)/(Market_Price*Common_Shares))</f>
        <v>5.9540983314264877E-2</v>
      </c>
      <c r="H126" s="23">
        <f>IF(H$4="","",(Data!D47*$C$3)/(Market_Price*Common_Shares))</f>
        <v>5.7637780699988365E-2</v>
      </c>
      <c r="I126" s="23">
        <f>IF(I$4="","",(Data!E47*$C$3)/(Market_Price*Common_Shares))</f>
        <v>5.0433686684178851E-2</v>
      </c>
      <c r="J126" s="23">
        <f>IF(J$4="","",(Data!F47*$C$3)/(Market_Price*Common_Shares))</f>
        <v>4.3163312756650099E-2</v>
      </c>
      <c r="K126" s="23">
        <f>IF(K$4="","",(Data!G47*$C$3)/(Market_Price*Common_Shares))</f>
        <v>3.0845258007405733E-2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1" t="s">
        <v>59</v>
      </c>
    </row>
    <row r="3" spans="2:8" x14ac:dyDescent="0.15">
      <c r="B3" s="109" t="s">
        <v>164</v>
      </c>
      <c r="C3" s="107">
        <f>scaling_factor</f>
        <v>1</v>
      </c>
      <c r="E3" s="109" t="s">
        <v>125</v>
      </c>
      <c r="H3" s="121"/>
    </row>
    <row r="4" spans="2:8" x14ac:dyDescent="0.15">
      <c r="B4" s="100" t="s">
        <v>129</v>
      </c>
      <c r="C4" s="110">
        <f>Normalized_FCF!C19</f>
        <v>2878448391.701438</v>
      </c>
      <c r="D4" t="str">
        <f>Reporting_currency</f>
        <v>CNY</v>
      </c>
      <c r="E4" s="100" t="s">
        <v>251</v>
      </c>
      <c r="F4" s="135">
        <f>Terminal_Growth</f>
        <v>0</v>
      </c>
      <c r="H4" s="121"/>
    </row>
    <row r="5" spans="2:8" x14ac:dyDescent="0.15">
      <c r="B5" s="225" t="s">
        <v>124</v>
      </c>
      <c r="C5" s="226">
        <f>Equity_Cost</f>
        <v>0.08</v>
      </c>
      <c r="E5" s="149"/>
      <c r="H5" s="121"/>
    </row>
    <row r="6" spans="2:8" ht="13.25" customHeight="1" x14ac:dyDescent="0.15">
      <c r="B6" s="150" t="s">
        <v>229</v>
      </c>
      <c r="C6" s="230">
        <f>(C4*(1+Terminal_Growth))/(Equity_Cost-Terminal_Growth)</f>
        <v>35980604896.267975</v>
      </c>
      <c r="D6" t="str">
        <f>Reporting_currency</f>
        <v>CNY</v>
      </c>
      <c r="E6" s="354" t="s">
        <v>250</v>
      </c>
      <c r="F6" s="354"/>
      <c r="H6" s="121"/>
    </row>
    <row r="7" spans="2:8" x14ac:dyDescent="0.15">
      <c r="B7" s="149" t="s">
        <v>225</v>
      </c>
      <c r="C7" s="224">
        <f>BS!G31</f>
        <v>285396383</v>
      </c>
      <c r="D7" t="str">
        <f>Reporting_currency</f>
        <v>CNY</v>
      </c>
      <c r="E7" s="354"/>
      <c r="F7" s="354"/>
      <c r="H7" s="121"/>
    </row>
    <row r="8" spans="2:8" x14ac:dyDescent="0.15">
      <c r="B8" s="149" t="s">
        <v>226</v>
      </c>
      <c r="C8" s="115">
        <f>BS!D66</f>
        <v>12813047036.198811</v>
      </c>
      <c r="D8" t="str">
        <f>Reporting_currency</f>
        <v>CNY</v>
      </c>
      <c r="E8" s="354"/>
      <c r="F8" s="354"/>
      <c r="H8" s="121"/>
    </row>
    <row r="9" spans="2:8" x14ac:dyDescent="0.15">
      <c r="B9" s="225" t="s">
        <v>191</v>
      </c>
      <c r="C9" s="227">
        <f>BS!H42</f>
        <v>2755411575.5</v>
      </c>
      <c r="D9" t="str">
        <f>Reporting_currency</f>
        <v>CNY</v>
      </c>
      <c r="E9" s="354"/>
      <c r="F9" s="354"/>
      <c r="H9" s="121"/>
    </row>
    <row r="10" spans="2:8" x14ac:dyDescent="0.15">
      <c r="B10" s="150" t="s">
        <v>228</v>
      </c>
      <c r="C10" s="230">
        <f>C6-C7+C8+C9</f>
        <v>51263667124.966782</v>
      </c>
      <c r="D10" t="str">
        <f>Reporting_currency</f>
        <v>CNY</v>
      </c>
      <c r="H10" s="121"/>
    </row>
    <row r="11" spans="2:8" ht="14" thickBot="1" x14ac:dyDescent="0.2">
      <c r="B11" s="228" t="s">
        <v>167</v>
      </c>
      <c r="C11" s="229">
        <f>Exchange_Rate</f>
        <v>1.0837740600000001</v>
      </c>
      <c r="D11" t="str">
        <f>Thesis!C15</f>
        <v>CNY/HKD</v>
      </c>
      <c r="H11" s="121"/>
    </row>
    <row r="12" spans="2:8" ht="14" thickTop="1" x14ac:dyDescent="0.15">
      <c r="B12" s="150" t="s">
        <v>103</v>
      </c>
      <c r="C12" s="112">
        <f>(C10*scaling_factor)/Common_Shares*Exchange_Rate</f>
        <v>40.725966472891137</v>
      </c>
      <c r="D12" t="str">
        <f>Market_currency</f>
        <v>HKD</v>
      </c>
      <c r="H12" s="121"/>
    </row>
    <row r="13" spans="2:8" x14ac:dyDescent="0.15">
      <c r="H13" s="121"/>
    </row>
    <row r="14" spans="2:8" ht="16" x14ac:dyDescent="0.25">
      <c r="B14" s="36" t="s">
        <v>230</v>
      </c>
      <c r="C14" s="37"/>
      <c r="D14" s="37"/>
      <c r="E14" s="37"/>
      <c r="F14" s="37"/>
      <c r="H14" s="121"/>
    </row>
    <row r="15" spans="2:8" x14ac:dyDescent="0.15">
      <c r="B15" s="120" t="s">
        <v>136</v>
      </c>
      <c r="H15" s="121"/>
    </row>
    <row r="16" spans="2:8" ht="13.25" customHeight="1" x14ac:dyDescent="0.15">
      <c r="B16" s="153" t="s">
        <v>134</v>
      </c>
      <c r="C16" s="162">
        <f>Scenarios!C65</f>
        <v>6.1165848114484E-2</v>
      </c>
      <c r="H16" s="121"/>
    </row>
    <row r="17" spans="2:8" ht="13.25" customHeight="1" x14ac:dyDescent="0.15">
      <c r="B17" s="119" t="s">
        <v>135</v>
      </c>
      <c r="C17" s="163">
        <f>Scenarios!C64</f>
        <v>30</v>
      </c>
      <c r="H17" s="121"/>
    </row>
    <row r="18" spans="2:8" ht="13.25" customHeight="1" x14ac:dyDescent="0.15">
      <c r="B18" s="154" t="s">
        <v>107</v>
      </c>
      <c r="C18" s="141">
        <f>(F52-C7+C8+C9)*Exchange_Rate/Common_Shares*scaling_factor</f>
        <v>67.992783781119726</v>
      </c>
      <c r="D18" t="str">
        <f>Market_currency</f>
        <v>HKD</v>
      </c>
      <c r="H18" s="121"/>
    </row>
    <row r="19" spans="2:8" x14ac:dyDescent="0.15">
      <c r="H19" s="121"/>
    </row>
    <row r="20" spans="2:8" ht="14" x14ac:dyDescent="0.2">
      <c r="B20" s="129" t="s">
        <v>108</v>
      </c>
      <c r="C20" s="129" t="s">
        <v>109</v>
      </c>
      <c r="D20" s="129" t="s">
        <v>119</v>
      </c>
      <c r="E20" s="129" t="s">
        <v>110</v>
      </c>
      <c r="F20" s="130" t="s">
        <v>111</v>
      </c>
      <c r="H20" s="121"/>
    </row>
    <row r="21" spans="2:8" x14ac:dyDescent="0.15">
      <c r="B21" s="123">
        <v>1</v>
      </c>
      <c r="C21" s="124">
        <f>C4*(1+D21)</f>
        <v>3054511128.8336287</v>
      </c>
      <c r="D21" s="139">
        <f>IF($C$17&lt;B21,0,DCF!$C$16)</f>
        <v>6.1165848114484E-2</v>
      </c>
      <c r="E21" s="125">
        <f t="shared" ref="E21:E50" si="0">IF($C$17&lt;B21,0,1/(1+Equity_Cost)^B21)</f>
        <v>0.92592592592592582</v>
      </c>
      <c r="F21" s="126">
        <f t="shared" ref="F21:F51" si="1">C21*E21</f>
        <v>2828251045.2163224</v>
      </c>
      <c r="H21" s="121"/>
    </row>
    <row r="22" spans="2:8" x14ac:dyDescent="0.15">
      <c r="B22" s="123">
        <v>2</v>
      </c>
      <c r="C22" s="124">
        <f t="shared" ref="C22:C50" si="2">IF(ROW()-ROW($C$21)&lt;$C$17, $C$21*(1+D22)^(ROW()-ROW($C$21)), 0)</f>
        <v>3241342892.6038671</v>
      </c>
      <c r="D22" s="139">
        <f>IF($C$17&lt;B22,0,DCF!$C$16)</f>
        <v>6.1165848114484E-2</v>
      </c>
      <c r="E22" s="125">
        <f t="shared" si="0"/>
        <v>0.85733882030178321</v>
      </c>
      <c r="F22" s="126">
        <f t="shared" si="1"/>
        <v>2778929091.7385688</v>
      </c>
      <c r="H22" s="121"/>
    </row>
    <row r="23" spans="2:8" x14ac:dyDescent="0.15">
      <c r="B23" s="123">
        <v>3</v>
      </c>
      <c r="C23" s="124">
        <f t="shared" si="2"/>
        <v>3439602379.6598368</v>
      </c>
      <c r="D23" s="139">
        <f>IF($C$17&lt;B23,0,DCF!$C$16)</f>
        <v>6.1165848114484E-2</v>
      </c>
      <c r="E23" s="125">
        <f t="shared" si="0"/>
        <v>0.79383224102016958</v>
      </c>
      <c r="F23" s="126">
        <f t="shared" si="1"/>
        <v>2730467265.2636762</v>
      </c>
      <c r="H23" s="121"/>
    </row>
    <row r="24" spans="2:8" x14ac:dyDescent="0.15">
      <c r="B24" s="123">
        <v>4</v>
      </c>
      <c r="C24" s="124">
        <f t="shared" si="2"/>
        <v>3649988576.3883276</v>
      </c>
      <c r="D24" s="139">
        <f>IF($C$17&lt;B24,0,DCF!$C$16)</f>
        <v>6.1165848114484E-2</v>
      </c>
      <c r="E24" s="125">
        <f t="shared" si="0"/>
        <v>0.73502985279645328</v>
      </c>
      <c r="F24" s="126">
        <f t="shared" si="1"/>
        <v>2682850566.0114484</v>
      </c>
      <c r="H24" s="121"/>
    </row>
    <row r="25" spans="2:8" x14ac:dyDescent="0.15">
      <c r="B25" s="123">
        <v>5</v>
      </c>
      <c r="C25" s="124">
        <f t="shared" si="2"/>
        <v>3873243223.2712975</v>
      </c>
      <c r="D25" s="139">
        <f>IF($C$17&lt;B25,0,DCF!$C$16)</f>
        <v>6.1165848114484E-2</v>
      </c>
      <c r="E25" s="125">
        <f t="shared" si="0"/>
        <v>0.68058319703375303</v>
      </c>
      <c r="F25" s="126">
        <f t="shared" si="1"/>
        <v>2636064255.783298</v>
      </c>
      <c r="H25" s="121"/>
    </row>
    <row r="26" spans="2:8" x14ac:dyDescent="0.15">
      <c r="B26" s="123">
        <v>6</v>
      </c>
      <c r="C26" s="124">
        <f t="shared" si="2"/>
        <v>4110153429.9763637</v>
      </c>
      <c r="D26" s="139">
        <f>IF($C$17&lt;B26,0,DCF!$C$16)</f>
        <v>6.1165848114484E-2</v>
      </c>
      <c r="E26" s="125">
        <f t="shared" si="0"/>
        <v>0.63016962688310452</v>
      </c>
      <c r="F26" s="126">
        <f t="shared" si="1"/>
        <v>2590093853.4005175</v>
      </c>
      <c r="H26" s="121"/>
    </row>
    <row r="27" spans="2:8" x14ac:dyDescent="0.15">
      <c r="B27" s="123">
        <v>7</v>
      </c>
      <c r="C27" s="124">
        <f t="shared" si="2"/>
        <v>4361554450.4015226</v>
      </c>
      <c r="D27" s="139">
        <f>IF($C$17&lt;B27,0,DCF!$C$16)</f>
        <v>6.1165848114484E-2</v>
      </c>
      <c r="E27" s="125">
        <f t="shared" si="0"/>
        <v>0.58349039526213387</v>
      </c>
      <c r="F27" s="126">
        <f t="shared" si="1"/>
        <v>2544925130.2221036</v>
      </c>
      <c r="H27" s="121"/>
    </row>
    <row r="28" spans="2:8" x14ac:dyDescent="0.15">
      <c r="B28" s="123">
        <v>8</v>
      </c>
      <c r="C28" s="124">
        <f t="shared" si="2"/>
        <v>4628332627.4578333</v>
      </c>
      <c r="D28" s="139">
        <f>IF($C$17&lt;B28,0,DCF!$C$16)</f>
        <v>6.1165848114484E-2</v>
      </c>
      <c r="E28" s="125">
        <f t="shared" si="0"/>
        <v>0.54026888450197574</v>
      </c>
      <c r="F28" s="126">
        <f t="shared" si="1"/>
        <v>2500544105.7407422</v>
      </c>
      <c r="H28" s="121"/>
    </row>
    <row r="29" spans="2:8" x14ac:dyDescent="0.15">
      <c r="B29" s="123">
        <v>9</v>
      </c>
      <c r="C29" s="124">
        <f t="shared" si="2"/>
        <v>4911428517.97223</v>
      </c>
      <c r="D29" s="139">
        <f>IF($C$17&lt;B29,0,DCF!$C$16)</f>
        <v>6.1165848114484E-2</v>
      </c>
      <c r="E29" s="125">
        <f t="shared" si="0"/>
        <v>0.50024896713145905</v>
      </c>
      <c r="F29" s="126">
        <f t="shared" si="1"/>
        <v>2456937043.2556009</v>
      </c>
      <c r="H29" s="121"/>
    </row>
    <row r="30" spans="2:8" x14ac:dyDescent="0.15">
      <c r="B30" s="123">
        <v>10</v>
      </c>
      <c r="C30" s="124">
        <f t="shared" si="2"/>
        <v>5211840208.727664</v>
      </c>
      <c r="D30" s="139">
        <f>IF($C$17&lt;B30,0,DCF!$C$16)</f>
        <v>6.1165848114484E-2</v>
      </c>
      <c r="E30" s="125">
        <f t="shared" si="0"/>
        <v>0.46319348808468425</v>
      </c>
      <c r="F30" s="126">
        <f t="shared" si="1"/>
        <v>2414090445.6205754</v>
      </c>
      <c r="H30" s="121"/>
    </row>
    <row r="31" spans="2:8" x14ac:dyDescent="0.15">
      <c r="B31" s="123">
        <v>11</v>
      </c>
      <c r="C31" s="124">
        <f t="shared" si="2"/>
        <v>5530626835.3316593</v>
      </c>
      <c r="D31" s="139">
        <f>IF($C$17&lt;B31,0,DCF!$C$16)</f>
        <v>6.1165848114484E-2</v>
      </c>
      <c r="E31" s="125">
        <f t="shared" si="0"/>
        <v>0.42888285933767062</v>
      </c>
      <c r="F31" s="126">
        <f t="shared" si="1"/>
        <v>2371991051.0666943</v>
      </c>
      <c r="H31" s="121"/>
    </row>
    <row r="32" spans="2:8" x14ac:dyDescent="0.15">
      <c r="B32" s="123">
        <v>12</v>
      </c>
      <c r="C32" s="124">
        <f t="shared" si="2"/>
        <v>5868912316.3194447</v>
      </c>
      <c r="D32" s="139">
        <f>IF($C$17&lt;B32,0,DCF!$C$16)</f>
        <v>6.1165848114484E-2</v>
      </c>
      <c r="E32" s="125">
        <f t="shared" si="0"/>
        <v>0.39711375864599124</v>
      </c>
      <c r="F32" s="126">
        <f t="shared" si="1"/>
        <v>2330625829.0973654</v>
      </c>
      <c r="H32" s="121"/>
    </row>
    <row r="33" spans="2:8" x14ac:dyDescent="0.15">
      <c r="B33" s="123">
        <v>13</v>
      </c>
      <c r="C33" s="124">
        <f t="shared" si="2"/>
        <v>6227889315.6566629</v>
      </c>
      <c r="D33" s="139">
        <f>IF($C$17&lt;B33,0,DCF!$C$16)</f>
        <v>6.1165848114484E-2</v>
      </c>
      <c r="E33" s="125">
        <f t="shared" si="0"/>
        <v>0.36769792467221413</v>
      </c>
      <c r="F33" s="126">
        <f t="shared" si="1"/>
        <v>2289981976.4552107</v>
      </c>
      <c r="H33" s="121"/>
    </row>
    <row r="34" spans="2:8" x14ac:dyDescent="0.15">
      <c r="B34" s="123">
        <v>14</v>
      </c>
      <c r="C34" s="124">
        <f t="shared" si="2"/>
        <v>6608823447.6119366</v>
      </c>
      <c r="D34" s="139">
        <f>IF($C$17&lt;B34,0,DCF!$C$16)</f>
        <v>6.1165848114484E-2</v>
      </c>
      <c r="E34" s="125">
        <f t="shared" si="0"/>
        <v>0.34046104136316119</v>
      </c>
      <c r="F34" s="126">
        <f t="shared" si="1"/>
        <v>2250046913.1592369</v>
      </c>
      <c r="H34" s="121"/>
    </row>
    <row r="35" spans="2:8" x14ac:dyDescent="0.15">
      <c r="B35" s="123">
        <v>15</v>
      </c>
      <c r="C35" s="124">
        <f t="shared" si="2"/>
        <v>7013057738.824007</v>
      </c>
      <c r="D35" s="139">
        <f>IF($C$17&lt;B35,0,DCF!$C$16)</f>
        <v>6.1165848114484E-2</v>
      </c>
      <c r="E35" s="125">
        <f t="shared" si="0"/>
        <v>0.31524170496588994</v>
      </c>
      <c r="F35" s="126">
        <f t="shared" si="1"/>
        <v>2210808278.6111088</v>
      </c>
      <c r="H35" s="121"/>
    </row>
    <row r="36" spans="2:8" x14ac:dyDescent="0.15">
      <c r="B36" s="123">
        <v>16</v>
      </c>
      <c r="C36" s="124">
        <f t="shared" si="2"/>
        <v>7442017363.2950211</v>
      </c>
      <c r="D36" s="139">
        <f>IF($C$17&lt;B36,0,DCF!$C$16)</f>
        <v>6.1165848114484E-2</v>
      </c>
      <c r="E36" s="125">
        <f t="shared" si="0"/>
        <v>0.29189046756100923</v>
      </c>
      <c r="F36" s="126">
        <f t="shared" si="1"/>
        <v>2172253927.7693329</v>
      </c>
      <c r="H36" s="121"/>
    </row>
    <row r="37" spans="2:8" x14ac:dyDescent="0.15">
      <c r="B37" s="123">
        <v>17</v>
      </c>
      <c r="C37" s="124">
        <f t="shared" si="2"/>
        <v>7897214667.0036774</v>
      </c>
      <c r="D37" s="139">
        <f>IF($C$17&lt;B37,0,DCF!$C$16)</f>
        <v>6.1165848114484E-2</v>
      </c>
      <c r="E37" s="125">
        <f t="shared" si="0"/>
        <v>0.27026895144537894</v>
      </c>
      <c r="F37" s="126">
        <f t="shared" si="1"/>
        <v>2134371927.3901513</v>
      </c>
      <c r="H37" s="121"/>
    </row>
    <row r="38" spans="2:8" x14ac:dyDescent="0.15">
      <c r="B38" s="123">
        <v>18</v>
      </c>
      <c r="C38" s="124">
        <f t="shared" si="2"/>
        <v>8380254499.8530998</v>
      </c>
      <c r="D38" s="139">
        <f>IF($C$17&lt;B38,0,DCF!$C$16)</f>
        <v>6.1165848114484E-2</v>
      </c>
      <c r="E38" s="125">
        <f t="shared" si="0"/>
        <v>0.25024902911609154</v>
      </c>
      <c r="F38" s="126">
        <f t="shared" si="1"/>
        <v>2097150552.3339956</v>
      </c>
      <c r="H38" s="121"/>
    </row>
    <row r="39" spans="2:8" x14ac:dyDescent="0.15">
      <c r="B39" s="123">
        <v>19</v>
      </c>
      <c r="C39" s="124">
        <f t="shared" si="2"/>
        <v>8892839873.751833</v>
      </c>
      <c r="D39" s="139">
        <f>IF($C$17&lt;B39,0,DCF!$C$16)</f>
        <v>6.1165848114484E-2</v>
      </c>
      <c r="E39" s="125">
        <f t="shared" si="0"/>
        <v>0.23171206399638106</v>
      </c>
      <c r="F39" s="126">
        <f t="shared" si="1"/>
        <v>2060578281.9363539</v>
      </c>
      <c r="H39" s="121"/>
    </row>
    <row r="40" spans="2:8" x14ac:dyDescent="0.15">
      <c r="B40" s="123">
        <v>20</v>
      </c>
      <c r="C40" s="124">
        <f t="shared" si="2"/>
        <v>9436777966.7761631</v>
      </c>
      <c r="D40" s="139">
        <f>IF($C$17&lt;B40,0,DCF!$C$16)</f>
        <v>6.1165848114484E-2</v>
      </c>
      <c r="E40" s="125">
        <f t="shared" si="0"/>
        <v>0.21454820740405653</v>
      </c>
      <c r="F40" s="126">
        <f t="shared" si="1"/>
        <v>2024643796.4419231</v>
      </c>
      <c r="H40" s="121"/>
    </row>
    <row r="41" spans="2:8" x14ac:dyDescent="0.15">
      <c r="B41" s="123">
        <v>21</v>
      </c>
      <c r="C41" s="124">
        <f t="shared" si="2"/>
        <v>10013986494.582104</v>
      </c>
      <c r="D41" s="139">
        <f>IF($C$17&lt;B41,0,DCF!$C$16)</f>
        <v>6.1165848114484E-2</v>
      </c>
      <c r="E41" s="125">
        <f t="shared" si="0"/>
        <v>0.19865574759634863</v>
      </c>
      <c r="F41" s="126">
        <f t="shared" si="1"/>
        <v>1989335973.5009465</v>
      </c>
      <c r="H41" s="121"/>
    </row>
    <row r="42" spans="2:8" x14ac:dyDescent="0.15">
      <c r="B42" s="123">
        <v>22</v>
      </c>
      <c r="C42" s="124">
        <f t="shared" si="2"/>
        <v>10626500471.530205</v>
      </c>
      <c r="D42" s="139">
        <f>IF($C$17&lt;B42,0,DCF!$C$16)</f>
        <v>6.1165848114484E-2</v>
      </c>
      <c r="E42" s="125">
        <f t="shared" si="0"/>
        <v>0.18394050703365611</v>
      </c>
      <c r="F42" s="126">
        <f t="shared" si="1"/>
        <v>1954643884.7266517</v>
      </c>
      <c r="H42" s="121"/>
    </row>
    <row r="43" spans="2:8" x14ac:dyDescent="0.15">
      <c r="B43" s="123">
        <v>23</v>
      </c>
      <c r="C43" s="124">
        <f t="shared" si="2"/>
        <v>11276479385.360312</v>
      </c>
      <c r="D43" s="139">
        <f>IF($C$17&lt;B43,0,DCF!$C$16)</f>
        <v>6.1165848114484E-2</v>
      </c>
      <c r="E43" s="125">
        <f t="shared" si="0"/>
        <v>0.17031528429042234</v>
      </c>
      <c r="F43" s="126">
        <f t="shared" si="1"/>
        <v>1920556792.3127284</v>
      </c>
      <c r="H43" s="121"/>
    </row>
    <row r="44" spans="2:8" x14ac:dyDescent="0.15">
      <c r="B44" s="123">
        <v>24</v>
      </c>
      <c r="C44" s="124">
        <f t="shared" si="2"/>
        <v>11966214810.711369</v>
      </c>
      <c r="D44" s="139">
        <f>IF($C$17&lt;B44,0,DCF!$C$16)</f>
        <v>6.1165848114484E-2</v>
      </c>
      <c r="E44" s="125">
        <f t="shared" si="0"/>
        <v>0.1576993373059466</v>
      </c>
      <c r="F44" s="126">
        <f t="shared" si="1"/>
        <v>1887064145.7097859</v>
      </c>
      <c r="H44" s="121"/>
    </row>
    <row r="45" spans="2:8" x14ac:dyDescent="0.15">
      <c r="B45" s="123">
        <v>25</v>
      </c>
      <c r="C45" s="124">
        <f t="shared" si="2"/>
        <v>12698138488.328629</v>
      </c>
      <c r="D45" s="139">
        <f>IF($C$17&lt;B45,0,DCF!$C$16)</f>
        <v>6.1165848114484E-2</v>
      </c>
      <c r="E45" s="125">
        <f t="shared" si="0"/>
        <v>0.1460179049129135</v>
      </c>
      <c r="F45" s="126">
        <f t="shared" si="1"/>
        <v>1854155578.3597767</v>
      </c>
      <c r="H45" s="121"/>
    </row>
    <row r="46" spans="2:8" x14ac:dyDescent="0.15">
      <c r="B46" s="123">
        <v>26</v>
      </c>
      <c r="C46" s="124">
        <f t="shared" si="2"/>
        <v>13474830898.442419</v>
      </c>
      <c r="D46" s="139">
        <f>IF($C$17&lt;B46,0,DCF!$C$16)</f>
        <v>6.1165848114484E-2</v>
      </c>
      <c r="E46" s="125">
        <f t="shared" si="0"/>
        <v>0.13520176380825324</v>
      </c>
      <c r="F46" s="126">
        <f t="shared" si="1"/>
        <v>1821820904.4873648</v>
      </c>
      <c r="H46" s="121"/>
    </row>
    <row r="47" spans="2:8" x14ac:dyDescent="0.15">
      <c r="B47" s="123">
        <v>27</v>
      </c>
      <c r="C47" s="124">
        <f t="shared" si="2"/>
        <v>14299030358.544903</v>
      </c>
      <c r="D47" s="139">
        <f>IF($C$17&lt;B47,0,DCF!$C$16)</f>
        <v>6.1165848114484E-2</v>
      </c>
      <c r="E47" s="125">
        <f t="shared" si="0"/>
        <v>0.12518681834097523</v>
      </c>
      <c r="F47" s="126">
        <f t="shared" si="1"/>
        <v>1790050115.9472506</v>
      </c>
      <c r="H47" s="121"/>
    </row>
    <row r="48" spans="2:8" x14ac:dyDescent="0.15">
      <c r="B48" s="123">
        <v>28</v>
      </c>
      <c r="C48" s="124">
        <f t="shared" si="2"/>
        <v>15173642677.640053</v>
      </c>
      <c r="D48" s="139">
        <f>IF($C$17&lt;B48,0,DCF!$C$16)</f>
        <v>6.1165848114484E-2</v>
      </c>
      <c r="E48" s="125">
        <f t="shared" si="0"/>
        <v>0.11591372068608817</v>
      </c>
      <c r="F48" s="126">
        <f t="shared" si="1"/>
        <v>1758833379.126476</v>
      </c>
      <c r="H48" s="121"/>
    </row>
    <row r="49" spans="1:8" x14ac:dyDescent="0.15">
      <c r="B49" s="123">
        <v>29</v>
      </c>
      <c r="C49" s="124">
        <f t="shared" si="2"/>
        <v>16101751401.004036</v>
      </c>
      <c r="D49" s="139">
        <f>IF($C$17&lt;B49,0,DCF!$C$16)</f>
        <v>6.1165848114484E-2</v>
      </c>
      <c r="E49" s="125">
        <f t="shared" si="0"/>
        <v>0.10732751915378534</v>
      </c>
      <c r="F49" s="126">
        <f t="shared" si="1"/>
        <v>1728161031.9007506</v>
      </c>
      <c r="H49" s="121"/>
    </row>
    <row r="50" spans="1:8" x14ac:dyDescent="0.15">
      <c r="B50" s="123">
        <v>30</v>
      </c>
      <c r="C50" s="124">
        <f t="shared" si="2"/>
        <v>17086628681.575027</v>
      </c>
      <c r="D50" s="139">
        <f>IF($C$17&lt;B50,0,DCF!$C$16)</f>
        <v>6.1165848114484E-2</v>
      </c>
      <c r="E50" s="125">
        <f t="shared" si="0"/>
        <v>9.9377332549801231E-2</v>
      </c>
      <c r="F50" s="126">
        <f t="shared" si="1"/>
        <v>1698023580.6438532</v>
      </c>
      <c r="H50" s="121"/>
    </row>
    <row r="51" spans="1:8" x14ac:dyDescent="0.15">
      <c r="B51" s="127" t="s">
        <v>132</v>
      </c>
      <c r="C51" s="124">
        <f>C$21*(1+Terminal_Growth)^$C$17/Equity_Cost</f>
        <v>38181389110.420357</v>
      </c>
      <c r="D51" s="140">
        <f>Terminal_Growth</f>
        <v>0</v>
      </c>
      <c r="E51" s="125">
        <f>1/(1+Equity_Cost)^C17</f>
        <v>9.9377332549801231E-2</v>
      </c>
      <c r="F51" s="126">
        <f t="shared" si="1"/>
        <v>3794364602.8396034</v>
      </c>
      <c r="H51" s="121"/>
    </row>
    <row r="52" spans="1:8" x14ac:dyDescent="0.15">
      <c r="C52" s="115"/>
      <c r="E52" s="128" t="s">
        <v>101</v>
      </c>
      <c r="F52" s="138">
        <f>SUM(F21:F51)</f>
        <v>70302615326.069412</v>
      </c>
      <c r="H52" s="121"/>
    </row>
    <row r="53" spans="1:8" x14ac:dyDescent="0.15">
      <c r="C53" s="115"/>
      <c r="H53" s="121"/>
    </row>
    <row r="54" spans="1:8" x14ac:dyDescent="0.15">
      <c r="B54" s="120" t="s">
        <v>130</v>
      </c>
      <c r="C54" s="137"/>
      <c r="D54" s="137"/>
      <c r="E54" s="118"/>
      <c r="F54" s="118"/>
      <c r="H54" s="121"/>
    </row>
    <row r="55" spans="1:8" x14ac:dyDescent="0.15">
      <c r="A55" s="134">
        <f>F52</f>
        <v>70302615326.069412</v>
      </c>
      <c r="B55" s="132">
        <f>C78</f>
        <v>0.02</v>
      </c>
      <c r="C55" s="132">
        <f>C77</f>
        <v>0.04</v>
      </c>
      <c r="D55" s="132">
        <f>C76</f>
        <v>0.06</v>
      </c>
      <c r="E55" s="132">
        <f>C75</f>
        <v>0.08</v>
      </c>
      <c r="F55" s="132">
        <f>C74</f>
        <v>0.1</v>
      </c>
      <c r="H55" s="121"/>
    </row>
    <row r="56" spans="1:8" x14ac:dyDescent="0.15">
      <c r="A56" s="144">
        <v>5</v>
      </c>
      <c r="B56" s="124">
        <f t="dataTable" ref="B56:F61" dt2D="1" dtr="1" r1="C16" r2="C17"/>
        <v>37141527559.038788</v>
      </c>
      <c r="C56" s="124">
        <v>38337219348.95327</v>
      </c>
      <c r="D56" s="124">
        <v>39569206047.63118</v>
      </c>
      <c r="E56" s="124">
        <v>40839060678.938385</v>
      </c>
      <c r="F56" s="124">
        <v>42148404261.252014</v>
      </c>
      <c r="H56" s="121"/>
    </row>
    <row r="57" spans="1:8" x14ac:dyDescent="0.15">
      <c r="A57" s="144">
        <v>10</v>
      </c>
      <c r="B57" s="124">
        <v>38303519248.127327</v>
      </c>
      <c r="C57" s="124">
        <v>40859252513.353546</v>
      </c>
      <c r="D57" s="124">
        <v>43675668014.161987</v>
      </c>
      <c r="E57" s="124">
        <v>46783744353.137558</v>
      </c>
      <c r="F57" s="124">
        <v>50217883892.945656</v>
      </c>
      <c r="H57" s="121"/>
    </row>
    <row r="58" spans="1:8" x14ac:dyDescent="0.15">
      <c r="A58" s="144">
        <v>15</v>
      </c>
      <c r="B58" s="124">
        <v>39741806153.478546</v>
      </c>
      <c r="C58" s="124">
        <v>44147042575.139137</v>
      </c>
      <c r="D58" s="124">
        <v>49324264881.120461</v>
      </c>
      <c r="E58" s="124">
        <v>55426720087.381424</v>
      </c>
      <c r="F58" s="124">
        <v>62637712140.827469</v>
      </c>
      <c r="H58" s="121"/>
    </row>
    <row r="59" spans="1:8" x14ac:dyDescent="0.15">
      <c r="A59" s="145">
        <v>20</v>
      </c>
      <c r="B59" s="124">
        <v>41207189855.493523</v>
      </c>
      <c r="C59" s="124">
        <v>47685776681.788979</v>
      </c>
      <c r="D59" s="124">
        <v>55767778538.32354</v>
      </c>
      <c r="E59" s="124">
        <v>65906108058.381317</v>
      </c>
      <c r="F59" s="124">
        <v>78683986760.992813</v>
      </c>
      <c r="H59" s="121"/>
    </row>
    <row r="60" spans="1:8" x14ac:dyDescent="0.15">
      <c r="A60" s="145">
        <v>25</v>
      </c>
      <c r="B60" s="124">
        <v>42570078012.523155</v>
      </c>
      <c r="C60" s="124">
        <v>51171550162.0308</v>
      </c>
      <c r="D60" s="124">
        <v>62520384936.697662</v>
      </c>
      <c r="E60" s="124">
        <v>77635327340.54451</v>
      </c>
      <c r="F60" s="124">
        <v>97927993858.955231</v>
      </c>
      <c r="H60" s="121"/>
    </row>
    <row r="61" spans="1:8" x14ac:dyDescent="0.15">
      <c r="A61" s="145">
        <v>30</v>
      </c>
      <c r="B61" s="124">
        <v>43772334955.913589</v>
      </c>
      <c r="C61" s="124">
        <v>54436007917.985039</v>
      </c>
      <c r="D61" s="124">
        <v>69272133210.974701</v>
      </c>
      <c r="E61" s="124">
        <v>90215160812.212097</v>
      </c>
      <c r="F61" s="124">
        <v>120148065608.03931</v>
      </c>
      <c r="H61" s="121"/>
    </row>
    <row r="62" spans="1:8" x14ac:dyDescent="0.15">
      <c r="C62" s="115"/>
      <c r="D62" s="115"/>
      <c r="E62" s="115"/>
      <c r="F62" s="115"/>
      <c r="H62" s="121"/>
    </row>
    <row r="63" spans="1:8" x14ac:dyDescent="0.15">
      <c r="B63" s="120" t="s">
        <v>131</v>
      </c>
      <c r="C63" s="115"/>
      <c r="D63" s="115"/>
      <c r="E63" s="115"/>
      <c r="F63" s="115"/>
      <c r="H63" s="121"/>
    </row>
    <row r="64" spans="1:8" x14ac:dyDescent="0.15">
      <c r="B64" s="133">
        <f>B55</f>
        <v>0.02</v>
      </c>
      <c r="C64" s="133">
        <f>C55</f>
        <v>0.04</v>
      </c>
      <c r="D64" s="133">
        <f>D55</f>
        <v>0.06</v>
      </c>
      <c r="E64" s="133">
        <f>E55</f>
        <v>0.08</v>
      </c>
      <c r="F64" s="133">
        <f>F55</f>
        <v>0.1</v>
      </c>
      <c r="H64" s="121"/>
    </row>
    <row r="65" spans="1:8" x14ac:dyDescent="0.15">
      <c r="A65" s="144">
        <v>0</v>
      </c>
      <c r="B65" s="125">
        <f>C12</f>
        <v>40.725966472891137</v>
      </c>
      <c r="C65" s="125">
        <f>C12</f>
        <v>40.725966472891137</v>
      </c>
      <c r="D65" s="125">
        <f>C12</f>
        <v>40.725966472891137</v>
      </c>
      <c r="E65" s="142">
        <f>C12</f>
        <v>40.725966472891137</v>
      </c>
      <c r="F65" s="125">
        <f>C12</f>
        <v>40.725966472891137</v>
      </c>
      <c r="H65" s="121"/>
    </row>
    <row r="66" spans="1:8" x14ac:dyDescent="0.15">
      <c r="A66" s="144">
        <f t="shared" ref="A66:A71" si="3">A56</f>
        <v>5</v>
      </c>
      <c r="B66" s="125">
        <f t="shared" ref="B66:F71" si="4">(B56-$C$7+$C$8+$C$9)/Common_Shares*$C$3*Exchange_Rate</f>
        <v>41.648251203836516</v>
      </c>
      <c r="C66" s="125">
        <f t="shared" si="4"/>
        <v>42.598157960004819</v>
      </c>
      <c r="D66" s="125">
        <f t="shared" si="4"/>
        <v>43.576898885094977</v>
      </c>
      <c r="E66" s="125">
        <f t="shared" si="4"/>
        <v>44.585723653990136</v>
      </c>
      <c r="F66" s="125">
        <f t="shared" si="4"/>
        <v>45.625920070387934</v>
      </c>
      <c r="H66" s="121"/>
    </row>
    <row r="67" spans="1:8" x14ac:dyDescent="0.15">
      <c r="A67" s="144">
        <f t="shared" si="3"/>
        <v>10</v>
      </c>
      <c r="B67" s="125">
        <f t="shared" si="4"/>
        <v>42.571385213275157</v>
      </c>
      <c r="C67" s="125">
        <f t="shared" si="4"/>
        <v>44.601764878068266</v>
      </c>
      <c r="D67" s="125">
        <f t="shared" si="4"/>
        <v>46.83924123691019</v>
      </c>
      <c r="E67" s="125">
        <f t="shared" si="4"/>
        <v>49.308424966348419</v>
      </c>
      <c r="F67" s="125">
        <f t="shared" si="4"/>
        <v>52.036646718813337</v>
      </c>
      <c r="H67" s="121"/>
    </row>
    <row r="68" spans="1:8" x14ac:dyDescent="0.15">
      <c r="A68" s="144">
        <f t="shared" si="3"/>
        <v>15</v>
      </c>
      <c r="B68" s="125">
        <f t="shared" si="4"/>
        <v>43.714019511031118</v>
      </c>
      <c r="C68" s="125">
        <f t="shared" si="4"/>
        <v>47.213720583456592</v>
      </c>
      <c r="D68" s="125">
        <f t="shared" si="4"/>
        <v>51.32671900672802</v>
      </c>
      <c r="E68" s="125">
        <f t="shared" si="4"/>
        <v>56.17476051586663</v>
      </c>
      <c r="F68" s="125">
        <f t="shared" si="4"/>
        <v>61.90346930856829</v>
      </c>
      <c r="H68" s="121"/>
    </row>
    <row r="69" spans="1:8" x14ac:dyDescent="0.15">
      <c r="A69" s="145">
        <f t="shared" si="3"/>
        <v>20</v>
      </c>
      <c r="B69" s="125">
        <f t="shared" si="4"/>
        <v>44.878180618988971</v>
      </c>
      <c r="C69" s="125">
        <f t="shared" si="4"/>
        <v>50.025036563497125</v>
      </c>
      <c r="D69" s="125">
        <f t="shared" si="4"/>
        <v>56.44571138257902</v>
      </c>
      <c r="E69" s="125">
        <f t="shared" si="4"/>
        <v>64.500017507782175</v>
      </c>
      <c r="F69" s="125">
        <f t="shared" si="4"/>
        <v>74.651290111215971</v>
      </c>
      <c r="H69" s="121"/>
    </row>
    <row r="70" spans="1:8" x14ac:dyDescent="0.15">
      <c r="A70" s="145">
        <f t="shared" si="3"/>
        <v>25</v>
      </c>
      <c r="B70" s="125">
        <f t="shared" si="4"/>
        <v>45.960915048700819</v>
      </c>
      <c r="C70" s="125">
        <f t="shared" si="4"/>
        <v>52.794278442786762</v>
      </c>
      <c r="D70" s="125">
        <f t="shared" si="4"/>
        <v>61.810259750030454</v>
      </c>
      <c r="E70" s="125">
        <f t="shared" si="4"/>
        <v>73.818191919185551</v>
      </c>
      <c r="F70" s="125">
        <f t="shared" si="4"/>
        <v>89.939521168997615</v>
      </c>
    </row>
    <row r="71" spans="1:8" x14ac:dyDescent="0.15">
      <c r="A71" s="145">
        <f t="shared" si="3"/>
        <v>30</v>
      </c>
      <c r="B71" s="125">
        <f t="shared" si="4"/>
        <v>46.916037432921996</v>
      </c>
      <c r="C71" s="125">
        <f t="shared" si="4"/>
        <v>55.38769800438525</v>
      </c>
      <c r="D71" s="125">
        <f t="shared" si="4"/>
        <v>67.174126388390562</v>
      </c>
      <c r="E71" s="125">
        <f t="shared" si="4"/>
        <v>83.812129242334478</v>
      </c>
      <c r="F71" s="125">
        <f t="shared" si="4"/>
        <v>107.59206043959743</v>
      </c>
    </row>
    <row r="73" spans="1:8" ht="14" x14ac:dyDescent="0.2">
      <c r="B73" s="172" t="s">
        <v>118</v>
      </c>
      <c r="C73" s="172" t="s">
        <v>133</v>
      </c>
      <c r="D73" s="172" t="s">
        <v>113</v>
      </c>
      <c r="E73" s="173" t="s">
        <v>114</v>
      </c>
      <c r="F73" s="173" t="s">
        <v>120</v>
      </c>
    </row>
    <row r="74" spans="1:8" x14ac:dyDescent="0.15">
      <c r="B74" s="128" t="str">
        <f>Scenarios!B54</f>
        <v>Snowball Scenario</v>
      </c>
      <c r="C74" s="143">
        <f>Scenarios!C56</f>
        <v>0.1</v>
      </c>
      <c r="D74" s="146">
        <f>Scenarios!C55</f>
        <v>30</v>
      </c>
      <c r="E74" s="136">
        <f>INDEX(B$65:F$71, MATCH(D74, A$65:A$71, 0), MATCH(C74, B$64:F$64, 0))</f>
        <v>107.59206043959743</v>
      </c>
      <c r="F74" s="143">
        <f>Scenarios!C58</f>
        <v>0.05</v>
      </c>
    </row>
    <row r="75" spans="1:8" x14ac:dyDescent="0.15">
      <c r="B75" s="128" t="str">
        <f>Scenarios!B36</f>
        <v>Optimistic</v>
      </c>
      <c r="C75" s="143">
        <f>Scenarios!C38</f>
        <v>0.08</v>
      </c>
      <c r="D75" s="146">
        <f>Scenarios!C37</f>
        <v>30</v>
      </c>
      <c r="E75" s="136">
        <f>INDEX(B$65:F$71, MATCH(D75, A$65:A$71, 0), MATCH(C75, B$64:F$64, 0))</f>
        <v>83.812129242334478</v>
      </c>
      <c r="F75" s="143">
        <f>Scenarios!C40*(1-F$74-F$78)</f>
        <v>0.18</v>
      </c>
      <c r="H75" s="121"/>
    </row>
    <row r="76" spans="1:8" x14ac:dyDescent="0.15">
      <c r="B76" s="128" t="str">
        <f>Scenarios!B24</f>
        <v>Base</v>
      </c>
      <c r="C76" s="143">
        <f>Scenarios!C26</f>
        <v>0.06</v>
      </c>
      <c r="D76" s="146">
        <f>Scenarios!C25</f>
        <v>30</v>
      </c>
      <c r="E76" s="136">
        <f>INDEX(B$65:F$71, MATCH(D76, A$65:A$71, 0), MATCH(C76, B$64:F$64, 0))</f>
        <v>67.174126388390562</v>
      </c>
      <c r="F76" s="143">
        <f>Scenarios!C28*(1-F$74-F$78)</f>
        <v>0.44999999999999996</v>
      </c>
      <c r="H76" s="121"/>
    </row>
    <row r="77" spans="1:8" x14ac:dyDescent="0.15">
      <c r="B77" s="128" t="str">
        <f>Scenarios!B30</f>
        <v>Pessimistic</v>
      </c>
      <c r="C77" s="143">
        <f>Scenarios!C32</f>
        <v>0.04</v>
      </c>
      <c r="D77" s="146">
        <f>Scenarios!C31</f>
        <v>30</v>
      </c>
      <c r="E77" s="136">
        <f>INDEX(B$65:F$71, MATCH(D77, A$65:A$71, 0), MATCH(C77, B$64:F$64, 0))</f>
        <v>55.38769800438525</v>
      </c>
      <c r="F77" s="143">
        <f>Scenarios!C34*(1-F$74-F$78)</f>
        <v>0.26999999999999996</v>
      </c>
      <c r="H77" s="121"/>
    </row>
    <row r="78" spans="1:8" x14ac:dyDescent="0.15">
      <c r="B78" s="128" t="str">
        <f>Scenarios!B48</f>
        <v>Devil's advocate</v>
      </c>
      <c r="C78" s="143">
        <f>Scenarios!C50</f>
        <v>0.02</v>
      </c>
      <c r="D78" s="146">
        <f>Scenarios!C49</f>
        <v>30</v>
      </c>
      <c r="E78" s="136">
        <f>INDEX(B$65:F$71, MATCH(D78, A$65:A$71, 0), MATCH(C78, B$64:F$64, 0))</f>
        <v>46.916037432921996</v>
      </c>
      <c r="F78" s="143">
        <f>Scenarios!C52</f>
        <v>0.05</v>
      </c>
    </row>
    <row r="79" spans="1:8" x14ac:dyDescent="0.15">
      <c r="B79" s="156"/>
      <c r="C79" s="156"/>
      <c r="D79" s="156"/>
      <c r="E79" s="156"/>
      <c r="F79" s="157"/>
    </row>
    <row r="80" spans="1:8" x14ac:dyDescent="0.15">
      <c r="B80" s="156" t="s">
        <v>311</v>
      </c>
      <c r="C80" s="156" t="s">
        <v>106</v>
      </c>
    </row>
    <row r="81" spans="3:3" x14ac:dyDescent="0.15">
      <c r="C81" s="156" t="s">
        <v>105</v>
      </c>
    </row>
    <row r="82" spans="3:3" x14ac:dyDescent="0.15">
      <c r="C82" s="156" t="s">
        <v>104</v>
      </c>
    </row>
    <row r="92" spans="3:3" x14ac:dyDescent="0.15">
      <c r="C92" s="116"/>
    </row>
    <row r="93" spans="3:3" x14ac:dyDescent="0.15">
      <c r="C93" s="116"/>
    </row>
    <row r="94" spans="3:3" x14ac:dyDescent="0.15">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445</v>
      </c>
      <c r="C2" s="37"/>
      <c r="D2" s="37"/>
      <c r="E2" s="37"/>
      <c r="F2" s="37"/>
      <c r="H2" s="131" t="s">
        <v>59</v>
      </c>
    </row>
    <row r="3" spans="2:8" x14ac:dyDescent="0.15">
      <c r="B3" s="109" t="s">
        <v>444</v>
      </c>
      <c r="C3" s="107">
        <f>scaling_factor</f>
        <v>1</v>
      </c>
      <c r="E3" s="109" t="s">
        <v>125</v>
      </c>
      <c r="H3" s="121"/>
    </row>
    <row r="4" spans="2:8" x14ac:dyDescent="0.15">
      <c r="B4" s="100" t="s">
        <v>442</v>
      </c>
      <c r="C4" s="110">
        <f>Normalized_FCF!C91</f>
        <v>2769242265.8648982</v>
      </c>
      <c r="D4" t="str">
        <f>Market_currency</f>
        <v>HKD</v>
      </c>
      <c r="E4" s="100" t="s">
        <v>251</v>
      </c>
      <c r="F4" s="135">
        <f>Thesis!E22</f>
        <v>0</v>
      </c>
      <c r="H4" s="121"/>
    </row>
    <row r="5" spans="2:8" x14ac:dyDescent="0.15">
      <c r="B5" s="225" t="s">
        <v>124</v>
      </c>
      <c r="C5" s="226">
        <f>Equity_Cost</f>
        <v>0.08</v>
      </c>
      <c r="E5" s="149"/>
      <c r="H5" s="121"/>
    </row>
    <row r="6" spans="2:8" ht="13.25" customHeight="1" x14ac:dyDescent="0.15">
      <c r="B6" s="150" t="s">
        <v>443</v>
      </c>
      <c r="C6" s="230">
        <f>(C4*(1+Terminal_Growth))/(Equity_Cost-Terminal_Growth)</f>
        <v>34615528323.311226</v>
      </c>
      <c r="D6" t="str">
        <f>Reporting_currency</f>
        <v>CNY</v>
      </c>
      <c r="E6" s="354"/>
      <c r="F6" s="354"/>
      <c r="H6" s="121"/>
    </row>
    <row r="7" spans="2:8" x14ac:dyDescent="0.15">
      <c r="B7" s="150" t="s">
        <v>446</v>
      </c>
      <c r="C7" s="112">
        <f>(C6*scaling_factor)/Common_Shares*Exchange_Rate</f>
        <v>27.500000000000004</v>
      </c>
      <c r="D7" t="str">
        <f>Market_currency</f>
        <v>HKD</v>
      </c>
      <c r="H7" s="121"/>
    </row>
    <row r="8" spans="2:8" x14ac:dyDescent="0.15">
      <c r="H8" s="121"/>
    </row>
    <row r="9" spans="2:8" ht="16" x14ac:dyDescent="0.25">
      <c r="B9" s="36" t="s">
        <v>230</v>
      </c>
      <c r="C9" s="37"/>
      <c r="D9" s="37"/>
      <c r="E9" s="37"/>
      <c r="F9" s="37"/>
      <c r="H9" s="121"/>
    </row>
    <row r="10" spans="2:8" x14ac:dyDescent="0.15">
      <c r="B10" s="120" t="s">
        <v>136</v>
      </c>
      <c r="H10" s="121"/>
    </row>
    <row r="11" spans="2:8" ht="13.25" customHeight="1" x14ac:dyDescent="0.15">
      <c r="B11" s="153" t="s">
        <v>134</v>
      </c>
      <c r="C11" s="162">
        <f>Scenarios!C65</f>
        <v>6.1165848114484E-2</v>
      </c>
      <c r="H11" s="121"/>
    </row>
    <row r="12" spans="2:8" ht="13.25" customHeight="1" x14ac:dyDescent="0.15">
      <c r="B12" s="119" t="s">
        <v>135</v>
      </c>
      <c r="C12" s="163">
        <f>Scenarios!C64</f>
        <v>30</v>
      </c>
      <c r="H12" s="121"/>
    </row>
    <row r="13" spans="2:8" ht="13.25" customHeight="1" x14ac:dyDescent="0.15">
      <c r="B13" s="154" t="s">
        <v>107</v>
      </c>
      <c r="C13" s="141">
        <f>F47/Common_Shares*scaling_factor</f>
        <v>49.578908686748953</v>
      </c>
      <c r="D13" t="str">
        <f>Market_currency</f>
        <v>HKD</v>
      </c>
      <c r="H13" s="121"/>
    </row>
    <row r="14" spans="2:8" x14ac:dyDescent="0.15">
      <c r="H14" s="121"/>
    </row>
    <row r="15" spans="2:8" ht="14" x14ac:dyDescent="0.2">
      <c r="B15" s="129" t="s">
        <v>108</v>
      </c>
      <c r="C15" s="129" t="s">
        <v>448</v>
      </c>
      <c r="D15" s="129" t="s">
        <v>119</v>
      </c>
      <c r="E15" s="129" t="s">
        <v>110</v>
      </c>
      <c r="F15" s="130" t="s">
        <v>447</v>
      </c>
      <c r="H15" s="121"/>
    </row>
    <row r="16" spans="2:8" x14ac:dyDescent="0.15">
      <c r="B16" s="123">
        <v>1</v>
      </c>
      <c r="C16" s="124">
        <f>C4*(1+D16)</f>
        <v>2938625317.691</v>
      </c>
      <c r="D16" s="139">
        <f>IF($C$12&lt;B16,0,DDM!$C$11)</f>
        <v>6.1165848114484E-2</v>
      </c>
      <c r="E16" s="125">
        <f t="shared" ref="E16:E45" si="0">IF($C$12&lt;B16,0,1/(1+Equity_Cost)^B16)</f>
        <v>0.92592592592592582</v>
      </c>
      <c r="F16" s="126">
        <f t="shared" ref="F16:F46" si="1">C16*E16</f>
        <v>2720949368.2324071</v>
      </c>
      <c r="H16" s="121"/>
    </row>
    <row r="17" spans="2:8" x14ac:dyDescent="0.15">
      <c r="B17" s="123">
        <v>2</v>
      </c>
      <c r="C17" s="124">
        <f t="shared" ref="C17:C45" si="2">IF(ROW()-ROW($C$16)&lt;$C$12, $C$16*(1+D17)^(ROW()-ROW($C$16)), 0)</f>
        <v>3118368827.5382648</v>
      </c>
      <c r="D17" s="139">
        <f>IF($C$12&lt;B17,0,DDM!$C$11)</f>
        <v>6.1165848114484E-2</v>
      </c>
      <c r="E17" s="125">
        <f t="shared" si="0"/>
        <v>0.85733882030178321</v>
      </c>
      <c r="F17" s="126">
        <f t="shared" si="1"/>
        <v>2673498651.8675108</v>
      </c>
      <c r="H17" s="121"/>
    </row>
    <row r="18" spans="2:8" x14ac:dyDescent="0.15">
      <c r="B18" s="123">
        <v>3</v>
      </c>
      <c r="C18" s="124">
        <f t="shared" si="2"/>
        <v>3309106501.6084113</v>
      </c>
      <c r="D18" s="139">
        <f>IF($C$12&lt;B18,0,DDM!$C$11)</f>
        <v>6.1165848114484E-2</v>
      </c>
      <c r="E18" s="125">
        <f t="shared" si="0"/>
        <v>0.79383224102016958</v>
      </c>
      <c r="F18" s="126">
        <f t="shared" si="1"/>
        <v>2626875429.9462185</v>
      </c>
      <c r="H18" s="121"/>
    </row>
    <row r="19" spans="2:8" x14ac:dyDescent="0.15">
      <c r="B19" s="123">
        <v>4</v>
      </c>
      <c r="C19" s="124">
        <f t="shared" si="2"/>
        <v>3511510807.2804422</v>
      </c>
      <c r="D19" s="139">
        <f>IF($C$12&lt;B19,0,DDM!$C$11)</f>
        <v>6.1165848114484E-2</v>
      </c>
      <c r="E19" s="125">
        <f t="shared" si="0"/>
        <v>0.73502985279645328</v>
      </c>
      <c r="F19" s="126">
        <f t="shared" si="1"/>
        <v>2581065271.7684984</v>
      </c>
      <c r="H19" s="121"/>
    </row>
    <row r="20" spans="2:8" x14ac:dyDescent="0.15">
      <c r="B20" s="123">
        <v>5</v>
      </c>
      <c r="C20" s="124">
        <f t="shared" si="2"/>
        <v>3726295343.9709268</v>
      </c>
      <c r="D20" s="139">
        <f>IF($C$12&lt;B20,0,DDM!$C$11)</f>
        <v>6.1165848114484E-2</v>
      </c>
      <c r="E20" s="125">
        <f t="shared" si="0"/>
        <v>0.68058319703375303</v>
      </c>
      <c r="F20" s="126">
        <f t="shared" si="1"/>
        <v>2536053998.2917218</v>
      </c>
      <c r="H20" s="121"/>
    </row>
    <row r="21" spans="2:8" x14ac:dyDescent="0.15">
      <c r="B21" s="123">
        <v>6</v>
      </c>
      <c r="C21" s="124">
        <f t="shared" si="2"/>
        <v>3954217359.0099607</v>
      </c>
      <c r="D21" s="139">
        <f>IF($C$12&lt;B21,0,DDM!$C$11)</f>
        <v>6.1165848114484E-2</v>
      </c>
      <c r="E21" s="125">
        <f t="shared" si="0"/>
        <v>0.63016962688310452</v>
      </c>
      <c r="F21" s="126">
        <f t="shared" si="1"/>
        <v>2491827677.742002</v>
      </c>
      <c r="H21" s="121"/>
    </row>
    <row r="22" spans="2:8" x14ac:dyDescent="0.15">
      <c r="B22" s="123">
        <v>7</v>
      </c>
      <c r="C22" s="124">
        <f t="shared" si="2"/>
        <v>4196080417.4028192</v>
      </c>
      <c r="D22" s="139">
        <f>IF($C$12&lt;B22,0,DDM!$C$11)</f>
        <v>6.1165848114484E-2</v>
      </c>
      <c r="E22" s="125">
        <f t="shared" si="0"/>
        <v>0.58349039526213387</v>
      </c>
      <c r="F22" s="126">
        <f t="shared" si="1"/>
        <v>2448372621.3020706</v>
      </c>
      <c r="H22" s="121"/>
    </row>
    <row r="23" spans="2:8" x14ac:dyDescent="0.15">
      <c r="B23" s="123">
        <v>8</v>
      </c>
      <c r="C23" s="124">
        <f t="shared" si="2"/>
        <v>4452737234.8898401</v>
      </c>
      <c r="D23" s="139">
        <f>IF($C$12&lt;B23,0,DDM!$C$11)</f>
        <v>6.1165848114484E-2</v>
      </c>
      <c r="E23" s="125">
        <f t="shared" si="0"/>
        <v>0.54026888450197574</v>
      </c>
      <c r="F23" s="126">
        <f t="shared" si="1"/>
        <v>2405675378.8743458</v>
      </c>
      <c r="H23" s="121"/>
    </row>
    <row r="24" spans="2:8" x14ac:dyDescent="0.15">
      <c r="B24" s="123">
        <v>9</v>
      </c>
      <c r="C24" s="124">
        <f t="shared" si="2"/>
        <v>4725092684.292819</v>
      </c>
      <c r="D24" s="139">
        <f>IF($C$12&lt;B24,0,DDM!$C$11)</f>
        <v>6.1165848114484E-2</v>
      </c>
      <c r="E24" s="125">
        <f t="shared" si="0"/>
        <v>0.50024896713145905</v>
      </c>
      <c r="F24" s="126">
        <f t="shared" si="1"/>
        <v>2363722734.9178963</v>
      </c>
      <c r="H24" s="121"/>
    </row>
    <row r="25" spans="2:8" x14ac:dyDescent="0.15">
      <c r="B25" s="123">
        <v>10</v>
      </c>
      <c r="C25" s="124">
        <f t="shared" si="2"/>
        <v>5014106985.7471333</v>
      </c>
      <c r="D25" s="139">
        <f>IF($C$12&lt;B25,0,DDM!$C$11)</f>
        <v>6.1165848114484E-2</v>
      </c>
      <c r="E25" s="125">
        <f t="shared" si="0"/>
        <v>0.46319348808468425</v>
      </c>
      <c r="F25" s="126">
        <f t="shared" si="1"/>
        <v>2322501704.3579969</v>
      </c>
      <c r="H25" s="121"/>
    </row>
    <row r="26" spans="2:8" x14ac:dyDescent="0.15">
      <c r="B26" s="123">
        <v>11</v>
      </c>
      <c r="C26" s="124">
        <f t="shared" si="2"/>
        <v>5320799092.0671139</v>
      </c>
      <c r="D26" s="139">
        <f>IF($C$12&lt;B26,0,DDM!$C$11)</f>
        <v>6.1165848114484E-2</v>
      </c>
      <c r="E26" s="125">
        <f t="shared" si="0"/>
        <v>0.42888285933767062</v>
      </c>
      <c r="F26" s="126">
        <f t="shared" si="1"/>
        <v>2281999528.5670257</v>
      </c>
      <c r="H26" s="121"/>
    </row>
    <row r="27" spans="2:8" x14ac:dyDescent="0.15">
      <c r="B27" s="123">
        <v>12</v>
      </c>
      <c r="C27" s="124">
        <f t="shared" si="2"/>
        <v>5646250281.1801748</v>
      </c>
      <c r="D27" s="139">
        <f>IF($C$12&lt;B27,0,DDM!$C$11)</f>
        <v>6.1165848114484E-2</v>
      </c>
      <c r="E27" s="125">
        <f t="shared" si="0"/>
        <v>0.39711375864599124</v>
      </c>
      <c r="F27" s="126">
        <f t="shared" si="1"/>
        <v>2242203671.4154444</v>
      </c>
      <c r="H27" s="121"/>
    </row>
    <row r="28" spans="2:8" x14ac:dyDescent="0.15">
      <c r="B28" s="123">
        <v>13</v>
      </c>
      <c r="C28" s="124">
        <f t="shared" si="2"/>
        <v>5991607968.2952032</v>
      </c>
      <c r="D28" s="139">
        <f>IF($C$12&lt;B28,0,DDM!$C$11)</f>
        <v>6.1165848114484E-2</v>
      </c>
      <c r="E28" s="125">
        <f t="shared" si="0"/>
        <v>0.36769792467221413</v>
      </c>
      <c r="F28" s="126">
        <f t="shared" si="1"/>
        <v>2203101815.3916473</v>
      </c>
      <c r="H28" s="121"/>
    </row>
    <row r="29" spans="2:8" x14ac:dyDescent="0.15">
      <c r="B29" s="123">
        <v>14</v>
      </c>
      <c r="C29" s="124">
        <f t="shared" si="2"/>
        <v>6358089751.2454796</v>
      </c>
      <c r="D29" s="139">
        <f>IF($C$12&lt;B29,0,DDM!$C$11)</f>
        <v>6.1165848114484E-2</v>
      </c>
      <c r="E29" s="125">
        <f t="shared" si="0"/>
        <v>0.34046104136316119</v>
      </c>
      <c r="F29" s="126">
        <f t="shared" si="1"/>
        <v>2164681857.7894783</v>
      </c>
      <c r="H29" s="121"/>
    </row>
    <row r="30" spans="2:8" x14ac:dyDescent="0.15">
      <c r="B30" s="123">
        <v>15</v>
      </c>
      <c r="C30" s="124">
        <f t="shared" si="2"/>
        <v>6746987703.2684164</v>
      </c>
      <c r="D30" s="139">
        <f>IF($C$12&lt;B30,0,DDM!$C$11)</f>
        <v>6.1165848114484E-2</v>
      </c>
      <c r="E30" s="125">
        <f t="shared" si="0"/>
        <v>0.31524170496588994</v>
      </c>
      <c r="F30" s="126">
        <f t="shared" si="1"/>
        <v>2126931906.9622295</v>
      </c>
      <c r="H30" s="121"/>
    </row>
    <row r="31" spans="2:8" x14ac:dyDescent="0.15">
      <c r="B31" s="123">
        <v>16</v>
      </c>
      <c r="C31" s="124">
        <f t="shared" si="2"/>
        <v>7159672928.356822</v>
      </c>
      <c r="D31" s="139">
        <f>IF($C$12&lt;B31,0,DDM!$C$11)</f>
        <v>6.1165848114484E-2</v>
      </c>
      <c r="E31" s="125">
        <f t="shared" si="0"/>
        <v>0.29189046756100923</v>
      </c>
      <c r="F31" s="126">
        <f t="shared" si="1"/>
        <v>2089840278.6419728</v>
      </c>
      <c r="H31" s="121"/>
    </row>
    <row r="32" spans="2:8" x14ac:dyDescent="0.15">
      <c r="B32" s="123">
        <v>17</v>
      </c>
      <c r="C32" s="124">
        <f t="shared" si="2"/>
        <v>7597600395.2420788</v>
      </c>
      <c r="D32" s="139">
        <f>IF($C$12&lt;B32,0,DDM!$C$11)</f>
        <v>6.1165848114484E-2</v>
      </c>
      <c r="E32" s="125">
        <f t="shared" si="0"/>
        <v>0.27026895144537894</v>
      </c>
      <c r="F32" s="126">
        <f t="shared" si="1"/>
        <v>2053395492.3230731</v>
      </c>
      <c r="H32" s="121"/>
    </row>
    <row r="33" spans="2:8" x14ac:dyDescent="0.15">
      <c r="B33" s="123">
        <v>18</v>
      </c>
      <c r="C33" s="124">
        <f t="shared" si="2"/>
        <v>8062314067.0519991</v>
      </c>
      <c r="D33" s="139">
        <f>IF($C$12&lt;B33,0,DDM!$C$11)</f>
        <v>6.1165848114484E-2</v>
      </c>
      <c r="E33" s="125">
        <f t="shared" si="0"/>
        <v>0.25024902911609154</v>
      </c>
      <c r="F33" s="126">
        <f t="shared" si="1"/>
        <v>2017586267.70877</v>
      </c>
      <c r="H33" s="121"/>
    </row>
    <row r="34" spans="2:8" x14ac:dyDescent="0.15">
      <c r="B34" s="123">
        <v>19</v>
      </c>
      <c r="C34" s="124">
        <f t="shared" si="2"/>
        <v>8555452344.7285681</v>
      </c>
      <c r="D34" s="139">
        <f>IF($C$12&lt;B34,0,DDM!$C$11)</f>
        <v>6.1165848114484E-2</v>
      </c>
      <c r="E34" s="125">
        <f t="shared" si="0"/>
        <v>0.23171206399638106</v>
      </c>
      <c r="F34" s="126">
        <f t="shared" si="1"/>
        <v>1982401521.2197344</v>
      </c>
      <c r="H34" s="121"/>
    </row>
    <row r="35" spans="2:8" x14ac:dyDescent="0.15">
      <c r="B35" s="123">
        <v>20</v>
      </c>
      <c r="C35" s="124">
        <f t="shared" si="2"/>
        <v>9078753843.3969402</v>
      </c>
      <c r="D35" s="139">
        <f>IF($C$12&lt;B35,0,DDM!$C$11)</f>
        <v>6.1165848114484E-2</v>
      </c>
      <c r="E35" s="125">
        <f t="shared" si="0"/>
        <v>0.21454820740405653</v>
      </c>
      <c r="F35" s="126">
        <f t="shared" si="1"/>
        <v>1947830362.5635021</v>
      </c>
      <c r="H35" s="121"/>
    </row>
    <row r="36" spans="2:8" x14ac:dyDescent="0.15">
      <c r="B36" s="123">
        <v>21</v>
      </c>
      <c r="C36" s="124">
        <f t="shared" si="2"/>
        <v>9634063522.0509453</v>
      </c>
      <c r="D36" s="139">
        <f>IF($C$12&lt;B36,0,DDM!$C$11)</f>
        <v>6.1165848114484E-2</v>
      </c>
      <c r="E36" s="125">
        <f t="shared" si="0"/>
        <v>0.19865574759634863</v>
      </c>
      <c r="F36" s="126">
        <f t="shared" si="1"/>
        <v>1913862091.3637421</v>
      </c>
      <c r="H36" s="121"/>
    </row>
    <row r="37" spans="2:8" x14ac:dyDescent="0.15">
      <c r="B37" s="123">
        <v>22</v>
      </c>
      <c r="C37" s="124">
        <f t="shared" si="2"/>
        <v>10223339188.166002</v>
      </c>
      <c r="D37" s="139">
        <f>IF($C$12&lt;B37,0,DDM!$C$11)</f>
        <v>6.1165848114484E-2</v>
      </c>
      <c r="E37" s="125">
        <f t="shared" si="0"/>
        <v>0.18394050703365611</v>
      </c>
      <c r="F37" s="126">
        <f t="shared" si="1"/>
        <v>1880486193.8483007</v>
      </c>
      <c r="H37" s="121"/>
    </row>
    <row r="38" spans="2:8" x14ac:dyDescent="0.15">
      <c r="B38" s="123">
        <v>23</v>
      </c>
      <c r="C38" s="124">
        <f t="shared" si="2"/>
        <v>10848658400.172215</v>
      </c>
      <c r="D38" s="139">
        <f>IF($C$12&lt;B38,0,DDM!$C$11)</f>
        <v>6.1165848114484E-2</v>
      </c>
      <c r="E38" s="125">
        <f t="shared" si="0"/>
        <v>0.17031528429042234</v>
      </c>
      <c r="F38" s="126">
        <f t="shared" si="1"/>
        <v>1847692339.5950091</v>
      </c>
      <c r="H38" s="121"/>
    </row>
    <row r="39" spans="2:8" x14ac:dyDescent="0.15">
      <c r="B39" s="123">
        <v>24</v>
      </c>
      <c r="C39" s="124">
        <f t="shared" si="2"/>
        <v>11512225792.123066</v>
      </c>
      <c r="D39" s="139">
        <f>IF($C$12&lt;B39,0,DDM!$C$11)</f>
        <v>6.1165848114484E-2</v>
      </c>
      <c r="E39" s="125">
        <f t="shared" si="0"/>
        <v>0.1576993373059466</v>
      </c>
      <c r="F39" s="126">
        <f t="shared" si="1"/>
        <v>1815470378.3342335</v>
      </c>
      <c r="H39" s="121"/>
    </row>
    <row r="40" spans="2:8" x14ac:dyDescent="0.15">
      <c r="B40" s="123">
        <v>25</v>
      </c>
      <c r="C40" s="124">
        <f t="shared" si="2"/>
        <v>12216380846.383711</v>
      </c>
      <c r="D40" s="139">
        <f>IF($C$12&lt;B40,0,DDM!$C$11)</f>
        <v>6.1165848114484E-2</v>
      </c>
      <c r="E40" s="125">
        <f t="shared" si="0"/>
        <v>0.1460179049129135</v>
      </c>
      <c r="F40" s="126">
        <f t="shared" si="1"/>
        <v>1783810336.8071945</v>
      </c>
      <c r="H40" s="121"/>
    </row>
    <row r="41" spans="2:8" x14ac:dyDescent="0.15">
      <c r="B41" s="123">
        <v>26</v>
      </c>
      <c r="C41" s="124">
        <f t="shared" si="2"/>
        <v>12963606141.742308</v>
      </c>
      <c r="D41" s="139">
        <f>IF($C$12&lt;B41,0,DDM!$C$11)</f>
        <v>6.1165848114484E-2</v>
      </c>
      <c r="E41" s="125">
        <f t="shared" si="0"/>
        <v>0.13520176380825324</v>
      </c>
      <c r="F41" s="126">
        <f t="shared" si="1"/>
        <v>1752702415.6790645</v>
      </c>
      <c r="H41" s="121"/>
    </row>
    <row r="42" spans="2:8" x14ac:dyDescent="0.15">
      <c r="B42" s="123">
        <v>27</v>
      </c>
      <c r="C42" s="124">
        <f t="shared" si="2"/>
        <v>13756536106.024109</v>
      </c>
      <c r="D42" s="139">
        <f>IF($C$12&lt;B42,0,DDM!$C$11)</f>
        <v>6.1165848114484E-2</v>
      </c>
      <c r="E42" s="125">
        <f t="shared" si="0"/>
        <v>0.12518681834097523</v>
      </c>
      <c r="F42" s="126">
        <f t="shared" si="1"/>
        <v>1722136986.5059068</v>
      </c>
      <c r="H42" s="121"/>
    </row>
    <row r="43" spans="2:8" x14ac:dyDescent="0.15">
      <c r="B43" s="123">
        <v>28</v>
      </c>
      <c r="C43" s="124">
        <f t="shared" si="2"/>
        <v>14597966304.066589</v>
      </c>
      <c r="D43" s="139">
        <f>IF($C$12&lt;B43,0,DDM!$C$11)</f>
        <v>6.1165848114484E-2</v>
      </c>
      <c r="E43" s="125">
        <f t="shared" si="0"/>
        <v>0.11591372068608817</v>
      </c>
      <c r="F43" s="126">
        <f t="shared" si="1"/>
        <v>1692104588.7545016</v>
      </c>
      <c r="H43" s="121"/>
    </row>
    <row r="44" spans="2:8" x14ac:dyDescent="0.15">
      <c r="B44" s="123">
        <v>29</v>
      </c>
      <c r="C44" s="124">
        <f t="shared" si="2"/>
        <v>15490863293.801481</v>
      </c>
      <c r="D44" s="139">
        <f>IF($C$12&lt;B44,0,DDM!$C$11)</f>
        <v>6.1165848114484E-2</v>
      </c>
      <c r="E44" s="125">
        <f t="shared" si="0"/>
        <v>0.10732751915378534</v>
      </c>
      <c r="F44" s="126">
        <f t="shared" si="1"/>
        <v>1662595926.8741488</v>
      </c>
      <c r="H44" s="121"/>
    </row>
    <row r="45" spans="2:8" x14ac:dyDescent="0.15">
      <c r="B45" s="123">
        <v>30</v>
      </c>
      <c r="C45" s="124">
        <f t="shared" si="2"/>
        <v>16438375085.192377</v>
      </c>
      <c r="D45" s="139">
        <f>IF($C$12&lt;B45,0,DDM!$C$11)</f>
        <v>6.1165848114484E-2</v>
      </c>
      <c r="E45" s="125">
        <f t="shared" si="0"/>
        <v>9.9377332549801231E-2</v>
      </c>
      <c r="F45" s="126">
        <f t="shared" si="1"/>
        <v>1633601867.4195299</v>
      </c>
      <c r="H45" s="121"/>
    </row>
    <row r="46" spans="2:8" x14ac:dyDescent="0.15">
      <c r="B46" s="127" t="s">
        <v>132</v>
      </c>
      <c r="C46" s="124">
        <f>C$16*(1+F4)^$C$12/Equity_Cost</f>
        <v>36732816471.137497</v>
      </c>
      <c r="D46" s="140">
        <f>Terminal_Growth</f>
        <v>0</v>
      </c>
      <c r="E46" s="125">
        <f>1/(1+Equity_Cost)^C12</f>
        <v>9.9377332549801231E-2</v>
      </c>
      <c r="F46" s="126">
        <f t="shared" si="1"/>
        <v>3650409317.943047</v>
      </c>
      <c r="H46" s="121"/>
    </row>
    <row r="47" spans="2:8" x14ac:dyDescent="0.15">
      <c r="C47" s="115"/>
      <c r="E47" s="128" t="s">
        <v>101</v>
      </c>
      <c r="F47" s="138">
        <f>SUM(F16:F46)</f>
        <v>67635387983.008217</v>
      </c>
      <c r="H47" s="121"/>
    </row>
    <row r="48" spans="2:8" x14ac:dyDescent="0.15">
      <c r="C48" s="115"/>
      <c r="H48" s="121"/>
    </row>
    <row r="49" spans="1:8" x14ac:dyDescent="0.15">
      <c r="B49" s="120" t="s">
        <v>130</v>
      </c>
      <c r="C49" s="137"/>
      <c r="D49" s="137"/>
      <c r="E49" s="118"/>
      <c r="F49" s="118"/>
      <c r="H49" s="121"/>
    </row>
    <row r="50" spans="1:8" x14ac:dyDescent="0.15">
      <c r="A50" s="134">
        <f>F47</f>
        <v>67635387983.008217</v>
      </c>
      <c r="B50" s="132">
        <f>C73</f>
        <v>0.02</v>
      </c>
      <c r="C50" s="132">
        <f>C72</f>
        <v>0.04</v>
      </c>
      <c r="D50" s="132">
        <f>C71</f>
        <v>0.06</v>
      </c>
      <c r="E50" s="132">
        <f>C70</f>
        <v>0.08</v>
      </c>
      <c r="F50" s="132">
        <f>C69</f>
        <v>0.1</v>
      </c>
      <c r="H50" s="121"/>
    </row>
    <row r="51" spans="1:8" x14ac:dyDescent="0.15">
      <c r="A51" s="144">
        <v>5</v>
      </c>
      <c r="B51" s="124">
        <f t="dataTable" ref="B51:F56" dt2D="1" dtr="1" r1="C11" r2="C12"/>
        <v>35732406470.028687</v>
      </c>
      <c r="C51" s="124">
        <v>36882734629.854279</v>
      </c>
      <c r="D51" s="124">
        <v>38067980697.422493</v>
      </c>
      <c r="E51" s="124">
        <v>39289658017.279404</v>
      </c>
      <c r="F51" s="124">
        <v>40549326107.607269</v>
      </c>
      <c r="H51" s="121"/>
    </row>
    <row r="52" spans="1:8" x14ac:dyDescent="0.15">
      <c r="A52" s="144">
        <v>10</v>
      </c>
      <c r="B52" s="124">
        <v>36850313085.024719</v>
      </c>
      <c r="C52" s="124">
        <v>39309083788.972588</v>
      </c>
      <c r="D52" s="124">
        <v>42018646644.280762</v>
      </c>
      <c r="E52" s="124">
        <v>45008804949.0952</v>
      </c>
      <c r="F52" s="124">
        <v>48312655866.808929</v>
      </c>
      <c r="H52" s="121"/>
    </row>
    <row r="53" spans="1:8" x14ac:dyDescent="0.15">
      <c r="A53" s="144">
        <v>15</v>
      </c>
      <c r="B53" s="124">
        <v>38234032487.540848</v>
      </c>
      <c r="C53" s="124">
        <v>42472137615.692574</v>
      </c>
      <c r="D53" s="124">
        <v>47452940075.391167</v>
      </c>
      <c r="E53" s="124">
        <v>53323872808.264023</v>
      </c>
      <c r="F53" s="124">
        <v>60261285349.961578</v>
      </c>
      <c r="H53" s="121"/>
    </row>
    <row r="54" spans="1:8" x14ac:dyDescent="0.15">
      <c r="A54" s="145">
        <v>20</v>
      </c>
      <c r="B54" s="124">
        <v>39643820655.023254</v>
      </c>
      <c r="C54" s="124">
        <v>45876614862.54705</v>
      </c>
      <c r="D54" s="124">
        <v>53651991762.976631</v>
      </c>
      <c r="E54" s="124">
        <v>63405680831.41761</v>
      </c>
      <c r="F54" s="124">
        <v>75698776609.470001</v>
      </c>
      <c r="H54" s="121"/>
    </row>
    <row r="55" spans="1:8" x14ac:dyDescent="0.15">
      <c r="A55" s="145">
        <v>25</v>
      </c>
      <c r="B55" s="124">
        <v>40955001879.940857</v>
      </c>
      <c r="C55" s="124">
        <v>49230140768.56852</v>
      </c>
      <c r="D55" s="124">
        <v>60148409450.032715</v>
      </c>
      <c r="E55" s="124">
        <v>74689902523.703873</v>
      </c>
      <c r="F55" s="124">
        <v>94212680827.423141</v>
      </c>
      <c r="H55" s="121"/>
    </row>
    <row r="56" spans="1:8" x14ac:dyDescent="0.15">
      <c r="A56" s="145">
        <v>30</v>
      </c>
      <c r="B56" s="124">
        <v>42111646116.351288</v>
      </c>
      <c r="C56" s="124">
        <v>52370747499.257698</v>
      </c>
      <c r="D56" s="124">
        <v>66644001569.562263</v>
      </c>
      <c r="E56" s="124">
        <v>86792466755.085541</v>
      </c>
      <c r="F56" s="124">
        <v>115589740084.59552</v>
      </c>
      <c r="H56" s="121"/>
    </row>
    <row r="57" spans="1:8" x14ac:dyDescent="0.15">
      <c r="C57" s="115"/>
      <c r="D57" s="115"/>
      <c r="E57" s="115"/>
      <c r="F57" s="115"/>
      <c r="H57" s="121"/>
    </row>
    <row r="58" spans="1:8" x14ac:dyDescent="0.15">
      <c r="B58" s="120" t="s">
        <v>131</v>
      </c>
      <c r="C58" s="115"/>
      <c r="D58" s="115"/>
      <c r="E58" s="115"/>
      <c r="F58" s="115"/>
      <c r="H58" s="121"/>
    </row>
    <row r="59" spans="1:8" x14ac:dyDescent="0.15">
      <c r="B59" s="133">
        <f>B50</f>
        <v>0.02</v>
      </c>
      <c r="C59" s="133">
        <f>C50</f>
        <v>0.04</v>
      </c>
      <c r="D59" s="133">
        <f>D50</f>
        <v>0.06</v>
      </c>
      <c r="E59" s="133">
        <f>E50</f>
        <v>0.08</v>
      </c>
      <c r="F59" s="133">
        <f>F50</f>
        <v>0.1</v>
      </c>
      <c r="H59" s="121"/>
    </row>
    <row r="60" spans="1:8" x14ac:dyDescent="0.15">
      <c r="A60" s="144">
        <v>0</v>
      </c>
      <c r="B60" s="125">
        <f>C7</f>
        <v>27.500000000000004</v>
      </c>
      <c r="C60" s="125">
        <f>C7</f>
        <v>27.500000000000004</v>
      </c>
      <c r="D60" s="125">
        <f>C7</f>
        <v>27.500000000000004</v>
      </c>
      <c r="E60" s="142">
        <f>C7</f>
        <v>27.500000000000004</v>
      </c>
      <c r="F60" s="125">
        <f>C7</f>
        <v>27.500000000000004</v>
      </c>
      <c r="H60" s="121"/>
    </row>
    <row r="61" spans="1:8" x14ac:dyDescent="0.15">
      <c r="A61" s="144">
        <f t="shared" ref="A61:A66" si="3">A51</f>
        <v>5</v>
      </c>
      <c r="B61" s="125">
        <f t="shared" ref="B61:F66" si="4">B51/Common_Shares*$C$3*Exchange_Rate</f>
        <v>28.387293955124942</v>
      </c>
      <c r="C61" s="125">
        <f t="shared" si="4"/>
        <v>29.301161977006334</v>
      </c>
      <c r="D61" s="125">
        <f t="shared" si="4"/>
        <v>30.242770221540216</v>
      </c>
      <c r="E61" s="125">
        <f t="shared" si="4"/>
        <v>31.213320951902471</v>
      </c>
      <c r="F61" s="125">
        <f t="shared" si="4"/>
        <v>32.21405311350545</v>
      </c>
      <c r="H61" s="121"/>
    </row>
    <row r="62" spans="1:8" x14ac:dyDescent="0.15">
      <c r="A62" s="144">
        <f t="shared" si="3"/>
        <v>10</v>
      </c>
      <c r="B62" s="125">
        <f t="shared" si="4"/>
        <v>29.275404967768011</v>
      </c>
      <c r="C62" s="125">
        <f t="shared" si="4"/>
        <v>31.228753584233633</v>
      </c>
      <c r="D62" s="125">
        <f t="shared" si="4"/>
        <v>33.381341804902078</v>
      </c>
      <c r="E62" s="125">
        <f t="shared" si="4"/>
        <v>35.756846596115132</v>
      </c>
      <c r="F62" s="125">
        <f t="shared" si="4"/>
        <v>38.38156170629712</v>
      </c>
      <c r="H62" s="121"/>
    </row>
    <row r="63" spans="1:8" x14ac:dyDescent="0.15">
      <c r="A63" s="144">
        <f t="shared" si="3"/>
        <v>15</v>
      </c>
      <c r="B63" s="125">
        <f t="shared" si="4"/>
        <v>30.374688596022445</v>
      </c>
      <c r="C63" s="125">
        <f t="shared" si="4"/>
        <v>33.74161369205472</v>
      </c>
      <c r="D63" s="125">
        <f t="shared" si="4"/>
        <v>37.698568107494616</v>
      </c>
      <c r="E63" s="125">
        <f t="shared" si="4"/>
        <v>42.362678637486944</v>
      </c>
      <c r="F63" s="125">
        <f t="shared" si="4"/>
        <v>47.874044609278457</v>
      </c>
      <c r="H63" s="121"/>
    </row>
    <row r="64" spans="1:8" x14ac:dyDescent="0.15">
      <c r="A64" s="145">
        <f t="shared" si="3"/>
        <v>20</v>
      </c>
      <c r="B64" s="125">
        <f t="shared" si="4"/>
        <v>31.494682323798592</v>
      </c>
      <c r="C64" s="125">
        <f t="shared" si="4"/>
        <v>36.446270498504475</v>
      </c>
      <c r="D64" s="125">
        <f t="shared" si="4"/>
        <v>42.623349835982566</v>
      </c>
      <c r="E64" s="125">
        <f t="shared" si="4"/>
        <v>50.372081759900496</v>
      </c>
      <c r="F64" s="125">
        <f t="shared" si="4"/>
        <v>60.138222861054224</v>
      </c>
      <c r="H64" s="121"/>
    </row>
    <row r="65" spans="1:8" x14ac:dyDescent="0.15">
      <c r="A65" s="145">
        <f t="shared" si="3"/>
        <v>25</v>
      </c>
      <c r="B65" s="125">
        <f t="shared" si="4"/>
        <v>32.536338639093131</v>
      </c>
      <c r="C65" s="125">
        <f t="shared" si="4"/>
        <v>39.110449463338739</v>
      </c>
      <c r="D65" s="125">
        <f t="shared" si="4"/>
        <v>47.78437134995243</v>
      </c>
      <c r="E65" s="125">
        <f t="shared" si="4"/>
        <v>59.336731775913549</v>
      </c>
      <c r="F65" s="125">
        <f t="shared" si="4"/>
        <v>74.846430149944425</v>
      </c>
    </row>
    <row r="66" spans="1:8" x14ac:dyDescent="0.15">
      <c r="A66" s="145">
        <f t="shared" si="3"/>
        <v>30</v>
      </c>
      <c r="B66" s="125">
        <f t="shared" si="4"/>
        <v>33.455224412096527</v>
      </c>
      <c r="C66" s="125">
        <f t="shared" si="4"/>
        <v>41.605476674458615</v>
      </c>
      <c r="D66" s="125">
        <f t="shared" si="4"/>
        <v>52.944736999110191</v>
      </c>
      <c r="E66" s="125">
        <f t="shared" si="4"/>
        <v>68.951506776729119</v>
      </c>
      <c r="F66" s="125">
        <f t="shared" si="4"/>
        <v>91.829245610147879</v>
      </c>
    </row>
    <row r="68" spans="1:8" ht="14" x14ac:dyDescent="0.2">
      <c r="B68" s="172" t="s">
        <v>118</v>
      </c>
      <c r="C68" s="172" t="s">
        <v>133</v>
      </c>
      <c r="D68" s="172" t="s">
        <v>113</v>
      </c>
      <c r="E68" s="173" t="s">
        <v>114</v>
      </c>
      <c r="F68" s="173" t="s">
        <v>120</v>
      </c>
    </row>
    <row r="69" spans="1:8" x14ac:dyDescent="0.15">
      <c r="B69" s="128" t="str">
        <f>Scenarios!B54</f>
        <v>Snowball Scenario</v>
      </c>
      <c r="C69" s="143">
        <f>Scenarios!C56</f>
        <v>0.1</v>
      </c>
      <c r="D69" s="146">
        <f>Scenarios!C55</f>
        <v>30</v>
      </c>
      <c r="E69" s="136">
        <f>INDEX(B$60:F$66, MATCH(D69, A$60:A$66, 0), MATCH(C69, B$59:F$59, 0))</f>
        <v>91.829245610147879</v>
      </c>
      <c r="F69" s="143">
        <f>Scenarios!C58</f>
        <v>0.05</v>
      </c>
    </row>
    <row r="70" spans="1:8" x14ac:dyDescent="0.15">
      <c r="B70" s="128" t="str">
        <f>Scenarios!B36</f>
        <v>Optimistic</v>
      </c>
      <c r="C70" s="143">
        <f>Scenarios!C38</f>
        <v>0.08</v>
      </c>
      <c r="D70" s="146">
        <f>Scenarios!C37</f>
        <v>30</v>
      </c>
      <c r="E70" s="136">
        <f>INDEX(B$60:F$66, MATCH(D70, A$60:A$66, 0), MATCH(C70, B$59:F$59, 0))</f>
        <v>68.951506776729119</v>
      </c>
      <c r="F70" s="143">
        <f>Scenarios!C40*(1-F$69-F$73)</f>
        <v>0.18</v>
      </c>
      <c r="H70" s="121"/>
    </row>
    <row r="71" spans="1:8" x14ac:dyDescent="0.15">
      <c r="B71" s="128" t="str">
        <f>Scenarios!B24</f>
        <v>Base</v>
      </c>
      <c r="C71" s="143">
        <f>Scenarios!C26</f>
        <v>0.06</v>
      </c>
      <c r="D71" s="146">
        <f>Scenarios!C25</f>
        <v>30</v>
      </c>
      <c r="E71" s="136">
        <f>INDEX(B$60:F$66, MATCH(D71, A$60:A$66, 0), MATCH(C71, B$59:F$59, 0))</f>
        <v>52.944736999110191</v>
      </c>
      <c r="F71" s="143">
        <f>Scenarios!C28*(1-F$69-F$73)</f>
        <v>0.44999999999999996</v>
      </c>
      <c r="H71" s="121"/>
    </row>
    <row r="72" spans="1:8" x14ac:dyDescent="0.15">
      <c r="B72" s="128" t="str">
        <f>Scenarios!B30</f>
        <v>Pessimistic</v>
      </c>
      <c r="C72" s="143">
        <f>Scenarios!C32</f>
        <v>0.04</v>
      </c>
      <c r="D72" s="146">
        <f>Scenarios!C31</f>
        <v>30</v>
      </c>
      <c r="E72" s="136">
        <f>INDEX(B$60:F$66, MATCH(D72, A$60:A$66, 0), MATCH(C72, B$59:F$59, 0))</f>
        <v>41.605476674458615</v>
      </c>
      <c r="F72" s="143">
        <f>Scenarios!C34*(1-F$69-F$73)</f>
        <v>0.26999999999999996</v>
      </c>
      <c r="H72" s="121"/>
    </row>
    <row r="73" spans="1:8" x14ac:dyDescent="0.15">
      <c r="B73" s="128" t="str">
        <f>Scenarios!B48</f>
        <v>Devil's advocate</v>
      </c>
      <c r="C73" s="143">
        <f>Scenarios!C50</f>
        <v>0.02</v>
      </c>
      <c r="D73" s="146">
        <f>Scenarios!C49</f>
        <v>30</v>
      </c>
      <c r="E73" s="136">
        <f>INDEX(B$60:F$66, MATCH(D73, A$60:A$66, 0), MATCH(C73, B$59:F$59, 0))</f>
        <v>33.455224412096527</v>
      </c>
      <c r="F73" s="143">
        <f>Scenarios!C52</f>
        <v>0.05</v>
      </c>
    </row>
    <row r="74" spans="1:8" x14ac:dyDescent="0.15">
      <c r="B74" s="156"/>
      <c r="C74" s="156"/>
      <c r="D74" s="156"/>
      <c r="E74" s="156"/>
      <c r="F74" s="157"/>
    </row>
    <row r="75" spans="1:8" x14ac:dyDescent="0.15">
      <c r="B75" s="156" t="s">
        <v>311</v>
      </c>
      <c r="C75" s="156" t="s">
        <v>106</v>
      </c>
    </row>
    <row r="76" spans="1:8" x14ac:dyDescent="0.15">
      <c r="C76" s="156" t="s">
        <v>105</v>
      </c>
    </row>
    <row r="77" spans="1:8" x14ac:dyDescent="0.15">
      <c r="C77" s="156" t="s">
        <v>104</v>
      </c>
    </row>
    <row r="87" spans="3:3" x14ac:dyDescent="0.15">
      <c r="C87" s="116"/>
    </row>
    <row r="88" spans="3:3" x14ac:dyDescent="0.15">
      <c r="C88" s="116"/>
    </row>
    <row r="89" spans="3:3" x14ac:dyDescent="0.15">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70" t="s">
        <v>296</v>
      </c>
      <c r="I2" s="271"/>
    </row>
    <row r="3" spans="2:9" x14ac:dyDescent="0.15">
      <c r="B3" s="160" t="s">
        <v>149</v>
      </c>
      <c r="H3" s="269">
        <v>0</v>
      </c>
      <c r="I3" s="125">
        <f>-Market_Price</f>
        <v>-55.3</v>
      </c>
    </row>
    <row r="4" spans="2:9" x14ac:dyDescent="0.15">
      <c r="B4" s="153" t="s">
        <v>147</v>
      </c>
      <c r="C4" s="121">
        <v>3</v>
      </c>
      <c r="D4" s="121"/>
      <c r="E4" s="156" t="s">
        <v>151</v>
      </c>
      <c r="F4" s="156"/>
      <c r="H4" s="269">
        <v>1</v>
      </c>
      <c r="I4" s="125">
        <f t="shared" ref="I4:I13" si="0">IF(ROW()-3 &lt; $C$76, $C$77, IF(ROW()-3 = $C$76, $C$77 + $C$60, ""))</f>
        <v>2.0299433998263439</v>
      </c>
    </row>
    <row r="5" spans="2:9" x14ac:dyDescent="0.15">
      <c r="H5" s="269">
        <v>2</v>
      </c>
      <c r="I5" s="125">
        <f t="shared" si="0"/>
        <v>2.0299433998263439</v>
      </c>
    </row>
    <row r="6" spans="2:9" x14ac:dyDescent="0.15">
      <c r="B6" s="160" t="s">
        <v>96</v>
      </c>
      <c r="C6" s="107">
        <f>DCF!C3</f>
        <v>1</v>
      </c>
      <c r="E6" s="100" t="s">
        <v>280</v>
      </c>
      <c r="F6" s="100"/>
      <c r="H6" s="269">
        <v>3</v>
      </c>
      <c r="I6" s="125">
        <f t="shared" si="0"/>
        <v>70.024566893032272</v>
      </c>
    </row>
    <row r="7" spans="2:9" ht="12.75" customHeight="1" x14ac:dyDescent="0.15">
      <c r="B7" s="100" t="s">
        <v>276</v>
      </c>
      <c r="C7" s="115">
        <f>Normalized_FCF!G8</f>
        <v>4487792577</v>
      </c>
      <c r="D7" t="str">
        <f>Reporting_currency</f>
        <v>CNY</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56"/>
      <c r="H7" s="269">
        <v>4</v>
      </c>
      <c r="I7" s="125" t="str">
        <f t="shared" si="0"/>
        <v/>
      </c>
    </row>
    <row r="8" spans="2:9" x14ac:dyDescent="0.15">
      <c r="B8" s="100" t="s">
        <v>66</v>
      </c>
      <c r="C8" s="115">
        <f>Normalized_FCF!G19</f>
        <v>3154931589.2563982</v>
      </c>
      <c r="D8" t="str">
        <f>Reporting_currency</f>
        <v>CNY</v>
      </c>
      <c r="E8" s="356"/>
      <c r="F8" s="356"/>
      <c r="H8" s="269">
        <v>5</v>
      </c>
      <c r="I8" s="125" t="str">
        <f t="shared" si="0"/>
        <v/>
      </c>
    </row>
    <row r="9" spans="2:9" x14ac:dyDescent="0.15">
      <c r="B9" s="100" t="s">
        <v>57</v>
      </c>
      <c r="C9" s="115">
        <f>Normalized_FCF!C19</f>
        <v>2878448391.701438</v>
      </c>
      <c r="D9" t="str">
        <f>Reporting_currency</f>
        <v>CNY</v>
      </c>
      <c r="E9" s="356"/>
      <c r="F9" s="356"/>
      <c r="H9" s="269">
        <v>6</v>
      </c>
      <c r="I9" s="125" t="str">
        <f t="shared" si="0"/>
        <v/>
      </c>
    </row>
    <row r="10" spans="2:9" x14ac:dyDescent="0.15">
      <c r="E10" s="356"/>
      <c r="F10" s="356"/>
      <c r="H10" s="269">
        <v>7</v>
      </c>
      <c r="I10" s="125" t="str">
        <f t="shared" si="0"/>
        <v/>
      </c>
    </row>
    <row r="11" spans="2:9" x14ac:dyDescent="0.15">
      <c r="B11" s="160" t="s">
        <v>449</v>
      </c>
      <c r="E11" s="356"/>
      <c r="F11" s="356"/>
      <c r="H11" s="269">
        <v>8</v>
      </c>
      <c r="I11" s="125" t="str">
        <f t="shared" si="0"/>
        <v/>
      </c>
    </row>
    <row r="12" spans="2:9" ht="14" x14ac:dyDescent="0.15">
      <c r="B12" s="119" t="s">
        <v>145</v>
      </c>
      <c r="C12" s="159">
        <f ca="1">(Normalized_FCF!G4/OFFSET(Normalized_FCF!G4, 0, $C$4))^(1/$C$4) - 1</f>
        <v>2.1321347914251776E-2</v>
      </c>
      <c r="D12" s="159"/>
      <c r="E12" s="356"/>
      <c r="F12" s="356"/>
      <c r="H12" s="269">
        <v>9</v>
      </c>
      <c r="I12" s="125" t="str">
        <f t="shared" si="0"/>
        <v/>
      </c>
    </row>
    <row r="13" spans="2:9" x14ac:dyDescent="0.15">
      <c r="B13" s="149" t="s">
        <v>153</v>
      </c>
      <c r="C13" s="159">
        <f ca="1">(Normalized_FCF!G8/OFFSET(Normalized_FCF!G8, 0, $C$4))^(1/$C$4) - 1</f>
        <v>0.15185942572632172</v>
      </c>
      <c r="E13" s="356"/>
      <c r="F13" s="356"/>
      <c r="H13" s="269">
        <v>10</v>
      </c>
      <c r="I13" s="125" t="str">
        <f t="shared" si="0"/>
        <v/>
      </c>
    </row>
    <row r="14" spans="2:9" x14ac:dyDescent="0.15">
      <c r="B14" s="100" t="s">
        <v>66</v>
      </c>
      <c r="C14" s="159">
        <f ca="1">(Normalized_FCF!G19/OFFSET(Normalized_FCF!G19, 0, $C$4))^(1/$C$4) - 1</f>
        <v>0.22851159696230994</v>
      </c>
      <c r="E14" s="356"/>
      <c r="F14" s="356"/>
    </row>
    <row r="16" spans="2:9" ht="16" x14ac:dyDescent="0.25">
      <c r="B16" s="36" t="s">
        <v>163</v>
      </c>
      <c r="C16" s="37"/>
      <c r="D16" s="37"/>
      <c r="E16" s="37"/>
      <c r="F16" s="37"/>
    </row>
    <row r="17" spans="2:6" x14ac:dyDescent="0.15">
      <c r="B17" s="109" t="s">
        <v>152</v>
      </c>
      <c r="E17" s="160" t="s">
        <v>330</v>
      </c>
    </row>
    <row r="18" spans="2:6" x14ac:dyDescent="0.15">
      <c r="B18" s="153" t="s">
        <v>134</v>
      </c>
      <c r="C18" s="151">
        <v>30</v>
      </c>
      <c r="E18" s="356" t="s">
        <v>331</v>
      </c>
      <c r="F18" s="357"/>
    </row>
    <row r="19" spans="2:6" x14ac:dyDescent="0.15">
      <c r="E19" s="357"/>
      <c r="F19" s="357"/>
    </row>
    <row r="20" spans="2:6" x14ac:dyDescent="0.15">
      <c r="B20" s="160" t="s">
        <v>304</v>
      </c>
      <c r="E20" s="357"/>
      <c r="F20" s="357"/>
    </row>
    <row r="21" spans="2:6" x14ac:dyDescent="0.15">
      <c r="B21" s="100" t="s">
        <v>278</v>
      </c>
      <c r="C21" s="161">
        <f>Market_Price</f>
        <v>55.3</v>
      </c>
      <c r="D21" t="str">
        <f>Market_currency</f>
        <v>HKD</v>
      </c>
      <c r="E21" s="357"/>
      <c r="F21" s="357"/>
    </row>
    <row r="22" spans="2:6" x14ac:dyDescent="0.15">
      <c r="B22" s="100" t="s">
        <v>279</v>
      </c>
      <c r="C22" s="161">
        <f>IF(valuation_method="DCF",DCF!C12,DDM!C7)</f>
        <v>40.725966472891137</v>
      </c>
      <c r="D22" t="str">
        <f>Market_currency</f>
        <v>HKD</v>
      </c>
      <c r="E22" s="357"/>
      <c r="F22" s="357"/>
    </row>
    <row r="24" spans="2:6" x14ac:dyDescent="0.15">
      <c r="B24" s="160" t="s">
        <v>116</v>
      </c>
      <c r="E24" s="160" t="s">
        <v>150</v>
      </c>
      <c r="F24" s="160"/>
    </row>
    <row r="25" spans="2:6" x14ac:dyDescent="0.15">
      <c r="B25" s="153" t="s">
        <v>134</v>
      </c>
      <c r="C25" s="167">
        <f>C18</f>
        <v>30</v>
      </c>
      <c r="D25" s="164"/>
      <c r="E25" s="355"/>
      <c r="F25" s="355"/>
    </row>
    <row r="26" spans="2:6" ht="14" x14ac:dyDescent="0.15">
      <c r="B26" s="119" t="s">
        <v>135</v>
      </c>
      <c r="C26" s="165">
        <v>0.06</v>
      </c>
      <c r="D26" s="165"/>
      <c r="E26" s="355"/>
      <c r="F26" s="355"/>
    </row>
    <row r="27" spans="2:6" x14ac:dyDescent="0.15">
      <c r="B27" s="100" t="s">
        <v>114</v>
      </c>
      <c r="C27" s="161">
        <f>IF(valuation_method="DCF",DCF!E76,DDM!E71)</f>
        <v>67.174126388390562</v>
      </c>
      <c r="D27" s="161" t="str">
        <f>Market_currency</f>
        <v>HKD</v>
      </c>
      <c r="E27" s="355"/>
      <c r="F27" s="355"/>
    </row>
    <row r="28" spans="2:6" x14ac:dyDescent="0.15">
      <c r="B28" s="100" t="s">
        <v>148</v>
      </c>
      <c r="C28" s="166">
        <v>0.5</v>
      </c>
      <c r="D28" s="166"/>
      <c r="E28" s="355"/>
      <c r="F28" s="355"/>
    </row>
    <row r="30" spans="2:6" x14ac:dyDescent="0.15">
      <c r="B30" s="160" t="s">
        <v>117</v>
      </c>
      <c r="E30" s="160" t="s">
        <v>150</v>
      </c>
      <c r="F30" s="160"/>
    </row>
    <row r="31" spans="2:6" x14ac:dyDescent="0.15">
      <c r="B31" s="153" t="s">
        <v>134</v>
      </c>
      <c r="C31" s="167">
        <f>C18</f>
        <v>30</v>
      </c>
      <c r="D31" s="164"/>
      <c r="E31" s="355"/>
      <c r="F31" s="355"/>
    </row>
    <row r="32" spans="2:6" ht="14" x14ac:dyDescent="0.15">
      <c r="B32" s="119" t="s">
        <v>135</v>
      </c>
      <c r="C32" s="165">
        <v>0.04</v>
      </c>
      <c r="D32" s="165"/>
      <c r="E32" s="355"/>
      <c r="F32" s="355"/>
    </row>
    <row r="33" spans="2:6" x14ac:dyDescent="0.15">
      <c r="B33" s="100" t="s">
        <v>114</v>
      </c>
      <c r="C33" s="161">
        <f>IF(valuation_method="DCF",DCF!E77,DDM!E72)</f>
        <v>55.38769800438525</v>
      </c>
      <c r="D33" t="str">
        <f>Market_currency</f>
        <v>HKD</v>
      </c>
      <c r="E33" s="355"/>
      <c r="F33" s="355"/>
    </row>
    <row r="34" spans="2:6" x14ac:dyDescent="0.15">
      <c r="B34" s="100" t="s">
        <v>148</v>
      </c>
      <c r="C34" s="166">
        <v>0.3</v>
      </c>
      <c r="D34" s="166"/>
      <c r="E34" s="355"/>
      <c r="F34" s="355"/>
    </row>
    <row r="36" spans="2:6" x14ac:dyDescent="0.15">
      <c r="B36" s="160" t="s">
        <v>115</v>
      </c>
      <c r="E36" s="160" t="s">
        <v>150</v>
      </c>
      <c r="F36" s="160"/>
    </row>
    <row r="37" spans="2:6" x14ac:dyDescent="0.15">
      <c r="B37" s="153" t="s">
        <v>134</v>
      </c>
      <c r="C37" s="167">
        <f>C18</f>
        <v>30</v>
      </c>
      <c r="D37" s="164"/>
      <c r="E37" s="355"/>
      <c r="F37" s="355"/>
    </row>
    <row r="38" spans="2:6" ht="14" x14ac:dyDescent="0.15">
      <c r="B38" s="119" t="s">
        <v>135</v>
      </c>
      <c r="C38" s="165">
        <v>0.08</v>
      </c>
      <c r="D38" s="165"/>
      <c r="E38" s="355"/>
      <c r="F38" s="355"/>
    </row>
    <row r="39" spans="2:6" x14ac:dyDescent="0.15">
      <c r="B39" s="100" t="s">
        <v>114</v>
      </c>
      <c r="C39" s="161">
        <f>IF(valuation_method="DCF",DCF!E75,DDM!E70)</f>
        <v>83.812129242334478</v>
      </c>
      <c r="D39" t="str">
        <f>Market_currency</f>
        <v>HKD</v>
      </c>
      <c r="E39" s="355"/>
      <c r="F39" s="355"/>
    </row>
    <row r="40" spans="2:6" x14ac:dyDescent="0.15">
      <c r="B40" s="100" t="s">
        <v>148</v>
      </c>
      <c r="C40" s="168">
        <f>1-C28-C34</f>
        <v>0.2</v>
      </c>
      <c r="D40" s="166"/>
      <c r="E40" s="355"/>
      <c r="F40" s="355"/>
    </row>
    <row r="42" spans="2:6" x14ac:dyDescent="0.15">
      <c r="B42" s="100" t="s">
        <v>121</v>
      </c>
      <c r="C42" s="155">
        <f>C27*C28+C33*C34+C39*C40</f>
        <v>66.965798443977747</v>
      </c>
      <c r="D42" t="str">
        <f>Market_currency</f>
        <v>HKD</v>
      </c>
    </row>
    <row r="44" spans="2:6" ht="16" x14ac:dyDescent="0.25">
      <c r="B44" s="36" t="s">
        <v>162</v>
      </c>
      <c r="C44" s="37"/>
      <c r="D44" s="37"/>
      <c r="E44" s="37"/>
      <c r="F44" s="37"/>
    </row>
    <row r="45" spans="2:6" x14ac:dyDescent="0.15">
      <c r="B45" s="109" t="s">
        <v>152</v>
      </c>
    </row>
    <row r="46" spans="2:6" x14ac:dyDescent="0.15">
      <c r="B46" s="153" t="s">
        <v>134</v>
      </c>
      <c r="C46" s="151">
        <v>30</v>
      </c>
      <c r="E46" s="100"/>
      <c r="F46" s="100"/>
    </row>
    <row r="47" spans="2:6" x14ac:dyDescent="0.15">
      <c r="B47" s="160"/>
      <c r="E47" s="160"/>
      <c r="F47" s="160"/>
    </row>
    <row r="48" spans="2:6" x14ac:dyDescent="0.15">
      <c r="B48" s="160" t="s">
        <v>166</v>
      </c>
      <c r="E48" s="160" t="s">
        <v>150</v>
      </c>
      <c r="F48" s="160"/>
    </row>
    <row r="49" spans="2:6" ht="12.75" customHeight="1" x14ac:dyDescent="0.15">
      <c r="B49" s="153" t="s">
        <v>134</v>
      </c>
      <c r="C49" s="167">
        <f>C46</f>
        <v>30</v>
      </c>
      <c r="D49" s="164"/>
      <c r="E49" s="355"/>
      <c r="F49" s="355"/>
    </row>
    <row r="50" spans="2:6" ht="14" x14ac:dyDescent="0.15">
      <c r="B50" s="119" t="s">
        <v>135</v>
      </c>
      <c r="C50" s="165">
        <v>0.02</v>
      </c>
      <c r="D50" s="165"/>
      <c r="E50" s="355"/>
      <c r="F50" s="355"/>
    </row>
    <row r="51" spans="2:6" x14ac:dyDescent="0.15">
      <c r="B51" s="100" t="s">
        <v>114</v>
      </c>
      <c r="C51" s="161">
        <f>IF(valuation_method="DCF",DCF!E78,DDM!E73)</f>
        <v>46.916037432921996</v>
      </c>
      <c r="D51" t="str">
        <f>Market_currency</f>
        <v>HKD</v>
      </c>
      <c r="E51" s="355"/>
      <c r="F51" s="355"/>
    </row>
    <row r="52" spans="2:6" x14ac:dyDescent="0.15">
      <c r="B52" s="100" t="s">
        <v>148</v>
      </c>
      <c r="C52" s="166">
        <v>0.05</v>
      </c>
      <c r="D52" s="166"/>
      <c r="E52" s="355"/>
      <c r="F52" s="355"/>
    </row>
    <row r="54" spans="2:6" x14ac:dyDescent="0.15">
      <c r="B54" s="160" t="s">
        <v>317</v>
      </c>
      <c r="E54" s="160" t="s">
        <v>150</v>
      </c>
      <c r="F54" s="160"/>
    </row>
    <row r="55" spans="2:6" x14ac:dyDescent="0.15">
      <c r="B55" s="153" t="s">
        <v>134</v>
      </c>
      <c r="C55" s="167">
        <f>C46</f>
        <v>30</v>
      </c>
      <c r="D55" s="164"/>
      <c r="E55" s="355"/>
      <c r="F55" s="355"/>
    </row>
    <row r="56" spans="2:6" ht="14" x14ac:dyDescent="0.15">
      <c r="B56" s="119" t="s">
        <v>135</v>
      </c>
      <c r="C56" s="165">
        <v>0.1</v>
      </c>
      <c r="D56" s="165"/>
      <c r="E56" s="355"/>
      <c r="F56" s="355"/>
    </row>
    <row r="57" spans="2:6" x14ac:dyDescent="0.15">
      <c r="B57" s="100" t="s">
        <v>114</v>
      </c>
      <c r="C57" s="161">
        <f>IF(valuation_method="DCF",DCF!E74,DDM!E69)</f>
        <v>107.59206043959743</v>
      </c>
      <c r="D57" t="str">
        <f>Market_currency</f>
        <v>HKD</v>
      </c>
      <c r="E57" s="355"/>
      <c r="F57" s="355"/>
    </row>
    <row r="58" spans="2:6" x14ac:dyDescent="0.15">
      <c r="B58" s="100" t="s">
        <v>148</v>
      </c>
      <c r="C58" s="166">
        <v>0.05</v>
      </c>
      <c r="D58" s="166"/>
      <c r="E58" s="355"/>
      <c r="F58" s="355"/>
    </row>
    <row r="60" spans="2:6" x14ac:dyDescent="0.15">
      <c r="B60" s="100" t="s">
        <v>121</v>
      </c>
      <c r="C60" s="155">
        <f>C51*C52+C57*C58+C42*(1-C52-C58)</f>
        <v>67.994623493205935</v>
      </c>
      <c r="D60" t="str">
        <f>Market_currency</f>
        <v>HKD</v>
      </c>
      <c r="E60" s="100" t="s">
        <v>297</v>
      </c>
      <c r="F60" s="302">
        <f>Thesis!F28</f>
        <v>3</v>
      </c>
    </row>
    <row r="62" spans="2:6" ht="16" x14ac:dyDescent="0.25">
      <c r="B62" s="36" t="s">
        <v>350</v>
      </c>
      <c r="C62" s="37"/>
      <c r="D62" s="37"/>
      <c r="E62" s="37"/>
      <c r="F62" s="37"/>
    </row>
    <row r="63" spans="2:6" x14ac:dyDescent="0.15">
      <c r="B63" s="109" t="s">
        <v>305</v>
      </c>
      <c r="E63" s="274" t="s">
        <v>312</v>
      </c>
    </row>
    <row r="64" spans="2:6" x14ac:dyDescent="0.15">
      <c r="B64" s="153" t="s">
        <v>134</v>
      </c>
      <c r="C64" s="167">
        <f>C18</f>
        <v>30</v>
      </c>
      <c r="D64" s="151"/>
      <c r="E64" s="273" t="s">
        <v>396</v>
      </c>
    </row>
    <row r="65" spans="2:6" ht="14" x14ac:dyDescent="0.15">
      <c r="B65" s="119" t="s">
        <v>135</v>
      </c>
      <c r="C65" s="152">
        <v>6.1165848114484E-2</v>
      </c>
      <c r="D65" s="152"/>
      <c r="E65" s="273" t="s">
        <v>313</v>
      </c>
    </row>
    <row r="66" spans="2:6" x14ac:dyDescent="0.15">
      <c r="B66" s="100" t="s">
        <v>103</v>
      </c>
      <c r="C66" s="161">
        <f>IF(valuation_method="DCF",DCF!C18,DDM!C13)</f>
        <v>67.992783781119726</v>
      </c>
      <c r="D66" s="161" t="str">
        <f>Market_currency</f>
        <v>HKD</v>
      </c>
      <c r="E66" s="273" t="s">
        <v>314</v>
      </c>
    </row>
    <row r="68" spans="2:6" x14ac:dyDescent="0.15">
      <c r="B68" s="109" t="s">
        <v>351</v>
      </c>
      <c r="E68" s="274" t="s">
        <v>315</v>
      </c>
    </row>
    <row r="69" spans="2:6" x14ac:dyDescent="0.15">
      <c r="B69" s="100" t="s">
        <v>306</v>
      </c>
      <c r="C69" s="266" t="str">
        <f>IF(C60&lt;C22,"Y","N")</f>
        <v>N</v>
      </c>
      <c r="E69" s="135"/>
    </row>
    <row r="70" spans="2:6" x14ac:dyDescent="0.15">
      <c r="B70" s="100" t="s">
        <v>294</v>
      </c>
      <c r="C70" s="266" t="str">
        <f>IF(C69="Y","N",IF(C65&gt;8%,"N","Y"))</f>
        <v>Y</v>
      </c>
      <c r="E70" s="273" t="s">
        <v>295</v>
      </c>
    </row>
    <row r="71" spans="2:6" x14ac:dyDescent="0.15">
      <c r="B71" s="100" t="s">
        <v>293</v>
      </c>
      <c r="C71" s="266" t="str">
        <f>IF(C65&gt;8%,"Y","N")</f>
        <v>N</v>
      </c>
      <c r="E71" s="273"/>
    </row>
    <row r="72" spans="2:6" x14ac:dyDescent="0.15">
      <c r="B72" s="100" t="s">
        <v>285</v>
      </c>
      <c r="C72" s="265" t="str">
        <f>IF(F72&gt;50%,"Y","N")</f>
        <v>N</v>
      </c>
      <c r="E72" s="135" t="s">
        <v>347</v>
      </c>
      <c r="F72" s="319">
        <f>BS!D89/C60</f>
        <v>0.17856549314865774</v>
      </c>
    </row>
    <row r="74" spans="2:6" ht="16" x14ac:dyDescent="0.25">
      <c r="B74" s="36" t="s">
        <v>128</v>
      </c>
      <c r="C74" s="37"/>
      <c r="D74" s="37"/>
      <c r="E74" s="37"/>
      <c r="F74" s="37"/>
    </row>
    <row r="75" spans="2:6" x14ac:dyDescent="0.15">
      <c r="B75" s="109" t="s">
        <v>126</v>
      </c>
    </row>
    <row r="76" spans="2:6" x14ac:dyDescent="0.15">
      <c r="B76" s="268" t="s">
        <v>298</v>
      </c>
      <c r="C76" s="267">
        <f>F60</f>
        <v>3</v>
      </c>
      <c r="D76" s="135"/>
    </row>
    <row r="77" spans="2:6" x14ac:dyDescent="0.15">
      <c r="B77" s="100" t="s">
        <v>112</v>
      </c>
      <c r="C77" s="174">
        <f>Normalized_FCF!C90</f>
        <v>2.0299433998263439</v>
      </c>
      <c r="D77" t="str">
        <f>Market_currency</f>
        <v>HKD</v>
      </c>
    </row>
    <row r="79" spans="2:6" x14ac:dyDescent="0.15">
      <c r="B79" s="109" t="s">
        <v>302</v>
      </c>
    </row>
    <row r="80" spans="2:6" x14ac:dyDescent="0.15">
      <c r="B80" s="149" t="s">
        <v>300</v>
      </c>
      <c r="C80" s="168">
        <f>Thesis!F29</f>
        <v>0.4</v>
      </c>
    </row>
    <row r="81" spans="2:8" x14ac:dyDescent="0.15">
      <c r="B81" s="100" t="s">
        <v>122</v>
      </c>
      <c r="C81" s="117">
        <f>PV(C80, C76, -C77, 0)</f>
        <v>3.2254202708610995</v>
      </c>
      <c r="D81" s="117"/>
      <c r="E81" s="100"/>
      <c r="F81" s="100"/>
    </row>
    <row r="82" spans="2:8" x14ac:dyDescent="0.15">
      <c r="B82" s="100" t="s">
        <v>123</v>
      </c>
      <c r="C82" s="117">
        <f>C60/(1+C80)^C76</f>
        <v>24.779381739506544</v>
      </c>
      <c r="D82" s="117"/>
    </row>
    <row r="83" spans="2:8" x14ac:dyDescent="0.15">
      <c r="B83" s="111" t="s">
        <v>102</v>
      </c>
      <c r="C83" s="112">
        <f>C81+C82</f>
        <v>28.004802010367644</v>
      </c>
      <c r="D83" t="str">
        <f>Market_currency</f>
        <v>HKD</v>
      </c>
      <c r="E83" s="147" t="s">
        <v>127</v>
      </c>
      <c r="F83" s="319">
        <f>(1-C83/C60)</f>
        <v>0.58813211145781397</v>
      </c>
    </row>
    <row r="84" spans="2:8" x14ac:dyDescent="0.15">
      <c r="E84" s="121"/>
    </row>
    <row r="85" spans="2:8" x14ac:dyDescent="0.15">
      <c r="B85" s="109" t="s">
        <v>303</v>
      </c>
    </row>
    <row r="86" spans="2:8" x14ac:dyDescent="0.15">
      <c r="B86" s="149" t="s">
        <v>301</v>
      </c>
      <c r="C86" s="117">
        <f>Market_Price</f>
        <v>55.3</v>
      </c>
      <c r="D86" t="str">
        <f>Market_currency</f>
        <v>HKD</v>
      </c>
    </row>
    <row r="87" spans="2:8" x14ac:dyDescent="0.15">
      <c r="B87" s="100" t="s">
        <v>299</v>
      </c>
      <c r="C87" s="259">
        <f ca="1">IRR(OFFSET($I$3, 0, 0, $C$76 + 1, 1))</f>
        <v>0.10568154188169632</v>
      </c>
    </row>
    <row r="88" spans="2:8" x14ac:dyDescent="0.15">
      <c r="B88" s="100"/>
    </row>
    <row r="89" spans="2:8" x14ac:dyDescent="0.15">
      <c r="B89" s="109" t="s">
        <v>414</v>
      </c>
    </row>
    <row r="90" spans="2:8" x14ac:dyDescent="0.15">
      <c r="B90" s="149" t="s">
        <v>415</v>
      </c>
      <c r="C90" s="168">
        <f>Thesis!F30</f>
        <v>0.21740000000000001</v>
      </c>
    </row>
    <row r="91" spans="2:8" x14ac:dyDescent="0.15">
      <c r="B91" s="100" t="s">
        <v>122</v>
      </c>
      <c r="C91" s="117">
        <f>PV(C90, C76, -C77, 0)</f>
        <v>4.162197619403126</v>
      </c>
      <c r="D91" s="117"/>
      <c r="E91" s="100"/>
      <c r="F91" s="100"/>
    </row>
    <row r="92" spans="2:8" x14ac:dyDescent="0.15">
      <c r="B92" s="100" t="s">
        <v>123</v>
      </c>
      <c r="C92" s="117">
        <f>C60/(1+C90)^C76</f>
        <v>37.685534650132716</v>
      </c>
      <c r="D92" s="117"/>
    </row>
    <row r="93" spans="2:8" x14ac:dyDescent="0.15">
      <c r="B93" s="111" t="s">
        <v>102</v>
      </c>
      <c r="C93" s="112">
        <f>C91+C92</f>
        <v>41.84773226953584</v>
      </c>
      <c r="D93" t="str">
        <f>Market_currency</f>
        <v>HKD</v>
      </c>
      <c r="E93" s="147" t="s">
        <v>127</v>
      </c>
      <c r="F93" s="319">
        <f>(1-C93/C60)</f>
        <v>0.38454351065393733</v>
      </c>
    </row>
    <row r="95" spans="2:8" x14ac:dyDescent="0.15">
      <c r="B95" s="109" t="s">
        <v>398</v>
      </c>
      <c r="G95" s="2"/>
      <c r="H95" s="306"/>
    </row>
    <row r="96" spans="2:8" x14ac:dyDescent="0.15">
      <c r="B96" s="149" t="s">
        <v>404</v>
      </c>
      <c r="C96" s="135">
        <f>Thesis!F31</f>
        <v>0.08</v>
      </c>
      <c r="G96" s="2"/>
      <c r="H96" s="306"/>
    </row>
    <row r="97" spans="2:8" x14ac:dyDescent="0.15">
      <c r="B97" s="100" t="s">
        <v>122</v>
      </c>
      <c r="C97" s="117">
        <f>PV(C96, C76, -C77, 0)</f>
        <v>5.2313610199761902</v>
      </c>
      <c r="D97" s="117"/>
      <c r="G97" s="2"/>
      <c r="H97" s="306"/>
    </row>
    <row r="98" spans="2:8" x14ac:dyDescent="0.15">
      <c r="B98" s="100" t="s">
        <v>123</v>
      </c>
      <c r="C98" s="117">
        <f>C60/(1+C96)^C76</f>
        <v>53.976324344934341</v>
      </c>
      <c r="D98" s="117"/>
      <c r="G98" s="2"/>
      <c r="H98" s="306"/>
    </row>
    <row r="99" spans="2:8" x14ac:dyDescent="0.15">
      <c r="B99" s="111" t="s">
        <v>399</v>
      </c>
      <c r="C99" s="112">
        <f>C97+C98</f>
        <v>59.207685364910532</v>
      </c>
      <c r="D99" t="s">
        <v>397</v>
      </c>
      <c r="E99" s="147" t="s">
        <v>127</v>
      </c>
      <c r="F99" s="319">
        <f>(1-C99/C60)</f>
        <v>0.12922989608396607</v>
      </c>
    </row>
    <row r="100" spans="2:8" x14ac:dyDescent="0.15">
      <c r="B100" s="100"/>
    </row>
    <row r="101" spans="2:8" x14ac:dyDescent="0.15">
      <c r="B101" s="109" t="s">
        <v>424</v>
      </c>
    </row>
    <row r="102" spans="2:8" x14ac:dyDescent="0.15">
      <c r="B102" s="149" t="s">
        <v>423</v>
      </c>
      <c r="C102" s="135">
        <f>Thesis!F32</f>
        <v>0.1174</v>
      </c>
    </row>
    <row r="103" spans="2:8" x14ac:dyDescent="0.15">
      <c r="B103" s="100" t="s">
        <v>122</v>
      </c>
      <c r="C103" s="117">
        <f>PV(C102, C76, -C77, 0)</f>
        <v>4.897447791899566</v>
      </c>
      <c r="D103" s="117"/>
    </row>
    <row r="104" spans="2:8" x14ac:dyDescent="0.15">
      <c r="B104" s="100" t="s">
        <v>123</v>
      </c>
      <c r="C104" s="117">
        <f>C60/(1+C102)^C76</f>
        <v>48.735853057883816</v>
      </c>
      <c r="D104" s="117"/>
    </row>
    <row r="105" spans="2:8" x14ac:dyDescent="0.15">
      <c r="B105" s="111" t="s">
        <v>399</v>
      </c>
      <c r="C105" s="112">
        <f>C103+C104</f>
        <v>53.633300849783382</v>
      </c>
      <c r="D105" t="s">
        <v>397</v>
      </c>
      <c r="E105" s="147" t="s">
        <v>127</v>
      </c>
      <c r="F105" s="319">
        <f>(1-C105/C66)</f>
        <v>0.21119127843863472</v>
      </c>
    </row>
    <row r="106" spans="2:8" x14ac:dyDescent="0.15">
      <c r="B106" s="100"/>
    </row>
    <row r="107" spans="2:8" ht="16" x14ac:dyDescent="0.25">
      <c r="E107" s="310" t="s">
        <v>325</v>
      </c>
      <c r="F107" s="307"/>
    </row>
    <row r="108" spans="2:8" ht="16" x14ac:dyDescent="0.25">
      <c r="E108" s="303" t="s">
        <v>326</v>
      </c>
      <c r="F108" s="308" t="s">
        <v>327</v>
      </c>
    </row>
    <row r="109" spans="2:8" ht="16" x14ac:dyDescent="0.25">
      <c r="E109" s="304" t="s">
        <v>326</v>
      </c>
      <c r="F109" s="308" t="s">
        <v>328</v>
      </c>
    </row>
    <row r="110" spans="2:8" ht="16" x14ac:dyDescent="0.25">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2760 2760</cp:lastModifiedBy>
  <cp:revision/>
  <cp:lastPrinted>2025-04-07T04:13:20Z</cp:lastPrinted>
  <dcterms:created xsi:type="dcterms:W3CDTF">2022-08-10T03:52:42Z</dcterms:created>
  <dcterms:modified xsi:type="dcterms:W3CDTF">2025-05-18T15:27:05Z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