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203CC38C-44BC-4D35-9485-0E083996479B}" xr6:coauthVersionLast="47" xr6:coauthVersionMax="47" xr10:uidLastSave="{00000000-0000-0000-0000-000000000000}"/>
  <bookViews>
    <workbookView xWindow="-98" yWindow="-98" windowWidth="17115" windowHeight="10755" activeTab="2"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Thesis!$C$6</definedName>
    <definedName name="Equity_Cost">Valuation_Model!$C$5</definedName>
    <definedName name="Exchange_Rate">Thesis!$C$16</definedName>
    <definedName name="Market_currency">Thesis!$C$13</definedName>
    <definedName name="Market_Price">Thesis!$C$12</definedName>
    <definedName name="Reporting_currency">Thesis!$C$22</definedName>
    <definedName name="scaling_factor">Data!$C$3</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19" i="3"/>
  <c r="C23" i="3"/>
  <c r="C4" i="3"/>
  <c r="C28" i="4" s="1"/>
  <c r="C11" i="3"/>
  <c r="C1" i="3"/>
  <c r="C5" i="4"/>
  <c r="D5" i="4"/>
  <c r="E5" i="4"/>
  <c r="F5" i="4"/>
  <c r="G5" i="4"/>
  <c r="C6" i="4"/>
  <c r="D6" i="4"/>
  <c r="E6" i="4"/>
  <c r="F6" i="4"/>
  <c r="G6" i="4"/>
  <c r="C20" i="4"/>
  <c r="D20" i="4"/>
  <c r="E20" i="4"/>
  <c r="F20" i="4"/>
  <c r="C25" i="4"/>
  <c r="D25" i="4"/>
  <c r="E25" i="4"/>
  <c r="F25" i="4"/>
  <c r="G25" i="4"/>
  <c r="C29" i="4"/>
  <c r="C30" i="4"/>
  <c r="C32" i="4"/>
  <c r="D135" i="6"/>
  <c r="E22" i="6"/>
  <c r="D22" i="6"/>
  <c r="D156" i="6"/>
  <c r="D148" i="6"/>
  <c r="D140" i="6"/>
  <c r="C135" i="6"/>
  <c r="D15" i="6"/>
  <c r="C156" i="6"/>
  <c r="C148" i="6"/>
  <c r="C140" i="6"/>
  <c r="D14" i="6"/>
  <c r="C14" i="6"/>
  <c r="C90" i="9" l="1"/>
  <c r="C144" i="6" s="1"/>
  <c r="D93" i="9"/>
  <c r="C96" i="9" l="1"/>
  <c r="C152" i="6" s="1"/>
  <c r="C33" i="6"/>
  <c r="H1" i="3"/>
  <c r="C3" i="2"/>
  <c r="C3" i="8"/>
  <c r="C136" i="6"/>
  <c r="D109" i="6"/>
  <c r="C64" i="9"/>
  <c r="M69" i="4"/>
  <c r="M70" i="4"/>
  <c r="M71" i="4"/>
  <c r="M72" i="4"/>
  <c r="D64" i="4"/>
  <c r="E64" i="4"/>
  <c r="F64" i="4"/>
  <c r="G64" i="4"/>
  <c r="H64" i="4"/>
  <c r="I64" i="4"/>
  <c r="J64" i="4"/>
  <c r="K64" i="4"/>
  <c r="L64" i="4"/>
  <c r="M64" i="4"/>
  <c r="C64" i="4"/>
  <c r="D46" i="6"/>
  <c r="D45" i="6"/>
  <c r="F60" i="9"/>
  <c r="B25" i="6"/>
  <c r="C40" i="3" l="1"/>
  <c r="B91" i="2" l="1"/>
  <c r="B90" i="2"/>
  <c r="C8" i="6"/>
  <c r="C71" i="9"/>
  <c r="D66" i="9"/>
  <c r="D18" i="8"/>
  <c r="D22" i="9"/>
  <c r="D21" i="9"/>
  <c r="D9" i="9"/>
  <c r="D86" i="9"/>
  <c r="C86" i="9"/>
  <c r="C76" i="9"/>
  <c r="E87" i="3"/>
  <c r="E88" i="3"/>
  <c r="E89" i="3"/>
  <c r="E86" i="3"/>
  <c r="I3" i="9"/>
  <c r="C74" i="6" l="1"/>
  <c r="C73" i="6"/>
  <c r="C75" i="6" l="1"/>
  <c r="D104" i="6"/>
  <c r="D100" i="6"/>
  <c r="D92" i="6"/>
  <c r="D82" i="6"/>
  <c r="E7" i="9"/>
  <c r="D8" i="9"/>
  <c r="D7" i="9"/>
  <c r="C21" i="9"/>
  <c r="D61" i="6"/>
  <c r="B124" i="2"/>
  <c r="C131" i="6"/>
  <c r="C132" i="6"/>
  <c r="C80" i="9" s="1"/>
  <c r="D98" i="6"/>
  <c r="D108" i="6"/>
  <c r="D133" i="6"/>
  <c r="D122" i="6"/>
  <c r="F78" i="8"/>
  <c r="F74" i="8"/>
  <c r="F116" i="6" s="1"/>
  <c r="D103" i="6"/>
  <c r="D99" i="6"/>
  <c r="D91" i="6"/>
  <c r="F4" i="8"/>
  <c r="D62" i="6"/>
  <c r="D50" i="6"/>
  <c r="B83" i="2"/>
  <c r="D56" i="6"/>
  <c r="D53" i="6"/>
  <c r="D47" i="6"/>
  <c r="D42" i="6"/>
  <c r="D39" i="6"/>
  <c r="D38" i="6"/>
  <c r="D35" i="6"/>
  <c r="B146" i="6" l="1"/>
  <c r="B145" i="6"/>
  <c r="B154" i="6"/>
  <c r="B153" i="6"/>
  <c r="B137" i="6"/>
  <c r="B138" i="6"/>
  <c r="F76" i="8"/>
  <c r="F118" i="6" s="1"/>
  <c r="F77" i="8"/>
  <c r="F119" i="6" s="1"/>
  <c r="F120"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20" i="6" s="1"/>
  <c r="B77" i="8"/>
  <c r="B119" i="6" s="1"/>
  <c r="B76" i="8"/>
  <c r="B118" i="6" s="1"/>
  <c r="B75" i="8"/>
  <c r="B117" i="6" s="1"/>
  <c r="B74" i="8"/>
  <c r="B116" i="6" s="1"/>
  <c r="C74" i="8"/>
  <c r="C55" i="9"/>
  <c r="D74" i="8" s="1"/>
  <c r="D116" i="6" s="1"/>
  <c r="C49" i="9"/>
  <c r="C40" i="9"/>
  <c r="F75" i="8" s="1"/>
  <c r="F117"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55" i="8" l="1"/>
  <c r="F64" i="8" s="1"/>
  <c r="C116" i="6"/>
  <c r="C103" i="6"/>
  <c r="C104" i="6" s="1"/>
  <c r="G67" i="2"/>
  <c r="C59" i="2" s="1"/>
  <c r="C77" i="8" l="1"/>
  <c r="C31" i="9"/>
  <c r="D77" i="8" s="1"/>
  <c r="D119" i="6" s="1"/>
  <c r="D78" i="8"/>
  <c r="D120" i="6" s="1"/>
  <c r="C25" i="9"/>
  <c r="D76" i="8" s="1"/>
  <c r="D118" i="6" s="1"/>
  <c r="C76" i="8"/>
  <c r="C5" i="8"/>
  <c r="C78" i="8"/>
  <c r="D75" i="8"/>
  <c r="D117" i="6" s="1"/>
  <c r="C75" i="8"/>
  <c r="C17" i="8"/>
  <c r="C16" i="8"/>
  <c r="Q96" i="2"/>
  <c r="D51" i="8"/>
  <c r="A71" i="8"/>
  <c r="A70" i="8"/>
  <c r="C61" i="2" l="1"/>
  <c r="C63" i="2" s="1"/>
  <c r="D55" i="8"/>
  <c r="C118" i="6"/>
  <c r="B55" i="8"/>
  <c r="B64" i="8" s="1"/>
  <c r="C120" i="6"/>
  <c r="C55" i="8"/>
  <c r="C119" i="6"/>
  <c r="E55" i="8"/>
  <c r="C11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2" i="6" s="1"/>
  <c r="H32" i="3"/>
  <c r="H27" i="3" s="1"/>
  <c r="H29" i="3" s="1"/>
  <c r="D46" i="3" s="1"/>
  <c r="D47" i="3" s="1"/>
  <c r="C10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1" i="8" s="1"/>
  <c r="D1" i="4"/>
  <c r="K76" i="4" l="1"/>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K45" i="4" l="1"/>
  <c r="C77" i="9"/>
  <c r="C91" i="9" s="1"/>
  <c r="C145" i="6" s="1"/>
  <c r="L45" i="4"/>
  <c r="C70" i="3"/>
  <c r="C69" i="2" s="1"/>
  <c r="C98"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3" i="2" l="1"/>
  <c r="C64" i="6" s="1"/>
  <c r="C91" i="2"/>
  <c r="C133" i="6"/>
  <c r="C97" i="9"/>
  <c r="C153" i="6" s="1"/>
  <c r="G72" i="4"/>
  <c r="I72" i="4"/>
  <c r="F72" i="4"/>
  <c r="E72" i="4"/>
  <c r="D72" i="4"/>
  <c r="J72" i="4"/>
  <c r="H72" i="4"/>
  <c r="L69" i="4"/>
  <c r="L70" i="4"/>
  <c r="L72" i="4"/>
  <c r="L71" i="4"/>
  <c r="K72" i="4"/>
  <c r="C72" i="4"/>
  <c r="I4" i="9"/>
  <c r="I5" i="9"/>
  <c r="C81" i="9"/>
  <c r="C137" i="6" s="1"/>
  <c r="C9" i="2"/>
  <c r="C38" i="6" s="1"/>
  <c r="G41" i="3"/>
  <c r="G32" i="3"/>
  <c r="G27" i="3" s="1"/>
  <c r="C31" i="4" s="1"/>
  <c r="L68" i="4"/>
  <c r="D68" i="4"/>
  <c r="K68" i="4"/>
  <c r="C68" i="4"/>
  <c r="J68" i="4"/>
  <c r="I68" i="4"/>
  <c r="E68" i="4"/>
  <c r="H68" i="4"/>
  <c r="G68" i="4"/>
  <c r="F68" i="4"/>
  <c r="J4" i="2"/>
  <c r="Q4" i="2"/>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Q126" i="2" l="1"/>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C93" i="6"/>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J101" i="2"/>
  <c r="L101" i="2"/>
  <c r="G110" i="2"/>
  <c r="N103" i="2"/>
  <c r="N109" i="2" s="1"/>
  <c r="N102" i="2"/>
  <c r="N108" i="2" s="1"/>
  <c r="O103" i="2"/>
  <c r="O109" i="2" s="1"/>
  <c r="O102" i="2"/>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O119" i="2"/>
  <c r="O108"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G71" i="4"/>
  <c r="H71" i="4"/>
  <c r="O40" i="2"/>
  <c r="O63" i="2"/>
  <c r="O73" i="2"/>
  <c r="C58" i="4"/>
  <c r="C71" i="4"/>
  <c r="E58" i="4"/>
  <c r="I62" i="2" s="1"/>
  <c r="E71" i="4"/>
  <c r="D71" i="4"/>
  <c r="G105" i="2"/>
  <c r="G101" i="2" s="1"/>
  <c r="G119" i="2" s="1"/>
  <c r="P40" i="2"/>
  <c r="P30" i="2"/>
  <c r="P63" i="2"/>
  <c r="P6" i="2"/>
  <c r="P73" i="2"/>
  <c r="C23" i="2"/>
  <c r="C49" i="2"/>
  <c r="C24" i="2"/>
  <c r="C110" i="2"/>
  <c r="G30" i="2"/>
  <c r="C17" i="2"/>
  <c r="C56" i="6" s="1"/>
  <c r="M63" i="2"/>
  <c r="M11" i="2"/>
  <c r="N63" i="2"/>
  <c r="N11" i="2"/>
  <c r="G69" i="2"/>
  <c r="G11" i="2"/>
  <c r="N73" i="2"/>
  <c r="M6" i="2"/>
  <c r="M8" i="2" s="1"/>
  <c r="C96" i="2"/>
  <c r="J63" i="2"/>
  <c r="J79" i="2" s="1"/>
  <c r="H63" i="2"/>
  <c r="H79" i="2" s="1"/>
  <c r="N40" i="2"/>
  <c r="N119" i="2"/>
  <c r="M119" i="2"/>
  <c r="M40" i="2"/>
  <c r="N6" i="2"/>
  <c r="N8" i="2" s="1"/>
  <c r="M30" i="2"/>
  <c r="M73" i="2"/>
  <c r="N30" i="2"/>
  <c r="K62" i="2"/>
  <c r="L62" i="2"/>
  <c r="G62" i="2"/>
  <c r="G63" i="2" s="1"/>
  <c r="C119" i="2"/>
  <c r="C55" i="3"/>
  <c r="L119" i="2"/>
  <c r="J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39" i="6"/>
  <c r="I55" i="2"/>
  <c r="H55" i="2"/>
  <c r="J55" i="2"/>
  <c r="G55" i="2"/>
  <c r="C7" i="9"/>
  <c r="K55" i="2"/>
  <c r="C13" i="9"/>
  <c r="G79" i="2"/>
  <c r="L74" i="2"/>
  <c r="I74" i="2"/>
  <c r="H74" i="2"/>
  <c r="G74" i="2"/>
  <c r="K74" i="2"/>
  <c r="J74" i="2"/>
  <c r="C104" i="2"/>
  <c r="D55" i="3" l="1"/>
  <c r="G29" i="3"/>
  <c r="D62" i="3" s="1"/>
  <c r="D51" i="3" l="1"/>
  <c r="C46" i="3"/>
  <c r="C47" i="3" s="1"/>
  <c r="C62" i="3"/>
  <c r="C15" i="2" l="1"/>
  <c r="G1" i="2"/>
  <c r="C50"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8" i="8" s="1"/>
  <c r="C99" i="6" s="1"/>
  <c r="C100" i="6" s="1"/>
  <c r="C73" i="2"/>
  <c r="C41" i="3"/>
  <c r="L48" i="2" l="1"/>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45" i="6"/>
  <c r="C87" i="3"/>
  <c r="D87" i="3" s="1"/>
  <c r="C31" i="3"/>
  <c r="O80" i="2" l="1"/>
  <c r="O13" i="2"/>
  <c r="O43" i="2"/>
  <c r="L80" i="2"/>
  <c r="L43" i="2"/>
  <c r="K80" i="2"/>
  <c r="P80" i="2"/>
  <c r="P13" i="2"/>
  <c r="P43" i="2"/>
  <c r="M80" i="2"/>
  <c r="M43" i="2"/>
  <c r="J43" i="2"/>
  <c r="H43" i="2"/>
  <c r="I43" i="2"/>
  <c r="N80" i="2"/>
  <c r="N43" i="2"/>
  <c r="G80" i="2"/>
  <c r="C35" i="6"/>
  <c r="C74" i="2"/>
  <c r="C32" i="3"/>
  <c r="G31" i="3"/>
  <c r="B1" i="2"/>
  <c r="O81" i="2" l="1"/>
  <c r="O117" i="2" s="1"/>
  <c r="O16" i="2"/>
  <c r="C7" i="8"/>
  <c r="C86" i="3" s="1"/>
  <c r="D86" i="3" s="1"/>
  <c r="D89" i="3" s="1"/>
  <c r="C94" i="6"/>
  <c r="P81" i="2"/>
  <c r="P117" i="2" s="1"/>
  <c r="P16" i="2"/>
  <c r="O97" i="2"/>
  <c r="C91" i="6"/>
  <c r="C92" i="6" s="1"/>
  <c r="B69" i="8"/>
  <c r="E68" i="8"/>
  <c r="D69" i="8"/>
  <c r="F66" i="8"/>
  <c r="F67" i="8"/>
  <c r="C67" i="8"/>
  <c r="D71" i="8"/>
  <c r="D70" i="8"/>
  <c r="F70" i="8"/>
  <c r="E67" i="8"/>
  <c r="B70" i="8"/>
  <c r="C66" i="8"/>
  <c r="E69" i="8"/>
  <c r="C69" i="8"/>
  <c r="B68" i="8"/>
  <c r="B67" i="8"/>
  <c r="D66" i="8"/>
  <c r="B66" i="8"/>
  <c r="G54" i="2"/>
  <c r="F71" i="8" l="1"/>
  <c r="E66" i="8"/>
  <c r="F69" i="8"/>
  <c r="E70" i="8"/>
  <c r="C70" i="8"/>
  <c r="C71" i="8"/>
  <c r="C68" i="8"/>
  <c r="D67" i="8"/>
  <c r="E71" i="8"/>
  <c r="D68" i="8"/>
  <c r="F68" i="8"/>
  <c r="B71" i="8"/>
  <c r="C89" i="3"/>
  <c r="O84" i="2"/>
  <c r="O19" i="2"/>
  <c r="O124" i="2"/>
  <c r="O125" i="2" s="1"/>
  <c r="P84" i="2"/>
  <c r="P19" i="2"/>
  <c r="P92" i="2" s="1"/>
  <c r="P124" i="2"/>
  <c r="P125" i="2" s="1"/>
  <c r="C47" i="2"/>
  <c r="O92" i="2" l="1"/>
  <c r="O114" i="2"/>
  <c r="O87" i="2"/>
  <c r="P114" i="2"/>
  <c r="P87" i="2"/>
  <c r="C55" i="2"/>
  <c r="C46" i="6"/>
  <c r="E78" i="8"/>
  <c r="E120" i="6" s="1"/>
  <c r="C50" i="2"/>
  <c r="C12" i="2" s="1"/>
  <c r="I1" i="2"/>
  <c r="C13" i="2" l="1"/>
  <c r="C14" i="2"/>
  <c r="C53" i="6" s="1"/>
  <c r="C47" i="6"/>
  <c r="C51" i="9"/>
  <c r="C80" i="2"/>
  <c r="J1" i="2"/>
  <c r="K1" i="2" s="1"/>
  <c r="L1" i="2" s="1"/>
  <c r="M1" i="2" s="1"/>
  <c r="N1" i="2" s="1"/>
  <c r="O1" i="2" s="1"/>
  <c r="P1" i="2" s="1"/>
  <c r="Q1" i="2" s="1"/>
  <c r="C16" i="2" l="1"/>
  <c r="C19" i="2" s="1"/>
  <c r="G118" i="2"/>
  <c r="C4" i="8" l="1"/>
  <c r="C92" i="2"/>
  <c r="C64" i="8" l="1"/>
  <c r="E74" i="8" l="1"/>
  <c r="E116" i="6" s="1"/>
  <c r="E75" i="8"/>
  <c r="E117" i="6" s="1"/>
  <c r="E77" i="8"/>
  <c r="E119" i="6" s="1"/>
  <c r="E76" i="8"/>
  <c r="E118" i="6" s="1"/>
  <c r="C27" i="9" l="1"/>
  <c r="C57" i="9"/>
  <c r="C33" i="9"/>
  <c r="C39" i="9"/>
  <c r="C42" i="9" l="1"/>
  <c r="C60" i="9" s="1"/>
  <c r="C92" i="9" s="1"/>
  <c r="C146" i="6" s="1"/>
  <c r="F72" i="9" l="1"/>
  <c r="C72" i="9" s="1"/>
  <c r="C98" i="9"/>
  <c r="I6" i="9"/>
  <c r="C82" i="9"/>
  <c r="C122" i="6"/>
  <c r="C99" i="9" l="1"/>
  <c r="C154" i="6"/>
  <c r="C87" i="9"/>
  <c r="C83" i="9"/>
  <c r="F83" i="9" s="1"/>
  <c r="C138" i="6"/>
  <c r="H76" i="2"/>
  <c r="H120" i="2"/>
  <c r="H116" i="2" s="1"/>
  <c r="H13" i="2"/>
  <c r="C26" i="6" l="1"/>
  <c r="C93" i="9"/>
  <c r="F99" i="9"/>
  <c r="C157" i="6" s="1"/>
  <c r="C155" i="6"/>
  <c r="D155" i="6" s="1"/>
  <c r="C141" i="6"/>
  <c r="C139" i="6"/>
  <c r="H16" i="2"/>
  <c r="H19" i="2" s="1"/>
  <c r="H81" i="2"/>
  <c r="H117" i="2" s="1"/>
  <c r="C25" i="6" l="1"/>
  <c r="D139" i="6"/>
  <c r="H114" i="2"/>
  <c r="H92" i="2"/>
  <c r="F93" i="9"/>
  <c r="C149" i="6" s="1"/>
  <c r="C147" i="6"/>
  <c r="D147" i="6" s="1"/>
  <c r="H124" i="2"/>
  <c r="H125" i="2" s="1"/>
  <c r="H84" i="2"/>
  <c r="G120" i="2"/>
  <c r="G116" i="2" s="1"/>
  <c r="G76" i="2"/>
  <c r="D54" i="3"/>
  <c r="D50" i="3"/>
  <c r="G13" i="2"/>
  <c r="G97" i="2" s="1"/>
  <c r="H87" i="2" l="1"/>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1"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95" i="6" s="1"/>
  <c r="C54" i="3"/>
  <c r="C120" i="2"/>
  <c r="M114" i="2" l="1"/>
  <c r="M92" i="2"/>
  <c r="L92" i="2"/>
  <c r="L114" i="2"/>
  <c r="C14" i="9"/>
  <c r="M87" i="2"/>
  <c r="C81" i="2"/>
  <c r="C117" i="2" s="1"/>
  <c r="C97" i="2"/>
  <c r="J87" i="2"/>
  <c r="C82" i="2"/>
  <c r="C124" i="2" l="1"/>
  <c r="C84" i="2" l="1"/>
  <c r="C9" i="9"/>
  <c r="C62" i="6" l="1"/>
  <c r="C125" i="2"/>
  <c r="C63" i="6" s="1"/>
  <c r="C87" i="2"/>
  <c r="C6" i="8" l="1"/>
  <c r="C82" i="6" s="1"/>
  <c r="C21" i="8"/>
  <c r="C49" i="8" l="1"/>
  <c r="F49" i="8" s="1"/>
  <c r="C37" i="8"/>
  <c r="F37" i="8" s="1"/>
  <c r="C48" i="8"/>
  <c r="F48" i="8" s="1"/>
  <c r="C50" i="8"/>
  <c r="F50" i="8" s="1"/>
  <c r="C47" i="8"/>
  <c r="F47" i="8" s="1"/>
  <c r="C42" i="8"/>
  <c r="F42" i="8" s="1"/>
  <c r="C43" i="8"/>
  <c r="F43" i="8" s="1"/>
  <c r="C40" i="8"/>
  <c r="F40" i="8" s="1"/>
  <c r="C44" i="8"/>
  <c r="F44" i="8" s="1"/>
  <c r="C36" i="8"/>
  <c r="F36" i="8" s="1"/>
  <c r="C45" i="8"/>
  <c r="F45" i="8" s="1"/>
  <c r="C39" i="8"/>
  <c r="F39" i="8" s="1"/>
  <c r="C38" i="8"/>
  <c r="F38" i="8" s="1"/>
  <c r="C41" i="8"/>
  <c r="F41" i="8" s="1"/>
  <c r="C46" i="8"/>
  <c r="F46"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8" i="6" l="1"/>
  <c r="C22" i="9"/>
  <c r="C69" i="9" s="1"/>
  <c r="E65" i="8"/>
  <c r="F65" i="8"/>
  <c r="C65" i="8"/>
  <c r="B65" i="8"/>
  <c r="D65" i="8"/>
  <c r="F52" i="8"/>
  <c r="C18" i="8" s="1"/>
  <c r="C70" i="9" l="1"/>
  <c r="C21" i="6" s="1"/>
  <c r="C66" i="9"/>
  <c r="A55" i="8"/>
</calcChain>
</file>

<file path=xl/sharedStrings.xml><?xml version="1.0" encoding="utf-8"?>
<sst xmlns="http://schemas.openxmlformats.org/spreadsheetml/2006/main" count="626" uniqueCount="439">
  <si>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</si>
  <si>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</si>
  <si>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</si>
  <si>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</si>
  <si>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</si>
  <si>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</si>
  <si>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</si>
  <si>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</si>
  <si>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</si>
  <si>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</si>
  <si>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</si>
  <si>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</si>
  <si>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</si>
  <si>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</si>
  <si>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</si>
  <si>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</si>
  <si>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</si>
  <si>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</si>
  <si>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</si>
  <si>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</si>
  <si>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</si>
  <si>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</si>
  <si>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</si>
  <si>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</si>
  <si>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</si>
  <si>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</si>
  <si>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</si>
  <si>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</si>
  <si>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</si>
  <si>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</si>
  <si>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</si>
  <si>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</si>
  <si>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</si>
  <si>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</si>
  <si>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</si>
  <si>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</si>
  <si>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</si>
  <si>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</si>
  <si>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</si>
  <si>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</si>
  <si>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</si>
  <si>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</si>
  <si>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</si>
  <si>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</si>
  <si>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</si>
  <si>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</si>
  <si>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</si>
  <si>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</si>
  <si>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</si>
  <si>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</si>
  <si>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</si>
  <si>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</si>
  <si>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</si>
  <si>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</si>
  <si>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</si>
  <si>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</si>
  <si>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</si>
  <si>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</si>
  <si>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</si>
  <si>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</si>
  <si>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</si>
  <si>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</si>
  <si>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</si>
  <si>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</si>
  <si>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</si>
  <si>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</si>
  <si>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</si>
  <si>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</si>
  <si>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</si>
  <si>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</si>
  <si>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</si>
  <si>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</si>
  <si>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</si>
  <si>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</si>
  <si>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</si>
  <si>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</si>
  <si>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</si>
  <si>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</si>
  <si>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</si>
  <si>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</si>
  <si>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</si>
  <si>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</si>
  <si>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</si>
  <si>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</si>
  <si>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</si>
  <si>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</si>
  <si>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</si>
  <si>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</si>
  <si>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</si>
  <si>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</si>
  <si>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</si>
  <si>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</si>
  <si>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</si>
  <si>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</si>
  <si>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</si>
  <si>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</si>
  <si>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</si>
  <si>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</si>
  <si>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</si>
  <si>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</si>
  <si>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</si>
  <si>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</si>
  <si>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</si>
  <si>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</si>
  <si>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</si>
  <si>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</si>
  <si>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</si>
  <si>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</si>
  <si>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</si>
  <si>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</si>
  <si>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</si>
  <si>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</si>
  <si>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</si>
  <si>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</si>
  <si>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</si>
  <si>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</si>
  <si>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</si>
  <si>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</si>
  <si>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</si>
  <si>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</si>
  <si>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</si>
  <si>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</si>
  <si>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</si>
  <si>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</si>
  <si>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</si>
  <si>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</si>
  <si>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</si>
  <si>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</si>
  <si>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</si>
  <si>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</si>
  <si>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</si>
  <si>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</si>
  <si>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</si>
  <si>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</si>
  <si>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</si>
  <si>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</si>
  <si>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</si>
  <si>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</si>
  <si>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</si>
  <si>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</si>
  <si>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</si>
  <si>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</si>
  <si>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</si>
  <si>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</si>
  <si>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</si>
  <si>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</si>
  <si>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</si>
  <si>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</si>
  <si>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</si>
  <si>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</si>
  <si>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</si>
  <si>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</si>
  <si>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</si>
  <si>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</si>
  <si>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</si>
  <si>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</si>
  <si>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</si>
  <si>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</si>
  <si>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</si>
  <si>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</si>
  <si>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</si>
  <si>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</si>
  <si>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</si>
  <si>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</si>
  <si>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</si>
  <si>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</si>
  <si>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</si>
  <si>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</si>
  <si>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</si>
  <si>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</si>
  <si>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</si>
  <si>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</si>
  <si>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</si>
  <si>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</si>
  <si>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</si>
  <si>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</si>
  <si>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</si>
  <si>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</si>
  <si>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</si>
  <si>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</si>
  <si>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</si>
  <si>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</si>
  <si>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</si>
  <si>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</si>
  <si>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</si>
  <si>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</si>
  <si>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</si>
  <si>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</si>
  <si>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</si>
  <si>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</si>
  <si>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</si>
  <si>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</si>
  <si>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</si>
  <si>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</si>
  <si>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</si>
  <si>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</si>
  <si>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</si>
  <si>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</si>
  <si>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</si>
  <si>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</si>
  <si>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</si>
  <si>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</si>
  <si>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</si>
  <si>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</si>
  <si>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</si>
  <si>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</si>
  <si>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</si>
  <si>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</si>
  <si>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</si>
  <si>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</si>
  <si>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</si>
  <si>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</si>
  <si>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</si>
  <si>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</si>
  <si>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</si>
  <si>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</si>
  <si>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</si>
  <si>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</si>
  <si>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</si>
  <si>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</si>
  <si>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</si>
  <si>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</si>
  <si>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</si>
  <si>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</si>
  <si>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</si>
  <si>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</si>
  <si>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</si>
  <si>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</si>
  <si>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</si>
  <si>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</si>
  <si>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</si>
  <si>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</si>
  <si>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</si>
  <si>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</si>
  <si>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</si>
  <si>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</si>
  <si>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</si>
  <si>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</si>
  <si>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</si>
  <si>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</si>
  <si>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</si>
  <si>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</si>
  <si>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</si>
  <si>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</si>
  <si>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</si>
  <si>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</si>
  <si>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</si>
  <si>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</si>
  <si>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</si>
  <si>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</si>
  <si>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</si>
  <si>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</si>
  <si>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</si>
  <si>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</si>
  <si>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</si>
  <si>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</si>
  <si>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</si>
  <si>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</si>
  <si>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</si>
  <si>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</si>
  <si>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</si>
  <si>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</si>
  <si>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</si>
  <si>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</si>
  <si>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</si>
  <si>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</si>
  <si>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</si>
  <si>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</si>
  <si>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</si>
  <si>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</si>
  <si>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</si>
  <si>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</si>
  <si>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</si>
  <si>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</si>
  <si>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</si>
  <si>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</si>
  <si>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</si>
  <si>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</si>
  <si>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</si>
  <si>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</si>
  <si>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</si>
  <si>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</si>
  <si>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</si>
  <si>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</si>
  <si>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</si>
  <si>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</si>
  <si>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</si>
  <si>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</si>
  <si>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</si>
  <si>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</si>
  <si>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</si>
  <si>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</si>
  <si>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</si>
  <si>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</si>
  <si>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</si>
  <si>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</si>
  <si>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</si>
  <si>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</si>
  <si>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</si>
  <si>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</si>
  <si>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</si>
  <si>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</si>
  <si>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</si>
  <si>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</si>
  <si>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</si>
  <si>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</si>
  <si>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</si>
  <si>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</si>
  <si>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</si>
  <si>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</si>
  <si>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</si>
  <si>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</si>
  <si>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</si>
  <si>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</si>
  <si>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</si>
  <si>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</si>
  <si>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</si>
  <si>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</si>
  <si>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</si>
  <si>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</si>
  <si>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</si>
  <si>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</si>
  <si>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</si>
  <si>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</si>
  <si>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</si>
  <si>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</si>
  <si>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</si>
  <si>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</si>
  <si>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</si>
  <si>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</si>
  <si>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</si>
  <si>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</si>
  <si>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</si>
  <si>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</si>
  <si>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</si>
  <si>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</si>
  <si>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</si>
  <si>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</si>
  <si>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</si>
  <si>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</si>
  <si>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</si>
  <si>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</si>
  <si>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</si>
  <si>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</si>
  <si>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</si>
  <si>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</si>
  <si>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</si>
  <si>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</si>
  <si>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</si>
  <si>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</si>
  <si>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</si>
  <si>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</si>
  <si>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</si>
  <si>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</si>
  <si>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</si>
  <si>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</si>
  <si>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</si>
  <si>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</si>
  <si>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</si>
  <si>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</si>
  <si>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</si>
  <si>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</si>
  <si>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</si>
  <si>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</si>
  <si>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</si>
  <si>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</si>
  <si>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</si>
  <si>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</si>
  <si>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</si>
  <si>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</si>
  <si>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</si>
  <si>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</si>
  <si>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</si>
  <si>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</si>
  <si>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</si>
  <si>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</si>
  <si>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</si>
  <si>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</si>
  <si>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</si>
  <si>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</si>
  <si>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</si>
  <si>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</si>
  <si>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</si>
  <si>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</si>
  <si>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</si>
  <si>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</si>
  <si>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</si>
  <si>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</si>
  <si>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</si>
  <si>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</si>
  <si>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</si>
  <si>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</si>
  <si>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</si>
  <si>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</si>
  <si>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</si>
  <si>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</si>
  <si>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</si>
  <si>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</si>
  <si>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</si>
  <si>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</si>
  <si>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</si>
  <si>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</si>
  <si>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</si>
  <si>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</si>
  <si>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</si>
  <si>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</si>
  <si>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</si>
  <si>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</si>
  <si>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</si>
  <si>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</si>
  <si>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</si>
  <si>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</si>
  <si>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</si>
  <si>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</si>
  <si>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</si>
  <si>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</si>
  <si>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</si>
  <si>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in contrast to a position yield of</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</si>
  <si>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</si>
  <si>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</si>
  <si>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</si>
  <si>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</si>
  <si>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</si>
  <si>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</si>
  <si>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</si>
  <si>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</si>
  <si>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</si>
  <si>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</si>
  <si>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</si>
  <si>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</si>
  <si>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</si>
  <si>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N</t>
  </si>
  <si>
    <t>青島啤酒股份</t>
  </si>
  <si>
    <t>0168.HK</t>
  </si>
  <si>
    <t/>
  </si>
  <si>
    <t>CNS_03</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</si>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</sst>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5">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75" fontId="8" fillId="0" borderId="0" xfId="0" applyNumberFormat="1" applyFont="1"/>
    <xf numFmtId="174"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175"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10" fontId="13" fillId="0" borderId="1" xfId="0" applyNumberFormat="1" applyFont="1" applyBorder="1" applyAlignment="1">
      <alignment horizontal="center"/>
    </xf>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79"/>
  <sheetViews>
    <sheetView showGridLines="0" topLeftCell="A26" zoomScaleNormal="100" workbookViewId="0">
      <selection activeCell="B37" sqref="B37:F37"/>
    </sheetView>
  </sheetViews>
  <sheetFormatPr defaultColWidth="9" defaultRowHeight="11.65"/>
  <cols>
    <col min="1" max="1" width="2.6640625" style="1" customWidth="1"/>
    <col min="2" max="2" width="32.59765625" style="1" customWidth="1"/>
    <col min="3" max="4" width="25.59765625" style="1" customWidth="1"/>
    <col min="5" max="6" width="15.59765625" style="1" customWidth="1"/>
    <col min="7" max="16384" width="9" style="1"/>
  </cols>
  <sheetData>
    <row r="1" spans="1:10">
      <c r="B1" s="3" t="s">
        <v>41</v>
      </c>
      <c r="C1" s="44">
        <v>45754</v>
      </c>
      <c r="D1" s="52"/>
      <c r="E1" s="331" t="s">
        <v>361</v>
      </c>
      <c r="F1" s="284" t="s">
        <v>431</v>
      </c>
    </row>
    <row r="2" spans="1:10" ht="13.9">
      <c r="A2" s="247" t="s">
        <v>268</v>
      </c>
      <c r="B2" s="36"/>
      <c r="C2" s="36"/>
      <c r="D2" s="36"/>
      <c r="E2" s="36"/>
      <c r="F2" s="36"/>
      <c r="G2" s="22"/>
      <c r="H2" s="22"/>
      <c r="I2" s="22"/>
      <c r="J2" s="22"/>
    </row>
    <row r="4" spans="1:10">
      <c r="B4" s="45" t="s">
        <v>425</v>
      </c>
      <c r="C4" s="46"/>
      <c r="D4" s="5"/>
      <c r="E4" s="2"/>
      <c r="F4" s="2"/>
    </row>
    <row r="5" spans="1:10" ht="12.4">
      <c r="B5" s="4" t="s">
        <v>323</v>
      </c>
      <c r="C5" s="333" t="s">
        <v>432</v>
      </c>
    </row>
    <row r="6" spans="1:10">
      <c r="B6" s="4" t="s">
        <v>0</v>
      </c>
      <c r="C6" s="51">
        <v>1364196788</v>
      </c>
      <c r="E6" s="48"/>
    </row>
    <row r="7" spans="1:10">
      <c r="B7" s="2" t="s">
        <v>314</v>
      </c>
      <c r="C7" s="279">
        <v>6</v>
      </c>
      <c r="D7" s="48"/>
      <c r="E7" s="48"/>
    </row>
    <row r="8" spans="1:10">
      <c r="B8" s="1" t="s">
        <v>269</v>
      </c>
      <c r="C8" s="33">
        <f>EOMONTH(EDATE(BS!C1,C7+2),0)</f>
        <v>45900</v>
      </c>
      <c r="E8" s="48"/>
    </row>
    <row r="9" spans="1:10">
      <c r="E9" s="34"/>
    </row>
    <row r="10" spans="1:10">
      <c r="B10" s="45" t="s">
        <v>428</v>
      </c>
      <c r="C10" s="46"/>
      <c r="E10" s="34"/>
    </row>
    <row r="11" spans="1:10">
      <c r="B11" s="1" t="s">
        <v>427</v>
      </c>
      <c r="C11" s="49" t="s">
        <v>433</v>
      </c>
      <c r="D11" s="49" t="s">
        <v>434</v>
      </c>
      <c r="E11" s="34"/>
    </row>
    <row r="12" spans="1:10">
      <c r="B12" s="4" t="s">
        <v>95</v>
      </c>
      <c r="C12" s="50">
        <v>53.55</v>
      </c>
      <c r="D12" s="50"/>
      <c r="E12" s="48"/>
    </row>
    <row r="13" spans="1:10">
      <c r="B13" s="1" t="s">
        <v>426</v>
      </c>
      <c r="C13" s="48" t="s">
        <v>404</v>
      </c>
      <c r="D13" s="48"/>
      <c r="E13" s="5"/>
    </row>
    <row r="14" spans="1:10">
      <c r="B14" s="4" t="s">
        <v>430</v>
      </c>
      <c r="C14" s="35">
        <f>Thesis!C12*Common_Shares/1000000</f>
        <v>73052.737997399992</v>
      </c>
      <c r="D14" s="35" t="str">
        <f>IF(D11="","",Thesis!D12*Common_Shares/1000000)</f>
        <v/>
      </c>
      <c r="E14" s="5"/>
    </row>
    <row r="15" spans="1:10">
      <c r="B15" s="4" t="s">
        <v>429</v>
      </c>
      <c r="C15" s="32" t="str">
        <f>IF(C22=C13,C13,C22&amp;"/"&amp;C13)</f>
        <v>CNY/HKD</v>
      </c>
      <c r="D15" s="32" t="str">
        <f>IF(D11="","",IF(C22=D13,D13,C22&amp;"/"&amp;D13))</f>
        <v/>
      </c>
      <c r="E15" s="5"/>
    </row>
    <row r="16" spans="1:10">
      <c r="B16" s="4" t="s">
        <v>1</v>
      </c>
      <c r="C16" s="50">
        <v>1.0742246600000001</v>
      </c>
      <c r="D16" s="50"/>
      <c r="E16" s="5"/>
    </row>
    <row r="17" spans="1:6">
      <c r="D17" s="5"/>
      <c r="E17" s="5"/>
    </row>
    <row r="18" spans="1:6" ht="24.4" customHeight="1">
      <c r="B18" s="345" t="s">
        <v>367</v>
      </c>
      <c r="C18" s="345"/>
      <c r="D18" s="345"/>
      <c r="E18" s="345"/>
      <c r="F18" s="345"/>
    </row>
    <row r="20" spans="1:6">
      <c r="B20" s="45" t="s">
        <v>313</v>
      </c>
      <c r="C20" s="46"/>
      <c r="D20" s="5"/>
    </row>
    <row r="21" spans="1:6">
      <c r="B21" s="2" t="s">
        <v>356</v>
      </c>
      <c r="C21" s="32" t="str">
        <f>IF(Scenarios!C69="Y",Scenarios!B69,"")&amp;IF(Scenarios!C70="Y",Scenarios!B70,"")&amp;IF(Scenarios!C71="Y",Scenarios!B71,"")&amp;" "&amp;IF(Scenarios!C72="Y",Scenarios!B72,"")</f>
        <v xml:space="preserve">Low Growth </v>
      </c>
      <c r="E21" s="5"/>
    </row>
    <row r="22" spans="1:6">
      <c r="B22" s="4" t="s">
        <v>355</v>
      </c>
      <c r="C22" s="48" t="s">
        <v>424</v>
      </c>
      <c r="D22" s="32" t="str">
        <f>IF(D11="","",Market_currency&amp;"/"&amp;D13&amp;":")</f>
        <v/>
      </c>
      <c r="E22" s="341" t="str">
        <f>IF(D11="","",1/Exchange_Rate*D16)</f>
        <v/>
      </c>
    </row>
    <row r="23" spans="1:6">
      <c r="B23" s="2" t="s">
        <v>56</v>
      </c>
      <c r="C23" s="48" t="s">
        <v>435</v>
      </c>
      <c r="E23" s="5"/>
    </row>
    <row r="24" spans="1:6">
      <c r="B24" s="2" t="s">
        <v>277</v>
      </c>
      <c r="C24" s="249">
        <v>0.3</v>
      </c>
      <c r="D24" s="1" t="s">
        <v>417</v>
      </c>
      <c r="E24" s="339">
        <v>0.2</v>
      </c>
    </row>
    <row r="25" spans="1:6">
      <c r="B25" s="2" t="str">
        <f>"Target Buy Price ("&amp;Market_currency&amp;"):"</f>
        <v>Target Buy Price (HKD):</v>
      </c>
      <c r="C25" s="252">
        <f>C139</f>
        <v>34.394984382396515</v>
      </c>
      <c r="D25" s="1" t="s">
        <v>315</v>
      </c>
      <c r="E25" s="330">
        <v>3</v>
      </c>
    </row>
    <row r="26" spans="1:6">
      <c r="B26" s="1" t="s">
        <v>407</v>
      </c>
      <c r="C26" s="280">
        <f ca="1">Scenarios!C87</f>
        <v>0.11521291318800975</v>
      </c>
      <c r="D26" s="5"/>
      <c r="E26" s="5"/>
    </row>
    <row r="27" spans="1:6">
      <c r="D27" s="5"/>
      <c r="E27" s="5"/>
    </row>
    <row r="28" spans="1:6" ht="13.9">
      <c r="A28" s="247" t="s">
        <v>362</v>
      </c>
      <c r="B28" s="36"/>
      <c r="C28" s="36"/>
      <c r="D28" s="36"/>
      <c r="E28" s="36"/>
      <c r="F28" s="36"/>
    </row>
    <row r="30" spans="1:6" ht="24.4" customHeight="1">
      <c r="B30" s="345" t="s">
        <v>368</v>
      </c>
      <c r="C30" s="345"/>
      <c r="D30" s="345"/>
      <c r="E30" s="345"/>
      <c r="F30" s="345"/>
    </row>
    <row r="31" spans="1:6" ht="24.4" customHeight="1">
      <c r="B31" s="348" t="s">
        <v>347</v>
      </c>
      <c r="C31" s="348"/>
      <c r="D31" s="348"/>
      <c r="E31" s="348"/>
      <c r="F31" s="348"/>
    </row>
    <row r="33" spans="2:6">
      <c r="B33" s="234" t="s">
        <v>231</v>
      </c>
      <c r="C33" s="108">
        <f>scaling_factor</f>
        <v>1</v>
      </c>
    </row>
    <row r="34" spans="2:6" ht="24.4" customHeight="1">
      <c r="B34" s="346" t="s">
        <v>232</v>
      </c>
      <c r="C34" s="346"/>
      <c r="D34" s="346"/>
      <c r="E34" s="346"/>
      <c r="F34" s="346"/>
    </row>
    <row r="35" spans="2:6">
      <c r="B35" s="47" t="s">
        <v>233</v>
      </c>
      <c r="C35" s="188">
        <f>Normalized_FCF!C8</f>
        <v>3878068070.3077545</v>
      </c>
      <c r="D35" s="1" t="str">
        <f>Reporting_currency</f>
        <v>CNY</v>
      </c>
    </row>
    <row r="36" spans="2:6">
      <c r="B36" s="47"/>
      <c r="C36" s="76"/>
    </row>
    <row r="37" spans="2:6" ht="24.4" customHeight="1">
      <c r="B37" s="346" t="s">
        <v>234</v>
      </c>
      <c r="C37" s="346"/>
      <c r="D37" s="346"/>
      <c r="E37" s="346"/>
      <c r="F37" s="346"/>
    </row>
    <row r="38" spans="2:6">
      <c r="B38" s="47" t="s">
        <v>235</v>
      </c>
      <c r="C38" s="188">
        <f>Normalized_FCF!C9</f>
        <v>1191305772</v>
      </c>
      <c r="D38" s="1" t="str">
        <f>Reporting_currency</f>
        <v>CNY</v>
      </c>
    </row>
    <row r="39" spans="2:6">
      <c r="B39" s="52" t="s">
        <v>236</v>
      </c>
      <c r="C39" s="188">
        <f>Normalized_FCF!C10</f>
        <v>-1191305772</v>
      </c>
      <c r="D39" s="1" t="str">
        <f>Reporting_currency</f>
        <v>CNY</v>
      </c>
    </row>
    <row r="41" spans="2:6">
      <c r="B41" s="346" t="s">
        <v>237</v>
      </c>
      <c r="C41" s="346"/>
      <c r="D41" s="346"/>
      <c r="E41" s="346"/>
      <c r="F41" s="346"/>
    </row>
    <row r="42" spans="2:6">
      <c r="B42" s="47" t="s">
        <v>238</v>
      </c>
      <c r="C42" s="188">
        <f>Normalized_FCF!C11</f>
        <v>0</v>
      </c>
      <c r="D42" s="1" t="str">
        <f>Reporting_currency</f>
        <v>CNY</v>
      </c>
    </row>
    <row r="44" spans="2:6">
      <c r="B44" s="346" t="s">
        <v>241</v>
      </c>
      <c r="C44" s="346"/>
      <c r="D44" s="346"/>
      <c r="E44" s="346"/>
      <c r="F44" s="346"/>
    </row>
    <row r="45" spans="2:6">
      <c r="B45" s="47" t="s">
        <v>348</v>
      </c>
      <c r="C45" s="322">
        <f>Normalized_FCF!C48</f>
        <v>177353677.29966182</v>
      </c>
      <c r="D45" s="1" t="str">
        <f>Reporting_currency</f>
        <v>CNY</v>
      </c>
      <c r="E45" s="321"/>
      <c r="F45" s="321"/>
    </row>
    <row r="46" spans="2:6">
      <c r="B46" s="47" t="s">
        <v>349</v>
      </c>
      <c r="C46" s="322">
        <f>Normalized_FCF!C47</f>
        <v>-21837054</v>
      </c>
      <c r="D46" s="1" t="str">
        <f>Reporting_currency</f>
        <v>CNY</v>
      </c>
      <c r="E46" s="321"/>
      <c r="F46" s="321"/>
    </row>
    <row r="47" spans="2:6">
      <c r="B47" s="47" t="s">
        <v>239</v>
      </c>
      <c r="C47" s="188">
        <f>Normalized_FCF!C12</f>
        <v>155516623.29966182</v>
      </c>
      <c r="D47" s="1" t="str">
        <f>Reporting_currency</f>
        <v>CNY</v>
      </c>
    </row>
    <row r="49" spans="2:6">
      <c r="B49" s="1" t="s">
        <v>247</v>
      </c>
    </row>
    <row r="50" spans="2:6">
      <c r="B50" s="47" t="s">
        <v>266</v>
      </c>
      <c r="C50" s="188">
        <f>Normalized_FCF!C15</f>
        <v>-146634564.47167698</v>
      </c>
      <c r="D50" s="1" t="str">
        <f>Reporting_currency</f>
        <v>CNY</v>
      </c>
    </row>
    <row r="52" spans="2:6">
      <c r="B52" s="346" t="s">
        <v>242</v>
      </c>
      <c r="C52" s="346"/>
      <c r="D52" s="346"/>
      <c r="E52" s="346"/>
      <c r="F52" s="346"/>
    </row>
    <row r="53" spans="2:6">
      <c r="B53" s="47" t="s">
        <v>240</v>
      </c>
      <c r="C53" s="188">
        <f>Normalized_FCF!C14</f>
        <v>-1008396173.401854</v>
      </c>
      <c r="D53" s="1" t="str">
        <f>Reporting_currency</f>
        <v>CNY</v>
      </c>
    </row>
    <row r="55" spans="2:6">
      <c r="B55" s="346" t="s">
        <v>346</v>
      </c>
      <c r="C55" s="347"/>
      <c r="D55" s="347"/>
      <c r="E55" s="347"/>
      <c r="F55" s="347"/>
    </row>
    <row r="56" spans="2:6">
      <c r="B56" s="47" t="s">
        <v>243</v>
      </c>
      <c r="C56" s="1">
        <f>Normalized_FCF!C17</f>
        <v>0</v>
      </c>
      <c r="D56" s="1" t="str">
        <f>Reporting_currency</f>
        <v>CNY</v>
      </c>
    </row>
    <row r="58" spans="2:6" ht="24.4" customHeight="1">
      <c r="B58" s="345" t="s">
        <v>351</v>
      </c>
      <c r="C58" s="345"/>
      <c r="D58" s="345"/>
      <c r="E58" s="345"/>
      <c r="F58" s="345"/>
    </row>
    <row r="59" spans="2:6" ht="24.4" customHeight="1">
      <c r="B59" s="345" t="s">
        <v>369</v>
      </c>
      <c r="C59" s="345"/>
      <c r="D59" s="345"/>
      <c r="E59" s="345"/>
      <c r="F59" s="345"/>
    </row>
    <row r="61" spans="2:6">
      <c r="B61" s="47" t="s">
        <v>271</v>
      </c>
      <c r="C61" s="188">
        <f>Normalized_FCF!G19</f>
        <v>3155072341.2996616</v>
      </c>
      <c r="D61" s="1" t="str">
        <f>Reporting_currency</f>
        <v>CNY</v>
      </c>
    </row>
    <row r="62" spans="2:6">
      <c r="B62" s="47" t="s">
        <v>249</v>
      </c>
      <c r="C62" s="188">
        <f>Normalized_FCF!C19</f>
        <v>2878553955.7338853</v>
      </c>
      <c r="D62" s="1" t="str">
        <f>Reporting_currency</f>
        <v>CNY</v>
      </c>
    </row>
    <row r="63" spans="2:6">
      <c r="B63" s="254" t="s">
        <v>398</v>
      </c>
      <c r="C63" s="92">
        <f>Normalized_FCF!C125</f>
        <v>4.2328511280438831E-2</v>
      </c>
    </row>
    <row r="64" spans="2:6">
      <c r="B64" s="254" t="s">
        <v>316</v>
      </c>
      <c r="C64" s="92">
        <f>Normalized_FCF!C93</f>
        <v>3.8244420777520896E-2</v>
      </c>
    </row>
    <row r="66" spans="1:6" ht="13.9">
      <c r="A66" s="247" t="s">
        <v>363</v>
      </c>
      <c r="B66" s="36"/>
      <c r="C66" s="36"/>
      <c r="D66" s="36"/>
      <c r="E66" s="36"/>
      <c r="F66" s="36"/>
    </row>
    <row r="67" spans="1:6">
      <c r="A67" s="233"/>
    </row>
    <row r="68" spans="1:6" ht="24.4" customHeight="1">
      <c r="A68" s="17"/>
      <c r="B68" s="345" t="s">
        <v>370</v>
      </c>
      <c r="C68" s="345"/>
      <c r="D68" s="345"/>
      <c r="E68" s="345"/>
      <c r="F68" s="345"/>
    </row>
    <row r="69" spans="1:6">
      <c r="B69" s="348" t="s">
        <v>253</v>
      </c>
      <c r="C69" s="348"/>
      <c r="D69" s="348"/>
      <c r="E69" s="348"/>
      <c r="F69" s="348"/>
    </row>
    <row r="71" spans="1:6">
      <c r="B71" s="234" t="s">
        <v>231</v>
      </c>
    </row>
    <row r="72" spans="1:6">
      <c r="B72" s="1" t="s">
        <v>288</v>
      </c>
      <c r="C72" s="311">
        <v>0.08</v>
      </c>
    </row>
    <row r="73" spans="1:6">
      <c r="B73" s="1" t="s">
        <v>290</v>
      </c>
      <c r="C73" s="263">
        <f>IF(D73="Y",1%,0)</f>
        <v>0</v>
      </c>
      <c r="D73" s="286" t="s">
        <v>431</v>
      </c>
    </row>
    <row r="74" spans="1:6">
      <c r="B74" s="1" t="s">
        <v>289</v>
      </c>
      <c r="C74" s="263">
        <f>IF(D74="Y",1%,0)</f>
        <v>0</v>
      </c>
      <c r="D74" s="286" t="s">
        <v>431</v>
      </c>
    </row>
    <row r="75" spans="1:6">
      <c r="B75" s="80" t="s">
        <v>248</v>
      </c>
      <c r="C75" s="263">
        <f>SUM(C72:C74)</f>
        <v>0.08</v>
      </c>
    </row>
    <row r="76" spans="1:6">
      <c r="C76" s="122"/>
    </row>
    <row r="77" spans="1:6">
      <c r="B77" s="332" t="s">
        <v>364</v>
      </c>
      <c r="C77" s="122"/>
    </row>
    <row r="78" spans="1:6" ht="24.4" customHeight="1">
      <c r="B78" s="345" t="s">
        <v>371</v>
      </c>
      <c r="C78" s="345"/>
      <c r="D78" s="345"/>
      <c r="E78" s="345"/>
      <c r="F78" s="345"/>
    </row>
    <row r="79" spans="1:6" ht="24.4" customHeight="1">
      <c r="B79" s="345" t="s">
        <v>372</v>
      </c>
      <c r="C79" s="345"/>
      <c r="D79" s="345"/>
      <c r="E79" s="345"/>
      <c r="F79" s="345"/>
    </row>
    <row r="81" spans="1:6">
      <c r="B81" s="47" t="s">
        <v>252</v>
      </c>
      <c r="C81" s="263">
        <v>0</v>
      </c>
    </row>
    <row r="82" spans="1:6">
      <c r="B82" s="47" t="s">
        <v>284</v>
      </c>
      <c r="C82" s="248">
        <f>Valuation_Model!C6*scaling_factor*Exchange_Rate/Common_Shares</f>
        <v>28.333647238343744</v>
      </c>
      <c r="D82" s="1" t="str">
        <f>Market_currency</f>
        <v>HKD</v>
      </c>
    </row>
    <row r="84" spans="1:6" ht="13.9">
      <c r="A84" s="247" t="s">
        <v>365</v>
      </c>
      <c r="B84" s="36"/>
      <c r="C84" s="36"/>
      <c r="D84" s="36"/>
      <c r="E84" s="36"/>
      <c r="F84" s="36"/>
    </row>
    <row r="85" spans="1:6">
      <c r="A85" s="233"/>
    </row>
    <row r="86" spans="1:6">
      <c r="B86" s="345" t="s">
        <v>373</v>
      </c>
      <c r="C86" s="345"/>
      <c r="D86" s="345"/>
      <c r="E86" s="345"/>
      <c r="F86" s="345"/>
    </row>
    <row r="87" spans="1:6">
      <c r="B87" s="1" t="s">
        <v>254</v>
      </c>
    </row>
    <row r="89" spans="1:6">
      <c r="B89" s="234" t="s">
        <v>231</v>
      </c>
    </row>
    <row r="90" spans="1:6" ht="24.4" customHeight="1">
      <c r="B90" s="345" t="s">
        <v>352</v>
      </c>
      <c r="C90" s="345"/>
      <c r="D90" s="345"/>
      <c r="E90" s="345"/>
      <c r="F90" s="345"/>
    </row>
    <row r="91" spans="1:6">
      <c r="B91" s="47" t="s">
        <v>256</v>
      </c>
      <c r="C91" s="188">
        <f>Valuation_Model!C7</f>
        <v>285396383</v>
      </c>
      <c r="D91" s="1" t="str">
        <f>Reporting_currency</f>
        <v>CNY</v>
      </c>
    </row>
    <row r="92" spans="1:6">
      <c r="B92" s="47" t="s">
        <v>285</v>
      </c>
      <c r="C92" s="248">
        <f>C91*scaling_factor*Exchange_Rate/Common_Shares</f>
        <v>0.22473285026779055</v>
      </c>
      <c r="D92" s="1" t="str">
        <f>Market_currency</f>
        <v>HKD</v>
      </c>
    </row>
    <row r="93" spans="1:6">
      <c r="B93" s="336" t="s">
        <v>412</v>
      </c>
      <c r="C93" s="337">
        <f>BS!G30/BS!G27</f>
        <v>0.72207550313588764</v>
      </c>
    </row>
    <row r="94" spans="1:6">
      <c r="B94" s="336" t="s">
        <v>413</v>
      </c>
      <c r="C94" s="337">
        <f>BS!G31/BS!G27</f>
        <v>9.5579625064196368E-3</v>
      </c>
    </row>
    <row r="95" spans="1:6">
      <c r="B95" s="336" t="s">
        <v>415</v>
      </c>
      <c r="C95" s="338">
        <f>BS!C50</f>
        <v>7.3592411949940734E-2</v>
      </c>
    </row>
    <row r="97" spans="1:6">
      <c r="B97" s="1" t="s">
        <v>255</v>
      </c>
    </row>
    <row r="98" spans="1:6">
      <c r="B98" s="47" t="s">
        <v>265</v>
      </c>
      <c r="C98" s="188">
        <f>BS!C66</f>
        <v>17978772896</v>
      </c>
      <c r="D98" s="1" t="str">
        <f>Reporting_currency</f>
        <v>CNY</v>
      </c>
    </row>
    <row r="99" spans="1:6">
      <c r="B99" s="47" t="s">
        <v>267</v>
      </c>
      <c r="C99" s="188">
        <f>Valuation_Model!C8</f>
        <v>12808944138.689201</v>
      </c>
      <c r="D99" s="1" t="str">
        <f>Reporting_currency</f>
        <v>CNY</v>
      </c>
    </row>
    <row r="100" spans="1:6">
      <c r="B100" s="47" t="s">
        <v>286</v>
      </c>
      <c r="C100" s="248">
        <f>C99*scaling_factor*Exchange_Rate/Common_Shares</f>
        <v>10.086289443999483</v>
      </c>
      <c r="D100" s="1" t="str">
        <f>Market_currency</f>
        <v>HKD</v>
      </c>
    </row>
    <row r="102" spans="1:6">
      <c r="B102" s="1" t="s">
        <v>257</v>
      </c>
    </row>
    <row r="103" spans="1:6">
      <c r="B103" s="47" t="s">
        <v>258</v>
      </c>
      <c r="C103" s="188">
        <f>Valuation_Model!C9</f>
        <v>2755411575.5</v>
      </c>
      <c r="D103" s="1" t="str">
        <f>Reporting_currency</f>
        <v>CNY</v>
      </c>
    </row>
    <row r="104" spans="1:6">
      <c r="B104" s="47" t="s">
        <v>287</v>
      </c>
      <c r="C104" s="248">
        <f>C103*scaling_factor*Exchange_Rate/Common_Shares</f>
        <v>2.1697244040509736</v>
      </c>
      <c r="D104" s="1" t="str">
        <f>Market_currency</f>
        <v>HKD</v>
      </c>
    </row>
    <row r="106" spans="1:6" ht="24.4" customHeight="1">
      <c r="B106" s="345" t="s">
        <v>374</v>
      </c>
      <c r="C106" s="345"/>
      <c r="D106" s="345"/>
      <c r="E106" s="345"/>
      <c r="F106" s="345"/>
    </row>
    <row r="108" spans="1:6">
      <c r="B108" s="47" t="s">
        <v>283</v>
      </c>
      <c r="C108" s="248">
        <f>Valuation_Model!C12</f>
        <v>40.364928236126403</v>
      </c>
      <c r="D108" s="1" t="str">
        <f>Market_currency</f>
        <v>HKD</v>
      </c>
    </row>
    <row r="109" spans="1:6">
      <c r="B109" s="336" t="s">
        <v>414</v>
      </c>
      <c r="C109" s="248">
        <f>BS!D47</f>
        <v>1.3351546830236229</v>
      </c>
      <c r="D109" s="1" t="str">
        <f>Market_currency</f>
        <v>HKD</v>
      </c>
    </row>
    <row r="111" spans="1:6" ht="13.9">
      <c r="A111" s="247" t="s">
        <v>366</v>
      </c>
      <c r="B111" s="36"/>
      <c r="C111" s="36"/>
      <c r="D111" s="36"/>
      <c r="E111" s="36"/>
      <c r="F111" s="36"/>
    </row>
    <row r="113" spans="1:6" ht="24.4" customHeight="1">
      <c r="B113" s="346" t="s">
        <v>375</v>
      </c>
      <c r="C113" s="346"/>
      <c r="D113" s="346"/>
      <c r="E113" s="346"/>
      <c r="F113" s="346"/>
    </row>
    <row r="115" spans="1:6" ht="12.4">
      <c r="B115" s="260" t="s">
        <v>118</v>
      </c>
      <c r="C115" s="260" t="s">
        <v>133</v>
      </c>
      <c r="D115" s="260" t="s">
        <v>113</v>
      </c>
      <c r="E115" s="260" t="s">
        <v>260</v>
      </c>
      <c r="F115" s="260" t="s">
        <v>148</v>
      </c>
    </row>
    <row r="116" spans="1:6">
      <c r="B116" s="255" t="str">
        <f>Valuation_Model!B74</f>
        <v>Snowball Scenario</v>
      </c>
      <c r="C116" s="256">
        <f>Valuation_Model!C74</f>
        <v>0.1</v>
      </c>
      <c r="D116" s="257">
        <f>Valuation_Model!D74</f>
        <v>30</v>
      </c>
      <c r="E116" s="258" t="str">
        <f>ROUND(Valuation_Model!E74,2)&amp;" "&amp;Market_currency</f>
        <v>106.64 HKD</v>
      </c>
      <c r="F116" s="259">
        <f>Valuation_Model!F74</f>
        <v>0.05</v>
      </c>
    </row>
    <row r="117" spans="1:6">
      <c r="B117" s="242" t="str">
        <f>Valuation_Model!B75</f>
        <v>Optimistic</v>
      </c>
      <c r="C117" s="243">
        <f>Valuation_Model!C75</f>
        <v>0.08</v>
      </c>
      <c r="D117" s="244">
        <f>Valuation_Model!D75</f>
        <v>30</v>
      </c>
      <c r="E117" s="245" t="str">
        <f>ROUND(Valuation_Model!E75,2)&amp;" "&amp;Market_currency</f>
        <v>83.07 HKD</v>
      </c>
      <c r="F117" s="246">
        <f>Valuation_Model!F75</f>
        <v>0.18</v>
      </c>
    </row>
    <row r="118" spans="1:6">
      <c r="B118" s="242" t="str">
        <f>Valuation_Model!B76</f>
        <v>Base</v>
      </c>
      <c r="C118" s="243">
        <f>Valuation_Model!C76</f>
        <v>0.06</v>
      </c>
      <c r="D118" s="244">
        <f>Valuation_Model!D76</f>
        <v>30</v>
      </c>
      <c r="E118" s="245" t="str">
        <f>ROUND(Valuation_Model!E76,2)&amp;" "&amp;Market_currency</f>
        <v>66.58 HKD</v>
      </c>
      <c r="F118" s="246">
        <f>Valuation_Model!F76</f>
        <v>0.44999999999999996</v>
      </c>
    </row>
    <row r="119" spans="1:6">
      <c r="B119" s="242" t="str">
        <f>Valuation_Model!B77</f>
        <v>Pessimistic</v>
      </c>
      <c r="C119" s="243">
        <f>Valuation_Model!C77</f>
        <v>0.04</v>
      </c>
      <c r="D119" s="244">
        <f>Valuation_Model!D77</f>
        <v>30</v>
      </c>
      <c r="E119" s="245" t="str">
        <f>ROUND(Valuation_Model!E77,2)&amp;" "&amp;Market_currency</f>
        <v>54.9 HKD</v>
      </c>
      <c r="F119" s="246">
        <f>Valuation_Model!F77</f>
        <v>0.26999999999999996</v>
      </c>
    </row>
    <row r="120" spans="1:6">
      <c r="B120" s="242" t="str">
        <f>Valuation_Model!B78</f>
        <v>Devil's advocate</v>
      </c>
      <c r="C120" s="243">
        <f>Valuation_Model!C78</f>
        <v>0.02</v>
      </c>
      <c r="D120" s="244">
        <f>Valuation_Model!D78</f>
        <v>30</v>
      </c>
      <c r="E120" s="245" t="str">
        <f>ROUND(Valuation_Model!E78,2)&amp;" "&amp;Market_currency</f>
        <v>46.5 HKD</v>
      </c>
      <c r="F120" s="246">
        <f>Valuation_Model!F78</f>
        <v>0.05</v>
      </c>
    </row>
    <row r="122" spans="1:6">
      <c r="B122" s="235" t="s">
        <v>259</v>
      </c>
      <c r="C122" s="241">
        <f>Scenarios!C60</f>
        <v>67.394305644906538</v>
      </c>
      <c r="D122" s="236" t="str">
        <f>Market_currency</f>
        <v>HKD</v>
      </c>
    </row>
    <row r="124" spans="1:6" ht="24.4" customHeight="1">
      <c r="B124" s="349" t="s">
        <v>378</v>
      </c>
      <c r="C124" s="349"/>
      <c r="D124" s="349"/>
      <c r="E124" s="349"/>
      <c r="F124" s="349"/>
    </row>
    <row r="126" spans="1:6" ht="13.9">
      <c r="A126" s="247" t="s">
        <v>410</v>
      </c>
      <c r="B126" s="36"/>
      <c r="C126" s="36"/>
      <c r="D126" s="36"/>
      <c r="E126" s="36"/>
      <c r="F126" s="36"/>
    </row>
    <row r="128" spans="1:6">
      <c r="B128" s="350" t="s">
        <v>376</v>
      </c>
      <c r="C128" s="350"/>
      <c r="D128" s="350"/>
      <c r="E128" s="350"/>
      <c r="F128" s="350"/>
    </row>
    <row r="129" spans="2:6" ht="24.4" customHeight="1">
      <c r="B129" s="345" t="s">
        <v>377</v>
      </c>
      <c r="C129" s="345"/>
      <c r="D129" s="345"/>
      <c r="E129" s="345"/>
      <c r="F129" s="345"/>
    </row>
    <row r="130" spans="2:6">
      <c r="B130" s="234" t="s">
        <v>231</v>
      </c>
    </row>
    <row r="131" spans="2:6">
      <c r="B131" s="1" t="s">
        <v>264</v>
      </c>
      <c r="C131" s="251">
        <f>E25</f>
        <v>3</v>
      </c>
    </row>
    <row r="132" spans="2:6">
      <c r="B132" s="1" t="s">
        <v>278</v>
      </c>
      <c r="C132" s="250">
        <f>C24</f>
        <v>0.3</v>
      </c>
    </row>
    <row r="133" spans="2:6">
      <c r="B133" s="236" t="s">
        <v>262</v>
      </c>
      <c r="C133" s="237">
        <f>Scenarios!C77</f>
        <v>2.0479887326362438</v>
      </c>
      <c r="D133" s="236" t="str">
        <f>Market_currency</f>
        <v>HKD</v>
      </c>
    </row>
    <row r="135" spans="2:6">
      <c r="B135" s="234" t="s">
        <v>418</v>
      </c>
      <c r="C135" s="270" t="str">
        <f>C11</f>
        <v>0168.HK</v>
      </c>
      <c r="D135" s="270" t="str">
        <f>IF(D11="","",D11)</f>
        <v/>
      </c>
    </row>
    <row r="136" spans="2:6">
      <c r="B136" s="1" t="s">
        <v>416</v>
      </c>
      <c r="C136" s="337">
        <f>C24</f>
        <v>0.3</v>
      </c>
    </row>
    <row r="137" spans="2:6">
      <c r="B137" s="236" t="str">
        <f>"PV("&amp;C131&amp;" yrs of Dividends)"</f>
        <v>PV(3 yrs of Dividends)</v>
      </c>
      <c r="C137" s="240">
        <f>Scenarios!C81</f>
        <v>3.7193787178965021</v>
      </c>
    </row>
    <row r="138" spans="2:6">
      <c r="B138" s="236" t="str">
        <f>"+ PV(Equity Value realized at year "&amp;C131&amp;")"</f>
        <v>+ PV(Equity Value realized at year 3)</v>
      </c>
      <c r="C138" s="240">
        <f>Scenarios!C82</f>
        <v>30.675605664500011</v>
      </c>
    </row>
    <row r="139" spans="2:6">
      <c r="B139" s="80" t="s">
        <v>261</v>
      </c>
      <c r="C139" s="239">
        <f>Scenarios!C83</f>
        <v>34.394984382396515</v>
      </c>
      <c r="D139" s="342" t="str">
        <f>IF($D$11="","",C139*$E$22)</f>
        <v/>
      </c>
    </row>
    <row r="140" spans="2:6">
      <c r="B140" s="290" t="s">
        <v>426</v>
      </c>
      <c r="C140" s="340" t="str">
        <f>Market_currency</f>
        <v>HKD</v>
      </c>
      <c r="D140" s="340" t="str">
        <f>IF($D$11="","",D$13)</f>
        <v/>
      </c>
    </row>
    <row r="141" spans="2:6">
      <c r="B141" s="238" t="s">
        <v>263</v>
      </c>
      <c r="C141" s="92">
        <f>Scenarios!F83</f>
        <v>0.48964554121797699</v>
      </c>
    </row>
    <row r="143" spans="2:6">
      <c r="B143" s="234" t="s">
        <v>421</v>
      </c>
    </row>
    <row r="144" spans="2:6">
      <c r="B144" s="1" t="s">
        <v>420</v>
      </c>
      <c r="C144" s="337">
        <f>Scenarios!C90</f>
        <v>0.2</v>
      </c>
    </row>
    <row r="145" spans="1:6">
      <c r="B145" s="236" t="str">
        <f>"PV("&amp;C131&amp;" yrs of Dividends)"</f>
        <v>PV(3 yrs of Dividends)</v>
      </c>
      <c r="C145" s="240">
        <f>Scenarios!C91</f>
        <v>4.3140503395809766</v>
      </c>
    </row>
    <row r="146" spans="1:6">
      <c r="B146" s="236" t="str">
        <f>"+ PV(Equity Value realized at year "&amp;C131&amp;")"</f>
        <v>+ PV(Equity Value realized at year 3)</v>
      </c>
      <c r="C146" s="240">
        <f>Scenarios!C92</f>
        <v>39.001334285246841</v>
      </c>
    </row>
    <row r="147" spans="1:6">
      <c r="B147" s="80" t="s">
        <v>261</v>
      </c>
      <c r="C147" s="239">
        <f>Scenarios!C93</f>
        <v>43.315384624827814</v>
      </c>
      <c r="D147" s="342" t="str">
        <f>IF($D$11="","",C147*$E$22)</f>
        <v/>
      </c>
    </row>
    <row r="148" spans="1:6">
      <c r="B148" s="290" t="s">
        <v>426</v>
      </c>
      <c r="C148" s="340" t="str">
        <f>Market_currency</f>
        <v>HKD</v>
      </c>
      <c r="D148" s="340" t="str">
        <f>IF($D$11="","",D$13)</f>
        <v/>
      </c>
    </row>
    <row r="149" spans="1:6">
      <c r="B149" s="238" t="s">
        <v>263</v>
      </c>
      <c r="C149" s="92">
        <f>Scenarios!F93</f>
        <v>0.35728420657596816</v>
      </c>
    </row>
    <row r="151" spans="1:6">
      <c r="B151" s="234" t="s">
        <v>408</v>
      </c>
    </row>
    <row r="152" spans="1:6">
      <c r="B152" s="1" t="s">
        <v>419</v>
      </c>
      <c r="C152" s="92">
        <f>Scenarios!C96</f>
        <v>0.08</v>
      </c>
    </row>
    <row r="153" spans="1:6">
      <c r="B153" s="236" t="str">
        <f>"PV("&amp;C131&amp;" yrs of Dividends)"</f>
        <v>PV(3 yrs of Dividends)</v>
      </c>
      <c r="C153" s="240">
        <f>Scenarios!C97</f>
        <v>5.2778655927944689</v>
      </c>
    </row>
    <row r="154" spans="1:6">
      <c r="B154" s="236" t="str">
        <f>"+ PV(Equity Value realized at year "&amp;C131&amp;")"</f>
        <v>+ PV(Equity Value realized at year 3)</v>
      </c>
      <c r="C154" s="240">
        <f>Scenarios!C98</f>
        <v>53.499772682094424</v>
      </c>
    </row>
    <row r="155" spans="1:6">
      <c r="B155" s="80" t="s">
        <v>409</v>
      </c>
      <c r="C155" s="239">
        <f>Scenarios!C99</f>
        <v>58.777638274888893</v>
      </c>
      <c r="D155" s="342" t="str">
        <f>IF($D$11="","",C155*$E$22)</f>
        <v/>
      </c>
    </row>
    <row r="156" spans="1:6">
      <c r="B156" s="290" t="s">
        <v>426</v>
      </c>
      <c r="C156" s="340" t="str">
        <f>Market_currency</f>
        <v>HKD</v>
      </c>
      <c r="D156" s="340" t="str">
        <f>IF($D$11="","",D$13)</f>
        <v/>
      </c>
    </row>
    <row r="157" spans="1:6">
      <c r="B157" s="238" t="s">
        <v>263</v>
      </c>
      <c r="C157" s="92">
        <f>Scenarios!F99</f>
        <v>0.12785453144094927</v>
      </c>
    </row>
    <row r="159" spans="1:6" ht="13.9">
      <c r="A159" s="247" t="s">
        <v>382</v>
      </c>
      <c r="B159" s="36"/>
      <c r="C159" s="36"/>
      <c r="D159" s="36"/>
      <c r="E159" s="36"/>
      <c r="F159" s="36"/>
    </row>
    <row r="161" spans="2:6">
      <c r="B161" s="344" t="s">
        <v>384</v>
      </c>
      <c r="C161" s="345"/>
      <c r="D161" s="345"/>
      <c r="E161" s="345"/>
      <c r="F161" s="345"/>
    </row>
    <row r="163" spans="2:6">
      <c r="B163" s="234" t="s">
        <v>383</v>
      </c>
    </row>
    <row r="164" spans="2:6">
      <c r="B164" s="347" t="s">
        <v>388</v>
      </c>
      <c r="C164" s="347"/>
      <c r="D164" s="347"/>
      <c r="E164" s="347"/>
      <c r="F164" s="347"/>
    </row>
    <row r="165" spans="2:6">
      <c r="B165" s="238" t="s">
        <v>385</v>
      </c>
    </row>
    <row r="166" spans="2:6">
      <c r="B166" s="238" t="s">
        <v>386</v>
      </c>
    </row>
    <row r="167" spans="2:6">
      <c r="B167" s="238" t="s">
        <v>387</v>
      </c>
    </row>
    <row r="169" spans="2:6">
      <c r="B169" s="1" t="s">
        <v>392</v>
      </c>
    </row>
    <row r="170" spans="2:6" ht="46.5" customHeight="1">
      <c r="B170" s="346" t="s">
        <v>389</v>
      </c>
      <c r="C170" s="346"/>
      <c r="D170" s="346"/>
      <c r="E170" s="346"/>
      <c r="F170" s="346"/>
    </row>
    <row r="172" spans="2:6">
      <c r="B172" s="1" t="s">
        <v>393</v>
      </c>
    </row>
    <row r="173" spans="2:6" ht="24.4" customHeight="1">
      <c r="B173" s="343" t="s">
        <v>390</v>
      </c>
      <c r="C173" s="343"/>
      <c r="D173" s="343"/>
      <c r="E173" s="343"/>
      <c r="F173" s="343"/>
    </row>
    <row r="174" spans="2:6" ht="24.4" customHeight="1">
      <c r="B174" s="343" t="s">
        <v>391</v>
      </c>
      <c r="C174" s="343"/>
      <c r="D174" s="343"/>
      <c r="E174" s="343"/>
      <c r="F174" s="343"/>
    </row>
    <row r="176" spans="2:6">
      <c r="B176" s="1" t="s">
        <v>397</v>
      </c>
    </row>
    <row r="177" spans="2:2">
      <c r="B177" s="238" t="s">
        <v>394</v>
      </c>
    </row>
    <row r="178" spans="2:2">
      <c r="B178" s="238" t="s">
        <v>395</v>
      </c>
    </row>
    <row r="179" spans="2:2">
      <c r="B179" s="238" t="s">
        <v>396</v>
      </c>
    </row>
  </sheetData>
  <mergeCells count="27">
    <mergeCell ref="B129:F129"/>
    <mergeCell ref="B41:F41"/>
    <mergeCell ref="B18:F18"/>
    <mergeCell ref="B30:F30"/>
    <mergeCell ref="B31:F31"/>
    <mergeCell ref="B34:F34"/>
    <mergeCell ref="B37:F37"/>
    <mergeCell ref="B79:F79"/>
    <mergeCell ref="B86:F86"/>
    <mergeCell ref="B106:F106"/>
    <mergeCell ref="B128:F128"/>
    <mergeCell ref="B44:F44"/>
    <mergeCell ref="B52:F52"/>
    <mergeCell ref="B55:F55"/>
    <mergeCell ref="B59:F59"/>
    <mergeCell ref="B68:F68"/>
    <mergeCell ref="B69:F69"/>
    <mergeCell ref="B113:F113"/>
    <mergeCell ref="B78:F78"/>
    <mergeCell ref="B124:F124"/>
    <mergeCell ref="B58:F58"/>
    <mergeCell ref="B90:F90"/>
    <mergeCell ref="B173:F173"/>
    <mergeCell ref="B174:F174"/>
    <mergeCell ref="B161:F161"/>
    <mergeCell ref="B170:F170"/>
    <mergeCell ref="B164:F164"/>
  </mergeCells>
  <phoneticPr fontId="2" type="noConversion"/>
  <dataValidations count="3">
    <dataValidation type="list" allowBlank="1" showInputMessage="1" showErrorMessage="1" sqref="F1" xr:uid="{45F807FD-9E0F-415A-9BBD-D5FB6470B56D}">
      <formula1>"Y, N"</formula1>
    </dataValidation>
    <dataValidation type="list" allowBlank="1" showInputMessage="1" showErrorMessage="1" sqref="D73:D74" xr:uid="{342D2C68-3352-49DC-9D77-964DC8D8A160}">
      <formula1>"Y,N"</formula1>
    </dataValidation>
    <dataValidation type="list" allowBlank="1" sqref="C22:D22" xr:uid="{00000000-0002-0000-0000-000001000000}">
      <formula1>"HKD,USD,CNY,EUR"</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6" sqref="C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Thesis!C22</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v>
      </c>
    </row>
    <row r="4" spans="2:13">
      <c r="B4" s="32" t="s">
        <v>2</v>
      </c>
      <c r="C4" s="181">
        <v>32137830111</v>
      </c>
      <c r="D4" s="181">
        <v>33936522741</v>
      </c>
      <c r="E4" s="181">
        <v>32171565624</v>
      </c>
      <c r="F4" s="181">
        <v>30166805377</v>
      </c>
      <c r="G4" s="181">
        <v>27759710926</v>
      </c>
      <c r="H4" s="181"/>
      <c r="I4" s="181"/>
      <c r="J4" s="181"/>
      <c r="K4" s="181"/>
      <c r="L4" s="181"/>
      <c r="M4" s="181"/>
    </row>
    <row r="5" spans="2:13">
      <c r="B5" s="40" t="s">
        <v>43</v>
      </c>
      <c r="C5" s="181">
        <f>19209915823+2328256391</f>
        <v>21538172214</v>
      </c>
      <c r="D5" s="181">
        <f>20816889655+2386660732</f>
        <v>23203550387</v>
      </c>
      <c r="E5" s="181">
        <f>20317934822+2390725323</f>
        <v>22708660145</v>
      </c>
      <c r="F5" s="181">
        <f>19091130744+2318835745</f>
        <v>21409966489</v>
      </c>
      <c r="G5" s="181">
        <f>16540609624+2219072099</f>
        <v>18759681723</v>
      </c>
      <c r="H5" s="181"/>
      <c r="I5" s="181"/>
      <c r="J5" s="181"/>
      <c r="K5" s="181"/>
      <c r="L5" s="181"/>
      <c r="M5" s="181"/>
    </row>
    <row r="6" spans="2:13">
      <c r="B6" s="40" t="s">
        <v>54</v>
      </c>
      <c r="C6" s="181">
        <f>1406578781+C7</f>
        <v>6009098645</v>
      </c>
      <c r="D6" s="181">
        <f>1519063042+D7</f>
        <v>6227465840</v>
      </c>
      <c r="E6" s="181">
        <f>1473368004+E7</f>
        <v>5672870751</v>
      </c>
      <c r="F6" s="181">
        <f>1692545246+F7</f>
        <v>5789419371</v>
      </c>
      <c r="G6" s="181">
        <f>1678050722+G7</f>
        <v>6662600559</v>
      </c>
      <c r="H6" s="181"/>
      <c r="I6" s="181"/>
      <c r="J6" s="181"/>
      <c r="K6" s="181"/>
      <c r="L6" s="181"/>
      <c r="M6" s="181"/>
    </row>
    <row r="7" spans="2:13">
      <c r="B7" s="69" t="s">
        <v>61</v>
      </c>
      <c r="C7" s="189">
        <v>4602519864</v>
      </c>
      <c r="D7" s="189">
        <v>4708402798</v>
      </c>
      <c r="E7" s="189">
        <v>4199502747</v>
      </c>
      <c r="F7" s="189">
        <v>4096874125</v>
      </c>
      <c r="G7" s="189">
        <v>4984549837</v>
      </c>
      <c r="H7" s="189"/>
      <c r="I7" s="189"/>
      <c r="J7" s="189"/>
      <c r="K7" s="189"/>
      <c r="L7" s="189"/>
      <c r="M7" s="189"/>
    </row>
    <row r="8" spans="2:13">
      <c r="B8" s="40" t="s">
        <v>49</v>
      </c>
      <c r="C8" s="181">
        <v>102766675</v>
      </c>
      <c r="D8" s="181">
        <v>100637006</v>
      </c>
      <c r="E8" s="181">
        <v>62954899</v>
      </c>
      <c r="F8" s="181">
        <v>30890245</v>
      </c>
      <c r="G8" s="181">
        <v>21467092</v>
      </c>
      <c r="H8" s="181"/>
      <c r="I8" s="181"/>
      <c r="J8" s="181"/>
      <c r="K8" s="181"/>
      <c r="L8" s="181"/>
      <c r="M8" s="181"/>
    </row>
    <row r="9" spans="2:13">
      <c r="B9" s="40" t="s">
        <v>160</v>
      </c>
      <c r="C9" s="181">
        <v>48272283</v>
      </c>
      <c r="D9" s="181">
        <v>15798284</v>
      </c>
      <c r="E9" s="181">
        <v>19873379</v>
      </c>
      <c r="F9" s="181">
        <v>20561728</v>
      </c>
      <c r="G9" s="181">
        <v>18098320</v>
      </c>
      <c r="H9" s="181"/>
      <c r="I9" s="181"/>
      <c r="J9" s="181"/>
      <c r="K9" s="181"/>
      <c r="L9" s="181"/>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21837054</v>
      </c>
      <c r="D12" s="181">
        <v>16430590</v>
      </c>
      <c r="E12" s="181">
        <v>9237800</v>
      </c>
      <c r="F12" s="181">
        <v>22685367</v>
      </c>
      <c r="G12" s="181">
        <v>13662682</v>
      </c>
      <c r="H12" s="181"/>
      <c r="I12" s="181"/>
      <c r="J12" s="181"/>
      <c r="K12" s="181"/>
      <c r="L12" s="181"/>
      <c r="M12" s="181"/>
    </row>
    <row r="13" spans="2:13">
      <c r="B13" s="40" t="s">
        <v>67</v>
      </c>
      <c r="C13" s="181">
        <v>616771200</v>
      </c>
      <c r="D13" s="181">
        <v>506376003</v>
      </c>
      <c r="E13" s="181">
        <v>459661656</v>
      </c>
      <c r="F13" s="181">
        <v>315648307</v>
      </c>
      <c r="G13" s="181">
        <v>524029340</v>
      </c>
      <c r="H13" s="181"/>
      <c r="I13" s="181"/>
      <c r="J13" s="181"/>
      <c r="K13" s="181"/>
      <c r="L13" s="181"/>
      <c r="M13" s="181"/>
    </row>
    <row r="14" spans="2:13">
      <c r="B14" s="40" t="s">
        <v>50</v>
      </c>
      <c r="C14" s="181">
        <v>1389716314</v>
      </c>
      <c r="D14" s="181">
        <v>1398208378</v>
      </c>
      <c r="E14" s="181">
        <v>1201419808</v>
      </c>
      <c r="F14" s="181">
        <v>1222731595</v>
      </c>
      <c r="G14" s="181">
        <v>912580519</v>
      </c>
      <c r="H14" s="181"/>
      <c r="I14" s="181"/>
      <c r="J14" s="181"/>
      <c r="K14" s="181"/>
      <c r="L14" s="181"/>
      <c r="M14" s="181"/>
    </row>
    <row r="15" spans="2:13">
      <c r="B15" s="43" t="s">
        <v>42</v>
      </c>
      <c r="C15" s="182">
        <v>4491776686</v>
      </c>
      <c r="D15" s="182">
        <v>4348198924</v>
      </c>
      <c r="E15" s="182">
        <v>3804721478</v>
      </c>
      <c r="F15" s="182">
        <v>3256243870</v>
      </c>
      <c r="G15" s="182">
        <v>2326968805</v>
      </c>
      <c r="H15" s="182"/>
      <c r="I15" s="182"/>
      <c r="J15" s="182"/>
      <c r="K15" s="182"/>
      <c r="L15" s="182"/>
      <c r="M15" s="182"/>
    </row>
    <row r="16" spans="2:13">
      <c r="B16" s="28" t="s">
        <v>44</v>
      </c>
      <c r="C16" s="181">
        <v>146792828</v>
      </c>
      <c r="D16" s="181">
        <v>80347518</v>
      </c>
      <c r="E16" s="181">
        <v>94092885</v>
      </c>
      <c r="F16" s="181">
        <v>100788060</v>
      </c>
      <c r="G16" s="181">
        <v>125645249</v>
      </c>
      <c r="H16" s="181"/>
      <c r="I16" s="181"/>
      <c r="J16" s="181"/>
      <c r="K16" s="181"/>
      <c r="L16" s="181"/>
      <c r="M16" s="181"/>
    </row>
    <row r="18" spans="2:13">
      <c r="B18" s="16" t="s">
        <v>51</v>
      </c>
      <c r="C18" s="9"/>
    </row>
    <row r="19" spans="2:13">
      <c r="B19" s="27" t="s">
        <v>47</v>
      </c>
      <c r="C19" s="181">
        <v>1191305772</v>
      </c>
      <c r="D19" s="181">
        <v>1140399624</v>
      </c>
      <c r="E19" s="181">
        <v>1083856796</v>
      </c>
      <c r="F19" s="181">
        <v>1109733268</v>
      </c>
      <c r="G19" s="181"/>
      <c r="H19" s="181"/>
      <c r="I19" s="181"/>
      <c r="J19" s="181"/>
      <c r="K19" s="181"/>
      <c r="L19" s="181"/>
      <c r="M19" s="181"/>
    </row>
    <row r="20" spans="2:13">
      <c r="B20" s="27" t="s">
        <v>53</v>
      </c>
      <c r="C20" s="181">
        <f>C19</f>
        <v>1191305772</v>
      </c>
      <c r="D20" s="181">
        <f>D19</f>
        <v>1140399624</v>
      </c>
      <c r="E20" s="181">
        <f>E19</f>
        <v>1083856796</v>
      </c>
      <c r="F20" s="181">
        <f>F19</f>
        <v>1109733268</v>
      </c>
      <c r="G20" s="181"/>
      <c r="H20" s="181"/>
      <c r="I20" s="181"/>
      <c r="J20" s="181"/>
      <c r="K20" s="181"/>
      <c r="L20" s="181"/>
      <c r="M20" s="181"/>
    </row>
    <row r="21" spans="2:13">
      <c r="B21" s="27" t="s">
        <v>52</v>
      </c>
      <c r="C21" s="181">
        <v>583532518</v>
      </c>
      <c r="D21" s="181">
        <v>1575918543</v>
      </c>
      <c r="E21" s="181">
        <v>878667968</v>
      </c>
      <c r="F21" s="181">
        <v>2804548241</v>
      </c>
      <c r="G21" s="181"/>
      <c r="H21" s="181"/>
      <c r="I21" s="181"/>
      <c r="J21" s="181"/>
      <c r="K21" s="181"/>
      <c r="L21" s="181"/>
      <c r="M21" s="181"/>
    </row>
    <row r="22" spans="2:13">
      <c r="B22" s="27" t="s">
        <v>379</v>
      </c>
      <c r="C22" s="181">
        <v>5154661132</v>
      </c>
      <c r="D22" s="181">
        <v>2777567140</v>
      </c>
      <c r="E22" s="181">
        <v>4878771322</v>
      </c>
      <c r="F22" s="181">
        <v>6043111455</v>
      </c>
      <c r="G22" s="181">
        <v>4953422362</v>
      </c>
      <c r="H22" s="181"/>
      <c r="I22" s="181"/>
      <c r="J22" s="181"/>
      <c r="K22" s="181"/>
      <c r="L22" s="181"/>
      <c r="M22" s="181"/>
    </row>
    <row r="23" spans="2:13">
      <c r="B23" s="27" t="s">
        <v>381</v>
      </c>
      <c r="C23" s="181">
        <v>-7421783375</v>
      </c>
      <c r="D23" s="181">
        <v>-3462971412</v>
      </c>
      <c r="E23" s="181">
        <v>-2199108158</v>
      </c>
      <c r="F23" s="181">
        <v>-10249763562</v>
      </c>
      <c r="G23" s="181">
        <v>-1487738165</v>
      </c>
      <c r="H23" s="181"/>
      <c r="I23" s="181"/>
      <c r="J23" s="181"/>
      <c r="K23" s="181"/>
      <c r="L23" s="181"/>
      <c r="M23" s="181"/>
    </row>
    <row r="24" spans="2:13">
      <c r="B24" s="27" t="s">
        <v>380</v>
      </c>
      <c r="C24" s="181">
        <v>-2983143705</v>
      </c>
      <c r="D24" s="181">
        <v>-2868065880</v>
      </c>
      <c r="E24" s="181">
        <v>-1675712527</v>
      </c>
      <c r="F24" s="181">
        <v>-1613622636</v>
      </c>
      <c r="G24" s="181">
        <v>-356090851</v>
      </c>
      <c r="H24" s="181"/>
      <c r="I24" s="181"/>
      <c r="J24" s="181"/>
      <c r="K24" s="181"/>
      <c r="L24" s="181"/>
      <c r="M24" s="181"/>
    </row>
    <row r="25" spans="2:13">
      <c r="B25" s="24" t="str">
        <f>"Dividend per share ("&amp;Market_currency&amp;")"</f>
        <v>Dividend per share (HKD)</v>
      </c>
      <c r="C25" s="39">
        <f>2.2/Exchange_Rate</f>
        <v>2.0479887326362438</v>
      </c>
      <c r="D25" s="39">
        <f>2/Exchange_Rate</f>
        <v>1.8618079387602215</v>
      </c>
      <c r="E25" s="39">
        <f>1.3/Exchange_Rate</f>
        <v>1.2101751601941442</v>
      </c>
      <c r="F25" s="39">
        <f>1.1/Exchange_Rate</f>
        <v>1.0239943663181219</v>
      </c>
      <c r="G25" s="39">
        <f>0.75/Exchange_Rate</f>
        <v>0.69817797703508311</v>
      </c>
      <c r="H25" s="39"/>
      <c r="I25" s="39"/>
      <c r="J25" s="39"/>
      <c r="K25" s="39"/>
      <c r="L25" s="39"/>
      <c r="M25" s="39"/>
    </row>
    <row r="27" spans="2:13">
      <c r="B27" s="16" t="s">
        <v>28</v>
      </c>
      <c r="C27" s="97" t="s">
        <v>436</v>
      </c>
    </row>
    <row r="28" spans="2:13">
      <c r="B28" s="26" t="s">
        <v>24</v>
      </c>
      <c r="C28" s="183">
        <f>BS!C4</f>
        <v>185704725</v>
      </c>
      <c r="D28" s="181">
        <v>100391321</v>
      </c>
      <c r="E28" s="181">
        <v>124099728</v>
      </c>
      <c r="F28" s="181">
        <v>124929816</v>
      </c>
      <c r="G28" s="181">
        <v>125155008</v>
      </c>
      <c r="H28" s="181"/>
      <c r="I28" s="181"/>
      <c r="J28" s="181"/>
      <c r="K28" s="181"/>
      <c r="L28" s="181"/>
      <c r="M28" s="181"/>
    </row>
    <row r="29" spans="2:13">
      <c r="B29" s="26" t="s">
        <v>32</v>
      </c>
      <c r="C29" s="183">
        <f>BS!C6</f>
        <v>3576387537</v>
      </c>
      <c r="D29" s="181">
        <v>3539828305</v>
      </c>
      <c r="E29" s="181">
        <v>4152187132</v>
      </c>
      <c r="F29" s="181">
        <v>3492997857</v>
      </c>
      <c r="G29" s="181">
        <v>3281033526</v>
      </c>
      <c r="H29" s="181"/>
      <c r="I29" s="181"/>
      <c r="J29" s="181"/>
      <c r="K29" s="181"/>
      <c r="L29" s="181"/>
      <c r="M29" s="181"/>
    </row>
    <row r="30" spans="2:13">
      <c r="B30" s="29" t="s">
        <v>40</v>
      </c>
      <c r="C30" s="186">
        <f>BS!C33+BS!C42</f>
        <v>21560843821</v>
      </c>
      <c r="D30" s="182">
        <v>21001264174</v>
      </c>
      <c r="E30" s="182">
        <v>24039387261</v>
      </c>
      <c r="F30" s="182">
        <v>22769313149</v>
      </c>
      <c r="G30" s="182">
        <v>20146133669</v>
      </c>
      <c r="H30" s="182"/>
      <c r="I30" s="182"/>
      <c r="J30" s="182"/>
      <c r="K30" s="182"/>
      <c r="L30" s="182"/>
      <c r="M30" s="182"/>
    </row>
    <row r="31" spans="2:13">
      <c r="B31" s="29" t="s">
        <v>30</v>
      </c>
      <c r="C31" s="186">
        <f>BS!G27</f>
        <v>29859542011</v>
      </c>
      <c r="D31" s="182">
        <v>28254747175</v>
      </c>
      <c r="E31" s="182">
        <v>26272312535</v>
      </c>
      <c r="F31" s="182">
        <v>23793691342</v>
      </c>
      <c r="G31" s="182">
        <v>21368052166</v>
      </c>
      <c r="H31" s="182"/>
      <c r="I31" s="182"/>
      <c r="J31" s="182"/>
      <c r="K31" s="182"/>
      <c r="L31" s="182"/>
      <c r="M31" s="182"/>
    </row>
    <row r="32" spans="2:13">
      <c r="B32" s="26" t="s">
        <v>173</v>
      </c>
      <c r="C32" s="183">
        <f>BS!G28</f>
        <v>799157484</v>
      </c>
      <c r="D32" s="181">
        <v>805268959</v>
      </c>
      <c r="E32" s="181">
        <v>777490832</v>
      </c>
      <c r="F32" s="181">
        <v>791846744</v>
      </c>
      <c r="G32" s="182">
        <v>746091651</v>
      </c>
      <c r="H32" s="182"/>
      <c r="I32" s="182"/>
      <c r="J32" s="182"/>
      <c r="K32" s="182"/>
      <c r="L32" s="182"/>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32137830111</v>
      </c>
      <c r="D36" s="183">
        <f t="shared" si="1"/>
        <v>33936522741</v>
      </c>
      <c r="E36" s="183">
        <f t="shared" si="1"/>
        <v>32171565624</v>
      </c>
      <c r="F36" s="183">
        <f t="shared" si="1"/>
        <v>30166805377</v>
      </c>
      <c r="G36" s="183">
        <f t="shared" si="1"/>
        <v>27759710926</v>
      </c>
      <c r="H36" s="183" t="str">
        <f t="shared" si="1"/>
        <v/>
      </c>
      <c r="I36" s="183" t="str">
        <f t="shared" si="1"/>
        <v/>
      </c>
      <c r="J36" s="183" t="str">
        <f t="shared" si="1"/>
        <v/>
      </c>
      <c r="K36" s="183" t="str">
        <f t="shared" si="1"/>
        <v/>
      </c>
      <c r="L36" s="183" t="str">
        <f t="shared" si="1"/>
        <v/>
      </c>
      <c r="M36" s="183" t="str">
        <f t="shared" si="1"/>
        <v/>
      </c>
    </row>
    <row r="37" spans="2:13">
      <c r="B37" s="40" t="s">
        <v>43</v>
      </c>
      <c r="C37" s="183">
        <f t="shared" ref="C37:M37" si="2">IF(C$4="","",-C5)</f>
        <v>-21538172214</v>
      </c>
      <c r="D37" s="183">
        <f t="shared" si="2"/>
        <v>-23203550387</v>
      </c>
      <c r="E37" s="183">
        <f t="shared" si="2"/>
        <v>-22708660145</v>
      </c>
      <c r="F37" s="183">
        <f t="shared" si="2"/>
        <v>-21409966489</v>
      </c>
      <c r="G37" s="183">
        <f t="shared" si="2"/>
        <v>-18759681723</v>
      </c>
      <c r="H37" s="183" t="str">
        <f t="shared" si="2"/>
        <v/>
      </c>
      <c r="I37" s="183" t="str">
        <f t="shared" si="2"/>
        <v/>
      </c>
      <c r="J37" s="183" t="str">
        <f t="shared" si="2"/>
        <v/>
      </c>
      <c r="K37" s="183" t="str">
        <f t="shared" si="2"/>
        <v/>
      </c>
      <c r="L37" s="183" t="str">
        <f t="shared" si="2"/>
        <v/>
      </c>
      <c r="M37" s="183" t="str">
        <f t="shared" si="2"/>
        <v/>
      </c>
    </row>
    <row r="38" spans="2:13">
      <c r="B38" s="31" t="s">
        <v>58</v>
      </c>
      <c r="C38" s="184">
        <f>IF(C36="","",C36+C37)</f>
        <v>10599657897</v>
      </c>
      <c r="D38" s="184">
        <f t="shared" ref="D38" si="3">IF(D36="","",D36+D37)</f>
        <v>10732972354</v>
      </c>
      <c r="E38" s="184">
        <f t="shared" ref="E38" si="4">IF(E36="","",E36+E37)</f>
        <v>9462905479</v>
      </c>
      <c r="F38" s="184">
        <f t="shared" ref="F38" si="5">IF(F36="","",F36+F37)</f>
        <v>8756838888</v>
      </c>
      <c r="G38" s="184">
        <f t="shared" ref="G38" si="6">IF(G36="","",G36+G37)</f>
        <v>9000029203</v>
      </c>
      <c r="H38" s="184" t="str">
        <f t="shared" ref="H38" si="7">IF(H36="","",H36+H37)</f>
        <v/>
      </c>
      <c r="I38" s="184" t="str">
        <f t="shared" ref="I38" si="8">IF(I36="","",I36+I37)</f>
        <v/>
      </c>
      <c r="J38" s="184" t="str">
        <f t="shared" ref="J38" si="9">IF(J36="","",J36+J37)</f>
        <v/>
      </c>
      <c r="K38" s="184" t="str">
        <f t="shared" ref="K38" si="10">IF(K36="","",K36+K37)</f>
        <v/>
      </c>
      <c r="L38" s="184" t="str">
        <f t="shared" ref="L38" si="11">IF(L36="","",L36+L37)</f>
        <v/>
      </c>
      <c r="M38" s="184" t="str">
        <f t="shared" ref="M38" si="12">IF(M36="","",M36+M37)</f>
        <v/>
      </c>
    </row>
    <row r="39" spans="2:13">
      <c r="B39" s="40" t="s">
        <v>54</v>
      </c>
      <c r="C39" s="183">
        <f t="shared" ref="C39:M39" si="13">IF(C$4="","",-C6)</f>
        <v>-6009098645</v>
      </c>
      <c r="D39" s="183">
        <f t="shared" si="13"/>
        <v>-6227465840</v>
      </c>
      <c r="E39" s="183">
        <f t="shared" si="13"/>
        <v>-5672870751</v>
      </c>
      <c r="F39" s="183">
        <f t="shared" si="13"/>
        <v>-5789419371</v>
      </c>
      <c r="G39" s="183">
        <f t="shared" si="13"/>
        <v>-6662600559</v>
      </c>
      <c r="H39" s="183" t="str">
        <f t="shared" si="13"/>
        <v/>
      </c>
      <c r="I39" s="183" t="str">
        <f t="shared" si="13"/>
        <v/>
      </c>
      <c r="J39" s="183" t="str">
        <f t="shared" si="13"/>
        <v/>
      </c>
      <c r="K39" s="183" t="str">
        <f t="shared" si="13"/>
        <v/>
      </c>
      <c r="L39" s="183" t="str">
        <f t="shared" si="13"/>
        <v/>
      </c>
      <c r="M39" s="183" t="str">
        <f t="shared" si="13"/>
        <v/>
      </c>
    </row>
    <row r="40" spans="2:13">
      <c r="B40" s="69" t="s">
        <v>61</v>
      </c>
      <c r="C40" s="185">
        <f t="shared" ref="C40:M40" si="14">IF(C$4="","",-C7)</f>
        <v>-4602519864</v>
      </c>
      <c r="D40" s="185">
        <f t="shared" si="14"/>
        <v>-4708402798</v>
      </c>
      <c r="E40" s="185">
        <f t="shared" si="14"/>
        <v>-4199502747</v>
      </c>
      <c r="F40" s="185">
        <f t="shared" si="14"/>
        <v>-4096874125</v>
      </c>
      <c r="G40" s="185">
        <f t="shared" si="14"/>
        <v>-4984549837</v>
      </c>
      <c r="H40" s="185" t="str">
        <f t="shared" si="14"/>
        <v/>
      </c>
      <c r="I40" s="185" t="str">
        <f t="shared" si="14"/>
        <v/>
      </c>
      <c r="J40" s="185" t="str">
        <f t="shared" si="14"/>
        <v/>
      </c>
      <c r="K40" s="185" t="str">
        <f t="shared" si="14"/>
        <v/>
      </c>
      <c r="L40" s="185" t="str">
        <f t="shared" si="14"/>
        <v/>
      </c>
      <c r="M40" s="185" t="str">
        <f t="shared" si="14"/>
        <v/>
      </c>
    </row>
    <row r="41" spans="2:13">
      <c r="B41" s="69" t="s">
        <v>64</v>
      </c>
      <c r="C41" s="185">
        <f>IF(C$4="","",C39-C40)</f>
        <v>-1406578781</v>
      </c>
      <c r="D41" s="185">
        <f t="shared" ref="D41:M41" si="15">IF(D$4="","",D39-D40)</f>
        <v>-1519063042</v>
      </c>
      <c r="E41" s="185">
        <f t="shared" si="15"/>
        <v>-1473368004</v>
      </c>
      <c r="F41" s="185">
        <f t="shared" si="15"/>
        <v>-1692545246</v>
      </c>
      <c r="G41" s="185">
        <f t="shared" si="15"/>
        <v>-1678050722</v>
      </c>
      <c r="H41" s="185" t="str">
        <f t="shared" si="15"/>
        <v/>
      </c>
      <c r="I41" s="185" t="str">
        <f t="shared" si="15"/>
        <v/>
      </c>
      <c r="J41" s="185" t="str">
        <f t="shared" si="15"/>
        <v/>
      </c>
      <c r="K41" s="185" t="str">
        <f t="shared" si="15"/>
        <v/>
      </c>
      <c r="L41" s="185" t="str">
        <f t="shared" si="15"/>
        <v/>
      </c>
      <c r="M41" s="185" t="str">
        <f t="shared" si="15"/>
        <v/>
      </c>
    </row>
    <row r="42" spans="2:13">
      <c r="B42" s="40" t="s">
        <v>49</v>
      </c>
      <c r="C42" s="183">
        <f t="shared" ref="C42:M42" si="16">IF(C$4="","",-C8)</f>
        <v>-102766675</v>
      </c>
      <c r="D42" s="183">
        <f t="shared" si="16"/>
        <v>-100637006</v>
      </c>
      <c r="E42" s="183">
        <f t="shared" si="16"/>
        <v>-62954899</v>
      </c>
      <c r="F42" s="183">
        <f t="shared" si="16"/>
        <v>-30890245</v>
      </c>
      <c r="G42" s="183">
        <f t="shared" si="16"/>
        <v>-21467092</v>
      </c>
      <c r="H42" s="183" t="str">
        <f t="shared" si="16"/>
        <v/>
      </c>
      <c r="I42" s="183" t="str">
        <f t="shared" si="16"/>
        <v/>
      </c>
      <c r="J42" s="183" t="str">
        <f t="shared" si="16"/>
        <v/>
      </c>
      <c r="K42" s="183" t="str">
        <f t="shared" si="16"/>
        <v/>
      </c>
      <c r="L42" s="183" t="str">
        <f t="shared" si="16"/>
        <v/>
      </c>
      <c r="M42" s="183" t="str">
        <f t="shared" si="16"/>
        <v/>
      </c>
    </row>
    <row r="43" spans="2:13">
      <c r="B43" s="43" t="s">
        <v>153</v>
      </c>
      <c r="C43" s="186">
        <f>IF(C$4="","",C38+C39+C42)</f>
        <v>4487792577</v>
      </c>
      <c r="D43" s="186">
        <f t="shared" ref="D43:M43" si="17">IF(D$4="","",D38+D39+D42)</f>
        <v>4404869508</v>
      </c>
      <c r="E43" s="186">
        <f t="shared" si="17"/>
        <v>3727079829</v>
      </c>
      <c r="F43" s="186">
        <f t="shared" si="17"/>
        <v>2936529272</v>
      </c>
      <c r="G43" s="186">
        <f t="shared" si="17"/>
        <v>2315961552</v>
      </c>
      <c r="H43" s="186" t="str">
        <f t="shared" si="17"/>
        <v/>
      </c>
      <c r="I43" s="186" t="str">
        <f t="shared" si="17"/>
        <v/>
      </c>
      <c r="J43" s="186" t="str">
        <f t="shared" si="17"/>
        <v/>
      </c>
      <c r="K43" s="186" t="str">
        <f t="shared" si="17"/>
        <v/>
      </c>
      <c r="L43" s="186" t="str">
        <f t="shared" si="17"/>
        <v/>
      </c>
      <c r="M43" s="186" t="str">
        <f t="shared" si="17"/>
        <v/>
      </c>
    </row>
    <row r="44" spans="2:13">
      <c r="B44" s="43" t="s">
        <v>169</v>
      </c>
      <c r="C44" s="187">
        <f t="shared" ref="C44:M44" si="18">IF(C$4="","",C47-C46-C45-C43)</f>
        <v>798766277</v>
      </c>
      <c r="D44" s="187">
        <f t="shared" si="18"/>
        <v>851592381</v>
      </c>
      <c r="E44" s="187">
        <f t="shared" si="18"/>
        <v>828637601</v>
      </c>
      <c r="F44" s="187">
        <f t="shared" si="18"/>
        <v>1249483253</v>
      </c>
      <c r="G44" s="187">
        <f t="shared" si="18"/>
        <v>413221114</v>
      </c>
      <c r="H44" s="187" t="str">
        <f t="shared" si="18"/>
        <v/>
      </c>
      <c r="I44" s="187" t="str">
        <f t="shared" si="18"/>
        <v/>
      </c>
      <c r="J44" s="187" t="str">
        <f t="shared" si="18"/>
        <v/>
      </c>
      <c r="K44" s="187" t="str">
        <f t="shared" si="18"/>
        <v/>
      </c>
      <c r="L44" s="187" t="str">
        <f t="shared" si="18"/>
        <v/>
      </c>
      <c r="M44" s="187" t="str">
        <f t="shared" si="18"/>
        <v/>
      </c>
    </row>
    <row r="45" spans="2:13">
      <c r="B45" s="40" t="s">
        <v>68</v>
      </c>
      <c r="C45" s="188">
        <f t="shared" ref="C45:M45" si="19">IF(C$4="","",C51+C52)</f>
        <v>594934146</v>
      </c>
      <c r="D45" s="188">
        <f t="shared" si="19"/>
        <v>489945413</v>
      </c>
      <c r="E45" s="188">
        <f t="shared" si="19"/>
        <v>450423856</v>
      </c>
      <c r="F45" s="188">
        <f t="shared" si="19"/>
        <v>292962940</v>
      </c>
      <c r="G45" s="188">
        <f t="shared" si="19"/>
        <v>510366658</v>
      </c>
      <c r="H45" s="188" t="str">
        <f t="shared" si="19"/>
        <v/>
      </c>
      <c r="I45" s="188" t="str">
        <f t="shared" si="19"/>
        <v/>
      </c>
      <c r="J45" s="188" t="str">
        <f t="shared" si="19"/>
        <v/>
      </c>
      <c r="K45" s="188" t="str">
        <f t="shared" si="19"/>
        <v/>
      </c>
      <c r="L45" s="188" t="str">
        <f t="shared" si="19"/>
        <v/>
      </c>
      <c r="M45" s="188" t="str">
        <f t="shared" si="19"/>
        <v/>
      </c>
    </row>
    <row r="46" spans="2:13">
      <c r="B46" s="40" t="s">
        <v>50</v>
      </c>
      <c r="C46" s="183">
        <f t="shared" ref="C46:M46" si="20">IF(C$4="","",-C14)</f>
        <v>-1389716314</v>
      </c>
      <c r="D46" s="183">
        <f t="shared" si="20"/>
        <v>-1398208378</v>
      </c>
      <c r="E46" s="183">
        <f t="shared" si="20"/>
        <v>-1201419808</v>
      </c>
      <c r="F46" s="183">
        <f t="shared" si="20"/>
        <v>-1222731595</v>
      </c>
      <c r="G46" s="183">
        <f t="shared" si="20"/>
        <v>-912580519</v>
      </c>
      <c r="H46" s="183" t="str">
        <f t="shared" si="20"/>
        <v/>
      </c>
      <c r="I46" s="183" t="str">
        <f t="shared" si="20"/>
        <v/>
      </c>
      <c r="J46" s="183" t="str">
        <f t="shared" si="20"/>
        <v/>
      </c>
      <c r="K46" s="183" t="str">
        <f t="shared" si="20"/>
        <v/>
      </c>
      <c r="L46" s="183" t="str">
        <f t="shared" si="20"/>
        <v/>
      </c>
      <c r="M46" s="183" t="str">
        <f t="shared" si="20"/>
        <v/>
      </c>
    </row>
    <row r="47" spans="2:13">
      <c r="B47" s="43" t="s">
        <v>42</v>
      </c>
      <c r="C47" s="186">
        <f t="shared" ref="C47:M47" si="21">IF(C$4="","",C15)</f>
        <v>4491776686</v>
      </c>
      <c r="D47" s="186">
        <f t="shared" si="21"/>
        <v>4348198924</v>
      </c>
      <c r="E47" s="186">
        <f t="shared" si="21"/>
        <v>3804721478</v>
      </c>
      <c r="F47" s="186">
        <f t="shared" si="21"/>
        <v>3256243870</v>
      </c>
      <c r="G47" s="186">
        <f t="shared" si="21"/>
        <v>2326968805</v>
      </c>
      <c r="H47" s="186" t="str">
        <f t="shared" si="21"/>
        <v/>
      </c>
      <c r="I47" s="186" t="str">
        <f t="shared" si="21"/>
        <v/>
      </c>
      <c r="J47" s="186" t="str">
        <f t="shared" si="21"/>
        <v/>
      </c>
      <c r="K47" s="186" t="str">
        <f t="shared" si="21"/>
        <v/>
      </c>
      <c r="L47" s="186" t="str">
        <f t="shared" si="21"/>
        <v/>
      </c>
      <c r="M47" s="186" t="str">
        <f t="shared" si="21"/>
        <v/>
      </c>
    </row>
    <row r="48" spans="2:13">
      <c r="B48" s="28" t="s">
        <v>44</v>
      </c>
      <c r="C48" s="183">
        <f t="shared" ref="C48:M48" si="22">IF(C$4="","",MIN(-C16,0))</f>
        <v>-146792828</v>
      </c>
      <c r="D48" s="183">
        <f t="shared" si="22"/>
        <v>-80347518</v>
      </c>
      <c r="E48" s="183">
        <f t="shared" si="22"/>
        <v>-94092885</v>
      </c>
      <c r="F48" s="183">
        <f t="shared" si="22"/>
        <v>-100788060</v>
      </c>
      <c r="G48" s="183">
        <f t="shared" si="22"/>
        <v>-125645249</v>
      </c>
      <c r="H48" s="183" t="str">
        <f t="shared" si="22"/>
        <v/>
      </c>
      <c r="I48" s="183" t="str">
        <f t="shared" si="22"/>
        <v/>
      </c>
      <c r="J48" s="183" t="str">
        <f t="shared" si="22"/>
        <v/>
      </c>
      <c r="K48" s="183" t="str">
        <f t="shared" si="22"/>
        <v/>
      </c>
      <c r="L48" s="183" t="str">
        <f t="shared" si="22"/>
        <v/>
      </c>
      <c r="M48" s="183" t="str">
        <f t="shared" si="22"/>
        <v/>
      </c>
    </row>
    <row r="50" spans="2:13">
      <c r="B50" s="16" t="s">
        <v>68</v>
      </c>
    </row>
    <row r="51" spans="2:13">
      <c r="B51" s="40" t="s">
        <v>39</v>
      </c>
      <c r="C51" s="183">
        <f t="shared" ref="C51:M51" si="23">IF(C$4="","",-C12)</f>
        <v>-21837054</v>
      </c>
      <c r="D51" s="183">
        <f t="shared" si="23"/>
        <v>-16430590</v>
      </c>
      <c r="E51" s="183">
        <f t="shared" si="23"/>
        <v>-9237800</v>
      </c>
      <c r="F51" s="183">
        <f t="shared" si="23"/>
        <v>-22685367</v>
      </c>
      <c r="G51" s="183">
        <f t="shared" si="23"/>
        <v>-13662682</v>
      </c>
      <c r="H51" s="183" t="str">
        <f t="shared" si="23"/>
        <v/>
      </c>
      <c r="I51" s="183" t="str">
        <f t="shared" si="23"/>
        <v/>
      </c>
      <c r="J51" s="183" t="str">
        <f t="shared" si="23"/>
        <v/>
      </c>
      <c r="K51" s="183" t="str">
        <f t="shared" si="23"/>
        <v/>
      </c>
      <c r="L51" s="183" t="str">
        <f t="shared" si="23"/>
        <v/>
      </c>
      <c r="M51" s="183" t="str">
        <f t="shared" si="23"/>
        <v/>
      </c>
    </row>
    <row r="52" spans="2:13">
      <c r="B52" s="40" t="s">
        <v>67</v>
      </c>
      <c r="C52" s="183">
        <f t="shared" ref="C52:M52" si="24">IF(C$4="","",C13)</f>
        <v>616771200</v>
      </c>
      <c r="D52" s="183">
        <f t="shared" si="24"/>
        <v>506376003</v>
      </c>
      <c r="E52" s="183">
        <f t="shared" si="24"/>
        <v>459661656</v>
      </c>
      <c r="F52" s="183">
        <f t="shared" si="24"/>
        <v>315648307</v>
      </c>
      <c r="G52" s="183">
        <f t="shared" si="24"/>
        <v>524029340</v>
      </c>
      <c r="H52" s="183" t="str">
        <f t="shared" si="24"/>
        <v/>
      </c>
      <c r="I52" s="183" t="str">
        <f t="shared" si="24"/>
        <v/>
      </c>
      <c r="J52" s="183" t="str">
        <f t="shared" si="24"/>
        <v/>
      </c>
      <c r="K52" s="183" t="str">
        <f t="shared" si="24"/>
        <v/>
      </c>
      <c r="L52" s="183" t="str">
        <f t="shared" si="24"/>
        <v/>
      </c>
      <c r="M52" s="183" t="str">
        <f t="shared" si="24"/>
        <v/>
      </c>
    </row>
    <row r="54" spans="2:13">
      <c r="B54" s="175" t="s">
        <v>169</v>
      </c>
    </row>
    <row r="55" spans="2:13">
      <c r="B55" s="40" t="s">
        <v>160</v>
      </c>
      <c r="C55" s="188">
        <f t="shared" ref="C55:M55" si="25">IF(C$4="","",C9)</f>
        <v>48272283</v>
      </c>
      <c r="D55" s="188">
        <f t="shared" si="25"/>
        <v>15798284</v>
      </c>
      <c r="E55" s="188">
        <f t="shared" si="25"/>
        <v>19873379</v>
      </c>
      <c r="F55" s="188">
        <f t="shared" si="25"/>
        <v>20561728</v>
      </c>
      <c r="G55" s="188">
        <f t="shared" si="25"/>
        <v>18098320</v>
      </c>
      <c r="H55" s="188" t="str">
        <f t="shared" si="25"/>
        <v/>
      </c>
      <c r="I55" s="188" t="str">
        <f t="shared" si="25"/>
        <v/>
      </c>
      <c r="J55" s="188" t="str">
        <f t="shared" si="25"/>
        <v/>
      </c>
      <c r="K55" s="188" t="str">
        <f t="shared" si="25"/>
        <v/>
      </c>
      <c r="L55" s="188" t="str">
        <f t="shared" si="25"/>
        <v/>
      </c>
      <c r="M55" s="188" t="str">
        <f t="shared" si="25"/>
        <v/>
      </c>
    </row>
    <row r="56" spans="2:13">
      <c r="B56" s="40" t="s">
        <v>168</v>
      </c>
      <c r="C56" s="188">
        <f t="shared" ref="C56:M56" si="26">IF(C$4="","",C10)</f>
        <v>0</v>
      </c>
      <c r="D56" s="188">
        <f t="shared" si="26"/>
        <v>0</v>
      </c>
      <c r="E56" s="188">
        <f t="shared" si="26"/>
        <v>0</v>
      </c>
      <c r="F56" s="188">
        <f t="shared" si="26"/>
        <v>0</v>
      </c>
      <c r="G56" s="188">
        <f t="shared" si="26"/>
        <v>0</v>
      </c>
      <c r="H56" s="188" t="str">
        <f t="shared" si="26"/>
        <v/>
      </c>
      <c r="I56" s="188" t="str">
        <f t="shared" si="26"/>
        <v/>
      </c>
      <c r="J56" s="188" t="str">
        <f t="shared" si="26"/>
        <v/>
      </c>
      <c r="K56" s="188" t="str">
        <f t="shared" si="26"/>
        <v/>
      </c>
      <c r="L56" s="188" t="str">
        <f t="shared" si="26"/>
        <v/>
      </c>
      <c r="M56" s="188" t="str">
        <f t="shared" si="26"/>
        <v/>
      </c>
    </row>
    <row r="57" spans="2:13">
      <c r="B57" s="40" t="s">
        <v>159</v>
      </c>
      <c r="C57" s="188">
        <f t="shared" ref="C57:M57" si="27">IF(C$4="","",C11)</f>
        <v>0</v>
      </c>
      <c r="D57" s="188">
        <f t="shared" si="27"/>
        <v>0</v>
      </c>
      <c r="E57" s="188">
        <f t="shared" si="27"/>
        <v>0</v>
      </c>
      <c r="F57" s="188">
        <f t="shared" si="27"/>
        <v>0</v>
      </c>
      <c r="G57" s="188">
        <f t="shared" si="27"/>
        <v>0</v>
      </c>
      <c r="H57" s="188" t="str">
        <f t="shared" si="27"/>
        <v/>
      </c>
      <c r="I57" s="188" t="str">
        <f t="shared" si="27"/>
        <v/>
      </c>
      <c r="J57" s="188" t="str">
        <f t="shared" si="27"/>
        <v/>
      </c>
      <c r="K57" s="188" t="str">
        <f t="shared" si="27"/>
        <v/>
      </c>
      <c r="L57" s="188" t="str">
        <f t="shared" si="27"/>
        <v/>
      </c>
      <c r="M57" s="188" t="str">
        <f t="shared" si="27"/>
        <v/>
      </c>
    </row>
    <row r="58" spans="2:13">
      <c r="B58" s="40" t="s">
        <v>161</v>
      </c>
      <c r="C58" s="188">
        <f>IF(C$4="","",C44-C55-C56-C57)</f>
        <v>750493994</v>
      </c>
      <c r="D58" s="188">
        <f t="shared" ref="D58:M58" si="28">IF(D$4="","",D44-D55-D56-D57)</f>
        <v>835794097</v>
      </c>
      <c r="E58" s="188">
        <f t="shared" si="28"/>
        <v>808764222</v>
      </c>
      <c r="F58" s="188">
        <f t="shared" si="28"/>
        <v>1228921525</v>
      </c>
      <c r="G58" s="188">
        <f t="shared" si="28"/>
        <v>395122794</v>
      </c>
      <c r="H58" s="188" t="str">
        <f t="shared" si="28"/>
        <v/>
      </c>
      <c r="I58" s="188" t="str">
        <f t="shared" si="28"/>
        <v/>
      </c>
      <c r="J58" s="188" t="str">
        <f t="shared" si="28"/>
        <v/>
      </c>
      <c r="K58" s="188" t="str">
        <f t="shared" si="28"/>
        <v/>
      </c>
      <c r="L58" s="188" t="str">
        <f t="shared" si="28"/>
        <v/>
      </c>
      <c r="M58" s="188" t="str">
        <f t="shared" si="28"/>
        <v/>
      </c>
    </row>
    <row r="60" spans="2:13">
      <c r="B60" s="16" t="s">
        <v>51</v>
      </c>
      <c r="C60" s="9"/>
    </row>
    <row r="61" spans="2:13">
      <c r="B61" s="27" t="s">
        <v>47</v>
      </c>
      <c r="C61" s="183">
        <f>IF(C$4="","",-C19)</f>
        <v>-1191305772</v>
      </c>
      <c r="D61" s="183">
        <f t="shared" ref="D61:M61" si="29">IF(D$4="","",-D19)</f>
        <v>-1140399624</v>
      </c>
      <c r="E61" s="183">
        <f t="shared" si="29"/>
        <v>-1083856796</v>
      </c>
      <c r="F61" s="183">
        <f t="shared" si="29"/>
        <v>-1109733268</v>
      </c>
      <c r="G61" s="183">
        <f t="shared" si="29"/>
        <v>0</v>
      </c>
      <c r="H61" s="183" t="str">
        <f t="shared" si="29"/>
        <v/>
      </c>
      <c r="I61" s="183" t="str">
        <f t="shared" si="29"/>
        <v/>
      </c>
      <c r="J61" s="183" t="str">
        <f t="shared" si="29"/>
        <v/>
      </c>
      <c r="K61" s="183" t="str">
        <f t="shared" si="29"/>
        <v/>
      </c>
      <c r="L61" s="183" t="str">
        <f t="shared" si="29"/>
        <v/>
      </c>
      <c r="M61" s="183" t="str">
        <f t="shared" si="29"/>
        <v/>
      </c>
    </row>
    <row r="62" spans="2:13">
      <c r="B62" s="27" t="s">
        <v>53</v>
      </c>
      <c r="C62" s="183">
        <f>IF(C$4="","",-C20)</f>
        <v>-1191305772</v>
      </c>
      <c r="D62" s="183">
        <f t="shared" ref="D62:M62" si="30">IF(D$4="","",-D20)</f>
        <v>-1140399624</v>
      </c>
      <c r="E62" s="183">
        <f t="shared" si="30"/>
        <v>-1083856796</v>
      </c>
      <c r="F62" s="183">
        <f t="shared" si="30"/>
        <v>-1109733268</v>
      </c>
      <c r="G62" s="183">
        <f t="shared" si="30"/>
        <v>0</v>
      </c>
      <c r="H62" s="183" t="str">
        <f t="shared" si="30"/>
        <v/>
      </c>
      <c r="I62" s="183" t="str">
        <f t="shared" si="30"/>
        <v/>
      </c>
      <c r="J62" s="183" t="str">
        <f t="shared" si="30"/>
        <v/>
      </c>
      <c r="K62" s="183" t="str">
        <f t="shared" si="30"/>
        <v/>
      </c>
      <c r="L62" s="183" t="str">
        <f t="shared" si="30"/>
        <v/>
      </c>
      <c r="M62" s="183" t="str">
        <f t="shared" si="30"/>
        <v/>
      </c>
    </row>
    <row r="63" spans="2:13">
      <c r="B63" s="27" t="s">
        <v>52</v>
      </c>
      <c r="C63" s="183">
        <f>IF(C$4="","",-C21)</f>
        <v>-583532518</v>
      </c>
      <c r="D63" s="183">
        <f t="shared" ref="D63:M63" si="31">IF(D$4="","",-D21)</f>
        <v>-1575918543</v>
      </c>
      <c r="E63" s="183">
        <f t="shared" si="31"/>
        <v>-878667968</v>
      </c>
      <c r="F63" s="183">
        <f t="shared" si="31"/>
        <v>-2804548241</v>
      </c>
      <c r="G63" s="183">
        <f t="shared" si="31"/>
        <v>0</v>
      </c>
      <c r="H63" s="183" t="str">
        <f t="shared" si="31"/>
        <v/>
      </c>
      <c r="I63" s="183" t="str">
        <f t="shared" si="31"/>
        <v/>
      </c>
      <c r="J63" s="183" t="str">
        <f t="shared" si="31"/>
        <v/>
      </c>
      <c r="K63" s="183" t="str">
        <f t="shared" si="31"/>
        <v/>
      </c>
      <c r="L63" s="183" t="str">
        <f t="shared" si="31"/>
        <v/>
      </c>
      <c r="M63" s="183" t="str">
        <f t="shared" si="31"/>
        <v/>
      </c>
    </row>
    <row r="64" spans="2:13">
      <c r="B64" s="27" t="s">
        <v>401</v>
      </c>
      <c r="C64" s="183">
        <f>IF(C$4="","",C22+C23+C24)</f>
        <v>-5250265948</v>
      </c>
      <c r="D64" s="183">
        <f t="shared" ref="D64:M64" si="32">IF(D$4="","",D22+D23+D24)</f>
        <v>-3553470152</v>
      </c>
      <c r="E64" s="183">
        <f t="shared" si="32"/>
        <v>1003950637</v>
      </c>
      <c r="F64" s="183">
        <f t="shared" si="32"/>
        <v>-5820274743</v>
      </c>
      <c r="G64" s="183">
        <f t="shared" si="32"/>
        <v>3109593346</v>
      </c>
      <c r="H64" s="183" t="str">
        <f t="shared" si="32"/>
        <v/>
      </c>
      <c r="I64" s="183" t="str">
        <f t="shared" si="32"/>
        <v/>
      </c>
      <c r="J64" s="183" t="str">
        <f t="shared" si="32"/>
        <v/>
      </c>
      <c r="K64" s="183" t="str">
        <f t="shared" si="32"/>
        <v/>
      </c>
      <c r="L64" s="183" t="str">
        <f t="shared" si="32"/>
        <v/>
      </c>
      <c r="M64" s="183" t="str">
        <f t="shared" si="32"/>
        <v/>
      </c>
    </row>
    <row r="65" spans="2:13">
      <c r="B65" s="24" t="s">
        <v>36</v>
      </c>
      <c r="C65" s="73">
        <f>IF(C$4="","",C25)</f>
        <v>2.0479887326362438</v>
      </c>
      <c r="D65" s="73">
        <f t="shared" ref="D65:M65" si="33">IF(D$4="","",D25)</f>
        <v>1.8618079387602215</v>
      </c>
      <c r="E65" s="73">
        <f t="shared" si="33"/>
        <v>1.2101751601941442</v>
      </c>
      <c r="F65" s="73">
        <f t="shared" si="33"/>
        <v>1.0239943663181219</v>
      </c>
      <c r="G65" s="73">
        <f t="shared" si="33"/>
        <v>0.69817797703508311</v>
      </c>
      <c r="H65" s="73" t="str">
        <f t="shared" si="33"/>
        <v/>
      </c>
      <c r="I65" s="73" t="str">
        <f t="shared" si="33"/>
        <v/>
      </c>
      <c r="J65" s="73" t="str">
        <f t="shared" si="33"/>
        <v/>
      </c>
      <c r="K65" s="73" t="str">
        <f t="shared" si="33"/>
        <v/>
      </c>
      <c r="L65" s="73" t="str">
        <f t="shared" si="33"/>
        <v/>
      </c>
      <c r="M65" s="73" t="str">
        <f t="shared" si="33"/>
        <v/>
      </c>
    </row>
    <row r="67" spans="2:13">
      <c r="B67" s="91" t="s">
        <v>85</v>
      </c>
    </row>
    <row r="68" spans="2:13">
      <c r="B68" s="1" t="str">
        <f>B36</f>
        <v>Sales</v>
      </c>
      <c r="C68" s="92">
        <f t="shared" ref="C68:M68" si="34">IF(D$36="","",C36/D36-1)</f>
        <v>-5.3001677388323953E-2</v>
      </c>
      <c r="D68" s="92">
        <f t="shared" si="34"/>
        <v>5.48607779188508E-2</v>
      </c>
      <c r="E68" s="92">
        <f t="shared" si="34"/>
        <v>6.6455835211788328E-2</v>
      </c>
      <c r="F68" s="92">
        <f t="shared" si="34"/>
        <v>8.6711798167375509E-2</v>
      </c>
      <c r="G68" s="92" t="str">
        <f t="shared" si="34"/>
        <v/>
      </c>
      <c r="H68" s="92" t="str">
        <f t="shared" si="34"/>
        <v/>
      </c>
      <c r="I68" s="92" t="str">
        <f t="shared" si="34"/>
        <v/>
      </c>
      <c r="J68" s="92" t="str">
        <f t="shared" si="34"/>
        <v/>
      </c>
      <c r="K68" s="92" t="str">
        <f t="shared" si="34"/>
        <v/>
      </c>
      <c r="L68" s="92" t="str">
        <f t="shared" si="34"/>
        <v/>
      </c>
      <c r="M68" s="92" t="str">
        <f t="shared" si="34"/>
        <v/>
      </c>
    </row>
    <row r="69" spans="2:13">
      <c r="B69" s="31" t="s">
        <v>58</v>
      </c>
      <c r="C69" s="92">
        <f>IF(D$36="","",C38/D38-1)</f>
        <v>-1.2421019322789495E-2</v>
      </c>
      <c r="D69" s="92">
        <f t="shared" ref="D69:M69" si="35">IF(E$36="","",D38/E38-1)</f>
        <v>0.13421531873255232</v>
      </c>
      <c r="E69" s="92">
        <f t="shared" si="35"/>
        <v>8.0630305071338393E-2</v>
      </c>
      <c r="F69" s="92">
        <f t="shared" si="35"/>
        <v>-2.702105843378122E-2</v>
      </c>
      <c r="G69" s="92" t="str">
        <f t="shared" si="35"/>
        <v/>
      </c>
      <c r="H69" s="92" t="str">
        <f t="shared" si="35"/>
        <v/>
      </c>
      <c r="I69" s="92" t="str">
        <f t="shared" si="35"/>
        <v/>
      </c>
      <c r="J69" s="92" t="str">
        <f t="shared" si="35"/>
        <v/>
      </c>
      <c r="K69" s="92" t="str">
        <f t="shared" si="35"/>
        <v/>
      </c>
      <c r="L69" s="92" t="str">
        <f t="shared" si="35"/>
        <v/>
      </c>
      <c r="M69" s="92" t="str">
        <f t="shared" si="35"/>
        <v/>
      </c>
    </row>
    <row r="70" spans="2:13">
      <c r="B70" s="80" t="str">
        <f>B43</f>
        <v>Operating EBIT</v>
      </c>
      <c r="C70" s="101">
        <f>IF(D$36="","",C43/D43-1)</f>
        <v>1.8825317946285836E-2</v>
      </c>
      <c r="D70" s="101">
        <f t="shared" ref="D70:M70" si="36">IF(E$36="","",D43/E43-1)</f>
        <v>0.18185542303821678</v>
      </c>
      <c r="E70" s="101">
        <f t="shared" si="36"/>
        <v>0.26921255801464383</v>
      </c>
      <c r="F70" s="101">
        <f t="shared" si="36"/>
        <v>0.26795251391979935</v>
      </c>
      <c r="G70" s="101" t="str">
        <f t="shared" si="36"/>
        <v/>
      </c>
      <c r="H70" s="101" t="str">
        <f t="shared" si="36"/>
        <v/>
      </c>
      <c r="I70" s="101" t="str">
        <f t="shared" si="36"/>
        <v/>
      </c>
      <c r="J70" s="101" t="str">
        <f t="shared" si="36"/>
        <v/>
      </c>
      <c r="K70" s="101" t="str">
        <f t="shared" si="36"/>
        <v/>
      </c>
      <c r="L70" s="101" t="str">
        <f t="shared" si="36"/>
        <v/>
      </c>
      <c r="M70" s="101" t="str">
        <f t="shared" si="36"/>
        <v/>
      </c>
    </row>
    <row r="71" spans="2:13">
      <c r="B71" s="43" t="s">
        <v>169</v>
      </c>
      <c r="C71" s="101">
        <f>IF(D$36="","",C44/D44-1)</f>
        <v>-6.2032147279157068E-2</v>
      </c>
      <c r="D71" s="101">
        <f t="shared" ref="D71:M71" si="37">IF(E$36="","",D44/E44-1)</f>
        <v>2.7701832468497889E-2</v>
      </c>
      <c r="E71" s="101">
        <f t="shared" si="37"/>
        <v>-0.33681576042700268</v>
      </c>
      <c r="F71" s="101">
        <f t="shared" si="37"/>
        <v>2.0237643011629847</v>
      </c>
      <c r="G71" s="101" t="str">
        <f t="shared" si="37"/>
        <v/>
      </c>
      <c r="H71" s="101" t="str">
        <f t="shared" si="37"/>
        <v/>
      </c>
      <c r="I71" s="101" t="str">
        <f t="shared" si="37"/>
        <v/>
      </c>
      <c r="J71" s="101" t="str">
        <f t="shared" si="37"/>
        <v/>
      </c>
      <c r="K71" s="101" t="str">
        <f t="shared" si="37"/>
        <v/>
      </c>
      <c r="L71" s="101" t="str">
        <f t="shared" si="37"/>
        <v/>
      </c>
      <c r="M71" s="101" t="str">
        <f t="shared" si="37"/>
        <v/>
      </c>
    </row>
    <row r="72" spans="2:13">
      <c r="B72" s="80" t="str">
        <f>B47</f>
        <v>Reported Net Income</v>
      </c>
      <c r="C72" s="101">
        <f>IF(D$36="","",C47/D47-1)</f>
        <v>3.3020053707184083E-2</v>
      </c>
      <c r="D72" s="101">
        <f t="shared" ref="D72:M72" si="38">IF(E$36="","",D47/E47-1)</f>
        <v>0.14284289905122982</v>
      </c>
      <c r="E72" s="101">
        <f t="shared" si="38"/>
        <v>0.16843873797449938</v>
      </c>
      <c r="F72" s="101">
        <f t="shared" si="38"/>
        <v>0.3993500312523528</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51420385832</v>
      </c>
      <c r="D76" s="188">
        <f t="shared" ref="D76:M76" si="39">IF(D$4="","",D79+D80)</f>
        <v>49256011349</v>
      </c>
      <c r="E76" s="188">
        <f t="shared" si="39"/>
        <v>50311699796</v>
      </c>
      <c r="F76" s="188">
        <f t="shared" si="39"/>
        <v>46563004491</v>
      </c>
      <c r="G76" s="188">
        <f t="shared" si="39"/>
        <v>41514185835</v>
      </c>
      <c r="H76" s="188" t="str">
        <f t="shared" si="39"/>
        <v/>
      </c>
      <c r="I76" s="188" t="str">
        <f t="shared" si="39"/>
        <v/>
      </c>
      <c r="J76" s="188" t="str">
        <f t="shared" si="39"/>
        <v/>
      </c>
      <c r="K76" s="188" t="str">
        <f t="shared" si="39"/>
        <v/>
      </c>
      <c r="L76" s="188" t="str">
        <f t="shared" si="39"/>
        <v/>
      </c>
      <c r="M76" s="188" t="str">
        <f t="shared" si="39"/>
        <v/>
      </c>
    </row>
    <row r="77" spans="2:13">
      <c r="B77" s="93" t="s">
        <v>86</v>
      </c>
      <c r="C77" s="185">
        <f t="shared" ref="C77:H78" si="40">IF(C$4="","",C28)</f>
        <v>185704725</v>
      </c>
      <c r="D77" s="185">
        <f t="shared" si="40"/>
        <v>100391321</v>
      </c>
      <c r="E77" s="185">
        <f t="shared" si="40"/>
        <v>124099728</v>
      </c>
      <c r="F77" s="185">
        <f t="shared" si="40"/>
        <v>124929816</v>
      </c>
      <c r="G77" s="185">
        <f t="shared" si="40"/>
        <v>125155008</v>
      </c>
      <c r="H77" s="185" t="str">
        <f t="shared" si="40"/>
        <v/>
      </c>
      <c r="I77" s="335"/>
      <c r="J77" s="335"/>
      <c r="K77" s="335"/>
      <c r="L77" s="335"/>
      <c r="M77" s="335"/>
    </row>
    <row r="78" spans="2:13">
      <c r="B78" s="93" t="s">
        <v>87</v>
      </c>
      <c r="C78" s="185">
        <f t="shared" si="40"/>
        <v>3576387537</v>
      </c>
      <c r="D78" s="185">
        <f t="shared" si="40"/>
        <v>3539828305</v>
      </c>
      <c r="E78" s="185">
        <f t="shared" si="40"/>
        <v>4152187132</v>
      </c>
      <c r="F78" s="185">
        <f t="shared" si="40"/>
        <v>3492997857</v>
      </c>
      <c r="G78" s="185">
        <f t="shared" si="40"/>
        <v>3281033526</v>
      </c>
      <c r="H78" s="185" t="str">
        <f t="shared" si="40"/>
        <v/>
      </c>
      <c r="I78" s="335"/>
      <c r="J78" s="335"/>
      <c r="K78" s="335"/>
      <c r="L78" s="335"/>
      <c r="M78" s="335"/>
    </row>
    <row r="79" spans="2:13">
      <c r="B79" s="26" t="s">
        <v>40</v>
      </c>
      <c r="C79" s="183">
        <f t="shared" ref="C79:M79" si="41">IF(C$4="","",C30)</f>
        <v>21560843821</v>
      </c>
      <c r="D79" s="183">
        <f t="shared" si="41"/>
        <v>21001264174</v>
      </c>
      <c r="E79" s="183">
        <f t="shared" si="41"/>
        <v>24039387261</v>
      </c>
      <c r="F79" s="183">
        <f t="shared" si="41"/>
        <v>22769313149</v>
      </c>
      <c r="G79" s="183">
        <f t="shared" si="41"/>
        <v>20146133669</v>
      </c>
      <c r="H79" s="183" t="str">
        <f t="shared" si="41"/>
        <v/>
      </c>
      <c r="I79" s="183" t="str">
        <f t="shared" si="41"/>
        <v/>
      </c>
      <c r="J79" s="183" t="str">
        <f t="shared" si="41"/>
        <v/>
      </c>
      <c r="K79" s="183" t="str">
        <f t="shared" si="41"/>
        <v/>
      </c>
      <c r="L79" s="183" t="str">
        <f t="shared" si="41"/>
        <v/>
      </c>
      <c r="M79" s="183" t="str">
        <f t="shared" si="41"/>
        <v/>
      </c>
    </row>
    <row r="80" spans="2:13">
      <c r="B80" s="26" t="s">
        <v>30</v>
      </c>
      <c r="C80" s="183">
        <f t="shared" ref="C80:M80" si="42">IF(C$4="","",C31)</f>
        <v>29859542011</v>
      </c>
      <c r="D80" s="183">
        <f t="shared" si="42"/>
        <v>28254747175</v>
      </c>
      <c r="E80" s="183">
        <f t="shared" si="42"/>
        <v>26272312535</v>
      </c>
      <c r="F80" s="183">
        <f t="shared" si="42"/>
        <v>23793691342</v>
      </c>
      <c r="G80" s="183">
        <f t="shared" si="42"/>
        <v>21368052166</v>
      </c>
      <c r="H80" s="183" t="str">
        <f t="shared" si="42"/>
        <v/>
      </c>
      <c r="I80" s="183" t="str">
        <f t="shared" si="42"/>
        <v/>
      </c>
      <c r="J80" s="183" t="str">
        <f t="shared" si="42"/>
        <v/>
      </c>
      <c r="K80" s="183" t="str">
        <f t="shared" si="42"/>
        <v/>
      </c>
      <c r="L80" s="183" t="str">
        <f t="shared" si="42"/>
        <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abSelected="1" zoomScaleNormal="100" workbookViewId="0">
      <selection activeCell="D4" sqref="D4"/>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f>Normalized_FCF!G1</f>
        <v>45657</v>
      </c>
      <c r="F1" s="86" t="str">
        <f>IF(MONTH(C1)=MONTH(Normalized_FCF!G1),"FY","Quarter")&amp;" Report"</f>
        <v>FY Report</v>
      </c>
      <c r="H1" s="107">
        <f>scaling_factor</f>
        <v>1</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f>102420347+83284378</f>
        <v>185704725</v>
      </c>
      <c r="D4" s="294">
        <v>0.6</v>
      </c>
      <c r="E4" s="25"/>
      <c r="F4" s="4" t="s">
        <v>78</v>
      </c>
      <c r="G4" s="19">
        <v>17978772896</v>
      </c>
      <c r="H4" s="294">
        <v>0.9</v>
      </c>
    </row>
    <row r="5" spans="2:8" ht="15" customHeight="1">
      <c r="B5" s="1" t="s">
        <v>33</v>
      </c>
      <c r="C5" s="19">
        <v>0</v>
      </c>
      <c r="D5" s="294">
        <v>0.6</v>
      </c>
      <c r="E5" s="25"/>
      <c r="F5" s="1" t="s">
        <v>29</v>
      </c>
      <c r="G5" s="19">
        <v>0</v>
      </c>
      <c r="H5" s="294">
        <v>0.7</v>
      </c>
    </row>
    <row r="6" spans="2:8" ht="15" customHeight="1">
      <c r="B6" s="4" t="s">
        <v>10</v>
      </c>
      <c r="C6" s="19">
        <v>3576387537</v>
      </c>
      <c r="D6" s="294">
        <v>0.5</v>
      </c>
      <c r="E6" s="25"/>
      <c r="F6" s="4" t="s">
        <v>178</v>
      </c>
      <c r="G6" s="19">
        <v>0</v>
      </c>
      <c r="H6" s="294">
        <v>0.6</v>
      </c>
    </row>
    <row r="7" spans="2:8" ht="15" customHeight="1">
      <c r="B7" s="1" t="s">
        <v>69</v>
      </c>
      <c r="C7" s="19">
        <v>0</v>
      </c>
      <c r="D7" s="294">
        <v>0.6</v>
      </c>
      <c r="E7" s="25"/>
      <c r="F7" s="4" t="s">
        <v>179</v>
      </c>
      <c r="G7" s="19">
        <v>2021804089</v>
      </c>
      <c r="H7" s="294">
        <v>0.6</v>
      </c>
    </row>
    <row r="8" spans="2:8" ht="15" customHeight="1">
      <c r="B8" s="1" t="s">
        <v>174</v>
      </c>
      <c r="C8" s="19">
        <v>0</v>
      </c>
      <c r="D8" s="294">
        <v>0.6</v>
      </c>
      <c r="E8" s="25"/>
      <c r="F8" s="1" t="s">
        <v>180</v>
      </c>
      <c r="G8" s="19">
        <v>0</v>
      </c>
      <c r="H8" s="294">
        <v>0.6</v>
      </c>
    </row>
    <row r="9" spans="2:8" ht="15" customHeight="1">
      <c r="B9" s="4" t="s">
        <v>25</v>
      </c>
      <c r="C9" s="19">
        <v>241896760</v>
      </c>
      <c r="D9" s="294">
        <v>0.1</v>
      </c>
      <c r="E9" s="25"/>
      <c r="F9" s="4" t="s">
        <v>181</v>
      </c>
      <c r="G9" s="19">
        <v>0</v>
      </c>
      <c r="H9" s="294">
        <v>0.6</v>
      </c>
    </row>
    <row r="10" spans="2:8" ht="15" customHeight="1">
      <c r="B10" s="4" t="s">
        <v>11</v>
      </c>
      <c r="C10" s="19">
        <v>0</v>
      </c>
      <c r="D10" s="294">
        <v>0.9</v>
      </c>
      <c r="H10" s="295"/>
    </row>
    <row r="11" spans="2:8" ht="15" customHeight="1">
      <c r="B11" s="4" t="s">
        <v>12</v>
      </c>
      <c r="C11" s="19">
        <f>51713930+1132635624</f>
        <v>1184349554</v>
      </c>
      <c r="D11" s="294">
        <v>0.05</v>
      </c>
      <c r="H11" s="295"/>
    </row>
    <row r="12" spans="2:8" ht="15" customHeight="1">
      <c r="B12" s="80" t="s">
        <v>72</v>
      </c>
      <c r="C12" s="81">
        <f>SUM(C4:C11)</f>
        <v>5188338576</v>
      </c>
      <c r="D12" s="20">
        <f>C4*D4+C5*D5+C9*D9+C6*D6+C8*D8+C7*D7+C10*D10+C11*D11</f>
        <v>1983023757.2</v>
      </c>
      <c r="F12" s="80" t="s">
        <v>70</v>
      </c>
      <c r="G12" s="81">
        <f>SUM(G4:G9)</f>
        <v>20000576985</v>
      </c>
      <c r="H12" s="20">
        <f>G4*H4+G5*H5+G6*H6+G7*H7+G8*H8+G9*H9</f>
        <v>17393978059.799999</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0</v>
      </c>
      <c r="D15" s="294">
        <v>0.4</v>
      </c>
      <c r="F15" s="4" t="s">
        <v>79</v>
      </c>
      <c r="G15" s="19">
        <v>0</v>
      </c>
      <c r="H15" s="294">
        <v>0.8</v>
      </c>
    </row>
    <row r="16" spans="2:8" ht="15" customHeight="1">
      <c r="B16" s="1" t="s">
        <v>34</v>
      </c>
      <c r="C16" s="19">
        <v>0</v>
      </c>
      <c r="D16" s="294">
        <v>0.5</v>
      </c>
      <c r="F16" s="4" t="s">
        <v>178</v>
      </c>
      <c r="G16" s="19">
        <v>0</v>
      </c>
      <c r="H16" s="294">
        <v>0.6</v>
      </c>
    </row>
    <row r="17" spans="2:8" ht="15" customHeight="1">
      <c r="B17" s="1" t="s">
        <v>69</v>
      </c>
      <c r="C17" s="19">
        <v>0</v>
      </c>
      <c r="D17" s="294">
        <v>0.6</v>
      </c>
      <c r="F17" s="4" t="s">
        <v>179</v>
      </c>
      <c r="G17" s="19">
        <v>2498379750</v>
      </c>
      <c r="H17" s="294">
        <v>0.6</v>
      </c>
    </row>
    <row r="18" spans="2:8" ht="15" customHeight="1">
      <c r="B18" s="4" t="s">
        <v>174</v>
      </c>
      <c r="C18" s="19">
        <v>0</v>
      </c>
      <c r="D18" s="294">
        <v>0.6</v>
      </c>
      <c r="F18" s="4" t="s">
        <v>182</v>
      </c>
      <c r="G18" s="19">
        <v>0</v>
      </c>
      <c r="H18" s="294">
        <v>0.1</v>
      </c>
    </row>
    <row r="19" spans="2:8" ht="15" customHeight="1">
      <c r="B19" s="4" t="s">
        <v>26</v>
      </c>
      <c r="C19" s="19">
        <f>11817650634+630874619+115672625+85702449</f>
        <v>12649900327</v>
      </c>
      <c r="D19" s="294">
        <v>0.1</v>
      </c>
      <c r="F19" s="4" t="s">
        <v>183</v>
      </c>
      <c r="G19" s="19">
        <v>391873803</v>
      </c>
      <c r="H19" s="294">
        <v>0.1</v>
      </c>
    </row>
    <row r="20" spans="2:8" ht="15" customHeight="1">
      <c r="B20" s="4" t="s">
        <v>18</v>
      </c>
      <c r="C20" s="19">
        <v>0</v>
      </c>
      <c r="D20" s="294">
        <v>0.05</v>
      </c>
      <c r="F20" s="4" t="s">
        <v>180</v>
      </c>
      <c r="G20" s="19">
        <v>0</v>
      </c>
      <c r="H20" s="294">
        <v>0.2</v>
      </c>
    </row>
    <row r="21" spans="2:8" ht="15" customHeight="1">
      <c r="B21" s="4" t="s">
        <v>19</v>
      </c>
      <c r="C21" s="19">
        <v>2684120584</v>
      </c>
      <c r="D21" s="294">
        <v>0.05</v>
      </c>
      <c r="F21" s="1" t="s">
        <v>181</v>
      </c>
      <c r="G21" s="19">
        <v>41138918</v>
      </c>
      <c r="H21" s="294">
        <v>0.1</v>
      </c>
    </row>
    <row r="22" spans="2:8" ht="15" customHeight="1">
      <c r="B22" s="4" t="s">
        <v>20</v>
      </c>
      <c r="C22" s="19">
        <v>1930039528</v>
      </c>
      <c r="D22" s="294">
        <v>0.9</v>
      </c>
      <c r="H22" s="295"/>
    </row>
    <row r="23" spans="2:8" ht="15" customHeight="1">
      <c r="B23" s="4" t="s">
        <v>21</v>
      </c>
      <c r="C23" s="19">
        <f>1307103982+4728913379</f>
        <v>6036017361</v>
      </c>
      <c r="D23" s="294">
        <v>0</v>
      </c>
      <c r="H23" s="295"/>
    </row>
    <row r="24" spans="2:8" ht="15" customHeight="1">
      <c r="B24" s="80" t="s">
        <v>74</v>
      </c>
      <c r="C24" s="81">
        <f>SUM(C15:C23)</f>
        <v>23300077800</v>
      </c>
      <c r="D24" s="20">
        <f>C15*D15+C16*D16+C18*D18+C17*D17+C19*D19+C20*D20+C21*D21+C22*D22+C23*D23</f>
        <v>3136231637.1000004</v>
      </c>
      <c r="F24" s="80" t="s">
        <v>71</v>
      </c>
      <c r="G24" s="81">
        <f>SUM(G15:G21)</f>
        <v>2931392471</v>
      </c>
      <c r="H24" s="20">
        <f>G15*H15+G16*H16+G17*H17+G18*H18+G19*H19+G20*H20+G21*H21</f>
        <v>1542329122.0999999</v>
      </c>
    </row>
    <row r="26" spans="2:8" ht="15" customHeight="1">
      <c r="B26" s="16" t="s">
        <v>201</v>
      </c>
      <c r="C26" s="203" t="s">
        <v>137</v>
      </c>
      <c r="F26" s="205" t="s">
        <v>197</v>
      </c>
      <c r="G26" s="206" t="s">
        <v>137</v>
      </c>
      <c r="H26" s="207" t="s">
        <v>35</v>
      </c>
    </row>
    <row r="27" spans="2:8" ht="15" customHeight="1">
      <c r="B27" s="4" t="s">
        <v>5</v>
      </c>
      <c r="C27" s="19">
        <v>0</v>
      </c>
      <c r="F27" s="208" t="s">
        <v>30</v>
      </c>
      <c r="G27" s="85">
        <f>G32-G30</f>
        <v>29859542011</v>
      </c>
      <c r="H27" s="209">
        <f>H32-G30</f>
        <v>2494718755.1999969</v>
      </c>
    </row>
    <row r="28" spans="2:8" ht="15" customHeight="1">
      <c r="B28" s="4" t="s">
        <v>6</v>
      </c>
      <c r="C28" s="19">
        <v>0</v>
      </c>
      <c r="F28" s="210" t="s">
        <v>245</v>
      </c>
      <c r="G28" s="12">
        <v>799157484</v>
      </c>
      <c r="H28" s="209"/>
    </row>
    <row r="29" spans="2:8" ht="15" customHeight="1">
      <c r="B29" s="4" t="s">
        <v>7</v>
      </c>
      <c r="C29" s="19">
        <v>0</v>
      </c>
      <c r="F29" s="211" t="s">
        <v>76</v>
      </c>
      <c r="G29" s="14">
        <f>G27-G28</f>
        <v>29060384527</v>
      </c>
      <c r="H29" s="209">
        <f>H27-G28</f>
        <v>1695561271.1999969</v>
      </c>
    </row>
    <row r="30" spans="2:8" ht="15" customHeight="1">
      <c r="B30" s="2" t="s">
        <v>8</v>
      </c>
      <c r="C30" s="19">
        <v>217159673</v>
      </c>
      <c r="F30" s="208" t="s">
        <v>23</v>
      </c>
      <c r="G30" s="85">
        <f>C33+C42</f>
        <v>21560843821</v>
      </c>
      <c r="H30" s="209"/>
    </row>
    <row r="31" spans="2:8" ht="15" customHeight="1">
      <c r="B31" s="80" t="s">
        <v>204</v>
      </c>
      <c r="C31" s="81">
        <f>SUM(C27:C30)</f>
        <v>217159673</v>
      </c>
      <c r="F31" s="211" t="s">
        <v>77</v>
      </c>
      <c r="G31" s="212">
        <f>C31+C40</f>
        <v>285396383</v>
      </c>
      <c r="H31" s="209"/>
    </row>
    <row r="32" spans="2:8" ht="15" customHeight="1">
      <c r="B32" s="4" t="s">
        <v>9</v>
      </c>
      <c r="C32" s="21">
        <f>C33-C31</f>
        <v>17305171626</v>
      </c>
      <c r="F32" s="213" t="s">
        <v>75</v>
      </c>
      <c r="G32" s="214">
        <f>G35+G40</f>
        <v>51420385832</v>
      </c>
      <c r="H32" s="209">
        <f>H35+H40</f>
        <v>24055562576.199997</v>
      </c>
    </row>
    <row r="33" spans="2:8" ht="15" customHeight="1">
      <c r="B33" s="83" t="s">
        <v>4</v>
      </c>
      <c r="C33" s="84">
        <v>17522331299</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28488416376</v>
      </c>
      <c r="H35" s="221">
        <f>D12+D24</f>
        <v>5119255394.3000002</v>
      </c>
    </row>
    <row r="36" spans="2:8" ht="15" customHeight="1">
      <c r="B36" s="4" t="s">
        <v>13</v>
      </c>
      <c r="C36" s="19">
        <v>0</v>
      </c>
      <c r="F36" s="211" t="s">
        <v>198</v>
      </c>
      <c r="G36" s="212">
        <f>C4+C15</f>
        <v>185704725</v>
      </c>
      <c r="H36" s="216"/>
    </row>
    <row r="37" spans="2:8" ht="15" customHeight="1">
      <c r="B37" s="4" t="s">
        <v>14</v>
      </c>
      <c r="C37" s="19">
        <v>68236710</v>
      </c>
      <c r="F37" s="211" t="s">
        <v>199</v>
      </c>
      <c r="G37" s="212">
        <f>C6</f>
        <v>3576387537</v>
      </c>
      <c r="H37" s="216"/>
    </row>
    <row r="38" spans="2:8" ht="15" customHeight="1">
      <c r="B38" s="4" t="s">
        <v>15</v>
      </c>
      <c r="C38" s="19">
        <v>0</v>
      </c>
      <c r="F38" s="211" t="s">
        <v>200</v>
      </c>
      <c r="G38" s="212">
        <f>C7+C17</f>
        <v>0</v>
      </c>
      <c r="H38" s="216"/>
    </row>
    <row r="39" spans="2:8" ht="15" customHeight="1">
      <c r="B39" s="2" t="s">
        <v>16</v>
      </c>
      <c r="C39" s="19">
        <v>0</v>
      </c>
      <c r="F39" s="211" t="s">
        <v>80</v>
      </c>
      <c r="G39" s="212">
        <f>C7+C17+C19+C20</f>
        <v>12649900327</v>
      </c>
      <c r="H39" s="209">
        <f>C7*D7+C17*D17+C19*D19+C20*D20</f>
        <v>1264990032.7</v>
      </c>
    </row>
    <row r="40" spans="2:8" ht="15" customHeight="1">
      <c r="B40" s="80" t="s">
        <v>205</v>
      </c>
      <c r="C40" s="81">
        <f>SUM(C36:C39)</f>
        <v>68236710</v>
      </c>
      <c r="F40" s="220" t="s">
        <v>139</v>
      </c>
      <c r="G40" s="214">
        <f>G12+G24</f>
        <v>22931969456</v>
      </c>
      <c r="H40" s="221">
        <f>H12+H24</f>
        <v>18936307181.899998</v>
      </c>
    </row>
    <row r="41" spans="2:8" ht="15" customHeight="1">
      <c r="B41" s="4" t="s">
        <v>17</v>
      </c>
      <c r="C41" s="21">
        <f>C42-C40</f>
        <v>3970275812</v>
      </c>
      <c r="F41" s="211" t="s">
        <v>192</v>
      </c>
      <c r="G41" s="212">
        <f>C70</f>
        <v>17978772896</v>
      </c>
      <c r="H41" s="221">
        <f>H40-H42</f>
        <v>16180895606.399998</v>
      </c>
    </row>
    <row r="42" spans="2:8" ht="15" customHeight="1">
      <c r="B42" s="83" t="s">
        <v>22</v>
      </c>
      <c r="C42" s="84">
        <v>4038512522</v>
      </c>
      <c r="F42" s="222" t="s">
        <v>193</v>
      </c>
      <c r="G42" s="223">
        <f>C82</f>
        <v>4953196560</v>
      </c>
      <c r="H42" s="224">
        <f>D82</f>
        <v>2755411575.5</v>
      </c>
    </row>
    <row r="44" spans="2:8" ht="15" customHeight="1">
      <c r="B44" s="79" t="s">
        <v>97</v>
      </c>
      <c r="C44" s="37"/>
      <c r="D44" s="37"/>
      <c r="E44" s="37"/>
      <c r="F44" s="37"/>
      <c r="G44" s="37"/>
      <c r="H44" s="37"/>
    </row>
    <row r="45" spans="2:8" ht="15" customHeight="1">
      <c r="B45" s="16" t="s">
        <v>272</v>
      </c>
      <c r="C45" s="261" t="s">
        <v>137</v>
      </c>
      <c r="D45" s="203" t="s">
        <v>414</v>
      </c>
      <c r="F45" s="287" t="s">
        <v>59</v>
      </c>
    </row>
    <row r="46" spans="2:8" ht="15" customHeight="1">
      <c r="B46" s="1" t="s">
        <v>274</v>
      </c>
      <c r="C46" s="188">
        <f>G29</f>
        <v>29060384527</v>
      </c>
      <c r="D46" s="188">
        <f>H29</f>
        <v>1695561271.1999969</v>
      </c>
      <c r="F46" s="283"/>
    </row>
    <row r="47" spans="2:8" ht="15" customHeight="1">
      <c r="B47" s="1" t="str">
        <f>"Equity per share ("&amp;Market_currency&amp;")"</f>
        <v>Equity per share (HKD)</v>
      </c>
      <c r="C47" s="148">
        <f>C46*H1/Common_Shares*Exchange_Rate</f>
        <v>22.883342024102344</v>
      </c>
      <c r="D47" s="148">
        <f>D46*H1/Common_Shares*Exchange_Rate</f>
        <v>1.3351546830236229</v>
      </c>
      <c r="F47" s="283"/>
    </row>
    <row r="48" spans="2:8" ht="15" customHeight="1">
      <c r="F48" s="283"/>
    </row>
    <row r="49" spans="2:8" ht="15" customHeight="1">
      <c r="B49" s="158" t="s">
        <v>144</v>
      </c>
      <c r="C49" s="262" t="s">
        <v>57</v>
      </c>
      <c r="D49" s="218" t="s">
        <v>96</v>
      </c>
      <c r="E49" s="2"/>
      <c r="F49" s="283"/>
    </row>
    <row r="50" spans="2:8" ht="15" customHeight="1">
      <c r="B50" s="8" t="s">
        <v>94</v>
      </c>
      <c r="C50" s="95">
        <f>G31/Normalized_FCF!C8</f>
        <v>7.3592411949940734E-2</v>
      </c>
      <c r="D50" s="95">
        <f>G31/Normalized_FCF!G8</f>
        <v>6.3593933566061064E-2</v>
      </c>
      <c r="F50" s="283"/>
    </row>
    <row r="51" spans="2:8" ht="15" customHeight="1">
      <c r="B51" s="1" t="s">
        <v>177</v>
      </c>
      <c r="C51" s="202"/>
      <c r="D51" s="92">
        <f>G29/G32</f>
        <v>0.56515298469260233</v>
      </c>
      <c r="F51" s="283"/>
    </row>
    <row r="52" spans="2:8" ht="15" customHeight="1">
      <c r="F52" s="283"/>
    </row>
    <row r="53" spans="2:8" ht="15" customHeight="1">
      <c r="B53" s="158" t="s">
        <v>143</v>
      </c>
      <c r="C53" s="262" t="s">
        <v>57</v>
      </c>
      <c r="D53" s="218" t="s">
        <v>96</v>
      </c>
      <c r="F53" s="283"/>
    </row>
    <row r="54" spans="2:8" ht="15" customHeight="1">
      <c r="B54" s="1" t="s">
        <v>140</v>
      </c>
      <c r="C54" s="92">
        <f>Normalized_FCF!C8/G35</f>
        <v>0.1361278920921285</v>
      </c>
      <c r="D54" s="92">
        <f>Normalized_FCF!G8/G35</f>
        <v>0.15753043334415495</v>
      </c>
      <c r="F54" s="283"/>
    </row>
    <row r="55" spans="2:8" ht="15" customHeight="1">
      <c r="B55" s="1" t="s">
        <v>142</v>
      </c>
      <c r="C55" s="92">
        <f>Normalized_FCF!C11/G40</f>
        <v>0</v>
      </c>
      <c r="D55" s="92">
        <f>Normalized_FCF!G11/G40</f>
        <v>2.1050212495974641E-3</v>
      </c>
      <c r="F55" s="283"/>
    </row>
    <row r="56" spans="2:8" ht="15" customHeight="1">
      <c r="F56" s="283"/>
    </row>
    <row r="57" spans="2:8" ht="15" customHeight="1">
      <c r="B57" s="158" t="s">
        <v>176</v>
      </c>
      <c r="C57" s="262" t="s">
        <v>57</v>
      </c>
      <c r="D57" s="218" t="s">
        <v>96</v>
      </c>
      <c r="F57" s="283"/>
    </row>
    <row r="58" spans="2:8" ht="15" customHeight="1">
      <c r="B58" s="2" t="s">
        <v>90</v>
      </c>
      <c r="C58" s="98"/>
      <c r="D58" s="23">
        <f>Normalized_FCF!G9/BS!$G$39</f>
        <v>9.4175111360938715E-2</v>
      </c>
      <c r="F58" s="5"/>
    </row>
    <row r="59" spans="2:8" ht="15" customHeight="1">
      <c r="B59" s="1" t="s">
        <v>93</v>
      </c>
      <c r="C59" s="98"/>
      <c r="D59" s="92">
        <f>G39/G32</f>
        <v>0.24600944007556819</v>
      </c>
      <c r="F59" s="283"/>
    </row>
    <row r="60" spans="2:8" ht="15" customHeight="1">
      <c r="F60" s="283"/>
    </row>
    <row r="61" spans="2:8" ht="15" customHeight="1">
      <c r="B61" s="158" t="s">
        <v>275</v>
      </c>
      <c r="C61" s="262" t="s">
        <v>138</v>
      </c>
      <c r="D61" s="218" t="s">
        <v>96</v>
      </c>
      <c r="F61" s="283"/>
    </row>
    <row r="62" spans="2:8" ht="15" customHeight="1">
      <c r="B62" s="1" t="s">
        <v>246</v>
      </c>
      <c r="C62" s="92">
        <f>IF(G28&lt;=0,0,G28/G29)</f>
        <v>2.749989365273205E-2</v>
      </c>
      <c r="D62" s="92">
        <f>G28/G29</f>
        <v>2.749989365273205E-2</v>
      </c>
      <c r="F62" s="283" t="s">
        <v>273</v>
      </c>
    </row>
    <row r="64" spans="2:8" ht="15" customHeight="1">
      <c r="B64" s="79" t="s">
        <v>194</v>
      </c>
      <c r="C64" s="37"/>
      <c r="D64" s="37"/>
      <c r="E64" s="37"/>
      <c r="F64" s="37"/>
      <c r="G64" s="37"/>
      <c r="H64" s="37"/>
    </row>
    <row r="65" spans="2:6" ht="15" customHeight="1">
      <c r="B65" s="16" t="s">
        <v>189</v>
      </c>
      <c r="C65" s="261" t="s">
        <v>137</v>
      </c>
      <c r="D65" s="204" t="s">
        <v>292</v>
      </c>
      <c r="F65" s="287" t="s">
        <v>59</v>
      </c>
    </row>
    <row r="66" spans="2:6" ht="15" customHeight="1">
      <c r="B66" s="105" t="s">
        <v>188</v>
      </c>
      <c r="C66" s="20">
        <f>G4+G5+G15</f>
        <v>17978772896</v>
      </c>
      <c r="D66" s="188">
        <f>C66-D75</f>
        <v>12808944138.689201</v>
      </c>
      <c r="F66" s="5" t="s">
        <v>227</v>
      </c>
    </row>
    <row r="67" spans="2:6" ht="15" customHeight="1">
      <c r="B67" s="105" t="s">
        <v>178</v>
      </c>
      <c r="C67" s="20">
        <f>G6+G16</f>
        <v>0</v>
      </c>
      <c r="F67" s="283"/>
    </row>
    <row r="68" spans="2:6" ht="15" customHeight="1">
      <c r="B68" s="105" t="s">
        <v>182</v>
      </c>
      <c r="C68" s="20">
        <f>G18</f>
        <v>0</v>
      </c>
      <c r="F68" s="283"/>
    </row>
    <row r="69" spans="2:6" ht="15" customHeight="1">
      <c r="B69" s="105" t="s">
        <v>180</v>
      </c>
      <c r="C69" s="20">
        <f>G8+G20</f>
        <v>0</v>
      </c>
      <c r="F69" s="283"/>
    </row>
    <row r="70" spans="2:6" ht="15" customHeight="1">
      <c r="B70" s="80" t="s">
        <v>189</v>
      </c>
      <c r="C70" s="81">
        <f>SUM(C66:C69)</f>
        <v>17978772896</v>
      </c>
      <c r="F70" s="283"/>
    </row>
    <row r="71" spans="2:6" ht="15" customHeight="1">
      <c r="F71" s="283"/>
    </row>
    <row r="72" spans="2:6" ht="15" customHeight="1">
      <c r="B72" s="285" t="s">
        <v>326</v>
      </c>
      <c r="C72" s="261" t="s">
        <v>96</v>
      </c>
      <c r="D72" s="203" t="s">
        <v>57</v>
      </c>
      <c r="F72" s="283"/>
    </row>
    <row r="73" spans="2:6" ht="15" customHeight="1">
      <c r="B73" s="105" t="s">
        <v>325</v>
      </c>
      <c r="C73" s="188">
        <f>(Normalized_FCF!G25+Normalized_FCF!G35-Normalized_FCF!G91)/12</f>
        <v>-2536991432.0768795</v>
      </c>
      <c r="D73" s="188">
        <f>(Normalized_FCF!C25+Normalized_FCF!C35-Normalized_FCF!C91)/12</f>
        <v>-2584914378.6553998</v>
      </c>
      <c r="F73" s="1" t="s">
        <v>359</v>
      </c>
    </row>
    <row r="74" spans="2:6" ht="15" customHeight="1">
      <c r="B74" s="288" t="s">
        <v>329</v>
      </c>
      <c r="C74" s="289">
        <f>-$C$66/C73</f>
        <v>7.0866510105956015</v>
      </c>
      <c r="D74" s="289">
        <f>-$C$66/D73</f>
        <v>6.9552682458101591</v>
      </c>
      <c r="F74" s="283" t="s">
        <v>327</v>
      </c>
    </row>
    <row r="75" spans="2:6" ht="15" customHeight="1">
      <c r="B75" s="80" t="s">
        <v>328</v>
      </c>
      <c r="C75" s="293"/>
      <c r="D75" s="292">
        <f>MAX(-D73*D76,G5)</f>
        <v>5169828757.3107996</v>
      </c>
      <c r="F75" s="283" t="s">
        <v>360</v>
      </c>
    </row>
    <row r="76" spans="2:6" ht="15" customHeight="1">
      <c r="B76" s="290" t="s">
        <v>330</v>
      </c>
      <c r="C76" s="291"/>
      <c r="D76" s="327">
        <f>IF(D74&lt;=3,1,IF(D74&gt;18,6,2))</f>
        <v>2</v>
      </c>
      <c r="F76" s="283" t="s">
        <v>331</v>
      </c>
    </row>
    <row r="77" spans="2:6" ht="15" customHeight="1">
      <c r="F77" s="283"/>
    </row>
    <row r="78" spans="2:6" ht="15" customHeight="1">
      <c r="B78" s="16" t="s">
        <v>190</v>
      </c>
      <c r="C78" s="261" t="s">
        <v>137</v>
      </c>
      <c r="D78" s="204" t="s">
        <v>35</v>
      </c>
      <c r="F78" s="283"/>
    </row>
    <row r="79" spans="2:6" ht="15" customHeight="1">
      <c r="B79" s="105" t="s">
        <v>179</v>
      </c>
      <c r="C79" s="20">
        <f>G7+G17</f>
        <v>4520183839</v>
      </c>
      <c r="D79" s="188">
        <f>G7*H7+G17*H17</f>
        <v>2712110303.3999996</v>
      </c>
      <c r="F79" s="283"/>
    </row>
    <row r="80" spans="2:6" ht="15" customHeight="1">
      <c r="B80" s="105" t="s">
        <v>183</v>
      </c>
      <c r="C80" s="20">
        <f>G19</f>
        <v>391873803</v>
      </c>
      <c r="D80" s="188">
        <f>G19*H19</f>
        <v>39187380.300000004</v>
      </c>
      <c r="F80" s="283"/>
    </row>
    <row r="81" spans="2:8" ht="15" customHeight="1">
      <c r="B81" s="105" t="s">
        <v>181</v>
      </c>
      <c r="C81" s="20">
        <f>G9+G21</f>
        <v>41138918</v>
      </c>
      <c r="D81" s="188">
        <f>G9*H9+G21*H21</f>
        <v>4113891.8000000003</v>
      </c>
      <c r="F81" s="283"/>
    </row>
    <row r="82" spans="2:8" ht="15" customHeight="1">
      <c r="B82" s="80" t="s">
        <v>190</v>
      </c>
      <c r="C82" s="81">
        <f>SUM(C79:C81)</f>
        <v>4953196560</v>
      </c>
      <c r="D82" s="81">
        <f>SUM(D79:D81)</f>
        <v>2755411575.5</v>
      </c>
      <c r="F82" s="283"/>
    </row>
    <row r="84" spans="2:8" ht="15" customHeight="1">
      <c r="B84" s="79" t="s">
        <v>295</v>
      </c>
      <c r="C84" s="37"/>
      <c r="D84" s="37"/>
      <c r="E84" s="37"/>
      <c r="F84" s="37"/>
      <c r="G84" s="37"/>
      <c r="H84" s="37"/>
    </row>
    <row r="85" spans="2:8" ht="15" customHeight="1">
      <c r="B85" s="16" t="s">
        <v>296</v>
      </c>
      <c r="D85" s="270" t="s">
        <v>297</v>
      </c>
    </row>
    <row r="86" spans="2:8" ht="15" customHeight="1">
      <c r="B86" s="267" t="s">
        <v>293</v>
      </c>
      <c r="C86" s="188">
        <f>-Valuation_Model!C7*Exchange_Rate</f>
        <v>-306579832.49340481</v>
      </c>
      <c r="D86" s="248">
        <f>C86*scaling_factor/Common_Shares</f>
        <v>-0.22473285026779055</v>
      </c>
      <c r="E86" s="269" t="str">
        <f>Market_currency</f>
        <v>HKD</v>
      </c>
    </row>
    <row r="87" spans="2:8" ht="15" customHeight="1">
      <c r="B87" s="267" t="s">
        <v>294</v>
      </c>
      <c r="C87" s="188">
        <f>Valuation_Model!C8*Exchange_Rate</f>
        <v>13759683662.342402</v>
      </c>
      <c r="D87" s="248">
        <f>C87*scaling_factor/Common_Shares</f>
        <v>10.086289443999483</v>
      </c>
      <c r="E87" s="269" t="str">
        <f>Market_currency</f>
        <v>HKD</v>
      </c>
    </row>
    <row r="88" spans="2:8" ht="15" customHeight="1">
      <c r="B88" s="268" t="s">
        <v>190</v>
      </c>
      <c r="C88" s="188">
        <f>Valuation_Model!C9*Exchange_Rate</f>
        <v>2959931062.851552</v>
      </c>
      <c r="D88" s="248">
        <f>C88*scaling_factor/Common_Shares</f>
        <v>2.1697244040509736</v>
      </c>
      <c r="E88" s="269" t="str">
        <f>Market_currency</f>
        <v>HKD</v>
      </c>
    </row>
    <row r="89" spans="2:8" ht="15" customHeight="1">
      <c r="B89" s="80" t="s">
        <v>298</v>
      </c>
      <c r="C89" s="187">
        <f>SUM(C86:C88)</f>
        <v>16413034892.70055</v>
      </c>
      <c r="D89" s="271">
        <f>SUM(D86:D88)</f>
        <v>12.031280997782666</v>
      </c>
      <c r="E89" s="269"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2" activePane="bottomRight" state="frozen"/>
      <selection pane="topRight" activeCell="C1" sqref="C1"/>
      <selection pane="bottomLeft" activeCell="A2" sqref="A2"/>
      <selection pane="bottomRight" activeCell="C17" sqref="C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Thesis!C22</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v>
      </c>
      <c r="D3" s="9"/>
      <c r="E3" s="302"/>
      <c r="F3" s="9"/>
      <c r="G3" s="9"/>
    </row>
    <row r="4" spans="1:17" ht="15.75" customHeight="1">
      <c r="A4" s="10"/>
      <c r="B4" s="26" t="s">
        <v>2</v>
      </c>
      <c r="C4" s="190">
        <f>AVERAGE(G4:J4)</f>
        <v>32103180963.25</v>
      </c>
      <c r="D4" s="57"/>
      <c r="E4" s="300"/>
      <c r="F4" s="57"/>
      <c r="G4" s="183">
        <f>Data!C36</f>
        <v>32137830111</v>
      </c>
      <c r="H4" s="183">
        <f>Data!D36</f>
        <v>33936522741</v>
      </c>
      <c r="I4" s="183">
        <f>Data!E36</f>
        <v>32171565624</v>
      </c>
      <c r="J4" s="183">
        <f>Data!F36</f>
        <v>30166805377</v>
      </c>
      <c r="K4" s="183">
        <f>Data!G36</f>
        <v>27759710926</v>
      </c>
      <c r="L4" s="183" t="str">
        <f>Data!H36</f>
        <v/>
      </c>
      <c r="M4" s="183" t="str">
        <f>Data!I36</f>
        <v/>
      </c>
      <c r="N4" s="183" t="str">
        <f>Data!J36</f>
        <v/>
      </c>
      <c r="O4" s="183" t="str">
        <f>Data!K36</f>
        <v/>
      </c>
      <c r="P4" s="183" t="str">
        <f>Data!L36</f>
        <v/>
      </c>
      <c r="Q4" s="183" t="str">
        <f>Data!M36</f>
        <v/>
      </c>
    </row>
    <row r="5" spans="1:17" ht="15.75" customHeight="1">
      <c r="A5" s="10"/>
      <c r="B5" s="2" t="s">
        <v>46</v>
      </c>
      <c r="C5" s="191">
        <f>C25</f>
        <v>-26627911918.442245</v>
      </c>
      <c r="E5" s="302"/>
      <c r="G5" s="183">
        <f t="shared" ref="G5:Q5" si="1">G25</f>
        <v>-26140692078</v>
      </c>
      <c r="H5" s="183">
        <f t="shared" si="1"/>
        <v>-27911953185</v>
      </c>
      <c r="I5" s="183">
        <f t="shared" si="1"/>
        <v>-26908162892</v>
      </c>
      <c r="J5" s="183">
        <f t="shared" si="1"/>
        <v>-25506840614</v>
      </c>
      <c r="K5" s="183">
        <f t="shared" si="1"/>
        <v>-23744231560</v>
      </c>
      <c r="L5" s="183" t="str">
        <f t="shared" si="1"/>
        <v/>
      </c>
      <c r="M5" s="183" t="str">
        <f t="shared" si="1"/>
        <v/>
      </c>
      <c r="N5" s="183" t="str">
        <f t="shared" si="1"/>
        <v/>
      </c>
      <c r="O5" s="183" t="str">
        <f t="shared" si="1"/>
        <v/>
      </c>
      <c r="P5" s="183" t="str">
        <f t="shared" si="1"/>
        <v/>
      </c>
      <c r="Q5" s="183" t="str">
        <f t="shared" si="1"/>
        <v/>
      </c>
    </row>
    <row r="6" spans="1:17" ht="15.75" customHeight="1">
      <c r="A6" s="10"/>
      <c r="B6" s="31" t="s">
        <v>48</v>
      </c>
      <c r="C6" s="184">
        <f>C4+C5</f>
        <v>5475269044.8077545</v>
      </c>
      <c r="E6" s="302"/>
      <c r="G6" s="184">
        <f>IF(G4="","",G4+G5)</f>
        <v>5997138033</v>
      </c>
      <c r="H6" s="184">
        <f t="shared" ref="H6:Q6" si="2">IF(H4="","",H4+H5)</f>
        <v>6024569556</v>
      </c>
      <c r="I6" s="184">
        <f t="shared" si="2"/>
        <v>5263402732</v>
      </c>
      <c r="J6" s="184">
        <f t="shared" si="2"/>
        <v>4659964763</v>
      </c>
      <c r="K6" s="184">
        <f t="shared" si="2"/>
        <v>4015479366</v>
      </c>
      <c r="L6" s="184" t="str">
        <f t="shared" si="2"/>
        <v/>
      </c>
      <c r="M6" s="184" t="str">
        <f t="shared" si="2"/>
        <v/>
      </c>
      <c r="N6" s="184" t="str">
        <f t="shared" si="2"/>
        <v/>
      </c>
      <c r="O6" s="184" t="str">
        <f t="shared" si="2"/>
        <v/>
      </c>
      <c r="P6" s="184" t="str">
        <f t="shared" si="2"/>
        <v/>
      </c>
      <c r="Q6" s="184" t="str">
        <f t="shared" si="2"/>
        <v/>
      </c>
    </row>
    <row r="7" spans="1:17" ht="15.75" customHeight="1">
      <c r="A7" s="10"/>
      <c r="B7" s="8" t="s">
        <v>45</v>
      </c>
      <c r="C7" s="191">
        <f>C35</f>
        <v>-1597200974.5</v>
      </c>
      <c r="E7" s="302"/>
      <c r="G7" s="191">
        <f t="shared" ref="G7:Q7" si="3">G35</f>
        <v>-1509345456</v>
      </c>
      <c r="H7" s="191">
        <f t="shared" si="3"/>
        <v>-1619700048</v>
      </c>
      <c r="I7" s="191">
        <f t="shared" si="3"/>
        <v>-1536322903</v>
      </c>
      <c r="J7" s="191">
        <f t="shared" si="3"/>
        <v>-1723435491</v>
      </c>
      <c r="K7" s="191">
        <f t="shared" si="3"/>
        <v>-1699517814</v>
      </c>
      <c r="L7" s="191" t="str">
        <f t="shared" si="3"/>
        <v/>
      </c>
      <c r="M7" s="191" t="str">
        <f t="shared" si="3"/>
        <v/>
      </c>
      <c r="N7" s="191" t="str">
        <f t="shared" si="3"/>
        <v/>
      </c>
      <c r="O7" s="191" t="str">
        <f t="shared" si="3"/>
        <v/>
      </c>
      <c r="P7" s="191" t="str">
        <f t="shared" si="3"/>
        <v/>
      </c>
      <c r="Q7" s="191" t="str">
        <f t="shared" si="3"/>
        <v/>
      </c>
    </row>
    <row r="8" spans="1:17" ht="15.75" customHeight="1">
      <c r="A8" s="10"/>
      <c r="B8" s="29" t="s">
        <v>153</v>
      </c>
      <c r="C8" s="192">
        <f>C6+C7</f>
        <v>3878068070.3077545</v>
      </c>
      <c r="D8" s="59"/>
      <c r="E8" s="308"/>
      <c r="F8" s="59"/>
      <c r="G8" s="184">
        <f>IF(G$4="","",G6+G7)</f>
        <v>4487792577</v>
      </c>
      <c r="H8" s="184">
        <f t="shared" ref="H8:Q8" si="4">IF(H$4="","",H6+H7)</f>
        <v>4404869508</v>
      </c>
      <c r="I8" s="184">
        <f t="shared" si="4"/>
        <v>3727079829</v>
      </c>
      <c r="J8" s="184">
        <f t="shared" si="4"/>
        <v>2936529272</v>
      </c>
      <c r="K8" s="184">
        <f t="shared" si="4"/>
        <v>2315961552</v>
      </c>
      <c r="L8" s="184" t="str">
        <f t="shared" si="4"/>
        <v/>
      </c>
      <c r="M8" s="184" t="str">
        <f t="shared" si="4"/>
        <v/>
      </c>
      <c r="N8" s="184" t="str">
        <f t="shared" si="4"/>
        <v/>
      </c>
      <c r="O8" s="184" t="str">
        <f t="shared" si="4"/>
        <v/>
      </c>
      <c r="P8" s="184" t="str">
        <f t="shared" si="4"/>
        <v/>
      </c>
      <c r="Q8" s="184" t="str">
        <f t="shared" si="4"/>
        <v/>
      </c>
    </row>
    <row r="9" spans="1:17" ht="15.75" customHeight="1">
      <c r="A9" s="10"/>
      <c r="B9" s="2" t="s">
        <v>65</v>
      </c>
      <c r="C9" s="191">
        <f>BS!$G$39*BS!D58</f>
        <v>1191305772</v>
      </c>
      <c r="E9" s="302"/>
      <c r="G9" s="191">
        <f>IF(Data!C61="","",-Data!C61)</f>
        <v>1191305772</v>
      </c>
      <c r="H9" s="191">
        <f>IF(Data!D61="","",-Data!D61)</f>
        <v>1140399624</v>
      </c>
      <c r="I9" s="191">
        <f>IF(Data!E61="","",-Data!E61)</f>
        <v>1083856796</v>
      </c>
      <c r="J9" s="191">
        <f>IF(Data!F61="","",-Data!F61)</f>
        <v>1109733268</v>
      </c>
      <c r="K9" s="191">
        <f>IF(Data!G61="","",-Data!G61)</f>
        <v>0</v>
      </c>
      <c r="L9" s="191" t="str">
        <f>IF(Data!H61="","",-Data!H61)</f>
        <v/>
      </c>
      <c r="M9" s="191" t="str">
        <f>IF(Data!I61="","",-Data!I61)</f>
        <v/>
      </c>
      <c r="N9" s="191" t="str">
        <f>IF(Data!J61="","",-Data!J61)</f>
        <v/>
      </c>
      <c r="O9" s="191" t="str">
        <f>IF(Data!K61="","",-Data!K61)</f>
        <v/>
      </c>
      <c r="P9" s="191" t="str">
        <f>IF(Data!L61="","",-Data!L61)</f>
        <v/>
      </c>
      <c r="Q9" s="191" t="str">
        <f>IF(Data!M61="","",-Data!M61)</f>
        <v/>
      </c>
    </row>
    <row r="10" spans="1:17" ht="15.75" customHeight="1">
      <c r="A10" s="10"/>
      <c r="B10" s="2" t="s">
        <v>81</v>
      </c>
      <c r="C10" s="191">
        <f>-C4*C78</f>
        <v>-1191305772</v>
      </c>
      <c r="E10" s="302"/>
      <c r="G10" s="191">
        <f>Data!C62</f>
        <v>-1191305772</v>
      </c>
      <c r="H10" s="191">
        <f>Data!D62</f>
        <v>-1140399624</v>
      </c>
      <c r="I10" s="191">
        <f>Data!E62</f>
        <v>-1083856796</v>
      </c>
      <c r="J10" s="191">
        <f>Data!F62</f>
        <v>-1109733268</v>
      </c>
      <c r="K10" s="191">
        <f>Data!G62</f>
        <v>0</v>
      </c>
      <c r="L10" s="191" t="str">
        <f>Data!H62</f>
        <v/>
      </c>
      <c r="M10" s="191" t="str">
        <f>Data!I62</f>
        <v/>
      </c>
      <c r="N10" s="191" t="str">
        <f>Data!J62</f>
        <v/>
      </c>
      <c r="O10" s="191" t="str">
        <f>Data!K62</f>
        <v/>
      </c>
      <c r="P10" s="191" t="str">
        <f>Data!L62</f>
        <v/>
      </c>
      <c r="Q10" s="191" t="str">
        <f>Data!M62</f>
        <v/>
      </c>
    </row>
    <row r="11" spans="1:17" ht="15.75" customHeight="1">
      <c r="A11" s="10"/>
      <c r="B11" s="31" t="s">
        <v>195</v>
      </c>
      <c r="C11" s="193">
        <f>C63</f>
        <v>0</v>
      </c>
      <c r="D11" s="169"/>
      <c r="E11" s="301"/>
      <c r="F11" s="169"/>
      <c r="G11" s="186">
        <f>G61</f>
        <v>48272283</v>
      </c>
      <c r="H11" s="186">
        <f t="shared" ref="H11:Q11" si="5">H61</f>
        <v>15798284</v>
      </c>
      <c r="I11" s="186">
        <f t="shared" si="5"/>
        <v>19873379</v>
      </c>
      <c r="J11" s="186">
        <f t="shared" si="5"/>
        <v>20561728</v>
      </c>
      <c r="K11" s="186">
        <f t="shared" si="5"/>
        <v>18098320</v>
      </c>
      <c r="L11" s="186" t="str">
        <f t="shared" si="5"/>
        <v/>
      </c>
      <c r="M11" s="186" t="str">
        <f t="shared" si="5"/>
        <v/>
      </c>
      <c r="N11" s="186" t="str">
        <f t="shared" si="5"/>
        <v/>
      </c>
      <c r="O11" s="186" t="str">
        <f t="shared" si="5"/>
        <v/>
      </c>
      <c r="P11" s="186" t="str">
        <f t="shared" si="5"/>
        <v/>
      </c>
      <c r="Q11" s="186" t="str">
        <f t="shared" si="5"/>
        <v/>
      </c>
    </row>
    <row r="12" spans="1:17" ht="15.75" customHeight="1">
      <c r="A12" s="10"/>
      <c r="B12" s="2" t="s">
        <v>68</v>
      </c>
      <c r="C12" s="191">
        <f>C50</f>
        <v>155516623.29966182</v>
      </c>
      <c r="E12" s="302"/>
      <c r="G12" s="191">
        <f>G50</f>
        <v>155516623.29966182</v>
      </c>
      <c r="H12" s="191">
        <f t="shared" ref="H12:Q12" si="6">H50</f>
        <v>129178748.16033334</v>
      </c>
      <c r="I12" s="191">
        <f t="shared" si="6"/>
        <v>122938742.94696665</v>
      </c>
      <c r="J12" s="191">
        <f t="shared" si="6"/>
        <v>68079876.221250579</v>
      </c>
      <c r="K12" s="191">
        <f t="shared" si="6"/>
        <v>137022905.23545256</v>
      </c>
      <c r="L12" s="191" t="str">
        <f t="shared" si="6"/>
        <v/>
      </c>
      <c r="M12" s="191" t="str">
        <f t="shared" si="6"/>
        <v/>
      </c>
      <c r="N12" s="191" t="str">
        <f t="shared" si="6"/>
        <v/>
      </c>
      <c r="O12" s="191" t="str">
        <f t="shared" si="6"/>
        <v/>
      </c>
      <c r="P12" s="191" t="str">
        <f t="shared" si="6"/>
        <v/>
      </c>
      <c r="Q12" s="191" t="str">
        <f t="shared" si="6"/>
        <v/>
      </c>
    </row>
    <row r="13" spans="1:17" ht="15.75" customHeight="1">
      <c r="A13" s="10"/>
      <c r="B13" s="70" t="s">
        <v>165</v>
      </c>
      <c r="C13" s="184">
        <f>SUM(C8:C12)</f>
        <v>4033584693.6074162</v>
      </c>
      <c r="E13" s="302"/>
      <c r="G13" s="184">
        <f>IF(G$4="","",SUM(G8:G12))</f>
        <v>4691581483.2996616</v>
      </c>
      <c r="H13" s="184">
        <f t="shared" ref="H13:Q13" si="7">IF(H$4="","",SUM(H8:H12))</f>
        <v>4549846540.1603336</v>
      </c>
      <c r="I13" s="184">
        <f t="shared" si="7"/>
        <v>3869891950.9469666</v>
      </c>
      <c r="J13" s="184">
        <f t="shared" si="7"/>
        <v>3025170876.2212505</v>
      </c>
      <c r="K13" s="184">
        <f t="shared" si="7"/>
        <v>2471082777.2354527</v>
      </c>
      <c r="L13" s="184" t="str">
        <f t="shared" si="7"/>
        <v/>
      </c>
      <c r="M13" s="184" t="str">
        <f t="shared" si="7"/>
        <v/>
      </c>
      <c r="N13" s="184" t="str">
        <f t="shared" si="7"/>
        <v/>
      </c>
      <c r="O13" s="184" t="str">
        <f t="shared" si="7"/>
        <v/>
      </c>
      <c r="P13" s="184" t="str">
        <f t="shared" si="7"/>
        <v/>
      </c>
      <c r="Q13" s="184" t="str">
        <f t="shared" si="7"/>
        <v/>
      </c>
    </row>
    <row r="14" spans="1:17" ht="15.75" customHeight="1">
      <c r="A14" s="10"/>
      <c r="B14" s="2" t="s">
        <v>63</v>
      </c>
      <c r="C14" s="191">
        <f>-SUM(C8+C11,C12)*C43</f>
        <v>-1008396173.401854</v>
      </c>
      <c r="E14" s="302"/>
      <c r="G14" s="191">
        <f>Data!C46</f>
        <v>-1389716314</v>
      </c>
      <c r="H14" s="191">
        <f>Data!D46</f>
        <v>-1398208378</v>
      </c>
      <c r="I14" s="191">
        <f>Data!E46</f>
        <v>-1201419808</v>
      </c>
      <c r="J14" s="191">
        <f>Data!F46</f>
        <v>-1222731595</v>
      </c>
      <c r="K14" s="191">
        <f>Data!G46</f>
        <v>-912580519</v>
      </c>
      <c r="L14" s="191" t="str">
        <f>Data!H46</f>
        <v/>
      </c>
      <c r="M14" s="191" t="str">
        <f>Data!I46</f>
        <v/>
      </c>
      <c r="N14" s="191" t="str">
        <f>Data!J46</f>
        <v/>
      </c>
      <c r="O14" s="191" t="str">
        <f>Data!K46</f>
        <v/>
      </c>
      <c r="P14" s="191" t="str">
        <f>Data!L46</f>
        <v/>
      </c>
      <c r="Q14" s="191" t="str">
        <f>Data!M46</f>
        <v/>
      </c>
    </row>
    <row r="15" spans="1:17" ht="15.75" customHeight="1">
      <c r="A15" s="10"/>
      <c r="B15" s="40" t="s">
        <v>244</v>
      </c>
      <c r="C15" s="191">
        <f>-C4*C83</f>
        <v>-146634564.47167698</v>
      </c>
      <c r="D15" s="60"/>
      <c r="E15" s="309"/>
      <c r="F15" s="60"/>
      <c r="G15" s="183">
        <f>Data!C48</f>
        <v>-146792828</v>
      </c>
      <c r="H15" s="183">
        <f>Data!D48</f>
        <v>-80347518</v>
      </c>
      <c r="I15" s="183">
        <f>Data!E48</f>
        <v>-94092885</v>
      </c>
      <c r="J15" s="183">
        <f>Data!F48</f>
        <v>-100788060</v>
      </c>
      <c r="K15" s="183">
        <f>Data!G48</f>
        <v>-125645249</v>
      </c>
      <c r="L15" s="183" t="str">
        <f>Data!H48</f>
        <v/>
      </c>
      <c r="M15" s="183" t="str">
        <f>Data!I48</f>
        <v/>
      </c>
      <c r="N15" s="183" t="str">
        <f>Data!J48</f>
        <v/>
      </c>
      <c r="O15" s="183" t="str">
        <f>Data!K48</f>
        <v/>
      </c>
      <c r="P15" s="183" t="str">
        <f>Data!L48</f>
        <v/>
      </c>
      <c r="Q15" s="183" t="str">
        <f>Data!M48</f>
        <v/>
      </c>
    </row>
    <row r="16" spans="1:17" ht="15.75" customHeight="1">
      <c r="A16" s="10"/>
      <c r="B16" s="41" t="s">
        <v>155</v>
      </c>
      <c r="C16" s="194">
        <f>SUM(C13:C15)</f>
        <v>2878553955.7338853</v>
      </c>
      <c r="D16" s="61"/>
      <c r="E16" s="310"/>
      <c r="F16" s="61"/>
      <c r="G16" s="184">
        <f>IF(G$4="","",SUM(G13:G15))</f>
        <v>3155072341.2996616</v>
      </c>
      <c r="H16" s="184">
        <f t="shared" ref="H16:Q16" si="8">IF(H$4="","",SUM(H13:H15))</f>
        <v>3071290644.1603336</v>
      </c>
      <c r="I16" s="184">
        <f t="shared" si="8"/>
        <v>2574379257.9469666</v>
      </c>
      <c r="J16" s="184">
        <f t="shared" si="8"/>
        <v>1701651221.2212505</v>
      </c>
      <c r="K16" s="184">
        <f t="shared" si="8"/>
        <v>1432857009.2354527</v>
      </c>
      <c r="L16" s="184" t="str">
        <f t="shared" si="8"/>
        <v/>
      </c>
      <c r="M16" s="184" t="str">
        <f t="shared" si="8"/>
        <v/>
      </c>
      <c r="N16" s="184" t="str">
        <f t="shared" si="8"/>
        <v/>
      </c>
      <c r="O16" s="184" t="str">
        <f t="shared" si="8"/>
        <v/>
      </c>
      <c r="P16" s="184" t="str">
        <f t="shared" si="8"/>
        <v/>
      </c>
      <c r="Q16" s="184" t="str">
        <f t="shared" si="8"/>
        <v/>
      </c>
    </row>
    <row r="17" spans="1:17" ht="15.75" customHeight="1">
      <c r="A17" s="10"/>
      <c r="B17" s="27" t="s">
        <v>52</v>
      </c>
      <c r="C17" s="191">
        <f>-C4*C85</f>
        <v>0</v>
      </c>
      <c r="D17" s="58"/>
      <c r="E17" s="301" t="s">
        <v>339</v>
      </c>
      <c r="F17" s="58"/>
      <c r="G17" s="195"/>
      <c r="H17" s="195"/>
      <c r="I17" s="195"/>
      <c r="J17" s="195"/>
      <c r="K17" s="195"/>
      <c r="L17" s="195"/>
      <c r="M17" s="195"/>
      <c r="N17" s="195"/>
      <c r="O17" s="195"/>
      <c r="P17" s="195"/>
      <c r="Q17" s="195"/>
    </row>
    <row r="18" spans="1:17" ht="15.75" customHeight="1">
      <c r="A18" s="10"/>
      <c r="B18" s="27" t="s">
        <v>99</v>
      </c>
      <c r="C18" s="191">
        <v>0</v>
      </c>
      <c r="D18" s="58"/>
      <c r="E18" s="301" t="s">
        <v>340</v>
      </c>
      <c r="F18" s="58"/>
      <c r="G18" s="196"/>
      <c r="H18" s="196"/>
      <c r="I18" s="196"/>
      <c r="J18" s="196"/>
      <c r="K18" s="196"/>
      <c r="L18" s="196"/>
      <c r="M18" s="196"/>
      <c r="N18" s="196"/>
      <c r="O18" s="196"/>
      <c r="P18" s="196"/>
      <c r="Q18" s="196"/>
    </row>
    <row r="19" spans="1:17" ht="15.75" customHeight="1">
      <c r="A19" s="10"/>
      <c r="B19" s="31" t="s">
        <v>66</v>
      </c>
      <c r="C19" s="184">
        <f>C16+C17</f>
        <v>2878553955.7338853</v>
      </c>
      <c r="D19" s="27"/>
      <c r="E19" s="299"/>
      <c r="F19" s="27"/>
      <c r="G19" s="186">
        <f>IF(G$4="","",G16+G17)</f>
        <v>3155072341.2996616</v>
      </c>
      <c r="H19" s="186">
        <f t="shared" ref="H19:Q19" si="9">IF(H$4="","",H16+H17)</f>
        <v>3071290644.1603336</v>
      </c>
      <c r="I19" s="186">
        <f t="shared" si="9"/>
        <v>2574379257.9469666</v>
      </c>
      <c r="J19" s="186">
        <f t="shared" si="9"/>
        <v>1701651221.2212505</v>
      </c>
      <c r="K19" s="186">
        <f t="shared" si="9"/>
        <v>1432857009.2354527</v>
      </c>
      <c r="L19" s="186" t="str">
        <f t="shared" si="9"/>
        <v/>
      </c>
      <c r="M19" s="186" t="str">
        <f t="shared" si="9"/>
        <v/>
      </c>
      <c r="N19" s="186" t="str">
        <f t="shared" si="9"/>
        <v/>
      </c>
      <c r="O19" s="186" t="str">
        <f t="shared" si="9"/>
        <v/>
      </c>
      <c r="P19" s="186" t="str">
        <f t="shared" si="9"/>
        <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9"/>
      <c r="F22" s="27"/>
      <c r="G22" s="12"/>
      <c r="H22" s="12"/>
      <c r="I22" s="12"/>
      <c r="J22" s="12"/>
      <c r="K22" s="12"/>
      <c r="L22" s="12"/>
      <c r="M22" s="12"/>
      <c r="N22" s="12"/>
      <c r="O22" s="12"/>
      <c r="P22" s="12"/>
      <c r="Q22" s="12"/>
    </row>
    <row r="23" spans="1:17" ht="15.75" customHeight="1">
      <c r="A23" s="10"/>
      <c r="B23" s="27" t="s">
        <v>43</v>
      </c>
      <c r="C23" s="197">
        <f>-C4*C28</f>
        <v>-22227405835.768204</v>
      </c>
      <c r="D23" s="58"/>
      <c r="E23" s="301"/>
      <c r="F23" s="58"/>
      <c r="G23" s="183">
        <f>Data!C37</f>
        <v>-21538172214</v>
      </c>
      <c r="H23" s="183">
        <f>Data!D37</f>
        <v>-23203550387</v>
      </c>
      <c r="I23" s="183">
        <f>Data!E37</f>
        <v>-22708660145</v>
      </c>
      <c r="J23" s="183">
        <f>Data!F37</f>
        <v>-21409966489</v>
      </c>
      <c r="K23" s="183">
        <f>Data!G37</f>
        <v>-18759681723</v>
      </c>
      <c r="L23" s="183" t="str">
        <f>Data!H37</f>
        <v/>
      </c>
      <c r="M23" s="183" t="str">
        <f>Data!I37</f>
        <v/>
      </c>
      <c r="N23" s="183" t="str">
        <f>Data!J37</f>
        <v/>
      </c>
      <c r="O23" s="183" t="str">
        <f>Data!K37</f>
        <v/>
      </c>
      <c r="P23" s="183" t="str">
        <f>Data!L37</f>
        <v/>
      </c>
      <c r="Q23" s="183" t="str">
        <f>Data!M37</f>
        <v/>
      </c>
    </row>
    <row r="24" spans="1:17" ht="15.75" customHeight="1">
      <c r="A24" s="10"/>
      <c r="B24" s="68" t="s">
        <v>62</v>
      </c>
      <c r="C24" s="191">
        <f>-C4*C29</f>
        <v>-4400506082.6740408</v>
      </c>
      <c r="D24" s="27"/>
      <c r="E24" s="299"/>
      <c r="F24" s="27"/>
      <c r="G24" s="183">
        <f>Data!C40</f>
        <v>-4602519864</v>
      </c>
      <c r="H24" s="183">
        <f>Data!D40</f>
        <v>-4708402798</v>
      </c>
      <c r="I24" s="183">
        <f>Data!E40</f>
        <v>-4199502747</v>
      </c>
      <c r="J24" s="183">
        <f>Data!F40</f>
        <v>-4096874125</v>
      </c>
      <c r="K24" s="183">
        <f>Data!G40</f>
        <v>-4984549837</v>
      </c>
      <c r="L24" s="183" t="str">
        <f>Data!H40</f>
        <v/>
      </c>
      <c r="M24" s="183" t="str">
        <f>Data!I40</f>
        <v/>
      </c>
      <c r="N24" s="183" t="str">
        <f>Data!J40</f>
        <v/>
      </c>
      <c r="O24" s="183" t="str">
        <f>Data!K40</f>
        <v/>
      </c>
      <c r="P24" s="183" t="str">
        <f>Data!L40</f>
        <v/>
      </c>
      <c r="Q24" s="183" t="str">
        <f>Data!M40</f>
        <v/>
      </c>
    </row>
    <row r="25" spans="1:17" ht="15.75" customHeight="1">
      <c r="A25" s="10"/>
      <c r="B25" s="70" t="s">
        <v>46</v>
      </c>
      <c r="C25" s="184">
        <f>C23+C24</f>
        <v>-26627911918.442245</v>
      </c>
      <c r="D25" s="9"/>
      <c r="E25" s="307"/>
      <c r="F25" s="9"/>
      <c r="G25" s="184">
        <f t="shared" ref="G25:Q25" si="10">IF(G$4="","",G23+G24)</f>
        <v>-26140692078</v>
      </c>
      <c r="H25" s="184">
        <f t="shared" si="10"/>
        <v>-27911953185</v>
      </c>
      <c r="I25" s="184">
        <f t="shared" si="10"/>
        <v>-26908162892</v>
      </c>
      <c r="J25" s="184">
        <f t="shared" si="10"/>
        <v>-25506840614</v>
      </c>
      <c r="K25" s="184">
        <f t="shared" si="10"/>
        <v>-23744231560</v>
      </c>
      <c r="L25" s="184" t="str">
        <f t="shared" si="10"/>
        <v/>
      </c>
      <c r="M25" s="184" t="str">
        <f t="shared" si="10"/>
        <v/>
      </c>
      <c r="N25" s="184" t="str">
        <f t="shared" si="10"/>
        <v/>
      </c>
      <c r="O25" s="184" t="str">
        <f t="shared" si="10"/>
        <v/>
      </c>
      <c r="P25" s="184" t="str">
        <f t="shared" si="10"/>
        <v/>
      </c>
      <c r="Q25" s="184" t="str">
        <f t="shared" si="10"/>
        <v/>
      </c>
    </row>
    <row r="26" spans="1:17" ht="15.75" customHeight="1">
      <c r="A26" s="10"/>
      <c r="E26" s="302"/>
    </row>
    <row r="27" spans="1:17" ht="15.75" customHeight="1">
      <c r="A27" s="10"/>
      <c r="B27" s="64" t="s">
        <v>207</v>
      </c>
      <c r="E27" s="302"/>
    </row>
    <row r="28" spans="1:17" ht="15.75" customHeight="1">
      <c r="A28" s="10"/>
      <c r="B28" s="26" t="s">
        <v>43</v>
      </c>
      <c r="C28" s="63">
        <f>AVERAGE(G28:J28)</f>
        <v>0.69237393830888427</v>
      </c>
      <c r="D28" s="26"/>
      <c r="E28" s="300" t="s">
        <v>341</v>
      </c>
      <c r="F28" s="26"/>
      <c r="G28" s="13">
        <f t="shared" ref="G28:Q28" si="11">IF(G$4="","",ABS(G23/G$4))</f>
        <v>0.67018128291828905</v>
      </c>
      <c r="H28" s="13">
        <f t="shared" si="11"/>
        <v>0.68373388057719042</v>
      </c>
      <c r="I28" s="13">
        <f t="shared" si="11"/>
        <v>0.70586120707968691</v>
      </c>
      <c r="J28" s="13">
        <f t="shared" si="11"/>
        <v>0.70971938266037093</v>
      </c>
      <c r="K28" s="13">
        <f t="shared" si="11"/>
        <v>0.67578807909809713</v>
      </c>
      <c r="L28" s="13" t="str">
        <f t="shared" si="11"/>
        <v/>
      </c>
      <c r="M28" s="13" t="str">
        <f t="shared" si="11"/>
        <v/>
      </c>
      <c r="N28" s="13" t="str">
        <f t="shared" si="11"/>
        <v/>
      </c>
      <c r="O28" s="13" t="str">
        <f t="shared" si="11"/>
        <v/>
      </c>
      <c r="P28" s="13" t="str">
        <f t="shared" si="11"/>
        <v/>
      </c>
      <c r="Q28" s="13" t="str">
        <f t="shared" si="11"/>
        <v/>
      </c>
    </row>
    <row r="29" spans="1:17" ht="15.75" customHeight="1">
      <c r="A29" s="10"/>
      <c r="B29" s="68" t="str">
        <f>B24</f>
        <v>Selling Expenses</v>
      </c>
      <c r="C29" s="63">
        <f>AVERAGE(G29:J29)</f>
        <v>0.13707383351548572</v>
      </c>
      <c r="D29" s="26"/>
      <c r="E29" s="300" t="s">
        <v>341</v>
      </c>
      <c r="F29" s="26"/>
      <c r="G29" s="13">
        <f t="shared" ref="G29:Q29" si="12">IF(G$4="","",ABS(G24/G$4))</f>
        <v>0.14321190472734091</v>
      </c>
      <c r="H29" s="13">
        <f t="shared" si="12"/>
        <v>0.13874146252207509</v>
      </c>
      <c r="I29" s="13">
        <f t="shared" si="12"/>
        <v>0.13053460922856577</v>
      </c>
      <c r="J29" s="13">
        <f t="shared" si="12"/>
        <v>0.13580735758396112</v>
      </c>
      <c r="K29" s="13">
        <f t="shared" si="12"/>
        <v>0.17956058153081936</v>
      </c>
      <c r="L29" s="13" t="str">
        <f t="shared" si="12"/>
        <v/>
      </c>
      <c r="M29" s="13" t="str">
        <f t="shared" si="12"/>
        <v/>
      </c>
      <c r="N29" s="13" t="str">
        <f t="shared" si="12"/>
        <v/>
      </c>
      <c r="O29" s="13" t="str">
        <f t="shared" si="12"/>
        <v/>
      </c>
      <c r="P29" s="13" t="str">
        <f t="shared" si="12"/>
        <v/>
      </c>
      <c r="Q29" s="13" t="str">
        <f t="shared" si="12"/>
        <v/>
      </c>
    </row>
    <row r="30" spans="1:17" ht="15.75" customHeight="1">
      <c r="A30" s="10"/>
      <c r="B30" s="70" t="s">
        <v>46</v>
      </c>
      <c r="C30" s="71">
        <f>ABS(C25/$C$4)</f>
        <v>0.82944777182437002</v>
      </c>
      <c r="E30" s="302"/>
      <c r="G30" s="30">
        <f t="shared" ref="G30:Q30" si="13">IF(G$4="","",ABS(G25/G$4))</f>
        <v>0.81339318764562996</v>
      </c>
      <c r="H30" s="30">
        <f t="shared" si="13"/>
        <v>0.82247534309926551</v>
      </c>
      <c r="I30" s="30">
        <f t="shared" si="13"/>
        <v>0.83639581630825266</v>
      </c>
      <c r="J30" s="30">
        <f t="shared" si="13"/>
        <v>0.84552674024433205</v>
      </c>
      <c r="K30" s="30">
        <f t="shared" si="13"/>
        <v>0.85534866062891657</v>
      </c>
      <c r="L30" s="30" t="str">
        <f t="shared" si="13"/>
        <v/>
      </c>
      <c r="M30" s="30" t="str">
        <f t="shared" si="13"/>
        <v/>
      </c>
      <c r="N30" s="30" t="str">
        <f t="shared" si="13"/>
        <v/>
      </c>
      <c r="O30" s="30" t="str">
        <f t="shared" si="13"/>
        <v/>
      </c>
      <c r="P30" s="30" t="str">
        <f t="shared" si="13"/>
        <v/>
      </c>
      <c r="Q30" s="30" t="str">
        <f t="shared" si="13"/>
        <v/>
      </c>
    </row>
    <row r="31" spans="1:17" ht="15.75" customHeight="1">
      <c r="A31" s="10"/>
      <c r="E31" s="302"/>
    </row>
    <row r="32" spans="1:17" ht="15.75" customHeight="1">
      <c r="A32" s="10"/>
      <c r="B32" s="64" t="s">
        <v>45</v>
      </c>
      <c r="E32" s="302"/>
    </row>
    <row r="33" spans="1:17" ht="15.75" customHeight="1">
      <c r="A33" s="10"/>
      <c r="B33" s="8" t="s">
        <v>175</v>
      </c>
      <c r="C33" s="198">
        <f>AVERAGE(G33:J33)</f>
        <v>-1522888768.25</v>
      </c>
      <c r="E33" s="300" t="s">
        <v>341</v>
      </c>
      <c r="G33" s="191">
        <f>Data!C41</f>
        <v>-1406578781</v>
      </c>
      <c r="H33" s="191">
        <f>Data!D41</f>
        <v>-1519063042</v>
      </c>
      <c r="I33" s="191">
        <f>Data!E41</f>
        <v>-1473368004</v>
      </c>
      <c r="J33" s="191">
        <f>Data!F41</f>
        <v>-1692545246</v>
      </c>
      <c r="K33" s="191">
        <f>Data!G41</f>
        <v>-1678050722</v>
      </c>
      <c r="L33" s="191" t="str">
        <f>Data!H41</f>
        <v/>
      </c>
      <c r="M33" s="191" t="str">
        <f>Data!I41</f>
        <v/>
      </c>
      <c r="N33" s="191" t="str">
        <f>Data!J41</f>
        <v/>
      </c>
      <c r="O33" s="191" t="str">
        <f>Data!K41</f>
        <v/>
      </c>
      <c r="P33" s="191" t="str">
        <f>Data!L41</f>
        <v/>
      </c>
      <c r="Q33" s="191" t="str">
        <f>Data!M41</f>
        <v/>
      </c>
    </row>
    <row r="34" spans="1:17" ht="15.75" customHeight="1">
      <c r="A34" s="10"/>
      <c r="B34" s="27" t="s">
        <v>49</v>
      </c>
      <c r="C34" s="198">
        <f>AVERAGE(G34:J34)</f>
        <v>-74312206.25</v>
      </c>
      <c r="D34" s="58"/>
      <c r="E34" s="300" t="s">
        <v>341</v>
      </c>
      <c r="F34" s="58"/>
      <c r="G34" s="183">
        <f>Data!C42</f>
        <v>-102766675</v>
      </c>
      <c r="H34" s="183">
        <f>Data!D42</f>
        <v>-100637006</v>
      </c>
      <c r="I34" s="183">
        <f>Data!E42</f>
        <v>-62954899</v>
      </c>
      <c r="J34" s="183">
        <f>Data!F42</f>
        <v>-30890245</v>
      </c>
      <c r="K34" s="183">
        <f>Data!G42</f>
        <v>-21467092</v>
      </c>
      <c r="L34" s="183" t="str">
        <f>Data!H42</f>
        <v/>
      </c>
      <c r="M34" s="183" t="str">
        <f>Data!I42</f>
        <v/>
      </c>
      <c r="N34" s="183" t="str">
        <f>Data!J42</f>
        <v/>
      </c>
      <c r="O34" s="183" t="str">
        <f>Data!K42</f>
        <v/>
      </c>
      <c r="P34" s="183" t="str">
        <f>Data!L42</f>
        <v/>
      </c>
      <c r="Q34" s="183" t="str">
        <f>Data!M42</f>
        <v/>
      </c>
    </row>
    <row r="35" spans="1:17" ht="15.75" customHeight="1">
      <c r="A35" s="10"/>
      <c r="B35" s="70" t="s">
        <v>45</v>
      </c>
      <c r="C35" s="184">
        <f>C33+C34</f>
        <v>-1597200974.5</v>
      </c>
      <c r="D35" s="58"/>
      <c r="E35" s="301"/>
      <c r="F35" s="58"/>
      <c r="G35" s="184">
        <f t="shared" ref="G35:Q35" si="14">IF(G4="","",G33+G34)</f>
        <v>-1509345456</v>
      </c>
      <c r="H35" s="184">
        <f t="shared" si="14"/>
        <v>-1619700048</v>
      </c>
      <c r="I35" s="184">
        <f t="shared" si="14"/>
        <v>-1536322903</v>
      </c>
      <c r="J35" s="184">
        <f t="shared" si="14"/>
        <v>-1723435491</v>
      </c>
      <c r="K35" s="184">
        <f t="shared" si="14"/>
        <v>-1699517814</v>
      </c>
      <c r="L35" s="184" t="str">
        <f t="shared" si="14"/>
        <v/>
      </c>
      <c r="M35" s="184" t="str">
        <f t="shared" si="14"/>
        <v/>
      </c>
      <c r="N35" s="184" t="str">
        <f t="shared" si="14"/>
        <v/>
      </c>
      <c r="O35" s="184" t="str">
        <f t="shared" si="14"/>
        <v/>
      </c>
      <c r="P35" s="184" t="str">
        <f t="shared" si="14"/>
        <v/>
      </c>
      <c r="Q35" s="184" t="str">
        <f t="shared" si="14"/>
        <v/>
      </c>
    </row>
    <row r="36" spans="1:17" ht="15.75" customHeight="1">
      <c r="A36" s="10"/>
      <c r="E36" s="302"/>
    </row>
    <row r="37" spans="1:17" ht="15.75" customHeight="1">
      <c r="A37" s="10"/>
      <c r="B37" s="64" t="s">
        <v>208</v>
      </c>
      <c r="E37" s="302"/>
    </row>
    <row r="38" spans="1:17" ht="15.75" customHeight="1">
      <c r="A38" s="10"/>
      <c r="B38" s="2" t="str">
        <f>B33</f>
        <v>G&amp;A and other Opex</v>
      </c>
      <c r="C38" s="23">
        <f>ABS(C33/$C$4)</f>
        <v>4.7437316881256138E-2</v>
      </c>
      <c r="D38" s="27"/>
      <c r="E38" s="299"/>
      <c r="F38" s="27"/>
      <c r="G38" s="13">
        <f t="shared" ref="G38:Q38" si="15">IF(G$4="","",ABS(G33/G$4))</f>
        <v>4.3767073761416211E-2</v>
      </c>
      <c r="H38" s="13">
        <f t="shared" si="15"/>
        <v>4.4761894245716645E-2</v>
      </c>
      <c r="I38" s="13">
        <f t="shared" si="15"/>
        <v>4.5797211774513916E-2</v>
      </c>
      <c r="J38" s="13">
        <f t="shared" si="15"/>
        <v>5.6106214259281258E-2</v>
      </c>
      <c r="K38" s="13">
        <f t="shared" si="15"/>
        <v>6.0449142517126221E-2</v>
      </c>
      <c r="L38" s="13" t="str">
        <f t="shared" si="15"/>
        <v/>
      </c>
      <c r="M38" s="13" t="str">
        <f t="shared" si="15"/>
        <v/>
      </c>
      <c r="N38" s="13" t="str">
        <f t="shared" si="15"/>
        <v/>
      </c>
      <c r="O38" s="13" t="str">
        <f t="shared" si="15"/>
        <v/>
      </c>
      <c r="P38" s="13" t="str">
        <f t="shared" si="15"/>
        <v/>
      </c>
      <c r="Q38" s="13" t="str">
        <f t="shared" si="15"/>
        <v/>
      </c>
    </row>
    <row r="39" spans="1:17" ht="15.75" customHeight="1">
      <c r="A39" s="10"/>
      <c r="B39" s="27" t="str">
        <f>B34</f>
        <v>R&amp;D</v>
      </c>
      <c r="C39" s="23">
        <f>ABS(C34/$C$4)</f>
        <v>2.314792616191792E-3</v>
      </c>
      <c r="D39" s="27"/>
      <c r="E39" s="299"/>
      <c r="F39" s="27"/>
      <c r="G39" s="13">
        <f t="shared" ref="G39:Q39" si="16">IF(G$4="","",ABS(G34/G$4))</f>
        <v>3.1976855514220127E-3</v>
      </c>
      <c r="H39" s="13">
        <f t="shared" si="16"/>
        <v>2.9654483686514122E-3</v>
      </c>
      <c r="I39" s="13">
        <f t="shared" si="16"/>
        <v>1.9568490926358778E-3</v>
      </c>
      <c r="J39" s="13">
        <f t="shared" si="16"/>
        <v>1.0239813136975907E-3</v>
      </c>
      <c r="K39" s="13">
        <f t="shared" si="16"/>
        <v>7.7331828336489356E-4</v>
      </c>
      <c r="L39" s="13" t="str">
        <f t="shared" si="16"/>
        <v/>
      </c>
      <c r="M39" s="13" t="str">
        <f t="shared" si="16"/>
        <v/>
      </c>
      <c r="N39" s="13" t="str">
        <f t="shared" si="16"/>
        <v/>
      </c>
      <c r="O39" s="13" t="str">
        <f t="shared" si="16"/>
        <v/>
      </c>
      <c r="P39" s="13" t="str">
        <f t="shared" si="16"/>
        <v/>
      </c>
      <c r="Q39" s="13" t="str">
        <f t="shared" si="16"/>
        <v/>
      </c>
    </row>
    <row r="40" spans="1:17" ht="15.75" customHeight="1">
      <c r="A40" s="10"/>
      <c r="B40" s="70" t="s">
        <v>45</v>
      </c>
      <c r="C40" s="71">
        <f>ABS(C35/$C$4)</f>
        <v>4.9752109497447933E-2</v>
      </c>
      <c r="E40" s="302"/>
      <c r="G40" s="30">
        <f t="shared" ref="G40:Q40" si="17">IF(G$4="","",ABS(G35/G$4))</f>
        <v>4.6964759312838222E-2</v>
      </c>
      <c r="H40" s="30">
        <f t="shared" si="17"/>
        <v>4.7727342614368055E-2</v>
      </c>
      <c r="I40" s="30">
        <f t="shared" si="17"/>
        <v>4.7754060867149797E-2</v>
      </c>
      <c r="J40" s="30">
        <f t="shared" si="17"/>
        <v>5.7130195572978854E-2</v>
      </c>
      <c r="K40" s="30">
        <f t="shared" si="17"/>
        <v>6.1222460800491117E-2</v>
      </c>
      <c r="L40" s="30" t="str">
        <f t="shared" si="17"/>
        <v/>
      </c>
      <c r="M40" s="30" t="str">
        <f t="shared" si="17"/>
        <v/>
      </c>
      <c r="N40" s="30" t="str">
        <f t="shared" si="17"/>
        <v/>
      </c>
      <c r="O40" s="30" t="str">
        <f t="shared" si="17"/>
        <v/>
      </c>
      <c r="P40" s="30" t="str">
        <f t="shared" si="17"/>
        <v/>
      </c>
      <c r="Q40" s="30" t="str">
        <f t="shared" si="17"/>
        <v/>
      </c>
    </row>
    <row r="41" spans="1:17" ht="15.75" customHeight="1">
      <c r="A41" s="10"/>
      <c r="E41" s="302"/>
    </row>
    <row r="42" spans="1:17" ht="15.75" customHeight="1">
      <c r="A42" s="10"/>
      <c r="B42" s="64" t="s">
        <v>209</v>
      </c>
      <c r="E42" s="302"/>
    </row>
    <row r="43" spans="1:17" ht="15.75" customHeight="1">
      <c r="A43" s="10"/>
      <c r="B43" s="27" t="s">
        <v>172</v>
      </c>
      <c r="C43" s="296">
        <v>0.25</v>
      </c>
      <c r="D43" s="27"/>
      <c r="E43" s="299" t="s">
        <v>342</v>
      </c>
      <c r="F43" s="27"/>
      <c r="G43" s="6">
        <f t="shared" ref="G43:Q43" si="18">IF(G$4="","",-G14/SUM(G8+G11,G12))</f>
        <v>0.29621489447575172</v>
      </c>
      <c r="H43" s="6">
        <f t="shared" si="18"/>
        <v>0.30730890935735339</v>
      </c>
      <c r="I43" s="6">
        <f t="shared" si="18"/>
        <v>0.31045306257349414</v>
      </c>
      <c r="J43" s="6">
        <f t="shared" si="18"/>
        <v>0.40418596007618501</v>
      </c>
      <c r="K43" s="6">
        <f t="shared" si="18"/>
        <v>0.36930390491449183</v>
      </c>
      <c r="L43" s="6" t="str">
        <f t="shared" si="18"/>
        <v/>
      </c>
      <c r="M43" s="6" t="str">
        <f t="shared" si="18"/>
        <v/>
      </c>
      <c r="N43" s="6" t="str">
        <f t="shared" si="18"/>
        <v/>
      </c>
      <c r="O43" s="6" t="str">
        <f t="shared" si="18"/>
        <v/>
      </c>
      <c r="P43" s="6" t="str">
        <f t="shared" si="18"/>
        <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302"/>
    </row>
    <row r="47" spans="1:17" ht="15.75" customHeight="1">
      <c r="A47" s="10"/>
      <c r="B47" s="2" t="s">
        <v>39</v>
      </c>
      <c r="C47" s="191">
        <f>-BS!G31*Normalized_FCF!C54</f>
        <v>-21837054</v>
      </c>
      <c r="E47" s="302"/>
      <c r="G47" s="191">
        <f>Data!C51</f>
        <v>-21837054</v>
      </c>
      <c r="H47" s="191">
        <f>Data!D51</f>
        <v>-16430590</v>
      </c>
      <c r="I47" s="191">
        <f>Data!E51</f>
        <v>-9237800</v>
      </c>
      <c r="J47" s="191">
        <f>Data!F51</f>
        <v>-22685367</v>
      </c>
      <c r="K47" s="191">
        <f>Data!G51</f>
        <v>-13662682</v>
      </c>
      <c r="L47" s="191" t="str">
        <f>Data!H51</f>
        <v/>
      </c>
      <c r="M47" s="191" t="str">
        <f>Data!I51</f>
        <v/>
      </c>
      <c r="N47" s="191" t="str">
        <f>Data!J51</f>
        <v/>
      </c>
      <c r="O47" s="191" t="str">
        <f>Data!K51</f>
        <v/>
      </c>
      <c r="P47" s="191" t="str">
        <f>Data!L51</f>
        <v/>
      </c>
      <c r="Q47" s="191" t="str">
        <f>Data!M51</f>
        <v/>
      </c>
    </row>
    <row r="48" spans="1:17" ht="15.75" customHeight="1">
      <c r="A48" s="10"/>
      <c r="B48" s="2" t="s">
        <v>353</v>
      </c>
      <c r="C48" s="191">
        <f>BS!D75*C53</f>
        <v>177353677.29966182</v>
      </c>
      <c r="E48" s="302"/>
      <c r="G48" s="328">
        <f>IFERROR(IF(G$4="","",($C$48/$C$49)*G49),0)</f>
        <v>177353677.29966182</v>
      </c>
      <c r="H48" s="328">
        <f t="shared" ref="H48:Q48" si="19">IFERROR(IF(H$4="","",($C$48/$C$49)*H49),0)</f>
        <v>145609338.16033334</v>
      </c>
      <c r="I48" s="328">
        <f t="shared" si="19"/>
        <v>132176542.94696665</v>
      </c>
      <c r="J48" s="328">
        <f t="shared" si="19"/>
        <v>90765243.221250579</v>
      </c>
      <c r="K48" s="328">
        <f t="shared" si="19"/>
        <v>150685587.23545256</v>
      </c>
      <c r="L48" s="328" t="str">
        <f t="shared" si="19"/>
        <v/>
      </c>
      <c r="M48" s="328" t="str">
        <f t="shared" si="19"/>
        <v/>
      </c>
      <c r="N48" s="328" t="str">
        <f t="shared" si="19"/>
        <v/>
      </c>
      <c r="O48" s="328" t="str">
        <f t="shared" si="19"/>
        <v/>
      </c>
      <c r="P48" s="328" t="str">
        <f t="shared" si="19"/>
        <v/>
      </c>
      <c r="Q48" s="328" t="str">
        <f t="shared" si="19"/>
        <v/>
      </c>
    </row>
    <row r="49" spans="1:17" ht="15.75" customHeight="1">
      <c r="A49" s="10"/>
      <c r="B49" s="323" t="s">
        <v>350</v>
      </c>
      <c r="C49" s="324">
        <f>BS!$C$66*C53</f>
        <v>616771200</v>
      </c>
      <c r="D49" s="325"/>
      <c r="E49" s="326"/>
      <c r="F49" s="325"/>
      <c r="G49" s="324">
        <f>Data!C52</f>
        <v>616771200</v>
      </c>
      <c r="H49" s="324">
        <f>Data!D52</f>
        <v>506376003</v>
      </c>
      <c r="I49" s="324">
        <f>Data!E52</f>
        <v>459661656</v>
      </c>
      <c r="J49" s="324">
        <f>Data!F52</f>
        <v>315648307</v>
      </c>
      <c r="K49" s="324">
        <f>Data!G52</f>
        <v>524029340</v>
      </c>
      <c r="L49" s="324" t="str">
        <f>Data!H52</f>
        <v/>
      </c>
      <c r="M49" s="324" t="str">
        <f>Data!I52</f>
        <v/>
      </c>
      <c r="N49" s="324" t="str">
        <f>Data!J52</f>
        <v/>
      </c>
      <c r="O49" s="324" t="str">
        <f>Data!K52</f>
        <v/>
      </c>
      <c r="P49" s="324" t="str">
        <f>Data!L52</f>
        <v/>
      </c>
      <c r="Q49" s="324" t="str">
        <f>Data!M52</f>
        <v/>
      </c>
    </row>
    <row r="50" spans="1:17" ht="15.75" customHeight="1">
      <c r="A50" s="10"/>
      <c r="B50" s="70" t="s">
        <v>68</v>
      </c>
      <c r="C50" s="184">
        <f>C47+C48</f>
        <v>155516623.29966182</v>
      </c>
      <c r="E50" s="302"/>
      <c r="G50" s="184">
        <f>IF(G$4="","",(G47+G48))</f>
        <v>155516623.29966182</v>
      </c>
      <c r="H50" s="184">
        <f t="shared" ref="H50:Q50" si="20">IF(H$4="","",(H47+H48))</f>
        <v>129178748.16033334</v>
      </c>
      <c r="I50" s="184">
        <f t="shared" si="20"/>
        <v>122938742.94696665</v>
      </c>
      <c r="J50" s="184">
        <f t="shared" si="20"/>
        <v>68079876.221250579</v>
      </c>
      <c r="K50" s="184">
        <f t="shared" si="20"/>
        <v>137022905.23545256</v>
      </c>
      <c r="L50" s="184" t="str">
        <f t="shared" si="20"/>
        <v/>
      </c>
      <c r="M50" s="184" t="str">
        <f t="shared" si="20"/>
        <v/>
      </c>
      <c r="N50" s="184" t="str">
        <f t="shared" si="20"/>
        <v/>
      </c>
      <c r="O50" s="184" t="str">
        <f t="shared" si="20"/>
        <v/>
      </c>
      <c r="P50" s="184" t="str">
        <f t="shared" si="20"/>
        <v/>
      </c>
      <c r="Q50" s="184" t="str">
        <f t="shared" si="20"/>
        <v/>
      </c>
    </row>
    <row r="51" spans="1:17" ht="15.75" customHeight="1">
      <c r="A51" s="10"/>
      <c r="E51" s="302"/>
    </row>
    <row r="52" spans="1:17" ht="15.75" customHeight="1">
      <c r="A52" s="10"/>
      <c r="B52" s="72" t="s">
        <v>156</v>
      </c>
      <c r="E52" s="302"/>
      <c r="G52" s="97" t="s">
        <v>220</v>
      </c>
    </row>
    <row r="53" spans="1:17" ht="15.75" customHeight="1">
      <c r="A53" s="10"/>
      <c r="B53" s="8" t="s">
        <v>89</v>
      </c>
      <c r="C53" s="87">
        <f>G53</f>
        <v>3.430552260533988E-2</v>
      </c>
      <c r="E53" s="299" t="s">
        <v>343</v>
      </c>
      <c r="G53" s="6">
        <f>IF(Normalized_FCF!G4="","",Normalized_FCF!G49/BS!$C$66)</f>
        <v>3.430552260533988E-2</v>
      </c>
      <c r="H53" s="170"/>
      <c r="I53" s="170"/>
      <c r="J53" s="170"/>
      <c r="K53" s="170"/>
      <c r="L53" s="170"/>
      <c r="M53" s="170"/>
      <c r="N53" s="170"/>
      <c r="O53" s="170"/>
      <c r="P53" s="170"/>
      <c r="Q53" s="170"/>
    </row>
    <row r="54" spans="1:17" ht="15.75" customHeight="1">
      <c r="A54" s="10"/>
      <c r="B54" s="8" t="s">
        <v>88</v>
      </c>
      <c r="C54" s="82">
        <f>G54</f>
        <v>7.6514823945754068E-2</v>
      </c>
      <c r="E54" s="299" t="s">
        <v>344</v>
      </c>
      <c r="G54" s="23">
        <f>IFERROR(ABS(Normalized_FCF!G47/BS!$G$31),0)</f>
        <v>7.6514823945754068E-2</v>
      </c>
      <c r="H54" s="170"/>
      <c r="I54" s="170"/>
      <c r="J54" s="170"/>
      <c r="K54" s="170"/>
      <c r="L54" s="170"/>
      <c r="M54" s="170"/>
      <c r="N54" s="170"/>
      <c r="O54" s="170"/>
      <c r="P54" s="170"/>
      <c r="Q54" s="170"/>
    </row>
    <row r="55" spans="1:17" ht="15.75" customHeight="1">
      <c r="A55" s="10"/>
      <c r="B55" s="26" t="s">
        <v>91</v>
      </c>
      <c r="C55" s="42">
        <f>-C8/C47</f>
        <v>177.59117462949692</v>
      </c>
      <c r="E55" s="302"/>
      <c r="G55" s="42">
        <f t="shared" ref="G55:Q55" si="21">IF(G4="","",-G8/G47)</f>
        <v>205.51272973909391</v>
      </c>
      <c r="H55" s="42">
        <f t="shared" si="21"/>
        <v>268.08955174464216</v>
      </c>
      <c r="I55" s="42">
        <f t="shared" si="21"/>
        <v>403.45967968563946</v>
      </c>
      <c r="J55" s="42">
        <f t="shared" si="21"/>
        <v>129.44596717346474</v>
      </c>
      <c r="K55" s="42">
        <f t="shared" si="21"/>
        <v>169.51002387378995</v>
      </c>
      <c r="L55" s="42" t="str">
        <f t="shared" si="21"/>
        <v/>
      </c>
      <c r="M55" s="42" t="str">
        <f t="shared" si="21"/>
        <v/>
      </c>
      <c r="N55" s="42" t="str">
        <f t="shared" si="21"/>
        <v/>
      </c>
      <c r="O55" s="42" t="str">
        <f t="shared" si="21"/>
        <v/>
      </c>
      <c r="P55" s="42" t="str">
        <f t="shared" si="21"/>
        <v/>
      </c>
      <c r="Q55" s="42" t="str">
        <f t="shared" si="21"/>
        <v/>
      </c>
    </row>
    <row r="56" spans="1:17" ht="15.75" customHeight="1">
      <c r="A56" s="10"/>
      <c r="E56" s="302"/>
    </row>
    <row r="57" spans="1:17" ht="15.75" customHeight="1">
      <c r="A57" s="10"/>
      <c r="B57" s="64" t="s">
        <v>169</v>
      </c>
      <c r="E57" s="302"/>
      <c r="G57" s="97" t="s">
        <v>220</v>
      </c>
    </row>
    <row r="58" spans="1:17" ht="15.75" customHeight="1">
      <c r="A58" s="10"/>
      <c r="B58" s="40" t="s">
        <v>168</v>
      </c>
      <c r="C58" s="191">
        <f>BS!$C67*C66</f>
        <v>0</v>
      </c>
      <c r="E58" s="302"/>
      <c r="G58" s="191">
        <f>Data!C56</f>
        <v>0</v>
      </c>
      <c r="H58" s="191">
        <f>Data!D56</f>
        <v>0</v>
      </c>
      <c r="I58" s="191">
        <f>Data!E56</f>
        <v>0</v>
      </c>
      <c r="J58" s="191">
        <f>Data!F56</f>
        <v>0</v>
      </c>
      <c r="K58" s="191">
        <f>Data!G56</f>
        <v>0</v>
      </c>
      <c r="L58" s="191" t="str">
        <f>Data!H56</f>
        <v/>
      </c>
      <c r="M58" s="191" t="str">
        <f>Data!I56</f>
        <v/>
      </c>
      <c r="N58" s="191" t="str">
        <f>Data!J56</f>
        <v/>
      </c>
      <c r="O58" s="191" t="str">
        <f>Data!K56</f>
        <v/>
      </c>
      <c r="P58" s="191" t="str">
        <f>Data!L56</f>
        <v/>
      </c>
      <c r="Q58" s="191" t="str">
        <f>Data!M56</f>
        <v/>
      </c>
    </row>
    <row r="59" spans="1:17" ht="15.75" customHeight="1">
      <c r="A59" s="10"/>
      <c r="B59" s="40" t="s">
        <v>160</v>
      </c>
      <c r="C59" s="191">
        <f>BS!$C68*C67</f>
        <v>0</v>
      </c>
      <c r="E59" s="302"/>
      <c r="G59" s="191">
        <f>Data!C55</f>
        <v>48272283</v>
      </c>
      <c r="H59" s="191">
        <f>Data!D55</f>
        <v>15798284</v>
      </c>
      <c r="I59" s="191">
        <f>Data!E55</f>
        <v>19873379</v>
      </c>
      <c r="J59" s="191">
        <f>Data!F55</f>
        <v>20561728</v>
      </c>
      <c r="K59" s="191">
        <f>Data!G55</f>
        <v>18098320</v>
      </c>
      <c r="L59" s="191" t="str">
        <f>Data!H55</f>
        <v/>
      </c>
      <c r="M59" s="191" t="str">
        <f>Data!I55</f>
        <v/>
      </c>
      <c r="N59" s="191" t="str">
        <f>Data!J55</f>
        <v/>
      </c>
      <c r="O59" s="191" t="str">
        <f>Data!K55</f>
        <v/>
      </c>
      <c r="P59" s="191" t="str">
        <f>Data!L55</f>
        <v/>
      </c>
      <c r="Q59" s="191" t="str">
        <f>Data!M55</f>
        <v/>
      </c>
    </row>
    <row r="60" spans="1:17" ht="15.75" customHeight="1">
      <c r="A60" s="10"/>
      <c r="B60" s="40" t="s">
        <v>159</v>
      </c>
      <c r="C60" s="191">
        <f>BS!$C69*C68</f>
        <v>0</v>
      </c>
      <c r="E60" s="302"/>
      <c r="G60" s="191">
        <f>Data!C57</f>
        <v>0</v>
      </c>
      <c r="H60" s="191">
        <f>Data!D57</f>
        <v>0</v>
      </c>
      <c r="I60" s="191">
        <f>Data!E57</f>
        <v>0</v>
      </c>
      <c r="J60" s="191">
        <f>Data!F57</f>
        <v>0</v>
      </c>
      <c r="K60" s="191">
        <f>Data!G57</f>
        <v>0</v>
      </c>
      <c r="L60" s="191" t="str">
        <f>Data!H57</f>
        <v/>
      </c>
      <c r="M60" s="191" t="str">
        <f>Data!I57</f>
        <v/>
      </c>
      <c r="N60" s="191" t="str">
        <f>Data!J57</f>
        <v/>
      </c>
      <c r="O60" s="191" t="str">
        <f>Data!K57</f>
        <v/>
      </c>
      <c r="P60" s="191" t="str">
        <f>Data!L57</f>
        <v/>
      </c>
      <c r="Q60" s="191" t="str">
        <f>Data!M57</f>
        <v/>
      </c>
    </row>
    <row r="61" spans="1:17" ht="15.75" customHeight="1">
      <c r="A61" s="10"/>
      <c r="B61" s="31" t="s">
        <v>195</v>
      </c>
      <c r="C61" s="184">
        <f>SUM(C58:C60)</f>
        <v>0</v>
      </c>
      <c r="E61" s="302"/>
      <c r="G61" s="184">
        <f t="shared" ref="G61:Q61" si="22">IF(G4="","",SUM(G58:G60))</f>
        <v>48272283</v>
      </c>
      <c r="H61" s="184">
        <f t="shared" si="22"/>
        <v>15798284</v>
      </c>
      <c r="I61" s="184">
        <f t="shared" si="22"/>
        <v>19873379</v>
      </c>
      <c r="J61" s="184">
        <f t="shared" si="22"/>
        <v>20561728</v>
      </c>
      <c r="K61" s="184">
        <f t="shared" si="22"/>
        <v>18098320</v>
      </c>
      <c r="L61" s="184" t="str">
        <f t="shared" si="22"/>
        <v/>
      </c>
      <c r="M61" s="184" t="str">
        <f t="shared" si="22"/>
        <v/>
      </c>
      <c r="N61" s="184" t="str">
        <f t="shared" si="22"/>
        <v/>
      </c>
      <c r="O61" s="184" t="str">
        <f t="shared" si="22"/>
        <v/>
      </c>
      <c r="P61" s="184" t="str">
        <f t="shared" si="22"/>
        <v/>
      </c>
      <c r="Q61" s="184" t="str">
        <f t="shared" si="22"/>
        <v/>
      </c>
    </row>
    <row r="62" spans="1:17" ht="15.75" customHeight="1">
      <c r="A62" s="10"/>
      <c r="B62" s="40" t="s">
        <v>161</v>
      </c>
      <c r="C62" s="297">
        <v>0</v>
      </c>
      <c r="E62" s="300" t="s">
        <v>345</v>
      </c>
      <c r="G62" s="191">
        <f>Data!C58</f>
        <v>750493994</v>
      </c>
      <c r="H62" s="191">
        <f>Data!D58</f>
        <v>835794097</v>
      </c>
      <c r="I62" s="191">
        <f>Data!E58</f>
        <v>808764222</v>
      </c>
      <c r="J62" s="191">
        <f>Data!F58</f>
        <v>1228921525</v>
      </c>
      <c r="K62" s="191">
        <f>Data!G58</f>
        <v>395122794</v>
      </c>
      <c r="L62" s="191" t="str">
        <f>Data!H58</f>
        <v/>
      </c>
      <c r="M62" s="191" t="str">
        <f>Data!I58</f>
        <v/>
      </c>
      <c r="N62" s="191" t="str">
        <f>Data!J58</f>
        <v/>
      </c>
      <c r="O62" s="191" t="str">
        <f>Data!K58</f>
        <v/>
      </c>
      <c r="P62" s="191" t="str">
        <f>Data!L58</f>
        <v/>
      </c>
      <c r="Q62" s="191" t="str">
        <f>Data!M58</f>
        <v/>
      </c>
    </row>
    <row r="63" spans="1:17" ht="15.75" customHeight="1">
      <c r="A63" s="10"/>
      <c r="B63" s="31" t="s">
        <v>196</v>
      </c>
      <c r="C63" s="184">
        <f>C61+C62</f>
        <v>0</v>
      </c>
      <c r="E63" s="302"/>
      <c r="G63" s="184">
        <f t="shared" ref="G63:Q63" si="23">IF(G4="","",G61+G62)</f>
        <v>798766277</v>
      </c>
      <c r="H63" s="184">
        <f t="shared" si="23"/>
        <v>851592381</v>
      </c>
      <c r="I63" s="184">
        <f t="shared" si="23"/>
        <v>828637601</v>
      </c>
      <c r="J63" s="184">
        <f t="shared" si="23"/>
        <v>1249483253</v>
      </c>
      <c r="K63" s="184">
        <f t="shared" si="23"/>
        <v>413221114</v>
      </c>
      <c r="L63" s="184" t="str">
        <f t="shared" si="23"/>
        <v/>
      </c>
      <c r="M63" s="184" t="str">
        <f t="shared" si="23"/>
        <v/>
      </c>
      <c r="N63" s="184" t="str">
        <f t="shared" si="23"/>
        <v/>
      </c>
      <c r="O63" s="184" t="str">
        <f t="shared" si="23"/>
        <v/>
      </c>
      <c r="P63" s="184" t="str">
        <f t="shared" si="23"/>
        <v/>
      </c>
      <c r="Q63" s="184" t="str">
        <f t="shared" si="23"/>
        <v/>
      </c>
    </row>
    <row r="64" spans="1:17" ht="15.75" customHeight="1">
      <c r="A64" s="10"/>
      <c r="E64" s="302"/>
    </row>
    <row r="65" spans="1:17" ht="15.75" customHeight="1">
      <c r="A65" s="10"/>
      <c r="B65" s="96" t="s">
        <v>170</v>
      </c>
      <c r="E65" s="302"/>
      <c r="G65" s="97" t="s">
        <v>220</v>
      </c>
    </row>
    <row r="66" spans="1:17" ht="15.75" customHeight="1">
      <c r="A66" s="10"/>
      <c r="B66" s="40" t="s">
        <v>168</v>
      </c>
      <c r="C66" s="177">
        <f>G66</f>
        <v>0</v>
      </c>
      <c r="E66" s="302"/>
      <c r="G66" s="23">
        <f>IFERROR(G58/BS!$C$67,0)</f>
        <v>0</v>
      </c>
      <c r="H66" s="176"/>
      <c r="I66" s="176"/>
      <c r="J66" s="176"/>
      <c r="K66" s="176"/>
      <c r="L66" s="176"/>
      <c r="M66" s="176"/>
      <c r="N66" s="176"/>
      <c r="O66" s="176"/>
      <c r="P66" s="176"/>
      <c r="Q66" s="176"/>
    </row>
    <row r="67" spans="1:17" ht="15.75" customHeight="1">
      <c r="A67" s="10"/>
      <c r="B67" s="105" t="s">
        <v>158</v>
      </c>
      <c r="C67" s="177">
        <f>G67</f>
        <v>0</v>
      </c>
      <c r="E67" s="302"/>
      <c r="G67" s="23">
        <f>IFERROR(G59/BS!$C$68,0)</f>
        <v>0</v>
      </c>
      <c r="H67" s="176"/>
      <c r="I67" s="176"/>
      <c r="J67" s="176"/>
      <c r="K67" s="176"/>
      <c r="L67" s="176"/>
      <c r="M67" s="176"/>
      <c r="N67" s="176"/>
      <c r="O67" s="176"/>
      <c r="P67" s="176"/>
      <c r="Q67" s="176"/>
    </row>
    <row r="68" spans="1:17" ht="15.75" customHeight="1">
      <c r="A68" s="10"/>
      <c r="B68" s="105" t="s">
        <v>159</v>
      </c>
      <c r="C68" s="177">
        <f>G68</f>
        <v>0</v>
      </c>
      <c r="E68" s="302"/>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7"/>
      <c r="F69" s="9"/>
      <c r="G69" s="71">
        <f>G61/BS!C70</f>
        <v>2.684959828973636E-3</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437</v>
      </c>
      <c r="F71" s="56"/>
      <c r="G71" s="37"/>
      <c r="H71" s="37"/>
      <c r="I71" s="37"/>
      <c r="J71" s="37"/>
      <c r="K71" s="37"/>
      <c r="L71" s="37"/>
      <c r="M71" s="37"/>
      <c r="N71" s="37"/>
      <c r="O71" s="37"/>
      <c r="P71" s="37"/>
      <c r="Q71" s="37"/>
    </row>
    <row r="72" spans="1:17" ht="15.75" customHeight="1">
      <c r="A72" s="10"/>
      <c r="B72" s="72" t="s">
        <v>217</v>
      </c>
      <c r="C72" s="62"/>
      <c r="D72" s="27"/>
      <c r="E72" s="299"/>
      <c r="F72" s="27"/>
      <c r="G72" s="97"/>
      <c r="H72" s="12"/>
      <c r="I72" s="12"/>
      <c r="J72" s="12"/>
      <c r="K72" s="12"/>
      <c r="L72" s="12"/>
      <c r="M72" s="12"/>
      <c r="N72" s="12"/>
      <c r="O72" s="12"/>
      <c r="P72" s="12"/>
      <c r="Q72" s="12"/>
    </row>
    <row r="73" spans="1:17" ht="15.75" customHeight="1">
      <c r="A73" s="10"/>
      <c r="B73" s="2" t="s">
        <v>46</v>
      </c>
      <c r="C73" s="77">
        <f>ABS(C5/C$4)</f>
        <v>0.82944777182437002</v>
      </c>
      <c r="D73" s="27"/>
      <c r="E73" s="299"/>
      <c r="F73" s="27"/>
      <c r="G73" s="6">
        <f t="shared" ref="G73:Q73" si="24">IF(G$4="","",ABS(G5/G$4))</f>
        <v>0.81339318764562996</v>
      </c>
      <c r="H73" s="6">
        <f t="shared" si="24"/>
        <v>0.82247534309926551</v>
      </c>
      <c r="I73" s="6">
        <f t="shared" si="24"/>
        <v>0.83639581630825266</v>
      </c>
      <c r="J73" s="6">
        <f t="shared" si="24"/>
        <v>0.84552674024433205</v>
      </c>
      <c r="K73" s="6">
        <f t="shared" si="24"/>
        <v>0.85534866062891657</v>
      </c>
      <c r="L73" s="6" t="str">
        <f t="shared" si="24"/>
        <v/>
      </c>
      <c r="M73" s="6" t="str">
        <f t="shared" si="24"/>
        <v/>
      </c>
      <c r="N73" s="6" t="str">
        <f t="shared" si="24"/>
        <v/>
      </c>
      <c r="O73" s="6" t="str">
        <f t="shared" si="24"/>
        <v/>
      </c>
      <c r="P73" s="6" t="str">
        <f t="shared" si="24"/>
        <v/>
      </c>
      <c r="Q73" s="6" t="str">
        <f t="shared" si="24"/>
        <v/>
      </c>
    </row>
    <row r="74" spans="1:17" ht="15.75" customHeight="1">
      <c r="A74" s="10"/>
      <c r="B74" s="31" t="s">
        <v>48</v>
      </c>
      <c r="C74" s="78">
        <f>ABS(C6/C$4)</f>
        <v>0.17055222817562998</v>
      </c>
      <c r="D74" s="27"/>
      <c r="E74" s="299"/>
      <c r="F74" s="27"/>
      <c r="G74" s="65">
        <f t="shared" ref="G74:Q74" si="25">IF(G$4="","",ABS(G6/G$4))</f>
        <v>0.18660681235437004</v>
      </c>
      <c r="H74" s="65">
        <f t="shared" si="25"/>
        <v>0.17752465690073452</v>
      </c>
      <c r="I74" s="65">
        <f t="shared" si="25"/>
        <v>0.16360418369174734</v>
      </c>
      <c r="J74" s="65">
        <f t="shared" si="25"/>
        <v>0.15447325975566789</v>
      </c>
      <c r="K74" s="65">
        <f t="shared" si="25"/>
        <v>0.14465133937108349</v>
      </c>
      <c r="L74" s="65" t="str">
        <f t="shared" si="25"/>
        <v/>
      </c>
      <c r="M74" s="65" t="str">
        <f t="shared" si="25"/>
        <v/>
      </c>
      <c r="N74" s="65" t="str">
        <f t="shared" si="25"/>
        <v/>
      </c>
      <c r="O74" s="65" t="str">
        <f t="shared" si="25"/>
        <v/>
      </c>
      <c r="P74" s="65" t="str">
        <f t="shared" si="25"/>
        <v/>
      </c>
      <c r="Q74" s="65" t="str">
        <f t="shared" si="25"/>
        <v/>
      </c>
    </row>
    <row r="75" spans="1:17" ht="15.75" customHeight="1">
      <c r="A75" s="10"/>
      <c r="B75" s="8" t="s">
        <v>45</v>
      </c>
      <c r="C75" s="77">
        <f>ABS(C7/C$4)</f>
        <v>4.9752109497447933E-2</v>
      </c>
      <c r="D75" s="27"/>
      <c r="E75" s="299"/>
      <c r="F75" s="27"/>
      <c r="G75" s="6">
        <f t="shared" ref="G75:Q75" si="26">IF(G$4="","",ABS(G7/G$4))</f>
        <v>4.6964759312838222E-2</v>
      </c>
      <c r="H75" s="6">
        <f t="shared" si="26"/>
        <v>4.7727342614368055E-2</v>
      </c>
      <c r="I75" s="6">
        <f t="shared" si="26"/>
        <v>4.7754060867149797E-2</v>
      </c>
      <c r="J75" s="6">
        <f t="shared" si="26"/>
        <v>5.7130195572978854E-2</v>
      </c>
      <c r="K75" s="6">
        <f t="shared" si="26"/>
        <v>6.1222460800491117E-2</v>
      </c>
      <c r="L75" s="6" t="str">
        <f t="shared" si="26"/>
        <v/>
      </c>
      <c r="M75" s="6" t="str">
        <f t="shared" si="26"/>
        <v/>
      </c>
      <c r="N75" s="6" t="str">
        <f t="shared" si="26"/>
        <v/>
      </c>
      <c r="O75" s="6" t="str">
        <f t="shared" si="26"/>
        <v/>
      </c>
      <c r="P75" s="6" t="str">
        <f t="shared" si="26"/>
        <v/>
      </c>
      <c r="Q75" s="6" t="str">
        <f t="shared" si="26"/>
        <v/>
      </c>
    </row>
    <row r="76" spans="1:17" ht="15.75" customHeight="1">
      <c r="A76" s="10"/>
      <c r="B76" s="29" t="s">
        <v>153</v>
      </c>
      <c r="C76" s="78">
        <f>ABS(C8/C$4)</f>
        <v>0.12080011867818204</v>
      </c>
      <c r="D76" s="27"/>
      <c r="E76" s="299"/>
      <c r="F76" s="27"/>
      <c r="G76" s="65">
        <f t="shared" ref="G76:Q76" si="27">IF(G$4="","",ABS(G8/G$4))</f>
        <v>0.13964205304153179</v>
      </c>
      <c r="H76" s="65">
        <f t="shared" si="27"/>
        <v>0.12979731428636648</v>
      </c>
      <c r="I76" s="65">
        <f t="shared" si="27"/>
        <v>0.11585012282459754</v>
      </c>
      <c r="J76" s="65">
        <f t="shared" si="27"/>
        <v>9.7343064182689051E-2</v>
      </c>
      <c r="K76" s="65">
        <f t="shared" si="27"/>
        <v>8.3428878570592363E-2</v>
      </c>
      <c r="L76" s="65" t="str">
        <f t="shared" si="27"/>
        <v/>
      </c>
      <c r="M76" s="65" t="str">
        <f t="shared" si="27"/>
        <v/>
      </c>
      <c r="N76" s="65" t="str">
        <f t="shared" si="27"/>
        <v/>
      </c>
      <c r="O76" s="65" t="str">
        <f t="shared" si="27"/>
        <v/>
      </c>
      <c r="P76" s="65" t="str">
        <f t="shared" si="27"/>
        <v/>
      </c>
      <c r="Q76" s="65" t="str">
        <f t="shared" si="27"/>
        <v/>
      </c>
    </row>
    <row r="77" spans="1:17" ht="15.75" customHeight="1">
      <c r="A77" s="10"/>
      <c r="B77" s="2" t="s">
        <v>65</v>
      </c>
      <c r="C77" s="77">
        <f>ABS(C9/C$4)</f>
        <v>3.7108652048024243E-2</v>
      </c>
      <c r="D77" s="27"/>
      <c r="E77" s="299"/>
      <c r="F77" s="27"/>
      <c r="G77" s="6">
        <f t="shared" ref="G77:Q77" si="28">IF(G$4="","",G9/G$4)</f>
        <v>3.7068643647856142E-2</v>
      </c>
      <c r="H77" s="6">
        <f t="shared" si="28"/>
        <v>3.3603903166609349E-2</v>
      </c>
      <c r="I77" s="6">
        <f t="shared" si="28"/>
        <v>3.3689898983077234E-2</v>
      </c>
      <c r="J77" s="6">
        <f t="shared" si="28"/>
        <v>3.6786569016223743E-2</v>
      </c>
      <c r="K77" s="6">
        <f t="shared" si="28"/>
        <v>0</v>
      </c>
      <c r="L77" s="6" t="str">
        <f t="shared" si="28"/>
        <v/>
      </c>
      <c r="M77" s="6" t="str">
        <f t="shared" si="28"/>
        <v/>
      </c>
      <c r="N77" s="6" t="str">
        <f t="shared" si="28"/>
        <v/>
      </c>
      <c r="O77" s="6" t="str">
        <f t="shared" si="28"/>
        <v/>
      </c>
      <c r="P77" s="6" t="str">
        <f t="shared" si="28"/>
        <v/>
      </c>
      <c r="Q77" s="6" t="str">
        <f t="shared" si="28"/>
        <v/>
      </c>
    </row>
    <row r="78" spans="1:17" ht="15.75" customHeight="1">
      <c r="A78" s="10"/>
      <c r="B78" s="2" t="s">
        <v>81</v>
      </c>
      <c r="C78" s="88">
        <f>MAX(AVERAGE(G78:J78),C77)</f>
        <v>3.7108652048024243E-2</v>
      </c>
      <c r="D78" s="27"/>
      <c r="E78" s="300" t="s">
        <v>438</v>
      </c>
      <c r="F78" s="27"/>
      <c r="G78" s="6">
        <f t="shared" ref="G78:Q78" si="29">IF(G$4="","",-G10/G$4)</f>
        <v>3.7068643647856142E-2</v>
      </c>
      <c r="H78" s="6">
        <f t="shared" si="29"/>
        <v>3.3603903166609349E-2</v>
      </c>
      <c r="I78" s="6">
        <f t="shared" si="29"/>
        <v>3.3689898983077234E-2</v>
      </c>
      <c r="J78" s="6">
        <f t="shared" si="29"/>
        <v>3.6786569016223743E-2</v>
      </c>
      <c r="K78" s="6">
        <f t="shared" si="29"/>
        <v>0</v>
      </c>
      <c r="L78" s="6" t="str">
        <f t="shared" si="29"/>
        <v/>
      </c>
      <c r="M78" s="6" t="str">
        <f t="shared" si="29"/>
        <v/>
      </c>
      <c r="N78" s="6" t="str">
        <f t="shared" si="29"/>
        <v/>
      </c>
      <c r="O78" s="6" t="str">
        <f t="shared" si="29"/>
        <v/>
      </c>
      <c r="P78" s="6" t="str">
        <f t="shared" si="29"/>
        <v/>
      </c>
      <c r="Q78" s="6" t="str">
        <f t="shared" si="29"/>
        <v/>
      </c>
    </row>
    <row r="79" spans="1:17" ht="15.75" customHeight="1">
      <c r="A79" s="10"/>
      <c r="B79" s="31" t="s">
        <v>154</v>
      </c>
      <c r="C79" s="78">
        <f>ABS(C11/C$4)</f>
        <v>0</v>
      </c>
      <c r="D79" s="27"/>
      <c r="E79" s="299"/>
      <c r="F79" s="27"/>
      <c r="G79" s="65">
        <f t="shared" ref="G79:Q79" si="30">IF(G$4="","",G11/G$4)</f>
        <v>1.5020392737553731E-3</v>
      </c>
      <c r="H79" s="65">
        <f t="shared" si="30"/>
        <v>4.655245359275862E-4</v>
      </c>
      <c r="I79" s="65">
        <f t="shared" si="30"/>
        <v>6.1773117392752727E-4</v>
      </c>
      <c r="J79" s="65">
        <f t="shared" si="30"/>
        <v>6.8160110900164538E-4</v>
      </c>
      <c r="K79" s="65">
        <f t="shared" si="30"/>
        <v>6.5196356144504907E-4</v>
      </c>
      <c r="L79" s="65" t="str">
        <f t="shared" si="30"/>
        <v/>
      </c>
      <c r="M79" s="65" t="str">
        <f t="shared" si="30"/>
        <v/>
      </c>
      <c r="N79" s="65" t="str">
        <f t="shared" si="30"/>
        <v/>
      </c>
      <c r="O79" s="65" t="str">
        <f t="shared" si="30"/>
        <v/>
      </c>
      <c r="P79" s="65" t="str">
        <f t="shared" si="30"/>
        <v/>
      </c>
      <c r="Q79" s="65" t="str">
        <f t="shared" si="30"/>
        <v/>
      </c>
    </row>
    <row r="80" spans="1:17" ht="15.75" customHeight="1">
      <c r="A80" s="10"/>
      <c r="B80" s="2" t="s">
        <v>68</v>
      </c>
      <c r="C80" s="77">
        <f>ABS(C12/C$4)</f>
        <v>4.8442745744631628E-3</v>
      </c>
      <c r="D80" s="27"/>
      <c r="E80" s="299"/>
      <c r="F80" s="27"/>
      <c r="G80" s="6">
        <f t="shared" ref="G80:Q80" si="31">IF(G$4="","",ABS(G12/G$4))</f>
        <v>4.8390517580846953E-3</v>
      </c>
      <c r="H80" s="6">
        <f t="shared" si="31"/>
        <v>3.8064815640132628E-3</v>
      </c>
      <c r="I80" s="6">
        <f t="shared" si="31"/>
        <v>3.8213478443602476E-3</v>
      </c>
      <c r="J80" s="6">
        <f t="shared" si="31"/>
        <v>2.2567810999687935E-3</v>
      </c>
      <c r="K80" s="6">
        <f t="shared" si="31"/>
        <v>4.9360350185460918E-3</v>
      </c>
      <c r="L80" s="6" t="str">
        <f t="shared" si="31"/>
        <v/>
      </c>
      <c r="M80" s="6" t="str">
        <f t="shared" si="31"/>
        <v/>
      </c>
      <c r="N80" s="6" t="str">
        <f t="shared" si="31"/>
        <v/>
      </c>
      <c r="O80" s="6" t="str">
        <f t="shared" si="31"/>
        <v/>
      </c>
      <c r="P80" s="6" t="str">
        <f t="shared" si="31"/>
        <v/>
      </c>
      <c r="Q80" s="6" t="str">
        <f t="shared" si="31"/>
        <v/>
      </c>
    </row>
    <row r="81" spans="1:17" ht="15.75" customHeight="1">
      <c r="A81" s="10"/>
      <c r="B81" s="70" t="s">
        <v>165</v>
      </c>
      <c r="C81" s="78">
        <f>C13/C4</f>
        <v>0.1256443932526452</v>
      </c>
      <c r="D81" s="27"/>
      <c r="E81" s="299"/>
      <c r="F81" s="27"/>
      <c r="G81" s="65">
        <f t="shared" ref="G81:Q81" si="32">IF(G$4="","",G13/G$4)</f>
        <v>0.14598314407337187</v>
      </c>
      <c r="H81" s="65">
        <f t="shared" si="32"/>
        <v>0.13406932038630734</v>
      </c>
      <c r="I81" s="65">
        <f t="shared" si="32"/>
        <v>0.12028920184288532</v>
      </c>
      <c r="J81" s="65">
        <f t="shared" si="32"/>
        <v>0.10028144639165948</v>
      </c>
      <c r="K81" s="65">
        <f t="shared" si="32"/>
        <v>8.9016877150583498E-2</v>
      </c>
      <c r="L81" s="65" t="str">
        <f t="shared" si="32"/>
        <v/>
      </c>
      <c r="M81" s="65" t="str">
        <f t="shared" si="32"/>
        <v/>
      </c>
      <c r="N81" s="65" t="str">
        <f t="shared" si="32"/>
        <v/>
      </c>
      <c r="O81" s="65" t="str">
        <f t="shared" si="32"/>
        <v/>
      </c>
      <c r="P81" s="65" t="str">
        <f t="shared" si="32"/>
        <v/>
      </c>
      <c r="Q81" s="65" t="str">
        <f t="shared" si="32"/>
        <v/>
      </c>
    </row>
    <row r="82" spans="1:17" ht="15.75" customHeight="1">
      <c r="A82" s="10"/>
      <c r="B82" s="2" t="s">
        <v>63</v>
      </c>
      <c r="C82" s="77">
        <f>ABS(C14/C$4)</f>
        <v>3.1411098313161301E-2</v>
      </c>
      <c r="D82" s="27"/>
      <c r="E82" s="299"/>
      <c r="F82" s="27"/>
      <c r="G82" s="6">
        <f t="shared" ref="G82:Q82" si="33">IF(G$4="","",ABS(G14/G$4))</f>
        <v>4.3242381616932307E-2</v>
      </c>
      <c r="H82" s="6">
        <f t="shared" si="33"/>
        <v>4.1200696626197693E-2</v>
      </c>
      <c r="I82" s="6">
        <f t="shared" si="33"/>
        <v>3.7344151106644942E-2</v>
      </c>
      <c r="J82" s="6">
        <f t="shared" si="33"/>
        <v>4.0532352687641368E-2</v>
      </c>
      <c r="K82" s="6">
        <f t="shared" si="33"/>
        <v>3.2874280335004093E-2</v>
      </c>
      <c r="L82" s="6" t="str">
        <f t="shared" si="33"/>
        <v/>
      </c>
      <c r="M82" s="6" t="str">
        <f t="shared" si="33"/>
        <v/>
      </c>
      <c r="N82" s="6" t="str">
        <f t="shared" si="33"/>
        <v/>
      </c>
      <c r="O82" s="6" t="str">
        <f t="shared" si="33"/>
        <v/>
      </c>
      <c r="P82" s="6" t="str">
        <f t="shared" si="33"/>
        <v/>
      </c>
      <c r="Q82" s="6" t="str">
        <f t="shared" si="33"/>
        <v/>
      </c>
    </row>
    <row r="83" spans="1:17" ht="15.75" customHeight="1">
      <c r="A83" s="10"/>
      <c r="B83" s="40" t="str">
        <f>B15</f>
        <v>NCI’s Share of Profits</v>
      </c>
      <c r="C83" s="298">
        <f>MIN(BS!C62,MAX(G83:K83))</f>
        <v>4.5676023394546593E-3</v>
      </c>
      <c r="D83" s="27"/>
      <c r="E83" s="299"/>
      <c r="F83" s="27"/>
      <c r="G83" s="6">
        <f t="shared" ref="G83:Q83" si="34">IF(G$4="","",-G15/G$4)</f>
        <v>4.5676023394546593E-3</v>
      </c>
      <c r="H83" s="6">
        <f t="shared" si="34"/>
        <v>2.3675825190814003E-3</v>
      </c>
      <c r="I83" s="6">
        <f t="shared" si="34"/>
        <v>2.9247219765334226E-3</v>
      </c>
      <c r="J83" s="6">
        <f t="shared" si="34"/>
        <v>3.3410253005060849E-3</v>
      </c>
      <c r="K83" s="6">
        <f t="shared" si="34"/>
        <v>4.5261728169625681E-3</v>
      </c>
      <c r="L83" s="6" t="str">
        <f t="shared" si="34"/>
        <v/>
      </c>
      <c r="M83" s="6" t="str">
        <f t="shared" si="34"/>
        <v/>
      </c>
      <c r="N83" s="6" t="str">
        <f t="shared" si="34"/>
        <v/>
      </c>
      <c r="O83" s="6" t="str">
        <f t="shared" si="34"/>
        <v/>
      </c>
      <c r="P83" s="6" t="str">
        <f t="shared" si="34"/>
        <v/>
      </c>
      <c r="Q83" s="6" t="str">
        <f t="shared" si="34"/>
        <v/>
      </c>
    </row>
    <row r="84" spans="1:17" ht="15.75" customHeight="1">
      <c r="A84" s="10"/>
      <c r="B84" s="41" t="s">
        <v>155</v>
      </c>
      <c r="C84" s="78">
        <f>ABS(C16/C$4)</f>
        <v>8.966569260002924E-2</v>
      </c>
      <c r="D84" s="27"/>
      <c r="E84" s="299"/>
      <c r="F84" s="27"/>
      <c r="G84" s="65">
        <f t="shared" ref="G84:Q84" si="35">IF(G$4="","",ABS(G16/G$4))</f>
        <v>9.8173160116984903E-2</v>
      </c>
      <c r="H84" s="65">
        <f t="shared" si="35"/>
        <v>9.0501041241028243E-2</v>
      </c>
      <c r="I84" s="65">
        <f t="shared" si="35"/>
        <v>8.0020328759706952E-2</v>
      </c>
      <c r="J84" s="65">
        <f t="shared" si="35"/>
        <v>5.6408068403512028E-2</v>
      </c>
      <c r="K84" s="65">
        <f t="shared" si="35"/>
        <v>5.1616423998616844E-2</v>
      </c>
      <c r="L84" s="65" t="str">
        <f t="shared" si="35"/>
        <v/>
      </c>
      <c r="M84" s="65" t="str">
        <f t="shared" si="35"/>
        <v/>
      </c>
      <c r="N84" s="65" t="str">
        <f t="shared" si="35"/>
        <v/>
      </c>
      <c r="O84" s="65" t="str">
        <f t="shared" si="35"/>
        <v/>
      </c>
      <c r="P84" s="65" t="str">
        <f t="shared" si="35"/>
        <v/>
      </c>
      <c r="Q84" s="65" t="str">
        <f t="shared" si="35"/>
        <v/>
      </c>
    </row>
    <row r="85" spans="1:17" ht="15.75" customHeight="1">
      <c r="A85" s="10"/>
      <c r="B85" s="27" t="s">
        <v>52</v>
      </c>
      <c r="C85" s="298">
        <v>0</v>
      </c>
      <c r="D85" s="27"/>
      <c r="E85" s="301" t="str">
        <f>E17</f>
        <v>WCInv is by default excluded</v>
      </c>
      <c r="F85" s="27"/>
      <c r="G85" s="253"/>
      <c r="H85" s="253"/>
      <c r="I85" s="253"/>
      <c r="J85" s="253"/>
      <c r="K85" s="253"/>
      <c r="L85" s="253"/>
      <c r="M85" s="253"/>
      <c r="N85" s="253"/>
      <c r="O85" s="253"/>
      <c r="P85" s="253"/>
      <c r="Q85" s="253"/>
    </row>
    <row r="86" spans="1:17" ht="15.75" customHeight="1">
      <c r="A86" s="10"/>
      <c r="B86" s="8" t="s">
        <v>99</v>
      </c>
      <c r="C86" s="77">
        <v>0</v>
      </c>
      <c r="E86" s="301" t="str">
        <f>E18</f>
        <v>Net borrowing is excluded</v>
      </c>
      <c r="G86" s="170"/>
      <c r="H86" s="170"/>
      <c r="I86" s="170"/>
      <c r="J86" s="170"/>
      <c r="K86" s="170"/>
      <c r="L86" s="170"/>
      <c r="M86" s="170"/>
      <c r="N86" s="170"/>
      <c r="O86" s="170"/>
      <c r="P86" s="170"/>
      <c r="Q86" s="170"/>
    </row>
    <row r="87" spans="1:17" ht="15.75" customHeight="1">
      <c r="A87" s="10"/>
      <c r="B87" s="31" t="s">
        <v>141</v>
      </c>
      <c r="C87" s="78">
        <f>ABS(C19/C$4)</f>
        <v>8.966569260002924E-2</v>
      </c>
      <c r="D87" s="75"/>
      <c r="E87" s="299"/>
      <c r="F87" s="75"/>
      <c r="G87" s="65">
        <f t="shared" ref="G87:Q87" si="36">IF(G$4="","",ABS(G19/G$4))</f>
        <v>9.8173160116984903E-2</v>
      </c>
      <c r="H87" s="65">
        <f t="shared" si="36"/>
        <v>9.0501041241028243E-2</v>
      </c>
      <c r="I87" s="65">
        <f t="shared" si="36"/>
        <v>8.0020328759706952E-2</v>
      </c>
      <c r="J87" s="65">
        <f t="shared" si="36"/>
        <v>5.6408068403512028E-2</v>
      </c>
      <c r="K87" s="65">
        <f t="shared" si="36"/>
        <v>5.1616423998616844E-2</v>
      </c>
      <c r="L87" s="65" t="str">
        <f t="shared" si="36"/>
        <v/>
      </c>
      <c r="M87" s="65" t="str">
        <f t="shared" si="36"/>
        <v/>
      </c>
      <c r="N87" s="65" t="str">
        <f t="shared" si="36"/>
        <v/>
      </c>
      <c r="O87" s="65" t="str">
        <f t="shared" si="36"/>
        <v/>
      </c>
      <c r="P87" s="65" t="str">
        <f t="shared" si="36"/>
        <v/>
      </c>
      <c r="Q87" s="65" t="str">
        <f t="shared" si="36"/>
        <v/>
      </c>
    </row>
    <row r="88" spans="1:17" ht="15.75" customHeight="1">
      <c r="A88" s="10"/>
      <c r="E88" s="302"/>
    </row>
    <row r="89" spans="1:17" ht="15.75" customHeight="1">
      <c r="A89" s="10"/>
      <c r="B89" s="64" t="s">
        <v>215</v>
      </c>
      <c r="E89" s="302"/>
    </row>
    <row r="90" spans="1:17" ht="15.75" customHeight="1">
      <c r="A90" s="10"/>
      <c r="B90" s="2" t="str">
        <f>"Dividend per share ("&amp;Market_currency&amp;")"</f>
        <v>Dividend per share (HKD)</v>
      </c>
      <c r="C90" s="114">
        <f>G90</f>
        <v>2.0479887326362438</v>
      </c>
      <c r="E90" s="302"/>
      <c r="G90" s="113">
        <f>Data!C65</f>
        <v>2.0479887326362438</v>
      </c>
      <c r="H90" s="113">
        <f>Data!D65</f>
        <v>1.8618079387602215</v>
      </c>
      <c r="I90" s="113">
        <f>Data!E65</f>
        <v>1.2101751601941442</v>
      </c>
      <c r="J90" s="113">
        <f>Data!F65</f>
        <v>1.0239943663181219</v>
      </c>
      <c r="K90" s="113">
        <f>Data!G65</f>
        <v>0.69817797703508311</v>
      </c>
      <c r="L90" s="113" t="str">
        <f>Data!H65</f>
        <v/>
      </c>
      <c r="M90" s="113" t="str">
        <f>Data!I65</f>
        <v/>
      </c>
      <c r="N90" s="113" t="str">
        <f>Data!J65</f>
        <v/>
      </c>
      <c r="O90" s="113" t="str">
        <f>Data!K65</f>
        <v/>
      </c>
      <c r="P90" s="113" t="str">
        <f>Data!L65</f>
        <v/>
      </c>
      <c r="Q90" s="113" t="str">
        <f>Data!M65</f>
        <v/>
      </c>
    </row>
    <row r="91" spans="1:17" ht="15.75" customHeight="1">
      <c r="A91" s="10"/>
      <c r="B91" s="2" t="str">
        <f>"Dividend ("&amp;Market_currency&amp;")"</f>
        <v>Dividend (HKD)</v>
      </c>
      <c r="C91" s="74">
        <f>C90*Common_Shares/scaling_factor</f>
        <v>2793859650.9225545</v>
      </c>
      <c r="E91" s="302"/>
      <c r="G91" s="74">
        <f t="shared" ref="G91:Q91" si="37">IF(G$4="","",G90*Common_Shares/scaling_factor)</f>
        <v>2793859650.9225545</v>
      </c>
      <c r="H91" s="74">
        <f t="shared" si="37"/>
        <v>2539872409.929595</v>
      </c>
      <c r="I91" s="74">
        <f t="shared" si="37"/>
        <v>1650917066.454237</v>
      </c>
      <c r="J91" s="74">
        <f t="shared" si="37"/>
        <v>1396929825.4612772</v>
      </c>
      <c r="K91" s="74">
        <f t="shared" si="37"/>
        <v>952452153.72359812</v>
      </c>
      <c r="L91" s="74" t="str">
        <f t="shared" si="37"/>
        <v/>
      </c>
      <c r="M91" s="74" t="str">
        <f t="shared" si="37"/>
        <v/>
      </c>
      <c r="N91" s="74" t="str">
        <f t="shared" si="37"/>
        <v/>
      </c>
      <c r="O91" s="74" t="str">
        <f t="shared" si="37"/>
        <v/>
      </c>
      <c r="P91" s="74" t="str">
        <f t="shared" si="37"/>
        <v/>
      </c>
      <c r="Q91" s="74" t="str">
        <f t="shared" si="37"/>
        <v/>
      </c>
    </row>
    <row r="92" spans="1:17" ht="15.75" customHeight="1">
      <c r="A92" s="10"/>
      <c r="B92" s="2" t="s">
        <v>214</v>
      </c>
      <c r="C92" s="23">
        <f>C90/(C19*scaling_factor/Common_Shares)</f>
        <v>0.97057748226583507</v>
      </c>
      <c r="E92" s="302"/>
      <c r="G92" s="171">
        <f t="shared" ref="G92:Q92" si="38">IF(G$4="","",G90/(G19*scaling_factor/Common_Shares))</f>
        <v>0.88551365822936612</v>
      </c>
      <c r="H92" s="171">
        <f t="shared" si="38"/>
        <v>0.8269723397096389</v>
      </c>
      <c r="I92" s="171">
        <f t="shared" si="38"/>
        <v>0.64128743321635584</v>
      </c>
      <c r="J92" s="171">
        <f t="shared" si="38"/>
        <v>0.82092605584516964</v>
      </c>
      <c r="K92" s="171">
        <f t="shared" si="38"/>
        <v>0.66472240257372917</v>
      </c>
      <c r="L92" s="171" t="str">
        <f t="shared" si="38"/>
        <v/>
      </c>
      <c r="M92" s="171" t="str">
        <f t="shared" si="38"/>
        <v/>
      </c>
      <c r="N92" s="171" t="str">
        <f t="shared" si="38"/>
        <v/>
      </c>
      <c r="O92" s="171" t="str">
        <f t="shared" si="38"/>
        <v/>
      </c>
      <c r="P92" s="171" t="str">
        <f t="shared" si="38"/>
        <v/>
      </c>
      <c r="Q92" s="171" t="str">
        <f t="shared" si="38"/>
        <v/>
      </c>
    </row>
    <row r="93" spans="1:17" ht="15.75" customHeight="1">
      <c r="A93" s="10"/>
      <c r="B93" s="2" t="s">
        <v>317</v>
      </c>
      <c r="C93" s="23">
        <f>C90/Market_Price</f>
        <v>3.8244420777520896E-2</v>
      </c>
      <c r="E93" s="302"/>
      <c r="G93" s="23">
        <f t="shared" ref="G93:Q93" si="39">IF(G$4="","",G90/Market_Price)</f>
        <v>3.8244420777520896E-2</v>
      </c>
      <c r="H93" s="23">
        <f t="shared" si="39"/>
        <v>3.4767655252291724E-2</v>
      </c>
      <c r="I93" s="23">
        <f t="shared" si="39"/>
        <v>2.259897591398962E-2</v>
      </c>
      <c r="J93" s="23">
        <f t="shared" si="39"/>
        <v>1.9122210388760448E-2</v>
      </c>
      <c r="K93" s="23">
        <f t="shared" si="39"/>
        <v>1.3037870719609396E-2</v>
      </c>
      <c r="L93" s="23" t="str">
        <f t="shared" si="39"/>
        <v/>
      </c>
      <c r="M93" s="23" t="str">
        <f t="shared" si="39"/>
        <v/>
      </c>
      <c r="N93" s="23" t="str">
        <f t="shared" si="39"/>
        <v/>
      </c>
      <c r="O93" s="23" t="str">
        <f t="shared" si="39"/>
        <v/>
      </c>
      <c r="P93" s="23" t="str">
        <f t="shared" si="39"/>
        <v/>
      </c>
      <c r="Q93" s="23" t="str">
        <f t="shared" si="39"/>
        <v/>
      </c>
    </row>
    <row r="94" spans="1:17" ht="15.75" customHeight="1">
      <c r="A94" s="10"/>
      <c r="E94" s="302"/>
    </row>
    <row r="95" spans="1:17" ht="15.75" customHeight="1">
      <c r="A95" s="10"/>
      <c r="B95" s="158" t="s">
        <v>85</v>
      </c>
      <c r="C95" s="62"/>
      <c r="D95" s="27"/>
      <c r="E95" s="299"/>
      <c r="F95" s="27"/>
      <c r="G95" s="12"/>
      <c r="H95" s="12"/>
      <c r="I95" s="12"/>
      <c r="J95" s="12"/>
      <c r="K95" s="12"/>
      <c r="L95" s="12"/>
      <c r="M95" s="12"/>
      <c r="N95" s="12"/>
      <c r="O95" s="12"/>
      <c r="P95" s="12"/>
      <c r="Q95" s="12"/>
    </row>
    <row r="96" spans="1:17" ht="15.75" customHeight="1">
      <c r="A96" s="10"/>
      <c r="B96" s="27" t="s">
        <v>145</v>
      </c>
      <c r="C96" s="77">
        <f>C4/G4-1</f>
        <v>-1.0781421032572958E-3</v>
      </c>
      <c r="D96" s="27"/>
      <c r="E96" s="299"/>
      <c r="F96" s="27"/>
      <c r="G96" s="6">
        <f t="shared" ref="G96:Q96" si="40">IF(H4="","",G4/H4-1)</f>
        <v>-5.3001677388323953E-2</v>
      </c>
      <c r="H96" s="6">
        <f t="shared" si="40"/>
        <v>5.48607779188508E-2</v>
      </c>
      <c r="I96" s="6">
        <f t="shared" si="40"/>
        <v>6.6455835211788328E-2</v>
      </c>
      <c r="J96" s="6">
        <f t="shared" si="40"/>
        <v>8.6711798167375509E-2</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c r="B97" s="70" t="s">
        <v>165</v>
      </c>
      <c r="C97" s="77">
        <f>C13/G13-1</f>
        <v>-0.14025053002585097</v>
      </c>
      <c r="D97" s="27"/>
      <c r="E97" s="299"/>
      <c r="F97" s="27"/>
      <c r="G97" s="6">
        <f t="shared" ref="G97:Q97" si="41">IF(H5="","",G13/H13-1)</f>
        <v>3.1151587616916165E-2</v>
      </c>
      <c r="H97" s="6">
        <f t="shared" si="41"/>
        <v>0.17570376584984015</v>
      </c>
      <c r="I97" s="6">
        <f t="shared" si="41"/>
        <v>0.27923086307800893</v>
      </c>
      <c r="J97" s="6">
        <f t="shared" si="41"/>
        <v>0.22422887006872716</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302"/>
      <c r="G100" s="97" t="s">
        <v>220</v>
      </c>
    </row>
    <row r="101" spans="1:17" ht="15.75" customHeight="1">
      <c r="A101" s="10"/>
      <c r="B101" s="26" t="s">
        <v>3</v>
      </c>
      <c r="C101" s="199">
        <f>BS!G32</f>
        <v>51420385832</v>
      </c>
      <c r="D101" s="26"/>
      <c r="E101" s="303"/>
      <c r="F101" s="26"/>
      <c r="G101" s="183">
        <f t="shared" ref="G101:Q101" si="42">IF(G$4="","",G105+G104)</f>
        <v>51420385832</v>
      </c>
      <c r="H101" s="183">
        <f t="shared" si="42"/>
        <v>49256011349</v>
      </c>
      <c r="I101" s="183">
        <f t="shared" si="42"/>
        <v>50311699796</v>
      </c>
      <c r="J101" s="183">
        <f t="shared" si="42"/>
        <v>46563004491</v>
      </c>
      <c r="K101" s="183">
        <f t="shared" si="42"/>
        <v>41514185835</v>
      </c>
      <c r="L101" s="183" t="str">
        <f t="shared" si="42"/>
        <v/>
      </c>
      <c r="M101" s="183" t="str">
        <f t="shared" si="42"/>
        <v/>
      </c>
      <c r="N101" s="183" t="str">
        <f t="shared" si="42"/>
        <v/>
      </c>
      <c r="O101" s="183" t="str">
        <f t="shared" si="42"/>
        <v/>
      </c>
      <c r="P101" s="183" t="str">
        <f t="shared" si="42"/>
        <v/>
      </c>
      <c r="Q101" s="183" t="str">
        <f t="shared" si="42"/>
        <v/>
      </c>
    </row>
    <row r="102" spans="1:17" ht="15.75" customHeight="1">
      <c r="A102" s="10"/>
      <c r="B102" s="93" t="s">
        <v>211</v>
      </c>
      <c r="C102" s="200">
        <f>BS!C4</f>
        <v>185704725</v>
      </c>
      <c r="D102" s="89"/>
      <c r="E102" s="304"/>
      <c r="F102" s="89"/>
      <c r="G102" s="185">
        <f>IF(G$4="","",Data!D77)</f>
        <v>100391321</v>
      </c>
      <c r="H102" s="185">
        <f>IF(H$4="","",Data!E77)</f>
        <v>124099728</v>
      </c>
      <c r="I102" s="185">
        <f>IF(I$4="","",Data!F77)</f>
        <v>124929816</v>
      </c>
      <c r="J102" s="185">
        <f>IF(J$4="","",Data!G77)</f>
        <v>125155008</v>
      </c>
      <c r="K102" s="185" t="str">
        <f>IF(K$4="","",Data!H77)</f>
        <v/>
      </c>
      <c r="L102" s="185" t="str">
        <f>IF(L$4="","",Data!I77)</f>
        <v/>
      </c>
      <c r="M102" s="185" t="str">
        <f>IF(M$4="","",Data!J77)</f>
        <v/>
      </c>
      <c r="N102" s="185" t="str">
        <f>IF(N$4="","",Data!K77)</f>
        <v/>
      </c>
      <c r="O102" s="185" t="str">
        <f>IF(O$4="","",Data!L77)</f>
        <v/>
      </c>
      <c r="P102" s="185" t="str">
        <f>IF(P$4="","",Data!M77)</f>
        <v/>
      </c>
      <c r="Q102" s="185" t="str">
        <f>IF(Q$4="","",Data!N77)</f>
        <v/>
      </c>
    </row>
    <row r="103" spans="1:17" ht="15.75" customHeight="1">
      <c r="A103" s="10"/>
      <c r="B103" s="93" t="s">
        <v>212</v>
      </c>
      <c r="C103" s="200">
        <f>BS!C6+BS!C7</f>
        <v>3576387537</v>
      </c>
      <c r="D103" s="89"/>
      <c r="E103" s="304"/>
      <c r="F103" s="89"/>
      <c r="G103" s="185">
        <f>IF(G$4="","",Data!D78)</f>
        <v>3539828305</v>
      </c>
      <c r="H103" s="185">
        <f>IF(H$4="","",Data!E78)</f>
        <v>4152187132</v>
      </c>
      <c r="I103" s="185">
        <f>IF(I$4="","",Data!F78)</f>
        <v>3492997857</v>
      </c>
      <c r="J103" s="185">
        <f>IF(J$4="","",Data!G78)</f>
        <v>3281033526</v>
      </c>
      <c r="K103" s="185" t="str">
        <f>IF(K$4="","",Data!H78)</f>
        <v/>
      </c>
      <c r="L103" s="185" t="str">
        <f>IF(L$4="","",Data!I78)</f>
        <v/>
      </c>
      <c r="M103" s="185" t="str">
        <f>IF(M$4="","",Data!J78)</f>
        <v/>
      </c>
      <c r="N103" s="185" t="str">
        <f>IF(N$4="","",Data!K78)</f>
        <v/>
      </c>
      <c r="O103" s="185" t="str">
        <f>IF(O$4="","",Data!L78)</f>
        <v/>
      </c>
      <c r="P103" s="185" t="str">
        <f>IF(P$4="","",Data!M78)</f>
        <v/>
      </c>
      <c r="Q103" s="185" t="str">
        <f>IF(Q$4="","",Data!N78)</f>
        <v/>
      </c>
    </row>
    <row r="104" spans="1:17" ht="15.75" customHeight="1">
      <c r="A104" s="10"/>
      <c r="B104" s="26" t="s">
        <v>40</v>
      </c>
      <c r="C104" s="199">
        <f>BS!G30</f>
        <v>21560843821</v>
      </c>
      <c r="D104" s="26"/>
      <c r="E104" s="303"/>
      <c r="F104" s="26"/>
      <c r="G104" s="183">
        <f>Data!C79</f>
        <v>21560843821</v>
      </c>
      <c r="H104" s="183">
        <f>Data!D79</f>
        <v>21001264174</v>
      </c>
      <c r="I104" s="183">
        <f>Data!E79</f>
        <v>24039387261</v>
      </c>
      <c r="J104" s="183">
        <f>Data!F79</f>
        <v>22769313149</v>
      </c>
      <c r="K104" s="183">
        <f>Data!G79</f>
        <v>20146133669</v>
      </c>
      <c r="L104" s="183" t="str">
        <f>Data!H79</f>
        <v/>
      </c>
      <c r="M104" s="183" t="str">
        <f>Data!I79</f>
        <v/>
      </c>
      <c r="N104" s="183" t="str">
        <f>Data!J79</f>
        <v/>
      </c>
      <c r="O104" s="183" t="str">
        <f>Data!K79</f>
        <v/>
      </c>
      <c r="P104" s="183" t="str">
        <f>Data!L79</f>
        <v/>
      </c>
      <c r="Q104" s="183" t="str">
        <f>Data!M79</f>
        <v/>
      </c>
    </row>
    <row r="105" spans="1:17" ht="15.75" customHeight="1">
      <c r="A105" s="10"/>
      <c r="B105" s="26" t="s">
        <v>30</v>
      </c>
      <c r="C105" s="199">
        <f>BS!G27</f>
        <v>29859542011</v>
      </c>
      <c r="D105" s="26"/>
      <c r="E105" s="303"/>
      <c r="F105" s="26"/>
      <c r="G105" s="183">
        <f>Data!C80</f>
        <v>29859542011</v>
      </c>
      <c r="H105" s="183">
        <f>Data!D80</f>
        <v>28254747175</v>
      </c>
      <c r="I105" s="183">
        <f>Data!E80</f>
        <v>26272312535</v>
      </c>
      <c r="J105" s="183">
        <f>Data!F80</f>
        <v>23793691342</v>
      </c>
      <c r="K105" s="183">
        <f>Data!G80</f>
        <v>21368052166</v>
      </c>
      <c r="L105" s="183" t="str">
        <f>Data!H80</f>
        <v/>
      </c>
      <c r="M105" s="183" t="str">
        <f>Data!I80</f>
        <v/>
      </c>
      <c r="N105" s="183" t="str">
        <f>Data!J80</f>
        <v/>
      </c>
      <c r="O105" s="183" t="str">
        <f>Data!K80</f>
        <v/>
      </c>
      <c r="P105" s="183" t="str">
        <f>Data!L80</f>
        <v/>
      </c>
      <c r="Q105" s="183" t="str">
        <f>Data!M80</f>
        <v/>
      </c>
    </row>
    <row r="106" spans="1:17" ht="15.75" customHeight="1">
      <c r="A106" s="10"/>
      <c r="E106" s="302"/>
    </row>
    <row r="107" spans="1:17" ht="15.75" customHeight="1">
      <c r="A107" s="10"/>
      <c r="B107" s="91" t="s">
        <v>221</v>
      </c>
      <c r="C107" s="26"/>
      <c r="D107" s="26"/>
      <c r="E107" s="303"/>
      <c r="F107" s="26"/>
      <c r="G107" s="97" t="s">
        <v>220</v>
      </c>
      <c r="H107" s="12"/>
      <c r="I107" s="12"/>
      <c r="J107" s="12"/>
      <c r="K107" s="12"/>
      <c r="L107" s="12"/>
      <c r="M107" s="12"/>
      <c r="N107" s="12"/>
      <c r="O107" s="12"/>
      <c r="P107" s="12"/>
      <c r="Q107" s="12"/>
    </row>
    <row r="108" spans="1:17" ht="15.75" customHeight="1">
      <c r="A108" s="10"/>
      <c r="B108" s="26" t="s">
        <v>218</v>
      </c>
      <c r="C108" s="94">
        <f>C102/C$4</f>
        <v>5.7846206957679613E-3</v>
      </c>
      <c r="D108" s="26"/>
      <c r="E108" s="303"/>
      <c r="F108" s="26"/>
      <c r="G108" s="94">
        <f t="shared" ref="G108:Q108" si="43">IF(G$4="","",G102/G$4)</f>
        <v>3.1237740897024184E-3</v>
      </c>
      <c r="H108" s="94">
        <f t="shared" si="43"/>
        <v>3.6568192017525239E-3</v>
      </c>
      <c r="I108" s="94">
        <f t="shared" si="43"/>
        <v>3.8832370628180527E-3</v>
      </c>
      <c r="J108" s="94">
        <f t="shared" si="43"/>
        <v>4.1487657190052221E-3</v>
      </c>
      <c r="K108" s="94" t="e">
        <f t="shared" si="43"/>
        <v>#VALUE!</v>
      </c>
      <c r="L108" s="94" t="str">
        <f t="shared" si="43"/>
        <v/>
      </c>
      <c r="M108" s="94" t="str">
        <f t="shared" si="43"/>
        <v/>
      </c>
      <c r="N108" s="94" t="str">
        <f t="shared" si="43"/>
        <v/>
      </c>
      <c r="O108" s="94" t="str">
        <f t="shared" si="43"/>
        <v/>
      </c>
      <c r="P108" s="94" t="str">
        <f t="shared" si="43"/>
        <v/>
      </c>
      <c r="Q108" s="94" t="str">
        <f t="shared" si="43"/>
        <v/>
      </c>
    </row>
    <row r="109" spans="1:17" ht="15.75" customHeight="1">
      <c r="A109" s="10"/>
      <c r="B109" s="26" t="s">
        <v>219</v>
      </c>
      <c r="C109" s="94">
        <f>C103/C$4</f>
        <v>0.11140290244427979</v>
      </c>
      <c r="D109" s="26"/>
      <c r="E109" s="303"/>
      <c r="F109" s="26"/>
      <c r="G109" s="94">
        <f t="shared" ref="G109:Q109" si="44">IF(G$4="","",G103/G$4)</f>
        <v>0.11014521804284486</v>
      </c>
      <c r="H109" s="94">
        <f t="shared" si="44"/>
        <v>0.12235157867201242</v>
      </c>
      <c r="I109" s="94">
        <f t="shared" si="44"/>
        <v>0.10857407121008193</v>
      </c>
      <c r="J109" s="94">
        <f t="shared" si="44"/>
        <v>0.10876304219145293</v>
      </c>
      <c r="K109" s="94" t="e">
        <f t="shared" si="44"/>
        <v>#VALUE!</v>
      </c>
      <c r="L109" s="94" t="str">
        <f t="shared" si="44"/>
        <v/>
      </c>
      <c r="M109" s="94" t="str">
        <f t="shared" si="44"/>
        <v/>
      </c>
      <c r="N109" s="94" t="str">
        <f t="shared" si="44"/>
        <v/>
      </c>
      <c r="O109" s="94" t="str">
        <f t="shared" si="44"/>
        <v/>
      </c>
      <c r="P109" s="94" t="str">
        <f t="shared" si="44"/>
        <v/>
      </c>
      <c r="Q109" s="94" t="str">
        <f t="shared" si="44"/>
        <v/>
      </c>
    </row>
    <row r="110" spans="1:17" ht="15.75" customHeight="1">
      <c r="A110" s="10"/>
      <c r="B110" s="26" t="s">
        <v>69</v>
      </c>
      <c r="C110" s="94">
        <f>BS!$G$38/C$4</f>
        <v>0</v>
      </c>
      <c r="D110" s="26"/>
      <c r="E110" s="303"/>
      <c r="F110" s="26"/>
      <c r="G110" s="94">
        <f>BS!$G$38/G$4</f>
        <v>0</v>
      </c>
      <c r="H110" s="225"/>
      <c r="I110" s="225"/>
      <c r="J110" s="225"/>
      <c r="K110" s="225"/>
      <c r="L110" s="225"/>
      <c r="M110" s="225"/>
      <c r="N110" s="225"/>
      <c r="O110" s="225"/>
      <c r="P110" s="225"/>
      <c r="Q110" s="225"/>
    </row>
    <row r="111" spans="1:17" ht="15.75" customHeight="1">
      <c r="A111" s="10"/>
      <c r="E111" s="302"/>
    </row>
    <row r="112" spans="1:17" ht="15.75" customHeight="1">
      <c r="A112" s="10"/>
      <c r="B112" s="64" t="s">
        <v>51</v>
      </c>
      <c r="E112" s="302"/>
    </row>
    <row r="113" spans="1:17" ht="15.75" customHeight="1">
      <c r="A113" s="10"/>
      <c r="B113" s="2" t="s">
        <v>399</v>
      </c>
      <c r="C113" s="170"/>
      <c r="E113" s="302"/>
      <c r="G113" s="334">
        <f>IF(G$4="","",Data!C$22/Data!C15)</f>
        <v>1.1475773379531717</v>
      </c>
      <c r="H113" s="334">
        <f>IF(H$4="","",Data!D$22/Data!D15)</f>
        <v>0.63878566471951048</v>
      </c>
      <c r="I113" s="334">
        <f>IF(I$4="","",Data!E$22/Data!E15)</f>
        <v>1.2822939471944179</v>
      </c>
      <c r="J113" s="334">
        <f>IF(J$4="","",Data!F$22/Data!F15)</f>
        <v>1.8558534606930408</v>
      </c>
      <c r="K113" s="334">
        <f>IF(K$4="","",Data!G$22/Data!G15)</f>
        <v>2.1287016617311294</v>
      </c>
      <c r="L113" s="334" t="str">
        <f>IF(L$4="","",Data!H$22/Data!H15)</f>
        <v/>
      </c>
      <c r="M113" s="334" t="str">
        <f>IF(M$4="","",Data!I$22/Data!I15)</f>
        <v/>
      </c>
      <c r="N113" s="334" t="str">
        <f>IF(N$4="","",Data!J$22/Data!J15)</f>
        <v/>
      </c>
      <c r="O113" s="334" t="str">
        <f>IF(O$4="","",Data!K$22/Data!K15)</f>
        <v/>
      </c>
      <c r="P113" s="334" t="str">
        <f>IF(P$4="","",Data!L$22/Data!L15)</f>
        <v/>
      </c>
      <c r="Q113" s="334" t="str">
        <f>IF(Q$4="","",Data!M$22/Data!M15)</f>
        <v/>
      </c>
    </row>
    <row r="114" spans="1:17" ht="15.75" customHeight="1">
      <c r="A114" s="10"/>
      <c r="B114" s="2" t="s">
        <v>400</v>
      </c>
      <c r="C114" s="170"/>
      <c r="E114" s="302"/>
      <c r="G114" s="334">
        <f>IF(G$4="","",Data!C$22/G19)</f>
        <v>1.63376955403712</v>
      </c>
      <c r="H114" s="334">
        <f>IF(H$4="","",Data!D$22/H19)</f>
        <v>0.90436479702146999</v>
      </c>
      <c r="I114" s="334">
        <f>IF(I$4="","",Data!E$22/I19)</f>
        <v>1.8951253227120683</v>
      </c>
      <c r="J114" s="334">
        <f>IF(J$4="","",Data!F$22/J19)</f>
        <v>3.5513220215967323</v>
      </c>
      <c r="K114" s="334">
        <f>IF(K$4="","",Data!G$22/K19)</f>
        <v>3.4570249020473156</v>
      </c>
      <c r="L114" s="334" t="str">
        <f>IF(L$4="","",Data!H$22/L19)</f>
        <v/>
      </c>
      <c r="M114" s="334" t="str">
        <f>IF(M$4="","",Data!I$22/M19)</f>
        <v/>
      </c>
      <c r="N114" s="334" t="str">
        <f>IF(N$4="","",Data!J$22/N19)</f>
        <v/>
      </c>
      <c r="O114" s="334" t="str">
        <f>IF(O$4="","",Data!K$22/O19)</f>
        <v/>
      </c>
      <c r="P114" s="334" t="str">
        <f>IF(P$4="","",Data!L$22/P19)</f>
        <v/>
      </c>
      <c r="Q114" s="334" t="str">
        <f>IF(Q$4="","",Data!M$22/Q19)</f>
        <v/>
      </c>
    </row>
    <row r="115" spans="1:17" ht="15.75" customHeight="1">
      <c r="A115" s="10"/>
      <c r="E115" s="302"/>
    </row>
    <row r="116" spans="1:17" ht="15.75" customHeight="1">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0.1256443932526452</v>
      </c>
      <c r="E117" s="302"/>
      <c r="G117" s="23">
        <f t="shared" ref="G117:Q117" si="45">G81</f>
        <v>0.14598314407337187</v>
      </c>
      <c r="H117" s="23">
        <f t="shared" si="45"/>
        <v>0.13406932038630734</v>
      </c>
      <c r="I117" s="23">
        <f t="shared" si="45"/>
        <v>0.12028920184288532</v>
      </c>
      <c r="J117" s="23">
        <f t="shared" si="45"/>
        <v>0.10028144639165948</v>
      </c>
      <c r="K117" s="23">
        <f t="shared" si="45"/>
        <v>8.9016877150583498E-2</v>
      </c>
      <c r="L117" s="23" t="str">
        <f t="shared" si="45"/>
        <v/>
      </c>
      <c r="M117" s="23" t="str">
        <f t="shared" si="45"/>
        <v/>
      </c>
      <c r="N117" s="23" t="str">
        <f t="shared" si="45"/>
        <v/>
      </c>
      <c r="O117" s="23" t="str">
        <f t="shared" si="45"/>
        <v/>
      </c>
      <c r="P117" s="23" t="str">
        <f t="shared" si="45"/>
        <v/>
      </c>
      <c r="Q117" s="23" t="str">
        <f t="shared" si="45"/>
        <v/>
      </c>
    </row>
    <row r="118" spans="1:17" ht="15.75" customHeight="1">
      <c r="B118" s="7" t="s">
        <v>84</v>
      </c>
      <c r="C118" s="42">
        <f>C4/C101</f>
        <v>0.62432788948992113</v>
      </c>
      <c r="E118" s="302"/>
      <c r="G118" s="42">
        <f t="shared" ref="G118:Q118" si="46">IF(G4="","",G4/G101)</f>
        <v>0.62500173016982585</v>
      </c>
      <c r="H118" s="42">
        <f t="shared" si="46"/>
        <v>0.68898235589043455</v>
      </c>
      <c r="I118" s="42">
        <f t="shared" si="46"/>
        <v>0.63944501486625938</v>
      </c>
      <c r="J118" s="42">
        <f t="shared" si="46"/>
        <v>0.64787067988344349</v>
      </c>
      <c r="K118" s="42">
        <f t="shared" si="46"/>
        <v>0.66868012385771503</v>
      </c>
      <c r="L118" s="42" t="str">
        <f t="shared" si="46"/>
        <v/>
      </c>
      <c r="M118" s="42" t="str">
        <f t="shared" si="46"/>
        <v/>
      </c>
      <c r="N118" s="42" t="str">
        <f t="shared" si="46"/>
        <v/>
      </c>
      <c r="O118" s="42" t="str">
        <f t="shared" si="46"/>
        <v/>
      </c>
      <c r="P118" s="42" t="str">
        <f t="shared" si="46"/>
        <v/>
      </c>
      <c r="Q118" s="42" t="str">
        <f t="shared" si="46"/>
        <v/>
      </c>
    </row>
    <row r="119" spans="1:17" ht="15.75" customHeight="1">
      <c r="B119" s="7" t="s">
        <v>92</v>
      </c>
      <c r="C119" s="15">
        <f>C101/C105</f>
        <v>1.7220755031358876</v>
      </c>
      <c r="D119" s="11"/>
      <c r="E119" s="306"/>
      <c r="F119" s="11"/>
      <c r="G119" s="15">
        <f t="shared" ref="G119:Q119" si="47">IF(G$4="","",G101/G105)</f>
        <v>1.7220755031358876</v>
      </c>
      <c r="H119" s="15">
        <f t="shared" si="47"/>
        <v>1.7432826789751659</v>
      </c>
      <c r="I119" s="15">
        <f t="shared" si="47"/>
        <v>1.9150084229918742</v>
      </c>
      <c r="J119" s="15">
        <f t="shared" si="47"/>
        <v>1.9569474875387749</v>
      </c>
      <c r="K119" s="15">
        <f t="shared" si="47"/>
        <v>1.9428156348783037</v>
      </c>
      <c r="L119" s="15" t="str">
        <f t="shared" si="47"/>
        <v/>
      </c>
      <c r="M119" s="15" t="str">
        <f t="shared" si="47"/>
        <v/>
      </c>
      <c r="N119" s="15" t="str">
        <f t="shared" si="47"/>
        <v/>
      </c>
      <c r="O119" s="15" t="str">
        <f t="shared" si="47"/>
        <v/>
      </c>
      <c r="P119" s="15" t="str">
        <f t="shared" si="47"/>
        <v/>
      </c>
      <c r="Q119" s="15" t="str">
        <f t="shared" si="47"/>
        <v/>
      </c>
    </row>
    <row r="120" spans="1:17" ht="15.75" customHeight="1">
      <c r="A120" s="10"/>
      <c r="B120" s="70" t="s">
        <v>223</v>
      </c>
      <c r="C120" s="102">
        <f>C8/C105</f>
        <v>0.1298770111369795</v>
      </c>
      <c r="D120" s="103"/>
      <c r="E120" s="305"/>
      <c r="F120" s="103"/>
      <c r="G120" s="102">
        <f t="shared" ref="G120:Q120" si="48">IF(G$4="","",G8/G105)</f>
        <v>0.15029676528014849</v>
      </c>
      <c r="H120" s="102">
        <f t="shared" si="48"/>
        <v>0.15589838694070707</v>
      </c>
      <c r="I120" s="102">
        <f t="shared" si="48"/>
        <v>0.14186340939857428</v>
      </c>
      <c r="J120" s="102">
        <f t="shared" si="48"/>
        <v>0.12341629677344412</v>
      </c>
      <c r="K120" s="102">
        <f t="shared" si="48"/>
        <v>0.10838430821902739</v>
      </c>
      <c r="L120" s="102" t="str">
        <f t="shared" si="48"/>
        <v/>
      </c>
      <c r="M120" s="102" t="str">
        <f t="shared" si="48"/>
        <v/>
      </c>
      <c r="N120" s="102" t="str">
        <f t="shared" si="48"/>
        <v/>
      </c>
      <c r="O120" s="102" t="str">
        <f t="shared" si="48"/>
        <v/>
      </c>
      <c r="P120" s="102" t="str">
        <f t="shared" si="48"/>
        <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9"/>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8">
        <f>C16*$C$3/Common_Shares*Exchange_Rate</f>
        <v>2.2666917790674992</v>
      </c>
      <c r="D124" s="27"/>
      <c r="E124" s="299"/>
      <c r="F124" s="27"/>
      <c r="G124" s="178">
        <f t="shared" ref="G124:Q124" si="49">IF(G$4="","",G16*$C$3/Common_Shares*Exchange_Rate)</f>
        <v>2.4844337290054028</v>
      </c>
      <c r="H124" s="178">
        <f t="shared" si="49"/>
        <v>2.4184605747542012</v>
      </c>
      <c r="I124" s="178">
        <f t="shared" si="49"/>
        <v>2.0271721113883259</v>
      </c>
      <c r="J124" s="178">
        <f t="shared" si="49"/>
        <v>1.3399501601487296</v>
      </c>
      <c r="K124" s="178">
        <f t="shared" si="49"/>
        <v>1.1282905421813463</v>
      </c>
      <c r="L124" s="178" t="str">
        <f t="shared" si="49"/>
        <v/>
      </c>
      <c r="M124" s="178" t="str">
        <f t="shared" si="49"/>
        <v/>
      </c>
      <c r="N124" s="178" t="str">
        <f t="shared" si="49"/>
        <v/>
      </c>
      <c r="O124" s="178" t="str">
        <f t="shared" si="49"/>
        <v/>
      </c>
      <c r="P124" s="178" t="str">
        <f t="shared" si="49"/>
        <v/>
      </c>
      <c r="Q124" s="178" t="str">
        <f t="shared" si="49"/>
        <v/>
      </c>
    </row>
    <row r="125" spans="1:17" ht="15.75" customHeight="1">
      <c r="A125" s="10"/>
      <c r="B125" s="27" t="s">
        <v>270</v>
      </c>
      <c r="C125" s="77">
        <f>C19*Exchange_Rate*$C$3/(Market_Price*Common_Shares)</f>
        <v>4.2328511280438831E-2</v>
      </c>
      <c r="D125" s="27"/>
      <c r="E125" s="299"/>
      <c r="F125" s="27"/>
      <c r="G125" s="77">
        <f t="shared" ref="G125" si="50">IF(G$4="","",G124/Market_Price)</f>
        <v>4.6394654136422089E-2</v>
      </c>
      <c r="H125" s="77">
        <f t="shared" ref="H125" si="51">IF(H$4="","",H124/Market_Price)</f>
        <v>4.5162662460395915E-2</v>
      </c>
      <c r="I125" s="77">
        <f t="shared" ref="I125" si="52">IF(I$4="","",I124/Market_Price)</f>
        <v>3.7855688354590585E-2</v>
      </c>
      <c r="J125" s="77">
        <f t="shared" ref="J125" si="53">IF(J$4="","",J124/Market_Price)</f>
        <v>2.5022411954224645E-2</v>
      </c>
      <c r="K125" s="77">
        <f t="shared" ref="K125" si="54">IF(K$4="","",K124/Market_Price)</f>
        <v>2.1069851394609641E-2</v>
      </c>
      <c r="L125" s="77" t="str">
        <f t="shared" ref="L125" si="55">IF(L$4="","",L124/Market_Price)</f>
        <v/>
      </c>
      <c r="M125" s="77" t="str">
        <f t="shared" ref="M125" si="56">IF(M$4="","",M124/Market_Price)</f>
        <v/>
      </c>
      <c r="N125" s="77" t="str">
        <f t="shared" ref="N125" si="57">IF(N$4="","",N124/Market_Price)</f>
        <v/>
      </c>
      <c r="O125" s="77" t="str">
        <f t="shared" ref="O125" si="58">IF(O$4="","",O124/Market_Price)</f>
        <v/>
      </c>
      <c r="P125" s="77" t="str">
        <f t="shared" ref="P125" si="59">IF(P$4="","",P124/Market_Price)</f>
        <v/>
      </c>
      <c r="Q125" s="77" t="str">
        <f t="shared" ref="Q125" si="60">IF(Q$4="","",Q124/Market_Price)</f>
        <v/>
      </c>
    </row>
    <row r="126" spans="1:17" ht="15.75" customHeight="1">
      <c r="B126" s="2" t="s">
        <v>402</v>
      </c>
      <c r="C126" s="170"/>
      <c r="G126" s="23">
        <f>IF(G$4="","",(Data!C47*$C$3)/(Market_Price*Common_Shares))</f>
        <v>6.148676708270491E-2</v>
      </c>
      <c r="H126" s="23">
        <f>IF(H$4="","",(Data!D47*$C$3)/(Market_Price*Common_Shares))</f>
        <v>5.9521368304563151E-2</v>
      </c>
      <c r="I126" s="23">
        <f>IF(I$4="","",(Data!E47*$C$3)/(Market_Price*Common_Shares))</f>
        <v>5.2081846379740254E-2</v>
      </c>
      <c r="J126" s="23">
        <f>IF(J$4="","",(Data!F47*$C$3)/(Market_Price*Common_Shares))</f>
        <v>4.4573878533011209E-2</v>
      </c>
      <c r="K126" s="23">
        <f>IF(K$4="","",(Data!G47*$C$3)/(Market_Price*Common_Shares))</f>
        <v>3.1853272974968011E-2</v>
      </c>
      <c r="L126" s="23" t="str">
        <f>IF(L$4="","",(Data!H47*$C$3)/(Market_Price*Common_Shares))</f>
        <v/>
      </c>
      <c r="M126" s="23" t="str">
        <f>IF(M$4="","",(Data!I47*$C$3)/(Market_Price*Common_Shares))</f>
        <v/>
      </c>
      <c r="N126" s="23" t="str">
        <f>IF(N$4="","",(Data!J47*$C$3)/(Market_Price*Common_Shares))</f>
        <v/>
      </c>
      <c r="O126" s="23" t="str">
        <f>IF(O$4="","",(Data!K47*$C$3)/(Market_Price*Common_Shares))</f>
        <v/>
      </c>
      <c r="P126" s="23" t="str">
        <f>IF(P$4="","",(Data!L47*$C$3)/(Market_Price*Common_Shares))</f>
        <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E26" sqref="E26"/>
    </sheetView>
  </sheetViews>
  <sheetFormatPr defaultColWidth="8.796875" defaultRowHeight="12.75"/>
  <cols>
    <col min="1" max="1" width="6.1328125" customWidth="1"/>
    <col min="2" max="2" width="24.73046875" customWidth="1"/>
    <col min="3" max="6" width="20.6640625" customWidth="1"/>
    <col min="7" max="7" width="5.6640625" customWidth="1"/>
    <col min="8" max="8" width="56.796875" bestFit="1" customWidth="1"/>
  </cols>
  <sheetData>
    <row r="2" spans="2:8" ht="13.9">
      <c r="B2" s="36" t="s">
        <v>55</v>
      </c>
      <c r="C2" s="37"/>
      <c r="D2" s="37"/>
      <c r="E2" s="37"/>
      <c r="F2" s="37"/>
      <c r="H2" s="131" t="s">
        <v>59</v>
      </c>
    </row>
    <row r="3" spans="2:8" ht="13.15">
      <c r="B3" s="109" t="s">
        <v>164</v>
      </c>
      <c r="C3" s="107">
        <f>scaling_factor</f>
        <v>1</v>
      </c>
      <c r="E3" s="109" t="s">
        <v>125</v>
      </c>
      <c r="H3" s="121"/>
    </row>
    <row r="4" spans="2:8">
      <c r="B4" s="100" t="s">
        <v>129</v>
      </c>
      <c r="C4" s="110">
        <f>Normalized_FCF!C19</f>
        <v>2878553955.7338853</v>
      </c>
      <c r="D4" t="str">
        <f>Reporting_currency</f>
        <v>CNY</v>
      </c>
      <c r="E4" s="100" t="s">
        <v>251</v>
      </c>
      <c r="F4" s="135">
        <f>Thesis!C81</f>
        <v>0</v>
      </c>
      <c r="H4" s="121"/>
    </row>
    <row r="5" spans="2:8">
      <c r="B5" s="227" t="s">
        <v>124</v>
      </c>
      <c r="C5" s="228">
        <f>Thesis!C75</f>
        <v>0.08</v>
      </c>
      <c r="E5" s="149"/>
      <c r="H5" s="121"/>
    </row>
    <row r="6" spans="2:8" ht="13.15" customHeight="1">
      <c r="B6" s="150" t="s">
        <v>229</v>
      </c>
      <c r="C6" s="232">
        <f>(C4*(1+Terminal_Growth))/(Equity_Cost-Terminal_Growth)</f>
        <v>35981924446.673569</v>
      </c>
      <c r="D6" t="str">
        <f>Reporting_currency</f>
        <v>CNY</v>
      </c>
      <c r="E6" s="351" t="s">
        <v>250</v>
      </c>
      <c r="F6" s="351"/>
      <c r="H6" s="121"/>
    </row>
    <row r="7" spans="2:8">
      <c r="B7" s="149" t="s">
        <v>225</v>
      </c>
      <c r="C7" s="226">
        <f>BS!G31</f>
        <v>285396383</v>
      </c>
      <c r="D7" t="str">
        <f>Reporting_currency</f>
        <v>CNY</v>
      </c>
      <c r="E7" s="351"/>
      <c r="F7" s="351"/>
      <c r="H7" s="121"/>
    </row>
    <row r="8" spans="2:8">
      <c r="B8" s="149" t="s">
        <v>226</v>
      </c>
      <c r="C8" s="201">
        <f>BS!D66</f>
        <v>12808944138.689201</v>
      </c>
      <c r="D8" t="str">
        <f>Reporting_currency</f>
        <v>CNY</v>
      </c>
      <c r="E8" s="351"/>
      <c r="F8" s="351"/>
      <c r="H8" s="121"/>
    </row>
    <row r="9" spans="2:8">
      <c r="B9" s="227" t="s">
        <v>191</v>
      </c>
      <c r="C9" s="229">
        <f>BS!H42</f>
        <v>2755411575.5</v>
      </c>
      <c r="D9" t="str">
        <f>Reporting_currency</f>
        <v>CNY</v>
      </c>
      <c r="E9" s="351"/>
      <c r="F9" s="351"/>
      <c r="H9" s="121"/>
    </row>
    <row r="10" spans="2:8" ht="13.15">
      <c r="B10" s="150" t="s">
        <v>228</v>
      </c>
      <c r="C10" s="232">
        <f>C6-C7+C8+C9</f>
        <v>51260883777.86277</v>
      </c>
      <c r="D10" t="str">
        <f>Reporting_currency</f>
        <v>CNY</v>
      </c>
      <c r="H10" s="121"/>
    </row>
    <row r="11" spans="2:8" ht="13.15" thickBot="1">
      <c r="B11" s="230" t="s">
        <v>167</v>
      </c>
      <c r="C11" s="231">
        <f>Exchange_Rate</f>
        <v>1.0742246600000001</v>
      </c>
      <c r="D11" t="str">
        <f>Thesis!C15</f>
        <v>CNY/HKD</v>
      </c>
      <c r="H11" s="121"/>
    </row>
    <row r="12" spans="2:8" ht="13.5" thickTop="1">
      <c r="B12" s="150" t="s">
        <v>103</v>
      </c>
      <c r="C12" s="112">
        <f>(C10*scaling_factor)/Common_Shares*Exchange_Rate</f>
        <v>40.364928236126403</v>
      </c>
      <c r="D12" t="str">
        <f>Market_currency</f>
        <v>HKD</v>
      </c>
      <c r="H12" s="121"/>
    </row>
    <row r="13" spans="2:8">
      <c r="H13" s="121"/>
    </row>
    <row r="14" spans="2:8" ht="13.9">
      <c r="B14" s="36" t="s">
        <v>230</v>
      </c>
      <c r="C14" s="37"/>
      <c r="D14" s="37"/>
      <c r="E14" s="37"/>
      <c r="F14" s="37"/>
      <c r="H14" s="121"/>
    </row>
    <row r="15" spans="2:8" ht="13.15">
      <c r="B15" s="120" t="s">
        <v>136</v>
      </c>
      <c r="H15" s="121"/>
    </row>
    <row r="16" spans="2:8" ht="13.25" customHeight="1">
      <c r="B16" s="153" t="s">
        <v>134</v>
      </c>
      <c r="C16" s="162">
        <f>Scenarios!C65</f>
        <v>6.1165848114484E-2</v>
      </c>
      <c r="H16" s="121"/>
    </row>
    <row r="17" spans="2:8" ht="13.25" customHeight="1">
      <c r="B17" s="119" t="s">
        <v>135</v>
      </c>
      <c r="C17" s="163">
        <f>Scenarios!C64</f>
        <v>30</v>
      </c>
      <c r="H17" s="121"/>
    </row>
    <row r="18" spans="2:8" ht="13.25" customHeight="1">
      <c r="B18" s="154" t="s">
        <v>107</v>
      </c>
      <c r="C18" s="141">
        <f>(F52-C7+C8+C9)*Exchange_Rate/Common_Shares*scaling_factor</f>
        <v>67.392482076101331</v>
      </c>
      <c r="D18" t="str">
        <f>Market_currency</f>
        <v>HKD</v>
      </c>
      <c r="H18" s="121"/>
    </row>
    <row r="19" spans="2:8">
      <c r="H19" s="121"/>
    </row>
    <row r="20" spans="2:8" ht="13.15">
      <c r="B20" s="129" t="s">
        <v>108</v>
      </c>
      <c r="C20" s="129" t="s">
        <v>109</v>
      </c>
      <c r="D20" s="129" t="s">
        <v>119</v>
      </c>
      <c r="E20" s="129" t="s">
        <v>110</v>
      </c>
      <c r="F20" s="130" t="s">
        <v>111</v>
      </c>
      <c r="H20" s="121"/>
    </row>
    <row r="21" spans="2:8">
      <c r="B21" s="123">
        <v>1</v>
      </c>
      <c r="C21" s="124">
        <f>C4*(1+D21)</f>
        <v>3054623149.7796507</v>
      </c>
      <c r="D21" s="139">
        <f>IF($C$17&lt;B21,0,Valuation_Model!$C$16)</f>
        <v>6.1165848114484E-2</v>
      </c>
      <c r="E21" s="125">
        <f t="shared" ref="E21:E50" si="0">IF($C$17&lt;B21,0,1/(1+Equity_Cost)^B21)</f>
        <v>0.92592592592592582</v>
      </c>
      <c r="F21" s="126">
        <f t="shared" ref="F21:F51" si="1">C21*E21</f>
        <v>2828354768.3144913</v>
      </c>
      <c r="H21" s="121"/>
    </row>
    <row r="22" spans="2:8">
      <c r="B22" s="123">
        <v>2</v>
      </c>
      <c r="C22" s="124">
        <f t="shared" ref="C22:C50" si="2">IF(ROW()-ROW($C$21)&lt;$C$17, $C$21*(1+D22)^(ROW()-ROW($C$21)), 0)</f>
        <v>3241461765.4060593</v>
      </c>
      <c r="D22" s="139">
        <f>IF($C$17&lt;B22,0,Valuation_Model!$C$16)</f>
        <v>6.1165848114484E-2</v>
      </c>
      <c r="E22" s="125">
        <f t="shared" si="0"/>
        <v>0.85733882030178321</v>
      </c>
      <c r="F22" s="126">
        <f t="shared" si="1"/>
        <v>2779031006.0065665</v>
      </c>
      <c r="H22" s="121"/>
    </row>
    <row r="23" spans="2:8">
      <c r="B23" s="123">
        <v>3</v>
      </c>
      <c r="C23" s="124">
        <f t="shared" si="2"/>
        <v>3439728523.4177928</v>
      </c>
      <c r="D23" s="139">
        <f>IF($C$17&lt;B23,0,Valuation_Model!$C$16)</f>
        <v>6.1165848114484E-2</v>
      </c>
      <c r="E23" s="125">
        <f t="shared" si="0"/>
        <v>0.79383224102016958</v>
      </c>
      <c r="F23" s="126">
        <f t="shared" si="1"/>
        <v>2730567402.2457452</v>
      </c>
      <c r="H23" s="121"/>
    </row>
    <row r="24" spans="2:8">
      <c r="B24" s="123">
        <v>4</v>
      </c>
      <c r="C24" s="124">
        <f t="shared" si="2"/>
        <v>3650122435.8362231</v>
      </c>
      <c r="D24" s="139">
        <f>IF($C$17&lt;B24,0,Valuation_Model!$C$16)</f>
        <v>6.1165848114484E-2</v>
      </c>
      <c r="E24" s="125">
        <f t="shared" si="0"/>
        <v>0.73502985279645328</v>
      </c>
      <c r="F24" s="126">
        <f t="shared" si="1"/>
        <v>2682948956.7017307</v>
      </c>
      <c r="H24" s="121"/>
    </row>
    <row r="25" spans="2:8">
      <c r="B25" s="123">
        <v>5</v>
      </c>
      <c r="C25" s="124">
        <f t="shared" si="2"/>
        <v>3873385270.3458519</v>
      </c>
      <c r="D25" s="139">
        <f>IF($C$17&lt;B25,0,Valuation_Model!$C$16)</f>
        <v>6.1165848114484E-2</v>
      </c>
      <c r="E25" s="125">
        <f t="shared" si="0"/>
        <v>0.68058319703375303</v>
      </c>
      <c r="F25" s="126">
        <f t="shared" si="1"/>
        <v>2636160930.6354275</v>
      </c>
      <c r="H25" s="121"/>
    </row>
    <row r="26" spans="2:8">
      <c r="B26" s="123">
        <v>6</v>
      </c>
      <c r="C26" s="124">
        <f t="shared" si="2"/>
        <v>4110304165.4807053</v>
      </c>
      <c r="D26" s="139">
        <f>IF($C$17&lt;B26,0,Valuation_Model!$C$16)</f>
        <v>6.1165848114484E-2</v>
      </c>
      <c r="E26" s="125">
        <f t="shared" si="0"/>
        <v>0.63016962688310452</v>
      </c>
      <c r="F26" s="126">
        <f t="shared" si="1"/>
        <v>2590188842.3370461</v>
      </c>
      <c r="H26" s="121"/>
    </row>
    <row r="27" spans="2:8">
      <c r="B27" s="123">
        <v>7</v>
      </c>
      <c r="C27" s="124">
        <f t="shared" si="2"/>
        <v>4361714405.7708282</v>
      </c>
      <c r="D27" s="139">
        <f>IF($C$17&lt;B27,0,Valuation_Model!$C$16)</f>
        <v>6.1165848114484E-2</v>
      </c>
      <c r="E27" s="125">
        <f t="shared" si="0"/>
        <v>0.58349039526213387</v>
      </c>
      <c r="F27" s="126">
        <f t="shared" si="1"/>
        <v>2545018462.643764</v>
      </c>
      <c r="H27" s="121"/>
    </row>
    <row r="28" spans="2:8">
      <c r="B28" s="123">
        <v>8</v>
      </c>
      <c r="C28" s="124">
        <f t="shared" si="2"/>
        <v>4628502366.6329622</v>
      </c>
      <c r="D28" s="139">
        <f>IF($C$17&lt;B28,0,Valuation_Model!$C$16)</f>
        <v>6.1165848114484E-2</v>
      </c>
      <c r="E28" s="125">
        <f t="shared" si="0"/>
        <v>0.54026888450197574</v>
      </c>
      <c r="F28" s="126">
        <f t="shared" si="1"/>
        <v>2500635810.5355453</v>
      </c>
      <c r="H28" s="121"/>
    </row>
    <row r="29" spans="2:8">
      <c r="B29" s="123">
        <v>9</v>
      </c>
      <c r="C29" s="124">
        <f t="shared" si="2"/>
        <v>4911608639.3879642</v>
      </c>
      <c r="D29" s="139">
        <f>IF($C$17&lt;B29,0,Valuation_Model!$C$16)</f>
        <v>6.1165848114484E-2</v>
      </c>
      <c r="E29" s="125">
        <f t="shared" si="0"/>
        <v>0.50024896713145905</v>
      </c>
      <c r="F29" s="126">
        <f t="shared" si="1"/>
        <v>2457027148.8077803</v>
      </c>
      <c r="H29" s="121"/>
    </row>
    <row r="30" spans="2:8">
      <c r="B30" s="123">
        <v>10</v>
      </c>
      <c r="C30" s="124">
        <f t="shared" si="2"/>
        <v>5212031347.422555</v>
      </c>
      <c r="D30" s="139">
        <f>IF($C$17&lt;B30,0,Valuation_Model!$C$16)</f>
        <v>6.1165848114484E-2</v>
      </c>
      <c r="E30" s="125">
        <f t="shared" si="0"/>
        <v>0.46319348808468425</v>
      </c>
      <c r="F30" s="126">
        <f t="shared" si="1"/>
        <v>2414178979.8193698</v>
      </c>
      <c r="H30" s="121"/>
    </row>
    <row r="31" spans="2:8">
      <c r="B31" s="123">
        <v>11</v>
      </c>
      <c r="C31" s="124">
        <f t="shared" si="2"/>
        <v>5530829665.1869316</v>
      </c>
      <c r="D31" s="139">
        <f>IF($C$17&lt;B31,0,Valuation_Model!$C$16)</f>
        <v>6.1165848114484E-2</v>
      </c>
      <c r="E31" s="125">
        <f t="shared" si="0"/>
        <v>0.42888285933767062</v>
      </c>
      <c r="F31" s="126">
        <f t="shared" si="1"/>
        <v>2372078041.3149829</v>
      </c>
      <c r="H31" s="121"/>
    </row>
    <row r="32" spans="2:8">
      <c r="B32" s="123">
        <v>12</v>
      </c>
      <c r="C32" s="124">
        <f t="shared" si="2"/>
        <v>5869127552.4348373</v>
      </c>
      <c r="D32" s="139">
        <f>IF($C$17&lt;B32,0,Valuation_Model!$C$16)</f>
        <v>6.1165848114484E-2</v>
      </c>
      <c r="E32" s="125">
        <f t="shared" si="0"/>
        <v>0.39711375864599124</v>
      </c>
      <c r="F32" s="126">
        <f t="shared" si="1"/>
        <v>2330711302.3201451</v>
      </c>
      <c r="H32" s="121"/>
    </row>
    <row r="33" spans="2:8">
      <c r="B33" s="123">
        <v>13</v>
      </c>
      <c r="C33" s="124">
        <f t="shared" si="2"/>
        <v>6228117716.8715992</v>
      </c>
      <c r="D33" s="139">
        <f>IF($C$17&lt;B33,0,Valuation_Model!$C$16)</f>
        <v>6.1165848114484E-2</v>
      </c>
      <c r="E33" s="125">
        <f t="shared" si="0"/>
        <v>0.36769792467221413</v>
      </c>
      <c r="F33" s="126">
        <f t="shared" si="1"/>
        <v>2290065959.1079354</v>
      </c>
      <c r="H33" s="121"/>
    </row>
    <row r="34" spans="2:8">
      <c r="B34" s="123">
        <v>14</v>
      </c>
      <c r="C34" s="124">
        <f t="shared" si="2"/>
        <v>6609065819.1808939</v>
      </c>
      <c r="D34" s="139">
        <f>IF($C$17&lt;B34,0,Valuation_Model!$C$16)</f>
        <v>6.1165848114484E-2</v>
      </c>
      <c r="E34" s="125">
        <f t="shared" si="0"/>
        <v>0.34046104136316119</v>
      </c>
      <c r="F34" s="126">
        <f t="shared" si="1"/>
        <v>2250129431.236001</v>
      </c>
      <c r="H34" s="121"/>
    </row>
    <row r="35" spans="2:8">
      <c r="B35" s="123">
        <v>15</v>
      </c>
      <c r="C35" s="124">
        <f t="shared" si="2"/>
        <v>7013314935.2555389</v>
      </c>
      <c r="D35" s="139">
        <f>IF($C$17&lt;B35,0,Valuation_Model!$C$16)</f>
        <v>6.1165848114484E-2</v>
      </c>
      <c r="E35" s="125">
        <f t="shared" si="0"/>
        <v>0.31524170496588994</v>
      </c>
      <c r="F35" s="126">
        <f t="shared" si="1"/>
        <v>2210889357.6526961</v>
      </c>
      <c r="H35" s="121"/>
    </row>
    <row r="36" spans="2:8">
      <c r="B36" s="123">
        <v>16</v>
      </c>
      <c r="C36" s="124">
        <f t="shared" si="2"/>
        <v>7442290291.3644199</v>
      </c>
      <c r="D36" s="139">
        <f>IF($C$17&lt;B36,0,Valuation_Model!$C$16)</f>
        <v>6.1165848114484E-2</v>
      </c>
      <c r="E36" s="125">
        <f t="shared" si="0"/>
        <v>0.29189046756100923</v>
      </c>
      <c r="F36" s="126">
        <f t="shared" si="1"/>
        <v>2172333592.87112</v>
      </c>
      <c r="H36" s="121"/>
    </row>
    <row r="37" spans="2:8">
      <c r="B37" s="123">
        <v>17</v>
      </c>
      <c r="C37" s="124">
        <f t="shared" si="2"/>
        <v>7897504288.9499149</v>
      </c>
      <c r="D37" s="139">
        <f>IF($C$17&lt;B37,0,Valuation_Model!$C$16)</f>
        <v>6.1165848114484E-2</v>
      </c>
      <c r="E37" s="125">
        <f t="shared" si="0"/>
        <v>0.27026895144537894</v>
      </c>
      <c r="F37" s="126">
        <f t="shared" si="1"/>
        <v>2134450203.2098765</v>
      </c>
      <c r="H37" s="121"/>
    </row>
    <row r="38" spans="2:8">
      <c r="B38" s="123">
        <v>18</v>
      </c>
      <c r="C38" s="124">
        <f t="shared" si="2"/>
        <v>8380561836.7713108</v>
      </c>
      <c r="D38" s="139">
        <f>IF($C$17&lt;B38,0,Valuation_Model!$C$16)</f>
        <v>6.1165848114484E-2</v>
      </c>
      <c r="E38" s="125">
        <f t="shared" si="0"/>
        <v>0.25024902911609154</v>
      </c>
      <c r="F38" s="126">
        <f t="shared" si="1"/>
        <v>2097227463.0993893</v>
      </c>
      <c r="H38" s="121"/>
    </row>
    <row r="39" spans="2:8">
      <c r="B39" s="123">
        <v>19</v>
      </c>
      <c r="C39" s="124">
        <f t="shared" si="2"/>
        <v>8893166009.1933041</v>
      </c>
      <c r="D39" s="139">
        <f>IF($C$17&lt;B39,0,Valuation_Model!$C$16)</f>
        <v>6.1165848114484E-2</v>
      </c>
      <c r="E39" s="125">
        <f t="shared" si="0"/>
        <v>0.23171206399638106</v>
      </c>
      <c r="F39" s="126">
        <f t="shared" si="1"/>
        <v>2060653851.4526396</v>
      </c>
      <c r="H39" s="121"/>
    </row>
    <row r="40" spans="2:8">
      <c r="B40" s="123">
        <v>20</v>
      </c>
      <c r="C40" s="124">
        <f t="shared" si="2"/>
        <v>9437124050.568512</v>
      </c>
      <c r="D40" s="139">
        <f>IF($C$17&lt;B40,0,Valuation_Model!$C$16)</f>
        <v>6.1165848114484E-2</v>
      </c>
      <c r="E40" s="125">
        <f t="shared" si="0"/>
        <v>0.21454820740405653</v>
      </c>
      <c r="F40" s="126">
        <f t="shared" si="1"/>
        <v>2024718048.0991831</v>
      </c>
      <c r="H40" s="121"/>
    </row>
    <row r="41" spans="2:8">
      <c r="B41" s="123">
        <v>21</v>
      </c>
      <c r="C41" s="124">
        <f t="shared" si="2"/>
        <v>10014353746.883129</v>
      </c>
      <c r="D41" s="139">
        <f>IF($C$17&lt;B41,0,Valuation_Model!$C$16)</f>
        <v>6.1165848114484E-2</v>
      </c>
      <c r="E41" s="125">
        <f t="shared" si="0"/>
        <v>0.19865574759634863</v>
      </c>
      <c r="F41" s="126">
        <f t="shared" si="1"/>
        <v>1989408930.281363</v>
      </c>
      <c r="H41" s="121"/>
    </row>
    <row r="42" spans="2:8">
      <c r="B42" s="123">
        <v>22</v>
      </c>
      <c r="C42" s="124">
        <f t="shared" si="2"/>
        <v>10626890187.129696</v>
      </c>
      <c r="D42" s="139">
        <f>IF($C$17&lt;B42,0,Valuation_Model!$C$16)</f>
        <v>6.1165848114484E-2</v>
      </c>
      <c r="E42" s="125">
        <f t="shared" si="0"/>
        <v>0.18394050703365611</v>
      </c>
      <c r="F42" s="126">
        <f t="shared" si="1"/>
        <v>1954715569.2116208</v>
      </c>
      <c r="H42" s="121"/>
    </row>
    <row r="43" spans="2:8">
      <c r="B43" s="123">
        <v>23</v>
      </c>
      <c r="C43" s="124">
        <f t="shared" si="2"/>
        <v>11276892938.244968</v>
      </c>
      <c r="D43" s="139">
        <f>IF($C$17&lt;B43,0,Valuation_Model!$C$16)</f>
        <v>6.1165848114484E-2</v>
      </c>
      <c r="E43" s="125">
        <f t="shared" si="0"/>
        <v>0.17031528429042234</v>
      </c>
      <c r="F43" s="126">
        <f t="shared" si="1"/>
        <v>1920627226.6898479</v>
      </c>
      <c r="H43" s="121"/>
    </row>
    <row r="44" spans="2:8">
      <c r="B44" s="123">
        <v>24</v>
      </c>
      <c r="C44" s="124">
        <f t="shared" si="2"/>
        <v>11966653658.908955</v>
      </c>
      <c r="D44" s="139">
        <f>IF($C$17&lt;B44,0,Valuation_Model!$C$16)</f>
        <v>6.1165848114484E-2</v>
      </c>
      <c r="E44" s="125">
        <f t="shared" si="0"/>
        <v>0.1576993373059466</v>
      </c>
      <c r="F44" s="126">
        <f t="shared" si="1"/>
        <v>1887133351.7797232</v>
      </c>
      <c r="H44" s="121"/>
    </row>
    <row r="45" spans="2:8">
      <c r="B45" s="123">
        <v>25</v>
      </c>
      <c r="C45" s="124">
        <f t="shared" si="2"/>
        <v>12698604179.048414</v>
      </c>
      <c r="D45" s="139">
        <f>IF($C$17&lt;B45,0,Valuation_Model!$C$16)</f>
        <v>6.1165848114484E-2</v>
      </c>
      <c r="E45" s="125">
        <f t="shared" si="0"/>
        <v>0.1460179049129135</v>
      </c>
      <c r="F45" s="126">
        <f t="shared" si="1"/>
        <v>1854223577.5430174</v>
      </c>
      <c r="H45" s="121"/>
    </row>
    <row r="46" spans="2:8">
      <c r="B46" s="123">
        <v>26</v>
      </c>
      <c r="C46" s="124">
        <f t="shared" si="2"/>
        <v>13475325073.530041</v>
      </c>
      <c r="D46" s="139">
        <f>IF($C$17&lt;B46,0,Valuation_Model!$C$16)</f>
        <v>6.1165848114484E-2</v>
      </c>
      <c r="E46" s="125">
        <f t="shared" si="0"/>
        <v>0.13520176380825324</v>
      </c>
      <c r="F46" s="126">
        <f t="shared" si="1"/>
        <v>1821887717.8308413</v>
      </c>
      <c r="H46" s="121"/>
    </row>
    <row r="47" spans="2:8">
      <c r="B47" s="123">
        <v>27</v>
      </c>
      <c r="C47" s="124">
        <f t="shared" si="2"/>
        <v>14299554760.270876</v>
      </c>
      <c r="D47" s="139">
        <f>IF($C$17&lt;B47,0,Valuation_Model!$C$16)</f>
        <v>6.1165848114484E-2</v>
      </c>
      <c r="E47" s="125">
        <f t="shared" si="0"/>
        <v>0.12518681834097523</v>
      </c>
      <c r="F47" s="126">
        <f t="shared" si="1"/>
        <v>1790115764.1308577</v>
      </c>
      <c r="H47" s="121"/>
    </row>
    <row r="48" spans="2:8">
      <c r="B48" s="123">
        <v>28</v>
      </c>
      <c r="C48" s="124">
        <f t="shared" si="2"/>
        <v>15174199154.842346</v>
      </c>
      <c r="D48" s="139">
        <f>IF($C$17&lt;B48,0,Valuation_Model!$C$16)</f>
        <v>6.1165848114484E-2</v>
      </c>
      <c r="E48" s="125">
        <f t="shared" si="0"/>
        <v>0.11591372068608817</v>
      </c>
      <c r="F48" s="126">
        <f t="shared" si="1"/>
        <v>1758897882.469471</v>
      </c>
      <c r="H48" s="121"/>
    </row>
    <row r="49" spans="1:8">
      <c r="B49" s="123">
        <v>29</v>
      </c>
      <c r="C49" s="124">
        <f t="shared" si="2"/>
        <v>16102341915.606363</v>
      </c>
      <c r="D49" s="139">
        <f>IF($C$17&lt;B49,0,Valuation_Model!$C$16)</f>
        <v>6.1165848114484E-2</v>
      </c>
      <c r="E49" s="125">
        <f t="shared" si="0"/>
        <v>0.10732751915378534</v>
      </c>
      <c r="F49" s="126">
        <f t="shared" si="1"/>
        <v>1728224410.3680425</v>
      </c>
      <c r="H49" s="121"/>
    </row>
    <row r="50" spans="1:8">
      <c r="B50" s="123">
        <v>30</v>
      </c>
      <c r="C50" s="124">
        <f t="shared" si="2"/>
        <v>17087255315.503832</v>
      </c>
      <c r="D50" s="139">
        <f>IF($C$17&lt;B50,0,Valuation_Model!$C$16)</f>
        <v>6.1165848114484E-2</v>
      </c>
      <c r="E50" s="125">
        <f t="shared" si="0"/>
        <v>9.9377332549801231E-2</v>
      </c>
      <c r="F50" s="126">
        <f t="shared" si="1"/>
        <v>1698085853.8521831</v>
      </c>
      <c r="H50" s="121"/>
    </row>
    <row r="51" spans="1:8">
      <c r="B51" s="127" t="s">
        <v>132</v>
      </c>
      <c r="C51" s="124">
        <f>C$21*(1+Terminal_Growth)^$C$17/Equity_Cost</f>
        <v>38182789372.245636</v>
      </c>
      <c r="D51" s="140">
        <f>Terminal_Growth</f>
        <v>0</v>
      </c>
      <c r="E51" s="125">
        <f>1/(1+Equity_Cost)^C17</f>
        <v>9.9377332549801231E-2</v>
      </c>
      <c r="F51" s="126">
        <f t="shared" si="1"/>
        <v>3794503757.124671</v>
      </c>
      <c r="H51" s="121"/>
    </row>
    <row r="52" spans="1:8">
      <c r="C52" s="115"/>
      <c r="E52" s="128" t="s">
        <v>101</v>
      </c>
      <c r="F52" s="138">
        <f>SUM(F21:F51)</f>
        <v>70305193599.693069</v>
      </c>
      <c r="H52" s="121"/>
    </row>
    <row r="53" spans="1:8">
      <c r="C53" s="115"/>
      <c r="H53" s="121"/>
    </row>
    <row r="54" spans="1:8" ht="13.15">
      <c r="B54" s="120" t="s">
        <v>130</v>
      </c>
      <c r="C54" s="137"/>
      <c r="D54" s="137"/>
      <c r="E54" s="118"/>
      <c r="F54" s="118"/>
      <c r="H54" s="121"/>
    </row>
    <row r="55" spans="1:8" ht="13.15">
      <c r="A55" s="134">
        <f>F52</f>
        <v>70305193599.693069</v>
      </c>
      <c r="B55" s="132">
        <f>C78</f>
        <v>0.02</v>
      </c>
      <c r="C55" s="132">
        <f>C77</f>
        <v>0.04</v>
      </c>
      <c r="D55" s="132">
        <f>C76</f>
        <v>0.06</v>
      </c>
      <c r="E55" s="132">
        <f>C75</f>
        <v>0.08</v>
      </c>
      <c r="F55" s="132">
        <f>C74</f>
        <v>0.1</v>
      </c>
      <c r="H55" s="121"/>
    </row>
    <row r="56" spans="1:8" ht="13.15">
      <c r="A56" s="144">
        <v>5</v>
      </c>
      <c r="B56" s="124">
        <f t="dataTable" ref="B56:F61" dt2D="1" dtr="1" r1="C16" r2="C17"/>
        <v>37142889685.047958</v>
      </c>
      <c r="C56" s="124">
        <v>38338625325.68676</v>
      </c>
      <c r="D56" s="124">
        <v>39570657206.166153</v>
      </c>
      <c r="E56" s="124">
        <v>40840558408.041</v>
      </c>
      <c r="F56" s="124">
        <v>42149950009.137527</v>
      </c>
      <c r="H56" s="121"/>
    </row>
    <row r="57" spans="1:8" ht="13.15">
      <c r="A57" s="144">
        <v>10</v>
      </c>
      <c r="B57" s="124">
        <v>38304923988.94548</v>
      </c>
      <c r="C57" s="124">
        <v>40860750982.9702</v>
      </c>
      <c r="D57" s="124">
        <v>43677269772.820816</v>
      </c>
      <c r="E57" s="124">
        <v>46785460097.189507</v>
      </c>
      <c r="F57" s="124">
        <v>50219725580.411713</v>
      </c>
      <c r="H57" s="121"/>
    </row>
    <row r="58" spans="1:8" ht="13.15">
      <c r="A58" s="144">
        <v>15</v>
      </c>
      <c r="B58" s="124">
        <v>39743263641.938789</v>
      </c>
      <c r="C58" s="124">
        <v>44148661620.958511</v>
      </c>
      <c r="D58" s="124">
        <v>49326073796.059967</v>
      </c>
      <c r="E58" s="124">
        <v>55428752803.37336</v>
      </c>
      <c r="F58" s="124">
        <v>62640009312.281334</v>
      </c>
      <c r="H58" s="121"/>
    </row>
    <row r="59" spans="1:8" ht="13.15">
      <c r="A59" s="145">
        <v>20</v>
      </c>
      <c r="B59" s="124">
        <v>41208701085.342056</v>
      </c>
      <c r="C59" s="124">
        <v>47687525506.916924</v>
      </c>
      <c r="D59" s="124">
        <v>55769823762.271301</v>
      </c>
      <c r="E59" s="124">
        <v>65908525094.778305</v>
      </c>
      <c r="F59" s="124">
        <v>78686872412.497101</v>
      </c>
      <c r="H59" s="121"/>
    </row>
    <row r="60" spans="1:8" ht="13.15">
      <c r="A60" s="145">
        <v>25</v>
      </c>
      <c r="B60" s="124">
        <v>42571639224.844902</v>
      </c>
      <c r="C60" s="124">
        <v>51173426824.192696</v>
      </c>
      <c r="D60" s="124">
        <v>62522677805.301147</v>
      </c>
      <c r="E60" s="124">
        <v>77638174533.580215</v>
      </c>
      <c r="F60" s="124">
        <v>97931585263.946564</v>
      </c>
      <c r="H60" s="121"/>
    </row>
    <row r="61" spans="1:8" ht="13.15">
      <c r="A61" s="145">
        <v>30</v>
      </c>
      <c r="B61" s="124">
        <v>43773940259.729683</v>
      </c>
      <c r="C61" s="124">
        <v>54438004300.662155</v>
      </c>
      <c r="D61" s="124">
        <v>69274673692.763107</v>
      </c>
      <c r="E61" s="124">
        <v>90218469357.257004</v>
      </c>
      <c r="F61" s="124">
        <v>120152471910.52258</v>
      </c>
      <c r="H61" s="121"/>
    </row>
    <row r="62" spans="1:8">
      <c r="C62" s="115"/>
      <c r="D62" s="115"/>
      <c r="E62" s="115"/>
      <c r="F62" s="115"/>
      <c r="H62" s="121"/>
    </row>
    <row r="63" spans="1:8" ht="13.15">
      <c r="B63" s="120" t="s">
        <v>131</v>
      </c>
      <c r="C63" s="115"/>
      <c r="D63" s="115"/>
      <c r="E63" s="115"/>
      <c r="F63" s="115"/>
      <c r="H63" s="121"/>
    </row>
    <row r="64" spans="1:8" ht="13.15">
      <c r="B64" s="133">
        <f>B55</f>
        <v>0.02</v>
      </c>
      <c r="C64" s="133">
        <f>C55</f>
        <v>0.04</v>
      </c>
      <c r="D64" s="133">
        <f>D55</f>
        <v>0.06</v>
      </c>
      <c r="E64" s="133">
        <f>E55</f>
        <v>0.08</v>
      </c>
      <c r="F64" s="133">
        <f>F55</f>
        <v>0.1</v>
      </c>
      <c r="H64" s="121"/>
    </row>
    <row r="65" spans="1:8" ht="13.15">
      <c r="A65" s="144">
        <v>0</v>
      </c>
      <c r="B65" s="125">
        <f>C12</f>
        <v>40.364928236126403</v>
      </c>
      <c r="C65" s="125">
        <f>C12</f>
        <v>40.364928236126403</v>
      </c>
      <c r="D65" s="125">
        <f>C12</f>
        <v>40.364928236126403</v>
      </c>
      <c r="E65" s="142">
        <f>C12</f>
        <v>40.364928236126403</v>
      </c>
      <c r="F65" s="125">
        <f>C12</f>
        <v>40.364928236126403</v>
      </c>
      <c r="H65" s="121"/>
    </row>
    <row r="66" spans="1:8" ht="13.15">
      <c r="A66" s="144">
        <f t="shared" ref="A66:A71" si="3">A56</f>
        <v>5</v>
      </c>
      <c r="B66" s="125">
        <f t="shared" ref="B66:F71" si="4">(B56-$C$7+$C$8+$C$9)/Common_Shares*$C$3*Exchange_Rate</f>
        <v>41.279120015080039</v>
      </c>
      <c r="C66" s="125">
        <f t="shared" si="4"/>
        <v>42.220691438876045</v>
      </c>
      <c r="D66" s="125">
        <f t="shared" si="4"/>
        <v>43.190844014779287</v>
      </c>
      <c r="E66" s="125">
        <f t="shared" si="4"/>
        <v>44.190816451906592</v>
      </c>
      <c r="F66" s="125">
        <f t="shared" si="4"/>
        <v>45.221885253612918</v>
      </c>
      <c r="H66" s="121"/>
    </row>
    <row r="67" spans="1:8" ht="13.15">
      <c r="A67" s="144">
        <f t="shared" si="3"/>
        <v>10</v>
      </c>
      <c r="B67" s="125">
        <f t="shared" si="4"/>
        <v>42.194153620197028</v>
      </c>
      <c r="C67" s="125">
        <f t="shared" si="4"/>
        <v>44.206716915922236</v>
      </c>
      <c r="D67" s="125">
        <f t="shared" si="4"/>
        <v>46.42455965387984</v>
      </c>
      <c r="E67" s="125">
        <f t="shared" si="4"/>
        <v>48.872076554506236</v>
      </c>
      <c r="F67" s="125">
        <f t="shared" si="4"/>
        <v>51.576358446617036</v>
      </c>
      <c r="H67" s="121"/>
    </row>
    <row r="68" spans="1:8" ht="13.15">
      <c r="A68" s="144">
        <f t="shared" si="3"/>
        <v>15</v>
      </c>
      <c r="B68" s="125">
        <f t="shared" si="4"/>
        <v>43.326761421573295</v>
      </c>
      <c r="C68" s="125">
        <f t="shared" si="4"/>
        <v>46.795752983351662</v>
      </c>
      <c r="D68" s="125">
        <f t="shared" si="4"/>
        <v>50.872660275907336</v>
      </c>
      <c r="E68" s="125">
        <f t="shared" si="4"/>
        <v>55.678160728178128</v>
      </c>
      <c r="F68" s="125">
        <f t="shared" si="4"/>
        <v>61.356600700765469</v>
      </c>
      <c r="H68" s="121"/>
    </row>
    <row r="69" spans="1:8" ht="13.15">
      <c r="A69" s="145">
        <f t="shared" si="3"/>
        <v>20</v>
      </c>
      <c r="B69" s="125">
        <f t="shared" si="4"/>
        <v>44.480707137644828</v>
      </c>
      <c r="C69" s="125">
        <f t="shared" si="4"/>
        <v>49.582399959887397</v>
      </c>
      <c r="D69" s="125">
        <f t="shared" si="4"/>
        <v>55.946734029391642</v>
      </c>
      <c r="E69" s="125">
        <f t="shared" si="4"/>
        <v>63.930364461274657</v>
      </c>
      <c r="F69" s="125">
        <f t="shared" si="4"/>
        <v>73.9925607100012</v>
      </c>
      <c r="H69" s="121"/>
    </row>
    <row r="70" spans="1:8" ht="13.15">
      <c r="A70" s="145">
        <f t="shared" si="3"/>
        <v>25</v>
      </c>
      <c r="B70" s="125">
        <f t="shared" si="4"/>
        <v>45.553940686050225</v>
      </c>
      <c r="C70" s="125">
        <f t="shared" si="4"/>
        <v>52.327342031503029</v>
      </c>
      <c r="D70" s="125">
        <f t="shared" si="4"/>
        <v>61.26420904634891</v>
      </c>
      <c r="E70" s="125">
        <f t="shared" si="4"/>
        <v>73.166772867417436</v>
      </c>
      <c r="F70" s="125">
        <f t="shared" si="4"/>
        <v>89.146639140250329</v>
      </c>
    </row>
    <row r="71" spans="1:8" ht="13.15">
      <c r="A71" s="145">
        <f t="shared" si="3"/>
        <v>30</v>
      </c>
      <c r="B71" s="125">
        <f t="shared" si="4"/>
        <v>46.500681971308808</v>
      </c>
      <c r="C71" s="125">
        <f t="shared" si="4"/>
        <v>54.898004607864458</v>
      </c>
      <c r="D71" s="125">
        <f t="shared" si="4"/>
        <v>66.581008316316257</v>
      </c>
      <c r="E71" s="125">
        <f t="shared" si="4"/>
        <v>83.073014436477592</v>
      </c>
      <c r="F71" s="125">
        <f t="shared" si="4"/>
        <v>106.64427922618833</v>
      </c>
    </row>
    <row r="73" spans="1:8" ht="13.15">
      <c r="B73" s="172" t="s">
        <v>118</v>
      </c>
      <c r="C73" s="172" t="s">
        <v>133</v>
      </c>
      <c r="D73" s="172" t="s">
        <v>113</v>
      </c>
      <c r="E73" s="173" t="s">
        <v>114</v>
      </c>
      <c r="F73" s="173" t="s">
        <v>120</v>
      </c>
    </row>
    <row r="74" spans="1:8">
      <c r="B74" s="128" t="str">
        <f>Scenarios!B54</f>
        <v>Snowball Scenario</v>
      </c>
      <c r="C74" s="143">
        <f>Scenarios!C56</f>
        <v>0.1</v>
      </c>
      <c r="D74" s="146">
        <f>Scenarios!C55</f>
        <v>30</v>
      </c>
      <c r="E74" s="136">
        <f>INDEX(B$65:F$71, MATCH(D74, A$65:A$71, 0), MATCH(C74, B$64:F$64, 0))</f>
        <v>106.64427922618833</v>
      </c>
      <c r="F74" s="143">
        <f>Scenarios!C58</f>
        <v>0.05</v>
      </c>
    </row>
    <row r="75" spans="1:8">
      <c r="B75" s="128" t="str">
        <f>Scenarios!B36</f>
        <v>Optimistic</v>
      </c>
      <c r="C75" s="143">
        <f>Scenarios!C38</f>
        <v>0.08</v>
      </c>
      <c r="D75" s="146">
        <f>Scenarios!C37</f>
        <v>30</v>
      </c>
      <c r="E75" s="136">
        <f>INDEX(B$65:F$71, MATCH(D75, A$65:A$71, 0), MATCH(C75, B$64:F$64, 0))</f>
        <v>83.073014436477592</v>
      </c>
      <c r="F75" s="143">
        <f>Scenarios!C40*(1-F$74-F$78)</f>
        <v>0.18</v>
      </c>
      <c r="H75" s="121"/>
    </row>
    <row r="76" spans="1:8">
      <c r="B76" s="128" t="str">
        <f>Scenarios!B24</f>
        <v>Base</v>
      </c>
      <c r="C76" s="143">
        <f>Scenarios!C26</f>
        <v>0.06</v>
      </c>
      <c r="D76" s="146">
        <f>Scenarios!C25</f>
        <v>30</v>
      </c>
      <c r="E76" s="136">
        <f>INDEX(B$65:F$71, MATCH(D76, A$65:A$71, 0), MATCH(C76, B$64:F$64, 0))</f>
        <v>66.581008316316257</v>
      </c>
      <c r="F76" s="143">
        <f>Scenarios!C28*(1-F$74-F$78)</f>
        <v>0.44999999999999996</v>
      </c>
      <c r="H76" s="121"/>
    </row>
    <row r="77" spans="1:8">
      <c r="B77" s="128" t="str">
        <f>Scenarios!B30</f>
        <v>Pessimistic</v>
      </c>
      <c r="C77" s="143">
        <f>Scenarios!C32</f>
        <v>0.04</v>
      </c>
      <c r="D77" s="146">
        <f>Scenarios!C31</f>
        <v>30</v>
      </c>
      <c r="E77" s="136">
        <f>INDEX(B$65:F$71, MATCH(D77, A$65:A$71, 0), MATCH(C77, B$64:F$64, 0))</f>
        <v>54.898004607864458</v>
      </c>
      <c r="F77" s="143">
        <f>Scenarios!C34*(1-F$74-F$78)</f>
        <v>0.26999999999999996</v>
      </c>
      <c r="H77" s="121"/>
    </row>
    <row r="78" spans="1:8">
      <c r="B78" s="128" t="str">
        <f>Scenarios!B48</f>
        <v>Devil's advocate</v>
      </c>
      <c r="C78" s="143">
        <f>Scenarios!C50</f>
        <v>0.02</v>
      </c>
      <c r="D78" s="146">
        <f>Scenarios!C49</f>
        <v>30</v>
      </c>
      <c r="E78" s="136">
        <f>INDEX(B$65:F$71, MATCH(D78, A$65:A$71, 0), MATCH(C78, B$64:F$64, 0))</f>
        <v>46.500681971308808</v>
      </c>
      <c r="F78" s="143">
        <f>Scenarios!C52</f>
        <v>0.05</v>
      </c>
    </row>
    <row r="79" spans="1:8">
      <c r="B79" s="156"/>
      <c r="C79" s="156"/>
      <c r="D79" s="156"/>
      <c r="E79" s="156"/>
      <c r="F79" s="157"/>
    </row>
    <row r="80" spans="1:8">
      <c r="B80" s="156" t="s">
        <v>318</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04"/>
  <sheetViews>
    <sheetView showGridLines="0" zoomScale="75" zoomScaleNormal="100" workbookViewId="0">
      <selection activeCell="F62" sqref="F62"/>
    </sheetView>
  </sheetViews>
  <sheetFormatPr defaultColWidth="8.796875" defaultRowHeight="12.7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c r="B2" s="36" t="s">
        <v>146</v>
      </c>
      <c r="C2" s="37"/>
      <c r="D2" s="37"/>
      <c r="E2" s="37"/>
      <c r="F2" s="37"/>
      <c r="H2" s="277" t="s">
        <v>302</v>
      </c>
      <c r="I2" s="278"/>
    </row>
    <row r="3" spans="2:9" ht="13.15">
      <c r="B3" s="160" t="s">
        <v>149</v>
      </c>
      <c r="H3" s="276">
        <v>0</v>
      </c>
      <c r="I3" s="264">
        <f>-Market_Price</f>
        <v>-53.55</v>
      </c>
    </row>
    <row r="4" spans="2:9">
      <c r="B4" s="153" t="s">
        <v>147</v>
      </c>
      <c r="C4" s="121">
        <v>3</v>
      </c>
      <c r="D4" s="121"/>
      <c r="E4" s="156" t="s">
        <v>151</v>
      </c>
      <c r="F4" s="156"/>
      <c r="H4" s="276">
        <v>1</v>
      </c>
      <c r="I4" s="264">
        <f t="shared" ref="I4:I13" si="0">IF(ROW()-3 &lt; $C$76, $C$77, IF(ROW()-3 = $C$76, $C$77 + $C$60, ""))</f>
        <v>2.0479887326362438</v>
      </c>
    </row>
    <row r="5" spans="2:9">
      <c r="H5" s="276">
        <v>2</v>
      </c>
      <c r="I5" s="264">
        <f t="shared" si="0"/>
        <v>2.0479887326362438</v>
      </c>
    </row>
    <row r="6" spans="2:9" ht="13.15">
      <c r="B6" s="160" t="s">
        <v>96</v>
      </c>
      <c r="C6" s="107">
        <f>Valuation_Model!C3</f>
        <v>1</v>
      </c>
      <c r="E6" s="100" t="s">
        <v>282</v>
      </c>
      <c r="F6" s="100"/>
      <c r="H6" s="276">
        <v>3</v>
      </c>
      <c r="I6" s="264">
        <f t="shared" si="0"/>
        <v>69.44229437754278</v>
      </c>
    </row>
    <row r="7" spans="2:9" ht="12.75" customHeight="1">
      <c r="B7" s="100" t="s">
        <v>276</v>
      </c>
      <c r="C7" s="115">
        <f>Normalized_FCF!G8</f>
        <v>4487792577</v>
      </c>
      <c r="D7" t="str">
        <f>Reporting_currency</f>
        <v>CNY</v>
      </c>
      <c r="E7" s="353"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30-year scenarios (Base Case, Pessimistic Case, Optimistic Case) and two extreme 30-year scenarios (Success Scenario, Devil’s Advocate Scenario) for 青島啤酒股份(0168.HK). Each scenario should include the Compound Growth Rate, the Probability Assessment, and the Business Narrative.</v>
      </c>
      <c r="F7" s="353"/>
      <c r="H7" s="276">
        <v>4</v>
      </c>
      <c r="I7" s="264" t="str">
        <f t="shared" si="0"/>
        <v/>
      </c>
    </row>
    <row r="8" spans="2:9">
      <c r="B8" s="100" t="s">
        <v>66</v>
      </c>
      <c r="C8" s="115">
        <f>Normalized_FCF!G19</f>
        <v>3155072341.2996616</v>
      </c>
      <c r="D8" t="str">
        <f>Reporting_currency</f>
        <v>CNY</v>
      </c>
      <c r="E8" s="353"/>
      <c r="F8" s="353"/>
      <c r="H8" s="276">
        <v>5</v>
      </c>
      <c r="I8" s="264" t="str">
        <f t="shared" si="0"/>
        <v/>
      </c>
    </row>
    <row r="9" spans="2:9">
      <c r="B9" s="100" t="s">
        <v>57</v>
      </c>
      <c r="C9" s="201">
        <f>Normalized_FCF!C19</f>
        <v>2878553955.7338853</v>
      </c>
      <c r="D9" t="str">
        <f>Reporting_currency</f>
        <v>CNY</v>
      </c>
      <c r="E9" s="353"/>
      <c r="F9" s="353"/>
      <c r="H9" s="276">
        <v>6</v>
      </c>
      <c r="I9" s="264" t="str">
        <f t="shared" si="0"/>
        <v/>
      </c>
    </row>
    <row r="10" spans="2:9">
      <c r="E10" s="353"/>
      <c r="F10" s="353"/>
      <c r="H10" s="276">
        <v>7</v>
      </c>
      <c r="I10" s="264" t="str">
        <f t="shared" si="0"/>
        <v/>
      </c>
    </row>
    <row r="11" spans="2:9" ht="13.15">
      <c r="B11" s="160" t="s">
        <v>279</v>
      </c>
      <c r="E11" s="353"/>
      <c r="F11" s="353"/>
      <c r="H11" s="276">
        <v>8</v>
      </c>
      <c r="I11" s="264" t="str">
        <f t="shared" si="0"/>
        <v/>
      </c>
    </row>
    <row r="12" spans="2:9">
      <c r="B12" s="119" t="s">
        <v>145</v>
      </c>
      <c r="C12" s="159">
        <f ca="1">(Normalized_FCF!G4/OFFSET(Normalized_FCF!G4, 0, $C$4))^(1/$C$4) - 1</f>
        <v>2.1321347914251776E-2</v>
      </c>
      <c r="D12" s="159"/>
      <c r="E12" s="353"/>
      <c r="F12" s="353"/>
      <c r="H12" s="276">
        <v>9</v>
      </c>
      <c r="I12" s="264" t="str">
        <f t="shared" si="0"/>
        <v/>
      </c>
    </row>
    <row r="13" spans="2:9">
      <c r="B13" s="149" t="s">
        <v>153</v>
      </c>
      <c r="C13" s="159">
        <f ca="1">(Normalized_FCF!G8/OFFSET(Normalized_FCF!G8, 0, $C$4))^(1/$C$4) - 1</f>
        <v>0.15185942572632172</v>
      </c>
      <c r="E13" s="353"/>
      <c r="F13" s="353"/>
      <c r="H13" s="276">
        <v>10</v>
      </c>
      <c r="I13" s="264" t="str">
        <f t="shared" si="0"/>
        <v/>
      </c>
    </row>
    <row r="14" spans="2:9">
      <c r="B14" s="100" t="s">
        <v>66</v>
      </c>
      <c r="C14" s="159">
        <f ca="1">(Normalized_FCF!G19/OFFSET(Normalized_FCF!G19, 0, $C$4))^(1/$C$4) - 1</f>
        <v>0.22851253061636267</v>
      </c>
      <c r="E14" s="353"/>
      <c r="F14" s="353"/>
    </row>
    <row r="16" spans="2:9" ht="13.9">
      <c r="B16" s="36" t="s">
        <v>163</v>
      </c>
      <c r="C16" s="37"/>
      <c r="D16" s="37"/>
      <c r="E16" s="37"/>
      <c r="F16" s="37"/>
    </row>
    <row r="17" spans="2:6" ht="13.15">
      <c r="B17" s="109" t="s">
        <v>152</v>
      </c>
      <c r="E17" s="160" t="s">
        <v>337</v>
      </c>
    </row>
    <row r="18" spans="2:6">
      <c r="B18" s="153" t="s">
        <v>134</v>
      </c>
      <c r="C18" s="151">
        <v>30</v>
      </c>
      <c r="E18" s="353" t="s">
        <v>338</v>
      </c>
      <c r="F18" s="354"/>
    </row>
    <row r="19" spans="2:6">
      <c r="E19" s="354"/>
      <c r="F19" s="354"/>
    </row>
    <row r="20" spans="2:6" ht="13.15">
      <c r="B20" s="160" t="s">
        <v>310</v>
      </c>
      <c r="E20" s="354"/>
      <c r="F20" s="354"/>
    </row>
    <row r="21" spans="2:6">
      <c r="B21" s="100" t="s">
        <v>280</v>
      </c>
      <c r="C21" s="161">
        <f>Market_Price</f>
        <v>53.55</v>
      </c>
      <c r="D21" t="str">
        <f>Market_currency</f>
        <v>HKD</v>
      </c>
      <c r="E21" s="354"/>
      <c r="F21" s="354"/>
    </row>
    <row r="22" spans="2:6">
      <c r="B22" s="100" t="s">
        <v>281</v>
      </c>
      <c r="C22" s="161">
        <f>Valuation_Model!C12</f>
        <v>40.364928236126403</v>
      </c>
      <c r="D22" t="str">
        <f>Market_currency</f>
        <v>HKD</v>
      </c>
      <c r="E22" s="354"/>
      <c r="F22" s="354"/>
    </row>
    <row r="24" spans="2:6" ht="13.15">
      <c r="B24" s="160" t="s">
        <v>116</v>
      </c>
      <c r="E24" s="160" t="s">
        <v>150</v>
      </c>
      <c r="F24" s="160"/>
    </row>
    <row r="25" spans="2:6">
      <c r="B25" s="153" t="s">
        <v>134</v>
      </c>
      <c r="C25" s="167">
        <f>C18</f>
        <v>30</v>
      </c>
      <c r="D25" s="164"/>
      <c r="E25" s="352"/>
      <c r="F25" s="352"/>
    </row>
    <row r="26" spans="2:6">
      <c r="B26" s="119" t="s">
        <v>135</v>
      </c>
      <c r="C26" s="165">
        <v>0.06</v>
      </c>
      <c r="D26" s="165"/>
      <c r="E26" s="352"/>
      <c r="F26" s="352"/>
    </row>
    <row r="27" spans="2:6">
      <c r="B27" s="100" t="s">
        <v>114</v>
      </c>
      <c r="C27" s="161">
        <f>Valuation_Model!E76</f>
        <v>66.581008316316257</v>
      </c>
      <c r="D27" s="161" t="str">
        <f>Market_currency</f>
        <v>HKD</v>
      </c>
      <c r="E27" s="352"/>
      <c r="F27" s="352"/>
    </row>
    <row r="28" spans="2:6">
      <c r="B28" s="100" t="s">
        <v>148</v>
      </c>
      <c r="C28" s="166">
        <v>0.5</v>
      </c>
      <c r="D28" s="166"/>
      <c r="E28" s="352"/>
      <c r="F28" s="352"/>
    </row>
    <row r="30" spans="2:6" ht="13.15">
      <c r="B30" s="160" t="s">
        <v>117</v>
      </c>
      <c r="E30" s="160" t="s">
        <v>150</v>
      </c>
      <c r="F30" s="160"/>
    </row>
    <row r="31" spans="2:6">
      <c r="B31" s="153" t="s">
        <v>134</v>
      </c>
      <c r="C31" s="167">
        <f>C18</f>
        <v>30</v>
      </c>
      <c r="D31" s="164"/>
      <c r="E31" s="352"/>
      <c r="F31" s="352"/>
    </row>
    <row r="32" spans="2:6">
      <c r="B32" s="119" t="s">
        <v>135</v>
      </c>
      <c r="C32" s="165">
        <v>0.04</v>
      </c>
      <c r="D32" s="165"/>
      <c r="E32" s="352"/>
      <c r="F32" s="352"/>
    </row>
    <row r="33" spans="2:6">
      <c r="B33" s="100" t="s">
        <v>114</v>
      </c>
      <c r="C33" s="161">
        <f>Valuation_Model!E77</f>
        <v>54.898004607864458</v>
      </c>
      <c r="D33" t="str">
        <f>Market_currency</f>
        <v>HKD</v>
      </c>
      <c r="E33" s="352"/>
      <c r="F33" s="352"/>
    </row>
    <row r="34" spans="2:6">
      <c r="B34" s="100" t="s">
        <v>148</v>
      </c>
      <c r="C34" s="166">
        <v>0.3</v>
      </c>
      <c r="D34" s="166"/>
      <c r="E34" s="352"/>
      <c r="F34" s="352"/>
    </row>
    <row r="36" spans="2:6" ht="13.15">
      <c r="B36" s="160" t="s">
        <v>115</v>
      </c>
      <c r="E36" s="160" t="s">
        <v>150</v>
      </c>
      <c r="F36" s="160"/>
    </row>
    <row r="37" spans="2:6">
      <c r="B37" s="153" t="s">
        <v>134</v>
      </c>
      <c r="C37" s="167">
        <f>C18</f>
        <v>30</v>
      </c>
      <c r="D37" s="164"/>
      <c r="E37" s="352"/>
      <c r="F37" s="352"/>
    </row>
    <row r="38" spans="2:6">
      <c r="B38" s="119" t="s">
        <v>135</v>
      </c>
      <c r="C38" s="165">
        <v>0.08</v>
      </c>
      <c r="D38" s="165"/>
      <c r="E38" s="352"/>
      <c r="F38" s="352"/>
    </row>
    <row r="39" spans="2:6">
      <c r="B39" s="100" t="s">
        <v>114</v>
      </c>
      <c r="C39" s="161">
        <f>Valuation_Model!E75</f>
        <v>83.073014436477592</v>
      </c>
      <c r="D39" t="str">
        <f>Market_currency</f>
        <v>HKD</v>
      </c>
      <c r="E39" s="352"/>
      <c r="F39" s="352"/>
    </row>
    <row r="40" spans="2:6">
      <c r="B40" s="100" t="s">
        <v>148</v>
      </c>
      <c r="C40" s="168">
        <f>1-C28-C34</f>
        <v>0.2</v>
      </c>
      <c r="D40" s="166"/>
      <c r="E40" s="352"/>
      <c r="F40" s="352"/>
    </row>
    <row r="42" spans="2:6" ht="13.15">
      <c r="B42" s="100" t="s">
        <v>121</v>
      </c>
      <c r="C42" s="155">
        <f>C27*C28+C33*C34+C39*C40</f>
        <v>66.374508427812984</v>
      </c>
      <c r="D42" t="str">
        <f>Market_currency</f>
        <v>HKD</v>
      </c>
    </row>
    <row r="44" spans="2:6" ht="13.9">
      <c r="B44" s="36" t="s">
        <v>162</v>
      </c>
      <c r="C44" s="37"/>
      <c r="D44" s="37"/>
      <c r="E44" s="37"/>
      <c r="F44" s="37"/>
    </row>
    <row r="45" spans="2:6" ht="13.15">
      <c r="B45" s="109" t="s">
        <v>152</v>
      </c>
    </row>
    <row r="46" spans="2:6">
      <c r="B46" s="153" t="s">
        <v>134</v>
      </c>
      <c r="C46" s="151">
        <v>30</v>
      </c>
      <c r="E46" s="100"/>
      <c r="F46" s="100"/>
    </row>
    <row r="47" spans="2:6" ht="13.15">
      <c r="B47" s="160"/>
      <c r="E47" s="160"/>
      <c r="F47" s="160"/>
    </row>
    <row r="48" spans="2:6" ht="13.15">
      <c r="B48" s="160" t="s">
        <v>166</v>
      </c>
      <c r="E48" s="160" t="s">
        <v>150</v>
      </c>
      <c r="F48" s="160"/>
    </row>
    <row r="49" spans="2:6" ht="12.75" customHeight="1">
      <c r="B49" s="153" t="s">
        <v>134</v>
      </c>
      <c r="C49" s="167">
        <f>C46</f>
        <v>30</v>
      </c>
      <c r="D49" s="164"/>
      <c r="E49" s="352"/>
      <c r="F49" s="352"/>
    </row>
    <row r="50" spans="2:6">
      <c r="B50" s="119" t="s">
        <v>135</v>
      </c>
      <c r="C50" s="165">
        <v>0.02</v>
      </c>
      <c r="D50" s="165"/>
      <c r="E50" s="352"/>
      <c r="F50" s="352"/>
    </row>
    <row r="51" spans="2:6">
      <c r="B51" s="100" t="s">
        <v>114</v>
      </c>
      <c r="C51" s="161">
        <f>Valuation_Model!E78</f>
        <v>46.500681971308808</v>
      </c>
      <c r="D51" t="str">
        <f>Market_currency</f>
        <v>HKD</v>
      </c>
      <c r="E51" s="352"/>
      <c r="F51" s="352"/>
    </row>
    <row r="52" spans="2:6">
      <c r="B52" s="100" t="s">
        <v>148</v>
      </c>
      <c r="C52" s="166">
        <v>0.05</v>
      </c>
      <c r="D52" s="166"/>
      <c r="E52" s="352"/>
      <c r="F52" s="352"/>
    </row>
    <row r="54" spans="2:6" ht="13.15">
      <c r="B54" s="160" t="s">
        <v>324</v>
      </c>
      <c r="E54" s="160" t="s">
        <v>150</v>
      </c>
      <c r="F54" s="160"/>
    </row>
    <row r="55" spans="2:6">
      <c r="B55" s="153" t="s">
        <v>134</v>
      </c>
      <c r="C55" s="167">
        <f>C46</f>
        <v>30</v>
      </c>
      <c r="D55" s="164"/>
      <c r="E55" s="352"/>
      <c r="F55" s="352"/>
    </row>
    <row r="56" spans="2:6">
      <c r="B56" s="119" t="s">
        <v>135</v>
      </c>
      <c r="C56" s="165">
        <v>0.1</v>
      </c>
      <c r="D56" s="165"/>
      <c r="E56" s="352"/>
      <c r="F56" s="352"/>
    </row>
    <row r="57" spans="2:6">
      <c r="B57" s="100" t="s">
        <v>114</v>
      </c>
      <c r="C57" s="161">
        <f>Valuation_Model!E74</f>
        <v>106.64427922618833</v>
      </c>
      <c r="D57" t="str">
        <f>Market_currency</f>
        <v>HKD</v>
      </c>
      <c r="E57" s="352"/>
      <c r="F57" s="352"/>
    </row>
    <row r="58" spans="2:6">
      <c r="B58" s="100" t="s">
        <v>148</v>
      </c>
      <c r="C58" s="166">
        <v>0.05</v>
      </c>
      <c r="D58" s="166"/>
      <c r="E58" s="352"/>
      <c r="F58" s="352"/>
    </row>
    <row r="60" spans="2:6" ht="13.15">
      <c r="B60" s="100" t="s">
        <v>121</v>
      </c>
      <c r="C60" s="155">
        <f>C51*C52+C57*C58+C42*(1-C52-C58)</f>
        <v>67.394305644906538</v>
      </c>
      <c r="D60" t="str">
        <f>Market_currency</f>
        <v>HKD</v>
      </c>
      <c r="E60" s="100" t="s">
        <v>303</v>
      </c>
      <c r="F60" s="312">
        <f>Thesis!E25</f>
        <v>3</v>
      </c>
    </row>
    <row r="62" spans="2:6" ht="13.9">
      <c r="B62" s="36" t="s">
        <v>357</v>
      </c>
      <c r="C62" s="37"/>
      <c r="D62" s="37"/>
      <c r="E62" s="37"/>
      <c r="F62" s="37"/>
    </row>
    <row r="63" spans="2:6" ht="13.15">
      <c r="B63" s="109" t="s">
        <v>311</v>
      </c>
      <c r="E63" s="282" t="s">
        <v>319</v>
      </c>
    </row>
    <row r="64" spans="2:6">
      <c r="B64" s="153" t="s">
        <v>134</v>
      </c>
      <c r="C64" s="167">
        <f>C18</f>
        <v>30</v>
      </c>
      <c r="D64" s="151"/>
      <c r="E64" s="281" t="s">
        <v>403</v>
      </c>
    </row>
    <row r="65" spans="2:6">
      <c r="B65" s="119" t="s">
        <v>135</v>
      </c>
      <c r="C65" s="152">
        <v>6.1165848114484E-2</v>
      </c>
      <c r="D65" s="152"/>
      <c r="E65" s="281" t="s">
        <v>320</v>
      </c>
    </row>
    <row r="66" spans="2:6">
      <c r="B66" s="100" t="s">
        <v>103</v>
      </c>
      <c r="C66" s="161">
        <f>Valuation_Model!C18</f>
        <v>67.392482076101331</v>
      </c>
      <c r="D66" s="161" t="str">
        <f>Market_currency</f>
        <v>HKD</v>
      </c>
      <c r="E66" s="281" t="s">
        <v>321</v>
      </c>
    </row>
    <row r="68" spans="2:6" ht="13.15">
      <c r="B68" s="109" t="s">
        <v>358</v>
      </c>
      <c r="E68" s="282" t="s">
        <v>322</v>
      </c>
    </row>
    <row r="69" spans="2:6">
      <c r="B69" s="100" t="s">
        <v>312</v>
      </c>
      <c r="C69" s="273" t="str">
        <f>IF(C60&lt;C22,"Y","N")</f>
        <v>N</v>
      </c>
      <c r="E69" s="135"/>
    </row>
    <row r="70" spans="2:6">
      <c r="B70" s="100" t="s">
        <v>300</v>
      </c>
      <c r="C70" s="273" t="str">
        <f>IF(C69="Y","N",IF(C65&gt;8%,"N","Y"))</f>
        <v>Y</v>
      </c>
      <c r="E70" s="281" t="s">
        <v>301</v>
      </c>
    </row>
    <row r="71" spans="2:6">
      <c r="B71" s="100" t="s">
        <v>299</v>
      </c>
      <c r="C71" s="273" t="str">
        <f>IF(C65&gt;8%,"Y","N")</f>
        <v>N</v>
      </c>
      <c r="E71" s="281"/>
    </row>
    <row r="72" spans="2:6">
      <c r="B72" s="100" t="s">
        <v>291</v>
      </c>
      <c r="C72" s="272" t="str">
        <f>IF(F72&gt;50%,"Y","N")</f>
        <v>N</v>
      </c>
      <c r="E72" s="135" t="s">
        <v>354</v>
      </c>
      <c r="F72" s="329">
        <f>BS!D89/C60</f>
        <v>0.17852073528547371</v>
      </c>
    </row>
    <row r="74" spans="2:6" ht="13.9">
      <c r="B74" s="36" t="s">
        <v>128</v>
      </c>
      <c r="C74" s="37"/>
      <c r="D74" s="37"/>
      <c r="E74" s="37"/>
      <c r="F74" s="37"/>
    </row>
    <row r="75" spans="2:6" ht="13.15">
      <c r="B75" s="109" t="s">
        <v>126</v>
      </c>
    </row>
    <row r="76" spans="2:6">
      <c r="B76" s="275" t="s">
        <v>304</v>
      </c>
      <c r="C76" s="274">
        <f>F60</f>
        <v>3</v>
      </c>
      <c r="D76" s="135"/>
    </row>
    <row r="77" spans="2:6">
      <c r="B77" s="100" t="s">
        <v>112</v>
      </c>
      <c r="C77" s="174">
        <f>Normalized_FCF!C90</f>
        <v>2.0479887326362438</v>
      </c>
      <c r="D77" t="str">
        <f>Market_currency</f>
        <v>HKD</v>
      </c>
    </row>
    <row r="79" spans="2:6" ht="13.15">
      <c r="B79" s="109" t="s">
        <v>308</v>
      </c>
    </row>
    <row r="80" spans="2:6">
      <c r="B80" s="149" t="s">
        <v>306</v>
      </c>
      <c r="C80" s="168">
        <f>Thesis!C132</f>
        <v>0.3</v>
      </c>
    </row>
    <row r="81" spans="2:8">
      <c r="B81" s="100" t="s">
        <v>122</v>
      </c>
      <c r="C81" s="117">
        <f>PV(C80, C76, -C77, 0)</f>
        <v>3.7193787178965021</v>
      </c>
      <c r="D81" s="117"/>
      <c r="E81" s="100"/>
      <c r="F81" s="100"/>
    </row>
    <row r="82" spans="2:8">
      <c r="B82" s="100" t="s">
        <v>123</v>
      </c>
      <c r="C82" s="117">
        <f>C60/(1+C80)^C76</f>
        <v>30.675605664500011</v>
      </c>
      <c r="D82" s="117"/>
    </row>
    <row r="83" spans="2:8" ht="13.15">
      <c r="B83" s="111" t="s">
        <v>102</v>
      </c>
      <c r="C83" s="112">
        <f>C81+C82</f>
        <v>34.394984382396515</v>
      </c>
      <c r="D83" t="str">
        <f>Market_currency</f>
        <v>HKD</v>
      </c>
      <c r="E83" s="147" t="s">
        <v>127</v>
      </c>
      <c r="F83" s="329">
        <f>(1-C83/C60)</f>
        <v>0.48964554121797699</v>
      </c>
    </row>
    <row r="84" spans="2:8">
      <c r="E84" s="121"/>
    </row>
    <row r="85" spans="2:8" ht="13.15">
      <c r="B85" s="109" t="s">
        <v>309</v>
      </c>
    </row>
    <row r="86" spans="2:8">
      <c r="B86" s="149" t="s">
        <v>307</v>
      </c>
      <c r="C86" s="266">
        <f>Market_Price</f>
        <v>53.55</v>
      </c>
      <c r="D86" t="str">
        <f>Market_currency</f>
        <v>HKD</v>
      </c>
    </row>
    <row r="87" spans="2:8" ht="13.15">
      <c r="B87" s="100" t="s">
        <v>305</v>
      </c>
      <c r="C87" s="265">
        <f ca="1">IRR(OFFSET($I$3, 0, 0, $C$76 + 1, 1))</f>
        <v>0.11521291318800975</v>
      </c>
    </row>
    <row r="88" spans="2:8">
      <c r="B88" s="100"/>
    </row>
    <row r="89" spans="2:8" ht="13.15">
      <c r="B89" s="109" t="s">
        <v>422</v>
      </c>
    </row>
    <row r="90" spans="2:8">
      <c r="B90" s="149" t="s">
        <v>423</v>
      </c>
      <c r="C90" s="168">
        <f>Thesis!E24</f>
        <v>0.2</v>
      </c>
    </row>
    <row r="91" spans="2:8">
      <c r="B91" s="100" t="s">
        <v>122</v>
      </c>
      <c r="C91" s="117">
        <f>PV(C90, C76, -C77, 0)</f>
        <v>4.3140503395809766</v>
      </c>
      <c r="D91" s="117"/>
      <c r="E91" s="100"/>
      <c r="F91" s="100"/>
    </row>
    <row r="92" spans="2:8">
      <c r="B92" s="100" t="s">
        <v>123</v>
      </c>
      <c r="C92" s="117">
        <f>C60/(1+C90)^C76</f>
        <v>39.001334285246841</v>
      </c>
      <c r="D92" s="117"/>
    </row>
    <row r="93" spans="2:8" ht="13.15">
      <c r="B93" s="111" t="s">
        <v>102</v>
      </c>
      <c r="C93" s="112">
        <f>C91+C92</f>
        <v>43.315384624827814</v>
      </c>
      <c r="D93" t="str">
        <f>Market_currency</f>
        <v>HKD</v>
      </c>
      <c r="E93" s="147" t="s">
        <v>127</v>
      </c>
      <c r="F93" s="329">
        <f>(1-C93/C60)</f>
        <v>0.35728420657596816</v>
      </c>
    </row>
    <row r="95" spans="2:8" ht="13.15">
      <c r="B95" s="109" t="s">
        <v>405</v>
      </c>
      <c r="G95" s="2"/>
      <c r="H95" s="316"/>
    </row>
    <row r="96" spans="2:8">
      <c r="B96" s="149" t="s">
        <v>411</v>
      </c>
      <c r="C96" s="135">
        <f>Thesis!C72</f>
        <v>0.08</v>
      </c>
      <c r="G96" s="2"/>
      <c r="H96" s="316"/>
    </row>
    <row r="97" spans="2:8">
      <c r="B97" s="100" t="s">
        <v>122</v>
      </c>
      <c r="C97" s="117">
        <f>PV(C96, C76, -C77, 0)</f>
        <v>5.2778655927944689</v>
      </c>
      <c r="D97" s="117"/>
      <c r="G97" s="2"/>
      <c r="H97" s="316"/>
    </row>
    <row r="98" spans="2:8">
      <c r="B98" s="100" t="s">
        <v>123</v>
      </c>
      <c r="C98" s="117">
        <f>C60/(1+C96)^C76</f>
        <v>53.499772682094424</v>
      </c>
      <c r="D98" s="117"/>
      <c r="G98" s="2"/>
      <c r="H98" s="316"/>
    </row>
    <row r="99" spans="2:8" ht="13.15">
      <c r="B99" s="111" t="s">
        <v>406</v>
      </c>
      <c r="C99" s="112">
        <f>C97+C98</f>
        <v>58.777638274888893</v>
      </c>
      <c r="D99" t="s">
        <v>404</v>
      </c>
      <c r="E99" s="147" t="s">
        <v>127</v>
      </c>
      <c r="F99" s="329">
        <f>(1-C99/C60)</f>
        <v>0.12785453144094927</v>
      </c>
    </row>
    <row r="100" spans="2:8">
      <c r="B100" s="100"/>
    </row>
    <row r="101" spans="2:8" ht="14.65">
      <c r="E101" s="320" t="s">
        <v>332</v>
      </c>
      <c r="F101" s="317"/>
    </row>
    <row r="102" spans="2:8" ht="13.9">
      <c r="E102" s="313" t="s">
        <v>333</v>
      </c>
      <c r="F102" s="318" t="s">
        <v>334</v>
      </c>
    </row>
    <row r="103" spans="2:8" ht="13.9">
      <c r="E103" s="314" t="s">
        <v>333</v>
      </c>
      <c r="F103" s="318" t="s">
        <v>335</v>
      </c>
    </row>
    <row r="104" spans="2:8" ht="13.9">
      <c r="E104" s="315" t="s">
        <v>333</v>
      </c>
      <c r="F104" s="319" t="s">
        <v>336</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2025-05-11T08:10:33Z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