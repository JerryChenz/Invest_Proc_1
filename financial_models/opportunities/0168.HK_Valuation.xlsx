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9E69B03-BF9C-4CD3-A532-EBAE3FA98164}"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3" i="3"/>
  <c r="C4" i="3"/>
  <c r="C28" i="4" s="1"/>
  <c r="C11" i="3"/>
  <c r="C1" i="3"/>
  <c r="C5" i="4"/>
  <c r="D5" i="4"/>
  <c r="E5" i="4"/>
  <c r="F5" i="4"/>
  <c r="G5" i="4"/>
  <c r="C6" i="4"/>
  <c r="D6" i="4"/>
  <c r="E6" i="4"/>
  <c r="F6" i="4"/>
  <c r="G6" i="4"/>
  <c r="C20" i="4"/>
  <c r="D20" i="4"/>
  <c r="E20" i="4"/>
  <c r="F20" i="4"/>
  <c r="C25" i="4"/>
  <c r="D25" i="4"/>
  <c r="E25" i="4"/>
  <c r="F25" i="4"/>
  <c r="G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120" i="2"/>
  <c r="P117" i="2"/>
  <c r="P118" i="2"/>
  <c r="N120" i="2"/>
  <c r="N117" i="2"/>
  <c r="N118" i="2"/>
  <c r="O120" i="2"/>
  <c r="O118" i="2"/>
  <c r="O117" i="2"/>
  <c r="Q120" i="2"/>
  <c r="Q118" i="2"/>
  <c r="Q117" i="2"/>
  <c r="L120" i="2"/>
  <c r="L117" i="2"/>
  <c r="L118" i="2"/>
  <c r="M120" i="2"/>
  <c r="M118" i="2"/>
  <c r="M117"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N101" i="2"/>
  <c r="Q55" i="2"/>
  <c r="Q124" i="2"/>
  <c r="Q125" i="2"/>
  <c r="Q101" i="2"/>
  <c r="K101" i="2"/>
  <c r="K118" i="2" s="1"/>
  <c r="I101" i="2"/>
  <c r="I118" i="2" s="1"/>
  <c r="O101" i="2"/>
  <c r="O119" i="2" s="1"/>
  <c r="J101" i="2"/>
  <c r="J118" i="2" s="1"/>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L116" i="2"/>
  <c r="M116" i="2"/>
  <c r="J13" i="2"/>
  <c r="J120" i="2" s="1"/>
  <c r="J116" i="2" s="1"/>
  <c r="M76" i="2"/>
  <c r="L13" i="2"/>
  <c r="K13" i="2"/>
  <c r="N13" i="2"/>
  <c r="N97" i="2" s="1"/>
  <c r="M13" i="2"/>
  <c r="I13" i="2"/>
  <c r="I120" i="2" s="1"/>
  <c r="I116" i="2" s="1"/>
  <c r="K76" i="2"/>
  <c r="K16" i="2" l="1"/>
  <c r="K19" i="2" s="1"/>
  <c r="K120" i="2"/>
  <c r="K116" i="2" s="1"/>
  <c r="K114" i="2"/>
  <c r="K92" i="2"/>
  <c r="C8" i="9"/>
  <c r="C67" i="6"/>
  <c r="G87" i="2"/>
  <c r="K81" i="2"/>
  <c r="K117" i="2" s="1"/>
  <c r="K97" i="2"/>
  <c r="L97" i="2"/>
  <c r="M97" i="2"/>
  <c r="I97" i="2"/>
  <c r="H97" i="2"/>
  <c r="J97" i="2"/>
  <c r="I16" i="2"/>
  <c r="I19" i="2" s="1"/>
  <c r="I81" i="2"/>
  <c r="I117" i="2" s="1"/>
  <c r="N16" i="2"/>
  <c r="N19" i="2" s="1"/>
  <c r="N81" i="2"/>
  <c r="L16" i="2"/>
  <c r="L81" i="2"/>
  <c r="J16" i="2"/>
  <c r="J19" i="2" s="1"/>
  <c r="J81" i="2"/>
  <c r="J117" i="2" s="1"/>
  <c r="M16" i="2"/>
  <c r="M81" i="2"/>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<sst xmlns="http://schemas.openxmlformats.org/spreadsheetml/2006/main" count="685" uniqueCount="465">
  <si>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</si>
  <si>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</si>
  <si>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</si>
  <si>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</si>
  <si>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</si>
  <si>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</si>
  <si>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</si>
  <si>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</si>
  <si>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</si>
  <si>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</si>
  <si>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</si>
  <si>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</si>
  <si>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</si>
  <si>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</si>
  <si>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</si>
  <si>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</si>
  <si>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</si>
  <si>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</si>
  <si>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</si>
  <si>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</si>
  <si>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</si>
  <si>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</si>
  <si>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</si>
  <si>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</si>
  <si>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</si>
  <si>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</si>
  <si>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</si>
  <si>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</si>
  <si>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</si>
  <si>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</si>
  <si>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</si>
  <si>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</si>
  <si>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</si>
  <si>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</si>
  <si>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</si>
  <si>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</si>
  <si>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</si>
  <si>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</si>
  <si>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</si>
  <si>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</si>
  <si>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</si>
  <si>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</si>
  <si>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</si>
  <si>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</si>
  <si>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</si>
  <si>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</si>
  <si>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</si>
  <si>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</si>
  <si>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</si>
  <si>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</si>
  <si>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</si>
  <si>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</si>
  <si>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</si>
  <si>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</si>
  <si>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</si>
  <si>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</si>
  <si>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</si>
  <si>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</si>
  <si>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</si>
  <si>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</si>
  <si>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</si>
  <si>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</si>
  <si>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</si>
  <si>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</si>
  <si>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</si>
  <si>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</si>
  <si>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</si>
  <si>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</si>
  <si>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</si>
  <si>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</si>
  <si>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</si>
  <si>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</si>
  <si>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</si>
  <si>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</si>
  <si>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</si>
  <si>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</si>
  <si>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</si>
  <si>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</si>
  <si>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</si>
  <si>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</si>
  <si>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</si>
  <si>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</si>
  <si>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</si>
  <si>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</si>
  <si>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</si>
  <si>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</si>
  <si>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</si>
  <si>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</si>
  <si>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</si>
  <si>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</si>
  <si>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</si>
  <si>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</si>
  <si>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</si>
  <si>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</si>
  <si>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</si>
  <si>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</si>
  <si>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</si>
  <si>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</si>
  <si>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</si>
  <si>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</si>
  <si>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</si>
  <si>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</si>
  <si>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</si>
  <si>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</si>
  <si>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</si>
  <si>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</si>
  <si>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</si>
  <si>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</si>
  <si>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</si>
  <si>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</si>
  <si>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</si>
  <si>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</si>
  <si>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</si>
  <si>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</si>
  <si>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</si>
  <si>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</si>
  <si>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</si>
  <si>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</si>
  <si>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</si>
  <si>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</si>
  <si>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</si>
  <si>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</si>
  <si>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</si>
  <si>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</si>
  <si>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</si>
  <si>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</si>
  <si>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</si>
  <si>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</si>
  <si>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</si>
  <si>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</si>
  <si>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</si>
  <si>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</si>
  <si>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</si>
  <si>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</si>
  <si>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</si>
  <si>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</si>
  <si>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</si>
  <si>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</si>
  <si>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</si>
  <si>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</si>
  <si>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</si>
  <si>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</si>
  <si>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</si>
  <si>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</si>
  <si>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</si>
  <si>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</si>
  <si>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</si>
  <si>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</si>
  <si>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</si>
  <si>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</si>
  <si>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</si>
  <si>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</si>
  <si>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</si>
  <si>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</si>
  <si>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</si>
  <si>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</si>
  <si>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</si>
  <si>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</si>
  <si>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</si>
  <si>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</si>
  <si>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</si>
  <si>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</si>
  <si>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</si>
  <si>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</si>
  <si>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</si>
  <si>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</si>
  <si>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</si>
  <si>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</si>
  <si>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</si>
  <si>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</si>
  <si>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</si>
  <si>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</si>
  <si>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</si>
  <si>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</si>
  <si>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</si>
  <si>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</si>
  <si>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</si>
  <si>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</si>
  <si>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</si>
  <si>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</si>
  <si>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</si>
  <si>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</si>
  <si>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</si>
  <si>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</si>
  <si>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</si>
  <si>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</si>
  <si>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</si>
  <si>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</si>
  <si>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</si>
  <si>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</si>
  <si>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</si>
  <si>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</si>
  <si>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</si>
  <si>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</si>
  <si>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</si>
  <si>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</si>
  <si>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</si>
  <si>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</si>
  <si>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</si>
  <si>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</si>
  <si>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</si>
  <si>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</si>
  <si>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</si>
  <si>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</si>
  <si>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</si>
  <si>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</si>
  <si>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</si>
  <si>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</si>
  <si>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</si>
  <si>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</si>
  <si>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</si>
  <si>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</si>
  <si>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</si>
  <si>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</si>
  <si>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</si>
  <si>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</si>
  <si>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</si>
  <si>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</si>
  <si>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</si>
  <si>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</si>
  <si>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</si>
  <si>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</si>
  <si>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</si>
  <si>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</si>
  <si>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</si>
  <si>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</si>
  <si>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</si>
  <si>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</si>
  <si>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</si>
  <si>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</si>
  <si>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</si>
  <si>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</si>
  <si>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</si>
  <si>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</si>
  <si>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</si>
  <si>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</si>
  <si>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</si>
  <si>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</si>
  <si>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</si>
  <si>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</si>
  <si>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</si>
  <si>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</si>
  <si>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</si>
  <si>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</si>
  <si>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</si>
  <si>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</si>
  <si>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</si>
  <si>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</si>
  <si>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</si>
  <si>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</si>
  <si>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</si>
  <si>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</si>
  <si>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</si>
  <si>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</si>
  <si>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</si>
  <si>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</si>
  <si>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</si>
  <si>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</si>
  <si>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</si>
  <si>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</si>
  <si>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</si>
  <si>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</si>
  <si>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</si>
  <si>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</si>
  <si>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</si>
  <si>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</si>
  <si>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</si>
  <si>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</si>
  <si>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</si>
  <si>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</si>
  <si>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</si>
  <si>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</si>
  <si>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</si>
  <si>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</si>
  <si>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</si>
  <si>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</si>
  <si>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</si>
  <si>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</si>
  <si>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</si>
  <si>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</si>
  <si>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</si>
  <si>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</si>
  <si>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</si>
  <si>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</si>
  <si>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</si>
  <si>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</si>
  <si>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</si>
  <si>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</si>
  <si>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</si>
  <si>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</si>
  <si>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</si>
  <si>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</si>
  <si>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</si>
  <si>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</si>
  <si>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</si>
  <si>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</si>
  <si>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</si>
  <si>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</si>
  <si>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</si>
  <si>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</si>
  <si>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</si>
  <si>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</si>
  <si>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</si>
  <si>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</si>
  <si>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</si>
  <si>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</si>
  <si>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</si>
  <si>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</si>
  <si>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</si>
  <si>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</si>
  <si>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</si>
  <si>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</si>
  <si>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</si>
  <si>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</si>
  <si>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</si>
  <si>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</si>
  <si>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</si>
  <si>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</si>
  <si>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</si>
  <si>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</si>
  <si>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</si>
  <si>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</si>
  <si>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</si>
  <si>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</si>
  <si>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</si>
  <si>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</si>
  <si>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</si>
  <si>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</si>
  <si>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</si>
  <si>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</si>
  <si>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</si>
  <si>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</si>
  <si>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</si>
  <si>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</si>
  <si>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</si>
  <si>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</si>
  <si>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</si>
  <si>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</si>
  <si>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</si>
  <si>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</si>
  <si>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</si>
  <si>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</si>
  <si>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</si>
  <si>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</si>
  <si>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</si>
  <si>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</si>
  <si>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</si>
  <si>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</si>
  <si>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</si>
  <si>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</si>
  <si>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</si>
  <si>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</si>
  <si>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</si>
  <si>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</si>
  <si>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</si>
  <si>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</si>
  <si>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</si>
  <si>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</si>
  <si>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</si>
  <si>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</si>
  <si>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</si>
  <si>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</si>
  <si>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</si>
  <si>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</si>
  <si>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</si>
  <si>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</si>
  <si>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</si>
  <si>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</si>
  <si>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</si>
  <si>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</si>
  <si>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</si>
  <si>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</si>
  <si>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</si>
  <si>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</si>
  <si>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</si>
  <si>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</si>
  <si>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</si>
  <si>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</si>
  <si>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</si>
  <si>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</si>
  <si>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</si>
  <si>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</si>
  <si>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</si>
  <si>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</si>
  <si>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</si>
  <si>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</si>
  <si>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</si>
  <si>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</si>
  <si>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</si>
  <si>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</si>
  <si>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</si>
  <si>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</si>
  <si>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</si>
  <si>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</si>
  <si>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</si>
  <si>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</si>
  <si>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</si>
  <si>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</si>
  <si>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</si>
  <si>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</si>
  <si>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</si>
  <si>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</si>
  <si>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</si>
  <si>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</si>
  <si>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</si>
  <si>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</si>
  <si>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</si>
  <si>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</si>
  <si>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</si>
  <si>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</si>
  <si>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</si>
  <si>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</si>
  <si>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</si>
  <si>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</si>
  <si>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</si>
  <si>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</si>
  <si>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</si>
  <si>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</si>
  <si>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</si>
  <si>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</si>
  <si>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</si>
  <si>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</si>
  <si>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</si>
  <si>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</si>
  <si>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</si>
  <si>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</si>
  <si>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</si>
  <si>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</si>
  <si>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</si>
  <si>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</si>
  <si>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</si>
  <si>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</si>
  <si>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</si>
  <si>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</si>
  <si>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</si>
  <si>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</si>
  <si>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</si>
  <si>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</si>
  <si>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</si>
  <si>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</si>
  <si>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</si>
  <si>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</si>
  <si>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</si>
  <si>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</si>
  <si>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</si>
  <si>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</si>
  <si>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</si>
  <si>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</si>
  <si>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</si>
  <si>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</si>
  <si>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</si>
  <si>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</si>
  <si>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</si>
  <si>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</si>
  <si>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</si>
  <si>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</si>
  <si>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N</t>
  </si>
  <si>
    <t>青島啤酒股份</t>
  </si>
  <si>
    <t>0168.HK</t>
  </si>
  <si>
    <t/>
  </si>
  <si>
    <t>CNS_03</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</si>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</sst>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450</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1364196788</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53.1</v>
      </c>
      <c r="D12" s="50"/>
      <c r="E12" s="48"/>
    </row>
    <row r="13" spans="1:10">
      <c r="B13" s="1" t="s">
        <v>416</v>
      </c>
      <c r="C13" s="48" t="s">
        <v>396</v>
      </c>
      <c r="D13" s="48"/>
      <c r="E13" s="5"/>
    </row>
    <row r="14" spans="1:10">
      <c r="B14" s="4" t="s">
        <v>420</v>
      </c>
      <c r="C14" s="35">
        <f>Thesis!C12*Common_Shares/1000000</f>
        <v>72438.849442799998</v>
      </c>
      <c r="D14" s="35" t="str">
        <f>IF(D11="","",Thesis!D12*Common_Shares/1000000)</f>
        <v/>
      </c>
      <c r="E14" s="5"/>
    </row>
    <row r="15" spans="1:10">
      <c r="B15" s="4" t="s">
        <v>419</v>
      </c>
      <c r="C15" s="32" t="str">
        <f>IF(C25=C13,C13,C25&amp;"/"&amp;C13)</f>
        <v>CNY/HKD</v>
      </c>
      <c r="D15" s="32" t="str">
        <f>IF(D11="","",IF(C25=D13,D13,C25&amp;"/"&amp;D13))</f>
        <v/>
      </c>
      <c r="E15" s="5"/>
    </row>
    <row r="16" spans="1:10">
      <c r="B16" s="4" t="s">
        <v>1</v>
      </c>
      <c r="C16" s="50">
        <v>1.0907712000000001</v>
      </c>
      <c r="D16" s="50"/>
      <c r="E16" s="5"/>
    </row>
    <row r="17" spans="2:6">
      <c r="D17" s="5"/>
      <c r="E17" s="5"/>
    </row>
    <row r="18" spans="2:6" ht="24.6"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461</v>
      </c>
    </row>
    <row r="22" spans="2:6">
      <c r="B22" s="2" t="s">
        <v>56</v>
      </c>
      <c r="C22" s="48" t="s">
        <v>460</v>
      </c>
      <c r="D22" s="1" t="str">
        <f>IF(valuation_method="DDM","DDM Terminal Value","")</f>
        <v/>
      </c>
      <c r="E22" s="313"/>
    </row>
    <row r="23" spans="2:6">
      <c r="B23" s="1" t="s">
        <v>434</v>
      </c>
      <c r="C23" s="262" t="s">
        <v>456</v>
      </c>
    </row>
    <row r="24" spans="2:6">
      <c r="B24" s="1" t="s">
        <v>435</v>
      </c>
      <c r="C24" s="262" t="s">
        <v>456</v>
      </c>
    </row>
    <row r="25" spans="2:6">
      <c r="B25" s="4" t="s">
        <v>347</v>
      </c>
      <c r="C25" s="48" t="s">
        <v>414</v>
      </c>
      <c r="D25" s="32" t="str">
        <f>IF(D11="","",Market_currency&amp;"/"&amp;D13&amp;":")</f>
        <v/>
      </c>
      <c r="E25" s="299" t="str">
        <f>IF(D11="","",1/Exchange_Rate*D16)</f>
        <v/>
      </c>
    </row>
    <row r="26" spans="2:6">
      <c r="B26" s="1" t="str">
        <f>"Expected Equity Value ("&amp;C13&amp;") :"</f>
        <v>Expected Equity Value (HKD) :</v>
      </c>
      <c r="C26" s="304">
        <f>C132</f>
        <v>72.815557845453441</v>
      </c>
      <c r="D26" s="1" t="s">
        <v>399</v>
      </c>
      <c r="E26" s="301">
        <f ca="1">Scenarios!C87</f>
        <v>0.1453778194240849</v>
      </c>
    </row>
    <row r="27" spans="2:6">
      <c r="D27" s="5"/>
      <c r="E27" s="5"/>
    </row>
    <row r="28" spans="2:6">
      <c r="B28" s="45" t="s">
        <v>433</v>
      </c>
      <c r="C28" s="309" t="str">
        <f>C145&amp;" ("&amp;Market_currency&amp;")"</f>
        <v>0168.HK (HKD)</v>
      </c>
      <c r="D28" s="309" t="str">
        <f>IF(D11="","",D145&amp;" ("&amp;D13&amp;")")</f>
        <v/>
      </c>
      <c r="E28" s="305" t="s">
        <v>429</v>
      </c>
      <c r="F28" s="303">
        <v>3</v>
      </c>
    </row>
    <row r="29" spans="2:6">
      <c r="B29" s="1" t="s">
        <v>425</v>
      </c>
      <c r="C29" s="310">
        <f>C149</f>
        <v>31.822396174833248</v>
      </c>
      <c r="D29" s="310" t="str">
        <f>D149</f>
        <v/>
      </c>
      <c r="E29" s="306" t="s">
        <v>424</v>
      </c>
      <c r="F29" s="302">
        <v>0.3674</v>
      </c>
    </row>
    <row r="30" spans="2:6">
      <c r="B30" s="1" t="s">
        <v>426</v>
      </c>
      <c r="C30" s="311">
        <f>C157</f>
        <v>44.493000819400066</v>
      </c>
      <c r="D30" s="311" t="str">
        <f>D157</f>
        <v/>
      </c>
      <c r="E30" s="307" t="s">
        <v>437</v>
      </c>
      <c r="F30" s="312">
        <v>0.21740000000000001</v>
      </c>
    </row>
    <row r="31" spans="2:6">
      <c r="B31" s="1" t="s">
        <v>427</v>
      </c>
      <c r="C31" s="311">
        <f>C165</f>
        <v>63.858709462992088</v>
      </c>
      <c r="D31" s="311" t="str">
        <f>D165</f>
        <v/>
      </c>
      <c r="E31" s="307" t="s">
        <v>436</v>
      </c>
      <c r="F31" s="312">
        <v>7.4999999999999997E-2</v>
      </c>
    </row>
    <row r="32" spans="2:6">
      <c r="B32" s="1" t="s">
        <v>428</v>
      </c>
      <c r="C32" s="311">
        <f>C173</f>
        <v>57.057339229240789</v>
      </c>
      <c r="D32" s="311" t="str">
        <f>D173</f>
        <v/>
      </c>
      <c r="E32" s="307" t="s">
        <v>438</v>
      </c>
      <c r="F32" s="312">
        <v>0.1174</v>
      </c>
    </row>
    <row r="33" spans="1:6">
      <c r="D33" s="5"/>
      <c r="E33" s="5"/>
    </row>
    <row r="34" spans="1:6" ht="13.9">
      <c r="A34" s="222" t="s">
        <v>354</v>
      </c>
      <c r="B34" s="36"/>
      <c r="C34" s="36"/>
      <c r="D34" s="36"/>
      <c r="E34" s="36"/>
      <c r="F34" s="36"/>
    </row>
    <row r="36" spans="1:6" ht="24.6" customHeight="1">
      <c r="B36" s="358" t="s">
        <v>360</v>
      </c>
      <c r="C36" s="358"/>
      <c r="D36" s="358"/>
      <c r="E36" s="358"/>
      <c r="F36" s="358"/>
    </row>
    <row r="37" spans="1:6" ht="24.6" customHeight="1">
      <c r="B37" s="361" t="s">
        <v>339</v>
      </c>
      <c r="C37" s="361"/>
      <c r="D37" s="361"/>
      <c r="E37" s="361"/>
      <c r="F37" s="361"/>
    </row>
    <row r="39" spans="1:6">
      <c r="B39" s="210" t="s">
        <v>230</v>
      </c>
      <c r="C39" s="108">
        <f>scaling_factor</f>
        <v>1</v>
      </c>
    </row>
    <row r="40" spans="1:6" ht="24.6" customHeight="1">
      <c r="B40" s="359" t="s">
        <v>231</v>
      </c>
      <c r="C40" s="359"/>
      <c r="D40" s="359"/>
      <c r="E40" s="359"/>
      <c r="F40" s="359"/>
    </row>
    <row r="41" spans="1:6">
      <c r="B41" s="47" t="s">
        <v>232</v>
      </c>
      <c r="C41" s="349">
        <f>Normalized_FCF!C8</f>
        <v>3878068070.3077545</v>
      </c>
      <c r="D41" s="1" t="str">
        <f>Reporting_currency</f>
        <v>CNY</v>
      </c>
    </row>
    <row r="42" spans="1:6">
      <c r="B42" s="47"/>
      <c r="C42" s="76"/>
    </row>
    <row r="43" spans="1:6" ht="24.6" customHeight="1">
      <c r="B43" s="359" t="s">
        <v>233</v>
      </c>
      <c r="C43" s="359"/>
      <c r="D43" s="359"/>
      <c r="E43" s="359"/>
      <c r="F43" s="359"/>
    </row>
    <row r="44" spans="1:6">
      <c r="B44" s="47" t="s">
        <v>234</v>
      </c>
      <c r="C44" s="349">
        <f>Normalized_FCF!C9</f>
        <v>1191305772</v>
      </c>
      <c r="D44" s="1" t="str">
        <f>Reporting_currency</f>
        <v>CNY</v>
      </c>
    </row>
    <row r="45" spans="1:6">
      <c r="B45" s="52" t="s">
        <v>235</v>
      </c>
      <c r="C45" s="349">
        <f>Normalized_FCF!C10</f>
        <v>-1191305772</v>
      </c>
      <c r="D45" s="1" t="str">
        <f>Reporting_currency</f>
        <v>CNY</v>
      </c>
    </row>
    <row r="47" spans="1:6">
      <c r="B47" s="359" t="s">
        <v>236</v>
      </c>
      <c r="C47" s="359"/>
      <c r="D47" s="359"/>
      <c r="E47" s="359"/>
      <c r="F47" s="359"/>
    </row>
    <row r="48" spans="1:6">
      <c r="B48" s="47" t="s">
        <v>237</v>
      </c>
      <c r="C48" s="349">
        <f>Normalized_FCF!C11</f>
        <v>0</v>
      </c>
      <c r="D48" s="1" t="str">
        <f>Reporting_currency</f>
        <v>CNY</v>
      </c>
    </row>
    <row r="50" spans="2:6">
      <c r="B50" s="359" t="s">
        <v>240</v>
      </c>
      <c r="C50" s="359"/>
      <c r="D50" s="359"/>
      <c r="E50" s="359"/>
      <c r="F50" s="359"/>
    </row>
    <row r="51" spans="2:6">
      <c r="B51" s="47" t="s">
        <v>340</v>
      </c>
      <c r="C51" s="350">
        <f>Normalized_FCF!C48</f>
        <v>177111356.38152173</v>
      </c>
      <c r="D51" s="1" t="str">
        <f>Reporting_currency</f>
        <v>CNY</v>
      </c>
      <c r="E51" s="286"/>
      <c r="F51" s="286"/>
    </row>
    <row r="52" spans="2:6">
      <c r="B52" s="47" t="s">
        <v>341</v>
      </c>
      <c r="C52" s="350">
        <f>Normalized_FCF!C47</f>
        <v>-21837054</v>
      </c>
      <c r="D52" s="1" t="str">
        <f>Reporting_currency</f>
        <v>CNY</v>
      </c>
      <c r="E52" s="286"/>
      <c r="F52" s="286"/>
    </row>
    <row r="53" spans="2:6">
      <c r="B53" s="47" t="s">
        <v>238</v>
      </c>
      <c r="C53" s="349">
        <f>Normalized_FCF!C12</f>
        <v>155274302.38152173</v>
      </c>
      <c r="D53" s="1" t="str">
        <f>Reporting_currency</f>
        <v>CNY</v>
      </c>
    </row>
    <row r="55" spans="2:6">
      <c r="B55" s="1" t="s">
        <v>246</v>
      </c>
    </row>
    <row r="56" spans="2:6">
      <c r="B56" s="47" t="s">
        <v>265</v>
      </c>
      <c r="C56" s="349">
        <f>Normalized_FCF!C15</f>
        <v>-146634564.47167698</v>
      </c>
      <c r="D56" s="1" t="str">
        <f>Reporting_currency</f>
        <v>CNY</v>
      </c>
    </row>
    <row r="58" spans="2:6">
      <c r="B58" s="359" t="s">
        <v>241</v>
      </c>
      <c r="C58" s="359"/>
      <c r="D58" s="359"/>
      <c r="E58" s="359"/>
      <c r="F58" s="359"/>
    </row>
    <row r="59" spans="2:6">
      <c r="B59" s="47" t="s">
        <v>239</v>
      </c>
      <c r="C59" s="349">
        <f>Normalized_FCF!C14</f>
        <v>-1008335593.1723191</v>
      </c>
      <c r="D59" s="1" t="str">
        <f>Reporting_currency</f>
        <v>CNY</v>
      </c>
    </row>
    <row r="61" spans="2:6">
      <c r="B61" s="359" t="s">
        <v>338</v>
      </c>
      <c r="C61" s="360"/>
      <c r="D61" s="360"/>
      <c r="E61" s="360"/>
      <c r="F61" s="360"/>
    </row>
    <row r="62" spans="2:6">
      <c r="B62" s="47" t="s">
        <v>242</v>
      </c>
      <c r="C62" s="349">
        <f>Normalized_FCF!C17</f>
        <v>0</v>
      </c>
      <c r="D62" s="1" t="str">
        <f>Reporting_currency</f>
        <v>CNY</v>
      </c>
    </row>
    <row r="64" spans="2:6" ht="24.6" customHeight="1">
      <c r="B64" s="358" t="s">
        <v>343</v>
      </c>
      <c r="C64" s="358"/>
      <c r="D64" s="358"/>
      <c r="E64" s="358"/>
      <c r="F64" s="358"/>
    </row>
    <row r="65" spans="1:6" ht="24.6" customHeight="1">
      <c r="B65" s="358" t="s">
        <v>361</v>
      </c>
      <c r="C65" s="358"/>
      <c r="D65" s="358"/>
      <c r="E65" s="358"/>
      <c r="F65" s="358"/>
    </row>
    <row r="67" spans="1:6">
      <c r="B67" s="47" t="s">
        <v>270</v>
      </c>
      <c r="C67" s="349">
        <f>Normalized_FCF!G19</f>
        <v>3154830020.3815212</v>
      </c>
      <c r="D67" s="1" t="str">
        <f>Reporting_currency</f>
        <v>CNY</v>
      </c>
    </row>
    <row r="68" spans="1:6">
      <c r="B68" s="47" t="s">
        <v>248</v>
      </c>
      <c r="C68" s="349">
        <f>Normalized_FCF!C19</f>
        <v>2878372215.0452805</v>
      </c>
      <c r="D68" s="1" t="str">
        <f>Reporting_currency</f>
        <v>CNY</v>
      </c>
    </row>
    <row r="69" spans="1:6">
      <c r="B69" s="227" t="s">
        <v>390</v>
      </c>
      <c r="C69" s="92">
        <f>Normalized_FCF!C125</f>
        <v>4.3342012458808608E-2</v>
      </c>
      <c r="F69" s="314"/>
    </row>
    <row r="70" spans="1:6">
      <c r="B70" s="227" t="s">
        <v>308</v>
      </c>
      <c r="C70" s="92">
        <f>Normalized_FCF!C93</f>
        <v>3.7983457731781717E-2</v>
      </c>
      <c r="E70" s="47" t="s">
        <v>448</v>
      </c>
      <c r="F70" s="315">
        <f>Normalized_FCF!C92</f>
        <v>0.9559145830992567</v>
      </c>
    </row>
    <row r="72" spans="1:6">
      <c r="B72" s="210" t="s">
        <v>451</v>
      </c>
      <c r="C72" s="323" t="s">
        <v>453</v>
      </c>
      <c r="D72" s="323" t="s">
        <v>454</v>
      </c>
    </row>
    <row r="73" spans="1:6">
      <c r="B73" s="47" t="s">
        <v>452</v>
      </c>
      <c r="C73" s="92">
        <f>Normalized_FCF!C120</f>
        <v>0.13507716800222277</v>
      </c>
      <c r="D73" s="92">
        <f>Normalized_FCF!G120</f>
        <v>0.15711356726949369</v>
      </c>
    </row>
    <row r="74" spans="1:6">
      <c r="B74" s="259" t="str">
        <f>Normalized_FCF!B117</f>
        <v>Pre-tax Profit/Sales</v>
      </c>
      <c r="C74" s="322">
        <f>Normalized_FCF!C117</f>
        <v>0.12563684506237655</v>
      </c>
      <c r="D74" s="322">
        <f>Normalized_FCF!G117</f>
        <v>0.14597560402112492</v>
      </c>
    </row>
    <row r="75" spans="1:6">
      <c r="B75" s="259" t="str">
        <f>Normalized_FCF!B118</f>
        <v>Sales/Total Assets</v>
      </c>
      <c r="C75" s="324">
        <f>Normalized_FCF!C118</f>
        <v>0.62432788948992113</v>
      </c>
      <c r="D75" s="324">
        <f>Normalized_FCF!G118</f>
        <v>0.62500173016982585</v>
      </c>
    </row>
    <row r="76" spans="1:6">
      <c r="B76" s="259" t="str">
        <f>Normalized_FCF!B119</f>
        <v>Total Assets/Equity</v>
      </c>
      <c r="C76" s="324">
        <f>Normalized_FCF!C119</f>
        <v>1.7220755031358876</v>
      </c>
      <c r="D76" s="324">
        <f>Normalized_FCF!G119</f>
        <v>1.7220755031358876</v>
      </c>
    </row>
    <row r="78" spans="1:6" ht="13.9">
      <c r="A78" s="222" t="s">
        <v>355</v>
      </c>
      <c r="B78" s="36"/>
      <c r="C78" s="36"/>
      <c r="D78" s="36"/>
      <c r="E78" s="36"/>
      <c r="F78" s="36"/>
    </row>
    <row r="79" spans="1:6">
      <c r="A79" s="209"/>
    </row>
    <row r="80" spans="1:6" ht="24.6" customHeight="1">
      <c r="A80" s="17"/>
      <c r="B80" s="358" t="s">
        <v>362</v>
      </c>
      <c r="C80" s="358"/>
      <c r="D80" s="358"/>
      <c r="E80" s="358"/>
      <c r="F80" s="358"/>
    </row>
    <row r="81" spans="1:6">
      <c r="B81" s="361" t="s">
        <v>252</v>
      </c>
      <c r="C81" s="361"/>
      <c r="D81" s="361"/>
      <c r="E81" s="361"/>
      <c r="F81" s="361"/>
    </row>
    <row r="83" spans="1:6">
      <c r="B83" s="210" t="s">
        <v>230</v>
      </c>
    </row>
    <row r="84" spans="1:6">
      <c r="B84" s="1" t="s">
        <v>431</v>
      </c>
      <c r="C84" s="92">
        <f>F31</f>
        <v>7.4999999999999997E-2</v>
      </c>
    </row>
    <row r="85" spans="1:6">
      <c r="B85" s="1" t="s">
        <v>430</v>
      </c>
      <c r="C85" s="92">
        <f>IF(C23="Y",1%,0)+IF(C24="Y",1%,0)</f>
        <v>0</v>
      </c>
    </row>
    <row r="86" spans="1:6">
      <c r="B86" s="80" t="s">
        <v>247</v>
      </c>
      <c r="C86" s="236">
        <f>F31+C85</f>
        <v>7.4999999999999997E-2</v>
      </c>
    </row>
    <row r="87" spans="1:6">
      <c r="C87" s="121"/>
    </row>
    <row r="88" spans="1:6">
      <c r="B88" s="293" t="s">
        <v>356</v>
      </c>
      <c r="C88" s="121"/>
    </row>
    <row r="89" spans="1:6" ht="24.6" customHeight="1">
      <c r="B89" s="358" t="s">
        <v>363</v>
      </c>
      <c r="C89" s="358"/>
      <c r="D89" s="358"/>
      <c r="E89" s="358"/>
      <c r="F89" s="358"/>
    </row>
    <row r="90" spans="1:6" ht="24.6" customHeight="1">
      <c r="B90" s="358" t="s">
        <v>364</v>
      </c>
      <c r="C90" s="358"/>
      <c r="D90" s="358"/>
      <c r="E90" s="358"/>
      <c r="F90" s="358"/>
    </row>
    <row r="92" spans="1:6">
      <c r="B92" s="47" t="s">
        <v>251</v>
      </c>
      <c r="C92" s="236">
        <v>0</v>
      </c>
    </row>
    <row r="93" spans="1:6">
      <c r="B93" s="47" t="s">
        <v>280</v>
      </c>
      <c r="C93" s="223">
        <f>DCF!C6*scaling_factor*Exchange_Rate/Common_Shares</f>
        <v>30.6861448208365</v>
      </c>
      <c r="D93" s="1" t="str">
        <f>Market_currency</f>
        <v>HKD</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6" customHeight="1">
      <c r="B101" s="358" t="s">
        <v>344</v>
      </c>
      <c r="C101" s="358"/>
      <c r="D101" s="358"/>
      <c r="E101" s="358"/>
      <c r="F101" s="358"/>
    </row>
    <row r="102" spans="2:6">
      <c r="B102" s="47" t="s">
        <v>255</v>
      </c>
      <c r="C102" s="349">
        <f>DCF!C7</f>
        <v>285396383</v>
      </c>
      <c r="D102" s="1" t="str">
        <f>Reporting_currency</f>
        <v>CNY</v>
      </c>
    </row>
    <row r="103" spans="2:6">
      <c r="B103" s="47" t="s">
        <v>281</v>
      </c>
      <c r="C103" s="223">
        <f>C102*scaling_factor*Exchange_Rate/Common_Shares</f>
        <v>0.22819446424365106</v>
      </c>
      <c r="D103" s="1" t="str">
        <f>Market_currency</f>
        <v>HKD</v>
      </c>
    </row>
    <row r="104" spans="2:6">
      <c r="B104" s="296" t="s">
        <v>404</v>
      </c>
      <c r="C104" s="325">
        <f>IF(BS!G31/BS!G27&gt;300%,"nm",BS!G31/BS!G27)</f>
        <v>9.5579625064196368E-3</v>
      </c>
    </row>
    <row r="105" spans="2:6">
      <c r="B105" s="296" t="s">
        <v>406</v>
      </c>
      <c r="C105" s="326">
        <f>IF(BS!C50&gt;30,"nm",BS!C50)</f>
        <v>7.3592411949940734E-2</v>
      </c>
    </row>
    <row r="107" spans="2:6">
      <c r="B107" s="1" t="s">
        <v>254</v>
      </c>
    </row>
    <row r="108" spans="2:6">
      <c r="B108" s="47" t="s">
        <v>264</v>
      </c>
      <c r="C108" s="349">
        <f>BS!C66</f>
        <v>17978772896</v>
      </c>
      <c r="D108" s="1" t="str">
        <f>Reporting_currency</f>
        <v>CNY</v>
      </c>
    </row>
    <row r="109" spans="2:6">
      <c r="B109" s="47" t="s">
        <v>266</v>
      </c>
      <c r="C109" s="349">
        <f>DCF!C8</f>
        <v>12816007751.184711</v>
      </c>
      <c r="D109" s="1" t="str">
        <f>Reporting_currency</f>
        <v>CNY</v>
      </c>
    </row>
    <row r="110" spans="2:6">
      <c r="B110" s="47" t="s">
        <v>282</v>
      </c>
      <c r="C110" s="223">
        <f>C109*scaling_factor*Exchange_Rate/Common_Shares</f>
        <v>10.247298833230392</v>
      </c>
      <c r="D110" s="1" t="str">
        <f>Market_currency</f>
        <v>HKD</v>
      </c>
    </row>
    <row r="112" spans="2:6">
      <c r="B112" s="1" t="s">
        <v>256</v>
      </c>
    </row>
    <row r="113" spans="1:6">
      <c r="B113" s="47" t="s">
        <v>257</v>
      </c>
      <c r="C113" s="349">
        <f>DCF!C9</f>
        <v>2755411575.5</v>
      </c>
      <c r="D113" s="1" t="str">
        <f>Reporting_currency</f>
        <v>CNY</v>
      </c>
    </row>
    <row r="114" spans="1:6">
      <c r="B114" s="47" t="s">
        <v>283</v>
      </c>
      <c r="C114" s="223">
        <f>C113*scaling_factor*Exchange_Rate/Common_Shares</f>
        <v>2.203145189271642</v>
      </c>
      <c r="D114" s="1" t="str">
        <f>Market_currency</f>
        <v>HKD</v>
      </c>
    </row>
    <row r="116" spans="1:6" ht="24.6" customHeight="1">
      <c r="B116" s="358" t="s">
        <v>366</v>
      </c>
      <c r="C116" s="358"/>
      <c r="D116" s="358"/>
      <c r="E116" s="358"/>
      <c r="F116" s="358"/>
    </row>
    <row r="118" spans="1:6">
      <c r="B118" s="47" t="s">
        <v>449</v>
      </c>
      <c r="C118" s="223">
        <f>IF(valuation_method="DCF",DCF!C12,DDM!C7)</f>
        <v>42.908394379094879</v>
      </c>
      <c r="D118" s="1" t="str">
        <f>Market_currency</f>
        <v>HKD</v>
      </c>
    </row>
    <row r="119" spans="1:6">
      <c r="B119" s="296" t="s">
        <v>405</v>
      </c>
      <c r="C119" s="223">
        <f>BS!D47</f>
        <v>1.3557203907302751</v>
      </c>
      <c r="D119" s="1" t="str">
        <f>Market_currency</f>
        <v>HKD</v>
      </c>
    </row>
    <row r="121" spans="1:6" ht="13.9">
      <c r="A121" s="222" t="s">
        <v>358</v>
      </c>
      <c r="B121" s="36"/>
      <c r="C121" s="36"/>
      <c r="D121" s="36"/>
      <c r="E121" s="36"/>
      <c r="F121" s="36"/>
    </row>
    <row r="123" spans="1:6" ht="24.6"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0.1</v>
      </c>
      <c r="D126" s="230">
        <f>DCF!D74</f>
        <v>30</v>
      </c>
      <c r="E126" s="231" t="str">
        <f>ROUND(IF(valuation_method="DCF",DCF!E74,DDM!E69),2)&amp;" "&amp;Market_currency</f>
        <v>116.64 HKD</v>
      </c>
      <c r="F126" s="232">
        <f>DCF!F74</f>
        <v>0.05</v>
      </c>
    </row>
    <row r="127" spans="1:6">
      <c r="B127" s="218" t="str">
        <f>DCF!B75</f>
        <v>Optimistic</v>
      </c>
      <c r="C127" s="219">
        <f>DCF!C75</f>
        <v>0.08</v>
      </c>
      <c r="D127" s="220">
        <f>DCF!D75</f>
        <v>30</v>
      </c>
      <c r="E127" s="231" t="str">
        <f>ROUND(IF(valuation_method="DCF",DCF!E75,DDM!E70),2)&amp;" "&amp;Market_currency</f>
        <v>90.26 HKD</v>
      </c>
      <c r="F127" s="221">
        <f>DCF!F75</f>
        <v>0.18</v>
      </c>
    </row>
    <row r="128" spans="1:6">
      <c r="B128" s="218" t="str">
        <f>DCF!B76</f>
        <v>Base</v>
      </c>
      <c r="C128" s="219">
        <f>DCF!C76</f>
        <v>0.06</v>
      </c>
      <c r="D128" s="220">
        <f>DCF!D76</f>
        <v>30</v>
      </c>
      <c r="E128" s="231" t="str">
        <f>ROUND(IF(valuation_method="DCF",DCF!E76,DDM!E71),2)&amp;" "&amp;Market_currency</f>
        <v>71.88 HKD</v>
      </c>
      <c r="F128" s="221">
        <f>DCF!F76</f>
        <v>0.44999999999999996</v>
      </c>
    </row>
    <row r="129" spans="1:6">
      <c r="B129" s="218" t="str">
        <f>DCF!B77</f>
        <v>Pessimistic</v>
      </c>
      <c r="C129" s="219">
        <f>DCF!C77</f>
        <v>0.04</v>
      </c>
      <c r="D129" s="220">
        <f>DCF!D77</f>
        <v>30</v>
      </c>
      <c r="E129" s="231" t="str">
        <f>ROUND(IF(valuation_method="DCF",DCF!E77,DDM!E72),2)&amp;" "&amp;Market_currency</f>
        <v>58.92 HKD</v>
      </c>
      <c r="F129" s="221">
        <f>DCF!F77</f>
        <v>0.26999999999999996</v>
      </c>
    </row>
    <row r="130" spans="1:6">
      <c r="B130" s="218" t="str">
        <f>DCF!B78</f>
        <v>Devil's advocate</v>
      </c>
      <c r="C130" s="219">
        <f>DCF!C78</f>
        <v>0.02</v>
      </c>
      <c r="D130" s="220">
        <f>DCF!D78</f>
        <v>30</v>
      </c>
      <c r="E130" s="231" t="str">
        <f>ROUND(IF(valuation_method="DCF",DCF!E78,DDM!E73),2)&amp;" "&amp;Market_currency</f>
        <v>49.65 HKD</v>
      </c>
      <c r="F130" s="221">
        <f>DCF!F78</f>
        <v>0.05</v>
      </c>
    </row>
    <row r="132" spans="1:6">
      <c r="B132" s="211" t="s">
        <v>258</v>
      </c>
      <c r="C132" s="217">
        <f>Scenarios!C60</f>
        <v>72.815557845453441</v>
      </c>
      <c r="D132" s="212" t="str">
        <f>Market_currency</f>
        <v>HKD</v>
      </c>
    </row>
    <row r="134" spans="1:6" ht="24.6"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6" customHeight="1">
      <c r="B139" s="358" t="s">
        <v>369</v>
      </c>
      <c r="C139" s="358"/>
      <c r="D139" s="358"/>
      <c r="E139" s="358"/>
      <c r="F139" s="358"/>
    </row>
    <row r="140" spans="1:6">
      <c r="B140" s="210" t="s">
        <v>230</v>
      </c>
    </row>
    <row r="141" spans="1:6">
      <c r="B141" s="1" t="s">
        <v>263</v>
      </c>
      <c r="C141" s="225">
        <f>F28</f>
        <v>3</v>
      </c>
    </row>
    <row r="142" spans="1:6">
      <c r="B142" s="1" t="s">
        <v>276</v>
      </c>
      <c r="C142" s="224">
        <f>F29</f>
        <v>0.3674</v>
      </c>
    </row>
    <row r="143" spans="1:6">
      <c r="B143" s="212" t="s">
        <v>261</v>
      </c>
      <c r="C143" s="213">
        <f>Scenarios!C77</f>
        <v>2.0169216055576094</v>
      </c>
      <c r="D143" s="212" t="str">
        <f>Market_currency</f>
        <v>HKD</v>
      </c>
    </row>
    <row r="145" spans="2:4">
      <c r="B145" s="210" t="s">
        <v>408</v>
      </c>
      <c r="C145" s="241" t="str">
        <f>C11</f>
        <v>0168.HK</v>
      </c>
      <c r="D145" s="241" t="str">
        <f>IF(D11="","",D11)</f>
        <v/>
      </c>
    </row>
    <row r="146" spans="2:4">
      <c r="B146" s="1" t="s">
        <v>407</v>
      </c>
      <c r="C146" s="297">
        <f>F29</f>
        <v>0.3674</v>
      </c>
    </row>
    <row r="147" spans="2:4">
      <c r="B147" s="212" t="str">
        <f>"PV("&amp;C141&amp;" yrs of Dividends)"</f>
        <v>PV(3 yrs of Dividends)</v>
      </c>
      <c r="C147" s="216">
        <f>Scenarios!C81</f>
        <v>3.3425621272386814</v>
      </c>
    </row>
    <row r="148" spans="2:4">
      <c r="B148" s="212" t="str">
        <f>"+ PV(Equity Value realized at year "&amp;C141&amp;")"</f>
        <v>+ PV(Equity Value realized at year 3)</v>
      </c>
      <c r="C148" s="216">
        <f>Scenarios!C82</f>
        <v>28.479834047594565</v>
      </c>
    </row>
    <row r="149" spans="2:4">
      <c r="B149" s="80" t="s">
        <v>260</v>
      </c>
      <c r="C149" s="215">
        <f>Scenarios!C83</f>
        <v>31.822396174833248</v>
      </c>
      <c r="D149" s="300" t="str">
        <f>IF($D$11="","",C149*$E$25)</f>
        <v/>
      </c>
    </row>
    <row r="150" spans="2:4">
      <c r="B150" s="259" t="s">
        <v>416</v>
      </c>
      <c r="C150" s="298" t="str">
        <f>Market_currency</f>
        <v>HKD</v>
      </c>
      <c r="D150" s="298" t="str">
        <f>IF($D$11="","",D$13)</f>
        <v/>
      </c>
    </row>
    <row r="151" spans="2:4">
      <c r="B151" s="214" t="s">
        <v>262</v>
      </c>
      <c r="C151" s="92">
        <f>Scenarios!F83</f>
        <v>0.56297256909884097</v>
      </c>
    </row>
    <row r="153" spans="2:4">
      <c r="B153" s="210" t="s">
        <v>411</v>
      </c>
    </row>
    <row r="154" spans="2:4">
      <c r="B154" s="1" t="s">
        <v>410</v>
      </c>
      <c r="C154" s="297">
        <f>Scenarios!C90</f>
        <v>0.21740000000000001</v>
      </c>
    </row>
    <row r="155" spans="2:4">
      <c r="B155" s="212" t="str">
        <f>"PV("&amp;C141&amp;" yrs of Dividends)"</f>
        <v>PV(3 yrs of Dividends)</v>
      </c>
      <c r="C155" s="216">
        <f>Scenarios!C91</f>
        <v>4.1354977217063134</v>
      </c>
    </row>
    <row r="156" spans="2:4">
      <c r="B156" s="212" t="str">
        <f>"+ PV(Equity Value realized at year "&amp;C141&amp;")"</f>
        <v>+ PV(Equity Value realized at year 3)</v>
      </c>
      <c r="C156" s="216">
        <f>Scenarios!C92</f>
        <v>40.357503097693751</v>
      </c>
    </row>
    <row r="157" spans="2:4">
      <c r="B157" s="80" t="s">
        <v>260</v>
      </c>
      <c r="C157" s="215">
        <f>Scenarios!C93</f>
        <v>44.493000819400066</v>
      </c>
      <c r="D157" s="300" t="str">
        <f>IF($D$11="","",C157*$E$25)</f>
        <v/>
      </c>
    </row>
    <row r="158" spans="2:4">
      <c r="B158" s="259" t="s">
        <v>416</v>
      </c>
      <c r="C158" s="298" t="str">
        <f>Market_currency</f>
        <v>HKD</v>
      </c>
      <c r="D158" s="298" t="str">
        <f>IF($D$11="","",D$13)</f>
        <v/>
      </c>
    </row>
    <row r="159" spans="2:4">
      <c r="B159" s="214" t="s">
        <v>262</v>
      </c>
      <c r="C159" s="92">
        <f>Scenarios!F93</f>
        <v>0.38896298901075876</v>
      </c>
    </row>
    <row r="161" spans="2:4">
      <c r="B161" s="210" t="s">
        <v>400</v>
      </c>
    </row>
    <row r="162" spans="2:4">
      <c r="B162" s="1" t="s">
        <v>409</v>
      </c>
      <c r="C162" s="92">
        <f>Scenarios!C96</f>
        <v>7.4999999999999997E-2</v>
      </c>
    </row>
    <row r="163" spans="2:4">
      <c r="B163" s="212" t="str">
        <f>"PV("&amp;C141&amp;" yrs of Dividends)"</f>
        <v>PV(3 yrs of Dividends)</v>
      </c>
      <c r="C163" s="216">
        <f>Scenarios!C97</f>
        <v>5.245056550556443</v>
      </c>
    </row>
    <row r="164" spans="2:4">
      <c r="B164" s="212" t="str">
        <f>"+ PV(Equity Value realized at year "&amp;C141&amp;")"</f>
        <v>+ PV(Equity Value realized at year 3)</v>
      </c>
      <c r="C164" s="216">
        <f>Scenarios!C98</f>
        <v>58.613652912435647</v>
      </c>
    </row>
    <row r="165" spans="2:4">
      <c r="B165" s="80" t="s">
        <v>401</v>
      </c>
      <c r="C165" s="215">
        <f>Scenarios!C99</f>
        <v>63.858709462992088</v>
      </c>
      <c r="D165" s="300" t="str">
        <f>IF($D$11="","",C165*$E$25)</f>
        <v/>
      </c>
    </row>
    <row r="166" spans="2:4">
      <c r="B166" s="259" t="s">
        <v>416</v>
      </c>
      <c r="C166" s="298" t="str">
        <f>Market_currency</f>
        <v>HKD</v>
      </c>
      <c r="D166" s="298" t="str">
        <f>IF($D$11="","",D$13)</f>
        <v/>
      </c>
    </row>
    <row r="167" spans="2:4">
      <c r="B167" s="214" t="s">
        <v>262</v>
      </c>
      <c r="C167" s="92">
        <f>Scenarios!F99</f>
        <v>0.12300734413752223</v>
      </c>
    </row>
    <row r="169" spans="2:4">
      <c r="B169" s="210" t="s">
        <v>432</v>
      </c>
    </row>
    <row r="170" spans="2:4">
      <c r="B170" s="1" t="s">
        <v>423</v>
      </c>
      <c r="C170" s="92">
        <f>F32</f>
        <v>0.1174</v>
      </c>
    </row>
    <row r="171" spans="2:4">
      <c r="B171" s="212" t="str">
        <f>"PV("&amp;C141&amp;" yrs of Dividends)"</f>
        <v>PV(3 yrs of Dividends)</v>
      </c>
      <c r="C171" s="216">
        <f>Scenarios!C103</f>
        <v>4.8660313703414877</v>
      </c>
    </row>
    <row r="172" spans="2:4">
      <c r="B172" s="212" t="str">
        <f>"+ PV(Equity Value realized at year "&amp;C141&amp;")"</f>
        <v>+ PV(Equity Value realized at year 3)</v>
      </c>
      <c r="C172" s="216">
        <f>Scenarios!C104</f>
        <v>52.1913078588993</v>
      </c>
    </row>
    <row r="173" spans="2:4">
      <c r="B173" s="80" t="s">
        <v>401</v>
      </c>
      <c r="C173" s="215">
        <f>Scenarios!C105</f>
        <v>57.057339229240789</v>
      </c>
      <c r="D173" s="300" t="str">
        <f>IF($D$11="","",C173*$E$25)</f>
        <v/>
      </c>
    </row>
    <row r="174" spans="2:4">
      <c r="B174" s="259" t="s">
        <v>416</v>
      </c>
      <c r="C174" s="298" t="str">
        <f>Market_currency</f>
        <v>HKD</v>
      </c>
      <c r="D174" s="298" t="str">
        <f>IF($D$11="","",D$13)</f>
        <v/>
      </c>
    </row>
    <row r="175" spans="2:4">
      <c r="B175" s="214" t="s">
        <v>262</v>
      </c>
      <c r="C175" s="92">
        <f>Scenarios!F105</f>
        <v>0.21605605325855348</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6" customHeight="1">
      <c r="B191" s="356" t="s">
        <v>382</v>
      </c>
      <c r="C191" s="356"/>
      <c r="D191" s="356"/>
      <c r="E191" s="356"/>
      <c r="F191" s="356"/>
    </row>
    <row r="192" spans="1:6" ht="24.6"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32137830111</v>
      </c>
      <c r="D4" s="351">
        <v>33936522741</v>
      </c>
      <c r="E4" s="351">
        <v>32171565624</v>
      </c>
      <c r="F4" s="351">
        <v>30166805377</v>
      </c>
      <c r="G4" s="351">
        <v>27759710926</v>
      </c>
      <c r="H4" s="351"/>
      <c r="I4" s="351"/>
      <c r="J4" s="351"/>
      <c r="K4" s="351"/>
      <c r="L4" s="351"/>
      <c r="M4" s="351"/>
    </row>
    <row r="5" spans="2:13">
      <c r="B5" s="40" t="s">
        <v>43</v>
      </c>
      <c r="C5" s="351">
        <f>19209915823+2328256391</f>
        <v>21538172214</v>
      </c>
      <c r="D5" s="351">
        <f>20816889655+2386660732</f>
        <v>23203550387</v>
      </c>
      <c r="E5" s="351">
        <f>20317934822+2390725323</f>
        <v>22708660145</v>
      </c>
      <c r="F5" s="351">
        <f>19091130744+2318835745</f>
        <v>21409966489</v>
      </c>
      <c r="G5" s="351">
        <f>16540609624+2219072099</f>
        <v>18759681723</v>
      </c>
      <c r="H5" s="351"/>
      <c r="I5" s="351"/>
      <c r="J5" s="351"/>
      <c r="K5" s="351"/>
      <c r="L5" s="351"/>
      <c r="M5" s="351"/>
    </row>
    <row r="6" spans="2:13">
      <c r="B6" s="40" t="s">
        <v>54</v>
      </c>
      <c r="C6" s="351">
        <f>1406578781+C7</f>
        <v>6009098645</v>
      </c>
      <c r="D6" s="351">
        <f>1519063042+D7</f>
        <v>6227465840</v>
      </c>
      <c r="E6" s="351">
        <f>1473368004+E7</f>
        <v>5672870751</v>
      </c>
      <c r="F6" s="351">
        <f>1692545246+F7</f>
        <v>5789419371</v>
      </c>
      <c r="G6" s="351">
        <f>1678050722+G7</f>
        <v>6662600559</v>
      </c>
      <c r="H6" s="351"/>
      <c r="I6" s="351"/>
      <c r="J6" s="351"/>
      <c r="K6" s="351"/>
      <c r="L6" s="351"/>
      <c r="M6" s="351"/>
    </row>
    <row r="7" spans="2:13">
      <c r="B7" s="69" t="s">
        <v>61</v>
      </c>
      <c r="C7" s="352">
        <v>4602519864</v>
      </c>
      <c r="D7" s="352">
        <v>4708402798</v>
      </c>
      <c r="E7" s="352">
        <v>4199502747</v>
      </c>
      <c r="F7" s="352">
        <v>4096874125</v>
      </c>
      <c r="G7" s="352">
        <v>4984549837</v>
      </c>
      <c r="H7" s="352"/>
      <c r="I7" s="352"/>
      <c r="J7" s="352"/>
      <c r="K7" s="352"/>
      <c r="L7" s="352"/>
      <c r="M7" s="352"/>
    </row>
    <row r="8" spans="2:13">
      <c r="B8" s="40" t="s">
        <v>49</v>
      </c>
      <c r="C8" s="351">
        <v>102766675</v>
      </c>
      <c r="D8" s="351">
        <v>100637006</v>
      </c>
      <c r="E8" s="351">
        <v>62954899</v>
      </c>
      <c r="F8" s="351">
        <v>30890245</v>
      </c>
      <c r="G8" s="351">
        <v>21467092</v>
      </c>
      <c r="H8" s="351"/>
      <c r="I8" s="351"/>
      <c r="J8" s="351"/>
      <c r="K8" s="351"/>
      <c r="L8" s="351"/>
      <c r="M8" s="351"/>
    </row>
    <row r="9" spans="2:13">
      <c r="B9" s="40" t="s">
        <v>159</v>
      </c>
      <c r="C9" s="351">
        <v>48272283</v>
      </c>
      <c r="D9" s="351">
        <v>15798284</v>
      </c>
      <c r="E9" s="351">
        <v>19873379</v>
      </c>
      <c r="F9" s="351">
        <v>20561728</v>
      </c>
      <c r="G9" s="351">
        <v>18098320</v>
      </c>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21837054</v>
      </c>
      <c r="D12" s="351">
        <v>16430590</v>
      </c>
      <c r="E12" s="351">
        <v>9237800</v>
      </c>
      <c r="F12" s="351">
        <v>22685367</v>
      </c>
      <c r="G12" s="351">
        <v>13662682</v>
      </c>
      <c r="H12" s="351"/>
      <c r="I12" s="351"/>
      <c r="J12" s="351"/>
      <c r="K12" s="351"/>
      <c r="L12" s="351"/>
      <c r="M12" s="351"/>
    </row>
    <row r="13" spans="2:13">
      <c r="B13" s="40" t="s">
        <v>67</v>
      </c>
      <c r="C13" s="351">
        <v>616771200</v>
      </c>
      <c r="D13" s="351">
        <v>506376003</v>
      </c>
      <c r="E13" s="351">
        <v>459661656</v>
      </c>
      <c r="F13" s="351">
        <v>315648307</v>
      </c>
      <c r="G13" s="351">
        <v>524029340</v>
      </c>
      <c r="H13" s="351"/>
      <c r="I13" s="351"/>
      <c r="J13" s="351"/>
      <c r="K13" s="351"/>
      <c r="L13" s="351"/>
      <c r="M13" s="351"/>
    </row>
    <row r="14" spans="2:13">
      <c r="B14" s="40" t="s">
        <v>50</v>
      </c>
      <c r="C14" s="351">
        <v>1389716314</v>
      </c>
      <c r="D14" s="351">
        <v>1398208378</v>
      </c>
      <c r="E14" s="351">
        <v>1201419808</v>
      </c>
      <c r="F14" s="351">
        <v>1222731595</v>
      </c>
      <c r="G14" s="351">
        <v>912580519</v>
      </c>
      <c r="H14" s="351"/>
      <c r="I14" s="351"/>
      <c r="J14" s="351"/>
      <c r="K14" s="351"/>
      <c r="L14" s="351"/>
      <c r="M14" s="351"/>
    </row>
    <row r="15" spans="2:13">
      <c r="B15" s="43" t="s">
        <v>42</v>
      </c>
      <c r="C15" s="353">
        <v>4491776686</v>
      </c>
      <c r="D15" s="353">
        <v>4348198924</v>
      </c>
      <c r="E15" s="353">
        <v>3804721478</v>
      </c>
      <c r="F15" s="353">
        <v>3256243870</v>
      </c>
      <c r="G15" s="353">
        <v>2326968805</v>
      </c>
      <c r="H15" s="353"/>
      <c r="I15" s="353"/>
      <c r="J15" s="353"/>
      <c r="K15" s="353"/>
      <c r="L15" s="353"/>
      <c r="M15" s="353"/>
    </row>
    <row r="16" spans="2:13">
      <c r="B16" s="28" t="s">
        <v>44</v>
      </c>
      <c r="C16" s="351">
        <v>146792828</v>
      </c>
      <c r="D16" s="351">
        <v>80347518</v>
      </c>
      <c r="E16" s="351">
        <v>94092885</v>
      </c>
      <c r="F16" s="351">
        <v>100788060</v>
      </c>
      <c r="G16" s="351">
        <v>125645249</v>
      </c>
      <c r="H16" s="351"/>
      <c r="I16" s="351"/>
      <c r="J16" s="351"/>
      <c r="K16" s="351"/>
      <c r="L16" s="351"/>
      <c r="M16" s="351"/>
    </row>
    <row r="18" spans="2:13">
      <c r="B18" s="16" t="s">
        <v>51</v>
      </c>
      <c r="C18" s="9"/>
    </row>
    <row r="19" spans="2:13">
      <c r="B19" s="27" t="s">
        <v>47</v>
      </c>
      <c r="C19" s="351">
        <v>1191305772</v>
      </c>
      <c r="D19" s="351">
        <v>1140399624</v>
      </c>
      <c r="E19" s="351">
        <v>1083856796</v>
      </c>
      <c r="F19" s="351">
        <v>1109733268</v>
      </c>
      <c r="G19" s="351"/>
      <c r="H19" s="351"/>
      <c r="I19" s="351"/>
      <c r="J19" s="351"/>
      <c r="K19" s="351"/>
      <c r="L19" s="351"/>
      <c r="M19" s="351"/>
    </row>
    <row r="20" spans="2:13">
      <c r="B20" s="27" t="s">
        <v>53</v>
      </c>
      <c r="C20" s="351">
        <f>C19</f>
        <v>1191305772</v>
      </c>
      <c r="D20" s="351">
        <f>D19</f>
        <v>1140399624</v>
      </c>
      <c r="E20" s="351">
        <f>E19</f>
        <v>1083856796</v>
      </c>
      <c r="F20" s="351">
        <f>F19</f>
        <v>1109733268</v>
      </c>
      <c r="G20" s="351"/>
      <c r="H20" s="351"/>
      <c r="I20" s="351"/>
      <c r="J20" s="351"/>
      <c r="K20" s="351"/>
      <c r="L20" s="351"/>
      <c r="M20" s="351"/>
    </row>
    <row r="21" spans="2:13">
      <c r="B21" s="27" t="s">
        <v>52</v>
      </c>
      <c r="C21" s="351">
        <v>583532518</v>
      </c>
      <c r="D21" s="351">
        <v>1575918543</v>
      </c>
      <c r="E21" s="351">
        <v>878667968</v>
      </c>
      <c r="F21" s="351">
        <v>2804548241</v>
      </c>
      <c r="G21" s="351"/>
      <c r="H21" s="351"/>
      <c r="I21" s="351"/>
      <c r="J21" s="351"/>
      <c r="K21" s="351"/>
      <c r="L21" s="351"/>
      <c r="M21" s="351"/>
    </row>
    <row r="22" spans="2:13">
      <c r="B22" s="27" t="s">
        <v>371</v>
      </c>
      <c r="C22" s="351">
        <v>5154661132</v>
      </c>
      <c r="D22" s="351">
        <v>2777567140</v>
      </c>
      <c r="E22" s="351">
        <v>4878771322</v>
      </c>
      <c r="F22" s="351">
        <v>6043111455</v>
      </c>
      <c r="G22" s="351">
        <v>4953422362</v>
      </c>
      <c r="H22" s="351"/>
      <c r="I22" s="351"/>
      <c r="J22" s="351"/>
      <c r="K22" s="351"/>
      <c r="L22" s="351"/>
      <c r="M22" s="351"/>
    </row>
    <row r="23" spans="2:13">
      <c r="B23" s="27" t="s">
        <v>373</v>
      </c>
      <c r="C23" s="351">
        <v>-7421783375</v>
      </c>
      <c r="D23" s="351">
        <v>-3462971412</v>
      </c>
      <c r="E23" s="351">
        <v>-2199108158</v>
      </c>
      <c r="F23" s="351">
        <v>-10249763562</v>
      </c>
      <c r="G23" s="351">
        <v>-1487738165</v>
      </c>
      <c r="H23" s="351"/>
      <c r="I23" s="351"/>
      <c r="J23" s="351"/>
      <c r="K23" s="351"/>
      <c r="L23" s="351"/>
      <c r="M23" s="351"/>
    </row>
    <row r="24" spans="2:13">
      <c r="B24" s="27" t="s">
        <v>372</v>
      </c>
      <c r="C24" s="351">
        <v>-2983143705</v>
      </c>
      <c r="D24" s="351">
        <v>-2868065880</v>
      </c>
      <c r="E24" s="351">
        <v>-1675712527</v>
      </c>
      <c r="F24" s="351">
        <v>-1613622636</v>
      </c>
      <c r="G24" s="351">
        <v>-356090851</v>
      </c>
      <c r="H24" s="351"/>
      <c r="I24" s="351"/>
      <c r="J24" s="351"/>
      <c r="K24" s="351"/>
      <c r="L24" s="351"/>
      <c r="M24" s="351"/>
    </row>
    <row r="25" spans="2:13">
      <c r="B25" s="24" t="str">
        <f>"Dividend per share ("&amp;Market_currency&amp;")"</f>
        <v>Dividend per share (HKD)</v>
      </c>
      <c r="C25" s="39">
        <f>2.2/Exchange_Rate</f>
        <v>2.0169216055576094</v>
      </c>
      <c r="D25" s="39">
        <f>2/Exchange_Rate</f>
        <v>1.8335650959614627</v>
      </c>
      <c r="E25" s="39">
        <f>1.3/Exchange_Rate</f>
        <v>1.1918173123749509</v>
      </c>
      <c r="F25" s="39">
        <f>1.1/Exchange_Rate</f>
        <v>1.0084608027788047</v>
      </c>
      <c r="G25" s="39">
        <f>0.75/Exchange_Rate</f>
        <v>0.68758691098554858</v>
      </c>
      <c r="H25" s="39"/>
      <c r="I25" s="39"/>
      <c r="J25" s="39"/>
      <c r="K25" s="39"/>
      <c r="L25" s="39"/>
      <c r="M25" s="39"/>
    </row>
    <row r="27" spans="2:13">
      <c r="B27" s="16" t="s">
        <v>28</v>
      </c>
      <c r="C27" s="97" t="s">
        <v>462</v>
      </c>
    </row>
    <row r="28" spans="2:13">
      <c r="B28" s="26" t="s">
        <v>24</v>
      </c>
      <c r="C28" s="333">
        <f>BS!C4</f>
        <v>185704725</v>
      </c>
      <c r="D28" s="351">
        <v>100391321</v>
      </c>
      <c r="E28" s="351">
        <v>124099728</v>
      </c>
      <c r="F28" s="351">
        <v>124929816</v>
      </c>
      <c r="G28" s="351">
        <v>125155008</v>
      </c>
      <c r="H28" s="351"/>
      <c r="I28" s="351"/>
      <c r="J28" s="351"/>
      <c r="K28" s="351"/>
      <c r="L28" s="351"/>
      <c r="M28" s="351"/>
    </row>
    <row r="29" spans="2:13">
      <c r="B29" s="26" t="s">
        <v>32</v>
      </c>
      <c r="C29" s="333">
        <f>BS!C6</f>
        <v>3576387537</v>
      </c>
      <c r="D29" s="351">
        <v>3539828305</v>
      </c>
      <c r="E29" s="351">
        <v>4152187132</v>
      </c>
      <c r="F29" s="351">
        <v>3492997857</v>
      </c>
      <c r="G29" s="351">
        <v>3281033526</v>
      </c>
      <c r="H29" s="351"/>
      <c r="I29" s="351"/>
      <c r="J29" s="351"/>
      <c r="K29" s="351"/>
      <c r="L29" s="351"/>
      <c r="M29" s="351"/>
    </row>
    <row r="30" spans="2:13">
      <c r="B30" s="29" t="s">
        <v>40</v>
      </c>
      <c r="C30" s="334">
        <f>BS!C33+BS!C42</f>
        <v>21560843821</v>
      </c>
      <c r="D30" s="353">
        <v>21001264174</v>
      </c>
      <c r="E30" s="353">
        <v>24039387261</v>
      </c>
      <c r="F30" s="353">
        <v>22769313149</v>
      </c>
      <c r="G30" s="353">
        <v>20146133669</v>
      </c>
      <c r="H30" s="353"/>
      <c r="I30" s="353"/>
      <c r="J30" s="353"/>
      <c r="K30" s="353"/>
      <c r="L30" s="353"/>
      <c r="M30" s="353"/>
    </row>
    <row r="31" spans="2:13">
      <c r="B31" s="29" t="s">
        <v>30</v>
      </c>
      <c r="C31" s="334">
        <f>BS!G27</f>
        <v>29859542011</v>
      </c>
      <c r="D31" s="353">
        <v>28254747175</v>
      </c>
      <c r="E31" s="353">
        <v>26272312535</v>
      </c>
      <c r="F31" s="353">
        <v>23793691342</v>
      </c>
      <c r="G31" s="353">
        <v>21368052166</v>
      </c>
      <c r="H31" s="353"/>
      <c r="I31" s="353"/>
      <c r="J31" s="353"/>
      <c r="K31" s="353"/>
      <c r="L31" s="353"/>
      <c r="M31" s="353"/>
    </row>
    <row r="32" spans="2:13">
      <c r="B32" s="26" t="s">
        <v>172</v>
      </c>
      <c r="C32" s="333">
        <f>BS!G28</f>
        <v>799157484</v>
      </c>
      <c r="D32" s="351">
        <v>805268959</v>
      </c>
      <c r="E32" s="351">
        <v>777490832</v>
      </c>
      <c r="F32" s="351">
        <v>791846744</v>
      </c>
      <c r="G32" s="351">
        <v>746091651</v>
      </c>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32137830111</v>
      </c>
      <c r="D36" s="333">
        <f t="shared" si="1"/>
        <v>33936522741</v>
      </c>
      <c r="E36" s="333">
        <f t="shared" si="1"/>
        <v>32171565624</v>
      </c>
      <c r="F36" s="333">
        <f t="shared" si="1"/>
        <v>30166805377</v>
      </c>
      <c r="G36" s="333">
        <f t="shared" si="1"/>
        <v>27759710926</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-21538172214</v>
      </c>
      <c r="D37" s="333">
        <f t="shared" si="2"/>
        <v>-23203550387</v>
      </c>
      <c r="E37" s="333">
        <f t="shared" si="2"/>
        <v>-22708660145</v>
      </c>
      <c r="F37" s="333">
        <f t="shared" si="2"/>
        <v>-21409966489</v>
      </c>
      <c r="G37" s="333">
        <f t="shared" si="2"/>
        <v>-18759681723</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10599657897</v>
      </c>
      <c r="D38" s="329">
        <f t="shared" ref="D38" si="3">IF(D36="","",D36+D37)</f>
        <v>10732972354</v>
      </c>
      <c r="E38" s="329">
        <f t="shared" ref="E38" si="4">IF(E36="","",E36+E37)</f>
        <v>9462905479</v>
      </c>
      <c r="F38" s="329">
        <f t="shared" ref="F38" si="5">IF(F36="","",F36+F37)</f>
        <v>8756838888</v>
      </c>
      <c r="G38" s="329">
        <f t="shared" ref="G38" si="6">IF(G36="","",G36+G37)</f>
        <v>9000029203</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-6009098645</v>
      </c>
      <c r="D39" s="333">
        <f t="shared" si="13"/>
        <v>-6227465840</v>
      </c>
      <c r="E39" s="333">
        <f t="shared" si="13"/>
        <v>-5672870751</v>
      </c>
      <c r="F39" s="333">
        <f t="shared" si="13"/>
        <v>-5789419371</v>
      </c>
      <c r="G39" s="333">
        <f t="shared" si="13"/>
        <v>-6662600559</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-4602519864</v>
      </c>
      <c r="D40" s="346">
        <f t="shared" si="14"/>
        <v>-4708402798</v>
      </c>
      <c r="E40" s="346">
        <f t="shared" si="14"/>
        <v>-4199502747</v>
      </c>
      <c r="F40" s="346">
        <f t="shared" si="14"/>
        <v>-4096874125</v>
      </c>
      <c r="G40" s="346">
        <f t="shared" si="14"/>
        <v>-4984549837</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-1406578781</v>
      </c>
      <c r="D41" s="346">
        <f t="shared" ref="D41:M41" si="15">IF(D$4="","",D39-D40)</f>
        <v>-1519063042</v>
      </c>
      <c r="E41" s="346">
        <f t="shared" si="15"/>
        <v>-1473368004</v>
      </c>
      <c r="F41" s="346">
        <f t="shared" si="15"/>
        <v>-1692545246</v>
      </c>
      <c r="G41" s="346">
        <f t="shared" si="15"/>
        <v>-1678050722</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-102766675</v>
      </c>
      <c r="D42" s="333">
        <f t="shared" si="16"/>
        <v>-100637006</v>
      </c>
      <c r="E42" s="333">
        <f t="shared" si="16"/>
        <v>-62954899</v>
      </c>
      <c r="F42" s="333">
        <f t="shared" si="16"/>
        <v>-30890245</v>
      </c>
      <c r="G42" s="333">
        <f t="shared" si="16"/>
        <v>-21467092</v>
      </c>
      <c r="H42" s="333" t="str">
        <f t="shared" si="16"/>
        <v/>
      </c>
      <c r="I42" s="333" t="str">
        <f t="shared" si="16"/>
        <v/>
      </c>
      <c r="J42" s="333" t="str">
        <f t="shared" si="16"/>
        <v/>
      </c>
      <c r="K42" s="333" t="str">
        <f t="shared" si="16"/>
        <v/>
      </c>
      <c r="L42" s="333" t="str">
        <f t="shared" si="16"/>
        <v/>
      </c>
      <c r="M42" s="333" t="str">
        <f t="shared" si="16"/>
        <v/>
      </c>
    </row>
    <row r="43" spans="2:13">
      <c r="B43" s="43" t="s">
        <v>152</v>
      </c>
      <c r="C43" s="334">
        <f>IF(C$4="","",C38+C39+C42)</f>
        <v>4487792577</v>
      </c>
      <c r="D43" s="334">
        <f t="shared" ref="D43:M43" si="17">IF(D$4="","",D38+D39+D42)</f>
        <v>4404869508</v>
      </c>
      <c r="E43" s="334">
        <f t="shared" si="17"/>
        <v>3727079829</v>
      </c>
      <c r="F43" s="334">
        <f t="shared" si="17"/>
        <v>2936529272</v>
      </c>
      <c r="G43" s="334">
        <f t="shared" si="17"/>
        <v>2315961552</v>
      </c>
      <c r="H43" s="334" t="str">
        <f t="shared" si="17"/>
        <v/>
      </c>
      <c r="I43" s="334" t="str">
        <f t="shared" si="17"/>
        <v/>
      </c>
      <c r="J43" s="334" t="str">
        <f t="shared" si="17"/>
        <v/>
      </c>
      <c r="K43" s="334" t="str">
        <f t="shared" si="17"/>
        <v/>
      </c>
      <c r="L43" s="334" t="str">
        <f t="shared" si="17"/>
        <v/>
      </c>
      <c r="M43" s="334" t="str">
        <f t="shared" si="17"/>
        <v/>
      </c>
    </row>
    <row r="44" spans="2:13">
      <c r="B44" s="43" t="s">
        <v>168</v>
      </c>
      <c r="C44" s="354">
        <f t="shared" ref="C44:M44" si="18">IF(C$4="","",C47-C46-C45-C43)</f>
        <v>798766277</v>
      </c>
      <c r="D44" s="354">
        <f t="shared" si="18"/>
        <v>851592381</v>
      </c>
      <c r="E44" s="354">
        <f t="shared" si="18"/>
        <v>828637601</v>
      </c>
      <c r="F44" s="354">
        <f t="shared" si="18"/>
        <v>1249483253</v>
      </c>
      <c r="G44" s="354">
        <f t="shared" si="18"/>
        <v>413221114</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594934146</v>
      </c>
      <c r="D45" s="349">
        <f t="shared" si="19"/>
        <v>489945413</v>
      </c>
      <c r="E45" s="349">
        <f t="shared" si="19"/>
        <v>450423856</v>
      </c>
      <c r="F45" s="349">
        <f t="shared" si="19"/>
        <v>292962940</v>
      </c>
      <c r="G45" s="349">
        <f t="shared" si="19"/>
        <v>510366658</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-1389716314</v>
      </c>
      <c r="D46" s="333">
        <f t="shared" si="20"/>
        <v>-1398208378</v>
      </c>
      <c r="E46" s="333">
        <f t="shared" si="20"/>
        <v>-1201419808</v>
      </c>
      <c r="F46" s="333">
        <f t="shared" si="20"/>
        <v>-1222731595</v>
      </c>
      <c r="G46" s="333">
        <f t="shared" si="20"/>
        <v>-912580519</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4491776686</v>
      </c>
      <c r="D47" s="334">
        <f t="shared" si="21"/>
        <v>4348198924</v>
      </c>
      <c r="E47" s="334">
        <f t="shared" si="21"/>
        <v>3804721478</v>
      </c>
      <c r="F47" s="334">
        <f t="shared" si="21"/>
        <v>3256243870</v>
      </c>
      <c r="G47" s="334">
        <f t="shared" si="21"/>
        <v>2326968805</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-146792828</v>
      </c>
      <c r="D48" s="333">
        <f t="shared" si="22"/>
        <v>-80347518</v>
      </c>
      <c r="E48" s="333">
        <f t="shared" si="22"/>
        <v>-94092885</v>
      </c>
      <c r="F48" s="333">
        <f t="shared" si="22"/>
        <v>-100788060</v>
      </c>
      <c r="G48" s="333">
        <f t="shared" si="22"/>
        <v>-125645249</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-21837054</v>
      </c>
      <c r="D51" s="333">
        <f t="shared" si="23"/>
        <v>-16430590</v>
      </c>
      <c r="E51" s="333">
        <f t="shared" si="23"/>
        <v>-9237800</v>
      </c>
      <c r="F51" s="333">
        <f t="shared" si="23"/>
        <v>-22685367</v>
      </c>
      <c r="G51" s="333">
        <f t="shared" si="23"/>
        <v>-13662682</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616771200</v>
      </c>
      <c r="D52" s="333">
        <f t="shared" si="24"/>
        <v>506376003</v>
      </c>
      <c r="E52" s="333">
        <f t="shared" si="24"/>
        <v>459661656</v>
      </c>
      <c r="F52" s="333">
        <f t="shared" si="24"/>
        <v>315648307</v>
      </c>
      <c r="G52" s="333">
        <f t="shared" si="24"/>
        <v>524029340</v>
      </c>
      <c r="H52" s="333" t="str">
        <f t="shared" si="24"/>
        <v/>
      </c>
      <c r="I52" s="333" t="str">
        <f t="shared" si="24"/>
        <v/>
      </c>
      <c r="J52" s="333" t="str">
        <f t="shared" si="24"/>
        <v/>
      </c>
      <c r="K52" s="333" t="str">
        <f t="shared" si="24"/>
        <v/>
      </c>
      <c r="L52" s="333" t="str">
        <f t="shared" si="24"/>
        <v/>
      </c>
      <c r="M52" s="333" t="str">
        <f t="shared" si="24"/>
        <v/>
      </c>
    </row>
    <row r="54" spans="2:13">
      <c r="B54" s="174" t="s">
        <v>168</v>
      </c>
    </row>
    <row r="55" spans="2:13">
      <c r="B55" s="40" t="s">
        <v>159</v>
      </c>
      <c r="C55" s="349">
        <f t="shared" ref="C55:M55" si="25">IF(C$4="","",C9)</f>
        <v>48272283</v>
      </c>
      <c r="D55" s="349">
        <f t="shared" si="25"/>
        <v>15798284</v>
      </c>
      <c r="E55" s="349">
        <f t="shared" si="25"/>
        <v>19873379</v>
      </c>
      <c r="F55" s="349">
        <f t="shared" si="25"/>
        <v>20561728</v>
      </c>
      <c r="G55" s="349">
        <f t="shared" si="25"/>
        <v>18098320</v>
      </c>
      <c r="H55" s="349" t="str">
        <f t="shared" si="25"/>
        <v/>
      </c>
      <c r="I55" s="349" t="str">
        <f t="shared" si="25"/>
        <v/>
      </c>
      <c r="J55" s="349" t="str">
        <f t="shared" si="25"/>
        <v/>
      </c>
      <c r="K55" s="349" t="str">
        <f t="shared" si="25"/>
        <v/>
      </c>
      <c r="L55" s="349" t="str">
        <f t="shared" si="25"/>
        <v/>
      </c>
      <c r="M55" s="349" t="str">
        <f t="shared" si="25"/>
        <v/>
      </c>
    </row>
    <row r="56" spans="2:13">
      <c r="B56" s="40" t="s">
        <v>167</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158</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160</v>
      </c>
      <c r="C58" s="349">
        <f>IF(C$4="","",C44-C55-C56-C57)</f>
        <v>750493994</v>
      </c>
      <c r="D58" s="349">
        <f t="shared" ref="D58:M58" si="28">IF(D$4="","",D44-D55-D56-D57)</f>
        <v>835794097</v>
      </c>
      <c r="E58" s="349">
        <f t="shared" si="28"/>
        <v>808764222</v>
      </c>
      <c r="F58" s="349">
        <f t="shared" si="28"/>
        <v>1228921525</v>
      </c>
      <c r="G58" s="349">
        <f t="shared" si="28"/>
        <v>395122794</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-1191305772</v>
      </c>
      <c r="D61" s="333">
        <f t="shared" ref="D61:M61" si="29">IF(D$4="","",-D19)</f>
        <v>-1140399624</v>
      </c>
      <c r="E61" s="333">
        <f t="shared" si="29"/>
        <v>-1083856796</v>
      </c>
      <c r="F61" s="333">
        <f t="shared" si="29"/>
        <v>-1109733268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-1191305772</v>
      </c>
      <c r="D62" s="333">
        <f t="shared" ref="D62:M62" si="30">IF(D$4="","",IF(D20=0,D61,-D20))</f>
        <v>-1140399624</v>
      </c>
      <c r="E62" s="333">
        <f t="shared" si="30"/>
        <v>-1083856796</v>
      </c>
      <c r="F62" s="333">
        <f t="shared" si="30"/>
        <v>-1109733268</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-583532518</v>
      </c>
      <c r="D63" s="333">
        <f t="shared" ref="D63:M63" si="31">IF(D$4="","",-D21)</f>
        <v>-1575918543</v>
      </c>
      <c r="E63" s="333">
        <f t="shared" si="31"/>
        <v>-878667968</v>
      </c>
      <c r="F63" s="333">
        <f t="shared" si="31"/>
        <v>-2804548241</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393</v>
      </c>
      <c r="C64" s="333">
        <f>IF(C$4="","",C22+C23+C24)</f>
        <v>-5250265948</v>
      </c>
      <c r="D64" s="333">
        <f t="shared" ref="D64:M64" si="32">IF(D$4="","",D22+D23+D24)</f>
        <v>-3553470152</v>
      </c>
      <c r="E64" s="333">
        <f t="shared" si="32"/>
        <v>1003950637</v>
      </c>
      <c r="F64" s="333">
        <f t="shared" si="32"/>
        <v>-5820274743</v>
      </c>
      <c r="G64" s="333">
        <f t="shared" si="32"/>
        <v>3109593346</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2.0169216055576094</v>
      </c>
      <c r="D65" s="73">
        <f t="shared" ref="D65:M65" si="33">IF(D$4="","",D25)</f>
        <v>1.8335650959614627</v>
      </c>
      <c r="E65" s="73">
        <f t="shared" si="33"/>
        <v>1.1918173123749509</v>
      </c>
      <c r="F65" s="73">
        <f t="shared" si="33"/>
        <v>1.0084608027788047</v>
      </c>
      <c r="G65" s="73">
        <f t="shared" si="33"/>
        <v>0.68758691098554858</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-5.3001677388323953E-2</v>
      </c>
      <c r="D68" s="92">
        <f t="shared" si="34"/>
        <v>5.48607779188508E-2</v>
      </c>
      <c r="E68" s="92">
        <f t="shared" si="34"/>
        <v>6.6455835211788328E-2</v>
      </c>
      <c r="F68" s="92">
        <f t="shared" si="34"/>
        <v>8.6711798167375509E-2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-1.2421019322789495E-2</v>
      </c>
      <c r="D69" s="92">
        <f t="shared" ref="D69:M69" si="35">IF(E$36="","",D38/E38-1)</f>
        <v>0.13421531873255232</v>
      </c>
      <c r="E69" s="92">
        <f t="shared" si="35"/>
        <v>8.0630305071338393E-2</v>
      </c>
      <c r="F69" s="92">
        <f t="shared" si="35"/>
        <v>-2.702105843378122E-2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1.8825317946285836E-2</v>
      </c>
      <c r="D70" s="101">
        <f t="shared" ref="D70:M70" si="36">IF(E$36="","",D43/E43-1)</f>
        <v>0.18185542303821678</v>
      </c>
      <c r="E70" s="101">
        <f t="shared" si="36"/>
        <v>0.26921255801464383</v>
      </c>
      <c r="F70" s="101">
        <f t="shared" si="36"/>
        <v>0.26795251391979935</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168</v>
      </c>
      <c r="C71" s="101">
        <f>IF(D$36="","",C44/D44-1)</f>
        <v>-6.2032147279157068E-2</v>
      </c>
      <c r="D71" s="101">
        <f t="shared" ref="D71:M71" si="37">IF(E$36="","",D44/E44-1)</f>
        <v>2.7701832468497889E-2</v>
      </c>
      <c r="E71" s="101">
        <f t="shared" si="37"/>
        <v>-0.33681576042700268</v>
      </c>
      <c r="F71" s="101">
        <f t="shared" si="37"/>
        <v>2.0237643011629847</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3.3020053707184083E-2</v>
      </c>
      <c r="D72" s="101">
        <f t="shared" ref="D72:M72" si="38">IF(E$36="","",D47/E47-1)</f>
        <v>0.14284289905122982</v>
      </c>
      <c r="E72" s="101">
        <f t="shared" si="38"/>
        <v>0.16843873797449938</v>
      </c>
      <c r="F72" s="101">
        <f t="shared" si="38"/>
        <v>0.3993500312523528</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51420385832</v>
      </c>
      <c r="D76" s="349">
        <f t="shared" ref="D76:M76" si="39">IF(D$4="","",D79+D80)</f>
        <v>49256011349</v>
      </c>
      <c r="E76" s="349">
        <f t="shared" si="39"/>
        <v>50311699796</v>
      </c>
      <c r="F76" s="349">
        <f t="shared" si="39"/>
        <v>46563004491</v>
      </c>
      <c r="G76" s="349">
        <f t="shared" si="39"/>
        <v>41514185835</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185704725</v>
      </c>
      <c r="D77" s="346">
        <f t="shared" si="40"/>
        <v>100391321</v>
      </c>
      <c r="E77" s="346">
        <f t="shared" si="40"/>
        <v>124099728</v>
      </c>
      <c r="F77" s="346">
        <f t="shared" si="40"/>
        <v>124929816</v>
      </c>
      <c r="G77" s="346">
        <f t="shared" si="40"/>
        <v>125155008</v>
      </c>
      <c r="H77" s="346" t="str">
        <f t="shared" si="40"/>
        <v/>
      </c>
      <c r="I77" s="355"/>
      <c r="J77" s="355"/>
      <c r="K77" s="355"/>
      <c r="L77" s="355"/>
      <c r="M77" s="355"/>
    </row>
    <row r="78" spans="2:13">
      <c r="B78" s="93" t="s">
        <v>86</v>
      </c>
      <c r="C78" s="318">
        <f t="shared" si="40"/>
        <v>3576387537</v>
      </c>
      <c r="D78" s="346">
        <f t="shared" si="40"/>
        <v>3539828305</v>
      </c>
      <c r="E78" s="346">
        <f t="shared" si="40"/>
        <v>4152187132</v>
      </c>
      <c r="F78" s="346">
        <f t="shared" si="40"/>
        <v>3492997857</v>
      </c>
      <c r="G78" s="346">
        <f t="shared" si="40"/>
        <v>3281033526</v>
      </c>
      <c r="H78" s="346" t="str">
        <f t="shared" si="40"/>
        <v/>
      </c>
      <c r="I78" s="355"/>
      <c r="J78" s="355"/>
      <c r="K78" s="355"/>
      <c r="L78" s="355"/>
      <c r="M78" s="355"/>
    </row>
    <row r="79" spans="2:13">
      <c r="B79" s="26" t="s">
        <v>40</v>
      </c>
      <c r="C79" s="317">
        <f t="shared" ref="C79:M79" si="41">IF(C$4="","",C30)</f>
        <v>21560843821</v>
      </c>
      <c r="D79" s="333">
        <f t="shared" si="41"/>
        <v>21001264174</v>
      </c>
      <c r="E79" s="333">
        <f t="shared" si="41"/>
        <v>24039387261</v>
      </c>
      <c r="F79" s="333">
        <f t="shared" si="41"/>
        <v>22769313149</v>
      </c>
      <c r="G79" s="333">
        <f t="shared" si="41"/>
        <v>20146133669</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29859542011</v>
      </c>
      <c r="D80" s="333">
        <f t="shared" si="42"/>
        <v>28254747175</v>
      </c>
      <c r="E80" s="333">
        <f t="shared" si="42"/>
        <v>26272312535</v>
      </c>
      <c r="F80" s="333">
        <f t="shared" si="42"/>
        <v>23793691342</v>
      </c>
      <c r="G80" s="333">
        <f t="shared" si="42"/>
        <v>21368052166</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f>Normalized_FCF!G1</f>
        <v>45657</v>
      </c>
      <c r="F1" s="86" t="str">
        <f>IF(MONTH(C1)=MONTH(Normalized_FCF!G1),"FY","Quarter")&amp;" Report"</f>
        <v>FY Report</v>
      </c>
      <c r="H1" s="107">
        <f>scaling_factor</f>
        <v>1</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102420347+83284378</f>
        <v>185704725</v>
      </c>
      <c r="D4" s="261">
        <v>0.6</v>
      </c>
      <c r="E4" s="25"/>
      <c r="F4" s="4" t="s">
        <v>77</v>
      </c>
      <c r="G4" s="19">
        <v>17978772896</v>
      </c>
      <c r="H4" s="261">
        <v>0.9</v>
      </c>
    </row>
    <row r="5" spans="2:8" ht="15" customHeight="1">
      <c r="B5" s="1" t="s">
        <v>33</v>
      </c>
      <c r="C5" s="19">
        <v>0</v>
      </c>
      <c r="D5" s="261">
        <v>0.6</v>
      </c>
      <c r="E5" s="25"/>
      <c r="F5" s="1" t="s">
        <v>29</v>
      </c>
      <c r="G5" s="19">
        <v>0</v>
      </c>
      <c r="H5" s="261">
        <v>0.7</v>
      </c>
    </row>
    <row r="6" spans="2:8" ht="15" customHeight="1">
      <c r="B6" s="4" t="s">
        <v>10</v>
      </c>
      <c r="C6" s="19">
        <v>3576387537</v>
      </c>
      <c r="D6" s="261">
        <v>0.5</v>
      </c>
      <c r="E6" s="25"/>
      <c r="F6" s="4" t="s">
        <v>177</v>
      </c>
      <c r="G6" s="19">
        <v>0</v>
      </c>
      <c r="H6" s="261">
        <v>0.6</v>
      </c>
    </row>
    <row r="7" spans="2:8" ht="15" customHeight="1">
      <c r="B7" s="1" t="s">
        <v>69</v>
      </c>
      <c r="C7" s="19">
        <v>0</v>
      </c>
      <c r="D7" s="261">
        <v>0.6</v>
      </c>
      <c r="E7" s="25"/>
      <c r="F7" s="4" t="s">
        <v>178</v>
      </c>
      <c r="G7" s="19">
        <v>2021804089</v>
      </c>
      <c r="H7" s="261">
        <v>0.6</v>
      </c>
    </row>
    <row r="8" spans="2:8" ht="15" customHeight="1">
      <c r="B8" s="1" t="s">
        <v>173</v>
      </c>
      <c r="C8" s="19">
        <v>0</v>
      </c>
      <c r="D8" s="261">
        <v>0.6</v>
      </c>
      <c r="E8" s="25"/>
      <c r="F8" s="1" t="s">
        <v>179</v>
      </c>
      <c r="G8" s="19">
        <v>0</v>
      </c>
      <c r="H8" s="261">
        <v>0.6</v>
      </c>
    </row>
    <row r="9" spans="2:8" ht="15" customHeight="1">
      <c r="B9" s="4" t="s">
        <v>25</v>
      </c>
      <c r="C9" s="19">
        <v>241896760</v>
      </c>
      <c r="D9" s="261">
        <v>0.1</v>
      </c>
      <c r="E9" s="25"/>
      <c r="F9" s="4" t="s">
        <v>180</v>
      </c>
      <c r="G9" s="19">
        <v>0</v>
      </c>
      <c r="H9" s="261">
        <v>0.6</v>
      </c>
    </row>
    <row r="10" spans="2:8" ht="15" customHeight="1">
      <c r="B10" s="4" t="s">
        <v>11</v>
      </c>
      <c r="C10" s="19">
        <v>0</v>
      </c>
      <c r="D10" s="261">
        <v>0.9</v>
      </c>
      <c r="H10" s="262"/>
    </row>
    <row r="11" spans="2:8" ht="15" customHeight="1">
      <c r="B11" s="4" t="s">
        <v>12</v>
      </c>
      <c r="C11" s="19">
        <f>51713930+1132635624</f>
        <v>1184349554</v>
      </c>
      <c r="D11" s="261">
        <v>0.05</v>
      </c>
      <c r="H11" s="262"/>
    </row>
    <row r="12" spans="2:8" ht="15" customHeight="1">
      <c r="B12" s="80" t="s">
        <v>72</v>
      </c>
      <c r="C12" s="81">
        <f>SUM(C4:C11)</f>
        <v>5188338576</v>
      </c>
      <c r="D12" s="20">
        <f>C4*D4+C5*D5+C9*D9+C6*D6+C8*D8+C7*D7+C10*D10+C11*D11</f>
        <v>1983023757.2</v>
      </c>
      <c r="F12" s="80" t="s">
        <v>70</v>
      </c>
      <c r="G12" s="81">
        <f>SUM(G4:G9)</f>
        <v>20000576985</v>
      </c>
      <c r="H12" s="20">
        <f>G4*H4+G5*H5+G6*H6+G7*H7+G8*H8+G9*H9</f>
        <v>17393978059.799999</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455</v>
      </c>
      <c r="C15" s="19">
        <v>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2498379750</v>
      </c>
      <c r="H17" s="261">
        <v>0.6</v>
      </c>
    </row>
    <row r="18" spans="2:8" ht="15" customHeight="1">
      <c r="B18" s="4" t="s">
        <v>173</v>
      </c>
      <c r="C18" s="19">
        <v>0</v>
      </c>
      <c r="D18" s="261">
        <v>0.6</v>
      </c>
      <c r="F18" s="4" t="s">
        <v>181</v>
      </c>
      <c r="G18" s="19">
        <v>0</v>
      </c>
      <c r="H18" s="261">
        <v>0.1</v>
      </c>
    </row>
    <row r="19" spans="2:8" ht="15" customHeight="1">
      <c r="B19" s="4" t="s">
        <v>26</v>
      </c>
      <c r="C19" s="19">
        <f>11817650634+630874619+115672625+85702449</f>
        <v>12649900327</v>
      </c>
      <c r="D19" s="261">
        <v>0.1</v>
      </c>
      <c r="F19" s="4" t="s">
        <v>182</v>
      </c>
      <c r="G19" s="19">
        <v>391873803</v>
      </c>
      <c r="H19" s="261">
        <v>0.1</v>
      </c>
    </row>
    <row r="20" spans="2:8" ht="15" customHeight="1">
      <c r="B20" s="4" t="s">
        <v>18</v>
      </c>
      <c r="C20" s="19">
        <v>0</v>
      </c>
      <c r="D20" s="261">
        <v>0.05</v>
      </c>
      <c r="F20" s="4" t="s">
        <v>179</v>
      </c>
      <c r="G20" s="19">
        <v>0</v>
      </c>
      <c r="H20" s="261">
        <v>0.2</v>
      </c>
    </row>
    <row r="21" spans="2:8" ht="15" customHeight="1">
      <c r="B21" s="4" t="s">
        <v>19</v>
      </c>
      <c r="C21" s="19">
        <v>2684120584</v>
      </c>
      <c r="D21" s="261">
        <v>0.05</v>
      </c>
      <c r="F21" s="1" t="s">
        <v>180</v>
      </c>
      <c r="G21" s="19">
        <v>41138918</v>
      </c>
      <c r="H21" s="261">
        <v>0.1</v>
      </c>
    </row>
    <row r="22" spans="2:8" ht="15" customHeight="1">
      <c r="B22" s="4" t="s">
        <v>20</v>
      </c>
      <c r="C22" s="19">
        <v>1930039528</v>
      </c>
      <c r="D22" s="261">
        <v>0.9</v>
      </c>
      <c r="H22" s="262"/>
    </row>
    <row r="23" spans="2:8" ht="15" customHeight="1">
      <c r="B23" s="4" t="s">
        <v>21</v>
      </c>
      <c r="C23" s="19">
        <f>1307103982+4728913379</f>
        <v>6036017361</v>
      </c>
      <c r="D23" s="261">
        <v>0</v>
      </c>
      <c r="H23" s="262"/>
    </row>
    <row r="24" spans="2:8" ht="15" customHeight="1">
      <c r="B24" s="80" t="s">
        <v>73</v>
      </c>
      <c r="C24" s="81">
        <f>SUM(C15:C23)</f>
        <v>23300077800</v>
      </c>
      <c r="D24" s="20">
        <f>C15*D15+C16*D16+C18*D18+C17*D17+C19*D19+C20*D20+C21*D21+C22*D22+C23*D23</f>
        <v>3136231637.1000004</v>
      </c>
      <c r="F24" s="80" t="s">
        <v>71</v>
      </c>
      <c r="G24" s="81">
        <f>SUM(G15:G21)</f>
        <v>2931392471</v>
      </c>
      <c r="H24" s="20">
        <f>G15*H15+G16*H16+G17*H17+G18*H18+G19*H19+G20*H20+G21*H21</f>
        <v>1542329122.0999999</v>
      </c>
    </row>
    <row r="26" spans="2:8" ht="15" customHeight="1">
      <c r="B26" s="16" t="s">
        <v>200</v>
      </c>
      <c r="C26" s="182" t="s">
        <v>136</v>
      </c>
      <c r="F26" s="184" t="s">
        <v>196</v>
      </c>
      <c r="G26" s="185" t="s">
        <v>136</v>
      </c>
      <c r="H26" s="186" t="s">
        <v>35</v>
      </c>
    </row>
    <row r="27" spans="2:8" ht="15" customHeight="1">
      <c r="B27" s="4" t="s">
        <v>5</v>
      </c>
      <c r="C27" s="19">
        <v>0</v>
      </c>
      <c r="F27" s="187" t="s">
        <v>30</v>
      </c>
      <c r="G27" s="85">
        <f>G32-G30</f>
        <v>29859542011</v>
      </c>
      <c r="H27" s="188">
        <f>H32-G30</f>
        <v>2494718755.1999969</v>
      </c>
    </row>
    <row r="28" spans="2:8" ht="15" customHeight="1">
      <c r="B28" s="4" t="s">
        <v>6</v>
      </c>
      <c r="C28" s="19">
        <v>0</v>
      </c>
      <c r="F28" s="189" t="s">
        <v>244</v>
      </c>
      <c r="G28" s="12">
        <v>799157484</v>
      </c>
      <c r="H28" s="188"/>
    </row>
    <row r="29" spans="2:8" ht="15" customHeight="1">
      <c r="B29" s="4" t="s">
        <v>7</v>
      </c>
      <c r="C29" s="19">
        <v>0</v>
      </c>
      <c r="F29" s="190" t="s">
        <v>75</v>
      </c>
      <c r="G29" s="14">
        <f>G27-G28</f>
        <v>29060384527</v>
      </c>
      <c r="H29" s="188">
        <f>H27-G28</f>
        <v>1695561271.1999969</v>
      </c>
    </row>
    <row r="30" spans="2:8" ht="15" customHeight="1">
      <c r="B30" s="2" t="s">
        <v>8</v>
      </c>
      <c r="C30" s="19">
        <v>217159673</v>
      </c>
      <c r="F30" s="187" t="s">
        <v>23</v>
      </c>
      <c r="G30" s="85">
        <f>C33+C42</f>
        <v>21560843821</v>
      </c>
      <c r="H30" s="188"/>
    </row>
    <row r="31" spans="2:8" ht="15" customHeight="1">
      <c r="B31" s="80" t="s">
        <v>203</v>
      </c>
      <c r="C31" s="81">
        <f>SUM(C27:C30)</f>
        <v>217159673</v>
      </c>
      <c r="F31" s="190" t="s">
        <v>76</v>
      </c>
      <c r="G31" s="191">
        <f>C31+C40</f>
        <v>285396383</v>
      </c>
      <c r="H31" s="188"/>
    </row>
    <row r="32" spans="2:8" ht="15" customHeight="1">
      <c r="B32" s="4" t="s">
        <v>9</v>
      </c>
      <c r="C32" s="21">
        <f>C33-C31</f>
        <v>17305171626</v>
      </c>
      <c r="F32" s="192" t="s">
        <v>74</v>
      </c>
      <c r="G32" s="193">
        <f>G35+G40</f>
        <v>51420385832</v>
      </c>
      <c r="H32" s="188">
        <f>H35+H40</f>
        <v>24055562576.199997</v>
      </c>
    </row>
    <row r="33" spans="2:8" ht="15" customHeight="1">
      <c r="B33" s="83" t="s">
        <v>4</v>
      </c>
      <c r="C33" s="84">
        <v>17522331299</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28488416376</v>
      </c>
      <c r="H35" s="200">
        <f>D12+D24</f>
        <v>5119255394.3000002</v>
      </c>
    </row>
    <row r="36" spans="2:8" ht="15" customHeight="1">
      <c r="B36" s="4" t="s">
        <v>13</v>
      </c>
      <c r="C36" s="19">
        <v>0</v>
      </c>
      <c r="F36" s="190" t="s">
        <v>197</v>
      </c>
      <c r="G36" s="191">
        <f>C4+C15</f>
        <v>185704725</v>
      </c>
      <c r="H36" s="195"/>
    </row>
    <row r="37" spans="2:8" ht="15" customHeight="1">
      <c r="B37" s="4" t="s">
        <v>14</v>
      </c>
      <c r="C37" s="19">
        <v>68236710</v>
      </c>
      <c r="F37" s="190" t="s">
        <v>198</v>
      </c>
      <c r="G37" s="191">
        <f>C6</f>
        <v>3576387537</v>
      </c>
      <c r="H37" s="195"/>
    </row>
    <row r="38" spans="2:8" ht="15" customHeight="1">
      <c r="B38" s="4" t="s">
        <v>15</v>
      </c>
      <c r="C38" s="19">
        <v>0</v>
      </c>
      <c r="F38" s="190" t="s">
        <v>199</v>
      </c>
      <c r="G38" s="191">
        <f>C7+C17</f>
        <v>0</v>
      </c>
      <c r="H38" s="195"/>
    </row>
    <row r="39" spans="2:8" ht="15" customHeight="1">
      <c r="B39" s="2" t="s">
        <v>16</v>
      </c>
      <c r="C39" s="19">
        <v>0</v>
      </c>
      <c r="F39" s="190" t="s">
        <v>79</v>
      </c>
      <c r="G39" s="191">
        <f>C7+C17+C19+C20</f>
        <v>12649900327</v>
      </c>
      <c r="H39" s="188">
        <f>C7*D7+C17*D17+C19*D19+C20*D20</f>
        <v>1264990032.7</v>
      </c>
    </row>
    <row r="40" spans="2:8" ht="15" customHeight="1">
      <c r="B40" s="80" t="s">
        <v>204</v>
      </c>
      <c r="C40" s="81">
        <f>SUM(C36:C39)</f>
        <v>68236710</v>
      </c>
      <c r="F40" s="199" t="s">
        <v>138</v>
      </c>
      <c r="G40" s="193">
        <f>G12+G24</f>
        <v>22931969456</v>
      </c>
      <c r="H40" s="200">
        <f>H12+H24</f>
        <v>18936307181.899998</v>
      </c>
    </row>
    <row r="41" spans="2:8" ht="15" customHeight="1">
      <c r="B41" s="4" t="s">
        <v>17</v>
      </c>
      <c r="C41" s="21">
        <f>C42-C40</f>
        <v>3970275812</v>
      </c>
      <c r="F41" s="190" t="s">
        <v>191</v>
      </c>
      <c r="G41" s="191">
        <f>C70</f>
        <v>17978772896</v>
      </c>
      <c r="H41" s="200">
        <f>H40-H42</f>
        <v>16180895606.399998</v>
      </c>
    </row>
    <row r="42" spans="2:8" ht="15" customHeight="1">
      <c r="B42" s="83" t="s">
        <v>22</v>
      </c>
      <c r="C42" s="84">
        <v>4038512522</v>
      </c>
      <c r="F42" s="201" t="s">
        <v>192</v>
      </c>
      <c r="G42" s="202">
        <f>C82</f>
        <v>4953196560</v>
      </c>
      <c r="H42" s="203">
        <f>D82</f>
        <v>2755411575.5</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29060384527</v>
      </c>
      <c r="D46" s="76">
        <f>H29</f>
        <v>1695561271.1999969</v>
      </c>
      <c r="F46" s="253"/>
    </row>
    <row r="47" spans="2:8" ht="15" customHeight="1">
      <c r="B47" s="1" t="str">
        <f>"Equity per share ("&amp;Market_currency&amp;")"</f>
        <v>Equity per share (HKD)</v>
      </c>
      <c r="C47" s="147">
        <f>C46*H1/Common_Shares*Exchange_Rate</f>
        <v>23.23581962793569</v>
      </c>
      <c r="D47" s="147">
        <f>D46*H1/Common_Shares*Exchange_Rate</f>
        <v>1.3557203907302751</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7.3592411949940734E-2</v>
      </c>
      <c r="D50" s="95">
        <f>G31/Normalized_FCF!G8</f>
        <v>6.3593933566061064E-2</v>
      </c>
      <c r="F50" s="253"/>
    </row>
    <row r="51" spans="2:8" ht="15" customHeight="1">
      <c r="B51" s="1" t="s">
        <v>176</v>
      </c>
      <c r="C51" s="181"/>
      <c r="D51" s="92">
        <f>G29/G32</f>
        <v>0.56515298469260233</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0.1361278920921285</v>
      </c>
      <c r="D54" s="92">
        <f>Normalized_FCF!G8/G35</f>
        <v>0.15753043334415495</v>
      </c>
      <c r="F54" s="253"/>
    </row>
    <row r="55" spans="2:8" ht="15" customHeight="1">
      <c r="B55" s="1" t="s">
        <v>141</v>
      </c>
      <c r="C55" s="92">
        <f>Normalized_FCF!C11/G40</f>
        <v>0</v>
      </c>
      <c r="D55" s="92">
        <f>Normalized_FCF!G11/G40</f>
        <v>2.1050212495974641E-3</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9.4175111360938715E-2</v>
      </c>
      <c r="F58" s="5"/>
    </row>
    <row r="59" spans="2:8" ht="15" customHeight="1">
      <c r="B59" s="1" t="s">
        <v>92</v>
      </c>
      <c r="C59" s="98"/>
      <c r="D59" s="92">
        <f>G39/G32</f>
        <v>0.24600944007556819</v>
      </c>
      <c r="F59" s="253"/>
    </row>
    <row r="60" spans="2:8" ht="15" customHeight="1">
      <c r="F60" s="253"/>
    </row>
    <row r="61" spans="2:8" ht="15" customHeight="1">
      <c r="B61" s="157" t="s">
        <v>274</v>
      </c>
      <c r="C61" s="235" t="s">
        <v>137</v>
      </c>
      <c r="D61" s="197" t="s">
        <v>95</v>
      </c>
      <c r="F61" s="253"/>
    </row>
    <row r="62" spans="2:8" ht="15" customHeight="1">
      <c r="B62" s="1" t="s">
        <v>245</v>
      </c>
      <c r="C62" s="92">
        <f>IF(G28&lt;=0,0,G28/G29)</f>
        <v>2.749989365273205E-2</v>
      </c>
      <c r="D62" s="92">
        <f>G28/G29</f>
        <v>2.749989365273205E-2</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17978772896</v>
      </c>
      <c r="D66" s="76">
        <f>C66-D75</f>
        <v>12816007751.184711</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17978772896</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-2533459625.8291245</v>
      </c>
      <c r="D73" s="349">
        <f>(Normalized_FCF!C25+Normalized_FCF!C35-Normalized_FCF!C91)/12</f>
        <v>-2581382572.4076447</v>
      </c>
      <c r="F73" s="1" t="s">
        <v>351</v>
      </c>
    </row>
    <row r="74" spans="2:6" ht="15" customHeight="1">
      <c r="B74" s="257" t="s">
        <v>321</v>
      </c>
      <c r="C74" s="258">
        <f>-$C$66/C73</f>
        <v>7.0965302595323942</v>
      </c>
      <c r="D74" s="258">
        <f>-$C$66/D73</f>
        <v>6.9647843323088967</v>
      </c>
      <c r="F74" s="253" t="s">
        <v>319</v>
      </c>
    </row>
    <row r="75" spans="2:6" ht="15" customHeight="1">
      <c r="B75" s="80" t="s">
        <v>320</v>
      </c>
      <c r="C75" s="320"/>
      <c r="D75" s="321">
        <f>MAX(-D73*D76,G5)</f>
        <v>5162765144.8152895</v>
      </c>
      <c r="F75" s="253" t="s">
        <v>352</v>
      </c>
    </row>
    <row r="76" spans="2:6" ht="15" customHeight="1">
      <c r="B76" s="259" t="s">
        <v>322</v>
      </c>
      <c r="C76" s="260"/>
      <c r="D76" s="290">
        <f>IF(D74&lt;=3,1,IF(D74&gt;18,6,2))</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4520183839</v>
      </c>
      <c r="D79" s="76">
        <f>G7*H7+G17*H17</f>
        <v>2712110303.3999996</v>
      </c>
      <c r="F79" s="253"/>
    </row>
    <row r="80" spans="2:6" ht="15" customHeight="1">
      <c r="B80" s="105" t="s">
        <v>182</v>
      </c>
      <c r="C80" s="20">
        <f>G19</f>
        <v>391873803</v>
      </c>
      <c r="D80" s="76">
        <f>G19*H19</f>
        <v>39187380.300000004</v>
      </c>
      <c r="F80" s="253"/>
    </row>
    <row r="81" spans="2:8" ht="15" customHeight="1">
      <c r="B81" s="105" t="s">
        <v>180</v>
      </c>
      <c r="C81" s="20">
        <f>G9+G21</f>
        <v>41138918</v>
      </c>
      <c r="D81" s="76">
        <f>G9*H9+G21*H21</f>
        <v>4113891.8000000003</v>
      </c>
      <c r="F81" s="253"/>
    </row>
    <row r="82" spans="2:8" ht="15" customHeight="1">
      <c r="B82" s="80" t="s">
        <v>189</v>
      </c>
      <c r="C82" s="81">
        <f>SUM(C79:C81)</f>
        <v>4953196560</v>
      </c>
      <c r="D82" s="81">
        <f>SUM(D79:D81)</f>
        <v>2755411575.5</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-311302155.16056961</v>
      </c>
      <c r="D86" s="223">
        <f>C86*scaling_factor/Common_Shares</f>
        <v>-0.22819446424365106</v>
      </c>
      <c r="E86" s="240" t="str">
        <f>Market_currency</f>
        <v>HKD</v>
      </c>
    </row>
    <row r="87" spans="2:8" ht="15" customHeight="1">
      <c r="B87" s="238" t="s">
        <v>287</v>
      </c>
      <c r="C87" s="76">
        <f>DCF!C8*Exchange_Rate</f>
        <v>13979332153.969049</v>
      </c>
      <c r="D87" s="223">
        <f>C87*scaling_factor/Common_Shares</f>
        <v>10.247298833230392</v>
      </c>
      <c r="E87" s="240" t="str">
        <f>Market_currency</f>
        <v>HKD</v>
      </c>
    </row>
    <row r="88" spans="2:8" ht="15" customHeight="1">
      <c r="B88" s="239" t="s">
        <v>189</v>
      </c>
      <c r="C88" s="76">
        <f>DCF!C9*Exchange_Rate</f>
        <v>3005523590.7020259</v>
      </c>
      <c r="D88" s="223">
        <f>C88*scaling_factor/Common_Shares</f>
        <v>2.203145189271642</v>
      </c>
      <c r="E88" s="240" t="str">
        <f>Market_currency</f>
        <v>HKD</v>
      </c>
    </row>
    <row r="89" spans="2:8" ht="15" customHeight="1">
      <c r="B89" s="80" t="s">
        <v>291</v>
      </c>
      <c r="C89" s="180">
        <f>SUM(C86:C88)</f>
        <v>16673553589.510506</v>
      </c>
      <c r="D89" s="242">
        <f>SUM(D86:D88)</f>
        <v>12.222249558258383</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32103180963.25</v>
      </c>
      <c r="D4" s="57"/>
      <c r="E4" s="266"/>
      <c r="F4" s="57"/>
      <c r="G4" s="333">
        <f>Data!C36</f>
        <v>32137830111</v>
      </c>
      <c r="H4" s="333">
        <f>Data!D36</f>
        <v>33936522741</v>
      </c>
      <c r="I4" s="333">
        <f>Data!E36</f>
        <v>32171565624</v>
      </c>
      <c r="J4" s="333">
        <f>Data!F36</f>
        <v>30166805377</v>
      </c>
      <c r="K4" s="333">
        <f>Data!G36</f>
        <v>27759710926</v>
      </c>
      <c r="L4" s="333" t="str">
        <f>Data!H36</f>
        <v/>
      </c>
      <c r="M4" s="333" t="str">
        <f>Data!I36</f>
        <v/>
      </c>
      <c r="N4" s="333" t="str">
        <f>Data!J36</f>
        <v/>
      </c>
      <c r="O4" s="333" t="str">
        <f>Data!K36</f>
        <v/>
      </c>
      <c r="P4" s="333" t="str">
        <f>Data!L36</f>
        <v/>
      </c>
      <c r="Q4" s="333" t="str">
        <f>Data!M36</f>
        <v/>
      </c>
    </row>
    <row r="5" spans="1:17" ht="15.75" customHeight="1">
      <c r="A5" s="10"/>
      <c r="B5" s="2" t="s">
        <v>46</v>
      </c>
      <c r="C5" s="328">
        <f>C25</f>
        <v>-26627911918.442245</v>
      </c>
      <c r="E5" s="268"/>
      <c r="G5" s="333">
        <f t="shared" ref="G5:Q5" si="1">G25</f>
        <v>-26140692078</v>
      </c>
      <c r="H5" s="333">
        <f t="shared" si="1"/>
        <v>-27911953185</v>
      </c>
      <c r="I5" s="333">
        <f t="shared" si="1"/>
        <v>-26908162892</v>
      </c>
      <c r="J5" s="333">
        <f t="shared" si="1"/>
        <v>-25506840614</v>
      </c>
      <c r="K5" s="333">
        <f t="shared" si="1"/>
        <v>-23744231560</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5475269044.8077545</v>
      </c>
      <c r="E6" s="268"/>
      <c r="G6" s="329">
        <f>IF(G4="","",G4+G5)</f>
        <v>5997138033</v>
      </c>
      <c r="H6" s="329">
        <f t="shared" ref="H6:Q6" si="2">IF(H4="","",H4+H5)</f>
        <v>6024569556</v>
      </c>
      <c r="I6" s="329">
        <f t="shared" si="2"/>
        <v>5263402732</v>
      </c>
      <c r="J6" s="329">
        <f t="shared" si="2"/>
        <v>4659964763</v>
      </c>
      <c r="K6" s="329">
        <f t="shared" si="2"/>
        <v>4015479366</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-1597200974.5</v>
      </c>
      <c r="E7" s="268"/>
      <c r="G7" s="328">
        <f t="shared" ref="G7:Q7" si="3">G35</f>
        <v>-1509345456</v>
      </c>
      <c r="H7" s="328">
        <f t="shared" si="3"/>
        <v>-1619700048</v>
      </c>
      <c r="I7" s="328">
        <f t="shared" si="3"/>
        <v>-1536322903</v>
      </c>
      <c r="J7" s="328">
        <f t="shared" si="3"/>
        <v>-1723435491</v>
      </c>
      <c r="K7" s="328">
        <f t="shared" si="3"/>
        <v>-1699517814</v>
      </c>
      <c r="L7" s="328" t="str">
        <f t="shared" si="3"/>
        <v/>
      </c>
      <c r="M7" s="328" t="str">
        <f t="shared" si="3"/>
        <v/>
      </c>
      <c r="N7" s="328" t="str">
        <f t="shared" si="3"/>
        <v/>
      </c>
      <c r="O7" s="328" t="str">
        <f t="shared" si="3"/>
        <v/>
      </c>
      <c r="P7" s="328" t="str">
        <f t="shared" si="3"/>
        <v/>
      </c>
      <c r="Q7" s="328" t="str">
        <f t="shared" si="3"/>
        <v/>
      </c>
    </row>
    <row r="8" spans="1:17" ht="15.75" customHeight="1">
      <c r="A8" s="10"/>
      <c r="B8" s="29" t="s">
        <v>152</v>
      </c>
      <c r="C8" s="330">
        <f>C6+C7</f>
        <v>3878068070.3077545</v>
      </c>
      <c r="D8" s="59"/>
      <c r="E8" s="274"/>
      <c r="F8" s="59"/>
      <c r="G8" s="329">
        <f>IF(G$4="","",G6+G7)</f>
        <v>4487792577</v>
      </c>
      <c r="H8" s="329">
        <f t="shared" ref="H8:Q8" si="4">IF(H$4="","",H6+H7)</f>
        <v>4404869508</v>
      </c>
      <c r="I8" s="329">
        <f t="shared" si="4"/>
        <v>3727079829</v>
      </c>
      <c r="J8" s="329">
        <f t="shared" si="4"/>
        <v>2936529272</v>
      </c>
      <c r="K8" s="329">
        <f t="shared" si="4"/>
        <v>2315961552</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1191305772</v>
      </c>
      <c r="E9" s="268"/>
      <c r="G9" s="328">
        <f>IF(Data!C61="","",-Data!C61)</f>
        <v>1191305772</v>
      </c>
      <c r="H9" s="328">
        <f>IF(Data!D61="","",-Data!D61)</f>
        <v>1140399624</v>
      </c>
      <c r="I9" s="328">
        <f>IF(Data!E61="","",-Data!E61)</f>
        <v>1083856796</v>
      </c>
      <c r="J9" s="328">
        <f>IF(Data!F61="","",-Data!F61)</f>
        <v>1109733268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-1191305772</v>
      </c>
      <c r="E10" s="268"/>
      <c r="G10" s="328">
        <f>Data!C62</f>
        <v>-1191305772</v>
      </c>
      <c r="H10" s="328">
        <f>Data!D62</f>
        <v>-1140399624</v>
      </c>
      <c r="I10" s="328">
        <f>Data!E62</f>
        <v>-1083856796</v>
      </c>
      <c r="J10" s="328">
        <f>Data!F62</f>
        <v>-1109733268</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194</v>
      </c>
      <c r="C11" s="331">
        <f>C63</f>
        <v>0</v>
      </c>
      <c r="D11" s="168"/>
      <c r="E11" s="267"/>
      <c r="F11" s="168"/>
      <c r="G11" s="334">
        <f>G61</f>
        <v>48272283</v>
      </c>
      <c r="H11" s="334">
        <f t="shared" ref="H11:Q11" si="5">H61</f>
        <v>15798284</v>
      </c>
      <c r="I11" s="334">
        <f t="shared" si="5"/>
        <v>19873379</v>
      </c>
      <c r="J11" s="334">
        <f t="shared" si="5"/>
        <v>20561728</v>
      </c>
      <c r="K11" s="334">
        <f t="shared" si="5"/>
        <v>18098320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155274302.38152173</v>
      </c>
      <c r="E12" s="268"/>
      <c r="G12" s="328">
        <f>G50</f>
        <v>155274302.3815217</v>
      </c>
      <c r="H12" s="328">
        <f t="shared" ref="H12:Q12" si="6">H50</f>
        <v>128979799.99613392</v>
      </c>
      <c r="I12" s="328">
        <f t="shared" si="6"/>
        <v>122758148.20694682</v>
      </c>
      <c r="J12" s="328">
        <f t="shared" si="6"/>
        <v>67955862.344529986</v>
      </c>
      <c r="K12" s="328">
        <f t="shared" si="6"/>
        <v>136817021.31804341</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164</v>
      </c>
      <c r="C13" s="329">
        <f>SUM(C8:C12)</f>
        <v>4033342372.6892762</v>
      </c>
      <c r="E13" s="268"/>
      <c r="G13" s="329">
        <f>IF(G$4="","",SUM(G8:G12))</f>
        <v>4691339162.3815212</v>
      </c>
      <c r="H13" s="329">
        <f t="shared" ref="H13:Q13" si="7">IF(H$4="","",SUM(H8:H12))</f>
        <v>4549647591.9961338</v>
      </c>
      <c r="I13" s="329">
        <f t="shared" si="7"/>
        <v>3869711356.2069468</v>
      </c>
      <c r="J13" s="329">
        <f t="shared" si="7"/>
        <v>3025046862.3445301</v>
      </c>
      <c r="K13" s="329">
        <f t="shared" si="7"/>
        <v>2470876893.3180432</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-1008335593.1723191</v>
      </c>
      <c r="E14" s="268"/>
      <c r="G14" s="328">
        <f>Data!C46</f>
        <v>-1389716314</v>
      </c>
      <c r="H14" s="328">
        <f>Data!D46</f>
        <v>-1398208378</v>
      </c>
      <c r="I14" s="328">
        <f>Data!E46</f>
        <v>-1201419808</v>
      </c>
      <c r="J14" s="328">
        <f>Data!F46</f>
        <v>-1222731595</v>
      </c>
      <c r="K14" s="328">
        <f>Data!G46</f>
        <v>-912580519</v>
      </c>
      <c r="L14" s="328" t="str">
        <f>Data!H46</f>
        <v/>
      </c>
      <c r="M14" s="328" t="str">
        <f>Data!I46</f>
        <v/>
      </c>
      <c r="N14" s="328" t="str">
        <f>Data!J46</f>
        <v/>
      </c>
      <c r="O14" s="328" t="str">
        <f>Data!K46</f>
        <v/>
      </c>
      <c r="P14" s="328" t="str">
        <f>Data!L46</f>
        <v/>
      </c>
      <c r="Q14" s="328" t="str">
        <f>Data!M46</f>
        <v/>
      </c>
    </row>
    <row r="15" spans="1:17" ht="15.75" customHeight="1">
      <c r="A15" s="10"/>
      <c r="B15" s="40" t="s">
        <v>243</v>
      </c>
      <c r="C15" s="328">
        <f>-C4*C83</f>
        <v>-146634564.47167698</v>
      </c>
      <c r="D15" s="60"/>
      <c r="E15" s="275"/>
      <c r="F15" s="60"/>
      <c r="G15" s="333">
        <f>Data!C48</f>
        <v>-146792828</v>
      </c>
      <c r="H15" s="333">
        <f>Data!D48</f>
        <v>-80347518</v>
      </c>
      <c r="I15" s="333">
        <f>Data!E48</f>
        <v>-94092885</v>
      </c>
      <c r="J15" s="333">
        <f>Data!F48</f>
        <v>-100788060</v>
      </c>
      <c r="K15" s="333">
        <f>Data!G48</f>
        <v>-125645249</v>
      </c>
      <c r="L15" s="333" t="str">
        <f>Data!H48</f>
        <v/>
      </c>
      <c r="M15" s="333" t="str">
        <f>Data!I48</f>
        <v/>
      </c>
      <c r="N15" s="333" t="str">
        <f>Data!J48</f>
        <v/>
      </c>
      <c r="O15" s="333" t="str">
        <f>Data!K48</f>
        <v/>
      </c>
      <c r="P15" s="333" t="str">
        <f>Data!L48</f>
        <v/>
      </c>
      <c r="Q15" s="333" t="str">
        <f>Data!M48</f>
        <v/>
      </c>
    </row>
    <row r="16" spans="1:17" ht="15.75" customHeight="1">
      <c r="A16" s="10"/>
      <c r="B16" s="41" t="s">
        <v>154</v>
      </c>
      <c r="C16" s="332">
        <f>SUM(C13:C15)</f>
        <v>2878372215.0452805</v>
      </c>
      <c r="D16" s="61"/>
      <c r="E16" s="276"/>
      <c r="F16" s="61"/>
      <c r="G16" s="329">
        <f>IF(G$4="","",SUM(G13:G15))</f>
        <v>3154830020.3815212</v>
      </c>
      <c r="H16" s="329">
        <f t="shared" ref="H16:Q16" si="8">IF(H$4="","",SUM(H13:H15))</f>
        <v>3071091695.9961338</v>
      </c>
      <c r="I16" s="329">
        <f t="shared" si="8"/>
        <v>2574198663.2069468</v>
      </c>
      <c r="J16" s="329">
        <f t="shared" si="8"/>
        <v>1701527207.3445301</v>
      </c>
      <c r="K16" s="329">
        <f t="shared" si="8"/>
        <v>1432651125.3180432</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2878372215.0452805</v>
      </c>
      <c r="D19" s="27"/>
      <c r="E19" s="265"/>
      <c r="F19" s="27"/>
      <c r="G19" s="334">
        <f>IF(G$4="","",G16+G17)</f>
        <v>3154830020.3815212</v>
      </c>
      <c r="H19" s="334">
        <f t="shared" ref="H19:Q19" si="9">IF(H$4="","",H16+H17)</f>
        <v>3071091695.9961338</v>
      </c>
      <c r="I19" s="334">
        <f t="shared" si="9"/>
        <v>2574198663.2069468</v>
      </c>
      <c r="J19" s="334">
        <f t="shared" si="9"/>
        <v>1701527207.3445301</v>
      </c>
      <c r="K19" s="334">
        <f t="shared" si="9"/>
        <v>1432651125.3180432</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-22227405835.768204</v>
      </c>
      <c r="D23" s="58"/>
      <c r="E23" s="267"/>
      <c r="F23" s="58"/>
      <c r="G23" s="333">
        <f>Data!C37</f>
        <v>-21538172214</v>
      </c>
      <c r="H23" s="333">
        <f>Data!D37</f>
        <v>-23203550387</v>
      </c>
      <c r="I23" s="333">
        <f>Data!E37</f>
        <v>-22708660145</v>
      </c>
      <c r="J23" s="333">
        <f>Data!F37</f>
        <v>-21409966489</v>
      </c>
      <c r="K23" s="333">
        <f>Data!G37</f>
        <v>-18759681723</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-4400506082.6740408</v>
      </c>
      <c r="D24" s="27"/>
      <c r="E24" s="265"/>
      <c r="F24" s="27"/>
      <c r="G24" s="333">
        <f>Data!C40</f>
        <v>-4602519864</v>
      </c>
      <c r="H24" s="333">
        <f>Data!D40</f>
        <v>-4708402798</v>
      </c>
      <c r="I24" s="333">
        <f>Data!E40</f>
        <v>-4199502747</v>
      </c>
      <c r="J24" s="333">
        <f>Data!F40</f>
        <v>-4096874125</v>
      </c>
      <c r="K24" s="333">
        <f>Data!G40</f>
        <v>-4984549837</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-26627911918.442245</v>
      </c>
      <c r="D25" s="9"/>
      <c r="E25" s="273"/>
      <c r="F25" s="9"/>
      <c r="G25" s="329">
        <f t="shared" ref="G25:Q25" si="10">IF(G$4="","",G23+G24)</f>
        <v>-26140692078</v>
      </c>
      <c r="H25" s="329">
        <f t="shared" si="10"/>
        <v>-27911953185</v>
      </c>
      <c r="I25" s="329">
        <f t="shared" si="10"/>
        <v>-26908162892</v>
      </c>
      <c r="J25" s="329">
        <f t="shared" si="10"/>
        <v>-25506840614</v>
      </c>
      <c r="K25" s="329">
        <f t="shared" si="10"/>
        <v>-23744231560</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0.69237393830888427</v>
      </c>
      <c r="D28" s="26"/>
      <c r="E28" s="266" t="s">
        <v>333</v>
      </c>
      <c r="F28" s="26"/>
      <c r="G28" s="13">
        <f t="shared" ref="G28:Q28" si="11">IF(G$4="","",ABS(G23/G$4))</f>
        <v>0.67018128291828905</v>
      </c>
      <c r="H28" s="13">
        <f t="shared" si="11"/>
        <v>0.68373388057719042</v>
      </c>
      <c r="I28" s="13">
        <f t="shared" si="11"/>
        <v>0.70586120707968691</v>
      </c>
      <c r="J28" s="13">
        <f t="shared" si="11"/>
        <v>0.70971938266037093</v>
      </c>
      <c r="K28" s="13">
        <f t="shared" si="11"/>
        <v>0.67578807909809713</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0.13707383351548572</v>
      </c>
      <c r="D29" s="26"/>
      <c r="E29" s="266" t="s">
        <v>333</v>
      </c>
      <c r="F29" s="26"/>
      <c r="G29" s="13">
        <f t="shared" ref="G29:Q29" si="12">IF(G$4="","",ABS(G24/G$4))</f>
        <v>0.14321190472734091</v>
      </c>
      <c r="H29" s="13">
        <f t="shared" si="12"/>
        <v>0.13874146252207509</v>
      </c>
      <c r="I29" s="13">
        <f t="shared" si="12"/>
        <v>0.13053460922856577</v>
      </c>
      <c r="J29" s="13">
        <f t="shared" si="12"/>
        <v>0.13580735758396112</v>
      </c>
      <c r="K29" s="13">
        <f t="shared" si="12"/>
        <v>0.17956058153081936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0.82944777182437002</v>
      </c>
      <c r="E30" s="268"/>
      <c r="G30" s="30">
        <f t="shared" ref="G30:Q30" si="13">IF(G$4="","",ABS(G25/G$4))</f>
        <v>0.81339318764562996</v>
      </c>
      <c r="H30" s="30">
        <f t="shared" si="13"/>
        <v>0.82247534309926551</v>
      </c>
      <c r="I30" s="30">
        <f t="shared" si="13"/>
        <v>0.83639581630825266</v>
      </c>
      <c r="J30" s="30">
        <f t="shared" si="13"/>
        <v>0.84552674024433205</v>
      </c>
      <c r="K30" s="30">
        <f t="shared" si="13"/>
        <v>0.85534866062891657</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-1522888768.25</v>
      </c>
      <c r="E33" s="266" t="s">
        <v>333</v>
      </c>
      <c r="G33" s="328">
        <f>Data!C41</f>
        <v>-1406578781</v>
      </c>
      <c r="H33" s="328">
        <f>Data!D41</f>
        <v>-1519063042</v>
      </c>
      <c r="I33" s="328">
        <f>Data!E41</f>
        <v>-1473368004</v>
      </c>
      <c r="J33" s="328">
        <f>Data!F41</f>
        <v>-1692545246</v>
      </c>
      <c r="K33" s="328">
        <f>Data!G41</f>
        <v>-1678050722</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-74312206.25</v>
      </c>
      <c r="D34" s="58"/>
      <c r="E34" s="266" t="s">
        <v>333</v>
      </c>
      <c r="F34" s="58"/>
      <c r="G34" s="333">
        <f>Data!C42</f>
        <v>-102766675</v>
      </c>
      <c r="H34" s="333">
        <f>Data!D42</f>
        <v>-100637006</v>
      </c>
      <c r="I34" s="333">
        <f>Data!E42</f>
        <v>-62954899</v>
      </c>
      <c r="J34" s="333">
        <f>Data!F42</f>
        <v>-30890245</v>
      </c>
      <c r="K34" s="333">
        <f>Data!G42</f>
        <v>-21467092</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-1597200974.5</v>
      </c>
      <c r="D35" s="58"/>
      <c r="E35" s="267"/>
      <c r="F35" s="58"/>
      <c r="G35" s="329">
        <f t="shared" ref="G35:Q35" si="14">IF(G4="","",G33+G34)</f>
        <v>-1509345456</v>
      </c>
      <c r="H35" s="329">
        <f t="shared" si="14"/>
        <v>-1619700048</v>
      </c>
      <c r="I35" s="329">
        <f t="shared" si="14"/>
        <v>-1536322903</v>
      </c>
      <c r="J35" s="329">
        <f t="shared" si="14"/>
        <v>-1723435491</v>
      </c>
      <c r="K35" s="329">
        <f t="shared" si="14"/>
        <v>-1699517814</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4.7437316881256138E-2</v>
      </c>
      <c r="D38" s="27"/>
      <c r="E38" s="265"/>
      <c r="F38" s="27"/>
      <c r="G38" s="13">
        <f t="shared" ref="G38:Q38" si="15">IF(G$4="","",ABS(G33/G$4))</f>
        <v>4.3767073761416211E-2</v>
      </c>
      <c r="H38" s="13">
        <f t="shared" si="15"/>
        <v>4.4761894245716645E-2</v>
      </c>
      <c r="I38" s="13">
        <f t="shared" si="15"/>
        <v>4.5797211774513916E-2</v>
      </c>
      <c r="J38" s="13">
        <f t="shared" si="15"/>
        <v>5.6106214259281258E-2</v>
      </c>
      <c r="K38" s="13">
        <f t="shared" si="15"/>
        <v>6.0449142517126221E-2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2.314792616191792E-3</v>
      </c>
      <c r="D39" s="27"/>
      <c r="E39" s="265"/>
      <c r="F39" s="27"/>
      <c r="G39" s="13">
        <f t="shared" ref="G39:Q39" si="16">IF(G$4="","",ABS(G34/G$4))</f>
        <v>3.1976855514220127E-3</v>
      </c>
      <c r="H39" s="13">
        <f t="shared" si="16"/>
        <v>2.9654483686514122E-3</v>
      </c>
      <c r="I39" s="13">
        <f t="shared" si="16"/>
        <v>1.9568490926358778E-3</v>
      </c>
      <c r="J39" s="13">
        <f t="shared" si="16"/>
        <v>1.0239813136975907E-3</v>
      </c>
      <c r="K39" s="13">
        <f t="shared" si="16"/>
        <v>7.7331828336489356E-4</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4.9752109497447933E-2</v>
      </c>
      <c r="E40" s="268"/>
      <c r="G40" s="30">
        <f t="shared" ref="G40:Q40" si="17">IF(G$4="","",ABS(G35/G$4))</f>
        <v>4.6964759312838222E-2</v>
      </c>
      <c r="H40" s="30">
        <f t="shared" si="17"/>
        <v>4.7727342614368055E-2</v>
      </c>
      <c r="I40" s="30">
        <f t="shared" si="17"/>
        <v>4.7754060867149797E-2</v>
      </c>
      <c r="J40" s="30">
        <f t="shared" si="17"/>
        <v>5.7130195572978854E-2</v>
      </c>
      <c r="K40" s="30">
        <f t="shared" si="17"/>
        <v>6.1222460800491117E-2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0.29623019481169244</v>
      </c>
      <c r="H43" s="6">
        <f t="shared" si="18"/>
        <v>0.30732234744066045</v>
      </c>
      <c r="I43" s="6">
        <f t="shared" si="18"/>
        <v>0.31046755104174484</v>
      </c>
      <c r="J43" s="6">
        <f t="shared" si="18"/>
        <v>0.40420252995761363</v>
      </c>
      <c r="K43" s="6">
        <f t="shared" si="18"/>
        <v>0.36933467687843063</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-21837054</v>
      </c>
      <c r="E47" s="268"/>
      <c r="G47" s="328">
        <f>Data!C51</f>
        <v>-21837054</v>
      </c>
      <c r="H47" s="328">
        <f>Data!D51</f>
        <v>-16430590</v>
      </c>
      <c r="I47" s="328">
        <f>Data!E51</f>
        <v>-9237800</v>
      </c>
      <c r="J47" s="328">
        <f>Data!F51</f>
        <v>-22685367</v>
      </c>
      <c r="K47" s="328">
        <f>Data!G51</f>
        <v>-13662682</v>
      </c>
      <c r="L47" s="328" t="str">
        <f>Data!H51</f>
        <v/>
      </c>
      <c r="M47" s="328" t="str">
        <f>Data!I51</f>
        <v/>
      </c>
      <c r="N47" s="328" t="str">
        <f>Data!J51</f>
        <v/>
      </c>
      <c r="O47" s="328" t="str">
        <f>Data!K51</f>
        <v/>
      </c>
      <c r="P47" s="328" t="str">
        <f>Data!L51</f>
        <v/>
      </c>
      <c r="Q47" s="328" t="str">
        <f>Data!M51</f>
        <v/>
      </c>
    </row>
    <row r="48" spans="1:17" ht="15.75" customHeight="1">
      <c r="A48" s="10"/>
      <c r="B48" s="2" t="s">
        <v>345</v>
      </c>
      <c r="C48" s="328">
        <f>BS!D75*C53</f>
        <v>177111356.38152173</v>
      </c>
      <c r="E48" s="268"/>
      <c r="G48" s="337">
        <f>IFERROR(IF(G$4="","",($C$48/$C$49)*G49),0)</f>
        <v>177111356.3815217</v>
      </c>
      <c r="H48" s="337">
        <f t="shared" ref="H48:Q48" si="19">IFERROR(IF(H$4="","",($C$48/$C$49)*H49),0)</f>
        <v>145410389.99613392</v>
      </c>
      <c r="I48" s="337">
        <f t="shared" si="19"/>
        <v>131995948.20694682</v>
      </c>
      <c r="J48" s="337">
        <f t="shared" si="19"/>
        <v>90641229.344529986</v>
      </c>
      <c r="K48" s="337">
        <f t="shared" si="19"/>
        <v>150479703.31804341</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342</v>
      </c>
      <c r="C49" s="342">
        <f>BS!$C$66*C53</f>
        <v>616771200</v>
      </c>
      <c r="D49" s="288"/>
      <c r="E49" s="289"/>
      <c r="F49" s="288"/>
      <c r="G49" s="342">
        <f>Data!C52</f>
        <v>616771200</v>
      </c>
      <c r="H49" s="342">
        <f>Data!D52</f>
        <v>506376003</v>
      </c>
      <c r="I49" s="342">
        <f>Data!E52</f>
        <v>459661656</v>
      </c>
      <c r="J49" s="342">
        <f>Data!F52</f>
        <v>315648307</v>
      </c>
      <c r="K49" s="342">
        <f>Data!G52</f>
        <v>524029340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155274302.38152173</v>
      </c>
      <c r="E50" s="268"/>
      <c r="G50" s="329">
        <f>IF(G$4="","",(G47+G48))</f>
        <v>155274302.3815217</v>
      </c>
      <c r="H50" s="329">
        <f t="shared" ref="H50:Q50" si="20">IF(H$4="","",(H47+H48))</f>
        <v>128979799.99613392</v>
      </c>
      <c r="I50" s="329">
        <f t="shared" si="20"/>
        <v>122758148.20694682</v>
      </c>
      <c r="J50" s="329">
        <f t="shared" si="20"/>
        <v>67955862.344529986</v>
      </c>
      <c r="K50" s="329">
        <f t="shared" si="20"/>
        <v>136817021.31804341</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3.430552260533988E-2</v>
      </c>
      <c r="E53" s="265" t="s">
        <v>335</v>
      </c>
      <c r="G53" s="6">
        <f>IF(Normalized_FCF!G4="","",Normalized_FCF!G49/BS!$C$66)</f>
        <v>3.430552260533988E-2</v>
      </c>
      <c r="H53" s="169"/>
      <c r="I53" s="169"/>
      <c r="J53" s="169"/>
      <c r="K53" s="169"/>
      <c r="L53" s="169"/>
      <c r="M53" s="169"/>
      <c r="N53" s="169"/>
      <c r="O53" s="169"/>
      <c r="P53" s="169"/>
      <c r="Q53" s="169"/>
    </row>
    <row r="54" spans="1:17" ht="15.75" customHeight="1">
      <c r="A54" s="10"/>
      <c r="B54" s="8" t="s">
        <v>87</v>
      </c>
      <c r="C54" s="82">
        <f>G54</f>
        <v>7.6514823945754068E-2</v>
      </c>
      <c r="E54" s="265" t="s">
        <v>336</v>
      </c>
      <c r="G54" s="23">
        <f>IFERROR(ABS(Normalized_FCF!G47/BS!$G$31),0)</f>
        <v>7.6514823945754068E-2</v>
      </c>
      <c r="H54" s="169"/>
      <c r="I54" s="169"/>
      <c r="J54" s="169"/>
      <c r="K54" s="169"/>
      <c r="L54" s="169"/>
      <c r="M54" s="169"/>
      <c r="N54" s="169"/>
      <c r="O54" s="169"/>
      <c r="P54" s="169"/>
      <c r="Q54" s="169"/>
    </row>
    <row r="55" spans="1:17" ht="15.75" customHeight="1">
      <c r="A55" s="10"/>
      <c r="B55" s="26" t="s">
        <v>90</v>
      </c>
      <c r="C55" s="42">
        <f>-C8/C47</f>
        <v>177.59117462949692</v>
      </c>
      <c r="E55" s="268"/>
      <c r="G55" s="42">
        <f t="shared" ref="G55:Q55" si="21">IF(G4="","",-G8/G47)</f>
        <v>205.51272973909391</v>
      </c>
      <c r="H55" s="42">
        <f t="shared" si="21"/>
        <v>268.08955174464216</v>
      </c>
      <c r="I55" s="42">
        <f t="shared" si="21"/>
        <v>403.45967968563946</v>
      </c>
      <c r="J55" s="42">
        <f t="shared" si="21"/>
        <v>129.44596717346474</v>
      </c>
      <c r="K55" s="42">
        <f t="shared" si="21"/>
        <v>169.51002387378995</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159</v>
      </c>
      <c r="C59" s="328">
        <f>BS!$C68*C67</f>
        <v>0</v>
      </c>
      <c r="E59" s="268"/>
      <c r="G59" s="328">
        <f>Data!C55</f>
        <v>48272283</v>
      </c>
      <c r="H59" s="328">
        <f>Data!D55</f>
        <v>15798284</v>
      </c>
      <c r="I59" s="328">
        <f>Data!E55</f>
        <v>19873379</v>
      </c>
      <c r="J59" s="328">
        <f>Data!F55</f>
        <v>20561728</v>
      </c>
      <c r="K59" s="328">
        <f>Data!G55</f>
        <v>18098320</v>
      </c>
      <c r="L59" s="328" t="str">
        <f>Data!H55</f>
        <v/>
      </c>
      <c r="M59" s="328" t="str">
        <f>Data!I55</f>
        <v/>
      </c>
      <c r="N59" s="328" t="str">
        <f>Data!J55</f>
        <v/>
      </c>
      <c r="O59" s="328" t="str">
        <f>Data!K55</f>
        <v/>
      </c>
      <c r="P59" s="328" t="str">
        <f>Data!L55</f>
        <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194</v>
      </c>
      <c r="C61" s="329">
        <f>SUM(C58:C60)</f>
        <v>0</v>
      </c>
      <c r="E61" s="268"/>
      <c r="G61" s="329">
        <f t="shared" ref="G61:Q61" si="22">IF(G4="","",SUM(G58:G60))</f>
        <v>48272283</v>
      </c>
      <c r="H61" s="329">
        <f t="shared" si="22"/>
        <v>15798284</v>
      </c>
      <c r="I61" s="329">
        <f t="shared" si="22"/>
        <v>19873379</v>
      </c>
      <c r="J61" s="329">
        <f t="shared" si="22"/>
        <v>20561728</v>
      </c>
      <c r="K61" s="329">
        <f t="shared" si="22"/>
        <v>18098320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160</v>
      </c>
      <c r="C62" s="343">
        <v>0</v>
      </c>
      <c r="E62" s="266" t="s">
        <v>337</v>
      </c>
      <c r="G62" s="328">
        <f>Data!C58</f>
        <v>750493994</v>
      </c>
      <c r="H62" s="328">
        <f>Data!D58</f>
        <v>835794097</v>
      </c>
      <c r="I62" s="328">
        <f>Data!E58</f>
        <v>808764222</v>
      </c>
      <c r="J62" s="328">
        <f>Data!F58</f>
        <v>1228921525</v>
      </c>
      <c r="K62" s="328">
        <f>Data!G58</f>
        <v>395122794</v>
      </c>
      <c r="L62" s="328" t="str">
        <f>Data!H58</f>
        <v/>
      </c>
      <c r="M62" s="328" t="str">
        <f>Data!I58</f>
        <v/>
      </c>
      <c r="N62" s="328" t="str">
        <f>Data!J58</f>
        <v/>
      </c>
      <c r="O62" s="328" t="str">
        <f>Data!K58</f>
        <v/>
      </c>
      <c r="P62" s="328" t="str">
        <f>Data!L58</f>
        <v/>
      </c>
      <c r="Q62" s="328" t="str">
        <f>Data!M58</f>
        <v/>
      </c>
    </row>
    <row r="63" spans="1:17" ht="15.75" customHeight="1">
      <c r="A63" s="10"/>
      <c r="B63" s="31" t="s">
        <v>195</v>
      </c>
      <c r="C63" s="329">
        <f>C61+C62</f>
        <v>0</v>
      </c>
      <c r="E63" s="268"/>
      <c r="G63" s="329">
        <f t="shared" ref="G63:Q63" si="23">IF(G4="","",G61+G62)</f>
        <v>798766277</v>
      </c>
      <c r="H63" s="329">
        <f t="shared" si="23"/>
        <v>851592381</v>
      </c>
      <c r="I63" s="329">
        <f t="shared" si="23"/>
        <v>828637601</v>
      </c>
      <c r="J63" s="329">
        <f t="shared" si="23"/>
        <v>1249483253</v>
      </c>
      <c r="K63" s="329">
        <f t="shared" si="23"/>
        <v>413221114</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2.684959828973636E-3</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0.82944777182437002</v>
      </c>
      <c r="D73" s="27"/>
      <c r="E73" s="265"/>
      <c r="F73" s="27"/>
      <c r="G73" s="6">
        <f t="shared" ref="G73:Q73" si="24">IF(G$4="","",ABS(G5/G$4))</f>
        <v>0.81339318764562996</v>
      </c>
      <c r="H73" s="6">
        <f t="shared" si="24"/>
        <v>0.82247534309926551</v>
      </c>
      <c r="I73" s="6">
        <f t="shared" si="24"/>
        <v>0.83639581630825266</v>
      </c>
      <c r="J73" s="6">
        <f t="shared" si="24"/>
        <v>0.84552674024433205</v>
      </c>
      <c r="K73" s="6">
        <f t="shared" si="24"/>
        <v>0.85534866062891657</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0.17055222817562998</v>
      </c>
      <c r="D74" s="27"/>
      <c r="E74" s="265"/>
      <c r="F74" s="27"/>
      <c r="G74" s="65">
        <f t="shared" ref="G74:Q74" si="25">IF(G$4="","",ABS(G6/G$4))</f>
        <v>0.18660681235437004</v>
      </c>
      <c r="H74" s="65">
        <f t="shared" si="25"/>
        <v>0.17752465690073452</v>
      </c>
      <c r="I74" s="65">
        <f t="shared" si="25"/>
        <v>0.16360418369174734</v>
      </c>
      <c r="J74" s="65">
        <f t="shared" si="25"/>
        <v>0.15447325975566789</v>
      </c>
      <c r="K74" s="65">
        <f t="shared" si="25"/>
        <v>0.14465133937108349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4.9752109497447933E-2</v>
      </c>
      <c r="D75" s="27"/>
      <c r="E75" s="265"/>
      <c r="F75" s="27"/>
      <c r="G75" s="6">
        <f t="shared" ref="G75:Q75" si="26">IF(G$4="","",ABS(G7/G$4))</f>
        <v>4.6964759312838222E-2</v>
      </c>
      <c r="H75" s="6">
        <f t="shared" si="26"/>
        <v>4.7727342614368055E-2</v>
      </c>
      <c r="I75" s="6">
        <f t="shared" si="26"/>
        <v>4.7754060867149797E-2</v>
      </c>
      <c r="J75" s="6">
        <f t="shared" si="26"/>
        <v>5.7130195572978854E-2</v>
      </c>
      <c r="K75" s="6">
        <f t="shared" si="26"/>
        <v>6.1222460800491117E-2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152</v>
      </c>
      <c r="C76" s="78">
        <f>ABS(C8/C$4)</f>
        <v>0.12080011867818204</v>
      </c>
      <c r="D76" s="27"/>
      <c r="E76" s="265"/>
      <c r="F76" s="27"/>
      <c r="G76" s="65">
        <f t="shared" ref="G76:Q76" si="27">IF(G$4="","",ABS(G8/G$4))</f>
        <v>0.13964205304153179</v>
      </c>
      <c r="H76" s="65">
        <f t="shared" si="27"/>
        <v>0.12979731428636648</v>
      </c>
      <c r="I76" s="65">
        <f t="shared" si="27"/>
        <v>0.11585012282459754</v>
      </c>
      <c r="J76" s="65">
        <f t="shared" si="27"/>
        <v>9.7343064182689051E-2</v>
      </c>
      <c r="K76" s="65">
        <f t="shared" si="27"/>
        <v>8.3428878570592363E-2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3.7108652048024243E-2</v>
      </c>
      <c r="D77" s="27"/>
      <c r="E77" s="265"/>
      <c r="F77" s="27"/>
      <c r="G77" s="6">
        <f t="shared" ref="G77:Q77" si="28">IF(G$4="","",G9/G$4)</f>
        <v>3.7068643647856142E-2</v>
      </c>
      <c r="H77" s="6">
        <f t="shared" si="28"/>
        <v>3.3603903166609349E-2</v>
      </c>
      <c r="I77" s="6">
        <f t="shared" si="28"/>
        <v>3.3689898983077234E-2</v>
      </c>
      <c r="J77" s="6">
        <f t="shared" si="28"/>
        <v>3.6786569016223743E-2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3.7108652048024243E-2</v>
      </c>
      <c r="D78" s="27"/>
      <c r="E78" s="266" t="s">
        <v>464</v>
      </c>
      <c r="F78" s="27"/>
      <c r="G78" s="6">
        <f t="shared" ref="G78:Q78" si="29">IF(G$4="","",-G10/G$4)</f>
        <v>3.7068643647856142E-2</v>
      </c>
      <c r="H78" s="6">
        <f t="shared" si="29"/>
        <v>3.3603903166609349E-2</v>
      </c>
      <c r="I78" s="6">
        <f t="shared" si="29"/>
        <v>3.3689898983077234E-2</v>
      </c>
      <c r="J78" s="6">
        <f t="shared" si="29"/>
        <v>3.6786569016223743E-2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153</v>
      </c>
      <c r="C79" s="78">
        <f>ABS(C11/C$4)</f>
        <v>0</v>
      </c>
      <c r="D79" s="27"/>
      <c r="E79" s="265"/>
      <c r="F79" s="27"/>
      <c r="G79" s="65">
        <f t="shared" ref="G79:Q79" si="30">IF(G$4="","",G11/G$4)</f>
        <v>1.5020392737553731E-3</v>
      </c>
      <c r="H79" s="65">
        <f t="shared" si="30"/>
        <v>4.655245359275862E-4</v>
      </c>
      <c r="I79" s="65">
        <f t="shared" si="30"/>
        <v>6.1773117392752727E-4</v>
      </c>
      <c r="J79" s="65">
        <f t="shared" si="30"/>
        <v>6.8160110900164538E-4</v>
      </c>
      <c r="K79" s="65">
        <f t="shared" si="30"/>
        <v>6.5196356144504907E-4</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4.8367263841944952E-3</v>
      </c>
      <c r="D80" s="27"/>
      <c r="E80" s="265"/>
      <c r="F80" s="27"/>
      <c r="G80" s="6">
        <f t="shared" ref="G80:Q80" si="31">IF(G$4="","",ABS(G12/G$4))</f>
        <v>4.831511705837759E-3</v>
      </c>
      <c r="H80" s="6">
        <f t="shared" si="31"/>
        <v>3.8006192025180157E-3</v>
      </c>
      <c r="I80" s="6">
        <f t="shared" si="31"/>
        <v>3.8157343550408126E-3</v>
      </c>
      <c r="J80" s="6">
        <f t="shared" si="31"/>
        <v>2.2526701616320767E-3</v>
      </c>
      <c r="K80" s="6">
        <f t="shared" si="31"/>
        <v>4.9286183736841202E-3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164</v>
      </c>
      <c r="C81" s="78">
        <f>C13/C4</f>
        <v>0.12563684506237655</v>
      </c>
      <c r="D81" s="27"/>
      <c r="E81" s="265"/>
      <c r="F81" s="27"/>
      <c r="G81" s="65">
        <f t="shared" ref="G81:Q81" si="32">IF(G$4="","",G13/G$4)</f>
        <v>0.14597560402112492</v>
      </c>
      <c r="H81" s="65">
        <f t="shared" si="32"/>
        <v>0.13406345802481207</v>
      </c>
      <c r="I81" s="65">
        <f t="shared" si="32"/>
        <v>0.12028358835356588</v>
      </c>
      <c r="J81" s="65">
        <f t="shared" si="32"/>
        <v>0.10027733545332278</v>
      </c>
      <c r="K81" s="65">
        <f t="shared" si="32"/>
        <v>8.9009460505721519E-2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3.1409211265594136E-2</v>
      </c>
      <c r="D82" s="27"/>
      <c r="E82" s="265"/>
      <c r="F82" s="27"/>
      <c r="G82" s="6">
        <f t="shared" ref="G82:Q82" si="33">IF(G$4="","",ABS(G14/G$4))</f>
        <v>4.3242381616932307E-2</v>
      </c>
      <c r="H82" s="6">
        <f t="shared" si="33"/>
        <v>4.1200696626197693E-2</v>
      </c>
      <c r="I82" s="6">
        <f t="shared" si="33"/>
        <v>3.7344151106644942E-2</v>
      </c>
      <c r="J82" s="6">
        <f t="shared" si="33"/>
        <v>4.0532352687641368E-2</v>
      </c>
      <c r="K82" s="6">
        <f t="shared" si="33"/>
        <v>3.2874280335004093E-2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4.5676023394546593E-3</v>
      </c>
      <c r="D83" s="27"/>
      <c r="E83" s="265"/>
      <c r="F83" s="27"/>
      <c r="G83" s="6">
        <f t="shared" ref="G83:Q83" si="34">IF(G$4="","",-G15/G$4)</f>
        <v>4.5676023394546593E-3</v>
      </c>
      <c r="H83" s="6">
        <f t="shared" si="34"/>
        <v>2.3675825190814003E-3</v>
      </c>
      <c r="I83" s="6">
        <f t="shared" si="34"/>
        <v>2.9247219765334226E-3</v>
      </c>
      <c r="J83" s="6">
        <f t="shared" si="34"/>
        <v>3.3410253005060849E-3</v>
      </c>
      <c r="K83" s="6">
        <f t="shared" si="34"/>
        <v>4.5261728169625681E-3</v>
      </c>
      <c r="L83" s="6" t="str">
        <f t="shared" si="34"/>
        <v/>
      </c>
      <c r="M83" s="6" t="str">
        <f t="shared" si="34"/>
        <v/>
      </c>
      <c r="N83" s="6" t="str">
        <f t="shared" si="34"/>
        <v/>
      </c>
      <c r="O83" s="6" t="str">
        <f t="shared" si="34"/>
        <v/>
      </c>
      <c r="P83" s="6" t="str">
        <f t="shared" si="34"/>
        <v/>
      </c>
      <c r="Q83" s="6" t="str">
        <f t="shared" si="34"/>
        <v/>
      </c>
    </row>
    <row r="84" spans="1:17" ht="15.75" customHeight="1">
      <c r="A84" s="10"/>
      <c r="B84" s="41" t="s">
        <v>154</v>
      </c>
      <c r="C84" s="78">
        <f>ABS(C16/C$4)</f>
        <v>8.9660031457327746E-2</v>
      </c>
      <c r="D84" s="27"/>
      <c r="E84" s="265"/>
      <c r="F84" s="27"/>
      <c r="G84" s="65">
        <f t="shared" ref="G84:Q84" si="35">IF(G$4="","",ABS(G16/G$4))</f>
        <v>9.816562006473796E-2</v>
      </c>
      <c r="H84" s="65">
        <f t="shared" si="35"/>
        <v>9.0495178879532984E-2</v>
      </c>
      <c r="I84" s="65">
        <f t="shared" si="35"/>
        <v>8.0014715270387518E-2</v>
      </c>
      <c r="J84" s="65">
        <f t="shared" si="35"/>
        <v>5.6403957465175319E-2</v>
      </c>
      <c r="K84" s="65">
        <f t="shared" si="35"/>
        <v>5.1609007353754864E-2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8.9660031457327746E-2</v>
      </c>
      <c r="D87" s="75"/>
      <c r="E87" s="265"/>
      <c r="F87" s="75"/>
      <c r="G87" s="65">
        <f t="shared" ref="G87:Q87" si="36">IF(G$4="","",ABS(G19/G$4))</f>
        <v>9.816562006473796E-2</v>
      </c>
      <c r="H87" s="65">
        <f t="shared" si="36"/>
        <v>9.0495178879532984E-2</v>
      </c>
      <c r="I87" s="65">
        <f t="shared" si="36"/>
        <v>8.0014715270387518E-2</v>
      </c>
      <c r="J87" s="65">
        <f t="shared" si="36"/>
        <v>5.6403957465175319E-2</v>
      </c>
      <c r="K87" s="65">
        <f t="shared" si="36"/>
        <v>5.1609007353754864E-2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2.0169216055576094</v>
      </c>
      <c r="E90" s="268"/>
      <c r="G90" s="112">
        <f>Data!C65</f>
        <v>2.0169216055576094</v>
      </c>
      <c r="H90" s="112">
        <f>Data!D65</f>
        <v>1.8335650959614627</v>
      </c>
      <c r="I90" s="112">
        <f>Data!E65</f>
        <v>1.1918173123749509</v>
      </c>
      <c r="J90" s="112">
        <f>Data!F65</f>
        <v>1.0084608027788047</v>
      </c>
      <c r="K90" s="112">
        <f>Data!G65</f>
        <v>0.68758691098554858</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2751477975.9494934</v>
      </c>
      <c r="E91" s="268"/>
      <c r="G91" s="74">
        <f t="shared" ref="G91:Q91" si="37">IF(G$4="","",G90*Common_Shares/scaling_factor)</f>
        <v>2751477975.9494934</v>
      </c>
      <c r="H91" s="74">
        <f t="shared" si="37"/>
        <v>2501343614.4995394</v>
      </c>
      <c r="I91" s="74">
        <f t="shared" si="37"/>
        <v>1625873349.4247007</v>
      </c>
      <c r="J91" s="74">
        <f t="shared" si="37"/>
        <v>1375738987.9747467</v>
      </c>
      <c r="K91" s="74">
        <f t="shared" si="37"/>
        <v>938003855.43732727</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213</v>
      </c>
      <c r="C92" s="23">
        <f>C90/(C19*scaling_factor/Common_Shares)</f>
        <v>0.9559145830992567</v>
      </c>
      <c r="E92" s="268"/>
      <c r="G92" s="170">
        <f t="shared" ref="G92:Q92" si="38">IF(G$4="","",G90/(G19*scaling_factor/Common_Shares))</f>
        <v>0.87214777283523837</v>
      </c>
      <c r="H92" s="170">
        <f t="shared" si="38"/>
        <v>0.81448027675650625</v>
      </c>
      <c r="I92" s="170">
        <f t="shared" si="38"/>
        <v>0.63160368026886515</v>
      </c>
      <c r="J92" s="170">
        <f t="shared" si="38"/>
        <v>0.80853187773692958</v>
      </c>
      <c r="K92" s="170">
        <f t="shared" si="38"/>
        <v>0.65473292056996357</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309</v>
      </c>
      <c r="C93" s="23">
        <f>C90/Market_Price</f>
        <v>3.7983457731781717E-2</v>
      </c>
      <c r="E93" s="268"/>
      <c r="G93" s="23">
        <f t="shared" ref="G93:Q93" si="39">IF(G$4="","",G90/Market_Price)</f>
        <v>3.7983457731781717E-2</v>
      </c>
      <c r="H93" s="23">
        <f t="shared" si="39"/>
        <v>3.4530416119801559E-2</v>
      </c>
      <c r="I93" s="23">
        <f t="shared" si="39"/>
        <v>2.2444770477871016E-2</v>
      </c>
      <c r="J93" s="23">
        <f t="shared" si="39"/>
        <v>1.8991728865890858E-2</v>
      </c>
      <c r="K93" s="23">
        <f t="shared" si="39"/>
        <v>1.2948906044925585E-2</v>
      </c>
      <c r="L93" s="23" t="str">
        <f t="shared" si="39"/>
        <v/>
      </c>
      <c r="M93" s="23" t="str">
        <f t="shared" si="39"/>
        <v/>
      </c>
      <c r="N93" s="23" t="str">
        <f t="shared" si="39"/>
        <v/>
      </c>
      <c r="O93" s="23" t="str">
        <f t="shared" si="39"/>
        <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-1.0781421032572958E-3</v>
      </c>
      <c r="D96" s="27"/>
      <c r="E96" s="265"/>
      <c r="F96" s="27"/>
      <c r="G96" s="6">
        <f t="shared" ref="G96:Q96" si="40">IF(H4="","",G4/H4-1)</f>
        <v>-5.3001677388323953E-2</v>
      </c>
      <c r="H96" s="6">
        <f t="shared" si="40"/>
        <v>5.48607779188508E-2</v>
      </c>
      <c r="I96" s="6">
        <f t="shared" si="40"/>
        <v>6.6455835211788328E-2</v>
      </c>
      <c r="J96" s="6">
        <f t="shared" si="40"/>
        <v>8.6711798167375509E-2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164</v>
      </c>
      <c r="C97" s="77">
        <f>C13/G13-1</f>
        <v>-0.14025777436185582</v>
      </c>
      <c r="D97" s="27"/>
      <c r="E97" s="265"/>
      <c r="F97" s="27"/>
      <c r="G97" s="6">
        <f t="shared" ref="G97:Q97" si="41">IF(H5="","",G13/H13-1)</f>
        <v>3.1143416609817232E-2</v>
      </c>
      <c r="H97" s="6">
        <f t="shared" si="41"/>
        <v>0.17570722289107721</v>
      </c>
      <c r="I97" s="6">
        <f t="shared" si="41"/>
        <v>0.27922360621143194</v>
      </c>
      <c r="J97" s="6">
        <f t="shared" si="41"/>
        <v>0.22428068776923715</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51420385832</v>
      </c>
      <c r="D101" s="26"/>
      <c r="E101" s="269"/>
      <c r="F101" s="26"/>
      <c r="G101" s="333">
        <f t="shared" ref="G101:Q101" si="42">IF(G$4="","",G105+G104)</f>
        <v>51420385832</v>
      </c>
      <c r="H101" s="333">
        <f t="shared" si="42"/>
        <v>49256011349</v>
      </c>
      <c r="I101" s="333">
        <f t="shared" si="42"/>
        <v>50311699796</v>
      </c>
      <c r="J101" s="333">
        <f t="shared" si="42"/>
        <v>46563004491</v>
      </c>
      <c r="K101" s="333">
        <f t="shared" si="42"/>
        <v>41514185835</v>
      </c>
      <c r="L101" s="333" t="str">
        <f t="shared" si="42"/>
        <v/>
      </c>
      <c r="M101" s="333" t="str">
        <f t="shared" si="42"/>
        <v/>
      </c>
      <c r="N101" s="333" t="str">
        <f t="shared" si="42"/>
        <v/>
      </c>
      <c r="O101" s="333" t="str">
        <f t="shared" si="42"/>
        <v/>
      </c>
      <c r="P101" s="333" t="str">
        <f t="shared" si="42"/>
        <v/>
      </c>
      <c r="Q101" s="333" t="str">
        <f t="shared" si="42"/>
        <v/>
      </c>
    </row>
    <row r="102" spans="1:17" ht="15.75" customHeight="1">
      <c r="A102" s="10"/>
      <c r="B102" s="93" t="s">
        <v>210</v>
      </c>
      <c r="C102" s="345">
        <f>BS!C4</f>
        <v>185704725</v>
      </c>
      <c r="D102" s="89"/>
      <c r="E102" s="270"/>
      <c r="F102" s="89"/>
      <c r="G102" s="346">
        <f>IF(G$4="","",Data!D77)</f>
        <v>100391321</v>
      </c>
      <c r="H102" s="346">
        <f>IF(H$4="","",Data!E77)</f>
        <v>124099728</v>
      </c>
      <c r="I102" s="346">
        <f>IF(I$4="","",Data!F77)</f>
        <v>124929816</v>
      </c>
      <c r="J102" s="346">
        <f>IF(J$4="","",Data!G77)</f>
        <v>125155008</v>
      </c>
      <c r="K102" s="346" t="str">
        <f>IF(K$4="","",Data!H77)</f>
        <v/>
      </c>
      <c r="L102" s="346" t="str">
        <f>IF(L$4="","",Data!I77)</f>
        <v/>
      </c>
      <c r="M102" s="346" t="str">
        <f>IF(M$4="","",Data!J77)</f>
        <v/>
      </c>
      <c r="N102" s="346" t="str">
        <f>IF(N$4="","",Data!K77)</f>
        <v/>
      </c>
      <c r="O102" s="346" t="str">
        <f>IF(O$4="","",Data!L77)</f>
        <v/>
      </c>
      <c r="P102" s="346" t="str">
        <f>IF(P$4="","",Data!M77)</f>
        <v/>
      </c>
      <c r="Q102" s="346" t="str">
        <f>IF(Q$4="","",Data!N77)</f>
        <v/>
      </c>
    </row>
    <row r="103" spans="1:17" ht="15.75" customHeight="1">
      <c r="A103" s="10"/>
      <c r="B103" s="93" t="s">
        <v>211</v>
      </c>
      <c r="C103" s="345">
        <f>BS!C6+BS!C7</f>
        <v>3576387537</v>
      </c>
      <c r="D103" s="89"/>
      <c r="E103" s="270"/>
      <c r="F103" s="89"/>
      <c r="G103" s="346">
        <f>IF(G$4="","",Data!D78)</f>
        <v>3539828305</v>
      </c>
      <c r="H103" s="346">
        <f>IF(H$4="","",Data!E78)</f>
        <v>4152187132</v>
      </c>
      <c r="I103" s="346">
        <f>IF(I$4="","",Data!F78)</f>
        <v>3492997857</v>
      </c>
      <c r="J103" s="346">
        <f>IF(J$4="","",Data!G78)</f>
        <v>3281033526</v>
      </c>
      <c r="K103" s="346" t="str">
        <f>IF(K$4="","",Data!H78)</f>
        <v/>
      </c>
      <c r="L103" s="346" t="str">
        <f>IF(L$4="","",Data!I78)</f>
        <v/>
      </c>
      <c r="M103" s="346" t="str">
        <f>IF(M$4="","",Data!J78)</f>
        <v/>
      </c>
      <c r="N103" s="346" t="str">
        <f>IF(N$4="","",Data!K78)</f>
        <v/>
      </c>
      <c r="O103" s="346" t="str">
        <f>IF(O$4="","",Data!L78)</f>
        <v/>
      </c>
      <c r="P103" s="346" t="str">
        <f>IF(P$4="","",Data!M78)</f>
        <v/>
      </c>
      <c r="Q103" s="346" t="str">
        <f>IF(Q$4="","",Data!N78)</f>
        <v/>
      </c>
    </row>
    <row r="104" spans="1:17" ht="15.75" customHeight="1">
      <c r="A104" s="10"/>
      <c r="B104" s="26" t="s">
        <v>40</v>
      </c>
      <c r="C104" s="344">
        <f>BS!G30</f>
        <v>21560843821</v>
      </c>
      <c r="D104" s="26"/>
      <c r="E104" s="269"/>
      <c r="F104" s="26"/>
      <c r="G104" s="333">
        <f>Data!C79</f>
        <v>21560843821</v>
      </c>
      <c r="H104" s="333">
        <f>Data!D79</f>
        <v>21001264174</v>
      </c>
      <c r="I104" s="333">
        <f>Data!E79</f>
        <v>24039387261</v>
      </c>
      <c r="J104" s="333">
        <f>Data!F79</f>
        <v>22769313149</v>
      </c>
      <c r="K104" s="333">
        <f>Data!G79</f>
        <v>20146133669</v>
      </c>
      <c r="L104" s="333" t="str">
        <f>Data!H79</f>
        <v/>
      </c>
      <c r="M104" s="333" t="str">
        <f>Data!I79</f>
        <v/>
      </c>
      <c r="N104" s="333" t="str">
        <f>Data!J79</f>
        <v/>
      </c>
      <c r="O104" s="333" t="str">
        <f>Data!K79</f>
        <v/>
      </c>
      <c r="P104" s="333" t="str">
        <f>Data!L79</f>
        <v/>
      </c>
      <c r="Q104" s="333" t="str">
        <f>Data!M79</f>
        <v/>
      </c>
    </row>
    <row r="105" spans="1:17" ht="15.75" customHeight="1">
      <c r="A105" s="10"/>
      <c r="B105" s="26" t="s">
        <v>30</v>
      </c>
      <c r="C105" s="344">
        <f>BS!G27</f>
        <v>29859542011</v>
      </c>
      <c r="D105" s="26"/>
      <c r="E105" s="269"/>
      <c r="F105" s="26"/>
      <c r="G105" s="333">
        <f>Data!C80</f>
        <v>29859542011</v>
      </c>
      <c r="H105" s="333">
        <f>Data!D80</f>
        <v>28254747175</v>
      </c>
      <c r="I105" s="333">
        <f>Data!E80</f>
        <v>26272312535</v>
      </c>
      <c r="J105" s="333">
        <f>Data!F80</f>
        <v>23793691342</v>
      </c>
      <c r="K105" s="333">
        <f>Data!G80</f>
        <v>21368052166</v>
      </c>
      <c r="L105" s="333" t="str">
        <f>Data!H80</f>
        <v/>
      </c>
      <c r="M105" s="333" t="str">
        <f>Data!I80</f>
        <v/>
      </c>
      <c r="N105" s="333" t="str">
        <f>Data!J80</f>
        <v/>
      </c>
      <c r="O105" s="333" t="str">
        <f>Data!K80</f>
        <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5.7846206957679613E-3</v>
      </c>
      <c r="D108" s="26"/>
      <c r="E108" s="269"/>
      <c r="F108" s="26"/>
      <c r="G108" s="94">
        <f t="shared" ref="G108:Q108" si="43">IF(G$4="","",G102/G$4)</f>
        <v>3.1237740897024184E-3</v>
      </c>
      <c r="H108" s="94">
        <f t="shared" si="43"/>
        <v>3.6568192017525239E-3</v>
      </c>
      <c r="I108" s="94">
        <f t="shared" si="43"/>
        <v>3.8832370628180527E-3</v>
      </c>
      <c r="J108" s="94">
        <f t="shared" si="43"/>
        <v>4.1487657190052221E-3</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218</v>
      </c>
      <c r="C109" s="94">
        <f>C103/C$4</f>
        <v>0.11140290244427979</v>
      </c>
      <c r="D109" s="26"/>
      <c r="E109" s="269"/>
      <c r="F109" s="26"/>
      <c r="G109" s="94">
        <f t="shared" ref="G109:Q109" si="44">IF(G$4="","",G103/G$4)</f>
        <v>0.11014521804284486</v>
      </c>
      <c r="H109" s="94">
        <f t="shared" si="44"/>
        <v>0.12235157867201242</v>
      </c>
      <c r="I109" s="94">
        <f t="shared" si="44"/>
        <v>0.10857407121008193</v>
      </c>
      <c r="J109" s="94">
        <f t="shared" si="44"/>
        <v>0.10876304219145293</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1.1475773379531717</v>
      </c>
      <c r="H113" s="295">
        <f>IF(H$4="","",Data!D$22/Data!D15)</f>
        <v>0.63878566471951048</v>
      </c>
      <c r="I113" s="295">
        <f>IF(I$4="","",Data!E$22/Data!E15)</f>
        <v>1.2822939471944179</v>
      </c>
      <c r="J113" s="295">
        <f>IF(J$4="","",Data!F$22/Data!F15)</f>
        <v>1.8558534606930408</v>
      </c>
      <c r="K113" s="295">
        <f>IF(K$4="","",Data!G$22/Data!G15)</f>
        <v>2.1287016617311294</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c r="A114" s="10"/>
      <c r="B114" s="2" t="s">
        <v>392</v>
      </c>
      <c r="C114" s="169"/>
      <c r="E114" s="268"/>
      <c r="G114" s="295">
        <f>IF(G$4="","",Data!C$22/G19)</f>
        <v>1.6338950430605559</v>
      </c>
      <c r="H114" s="295">
        <f>IF(H$4="","",Data!D$22/H19)</f>
        <v>0.90442338261055188</v>
      </c>
      <c r="I114" s="295">
        <f>IF(I$4="","",Data!E$22/I19)</f>
        <v>1.8952582765783925</v>
      </c>
      <c r="J114" s="295">
        <f>IF(J$4="","",Data!F$22/J19)</f>
        <v>3.5515808556661965</v>
      </c>
      <c r="K114" s="295">
        <f>IF(K$4="","",Data!G$22/K19)</f>
        <v>3.4575217053630962</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0.12563684506237655</v>
      </c>
      <c r="E117" s="268"/>
      <c r="G117" s="23">
        <f t="shared" ref="G117:Q117" si="45">IF(G4="","",IF(valuation_method="DDM",G13/(G4+G12),G81))</f>
        <v>0.14597560402112492</v>
      </c>
      <c r="H117" s="23">
        <f t="shared" si="45"/>
        <v>0.13406345802481207</v>
      </c>
      <c r="I117" s="23">
        <f t="shared" si="45"/>
        <v>0.12028358835356588</v>
      </c>
      <c r="J117" s="23">
        <f t="shared" si="45"/>
        <v>0.10027733545332278</v>
      </c>
      <c r="K117" s="23">
        <f t="shared" si="45"/>
        <v>8.9009460505721519E-2</v>
      </c>
      <c r="L117" s="23" t="str">
        <f t="shared" si="45"/>
        <v/>
      </c>
      <c r="M117" s="23" t="str">
        <f t="shared" si="45"/>
        <v/>
      </c>
      <c r="N117" s="23" t="str">
        <f t="shared" si="45"/>
        <v/>
      </c>
      <c r="O117" s="23" t="str">
        <f t="shared" si="45"/>
        <v/>
      </c>
      <c r="P117" s="23" t="str">
        <f t="shared" si="45"/>
        <v/>
      </c>
      <c r="Q117" s="23" t="str">
        <f t="shared" si="45"/>
        <v/>
      </c>
    </row>
    <row r="118" spans="1:17" ht="15.75" customHeight="1">
      <c r="B118" s="7" t="s">
        <v>83</v>
      </c>
      <c r="C118" s="42">
        <f>IF(valuation_method="DDM",(C4+C12)/C101,C4/C101)</f>
        <v>0.62432788948992113</v>
      </c>
      <c r="E118" s="268"/>
      <c r="G118" s="42">
        <f t="shared" ref="G118:Q118" si="46">IF(G4="","",IF(valuation_method="DDM",(G4+G12)/G101,G4/G101))</f>
        <v>0.62500173016982585</v>
      </c>
      <c r="H118" s="42">
        <f t="shared" si="46"/>
        <v>0.68898235589043455</v>
      </c>
      <c r="I118" s="42">
        <f t="shared" si="46"/>
        <v>0.63944501486625938</v>
      </c>
      <c r="J118" s="42">
        <f t="shared" si="46"/>
        <v>0.64787067988344349</v>
      </c>
      <c r="K118" s="42">
        <f t="shared" si="46"/>
        <v>0.66868012385771503</v>
      </c>
      <c r="L118" s="42" t="str">
        <f t="shared" si="46"/>
        <v/>
      </c>
      <c r="M118" s="42" t="str">
        <f t="shared" si="46"/>
        <v/>
      </c>
      <c r="N118" s="42" t="str">
        <f t="shared" si="46"/>
        <v/>
      </c>
      <c r="O118" s="42" t="str">
        <f t="shared" si="46"/>
        <v/>
      </c>
      <c r="P118" s="42" t="str">
        <f t="shared" si="46"/>
        <v/>
      </c>
      <c r="Q118" s="42" t="str">
        <f t="shared" si="46"/>
        <v/>
      </c>
    </row>
    <row r="119" spans="1:17" ht="15.75" customHeight="1">
      <c r="B119" s="7" t="s">
        <v>91</v>
      </c>
      <c r="C119" s="15">
        <f>C101/C105</f>
        <v>1.7220755031358876</v>
      </c>
      <c r="D119" s="11"/>
      <c r="E119" s="272"/>
      <c r="F119" s="11"/>
      <c r="G119" s="15">
        <f t="shared" ref="G119:Q119" si="47">IF(G$4="","",G101/G105)</f>
        <v>1.7220755031358876</v>
      </c>
      <c r="H119" s="15">
        <f t="shared" si="47"/>
        <v>1.7432826789751659</v>
      </c>
      <c r="I119" s="15">
        <f t="shared" si="47"/>
        <v>1.9150084229918742</v>
      </c>
      <c r="J119" s="15">
        <f t="shared" si="47"/>
        <v>1.9569474875387749</v>
      </c>
      <c r="K119" s="15">
        <f t="shared" si="47"/>
        <v>1.9428156348783037</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222</v>
      </c>
      <c r="C120" s="102">
        <f>C13/C105</f>
        <v>0.13507716800222277</v>
      </c>
      <c r="D120" s="103"/>
      <c r="E120" s="271"/>
      <c r="F120" s="103"/>
      <c r="G120" s="102">
        <f>IF(G$4="","",G13/G105)</f>
        <v>0.15711356726949369</v>
      </c>
      <c r="H120" s="102">
        <f t="shared" ref="H120:Q120" si="48">IF(H$4="","",H13/H105)</f>
        <v>0.16102241382013477</v>
      </c>
      <c r="I120" s="102">
        <f t="shared" si="48"/>
        <v>0.14729237675791629</v>
      </c>
      <c r="J120" s="102">
        <f t="shared" si="48"/>
        <v>0.12713650937401197</v>
      </c>
      <c r="K120" s="102">
        <f t="shared" si="48"/>
        <v>0.11563416609631855</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2.3014608615627377</v>
      </c>
      <c r="D124" s="27"/>
      <c r="E124" s="265"/>
      <c r="F124" s="27"/>
      <c r="G124" s="177">
        <f t="shared" ref="G124:Q124" si="49">IF(G$4="","",G16*$C$3/Common_Shares*Exchange_Rate)</f>
        <v>2.522508304811796</v>
      </c>
      <c r="H124" s="177">
        <f t="shared" si="49"/>
        <v>2.4555536298123419</v>
      </c>
      <c r="I124" s="177">
        <f t="shared" si="49"/>
        <v>2.0582527312801719</v>
      </c>
      <c r="J124" s="177">
        <f t="shared" si="49"/>
        <v>1.3604905759299017</v>
      </c>
      <c r="K124" s="177">
        <f t="shared" si="49"/>
        <v>1.1455052532673993</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269</v>
      </c>
      <c r="C125" s="77">
        <f>C19*Exchange_Rate*$C$3/(Market_Price*Common_Shares)</f>
        <v>4.3342012458808608E-2</v>
      </c>
      <c r="D125" s="27"/>
      <c r="E125" s="265"/>
      <c r="F125" s="27"/>
      <c r="G125" s="77">
        <f t="shared" ref="G125" si="50">IF(G$4="","",G124/Market_Price)</f>
        <v>4.7504864497397284E-2</v>
      </c>
      <c r="H125" s="77">
        <f t="shared" ref="H125" si="51">IF(H$4="","",H124/Market_Price)</f>
        <v>4.62439478307409E-2</v>
      </c>
      <c r="I125" s="77">
        <f t="shared" ref="I125" si="52">IF(I$4="","",I124/Market_Price)</f>
        <v>3.8761821681359172E-2</v>
      </c>
      <c r="J125" s="77">
        <f t="shared" ref="J125" si="53">IF(J$4="","",J124/Market_Price)</f>
        <v>2.5621291448774043E-2</v>
      </c>
      <c r="K125" s="77">
        <f t="shared" ref="K125" si="54">IF(K$4="","",K124/Market_Price)</f>
        <v>2.1572603639687368E-2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394</v>
      </c>
      <c r="C126" s="169"/>
      <c r="G126" s="23">
        <f>IF(G$4="","",(Data!C47*$C$3)/(Market_Price*Common_Shares))</f>
        <v>6.2007841380015957E-2</v>
      </c>
      <c r="H126" s="23">
        <f>IF(H$4="","",(Data!D47*$C$3)/(Market_Price*Common_Shares))</f>
        <v>6.002578668002554E-2</v>
      </c>
      <c r="I126" s="23">
        <f>IF(I$4="","",(Data!E47*$C$3)/(Market_Price*Common_Shares))</f>
        <v>5.2523217959229568E-2</v>
      </c>
      <c r="J126" s="23">
        <f>IF(J$4="","",(Data!F47*$C$3)/(Market_Price*Common_Shares))</f>
        <v>4.4951623266341806E-2</v>
      </c>
      <c r="K126" s="23">
        <f>IF(K$4="","",(Data!G47*$C$3)/(Market_Price*Common_Shares))</f>
        <v>3.2123215966281295E-2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163</v>
      </c>
      <c r="C3" s="107">
        <f>scaling_factor</f>
        <v>1</v>
      </c>
      <c r="E3" s="109" t="s">
        <v>124</v>
      </c>
      <c r="H3" s="120"/>
    </row>
    <row r="4" spans="2:8">
      <c r="B4" s="100" t="s">
        <v>128</v>
      </c>
      <c r="C4" s="338">
        <f>Normalized_FCF!C19</f>
        <v>2878372215.0452805</v>
      </c>
      <c r="D4" t="str">
        <f>Reporting_currency</f>
        <v>CNY</v>
      </c>
      <c r="E4" s="100" t="s">
        <v>250</v>
      </c>
      <c r="F4" s="134">
        <f>Terminal_Growth</f>
        <v>0</v>
      </c>
      <c r="H4" s="120"/>
    </row>
    <row r="5" spans="2:8">
      <c r="B5" s="205" t="s">
        <v>123</v>
      </c>
      <c r="C5" s="206">
        <f>Equity_Cost</f>
        <v>7.4999999999999997E-2</v>
      </c>
      <c r="E5" s="148"/>
      <c r="H5" s="120"/>
    </row>
    <row r="6" spans="2:8" ht="13.35" customHeight="1">
      <c r="B6" s="149" t="s">
        <v>228</v>
      </c>
      <c r="C6" s="347">
        <f>(C4*(1+Terminal_Growth))/(Equity_Cost-Terminal_Growth)</f>
        <v>38378296200.603745</v>
      </c>
      <c r="D6" t="str">
        <f>Reporting_currency</f>
        <v>CNY</v>
      </c>
      <c r="E6" s="364" t="s">
        <v>249</v>
      </c>
      <c r="F6" s="364"/>
      <c r="H6" s="120"/>
    </row>
    <row r="7" spans="2:8">
      <c r="B7" s="148" t="s">
        <v>224</v>
      </c>
      <c r="C7" s="338">
        <f>BS!G31</f>
        <v>285396383</v>
      </c>
      <c r="D7" t="str">
        <f>Reporting_currency</f>
        <v>CNY</v>
      </c>
      <c r="E7" s="364"/>
      <c r="F7" s="364"/>
      <c r="H7" s="120"/>
    </row>
    <row r="8" spans="2:8">
      <c r="B8" s="148" t="s">
        <v>225</v>
      </c>
      <c r="C8" s="338">
        <f>BS!D66</f>
        <v>12816007751.184711</v>
      </c>
      <c r="D8" t="str">
        <f>Reporting_currency</f>
        <v>CNY</v>
      </c>
      <c r="E8" s="364"/>
      <c r="F8" s="364"/>
      <c r="H8" s="120"/>
    </row>
    <row r="9" spans="2:8">
      <c r="B9" s="205" t="s">
        <v>190</v>
      </c>
      <c r="C9" s="348">
        <f>BS!H42</f>
        <v>2755411575.5</v>
      </c>
      <c r="D9" t="str">
        <f>Reporting_currency</f>
        <v>CNY</v>
      </c>
      <c r="E9" s="364"/>
      <c r="F9" s="364"/>
      <c r="H9" s="120"/>
    </row>
    <row r="10" spans="2:8" ht="13.15">
      <c r="B10" s="149" t="s">
        <v>227</v>
      </c>
      <c r="C10" s="347">
        <f>C6-C7+C8+C9</f>
        <v>53664319144.288452</v>
      </c>
      <c r="D10" t="str">
        <f>Reporting_currency</f>
        <v>CNY</v>
      </c>
      <c r="H10" s="120"/>
    </row>
    <row r="11" spans="2:8" ht="13.15" thickBot="1">
      <c r="B11" s="207" t="s">
        <v>166</v>
      </c>
      <c r="C11" s="208">
        <f>Exchange_Rate</f>
        <v>1.0907712000000001</v>
      </c>
      <c r="D11" t="str">
        <f>Thesis!C15</f>
        <v>CNY/HKD</v>
      </c>
      <c r="H11" s="120"/>
    </row>
    <row r="12" spans="2:8" ht="13.5" thickTop="1">
      <c r="B12" s="149" t="s">
        <v>102</v>
      </c>
      <c r="C12" s="111">
        <f>(C10*scaling_factor)/Common_Shares*Exchange_Rate</f>
        <v>42.908394379094879</v>
      </c>
      <c r="D12" t="str">
        <f>Market_currency</f>
        <v>HKD</v>
      </c>
      <c r="H12" s="120"/>
    </row>
    <row r="13" spans="2:8">
      <c r="H13" s="120"/>
    </row>
    <row r="14" spans="2:8" ht="13.9">
      <c r="B14" s="36" t="s">
        <v>229</v>
      </c>
      <c r="C14" s="37"/>
      <c r="D14" s="37"/>
      <c r="E14" s="37"/>
      <c r="F14" s="37"/>
      <c r="H14" s="120"/>
    </row>
    <row r="15" spans="2:8" ht="13.15">
      <c r="B15" s="119" t="s">
        <v>135</v>
      </c>
      <c r="H15" s="120"/>
    </row>
    <row r="16" spans="2:8" ht="13.35" customHeight="1">
      <c r="B16" s="152" t="s">
        <v>133</v>
      </c>
      <c r="C16" s="161">
        <f>Scenarios!C65</f>
        <v>6.1165848114484E-2</v>
      </c>
      <c r="H16" s="120"/>
    </row>
    <row r="17" spans="2:17" ht="13.35" customHeight="1">
      <c r="B17" s="118" t="s">
        <v>134</v>
      </c>
      <c r="C17" s="162">
        <f>Scenarios!C64</f>
        <v>30</v>
      </c>
      <c r="H17" s="120"/>
    </row>
    <row r="18" spans="2:17" ht="13.35" customHeight="1">
      <c r="B18" s="153" t="s">
        <v>106</v>
      </c>
      <c r="C18" s="140">
        <f>(F52-C7+C8+C9)*Exchange_Rate/Common_Shares*scaling_factor</f>
        <v>72.782422093322111</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3054430292.7676907</v>
      </c>
      <c r="D21" s="138">
        <f>IF($C$17&lt;B21,0,DCF!$C$16)</f>
        <v>6.1165848114484E-2</v>
      </c>
      <c r="E21" s="124">
        <f t="shared" ref="E21:E50" si="0">IF($C$17&lt;B21,0,1/(1+Equity_Cost)^B21)</f>
        <v>0.93023255813953487</v>
      </c>
      <c r="F21" s="125">
        <f t="shared" ref="F21:F51" si="1">C21*E21</f>
        <v>2841330504.9001775</v>
      </c>
      <c r="H21" s="120"/>
    </row>
    <row r="22" spans="2:17">
      <c r="B22" s="122">
        <v>2</v>
      </c>
      <c r="C22" s="123">
        <f t="shared" ref="C22:C50" si="2">IF(ROW()-ROW($C$21)&lt;$C$17, $C$21*(1+D22)^(ROW()-ROW($C$21)), 0)</f>
        <v>3241257112.1313977</v>
      </c>
      <c r="D22" s="138">
        <f>IF($C$17&lt;B22,0,DCF!$C$16)</f>
        <v>6.1165848114484E-2</v>
      </c>
      <c r="E22" s="124">
        <f t="shared" si="0"/>
        <v>0.86533261222282321</v>
      </c>
      <c r="F22" s="125">
        <f t="shared" si="1"/>
        <v>2804765483.7264667</v>
      </c>
      <c r="H22" s="120"/>
    </row>
    <row r="23" spans="2:17">
      <c r="B23" s="122">
        <v>3</v>
      </c>
      <c r="C23" s="123">
        <f t="shared" si="2"/>
        <v>3439511352.3520174</v>
      </c>
      <c r="D23" s="138">
        <f>IF($C$17&lt;B23,0,DCF!$C$16)</f>
        <v>6.1165848114484E-2</v>
      </c>
      <c r="E23" s="124">
        <f t="shared" si="0"/>
        <v>0.80496056950960304</v>
      </c>
      <c r="F23" s="125">
        <f t="shared" si="1"/>
        <v>2768671017.024025</v>
      </c>
      <c r="G23" s="338"/>
      <c r="H23" s="339"/>
      <c r="I23" s="338"/>
      <c r="J23" s="338"/>
      <c r="K23" s="338"/>
      <c r="L23" s="338"/>
      <c r="M23" s="338"/>
      <c r="N23" s="338"/>
      <c r="O23" s="338"/>
      <c r="P23" s="338"/>
      <c r="Q23" s="338"/>
    </row>
    <row r="24" spans="2:17">
      <c r="B24" s="122">
        <v>4</v>
      </c>
      <c r="C24" s="123">
        <f t="shared" si="2"/>
        <v>3649891981.3180237</v>
      </c>
      <c r="D24" s="138">
        <f>IF($C$17&lt;B24,0,DCF!$C$16)</f>
        <v>6.1165848114484E-2</v>
      </c>
      <c r="E24" s="124">
        <f t="shared" si="0"/>
        <v>0.7488005297763749</v>
      </c>
      <c r="F24" s="125">
        <f t="shared" si="1"/>
        <v>2733041049.2374787</v>
      </c>
      <c r="G24" s="338"/>
      <c r="H24" s="339"/>
      <c r="I24" s="338"/>
      <c r="J24" s="338"/>
      <c r="K24" s="338"/>
      <c r="L24" s="338"/>
      <c r="M24" s="338"/>
      <c r="N24" s="338"/>
      <c r="O24" s="338"/>
      <c r="P24" s="338"/>
      <c r="Q24" s="338"/>
    </row>
    <row r="25" spans="2:17">
      <c r="B25" s="122">
        <v>5</v>
      </c>
      <c r="C25" s="123">
        <f t="shared" si="2"/>
        <v>3873140719.8815947</v>
      </c>
      <c r="D25" s="138">
        <f>IF($C$17&lt;B25,0,DCF!$C$16)</f>
        <v>6.1165848114484E-2</v>
      </c>
      <c r="E25" s="124">
        <f t="shared" si="0"/>
        <v>0.69655863235011617</v>
      </c>
      <c r="F25" s="125">
        <f t="shared" si="1"/>
        <v>2697869602.7402678</v>
      </c>
      <c r="G25" s="338"/>
      <c r="H25" s="339"/>
      <c r="I25" s="338"/>
      <c r="J25" s="338"/>
      <c r="K25" s="338"/>
      <c r="L25" s="338"/>
      <c r="M25" s="338"/>
      <c r="N25" s="338"/>
      <c r="O25" s="338"/>
      <c r="P25" s="338"/>
      <c r="Q25" s="338"/>
    </row>
    <row r="26" spans="2:17">
      <c r="B26" s="122">
        <v>6</v>
      </c>
      <c r="C26" s="123">
        <f t="shared" si="2"/>
        <v>4110044656.8798952</v>
      </c>
      <c r="D26" s="138">
        <f>IF($C$17&lt;B26,0,DCF!$C$16)</f>
        <v>6.1165848114484E-2</v>
      </c>
      <c r="E26" s="124">
        <f t="shared" si="0"/>
        <v>0.64796151846522443</v>
      </c>
      <c r="F26" s="125">
        <f t="shared" si="1"/>
        <v>2663150776.831779</v>
      </c>
      <c r="H26" s="120"/>
    </row>
    <row r="27" spans="2:17">
      <c r="B27" s="122">
        <v>7</v>
      </c>
      <c r="C27" s="123">
        <f t="shared" si="2"/>
        <v>4361439024.1063566</v>
      </c>
      <c r="D27" s="138">
        <f>IF($C$17&lt;B27,0,DCF!$C$16)</f>
        <v>6.1165848114484E-2</v>
      </c>
      <c r="E27" s="124">
        <f t="shared" si="0"/>
        <v>0.60275490089788319</v>
      </c>
      <c r="F27" s="125">
        <f t="shared" si="1"/>
        <v>2628878746.7473874</v>
      </c>
      <c r="H27" s="120"/>
    </row>
    <row r="28" spans="2:17">
      <c r="B28" s="122">
        <v>8</v>
      </c>
      <c r="C28" s="123">
        <f t="shared" si="2"/>
        <v>4628210141.0154285</v>
      </c>
      <c r="D28" s="138">
        <f>IF($C$17&lt;B28,0,DCF!$C$16)</f>
        <v>6.1165848114484E-2</v>
      </c>
      <c r="E28" s="124">
        <f t="shared" si="0"/>
        <v>0.56070223339337966</v>
      </c>
      <c r="F28" s="125">
        <f t="shared" si="1"/>
        <v>2595047762.6812396</v>
      </c>
      <c r="H28" s="120"/>
    </row>
    <row r="29" spans="2:17">
      <c r="B29" s="122">
        <v>9</v>
      </c>
      <c r="C29" s="123">
        <f t="shared" si="2"/>
        <v>4911298539.5426931</v>
      </c>
      <c r="D29" s="138">
        <f>IF($C$17&lt;B29,0,DCF!$C$16)</f>
        <v>6.1165848114484E-2</v>
      </c>
      <c r="E29" s="124">
        <f t="shared" si="0"/>
        <v>0.52158347292407414</v>
      </c>
      <c r="F29" s="125">
        <f t="shared" si="1"/>
        <v>2561652148.8216114</v>
      </c>
      <c r="H29" s="120"/>
    </row>
    <row r="30" spans="2:17">
      <c r="B30" s="122">
        <v>10</v>
      </c>
      <c r="C30" s="123">
        <f t="shared" si="2"/>
        <v>5211702280.0572481</v>
      </c>
      <c r="D30" s="138">
        <f>IF($C$17&lt;B30,0,DCF!$C$16)</f>
        <v>6.1165848114484E-2</v>
      </c>
      <c r="E30" s="124">
        <f t="shared" si="0"/>
        <v>0.48519392830146441</v>
      </c>
      <c r="F30" s="125">
        <f t="shared" si="1"/>
        <v>2528686302.398675</v>
      </c>
      <c r="H30" s="120"/>
    </row>
    <row r="31" spans="2:17">
      <c r="B31" s="122">
        <v>11</v>
      </c>
      <c r="C31" s="123">
        <f t="shared" si="2"/>
        <v>5530480470.1371384</v>
      </c>
      <c r="D31" s="138">
        <f>IF($C$17&lt;B31,0,DCF!$C$16)</f>
        <v>6.1165848114484E-2</v>
      </c>
      <c r="E31" s="124">
        <f t="shared" si="0"/>
        <v>0.45134318911764126</v>
      </c>
      <c r="F31" s="125">
        <f t="shared" si="1"/>
        <v>2496144692.7445278</v>
      </c>
      <c r="H31" s="120"/>
    </row>
    <row r="32" spans="2:17">
      <c r="B32" s="122">
        <v>12</v>
      </c>
      <c r="C32" s="123">
        <f t="shared" si="2"/>
        <v>5868756998.5736656</v>
      </c>
      <c r="D32" s="138">
        <f>IF($C$17&lt;B32,0,DCF!$C$16)</f>
        <v>6.1165848114484E-2</v>
      </c>
      <c r="E32" s="124">
        <f t="shared" si="0"/>
        <v>0.41985412941175931</v>
      </c>
      <c r="F32" s="125">
        <f t="shared" si="1"/>
        <v>2464021860.3653159</v>
      </c>
      <c r="H32" s="120"/>
    </row>
    <row r="33" spans="2:17">
      <c r="B33" s="122">
        <v>13</v>
      </c>
      <c r="C33" s="341">
        <f t="shared" si="2"/>
        <v>6227724497.7692366</v>
      </c>
      <c r="D33" s="138">
        <f>IF($C$17&lt;B33,0,DCF!$C$16)</f>
        <v>6.1165848114484E-2</v>
      </c>
      <c r="E33" s="124">
        <f t="shared" si="0"/>
        <v>0.39056198084814819</v>
      </c>
      <c r="F33" s="125">
        <f t="shared" si="1"/>
        <v>2432312416.0252919</v>
      </c>
      <c r="G33" s="338"/>
      <c r="H33" s="339"/>
      <c r="I33" s="338"/>
      <c r="J33" s="338"/>
      <c r="K33" s="338"/>
      <c r="L33" s="338"/>
      <c r="M33" s="338"/>
      <c r="N33" s="338"/>
      <c r="O33" s="338"/>
      <c r="P33" s="338"/>
      <c r="Q33" s="338"/>
    </row>
    <row r="34" spans="2:17">
      <c r="B34" s="122">
        <v>14</v>
      </c>
      <c r="C34" s="341">
        <f t="shared" si="2"/>
        <v>6608648548.498641</v>
      </c>
      <c r="D34" s="138">
        <f>IF($C$17&lt;B34,0,DCF!$C$16)</f>
        <v>6.1165848114484E-2</v>
      </c>
      <c r="E34" s="124">
        <f t="shared" si="0"/>
        <v>0.36331347055641694</v>
      </c>
      <c r="F34" s="125">
        <f t="shared" si="1"/>
        <v>2401011039.8426685</v>
      </c>
      <c r="G34" s="338"/>
      <c r="H34" s="339"/>
      <c r="I34" s="338"/>
      <c r="J34" s="338"/>
      <c r="K34" s="338"/>
      <c r="L34" s="338"/>
      <c r="M34" s="338"/>
      <c r="N34" s="338"/>
      <c r="O34" s="338"/>
      <c r="P34" s="338"/>
      <c r="Q34" s="338"/>
    </row>
    <row r="35" spans="2:17">
      <c r="B35" s="122">
        <v>15</v>
      </c>
      <c r="C35" s="341">
        <f t="shared" si="2"/>
        <v>7012872141.8581123</v>
      </c>
      <c r="D35" s="138">
        <f>IF($C$17&lt;B35,0,DCF!$C$16)</f>
        <v>6.1165848114484E-2</v>
      </c>
      <c r="E35" s="124">
        <f t="shared" si="0"/>
        <v>0.33796601912224833</v>
      </c>
      <c r="F35" s="125">
        <f t="shared" si="1"/>
        <v>2370112480.3971014</v>
      </c>
      <c r="G35" s="338"/>
      <c r="H35" s="339"/>
      <c r="I35" s="338"/>
      <c r="J35" s="338"/>
      <c r="K35" s="338"/>
      <c r="L35" s="338"/>
      <c r="M35" s="338"/>
      <c r="N35" s="338"/>
      <c r="O35" s="338"/>
      <c r="P35" s="338"/>
      <c r="Q35" s="338"/>
    </row>
    <row r="36" spans="2:17">
      <c r="B36" s="122">
        <v>16</v>
      </c>
      <c r="C36" s="123">
        <f t="shared" si="2"/>
        <v>7441820414.1332998</v>
      </c>
      <c r="D36" s="138">
        <f>IF($C$17&lt;B36,0,DCF!$C$16)</f>
        <v>6.1165848114484E-2</v>
      </c>
      <c r="E36" s="124">
        <f t="shared" si="0"/>
        <v>0.31438699453232405</v>
      </c>
      <c r="F36" s="125">
        <f t="shared" si="1"/>
        <v>2339611553.8486633</v>
      </c>
      <c r="H36" s="120"/>
    </row>
    <row r="37" spans="2:17">
      <c r="B37" s="122">
        <v>17</v>
      </c>
      <c r="C37" s="123">
        <f t="shared" si="2"/>
        <v>7897005671.2794447</v>
      </c>
      <c r="D37" s="138">
        <f>IF($C$17&lt;B37,0,DCF!$C$16)</f>
        <v>6.1165848114484E-2</v>
      </c>
      <c r="E37" s="124">
        <f t="shared" si="0"/>
        <v>0.29245301816960378</v>
      </c>
      <c r="F37" s="125">
        <f t="shared" si="1"/>
        <v>2309503143.0681515</v>
      </c>
      <c r="H37" s="120"/>
    </row>
    <row r="38" spans="2:17">
      <c r="B38" s="122">
        <v>18</v>
      </c>
      <c r="C38" s="123">
        <f t="shared" si="2"/>
        <v>8380032720.7281418</v>
      </c>
      <c r="D38" s="138">
        <f>IF($C$17&lt;B38,0,DCF!$C$16)</f>
        <v>6.1165848114484E-2</v>
      </c>
      <c r="E38" s="124">
        <f t="shared" si="0"/>
        <v>0.27204931922753844</v>
      </c>
      <c r="F38" s="125">
        <f t="shared" si="1"/>
        <v>2279782196.7785878</v>
      </c>
      <c r="H38" s="120"/>
    </row>
    <row r="39" spans="2:17">
      <c r="B39" s="122">
        <v>19</v>
      </c>
      <c r="C39" s="123">
        <f t="shared" si="2"/>
        <v>8892604529.3186035</v>
      </c>
      <c r="D39" s="138">
        <f>IF($C$17&lt;B39,0,DCF!$C$16)</f>
        <v>6.1165848114484E-2</v>
      </c>
      <c r="E39" s="124">
        <f t="shared" si="0"/>
        <v>0.25306913416515198</v>
      </c>
      <c r="F39" s="125">
        <f t="shared" si="1"/>
        <v>2250443728.707768</v>
      </c>
      <c r="H39" s="120"/>
    </row>
    <row r="40" spans="2:17">
      <c r="B40" s="122">
        <v>20</v>
      </c>
      <c r="C40" s="123">
        <f t="shared" si="2"/>
        <v>9436528227.301075</v>
      </c>
      <c r="D40" s="138">
        <f>IF($C$17&lt;B40,0,DCF!$C$16)</f>
        <v>6.1165848114484E-2</v>
      </c>
      <c r="E40" s="124">
        <f t="shared" si="0"/>
        <v>0.23541314806060654</v>
      </c>
      <c r="F40" s="125">
        <f t="shared" si="1"/>
        <v>2221482816.7517209</v>
      </c>
      <c r="H40" s="120"/>
    </row>
    <row r="41" spans="2:17">
      <c r="B41" s="122">
        <v>21</v>
      </c>
      <c r="C41" s="123">
        <f t="shared" si="2"/>
        <v>10013721479.580214</v>
      </c>
      <c r="D41" s="138">
        <f>IF($C$17&lt;B41,0,DCF!$C$16)</f>
        <v>6.1165848114484E-2</v>
      </c>
      <c r="E41" s="124">
        <f t="shared" si="0"/>
        <v>0.21898897494009908</v>
      </c>
      <c r="F41" s="125">
        <f t="shared" si="1"/>
        <v>2192894602.1489234</v>
      </c>
      <c r="H41" s="120"/>
    </row>
    <row r="42" spans="2:17">
      <c r="B42" s="122">
        <v>22</v>
      </c>
      <c r="C42" s="123">
        <f t="shared" si="2"/>
        <v>10626219246.660961</v>
      </c>
      <c r="D42" s="138">
        <f>IF($C$17&lt;B42,0,DCF!$C$16)</f>
        <v>6.1165848114484E-2</v>
      </c>
      <c r="E42" s="124">
        <f t="shared" si="0"/>
        <v>0.20371067436288287</v>
      </c>
      <c r="F42" s="125">
        <f t="shared" si="1"/>
        <v>2164674288.6651497</v>
      </c>
      <c r="H42" s="120"/>
    </row>
    <row r="43" spans="2:17">
      <c r="B43" s="122">
        <v>23</v>
      </c>
      <c r="C43" s="123">
        <f t="shared" si="2"/>
        <v>11276180959.13343</v>
      </c>
      <c r="D43" s="138">
        <f>IF($C$17&lt;B43,0,DCF!$C$16)</f>
        <v>6.1165848114484E-2</v>
      </c>
      <c r="E43" s="124">
        <f t="shared" si="0"/>
        <v>0.18949830173291429</v>
      </c>
      <c r="F43" s="125">
        <f t="shared" si="1"/>
        <v>2136817141.7888098</v>
      </c>
      <c r="H43" s="120"/>
    </row>
    <row r="44" spans="2:17">
      <c r="B44" s="122">
        <v>24</v>
      </c>
      <c r="C44" s="123">
        <f t="shared" si="2"/>
        <v>11965898130.99122</v>
      </c>
      <c r="D44" s="138">
        <f>IF($C$17&lt;B44,0,DCF!$C$16)</f>
        <v>6.1165848114484E-2</v>
      </c>
      <c r="E44" s="124">
        <f t="shared" si="0"/>
        <v>0.17627748998410636</v>
      </c>
      <c r="F44" s="125">
        <f t="shared" si="1"/>
        <v>2109318487.9366419</v>
      </c>
      <c r="H44" s="120"/>
    </row>
    <row r="45" spans="2:17">
      <c r="B45" s="122">
        <v>25</v>
      </c>
      <c r="C45" s="123">
        <f t="shared" si="2"/>
        <v>12697802438.624817</v>
      </c>
      <c r="D45" s="138">
        <f>IF($C$17&lt;B45,0,DCF!$C$16)</f>
        <v>6.1165848114484E-2</v>
      </c>
      <c r="E45" s="124">
        <f t="shared" si="0"/>
        <v>0.16397906045033148</v>
      </c>
      <c r="F45" s="125">
        <f t="shared" si="1"/>
        <v>2082173713.6696253</v>
      </c>
      <c r="H45" s="120"/>
    </row>
    <row r="46" spans="2:17">
      <c r="B46" s="122">
        <v>26</v>
      </c>
      <c r="C46" s="123">
        <f t="shared" si="2"/>
        <v>13474474293.973467</v>
      </c>
      <c r="D46" s="138">
        <f>IF($C$17&lt;B46,0,DCF!$C$16)</f>
        <v>6.1165848114484E-2</v>
      </c>
      <c r="E46" s="124">
        <f t="shared" si="0"/>
        <v>0.15253866088402931</v>
      </c>
      <c r="F46" s="125">
        <f t="shared" si="1"/>
        <v>2055378264.9189889</v>
      </c>
      <c r="H46" s="120"/>
    </row>
    <row r="47" spans="2:17">
      <c r="B47" s="122">
        <v>27</v>
      </c>
      <c r="C47" s="341">
        <f t="shared" si="2"/>
        <v>14298651942.061165</v>
      </c>
      <c r="D47" s="138">
        <f>IF($C$17&lt;B47,0,DCF!$C$16)</f>
        <v>6.1165848114484E-2</v>
      </c>
      <c r="E47" s="124">
        <f t="shared" si="0"/>
        <v>0.14189642872932959</v>
      </c>
      <c r="F47" s="125">
        <f t="shared" si="1"/>
        <v>2028927646.2221723</v>
      </c>
      <c r="G47" s="338"/>
      <c r="H47" s="339"/>
      <c r="I47" s="338"/>
      <c r="J47" s="338"/>
      <c r="K47" s="338"/>
      <c r="L47" s="338"/>
      <c r="M47" s="338"/>
      <c r="N47" s="338"/>
      <c r="O47" s="338"/>
      <c r="P47" s="338"/>
      <c r="Q47" s="338"/>
    </row>
    <row r="48" spans="2:17">
      <c r="B48" s="122">
        <v>28</v>
      </c>
      <c r="C48" s="341">
        <f t="shared" si="2"/>
        <v>15173241114.991146</v>
      </c>
      <c r="D48" s="138">
        <f>IF($C$17&lt;B48,0,DCF!$C$16)</f>
        <v>6.1165848114484E-2</v>
      </c>
      <c r="E48" s="124">
        <f t="shared" si="0"/>
        <v>0.13199667788774846</v>
      </c>
      <c r="F48" s="125">
        <f t="shared" si="1"/>
        <v>2002817419.9686277</v>
      </c>
      <c r="G48" s="338"/>
      <c r="H48" s="339"/>
      <c r="I48" s="338"/>
      <c r="J48" s="338"/>
      <c r="K48" s="338"/>
      <c r="L48" s="338"/>
      <c r="M48" s="338"/>
      <c r="N48" s="338"/>
      <c r="O48" s="338"/>
      <c r="P48" s="338"/>
      <c r="Q48" s="338"/>
    </row>
    <row r="49" spans="1:17">
      <c r="B49" s="122">
        <v>29</v>
      </c>
      <c r="C49" s="341">
        <f t="shared" si="2"/>
        <v>16101325276.435137</v>
      </c>
      <c r="D49" s="138">
        <f>IF($C$17&lt;B49,0,DCF!$C$16)</f>
        <v>6.1165848114484E-2</v>
      </c>
      <c r="E49" s="124">
        <f t="shared" si="0"/>
        <v>0.1227876073374404</v>
      </c>
      <c r="F49" s="125">
        <f t="shared" si="1"/>
        <v>1977043205.6553216</v>
      </c>
      <c r="G49" s="338"/>
      <c r="H49" s="339"/>
      <c r="I49" s="338"/>
      <c r="J49" s="338"/>
      <c r="K49" s="338"/>
      <c r="L49" s="338"/>
      <c r="M49" s="338"/>
      <c r="N49" s="338"/>
      <c r="O49" s="338"/>
      <c r="P49" s="338"/>
      <c r="Q49" s="338"/>
    </row>
    <row r="50" spans="1:17">
      <c r="B50" s="122">
        <v>30</v>
      </c>
      <c r="C50" s="341">
        <f t="shared" si="2"/>
        <v>17086176492.73547</v>
      </c>
      <c r="D50" s="138">
        <f>IF($C$17&lt;B50,0,DCF!$C$16)</f>
        <v>6.1165848114484E-2</v>
      </c>
      <c r="E50" s="124">
        <f t="shared" si="0"/>
        <v>0.11422103008133992</v>
      </c>
      <c r="F50" s="125">
        <f t="shared" si="1"/>
        <v>1951600679.1518211</v>
      </c>
      <c r="G50" s="338"/>
      <c r="H50" s="339"/>
      <c r="I50" s="338"/>
      <c r="J50" s="338"/>
      <c r="K50" s="338"/>
      <c r="L50" s="338"/>
      <c r="M50" s="338"/>
      <c r="N50" s="338"/>
      <c r="O50" s="338"/>
      <c r="P50" s="338"/>
      <c r="Q50" s="338"/>
    </row>
    <row r="51" spans="1:17">
      <c r="B51" s="126" t="s">
        <v>131</v>
      </c>
      <c r="C51" s="123">
        <f>C$21*(1+Terminal_Growth)^$C$17/Equity_Cost</f>
        <v>40725737236.902542</v>
      </c>
      <c r="D51" s="139">
        <f>Terminal_Growth</f>
        <v>0</v>
      </c>
      <c r="E51" s="124">
        <f>1/(1+Equity_Cost)^C17</f>
        <v>0.11422103008133992</v>
      </c>
      <c r="F51" s="125">
        <f t="shared" si="1"/>
        <v>4651735658.0209904</v>
      </c>
      <c r="H51" s="120"/>
    </row>
    <row r="52" spans="1:17">
      <c r="C52" s="114"/>
      <c r="E52" s="127" t="s">
        <v>100</v>
      </c>
      <c r="F52" s="137">
        <f>SUM(F21:F51)</f>
        <v>75740900431.786011</v>
      </c>
      <c r="H52" s="120"/>
    </row>
    <row r="53" spans="1:17">
      <c r="C53" s="114"/>
      <c r="H53" s="120"/>
    </row>
    <row r="54" spans="1:17" ht="13.15">
      <c r="B54" s="119" t="s">
        <v>129</v>
      </c>
      <c r="C54" s="136"/>
      <c r="D54" s="136"/>
      <c r="E54" s="117"/>
      <c r="F54" s="117"/>
      <c r="H54" s="120"/>
    </row>
    <row r="55" spans="1:17" ht="13.15">
      <c r="A55" s="133">
        <f>F52</f>
        <v>75740900431.786011</v>
      </c>
      <c r="B55" s="131">
        <f>C78</f>
        <v>0.02</v>
      </c>
      <c r="C55" s="131">
        <f>C77</f>
        <v>0.04</v>
      </c>
      <c r="D55" s="131">
        <f>C76</f>
        <v>0.06</v>
      </c>
      <c r="E55" s="131">
        <f>C75</f>
        <v>0.08</v>
      </c>
      <c r="F55" s="131">
        <f>C74</f>
        <v>0.1</v>
      </c>
      <c r="H55" s="120"/>
    </row>
    <row r="56" spans="1:17" ht="13.15">
      <c r="A56" s="143">
        <v>5</v>
      </c>
      <c r="B56" s="123">
        <f t="dataTable" ref="B56:F61" dt2D="1" dtr="1" r1="C16" r2="C17"/>
        <v>39595291289.51049</v>
      </c>
      <c r="C56" s="123">
        <v>40847739820.482552</v>
      </c>
      <c r="D56" s="123">
        <v>42137200329.26004</v>
      </c>
      <c r="E56" s="123">
        <v>43465279662.979073</v>
      </c>
      <c r="F56" s="123">
        <v>44833633750.074493</v>
      </c>
      <c r="H56" s="120"/>
    </row>
    <row r="57" spans="1:17" ht="13.15">
      <c r="A57" s="143">
        <v>10</v>
      </c>
      <c r="B57" s="123">
        <v>40802098081.720703</v>
      </c>
      <c r="C57" s="123">
        <v>43467287788.000931</v>
      </c>
      <c r="D57" s="123">
        <v>46402848346.741531</v>
      </c>
      <c r="E57" s="123">
        <v>49641010066.66996</v>
      </c>
      <c r="F57" s="123">
        <v>53217572556.379837</v>
      </c>
      <c r="H57" s="120"/>
    </row>
    <row r="58" spans="1:17" ht="13.15">
      <c r="A58" s="143">
        <v>15</v>
      </c>
      <c r="B58" s="123">
        <v>42330056805.457138</v>
      </c>
      <c r="C58" s="341">
        <v>46960409055.510063</v>
      </c>
      <c r="D58" s="123">
        <v>52404843870.828667</v>
      </c>
      <c r="E58" s="123">
        <v>58825724879.119652</v>
      </c>
      <c r="F58" s="123">
        <v>66417356807.397881</v>
      </c>
      <c r="G58" s="338"/>
      <c r="H58" s="339"/>
      <c r="I58" s="338"/>
      <c r="J58" s="338"/>
      <c r="K58" s="338"/>
      <c r="L58" s="338"/>
      <c r="M58" s="338"/>
      <c r="N58" s="338"/>
      <c r="O58" s="338"/>
      <c r="P58" s="338"/>
      <c r="Q58" s="338"/>
    </row>
    <row r="59" spans="1:17" ht="13.15">
      <c r="A59" s="144">
        <v>20</v>
      </c>
      <c r="B59" s="123">
        <v>43922978702.895996</v>
      </c>
      <c r="C59" s="341">
        <v>50807536419.946487</v>
      </c>
      <c r="D59" s="123">
        <v>59410680594.072243</v>
      </c>
      <c r="E59" s="123">
        <v>70220992153.78569</v>
      </c>
      <c r="F59" s="123">
        <v>83868200844.636719</v>
      </c>
      <c r="G59" s="338"/>
      <c r="H59" s="339"/>
      <c r="I59" s="338"/>
      <c r="J59" s="338"/>
      <c r="K59" s="338"/>
      <c r="L59" s="338"/>
      <c r="M59" s="338"/>
      <c r="N59" s="338"/>
      <c r="O59" s="338"/>
      <c r="P59" s="338"/>
      <c r="Q59" s="338"/>
    </row>
    <row r="60" spans="1:17" ht="13.15">
      <c r="A60" s="144">
        <v>25</v>
      </c>
      <c r="B60" s="123">
        <v>45439072705.503517</v>
      </c>
      <c r="C60" s="341">
        <v>54685578036.037224</v>
      </c>
      <c r="D60" s="123">
        <v>66924076162.525284</v>
      </c>
      <c r="E60" s="123">
        <v>83273347681.449005</v>
      </c>
      <c r="F60" s="123">
        <v>105285910172.56715</v>
      </c>
      <c r="G60" s="338"/>
      <c r="H60" s="339"/>
      <c r="I60" s="338"/>
      <c r="J60" s="338"/>
      <c r="K60" s="338"/>
      <c r="L60" s="338"/>
      <c r="M60" s="338"/>
      <c r="N60" s="338"/>
      <c r="O60" s="338"/>
      <c r="P60" s="338"/>
      <c r="Q60" s="338"/>
    </row>
    <row r="61" spans="1:17" ht="13.15">
      <c r="A61" s="144">
        <v>30</v>
      </c>
      <c r="B61" s="123">
        <v>46807766206.315109</v>
      </c>
      <c r="C61" s="341">
        <v>58402377884.476311</v>
      </c>
      <c r="D61" s="123">
        <v>74612345500.706635</v>
      </c>
      <c r="E61" s="123">
        <v>97600024798.450989</v>
      </c>
      <c r="F61" s="123">
        <v>130595042092.50328</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0.02</v>
      </c>
      <c r="C64" s="132">
        <f>C55</f>
        <v>0.04</v>
      </c>
      <c r="D64" s="132">
        <f>D55</f>
        <v>0.06</v>
      </c>
      <c r="E64" s="132">
        <f>E55</f>
        <v>0.08</v>
      </c>
      <c r="F64" s="132">
        <f>F55</f>
        <v>0.1</v>
      </c>
      <c r="H64" s="120"/>
    </row>
    <row r="65" spans="1:8" ht="13.15">
      <c r="A65" s="143">
        <v>0</v>
      </c>
      <c r="B65" s="124">
        <f>C12</f>
        <v>42.908394379094879</v>
      </c>
      <c r="C65" s="124">
        <f>C12</f>
        <v>42.908394379094879</v>
      </c>
      <c r="D65" s="124">
        <f>C12</f>
        <v>42.908394379094879</v>
      </c>
      <c r="E65" s="141">
        <f>C12</f>
        <v>42.908394379094879</v>
      </c>
      <c r="F65" s="124">
        <f>C12</f>
        <v>42.908394379094879</v>
      </c>
      <c r="H65" s="120"/>
    </row>
    <row r="66" spans="1:8" ht="13.15">
      <c r="A66" s="143">
        <f t="shared" ref="A66:A71" si="3">A56</f>
        <v>5</v>
      </c>
      <c r="B66" s="124">
        <f t="shared" ref="B66:F71" si="4">(B56-$C$7+$C$8+$C$9)/Common_Shares*$C$3*Exchange_Rate</f>
        <v>43.881467476171345</v>
      </c>
      <c r="C66" s="124">
        <f t="shared" si="4"/>
        <v>44.882888091645363</v>
      </c>
      <c r="D66" s="124">
        <f t="shared" si="4"/>
        <v>45.913902384366168</v>
      </c>
      <c r="E66" s="124">
        <f t="shared" si="4"/>
        <v>46.975795141539209</v>
      </c>
      <c r="F66" s="124">
        <f t="shared" si="4"/>
        <v>48.069890394317333</v>
      </c>
      <c r="H66" s="120"/>
    </row>
    <row r="67" spans="1:8" ht="13.15">
      <c r="A67" s="143">
        <f t="shared" si="3"/>
        <v>10</v>
      </c>
      <c r="B67" s="124">
        <f t="shared" si="4"/>
        <v>44.846394314063353</v>
      </c>
      <c r="C67" s="124">
        <f t="shared" si="4"/>
        <v>46.977400778613784</v>
      </c>
      <c r="D67" s="124">
        <f t="shared" si="4"/>
        <v>49.324587739832573</v>
      </c>
      <c r="E67" s="124">
        <f t="shared" si="4"/>
        <v>51.91372559451019</v>
      </c>
      <c r="F67" s="124">
        <f t="shared" si="4"/>
        <v>54.77343864551014</v>
      </c>
      <c r="H67" s="120"/>
    </row>
    <row r="68" spans="1:8" ht="13.15">
      <c r="A68" s="143">
        <f t="shared" si="3"/>
        <v>15</v>
      </c>
      <c r="B68" s="124">
        <f t="shared" si="4"/>
        <v>46.068104689942395</v>
      </c>
      <c r="C68" s="124">
        <f t="shared" si="4"/>
        <v>49.770396708689582</v>
      </c>
      <c r="D68" s="124">
        <f t="shared" si="4"/>
        <v>54.123604947460805</v>
      </c>
      <c r="E68" s="124">
        <f t="shared" si="4"/>
        <v>59.257550536600228</v>
      </c>
      <c r="F68" s="124">
        <f t="shared" si="4"/>
        <v>65.327593759987707</v>
      </c>
      <c r="H68" s="120"/>
    </row>
    <row r="69" spans="1:8" ht="13.15">
      <c r="A69" s="144">
        <f t="shared" si="3"/>
        <v>20</v>
      </c>
      <c r="B69" s="124">
        <f t="shared" si="4"/>
        <v>47.341757688439017</v>
      </c>
      <c r="C69" s="124">
        <f t="shared" si="4"/>
        <v>52.846445390794479</v>
      </c>
      <c r="D69" s="124">
        <f t="shared" si="4"/>
        <v>59.725263738066651</v>
      </c>
      <c r="E69" s="124">
        <f t="shared" si="4"/>
        <v>68.368867517290994</v>
      </c>
      <c r="F69" s="124">
        <f t="shared" si="4"/>
        <v>79.28076991386078</v>
      </c>
      <c r="H69" s="120"/>
    </row>
    <row r="70" spans="1:8" ht="13.15">
      <c r="A70" s="144">
        <f t="shared" si="3"/>
        <v>25</v>
      </c>
      <c r="B70" s="124">
        <f t="shared" si="4"/>
        <v>48.553981385990355</v>
      </c>
      <c r="C70" s="124">
        <f t="shared" si="4"/>
        <v>55.94721218957487</v>
      </c>
      <c r="D70" s="124">
        <f t="shared" si="4"/>
        <v>65.732751493767339</v>
      </c>
      <c r="E70" s="124">
        <f t="shared" si="4"/>
        <v>78.805143006993987</v>
      </c>
      <c r="F70" s="124">
        <f t="shared" si="4"/>
        <v>96.405733636380461</v>
      </c>
    </row>
    <row r="71" spans="1:8" ht="13.15">
      <c r="A71" s="144">
        <f t="shared" si="3"/>
        <v>30</v>
      </c>
      <c r="B71" s="124">
        <f t="shared" si="4"/>
        <v>49.648348023886626</v>
      </c>
      <c r="C71" s="124">
        <f t="shared" si="4"/>
        <v>58.919054863963076</v>
      </c>
      <c r="D71" s="124">
        <f t="shared" si="4"/>
        <v>71.880063117500072</v>
      </c>
      <c r="E71" s="124">
        <f t="shared" si="4"/>
        <v>90.260328159449273</v>
      </c>
      <c r="F71" s="124">
        <f t="shared" si="4"/>
        <v>116.64216318826344</v>
      </c>
    </row>
    <row r="73" spans="1:8" ht="13.15">
      <c r="B73" s="171" t="s">
        <v>117</v>
      </c>
      <c r="C73" s="171" t="s">
        <v>132</v>
      </c>
      <c r="D73" s="171" t="s">
        <v>112</v>
      </c>
      <c r="E73" s="172" t="s">
        <v>113</v>
      </c>
      <c r="F73" s="172" t="s">
        <v>119</v>
      </c>
    </row>
    <row r="74" spans="1:8">
      <c r="B74" s="127" t="str">
        <f>Scenarios!B54</f>
        <v>Snowball Scenario</v>
      </c>
      <c r="C74" s="142">
        <f>Scenarios!C56</f>
        <v>0.1</v>
      </c>
      <c r="D74" s="145">
        <f>Scenarios!C55</f>
        <v>30</v>
      </c>
      <c r="E74" s="135">
        <f>INDEX(B$65:F$71, MATCH(D74, A$65:A$71, 0), MATCH(C74, B$64:F$64, 0))</f>
        <v>116.64216318826344</v>
      </c>
      <c r="F74" s="142">
        <f>Scenarios!C58</f>
        <v>0.05</v>
      </c>
    </row>
    <row r="75" spans="1:8">
      <c r="B75" s="127" t="str">
        <f>Scenarios!B36</f>
        <v>Optimistic</v>
      </c>
      <c r="C75" s="142">
        <f>Scenarios!C38</f>
        <v>0.08</v>
      </c>
      <c r="D75" s="145">
        <f>Scenarios!C37</f>
        <v>30</v>
      </c>
      <c r="E75" s="135">
        <f>INDEX(B$65:F$71, MATCH(D75, A$65:A$71, 0), MATCH(C75, B$64:F$64, 0))</f>
        <v>90.260328159449273</v>
      </c>
      <c r="F75" s="142">
        <f>Scenarios!C40*(1-F$74-F$78)</f>
        <v>0.18</v>
      </c>
      <c r="H75" s="120"/>
    </row>
    <row r="76" spans="1:8">
      <c r="B76" s="127" t="str">
        <f>Scenarios!B24</f>
        <v>Base</v>
      </c>
      <c r="C76" s="142">
        <f>Scenarios!C26</f>
        <v>0.06</v>
      </c>
      <c r="D76" s="145">
        <f>Scenarios!C25</f>
        <v>30</v>
      </c>
      <c r="E76" s="135">
        <f>INDEX(B$65:F$71, MATCH(D76, A$65:A$71, 0), MATCH(C76, B$64:F$64, 0))</f>
        <v>71.880063117500072</v>
      </c>
      <c r="F76" s="142">
        <f>Scenarios!C28*(1-F$74-F$78)</f>
        <v>0.44999999999999996</v>
      </c>
      <c r="H76" s="120"/>
    </row>
    <row r="77" spans="1:8">
      <c r="B77" s="127" t="str">
        <f>Scenarios!B30</f>
        <v>Pessimistic</v>
      </c>
      <c r="C77" s="142">
        <f>Scenarios!C32</f>
        <v>0.04</v>
      </c>
      <c r="D77" s="145">
        <f>Scenarios!C31</f>
        <v>30</v>
      </c>
      <c r="E77" s="135">
        <f>INDEX(B$65:F$71, MATCH(D77, A$65:A$71, 0), MATCH(C77, B$64:F$64, 0))</f>
        <v>58.919054863963076</v>
      </c>
      <c r="F77" s="142">
        <f>Scenarios!C34*(1-F$74-F$78)</f>
        <v>0.26999999999999996</v>
      </c>
      <c r="H77" s="120"/>
    </row>
    <row r="78" spans="1:8">
      <c r="B78" s="127" t="str">
        <f>Scenarios!B48</f>
        <v>Devil's advocate</v>
      </c>
      <c r="C78" s="142">
        <f>Scenarios!C50</f>
        <v>0.02</v>
      </c>
      <c r="D78" s="145">
        <f>Scenarios!C49</f>
        <v>30</v>
      </c>
      <c r="E78" s="135">
        <f>INDEX(B$65:F$71, MATCH(D78, A$65:A$71, 0), MATCH(C78, B$64:F$64, 0))</f>
        <v>49.648348023886626</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443</v>
      </c>
      <c r="C2" s="37"/>
      <c r="D2" s="37"/>
      <c r="E2" s="37"/>
      <c r="F2" s="37"/>
      <c r="H2" s="130" t="s">
        <v>59</v>
      </c>
    </row>
    <row r="3" spans="2:8" ht="13.15">
      <c r="B3" s="109" t="s">
        <v>442</v>
      </c>
      <c r="C3" s="107">
        <f>scaling_factor</f>
        <v>1</v>
      </c>
      <c r="E3" s="109" t="s">
        <v>124</v>
      </c>
      <c r="H3" s="120"/>
    </row>
    <row r="4" spans="2:8">
      <c r="B4" s="100" t="s">
        <v>440</v>
      </c>
      <c r="C4" s="114">
        <f>Normalized_FCF!C91</f>
        <v>2751477975.9494934</v>
      </c>
      <c r="D4" t="str">
        <f>Market_currency</f>
        <v>HKD</v>
      </c>
      <c r="E4" s="100" t="s">
        <v>250</v>
      </c>
      <c r="F4" s="134">
        <f>Thesis!E22</f>
        <v>0</v>
      </c>
      <c r="H4" s="120"/>
    </row>
    <row r="5" spans="2:8">
      <c r="B5" s="205" t="s">
        <v>123</v>
      </c>
      <c r="C5" s="206">
        <f>Equity_Cost</f>
        <v>7.4999999999999997E-2</v>
      </c>
      <c r="E5" s="148"/>
      <c r="H5" s="120"/>
    </row>
    <row r="6" spans="2:8" ht="13.35" customHeight="1">
      <c r="B6" s="149" t="s">
        <v>441</v>
      </c>
      <c r="C6" s="319">
        <f>(C4*(1+Terminal_Growth))/(Equity_Cost-Terminal_Growth)</f>
        <v>36686373012.659912</v>
      </c>
      <c r="D6" t="str">
        <f>Reporting_currency</f>
        <v>CNY</v>
      </c>
      <c r="E6" s="364"/>
      <c r="F6" s="364"/>
      <c r="H6" s="120"/>
    </row>
    <row r="7" spans="2:8" ht="13.15">
      <c r="B7" s="149" t="s">
        <v>444</v>
      </c>
      <c r="C7" s="111">
        <f>(C6*scaling_factor)/Common_Shares*Exchange_Rate</f>
        <v>29.333333333333332</v>
      </c>
      <c r="D7" t="str">
        <f>Market_currency</f>
        <v>HKD</v>
      </c>
      <c r="H7" s="120"/>
    </row>
    <row r="8" spans="2:8">
      <c r="H8" s="120"/>
    </row>
    <row r="9" spans="2:8" ht="13.9">
      <c r="B9" s="36" t="s">
        <v>229</v>
      </c>
      <c r="C9" s="37"/>
      <c r="D9" s="37"/>
      <c r="E9" s="37"/>
      <c r="F9" s="37"/>
      <c r="H9" s="120"/>
    </row>
    <row r="10" spans="2:8" ht="13.15">
      <c r="B10" s="119" t="s">
        <v>135</v>
      </c>
      <c r="H10" s="120"/>
    </row>
    <row r="11" spans="2:8" ht="13.35" customHeight="1">
      <c r="B11" s="152" t="s">
        <v>133</v>
      </c>
      <c r="C11" s="161">
        <f>Scenarios!C65</f>
        <v>6.1165848114484E-2</v>
      </c>
      <c r="H11" s="120"/>
    </row>
    <row r="12" spans="2:8" ht="13.35" customHeight="1">
      <c r="B12" s="118" t="s">
        <v>134</v>
      </c>
      <c r="C12" s="162">
        <f>Scenarios!C64</f>
        <v>30</v>
      </c>
      <c r="H12" s="120"/>
    </row>
    <row r="13" spans="2:8" ht="13.35" customHeight="1">
      <c r="B13" s="153" t="s">
        <v>106</v>
      </c>
      <c r="C13" s="140">
        <f>F47/Common_Shares*scaling_factor</f>
        <v>53.072864484572456</v>
      </c>
      <c r="D13" t="str">
        <f>Market_currency</f>
        <v>HKD</v>
      </c>
      <c r="H13" s="120"/>
    </row>
    <row r="14" spans="2:8">
      <c r="H14" s="120"/>
    </row>
    <row r="15" spans="2:8" ht="13.15">
      <c r="B15" s="128" t="s">
        <v>107</v>
      </c>
      <c r="C15" s="128" t="s">
        <v>446</v>
      </c>
      <c r="D15" s="128" t="s">
        <v>118</v>
      </c>
      <c r="E15" s="128" t="s">
        <v>109</v>
      </c>
      <c r="F15" s="129" t="s">
        <v>445</v>
      </c>
      <c r="H15" s="120"/>
    </row>
    <row r="16" spans="2:8">
      <c r="B16" s="122">
        <v>1</v>
      </c>
      <c r="C16" s="123">
        <f>C4*(1+D16)</f>
        <v>2919774459.9167676</v>
      </c>
      <c r="D16" s="138">
        <f>IF($C$12&lt;B16,0,DDM!$C$11)</f>
        <v>6.1165848114484E-2</v>
      </c>
      <c r="E16" s="124">
        <f t="shared" ref="E16:E45" si="0">IF($C$12&lt;B16,0,1/(1+Equity_Cost)^B16)</f>
        <v>0.93023255813953487</v>
      </c>
      <c r="F16" s="125">
        <f t="shared" ref="F16:F46" si="1">C16*E16</f>
        <v>2716069265.0388536</v>
      </c>
      <c r="H16" s="120"/>
    </row>
    <row r="17" spans="2:8">
      <c r="B17" s="122">
        <v>2</v>
      </c>
      <c r="C17" s="123">
        <f t="shared" ref="C17:C45" si="2">IF(ROW()-ROW($C$16)&lt;$C$12, $C$16*(1+D17)^(ROW()-ROW($C$16)), 0)</f>
        <v>3098364941.060586</v>
      </c>
      <c r="D17" s="138">
        <f>IF($C$12&lt;B17,0,DDM!$C$11)</f>
        <v>6.1165848114484E-2</v>
      </c>
      <c r="E17" s="124">
        <f t="shared" si="0"/>
        <v>0.86533261222282321</v>
      </c>
      <c r="F17" s="125">
        <f t="shared" si="1"/>
        <v>2681116228.0675707</v>
      </c>
      <c r="H17" s="120"/>
    </row>
    <row r="18" spans="2:8">
      <c r="B18" s="122">
        <v>3</v>
      </c>
      <c r="C18" s="123">
        <f t="shared" si="2"/>
        <v>3287879060.4487391</v>
      </c>
      <c r="D18" s="138">
        <f>IF($C$12&lt;B18,0,DDM!$C$11)</f>
        <v>6.1165848114484E-2</v>
      </c>
      <c r="E18" s="124">
        <f t="shared" si="0"/>
        <v>0.80496056950960304</v>
      </c>
      <c r="F18" s="125">
        <f t="shared" si="1"/>
        <v>2646613000.9775157</v>
      </c>
      <c r="H18" s="120"/>
    </row>
    <row r="19" spans="2:8">
      <c r="B19" s="122">
        <v>4</v>
      </c>
      <c r="C19" s="123">
        <f t="shared" si="2"/>
        <v>3488984971.6789389</v>
      </c>
      <c r="D19" s="138">
        <f>IF($C$12&lt;B19,0,DDM!$C$11)</f>
        <v>6.1165848114484E-2</v>
      </c>
      <c r="E19" s="124">
        <f t="shared" si="0"/>
        <v>0.7488005297763749</v>
      </c>
      <c r="F19" s="125">
        <f t="shared" si="1"/>
        <v>2612553795.1749997</v>
      </c>
      <c r="H19" s="120"/>
    </row>
    <row r="20" spans="2:8">
      <c r="B20" s="122">
        <v>5</v>
      </c>
      <c r="C20" s="123">
        <f t="shared" si="2"/>
        <v>3702391696.5303698</v>
      </c>
      <c r="D20" s="138">
        <f>IF($C$12&lt;B20,0,DDM!$C$11)</f>
        <v>6.1165848114484E-2</v>
      </c>
      <c r="E20" s="124">
        <f t="shared" si="0"/>
        <v>0.69655863235011617</v>
      </c>
      <c r="F20" s="125">
        <f t="shared" si="1"/>
        <v>2578932896.5596209</v>
      </c>
      <c r="H20" s="120"/>
    </row>
    <row r="21" spans="2:8">
      <c r="B21" s="122">
        <v>6</v>
      </c>
      <c r="C21" s="123">
        <f t="shared" si="2"/>
        <v>3928851624.7006726</v>
      </c>
      <c r="D21" s="138">
        <f>IF($C$12&lt;B21,0,DDM!$C$11)</f>
        <v>6.1165848114484E-2</v>
      </c>
      <c r="E21" s="124">
        <f t="shared" si="0"/>
        <v>0.64796151846522443</v>
      </c>
      <c r="F21" s="125">
        <f t="shared" si="1"/>
        <v>2545744664.5656118</v>
      </c>
      <c r="H21" s="120"/>
    </row>
    <row r="22" spans="2:8">
      <c r="B22" s="122">
        <v>7</v>
      </c>
      <c r="C22" s="123">
        <f t="shared" si="2"/>
        <v>4169163166.4414568</v>
      </c>
      <c r="D22" s="138">
        <f>IF($C$12&lt;B22,0,DDM!$C$11)</f>
        <v>6.1165848114484E-2</v>
      </c>
      <c r="E22" s="124">
        <f t="shared" si="0"/>
        <v>0.60275490089788319</v>
      </c>
      <c r="F22" s="125">
        <f t="shared" si="1"/>
        <v>2512983531.2155252</v>
      </c>
      <c r="H22" s="120"/>
    </row>
    <row r="23" spans="2:8">
      <c r="B23" s="122">
        <v>8</v>
      </c>
      <c r="C23" s="123">
        <f t="shared" si="2"/>
        <v>4424173567.4445152</v>
      </c>
      <c r="D23" s="138">
        <f>IF($C$12&lt;B23,0,DDM!$C$11)</f>
        <v>6.1165848114484E-2</v>
      </c>
      <c r="E23" s="124">
        <f t="shared" si="0"/>
        <v>0.56070223339337966</v>
      </c>
      <c r="F23" s="125">
        <f t="shared" si="1"/>
        <v>2480644000.1860957</v>
      </c>
      <c r="H23" s="120"/>
    </row>
    <row r="24" spans="2:8">
      <c r="B24" s="122">
        <v>9</v>
      </c>
      <c r="C24" s="123">
        <f t="shared" si="2"/>
        <v>4694781895.9029417</v>
      </c>
      <c r="D24" s="138">
        <f>IF($C$12&lt;B24,0,DDM!$C$11)</f>
        <v>6.1165848114484E-2</v>
      </c>
      <c r="E24" s="124">
        <f t="shared" si="0"/>
        <v>0.52158347292407414</v>
      </c>
      <c r="F24" s="125">
        <f t="shared" si="1"/>
        <v>2448720645.8861256</v>
      </c>
      <c r="H24" s="120"/>
    </row>
    <row r="25" spans="2:8">
      <c r="B25" s="122">
        <v>10</v>
      </c>
      <c r="C25" s="123">
        <f t="shared" si="2"/>
        <v>4981942212.2783699</v>
      </c>
      <c r="D25" s="138">
        <f>IF($C$12&lt;B25,0,DDM!$C$11)</f>
        <v>6.1165848114484E-2</v>
      </c>
      <c r="E25" s="124">
        <f t="shared" si="0"/>
        <v>0.48519392830146441</v>
      </c>
      <c r="F25" s="125">
        <f t="shared" si="1"/>
        <v>2417208112.5462303</v>
      </c>
      <c r="H25" s="120"/>
    </row>
    <row r="26" spans="2:8">
      <c r="B26" s="122">
        <v>11</v>
      </c>
      <c r="C26" s="123">
        <f t="shared" si="2"/>
        <v>5286666932.9497232</v>
      </c>
      <c r="D26" s="138">
        <f>IF($C$12&lt;B26,0,DDM!$C$11)</f>
        <v>6.1165848114484E-2</v>
      </c>
      <c r="E26" s="124">
        <f t="shared" si="0"/>
        <v>0.45134318911764126</v>
      </c>
      <c r="F26" s="125">
        <f t="shared" si="1"/>
        <v>2386101113.3203073</v>
      </c>
      <c r="H26" s="120"/>
    </row>
    <row r="27" spans="2:8">
      <c r="B27" s="122">
        <v>12</v>
      </c>
      <c r="C27" s="123">
        <f t="shared" si="2"/>
        <v>5610030399.6023912</v>
      </c>
      <c r="D27" s="138">
        <f>IF($C$12&lt;B27,0,DDM!$C$11)</f>
        <v>6.1165848114484E-2</v>
      </c>
      <c r="E27" s="124">
        <f t="shared" si="0"/>
        <v>0.41985412941175931</v>
      </c>
      <c r="F27" s="125">
        <f t="shared" si="1"/>
        <v>2355394429.3985662</v>
      </c>
      <c r="H27" s="120"/>
    </row>
    <row r="28" spans="2:8">
      <c r="B28" s="122">
        <v>13</v>
      </c>
      <c r="C28" s="123">
        <f t="shared" si="2"/>
        <v>5953172666.9421082</v>
      </c>
      <c r="D28" s="138">
        <f>IF($C$12&lt;B28,0,DDM!$C$11)</f>
        <v>6.1165848114484E-2</v>
      </c>
      <c r="E28" s="124">
        <f t="shared" si="0"/>
        <v>0.39056198084814819</v>
      </c>
      <c r="F28" s="125">
        <f t="shared" si="1"/>
        <v>2325082909.1319628</v>
      </c>
      <c r="H28" s="120"/>
    </row>
    <row r="29" spans="2:8">
      <c r="B29" s="122">
        <v>14</v>
      </c>
      <c r="C29" s="123">
        <f t="shared" si="2"/>
        <v>6317303522.0875864</v>
      </c>
      <c r="D29" s="138">
        <f>IF($C$12&lt;B29,0,DDM!$C$11)</f>
        <v>6.1165848114484E-2</v>
      </c>
      <c r="E29" s="124">
        <f t="shared" si="0"/>
        <v>0.36331347055641694</v>
      </c>
      <c r="F29" s="125">
        <f t="shared" si="1"/>
        <v>2295161467.1679173</v>
      </c>
      <c r="H29" s="120"/>
    </row>
    <row r="30" spans="2:8">
      <c r="B30" s="122">
        <v>15</v>
      </c>
      <c r="C30" s="123">
        <f t="shared" si="2"/>
        <v>6703706749.8126888</v>
      </c>
      <c r="D30" s="138">
        <f>IF($C$12&lt;B30,0,DDM!$C$11)</f>
        <v>6.1165848114484E-2</v>
      </c>
      <c r="E30" s="124">
        <f t="shared" si="0"/>
        <v>0.33796601912224833</v>
      </c>
      <c r="F30" s="125">
        <f t="shared" si="1"/>
        <v>2265625083.5971403</v>
      </c>
      <c r="H30" s="120"/>
    </row>
    <row r="31" spans="2:8">
      <c r="B31" s="122">
        <v>16</v>
      </c>
      <c r="C31" s="123">
        <f t="shared" si="2"/>
        <v>7113744658.6757717</v>
      </c>
      <c r="D31" s="138">
        <f>IF($C$12&lt;B31,0,DDM!$C$11)</f>
        <v>6.1165848114484E-2</v>
      </c>
      <c r="E31" s="124">
        <f t="shared" si="0"/>
        <v>0.31438699453232405</v>
      </c>
      <c r="F31" s="125">
        <f t="shared" si="1"/>
        <v>2236468803.1114492</v>
      </c>
      <c r="H31" s="120"/>
    </row>
    <row r="32" spans="2:8">
      <c r="B32" s="122">
        <v>17</v>
      </c>
      <c r="C32" s="123">
        <f t="shared" si="2"/>
        <v>7548862883.993556</v>
      </c>
      <c r="D32" s="138">
        <f>IF($C$12&lt;B32,0,DDM!$C$11)</f>
        <v>6.1165848114484E-2</v>
      </c>
      <c r="E32" s="124">
        <f t="shared" si="0"/>
        <v>0.29245301816960378</v>
      </c>
      <c r="F32" s="125">
        <f t="shared" si="1"/>
        <v>2207687734.1724153</v>
      </c>
      <c r="H32" s="120"/>
    </row>
    <row r="33" spans="2:8">
      <c r="B33" s="122">
        <v>18</v>
      </c>
      <c r="C33" s="123">
        <f t="shared" si="2"/>
        <v>8010595484.5929708</v>
      </c>
      <c r="D33" s="138">
        <f>IF($C$12&lt;B33,0,DDM!$C$11)</f>
        <v>6.1165848114484E-2</v>
      </c>
      <c r="E33" s="124">
        <f t="shared" si="0"/>
        <v>0.27204931922753844</v>
      </c>
      <c r="F33" s="125">
        <f t="shared" si="1"/>
        <v>2179277048.190711</v>
      </c>
      <c r="H33" s="120"/>
    </row>
    <row r="34" spans="2:8">
      <c r="B34" s="122">
        <v>19</v>
      </c>
      <c r="C34" s="123">
        <f t="shared" si="2"/>
        <v>8500570351.310154</v>
      </c>
      <c r="D34" s="138">
        <f>IF($C$12&lt;B34,0,DDM!$C$11)</f>
        <v>6.1165848114484E-2</v>
      </c>
      <c r="E34" s="124">
        <f t="shared" si="0"/>
        <v>0.25306913416515198</v>
      </c>
      <c r="F34" s="125">
        <f t="shared" si="1"/>
        <v>2151231978.7160225</v>
      </c>
      <c r="H34" s="120"/>
    </row>
    <row r="35" spans="2:8">
      <c r="B35" s="122">
        <v>20</v>
      </c>
      <c r="C35" s="123">
        <f t="shared" si="2"/>
        <v>9020514946.3048763</v>
      </c>
      <c r="D35" s="138">
        <f>IF($C$12&lt;B35,0,DDM!$C$11)</f>
        <v>6.1165848114484E-2</v>
      </c>
      <c r="E35" s="124">
        <f t="shared" si="0"/>
        <v>0.23541314806060654</v>
      </c>
      <c r="F35" s="125">
        <f t="shared" si="1"/>
        <v>2123547820.6373842</v>
      </c>
      <c r="H35" s="120"/>
    </row>
    <row r="36" spans="2:8">
      <c r="B36" s="122">
        <v>21</v>
      </c>
      <c r="C36" s="123">
        <f t="shared" si="2"/>
        <v>9572262393.4249916</v>
      </c>
      <c r="D36" s="138">
        <f>IF($C$12&lt;B36,0,DDM!$C$11)</f>
        <v>6.1165848114484E-2</v>
      </c>
      <c r="E36" s="124">
        <f t="shared" si="0"/>
        <v>0.21898897494009908</v>
      </c>
      <c r="F36" s="125">
        <f t="shared" si="1"/>
        <v>2096219929.3937984</v>
      </c>
      <c r="H36" s="120"/>
    </row>
    <row r="37" spans="2:8">
      <c r="B37" s="122">
        <v>22</v>
      </c>
      <c r="C37" s="123">
        <f t="shared" si="2"/>
        <v>10157757941.09321</v>
      </c>
      <c r="D37" s="138">
        <f>IF($C$12&lt;B37,0,DDM!$C$11)</f>
        <v>6.1165848114484E-2</v>
      </c>
      <c r="E37" s="124">
        <f t="shared" si="0"/>
        <v>0.20371067436288287</v>
      </c>
      <c r="F37" s="125">
        <f t="shared" si="1"/>
        <v>2069243720.1950264</v>
      </c>
      <c r="H37" s="120"/>
    </row>
    <row r="38" spans="2:8">
      <c r="B38" s="122">
        <v>23</v>
      </c>
      <c r="C38" s="123">
        <f t="shared" si="2"/>
        <v>10779065820.50181</v>
      </c>
      <c r="D38" s="138">
        <f>IF($C$12&lt;B38,0,DDM!$C$11)</f>
        <v>6.1165848114484E-2</v>
      </c>
      <c r="E38" s="124">
        <f t="shared" si="0"/>
        <v>0.18949830173291429</v>
      </c>
      <c r="F38" s="125">
        <f t="shared" si="1"/>
        <v>2042614667.2523954</v>
      </c>
      <c r="H38" s="120"/>
    </row>
    <row r="39" spans="2:8">
      <c r="B39" s="122">
        <v>24</v>
      </c>
      <c r="C39" s="123">
        <f t="shared" si="2"/>
        <v>11438376523.294647</v>
      </c>
      <c r="D39" s="138">
        <f>IF($C$12&lt;B39,0,DDM!$C$11)</f>
        <v>6.1165848114484E-2</v>
      </c>
      <c r="E39" s="124">
        <f t="shared" si="0"/>
        <v>0.17627748998410636</v>
      </c>
      <c r="F39" s="125">
        <f t="shared" si="1"/>
        <v>2016328303.0195096</v>
      </c>
      <c r="H39" s="120"/>
    </row>
    <row r="40" spans="2:8">
      <c r="B40" s="122">
        <v>25</v>
      </c>
      <c r="C40" s="123">
        <f t="shared" si="2"/>
        <v>12138014524.394768</v>
      </c>
      <c r="D40" s="138">
        <f>IF($C$12&lt;B40,0,DDM!$C$11)</f>
        <v>6.1165848114484E-2</v>
      </c>
      <c r="E40" s="124">
        <f t="shared" si="0"/>
        <v>0.16397906045033148</v>
      </c>
      <c r="F40" s="125">
        <f t="shared" si="1"/>
        <v>1990380217.4427311</v>
      </c>
      <c r="H40" s="120"/>
    </row>
    <row r="41" spans="2:8">
      <c r="B41" s="122">
        <v>26</v>
      </c>
      <c r="C41" s="123">
        <f t="shared" si="2"/>
        <v>12880446477.205297</v>
      </c>
      <c r="D41" s="138">
        <f>IF($C$12&lt;B41,0,DDM!$C$11)</f>
        <v>6.1165848114484E-2</v>
      </c>
      <c r="E41" s="124">
        <f t="shared" si="0"/>
        <v>0.15253866088402931</v>
      </c>
      <c r="F41" s="125">
        <f t="shared" si="1"/>
        <v>1964766057.2213089</v>
      </c>
      <c r="H41" s="120"/>
    </row>
    <row r="42" spans="2:8">
      <c r="B42" s="122">
        <v>27</v>
      </c>
      <c r="C42" s="123">
        <f t="shared" si="2"/>
        <v>13668289910.076775</v>
      </c>
      <c r="D42" s="138">
        <f>IF($C$12&lt;B42,0,DDM!$C$11)</f>
        <v>6.1165848114484E-2</v>
      </c>
      <c r="E42" s="124">
        <f t="shared" si="0"/>
        <v>0.14189642872932959</v>
      </c>
      <c r="F42" s="125">
        <f t="shared" si="1"/>
        <v>1939481525.0770237</v>
      </c>
      <c r="H42" s="120"/>
    </row>
    <row r="43" spans="2:8">
      <c r="B43" s="122">
        <v>28</v>
      </c>
      <c r="C43" s="123">
        <f t="shared" si="2"/>
        <v>14504322454.701262</v>
      </c>
      <c r="D43" s="138">
        <f>IF($C$12&lt;B43,0,DDM!$C$11)</f>
        <v>6.1165848114484E-2</v>
      </c>
      <c r="E43" s="124">
        <f t="shared" si="0"/>
        <v>0.13199667788774846</v>
      </c>
      <c r="F43" s="125">
        <f t="shared" si="1"/>
        <v>1914522379.0332396</v>
      </c>
      <c r="H43" s="120"/>
    </row>
    <row r="44" spans="2:8">
      <c r="B44" s="122">
        <v>29</v>
      </c>
      <c r="C44" s="123">
        <f t="shared" si="2"/>
        <v>15391491638.969019</v>
      </c>
      <c r="D44" s="138">
        <f>IF($C$12&lt;B44,0,DDM!$C$11)</f>
        <v>6.1165848114484E-2</v>
      </c>
      <c r="E44" s="124">
        <f t="shared" si="0"/>
        <v>0.1227876073374404</v>
      </c>
      <c r="F44" s="125">
        <f t="shared" si="1"/>
        <v>1889884431.7032249</v>
      </c>
      <c r="H44" s="120"/>
    </row>
    <row r="45" spans="2:8">
      <c r="B45" s="122">
        <v>30</v>
      </c>
      <c r="C45" s="123">
        <f t="shared" si="2"/>
        <v>16332925278.813547</v>
      </c>
      <c r="D45" s="138">
        <f>IF($C$12&lt;B45,0,DDM!$C$11)</f>
        <v>6.1165848114484E-2</v>
      </c>
      <c r="E45" s="124">
        <f t="shared" si="0"/>
        <v>0.11422103008133992</v>
      </c>
      <c r="F45" s="125">
        <f t="shared" si="1"/>
        <v>1865563549.5876393</v>
      </c>
      <c r="H45" s="120"/>
    </row>
    <row r="46" spans="2:8">
      <c r="B46" s="126" t="s">
        <v>131</v>
      </c>
      <c r="C46" s="123">
        <f>C$16*(1+F4)^$C$12/Equity_Cost</f>
        <v>38930326132.223572</v>
      </c>
      <c r="D46" s="139">
        <f>Terminal_Growth</f>
        <v>0</v>
      </c>
      <c r="E46" s="124">
        <f>1/(1+Equity_Cost)^C12</f>
        <v>0.11422103008133992</v>
      </c>
      <c r="F46" s="125">
        <f t="shared" si="1"/>
        <v>4446661952.2250824</v>
      </c>
      <c r="H46" s="120"/>
    </row>
    <row r="47" spans="2:8">
      <c r="C47" s="114"/>
      <c r="E47" s="127" t="s">
        <v>100</v>
      </c>
      <c r="F47" s="137">
        <f>SUM(F16:F46)</f>
        <v>72401831259.813019</v>
      </c>
      <c r="H47" s="120"/>
    </row>
    <row r="48" spans="2:8">
      <c r="C48" s="114"/>
      <c r="H48" s="120"/>
    </row>
    <row r="49" spans="1:8" ht="13.15">
      <c r="B49" s="119" t="s">
        <v>129</v>
      </c>
      <c r="C49" s="136"/>
      <c r="D49" s="136"/>
      <c r="E49" s="117"/>
      <c r="F49" s="117"/>
      <c r="H49" s="120"/>
    </row>
    <row r="50" spans="1:8" ht="13.15">
      <c r="A50" s="133">
        <f>F47</f>
        <v>72401831259.813019</v>
      </c>
      <c r="B50" s="131">
        <f>C73</f>
        <v>0.02</v>
      </c>
      <c r="C50" s="131">
        <f>C72</f>
        <v>0.04</v>
      </c>
      <c r="D50" s="131">
        <f>C71</f>
        <v>0.06</v>
      </c>
      <c r="E50" s="131">
        <f>C70</f>
        <v>0.08</v>
      </c>
      <c r="F50" s="131">
        <f>C69</f>
        <v>0.1</v>
      </c>
      <c r="H50" s="120"/>
    </row>
    <row r="51" spans="1:8" ht="13.15">
      <c r="A51" s="143">
        <v>5</v>
      </c>
      <c r="B51" s="123">
        <f t="dataTable" ref="B51:F56" dt2D="1" dtr="1" r1="C11" r2="C12"/>
        <v>37849716365.706055</v>
      </c>
      <c r="C51" s="123">
        <v>39046950181.043488</v>
      </c>
      <c r="D51" s="123">
        <v>40279564285.714478</v>
      </c>
      <c r="E51" s="123">
        <v>41549094688.329239</v>
      </c>
      <c r="F51" s="123">
        <v>42857124315.027222</v>
      </c>
      <c r="H51" s="120"/>
    </row>
    <row r="52" spans="1:8" ht="13.15">
      <c r="A52" s="143">
        <v>10</v>
      </c>
      <c r="B52" s="123">
        <v>39003320577.363037</v>
      </c>
      <c r="C52" s="123">
        <v>41551014284.322311</v>
      </c>
      <c r="D52" s="123">
        <v>44357159431.993462</v>
      </c>
      <c r="E52" s="123">
        <v>47452565442.506821</v>
      </c>
      <c r="F52" s="123">
        <v>50871453683.786278</v>
      </c>
      <c r="H52" s="120"/>
    </row>
    <row r="53" spans="1:8" ht="13.15">
      <c r="A53" s="143">
        <v>15</v>
      </c>
      <c r="B53" s="123">
        <v>40463918603.756409</v>
      </c>
      <c r="C53" s="123">
        <v>44890139844.468452</v>
      </c>
      <c r="D53" s="123">
        <v>50094554481.164818</v>
      </c>
      <c r="E53" s="123">
        <v>56232368273.335236</v>
      </c>
      <c r="F53" s="123">
        <v>63489319943.098312</v>
      </c>
      <c r="H53" s="120"/>
    </row>
    <row r="54" spans="1:8" ht="13.15">
      <c r="A54" s="144">
        <v>20</v>
      </c>
      <c r="B54" s="123">
        <v>41986615875.256363</v>
      </c>
      <c r="C54" s="123">
        <v>48567664995.173439</v>
      </c>
      <c r="D54" s="123">
        <v>56791535971.725662</v>
      </c>
      <c r="E54" s="123">
        <v>67125270439.50222</v>
      </c>
      <c r="F54" s="123">
        <v>80170836245.685608</v>
      </c>
      <c r="H54" s="120"/>
    </row>
    <row r="55" spans="1:8" ht="13.15">
      <c r="A55" s="144">
        <v>25</v>
      </c>
      <c r="B55" s="123">
        <v>43435872241.698204</v>
      </c>
      <c r="C55" s="123">
        <v>52274741529.860397</v>
      </c>
      <c r="D55" s="123">
        <v>63973700364.203255</v>
      </c>
      <c r="E55" s="123">
        <v>79602207432.191803</v>
      </c>
      <c r="F55" s="123">
        <v>100644336928.8353</v>
      </c>
      <c r="H55" s="120"/>
    </row>
    <row r="56" spans="1:8" ht="13.15">
      <c r="A56" s="144">
        <v>30</v>
      </c>
      <c r="B56" s="123">
        <v>44744226318.917183</v>
      </c>
      <c r="C56" s="123">
        <v>55827684707.444435</v>
      </c>
      <c r="D56" s="123">
        <v>71323029143.365677</v>
      </c>
      <c r="E56" s="123">
        <v>93297287015.688416</v>
      </c>
      <c r="F56" s="123">
        <v>124837705216.68513</v>
      </c>
      <c r="H56" s="120"/>
    </row>
    <row r="57" spans="1:8">
      <c r="C57" s="114"/>
      <c r="D57" s="114"/>
      <c r="E57" s="114"/>
      <c r="F57" s="114"/>
      <c r="H57" s="120"/>
    </row>
    <row r="58" spans="1:8" ht="13.15">
      <c r="B58" s="119" t="s">
        <v>130</v>
      </c>
      <c r="C58" s="114"/>
      <c r="D58" s="114"/>
      <c r="E58" s="114"/>
      <c r="F58" s="114"/>
      <c r="H58" s="120"/>
    </row>
    <row r="59" spans="1:8" ht="13.15">
      <c r="B59" s="132">
        <f>B50</f>
        <v>0.02</v>
      </c>
      <c r="C59" s="132">
        <f>C50</f>
        <v>0.04</v>
      </c>
      <c r="D59" s="132">
        <f>D50</f>
        <v>0.06</v>
      </c>
      <c r="E59" s="132">
        <f>E50</f>
        <v>0.08</v>
      </c>
      <c r="F59" s="132">
        <f>F50</f>
        <v>0.1</v>
      </c>
      <c r="H59" s="120"/>
    </row>
    <row r="60" spans="1:8" ht="13.15">
      <c r="A60" s="143">
        <v>0</v>
      </c>
      <c r="B60" s="124">
        <f>C7</f>
        <v>29.333333333333332</v>
      </c>
      <c r="C60" s="124">
        <f>C7</f>
        <v>29.333333333333332</v>
      </c>
      <c r="D60" s="124">
        <f>C7</f>
        <v>29.333333333333332</v>
      </c>
      <c r="E60" s="141">
        <f>C7</f>
        <v>29.333333333333332</v>
      </c>
      <c r="F60" s="124">
        <f>C7</f>
        <v>29.333333333333332</v>
      </c>
      <c r="H60" s="120"/>
    </row>
    <row r="61" spans="1:8" ht="13.15">
      <c r="A61" s="143">
        <f t="shared" ref="A61:A66" si="3">A51</f>
        <v>5</v>
      </c>
      <c r="B61" s="124">
        <f t="shared" ref="B61:F66" si="4">B51/Common_Shares*$C$3*Exchange_Rate</f>
        <v>30.263508097250288</v>
      </c>
      <c r="C61" s="124">
        <f t="shared" si="4"/>
        <v>31.220780667398127</v>
      </c>
      <c r="D61" s="124">
        <f t="shared" si="4"/>
        <v>32.206342265193726</v>
      </c>
      <c r="E61" s="124">
        <f t="shared" si="4"/>
        <v>33.221421037462896</v>
      </c>
      <c r="F61" s="124">
        <f t="shared" si="4"/>
        <v>34.267282644893186</v>
      </c>
      <c r="H61" s="120"/>
    </row>
    <row r="62" spans="1:8" ht="13.15">
      <c r="A62" s="143">
        <f t="shared" si="3"/>
        <v>10</v>
      </c>
      <c r="B62" s="124">
        <f t="shared" si="4"/>
        <v>31.185895733215123</v>
      </c>
      <c r="C62" s="124">
        <f t="shared" si="4"/>
        <v>33.22295588935765</v>
      </c>
      <c r="D62" s="124">
        <f t="shared" si="4"/>
        <v>35.466666134847131</v>
      </c>
      <c r="E62" s="124">
        <f t="shared" si="4"/>
        <v>37.941660767787774</v>
      </c>
      <c r="F62" s="124">
        <f t="shared" si="4"/>
        <v>40.675302176717913</v>
      </c>
      <c r="H62" s="120"/>
    </row>
    <row r="63" spans="1:8" ht="13.15">
      <c r="A63" s="143">
        <f t="shared" si="3"/>
        <v>15</v>
      </c>
      <c r="B63" s="124">
        <f t="shared" si="4"/>
        <v>32.353746497841556</v>
      </c>
      <c r="C63" s="124">
        <f t="shared" si="4"/>
        <v>35.89282142945396</v>
      </c>
      <c r="D63" s="124">
        <f t="shared" si="4"/>
        <v>40.054116668163218</v>
      </c>
      <c r="E63" s="124">
        <f t="shared" si="4"/>
        <v>44.961730125659706</v>
      </c>
      <c r="F63" s="124">
        <f t="shared" si="4"/>
        <v>50.764172962938602</v>
      </c>
      <c r="H63" s="120"/>
    </row>
    <row r="64" spans="1:8" ht="13.15">
      <c r="A64" s="144">
        <f t="shared" si="3"/>
        <v>20</v>
      </c>
      <c r="B64" s="124">
        <f t="shared" si="4"/>
        <v>33.571249972912582</v>
      </c>
      <c r="C64" s="124">
        <f t="shared" si="4"/>
        <v>38.833261223001308</v>
      </c>
      <c r="D64" s="124">
        <f t="shared" si="4"/>
        <v>45.408823995649492</v>
      </c>
      <c r="E64" s="124">
        <f t="shared" si="4"/>
        <v>53.671370898741891</v>
      </c>
      <c r="F64" s="124">
        <f t="shared" si="4"/>
        <v>64.10221752897867</v>
      </c>
      <c r="H64" s="120"/>
    </row>
    <row r="65" spans="1:8" ht="13.15">
      <c r="A65" s="144">
        <f t="shared" si="3"/>
        <v>25</v>
      </c>
      <c r="B65" s="124">
        <f t="shared" si="4"/>
        <v>34.730032283380396</v>
      </c>
      <c r="C65" s="124">
        <f t="shared" si="4"/>
        <v>41.79732942474547</v>
      </c>
      <c r="D65" s="124">
        <f t="shared" si="4"/>
        <v>51.151469149114007</v>
      </c>
      <c r="E65" s="124">
        <f t="shared" si="4"/>
        <v>63.647558832590342</v>
      </c>
      <c r="F65" s="124">
        <f t="shared" si="4"/>
        <v>80.472220086380972</v>
      </c>
    </row>
    <row r="66" spans="1:8" ht="13.15">
      <c r="A66" s="144">
        <f t="shared" si="3"/>
        <v>30</v>
      </c>
      <c r="B66" s="124">
        <f t="shared" si="4"/>
        <v>35.776153311802751</v>
      </c>
      <c r="C66" s="124">
        <f t="shared" si="4"/>
        <v>44.638157175869864</v>
      </c>
      <c r="D66" s="124">
        <f t="shared" si="4"/>
        <v>57.027773977095706</v>
      </c>
      <c r="E66" s="124">
        <f t="shared" si="4"/>
        <v>74.597737371924438</v>
      </c>
      <c r="F66" s="124">
        <f t="shared" si="4"/>
        <v>99.816518204886663</v>
      </c>
    </row>
    <row r="68" spans="1:8" ht="13.15">
      <c r="B68" s="171" t="s">
        <v>117</v>
      </c>
      <c r="C68" s="171" t="s">
        <v>132</v>
      </c>
      <c r="D68" s="171" t="s">
        <v>112</v>
      </c>
      <c r="E68" s="172" t="s">
        <v>113</v>
      </c>
      <c r="F68" s="172" t="s">
        <v>119</v>
      </c>
    </row>
    <row r="69" spans="1:8">
      <c r="B69" s="127" t="str">
        <f>Scenarios!B54</f>
        <v>Snowball Scenario</v>
      </c>
      <c r="C69" s="142">
        <f>Scenarios!C56</f>
        <v>0.1</v>
      </c>
      <c r="D69" s="145">
        <f>Scenarios!C55</f>
        <v>30</v>
      </c>
      <c r="E69" s="135">
        <f>INDEX(B$60:F$66, MATCH(D69, A$60:A$66, 0), MATCH(C69, B$59:F$59, 0))</f>
        <v>99.816518204886663</v>
      </c>
      <c r="F69" s="142">
        <f>Scenarios!C58</f>
        <v>0.05</v>
      </c>
    </row>
    <row r="70" spans="1:8">
      <c r="B70" s="127" t="str">
        <f>Scenarios!B36</f>
        <v>Optimistic</v>
      </c>
      <c r="C70" s="142">
        <f>Scenarios!C38</f>
        <v>0.08</v>
      </c>
      <c r="D70" s="145">
        <f>Scenarios!C37</f>
        <v>30</v>
      </c>
      <c r="E70" s="135">
        <f>INDEX(B$60:F$66, MATCH(D70, A$60:A$66, 0), MATCH(C70, B$59:F$59, 0))</f>
        <v>74.597737371924438</v>
      </c>
      <c r="F70" s="142">
        <f>Scenarios!C40*(1-F$69-F$73)</f>
        <v>0.18</v>
      </c>
      <c r="H70" s="120"/>
    </row>
    <row r="71" spans="1:8">
      <c r="B71" s="127" t="str">
        <f>Scenarios!B24</f>
        <v>Base</v>
      </c>
      <c r="C71" s="142">
        <f>Scenarios!C26</f>
        <v>0.06</v>
      </c>
      <c r="D71" s="145">
        <f>Scenarios!C25</f>
        <v>30</v>
      </c>
      <c r="E71" s="135">
        <f>INDEX(B$60:F$66, MATCH(D71, A$60:A$66, 0), MATCH(C71, B$59:F$59, 0))</f>
        <v>57.027773977095706</v>
      </c>
      <c r="F71" s="142">
        <f>Scenarios!C28*(1-F$69-F$73)</f>
        <v>0.44999999999999996</v>
      </c>
      <c r="H71" s="120"/>
    </row>
    <row r="72" spans="1:8">
      <c r="B72" s="127" t="str">
        <f>Scenarios!B30</f>
        <v>Pessimistic</v>
      </c>
      <c r="C72" s="142">
        <f>Scenarios!C32</f>
        <v>0.04</v>
      </c>
      <c r="D72" s="145">
        <f>Scenarios!C31</f>
        <v>30</v>
      </c>
      <c r="E72" s="135">
        <f>INDEX(B$60:F$66, MATCH(D72, A$60:A$66, 0), MATCH(C72, B$59:F$59, 0))</f>
        <v>44.638157175869864</v>
      </c>
      <c r="F72" s="142">
        <f>Scenarios!C34*(1-F$69-F$73)</f>
        <v>0.26999999999999996</v>
      </c>
      <c r="H72" s="120"/>
    </row>
    <row r="73" spans="1:8">
      <c r="B73" s="127" t="str">
        <f>Scenarios!B48</f>
        <v>Devil's advocate</v>
      </c>
      <c r="C73" s="142">
        <f>Scenarios!C50</f>
        <v>0.02</v>
      </c>
      <c r="D73" s="145">
        <f>Scenarios!C49</f>
        <v>30</v>
      </c>
      <c r="E73" s="135">
        <f>INDEX(B$60:F$66, MATCH(D73, A$60:A$66, 0), MATCH(C73, B$59:F$59, 0))</f>
        <v>35.776153311802751</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145</v>
      </c>
      <c r="C2" s="37"/>
      <c r="D2" s="37"/>
      <c r="E2" s="37"/>
      <c r="F2" s="37"/>
      <c r="H2" s="248" t="s">
        <v>295</v>
      </c>
      <c r="I2" s="249"/>
    </row>
    <row r="3" spans="2:9" ht="13.15">
      <c r="B3" s="159" t="s">
        <v>148</v>
      </c>
      <c r="H3" s="247">
        <v>0</v>
      </c>
      <c r="I3" s="124">
        <f>-Market_Price</f>
        <v>-53.1</v>
      </c>
    </row>
    <row r="4" spans="2:9">
      <c r="B4" s="152" t="s">
        <v>146</v>
      </c>
      <c r="C4" s="120">
        <v>3</v>
      </c>
      <c r="D4" s="120"/>
      <c r="E4" s="155" t="s">
        <v>150</v>
      </c>
      <c r="F4" s="155"/>
      <c r="H4" s="247">
        <v>1</v>
      </c>
      <c r="I4" s="124">
        <f t="shared" ref="I4:I13" si="0">IF(ROW()-3 &lt; $C$76, $C$77, IF(ROW()-3 = $C$76, $C$77 + $C$60, ""))</f>
        <v>2.0169216055576094</v>
      </c>
    </row>
    <row r="5" spans="2:9">
      <c r="H5" s="247">
        <v>2</v>
      </c>
      <c r="I5" s="124">
        <f t="shared" si="0"/>
        <v>2.0169216055576094</v>
      </c>
    </row>
    <row r="6" spans="2:9" ht="13.15">
      <c r="B6" s="159" t="s">
        <v>95</v>
      </c>
      <c r="C6" s="107">
        <f>DCF!C3</f>
        <v>1</v>
      </c>
      <c r="E6" s="100" t="s">
        <v>279</v>
      </c>
      <c r="F6" s="100"/>
      <c r="H6" s="247">
        <v>3</v>
      </c>
      <c r="I6" s="124">
        <f t="shared" si="0"/>
        <v>74.832479451011054</v>
      </c>
    </row>
    <row r="7" spans="2:9" ht="12.75" customHeight="1">
      <c r="B7" s="100" t="s">
        <v>275</v>
      </c>
      <c r="C7" s="338">
        <f>Normalized_FCF!G8</f>
        <v>4487792577</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青島啤酒股份(0168.HK). Each scenario should include the Compound Growth Rate, the Probability Assessment, and the Business Narrative.</v>
      </c>
      <c r="F7" s="366"/>
      <c r="H7" s="247">
        <v>4</v>
      </c>
      <c r="I7" s="124" t="str">
        <f t="shared" si="0"/>
        <v/>
      </c>
    </row>
    <row r="8" spans="2:9">
      <c r="B8" s="100" t="s">
        <v>66</v>
      </c>
      <c r="C8" s="338">
        <f>Normalized_FCF!G19</f>
        <v>3154830020.3815212</v>
      </c>
      <c r="D8" t="str">
        <f>Reporting_currency</f>
        <v>CNY</v>
      </c>
      <c r="E8" s="366"/>
      <c r="F8" s="366"/>
      <c r="H8" s="247">
        <v>5</v>
      </c>
      <c r="I8" s="124" t="str">
        <f t="shared" si="0"/>
        <v/>
      </c>
    </row>
    <row r="9" spans="2:9">
      <c r="B9" s="100" t="s">
        <v>57</v>
      </c>
      <c r="C9" s="338">
        <f>Normalized_FCF!C19</f>
        <v>2878372215.0452805</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2.1321347914251776E-2</v>
      </c>
      <c r="D12" s="158"/>
      <c r="E12" s="366"/>
      <c r="F12" s="366"/>
      <c r="H12" s="247">
        <v>9</v>
      </c>
      <c r="I12" s="124" t="str">
        <f t="shared" si="0"/>
        <v/>
      </c>
    </row>
    <row r="13" spans="2:9">
      <c r="B13" s="148" t="s">
        <v>152</v>
      </c>
      <c r="C13" s="158">
        <f ca="1">(Normalized_FCF!G8/OFFSET(Normalized_FCF!G8, 0, $C$4))^(1/$C$4) - 1</f>
        <v>0.15185942572632172</v>
      </c>
      <c r="E13" s="366"/>
      <c r="F13" s="366"/>
      <c r="H13" s="247">
        <v>10</v>
      </c>
      <c r="I13" s="124" t="str">
        <f t="shared" si="0"/>
        <v/>
      </c>
    </row>
    <row r="14" spans="2:9">
      <c r="B14" s="100" t="s">
        <v>66</v>
      </c>
      <c r="C14" s="158">
        <f ca="1">(Normalized_FCF!G19/OFFSET(Normalized_FCF!G19, 0, $C$4))^(1/$C$4) - 1</f>
        <v>0.22851092317296295</v>
      </c>
      <c r="E14" s="366"/>
      <c r="F14" s="366"/>
    </row>
    <row r="16" spans="2:9" ht="13.9">
      <c r="B16" s="36" t="s">
        <v>162</v>
      </c>
      <c r="C16" s="37"/>
      <c r="D16" s="37"/>
      <c r="E16" s="37"/>
      <c r="F16" s="37"/>
    </row>
    <row r="17" spans="2:6" ht="13.15">
      <c r="B17" s="109" t="s">
        <v>151</v>
      </c>
      <c r="E17" s="159" t="s">
        <v>329</v>
      </c>
    </row>
    <row r="18" spans="2:6">
      <c r="B18" s="152" t="s">
        <v>133</v>
      </c>
      <c r="C18" s="150">
        <v>30</v>
      </c>
      <c r="E18" s="366" t="s">
        <v>330</v>
      </c>
      <c r="F18" s="367"/>
    </row>
    <row r="19" spans="2:6">
      <c r="E19" s="367"/>
      <c r="F19" s="367"/>
    </row>
    <row r="20" spans="2:6" ht="13.15">
      <c r="B20" s="159" t="s">
        <v>303</v>
      </c>
      <c r="E20" s="367"/>
      <c r="F20" s="367"/>
    </row>
    <row r="21" spans="2:6">
      <c r="B21" s="100" t="s">
        <v>277</v>
      </c>
      <c r="C21" s="160">
        <f>Market_Price</f>
        <v>53.1</v>
      </c>
      <c r="D21" t="str">
        <f>Market_currency</f>
        <v>HKD</v>
      </c>
      <c r="E21" s="367"/>
      <c r="F21" s="367"/>
    </row>
    <row r="22" spans="2:6">
      <c r="B22" s="100" t="s">
        <v>278</v>
      </c>
      <c r="C22" s="160">
        <f>IF(valuation_method="DCF",DCF!C12,DDM!C7)</f>
        <v>42.908394379094879</v>
      </c>
      <c r="D22" t="str">
        <f>Market_currency</f>
        <v>HKD</v>
      </c>
      <c r="E22" s="367"/>
      <c r="F22" s="367"/>
    </row>
    <row r="24" spans="2:6" ht="13.15">
      <c r="B24" s="159" t="s">
        <v>115</v>
      </c>
      <c r="E24" s="159" t="s">
        <v>149</v>
      </c>
      <c r="F24" s="159"/>
    </row>
    <row r="25" spans="2:6">
      <c r="B25" s="152" t="s">
        <v>133</v>
      </c>
      <c r="C25" s="166">
        <f>C18</f>
        <v>30</v>
      </c>
      <c r="D25" s="163"/>
      <c r="E25" s="365"/>
      <c r="F25" s="365"/>
    </row>
    <row r="26" spans="2:6">
      <c r="B26" s="118" t="s">
        <v>134</v>
      </c>
      <c r="C26" s="164">
        <v>0.06</v>
      </c>
      <c r="D26" s="164"/>
      <c r="E26" s="365"/>
      <c r="F26" s="365"/>
    </row>
    <row r="27" spans="2:6">
      <c r="B27" s="100" t="s">
        <v>113</v>
      </c>
      <c r="C27" s="160">
        <f>IF(valuation_method="DCF",DCF!E76,DDM!E71)</f>
        <v>71.880063117500072</v>
      </c>
      <c r="D27" s="160" t="str">
        <f>Market_currency</f>
        <v>HKD</v>
      </c>
      <c r="E27" s="365"/>
      <c r="F27" s="365"/>
    </row>
    <row r="28" spans="2:6">
      <c r="B28" s="100" t="s">
        <v>147</v>
      </c>
      <c r="C28" s="165">
        <v>0.5</v>
      </c>
      <c r="D28" s="165"/>
      <c r="E28" s="365"/>
      <c r="F28" s="365"/>
    </row>
    <row r="30" spans="2:6" ht="13.15">
      <c r="B30" s="159" t="s">
        <v>116</v>
      </c>
      <c r="E30" s="159" t="s">
        <v>149</v>
      </c>
      <c r="F30" s="159"/>
    </row>
    <row r="31" spans="2:6">
      <c r="B31" s="152" t="s">
        <v>133</v>
      </c>
      <c r="C31" s="166">
        <f>C18</f>
        <v>30</v>
      </c>
      <c r="D31" s="163"/>
      <c r="E31" s="365"/>
      <c r="F31" s="365"/>
    </row>
    <row r="32" spans="2:6">
      <c r="B32" s="118" t="s">
        <v>134</v>
      </c>
      <c r="C32" s="164">
        <v>0.04</v>
      </c>
      <c r="D32" s="164"/>
      <c r="E32" s="365"/>
      <c r="F32" s="365"/>
    </row>
    <row r="33" spans="2:6">
      <c r="B33" s="100" t="s">
        <v>113</v>
      </c>
      <c r="C33" s="160">
        <f>IF(valuation_method="DCF",DCF!E77,DDM!E72)</f>
        <v>58.919054863963076</v>
      </c>
      <c r="D33" t="str">
        <f>Market_currency</f>
        <v>HKD</v>
      </c>
      <c r="E33" s="365"/>
      <c r="F33" s="365"/>
    </row>
    <row r="34" spans="2:6">
      <c r="B34" s="100" t="s">
        <v>147</v>
      </c>
      <c r="C34" s="165">
        <v>0.3</v>
      </c>
      <c r="D34" s="165"/>
      <c r="E34" s="365"/>
      <c r="F34" s="365"/>
    </row>
    <row r="36" spans="2:6" ht="13.15">
      <c r="B36" s="159" t="s">
        <v>114</v>
      </c>
      <c r="E36" s="159" t="s">
        <v>149</v>
      </c>
      <c r="F36" s="159"/>
    </row>
    <row r="37" spans="2:6">
      <c r="B37" s="152" t="s">
        <v>133</v>
      </c>
      <c r="C37" s="166">
        <f>C18</f>
        <v>30</v>
      </c>
      <c r="D37" s="163"/>
      <c r="E37" s="365"/>
      <c r="F37" s="365"/>
    </row>
    <row r="38" spans="2:6">
      <c r="B38" s="118" t="s">
        <v>134</v>
      </c>
      <c r="C38" s="164">
        <v>0.08</v>
      </c>
      <c r="D38" s="164"/>
      <c r="E38" s="365"/>
      <c r="F38" s="365"/>
    </row>
    <row r="39" spans="2:6">
      <c r="B39" s="100" t="s">
        <v>113</v>
      </c>
      <c r="C39" s="160">
        <f>IF(valuation_method="DCF",DCF!E75,DDM!E70)</f>
        <v>90.260328159449273</v>
      </c>
      <c r="D39" t="str">
        <f>Market_currency</f>
        <v>HKD</v>
      </c>
      <c r="E39" s="365"/>
      <c r="F39" s="365"/>
    </row>
    <row r="40" spans="2:6">
      <c r="B40" s="100" t="s">
        <v>147</v>
      </c>
      <c r="C40" s="167">
        <f>1-C28-C34</f>
        <v>0.2</v>
      </c>
      <c r="D40" s="165"/>
      <c r="E40" s="365"/>
      <c r="F40" s="365"/>
    </row>
    <row r="42" spans="2:6" ht="13.15">
      <c r="B42" s="100" t="s">
        <v>120</v>
      </c>
      <c r="C42" s="154">
        <f>C27*C28+C33*C34+C39*C40</f>
        <v>71.667813649828815</v>
      </c>
      <c r="D42" t="str">
        <f>Market_currency</f>
        <v>HKD</v>
      </c>
    </row>
    <row r="44" spans="2:6" ht="13.9">
      <c r="B44" s="36" t="s">
        <v>161</v>
      </c>
      <c r="C44" s="37"/>
      <c r="D44" s="37"/>
      <c r="E44" s="37"/>
      <c r="F44" s="37"/>
    </row>
    <row r="45" spans="2:6" ht="13.15">
      <c r="B45" s="109" t="s">
        <v>151</v>
      </c>
    </row>
    <row r="46" spans="2:6">
      <c r="B46" s="152" t="s">
        <v>133</v>
      </c>
      <c r="C46" s="150">
        <v>30</v>
      </c>
      <c r="E46" s="100"/>
      <c r="F46" s="100"/>
    </row>
    <row r="47" spans="2:6" ht="13.15">
      <c r="B47" s="159"/>
      <c r="E47" s="159"/>
      <c r="F47" s="159"/>
    </row>
    <row r="48" spans="2:6" ht="13.15">
      <c r="B48" s="159" t="s">
        <v>165</v>
      </c>
      <c r="E48" s="159" t="s">
        <v>149</v>
      </c>
      <c r="F48" s="159"/>
    </row>
    <row r="49" spans="2:6" ht="12.75" customHeight="1">
      <c r="B49" s="152" t="s">
        <v>133</v>
      </c>
      <c r="C49" s="166">
        <f>C46</f>
        <v>30</v>
      </c>
      <c r="D49" s="163"/>
      <c r="E49" s="365"/>
      <c r="F49" s="365"/>
    </row>
    <row r="50" spans="2:6">
      <c r="B50" s="118" t="s">
        <v>134</v>
      </c>
      <c r="C50" s="164">
        <v>0.02</v>
      </c>
      <c r="D50" s="164"/>
      <c r="E50" s="365"/>
      <c r="F50" s="365"/>
    </row>
    <row r="51" spans="2:6">
      <c r="B51" s="100" t="s">
        <v>113</v>
      </c>
      <c r="C51" s="160">
        <f>IF(valuation_method="DCF",DCF!E78,DDM!E73)</f>
        <v>49.648348023886626</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30</v>
      </c>
      <c r="D55" s="163"/>
      <c r="E55" s="365"/>
      <c r="F55" s="365"/>
    </row>
    <row r="56" spans="2:6">
      <c r="B56" s="118" t="s">
        <v>134</v>
      </c>
      <c r="C56" s="164">
        <v>0.1</v>
      </c>
      <c r="D56" s="164"/>
      <c r="E56" s="365"/>
      <c r="F56" s="365"/>
    </row>
    <row r="57" spans="2:6">
      <c r="B57" s="100" t="s">
        <v>113</v>
      </c>
      <c r="C57" s="160">
        <f>IF(valuation_method="DCF",DCF!E74,DDM!E69)</f>
        <v>116.64216318826344</v>
      </c>
      <c r="D57" t="str">
        <f>Market_currency</f>
        <v>HKD</v>
      </c>
      <c r="E57" s="365"/>
      <c r="F57" s="365"/>
    </row>
    <row r="58" spans="2:6">
      <c r="B58" s="100" t="s">
        <v>147</v>
      </c>
      <c r="C58" s="165">
        <v>0.05</v>
      </c>
      <c r="D58" s="165"/>
      <c r="E58" s="365"/>
      <c r="F58" s="365"/>
    </row>
    <row r="60" spans="2:6" ht="13.15">
      <c r="B60" s="100" t="s">
        <v>120</v>
      </c>
      <c r="C60" s="154">
        <f>C51*C52+C57*C58+C42*(1-C52-C58)</f>
        <v>72.815557845453441</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30</v>
      </c>
      <c r="D64" s="150"/>
      <c r="E64" s="251" t="s">
        <v>395</v>
      </c>
    </row>
    <row r="65" spans="2:6">
      <c r="B65" s="118" t="s">
        <v>134</v>
      </c>
      <c r="C65" s="151">
        <v>6.1165848114484E-2</v>
      </c>
      <c r="D65" s="151"/>
      <c r="E65" s="251" t="s">
        <v>312</v>
      </c>
    </row>
    <row r="66" spans="2:6">
      <c r="B66" s="100" t="s">
        <v>102</v>
      </c>
      <c r="C66" s="160">
        <f>IF(valuation_method="DCF",DCF!C18,DDM!C13)</f>
        <v>72.782422093322111</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0.16785217225416799</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2.0169216055576094</v>
      </c>
      <c r="D77" t="str">
        <f>Market_currency</f>
        <v>HKD</v>
      </c>
    </row>
    <row r="79" spans="2:6" ht="13.15">
      <c r="B79" s="109" t="s">
        <v>301</v>
      </c>
    </row>
    <row r="80" spans="2:6">
      <c r="B80" s="148" t="s">
        <v>299</v>
      </c>
      <c r="C80" s="167">
        <f>Thesis!F29</f>
        <v>0.3674</v>
      </c>
    </row>
    <row r="81" spans="2:8">
      <c r="B81" s="100" t="s">
        <v>121</v>
      </c>
      <c r="C81" s="116">
        <f>PV(C80, C76, -C77, 0)</f>
        <v>3.3425621272386814</v>
      </c>
      <c r="D81" s="116"/>
      <c r="E81" s="100"/>
      <c r="F81" s="100"/>
    </row>
    <row r="82" spans="2:8">
      <c r="B82" s="100" t="s">
        <v>122</v>
      </c>
      <c r="C82" s="116">
        <f>C60/(1+C80)^C76</f>
        <v>28.479834047594565</v>
      </c>
      <c r="D82" s="116"/>
    </row>
    <row r="83" spans="2:8" ht="13.15">
      <c r="B83" s="110" t="s">
        <v>101</v>
      </c>
      <c r="C83" s="111">
        <f>C81+C82</f>
        <v>31.822396174833248</v>
      </c>
      <c r="D83" t="str">
        <f>Market_currency</f>
        <v>HKD</v>
      </c>
      <c r="E83" s="146" t="s">
        <v>126</v>
      </c>
      <c r="F83" s="291">
        <f>(1-C83/C60)</f>
        <v>0.56297256909884097</v>
      </c>
    </row>
    <row r="84" spans="2:8">
      <c r="E84" s="120"/>
    </row>
    <row r="85" spans="2:8" ht="13.15">
      <c r="B85" s="109" t="s">
        <v>302</v>
      </c>
    </row>
    <row r="86" spans="2:8">
      <c r="B86" s="148" t="s">
        <v>300</v>
      </c>
      <c r="C86" s="116">
        <f>Market_Price</f>
        <v>53.1</v>
      </c>
      <c r="D86" t="str">
        <f>Market_currency</f>
        <v>HKD</v>
      </c>
    </row>
    <row r="87" spans="2:8" ht="13.15">
      <c r="B87" s="100" t="s">
        <v>298</v>
      </c>
      <c r="C87" s="237">
        <f ca="1">IRR(OFFSET($I$3, 0, 0, $C$76 + 1, 1))</f>
        <v>0.1453778194240849</v>
      </c>
    </row>
    <row r="88" spans="2:8">
      <c r="B88" s="100"/>
    </row>
    <row r="89" spans="2:8" ht="13.15">
      <c r="B89" s="109" t="s">
        <v>412</v>
      </c>
    </row>
    <row r="90" spans="2:8">
      <c r="B90" s="148" t="s">
        <v>413</v>
      </c>
      <c r="C90" s="167">
        <f>Thesis!F30</f>
        <v>0.21740000000000001</v>
      </c>
    </row>
    <row r="91" spans="2:8">
      <c r="B91" s="100" t="s">
        <v>121</v>
      </c>
      <c r="C91" s="116">
        <f>PV(C90, C76, -C77, 0)</f>
        <v>4.1354977217063134</v>
      </c>
      <c r="D91" s="116"/>
      <c r="E91" s="100"/>
      <c r="F91" s="100"/>
    </row>
    <row r="92" spans="2:8">
      <c r="B92" s="100" t="s">
        <v>122</v>
      </c>
      <c r="C92" s="116">
        <f>C60/(1+C90)^C76</f>
        <v>40.357503097693751</v>
      </c>
      <c r="D92" s="116"/>
    </row>
    <row r="93" spans="2:8" ht="13.15">
      <c r="B93" s="110" t="s">
        <v>101</v>
      </c>
      <c r="C93" s="111">
        <f>C91+C92</f>
        <v>44.493000819400066</v>
      </c>
      <c r="D93" t="str">
        <f>Market_currency</f>
        <v>HKD</v>
      </c>
      <c r="E93" s="146" t="s">
        <v>126</v>
      </c>
      <c r="F93" s="291">
        <f>(1-C93/C60)</f>
        <v>0.38896298901075876</v>
      </c>
    </row>
    <row r="95" spans="2:8" ht="13.15">
      <c r="B95" s="109" t="s">
        <v>397</v>
      </c>
      <c r="G95" s="2"/>
      <c r="H95" s="281"/>
    </row>
    <row r="96" spans="2:8">
      <c r="B96" s="148" t="s">
        <v>403</v>
      </c>
      <c r="C96" s="134">
        <f>Thesis!F31</f>
        <v>7.4999999999999997E-2</v>
      </c>
      <c r="G96" s="2"/>
      <c r="H96" s="281"/>
    </row>
    <row r="97" spans="2:8">
      <c r="B97" s="100" t="s">
        <v>121</v>
      </c>
      <c r="C97" s="116">
        <f>PV(C96, C76, -C77, 0)</f>
        <v>5.245056550556443</v>
      </c>
      <c r="D97" s="116"/>
      <c r="G97" s="2"/>
      <c r="H97" s="281"/>
    </row>
    <row r="98" spans="2:8">
      <c r="B98" s="100" t="s">
        <v>122</v>
      </c>
      <c r="C98" s="116">
        <f>C60/(1+C96)^C76</f>
        <v>58.613652912435647</v>
      </c>
      <c r="D98" s="116"/>
      <c r="G98" s="2"/>
      <c r="H98" s="281"/>
    </row>
    <row r="99" spans="2:8" ht="13.15">
      <c r="B99" s="110" t="s">
        <v>398</v>
      </c>
      <c r="C99" s="111">
        <f>C97+C98</f>
        <v>63.858709462992088</v>
      </c>
      <c r="D99" t="s">
        <v>396</v>
      </c>
      <c r="E99" s="146" t="s">
        <v>126</v>
      </c>
      <c r="F99" s="291">
        <f>(1-C99/C60)</f>
        <v>0.12300734413752223</v>
      </c>
    </row>
    <row r="100" spans="2:8">
      <c r="B100" s="100"/>
    </row>
    <row r="101" spans="2:8" ht="13.15">
      <c r="B101" s="109" t="s">
        <v>422</v>
      </c>
    </row>
    <row r="102" spans="2:8">
      <c r="B102" s="148" t="s">
        <v>421</v>
      </c>
      <c r="C102" s="134">
        <f>Thesis!F32</f>
        <v>0.1174</v>
      </c>
    </row>
    <row r="103" spans="2:8">
      <c r="B103" s="100" t="s">
        <v>121</v>
      </c>
      <c r="C103" s="116">
        <f>PV(C102, C76, -C77, 0)</f>
        <v>4.8660313703414877</v>
      </c>
      <c r="D103" s="116"/>
    </row>
    <row r="104" spans="2:8">
      <c r="B104" s="100" t="s">
        <v>122</v>
      </c>
      <c r="C104" s="116">
        <f>C60/(1+C102)^C76</f>
        <v>52.1913078588993</v>
      </c>
      <c r="D104" s="116"/>
    </row>
    <row r="105" spans="2:8" ht="13.15">
      <c r="B105" s="110" t="s">
        <v>398</v>
      </c>
      <c r="C105" s="111">
        <f>C103+C104</f>
        <v>57.057339229240789</v>
      </c>
      <c r="D105" t="s">
        <v>396</v>
      </c>
      <c r="E105" s="146" t="s">
        <v>126</v>
      </c>
      <c r="F105" s="291">
        <f>(1-C105/C66)</f>
        <v>0.21605605325855348</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2025-05-26T15:52:07Z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