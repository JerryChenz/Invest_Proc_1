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1401AA-A4E5-4948-A111-5385FF6B667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K118" i="2"/>
  <c r="L120" i="2"/>
  <c r="L118" i="2"/>
  <c r="L117" i="2"/>
  <c r="N120" i="2"/>
  <c r="N117" i="2"/>
  <c r="N118" i="2"/>
  <c r="P120" i="2"/>
  <c r="P118" i="2"/>
  <c r="P117" i="2"/>
  <c r="O120" i="2"/>
  <c r="O118" i="2"/>
  <c r="O117"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<sst xmlns="http://schemas.openxmlformats.org/spreadsheetml/2006/main" count="685" uniqueCount="465">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</sst>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1364196788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55.95</v>
      </c>
      <c r="D12" s="50"/>
      <c r="E12" s="48"/>
    </row>
    <row r="13" spans="1:10">
      <c r="B13" s="1" t="s">
        <v>417</v>
      </c>
      <c r="C13" s="48" t="s">
        <v>397</v>
      </c>
      <c r="D13" s="48"/>
      <c r="E13" s="5"/>
    </row>
    <row r="14" spans="1:10">
      <c r="B14" s="4" t="s">
        <v>421</v>
      </c>
      <c r="C14" s="35">
        <f>Thesis!C12*Common_Shares/1000000</f>
        <v>76326.810288600012</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1.0859573199999999</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461</v>
      </c>
    </row>
    <row r="22" spans="2:6">
      <c r="B22" s="2" t="s">
        <v>56</v>
      </c>
      <c r="C22" s="48" t="s">
        <v>460</v>
      </c>
      <c r="D22" s="1" t="str">
        <f>IF(valuation_method="DDM","DDM Terminal Value","")</f>
        <v/>
      </c>
      <c r="E22" s="313"/>
    </row>
    <row r="23" spans="2:6">
      <c r="B23" s="1" t="s">
        <v>435</v>
      </c>
      <c r="C23" s="262" t="s">
        <v>456</v>
      </c>
    </row>
    <row r="24" spans="2:6">
      <c r="B24" s="1" t="s">
        <v>436</v>
      </c>
      <c r="C24" s="262" t="s">
        <v>456</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72.493680285644317</v>
      </c>
      <c r="D26" s="1" t="s">
        <v>400</v>
      </c>
      <c r="E26" s="301">
        <f ca="1">Scenarios!C87</f>
        <v>0.12353795749763874</v>
      </c>
    </row>
    <row r="27" spans="2:6">
      <c r="D27" s="5"/>
      <c r="E27" s="5"/>
    </row>
    <row r="28" spans="2:6">
      <c r="B28" s="45" t="s">
        <v>434</v>
      </c>
      <c r="C28" s="309" t="str">
        <f>C145&amp;" ("&amp;Market_currency&amp;")"</f>
        <v>0168.HK (HKD)</v>
      </c>
      <c r="D28" s="309" t="str">
        <f>IF(D11="","",D145&amp;" ("&amp;D13&amp;")")</f>
        <v/>
      </c>
      <c r="E28" s="305" t="s">
        <v>430</v>
      </c>
      <c r="F28" s="303">
        <v>3</v>
      </c>
    </row>
    <row r="29" spans="2:6">
      <c r="B29" s="1" t="s">
        <v>426</v>
      </c>
      <c r="C29" s="310">
        <f>C149</f>
        <v>31.711319540153188</v>
      </c>
      <c r="D29" s="310" t="str">
        <f>D149</f>
        <v/>
      </c>
      <c r="E29" s="306" t="s">
        <v>425</v>
      </c>
      <c r="F29" s="302">
        <v>0.3674</v>
      </c>
    </row>
    <row r="30" spans="2:6">
      <c r="B30" s="1" t="s">
        <v>427</v>
      </c>
      <c r="C30" s="311">
        <f>C157</f>
        <v>44.332934498379423</v>
      </c>
      <c r="D30" s="311" t="str">
        <f>D157</f>
        <v/>
      </c>
      <c r="E30" s="307" t="s">
        <v>438</v>
      </c>
      <c r="F30" s="312">
        <v>0.21740000000000001</v>
      </c>
    </row>
    <row r="31" spans="2:6">
      <c r="B31" s="1" t="s">
        <v>428</v>
      </c>
      <c r="C31" s="311">
        <f>C165</f>
        <v>63.622861239540747</v>
      </c>
      <c r="D31" s="311" t="str">
        <f>D165</f>
        <v/>
      </c>
      <c r="E31" s="307" t="s">
        <v>437</v>
      </c>
      <c r="F31" s="312">
        <v>7.4999999999999997E-2</v>
      </c>
    </row>
    <row r="32" spans="2:6">
      <c r="B32" s="1" t="s">
        <v>429</v>
      </c>
      <c r="C32" s="311">
        <f>C173</f>
        <v>56.848200503665538</v>
      </c>
      <c r="D32" s="311" t="str">
        <f>D173</f>
        <v/>
      </c>
      <c r="E32" s="307" t="s">
        <v>439</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v>
      </c>
    </row>
    <row r="40" spans="1:6" ht="24.5" customHeight="1">
      <c r="B40" s="358" t="s">
        <v>232</v>
      </c>
      <c r="C40" s="358"/>
      <c r="D40" s="358"/>
      <c r="E40" s="358"/>
      <c r="F40" s="358"/>
    </row>
    <row r="41" spans="1:6">
      <c r="B41" s="47" t="s">
        <v>233</v>
      </c>
      <c r="C41" s="355">
        <f>Normalized_FCF!C8</f>
        <v>3878068070.3077545</v>
      </c>
      <c r="D41" s="1" t="str">
        <f>Reporting_currency</f>
        <v>CNY</v>
      </c>
    </row>
    <row r="42" spans="1:6">
      <c r="B42" s="47"/>
      <c r="C42" s="76"/>
    </row>
    <row r="43" spans="1:6" ht="24.5" customHeight="1">
      <c r="B43" s="358" t="s">
        <v>234</v>
      </c>
      <c r="C43" s="358"/>
      <c r="D43" s="358"/>
      <c r="E43" s="358"/>
      <c r="F43" s="358"/>
    </row>
    <row r="44" spans="1:6">
      <c r="B44" s="47" t="s">
        <v>235</v>
      </c>
      <c r="C44" s="355">
        <f>Normalized_FCF!C9</f>
        <v>1191305772</v>
      </c>
      <c r="D44" s="1" t="str">
        <f>Reporting_currency</f>
        <v>CNY</v>
      </c>
    </row>
    <row r="45" spans="1:6">
      <c r="B45" s="52" t="s">
        <v>236</v>
      </c>
      <c r="C45" s="355">
        <f>Normalized_FCF!C10</f>
        <v>-1191305772</v>
      </c>
      <c r="D45" s="1" t="str">
        <f>Reporting_currency</f>
        <v>CNY</v>
      </c>
    </row>
    <row r="47" spans="1:6">
      <c r="B47" s="358" t="s">
        <v>237</v>
      </c>
      <c r="C47" s="358"/>
      <c r="D47" s="358"/>
      <c r="E47" s="358"/>
      <c r="F47" s="358"/>
    </row>
    <row r="48" spans="1:6">
      <c r="B48" s="47" t="s">
        <v>238</v>
      </c>
      <c r="C48" s="355">
        <f>Normalized_FCF!C11</f>
        <v>0</v>
      </c>
      <c r="D48" s="1" t="str">
        <f>Reporting_currency</f>
        <v>CNY</v>
      </c>
    </row>
    <row r="50" spans="2:6">
      <c r="B50" s="358" t="s">
        <v>241</v>
      </c>
      <c r="C50" s="358"/>
      <c r="D50" s="358"/>
      <c r="E50" s="358"/>
      <c r="F50" s="358"/>
    </row>
    <row r="51" spans="2:6">
      <c r="B51" s="47" t="s">
        <v>341</v>
      </c>
      <c r="C51" s="356">
        <f>Normalized_FCF!C48</f>
        <v>177181093.07201487</v>
      </c>
      <c r="D51" s="1" t="str">
        <f>Reporting_currency</f>
        <v>CNY</v>
      </c>
      <c r="E51" s="286"/>
      <c r="F51" s="286"/>
    </row>
    <row r="52" spans="2:6">
      <c r="B52" s="47" t="s">
        <v>342</v>
      </c>
      <c r="C52" s="356">
        <f>Normalized_FCF!C47</f>
        <v>-21837054</v>
      </c>
      <c r="D52" s="1" t="str">
        <f>Reporting_currency</f>
        <v>CNY</v>
      </c>
      <c r="E52" s="286"/>
      <c r="F52" s="286"/>
    </row>
    <row r="53" spans="2:6">
      <c r="B53" s="47" t="s">
        <v>239</v>
      </c>
      <c r="C53" s="355">
        <f>Normalized_FCF!C12</f>
        <v>155344039.07201487</v>
      </c>
      <c r="D53" s="1" t="str">
        <f>Reporting_currency</f>
        <v>CNY</v>
      </c>
    </row>
    <row r="55" spans="2:6">
      <c r="B55" s="1" t="s">
        <v>247</v>
      </c>
    </row>
    <row r="56" spans="2:6">
      <c r="B56" s="47" t="s">
        <v>266</v>
      </c>
      <c r="C56" s="355">
        <f>Normalized_FCF!C15</f>
        <v>-146634564.47167698</v>
      </c>
      <c r="D56" s="1" t="str">
        <f>Reporting_currency</f>
        <v>CNY</v>
      </c>
    </row>
    <row r="58" spans="2:6">
      <c r="B58" s="358" t="s">
        <v>242</v>
      </c>
      <c r="C58" s="358"/>
      <c r="D58" s="358"/>
      <c r="E58" s="358"/>
      <c r="F58" s="358"/>
    </row>
    <row r="59" spans="2:6">
      <c r="B59" s="47" t="s">
        <v>240</v>
      </c>
      <c r="C59" s="355">
        <f>Normalized_FCF!C14</f>
        <v>-1008353027.3449423</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3154899757.0720148</v>
      </c>
      <c r="D67" s="1" t="str">
        <f>Reporting_currency</f>
        <v>CNY</v>
      </c>
    </row>
    <row r="68" spans="1:6">
      <c r="B68" s="47" t="s">
        <v>249</v>
      </c>
      <c r="C68" s="355">
        <f>Normalized_FCF!C19</f>
        <v>2878424517.5631504</v>
      </c>
      <c r="D68" s="1" t="str">
        <f>Reporting_currency</f>
        <v>CNY</v>
      </c>
    </row>
    <row r="69" spans="1:6">
      <c r="B69" s="227" t="s">
        <v>391</v>
      </c>
      <c r="C69" s="92">
        <f>Normalized_FCF!C125</f>
        <v>4.0953449555876972E-2</v>
      </c>
      <c r="F69" s="314"/>
    </row>
    <row r="70" spans="1:6">
      <c r="B70" s="227" t="s">
        <v>309</v>
      </c>
      <c r="C70" s="92">
        <f>Normalized_FCF!C93</f>
        <v>3.6208441564393366E-2</v>
      </c>
      <c r="E70" s="47" t="s">
        <v>449</v>
      </c>
      <c r="F70" s="315">
        <f>Normalized_FCF!C92</f>
        <v>0.96013455738315312</v>
      </c>
    </row>
    <row r="72" spans="1:6">
      <c r="B72" s="210" t="s">
        <v>452</v>
      </c>
      <c r="C72" s="329" t="s">
        <v>454</v>
      </c>
      <c r="D72" s="329" t="s">
        <v>455</v>
      </c>
    </row>
    <row r="73" spans="1:6">
      <c r="B73" s="47" t="s">
        <v>453</v>
      </c>
      <c r="C73" s="92">
        <f>Normalized_FCF!C120</f>
        <v>0.13507950349318468</v>
      </c>
      <c r="D73" s="92">
        <f>Normalized_FCF!G120</f>
        <v>0.15711590276045559</v>
      </c>
    </row>
    <row r="74" spans="1:6">
      <c r="B74" s="259" t="str">
        <f>Normalized_FCF!B117</f>
        <v>Pre-tax Profit/Sales</v>
      </c>
      <c r="C74" s="328">
        <f>Normalized_FCF!C117</f>
        <v>0.12563901732968466</v>
      </c>
      <c r="D74" s="328">
        <f>Normalized_FCF!G117</f>
        <v>0.14597777394642023</v>
      </c>
    </row>
    <row r="75" spans="1:6">
      <c r="B75" s="259" t="str">
        <f>Normalized_FCF!B118</f>
        <v>Sales/Total Assets</v>
      </c>
      <c r="C75" s="330">
        <f>Normalized_FCF!C118</f>
        <v>0.62432788948992113</v>
      </c>
      <c r="D75" s="330">
        <f>Normalized_FCF!G118</f>
        <v>0.62500173016982585</v>
      </c>
    </row>
    <row r="76" spans="1:6">
      <c r="B76" s="259" t="str">
        <f>Normalized_FCF!B119</f>
        <v>Total Assets/Equity</v>
      </c>
      <c r="C76" s="330">
        <f>Normalized_FCF!C119</f>
        <v>1.7220755031358876</v>
      </c>
      <c r="D76" s="330">
        <f>Normalized_FCF!G119</f>
        <v>1.7220755031358876</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30.551273368684225</v>
      </c>
      <c r="D93" s="1" t="str">
        <f>Market_currency</f>
        <v>HKD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285396383</v>
      </c>
      <c r="D102" s="1" t="str">
        <f>Reporting_currency</f>
        <v>CNY</v>
      </c>
    </row>
    <row r="103" spans="2:6">
      <c r="B103" s="47" t="s">
        <v>282</v>
      </c>
      <c r="C103" s="223">
        <f>C102*scaling_factor*Exchange_Rate/Common_Shares</f>
        <v>0.22718737791103311</v>
      </c>
      <c r="D103" s="1" t="str">
        <f>Market_currency</f>
        <v>HKD</v>
      </c>
    </row>
    <row r="104" spans="2:6">
      <c r="B104" s="296" t="s">
        <v>405</v>
      </c>
      <c r="C104" s="331">
        <f>IF(BS!G31/BS!G27&gt;300%,"nm",BS!G31/BS!G27)</f>
        <v>9.5579625064196368E-3</v>
      </c>
    </row>
    <row r="105" spans="2:6">
      <c r="B105" s="296" t="s">
        <v>407</v>
      </c>
      <c r="C105" s="332">
        <f>IF(BS!C50&gt;30,"nm",BS!C50)</f>
        <v>7.3592411949940734E-2</v>
      </c>
    </row>
    <row r="107" spans="2:6">
      <c r="B107" s="1" t="s">
        <v>255</v>
      </c>
    </row>
    <row r="108" spans="2:6">
      <c r="B108" s="47" t="s">
        <v>265</v>
      </c>
      <c r="C108" s="355">
        <f>BS!C66</f>
        <v>17978772896</v>
      </c>
      <c r="D108" s="1" t="str">
        <f>Reporting_currency</f>
        <v>CNY</v>
      </c>
    </row>
    <row r="109" spans="2:6">
      <c r="B109" s="47" t="s">
        <v>267</v>
      </c>
      <c r="C109" s="355">
        <f>DCF!C8</f>
        <v>12813974938.821075</v>
      </c>
      <c r="D109" s="1" t="str">
        <f>Reporting_currency</f>
        <v>CNY</v>
      </c>
    </row>
    <row r="110" spans="2:6">
      <c r="B110" s="47" t="s">
        <v>283</v>
      </c>
      <c r="C110" s="223">
        <f>C109*scaling_factor*Exchange_Rate/Common_Shares</f>
        <v>10.200456419128658</v>
      </c>
      <c r="D110" s="1" t="str">
        <f>Market_currency</f>
        <v>HKD</v>
      </c>
    </row>
    <row r="112" spans="2:6">
      <c r="B112" s="1" t="s">
        <v>257</v>
      </c>
    </row>
    <row r="113" spans="1:6">
      <c r="B113" s="47" t="s">
        <v>258</v>
      </c>
      <c r="C113" s="355">
        <f>DCF!C9</f>
        <v>2755411575.5</v>
      </c>
      <c r="D113" s="1" t="str">
        <f>Reporting_currency</f>
        <v>CNY</v>
      </c>
    </row>
    <row r="114" spans="1:6">
      <c r="B114" s="47" t="s">
        <v>284</v>
      </c>
      <c r="C114" s="223">
        <f>C113*scaling_factor*Exchange_Rate/Common_Shares</f>
        <v>2.1934220900884847</v>
      </c>
      <c r="D114" s="1" t="str">
        <f>Market_currency</f>
        <v>HKD</v>
      </c>
    </row>
    <row r="116" spans="1:6" ht="24.5" customHeight="1">
      <c r="B116" s="357" t="s">
        <v>367</v>
      </c>
      <c r="C116" s="357"/>
      <c r="D116" s="357"/>
      <c r="E116" s="357"/>
      <c r="F116" s="357"/>
    </row>
    <row r="118" spans="1:6">
      <c r="B118" s="47" t="s">
        <v>450</v>
      </c>
      <c r="C118" s="223">
        <f>IF(valuation_method="DCF",DCF!C12,DDM!C7)</f>
        <v>42.71796449999033</v>
      </c>
      <c r="D118" s="1" t="str">
        <f>Market_currency</f>
        <v>HKD</v>
      </c>
    </row>
    <row r="119" spans="1:6">
      <c r="B119" s="296" t="s">
        <v>406</v>
      </c>
      <c r="C119" s="223">
        <f>BS!D47</f>
        <v>1.3497372154552687</v>
      </c>
      <c r="D119" s="1" t="str">
        <f>Market_currency</f>
        <v>HKD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0.1</v>
      </c>
      <c r="D126" s="230">
        <f>DCF!D74</f>
        <v>30</v>
      </c>
      <c r="E126" s="231" t="str">
        <f>ROUND(IF(valuation_method="DCF",DCF!E74,DDM!E69),2)&amp;" "&amp;Market_currency</f>
        <v>116.13 HKD</v>
      </c>
      <c r="F126" s="232">
        <f>DCF!F74</f>
        <v>0.05</v>
      </c>
    </row>
    <row r="127" spans="1:6">
      <c r="B127" s="218" t="str">
        <f>DCF!B75</f>
        <v>Optimistic</v>
      </c>
      <c r="C127" s="219">
        <f>DCF!C75</f>
        <v>0.08</v>
      </c>
      <c r="D127" s="220">
        <f>DCF!D75</f>
        <v>30</v>
      </c>
      <c r="E127" s="231" t="str">
        <f>ROUND(IF(valuation_method="DCF",DCF!E75,DDM!E70),2)&amp;" "&amp;Market_currency</f>
        <v>89.86 HKD</v>
      </c>
      <c r="F127" s="221">
        <f>DCF!F75</f>
        <v>0.18</v>
      </c>
    </row>
    <row r="128" spans="1:6">
      <c r="B128" s="218" t="str">
        <f>DCF!B76</f>
        <v>Base</v>
      </c>
      <c r="C128" s="219">
        <f>DCF!C76</f>
        <v>0.06</v>
      </c>
      <c r="D128" s="220">
        <f>DCF!D76</f>
        <v>30</v>
      </c>
      <c r="E128" s="231" t="str">
        <f>ROUND(IF(valuation_method="DCF",DCF!E76,DDM!E71),2)&amp;" "&amp;Market_currency</f>
        <v>71.56 HKD</v>
      </c>
      <c r="F128" s="221">
        <f>DCF!F76</f>
        <v>0.44999999999999996</v>
      </c>
    </row>
    <row r="129" spans="1:6">
      <c r="B129" s="218" t="str">
        <f>DCF!B77</f>
        <v>Pessimistic</v>
      </c>
      <c r="C129" s="219">
        <f>DCF!C77</f>
        <v>0.04</v>
      </c>
      <c r="D129" s="220">
        <f>DCF!D77</f>
        <v>30</v>
      </c>
      <c r="E129" s="231" t="str">
        <f>ROUND(IF(valuation_method="DCF",DCF!E77,DDM!E72),2)&amp;" "&amp;Market_currency</f>
        <v>58.66 HKD</v>
      </c>
      <c r="F129" s="221">
        <f>DCF!F77</f>
        <v>0.26999999999999996</v>
      </c>
    </row>
    <row r="130" spans="1:6">
      <c r="B130" s="218" t="str">
        <f>DCF!B78</f>
        <v>Devil's advocate</v>
      </c>
      <c r="C130" s="219">
        <f>DCF!C78</f>
        <v>0.02</v>
      </c>
      <c r="D130" s="220">
        <f>DCF!D78</f>
        <v>30</v>
      </c>
      <c r="E130" s="231" t="str">
        <f>ROUND(IF(valuation_method="DCF",DCF!E78,DDM!E73),2)&amp;" "&amp;Market_currency</f>
        <v>49.43 HKD</v>
      </c>
      <c r="F130" s="221">
        <f>DCF!F78</f>
        <v>0.05</v>
      </c>
    </row>
    <row r="132" spans="1:6">
      <c r="B132" s="211" t="s">
        <v>259</v>
      </c>
      <c r="C132" s="217">
        <f>Scenarios!C60</f>
        <v>72.493680285644317</v>
      </c>
      <c r="D132" s="212" t="str">
        <f>Market_currency</f>
        <v>HKD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2.0258623055278089</v>
      </c>
      <c r="D143" s="212" t="str">
        <f>Market_currency</f>
        <v>HKD</v>
      </c>
    </row>
    <row r="145" spans="2:4">
      <c r="B145" s="210" t="s">
        <v>409</v>
      </c>
      <c r="C145" s="241" t="str">
        <f>C11</f>
        <v>0168.HK</v>
      </c>
      <c r="D145" s="241" t="str">
        <f>IF(D11="","",D11)</f>
        <v/>
      </c>
    </row>
    <row r="146" spans="2:4">
      <c r="B146" s="1" t="s">
        <v>408</v>
      </c>
      <c r="C146" s="297">
        <f>F29</f>
        <v>0.3674</v>
      </c>
    </row>
    <row r="147" spans="2:4">
      <c r="B147" s="212" t="str">
        <f>"PV("&amp;C141&amp;" yrs of Dividends)"</f>
        <v>PV(3 yrs of Dividends)</v>
      </c>
      <c r="C147" s="216">
        <f>Scenarios!C81</f>
        <v>3.3573791855859398</v>
      </c>
    </row>
    <row r="148" spans="2:4">
      <c r="B148" s="212" t="str">
        <f>"+ PV(Equity Value realized at year "&amp;C141&amp;")"</f>
        <v>+ PV(Equity Value realized at year 3)</v>
      </c>
      <c r="C148" s="216">
        <f>Scenarios!C82</f>
        <v>28.353940354567246</v>
      </c>
    </row>
    <row r="149" spans="2:4">
      <c r="B149" s="80" t="s">
        <v>261</v>
      </c>
      <c r="C149" s="215">
        <f>Scenarios!C83</f>
        <v>31.711319540153188</v>
      </c>
      <c r="D149" s="300" t="str">
        <f>IF($D$11="","",C149*$E$25)</f>
        <v/>
      </c>
    </row>
    <row r="150" spans="2:4">
      <c r="B150" s="259" t="s">
        <v>417</v>
      </c>
      <c r="C150" s="298" t="str">
        <f>Market_currency</f>
        <v>HKD</v>
      </c>
      <c r="D150" s="298" t="str">
        <f>IF($D$11="","",D$13)</f>
        <v/>
      </c>
    </row>
    <row r="151" spans="2:4">
      <c r="B151" s="214" t="s">
        <v>263</v>
      </c>
      <c r="C151" s="92">
        <f>Scenarios!F83</f>
        <v>0.56256435850404918</v>
      </c>
    </row>
    <row r="153" spans="2:4">
      <c r="B153" s="210" t="s">
        <v>412</v>
      </c>
    </row>
    <row r="154" spans="2:4">
      <c r="B154" s="1" t="s">
        <v>411</v>
      </c>
      <c r="C154" s="297">
        <f>Scenarios!C90</f>
        <v>0.21740000000000001</v>
      </c>
    </row>
    <row r="155" spans="2:4">
      <c r="B155" s="212" t="str">
        <f>"PV("&amp;C141&amp;" yrs of Dividends)"</f>
        <v>PV(3 yrs of Dividends)</v>
      </c>
      <c r="C155" s="216">
        <f>Scenarios!C91</f>
        <v>4.1538297402911395</v>
      </c>
    </row>
    <row r="156" spans="2:4">
      <c r="B156" s="212" t="str">
        <f>"+ PV(Equity Value realized at year "&amp;C141&amp;")"</f>
        <v>+ PV(Equity Value realized at year 3)</v>
      </c>
      <c r="C156" s="216">
        <f>Scenarios!C92</f>
        <v>40.179104758088286</v>
      </c>
    </row>
    <row r="157" spans="2:4">
      <c r="B157" s="80" t="s">
        <v>261</v>
      </c>
      <c r="C157" s="215">
        <f>Scenarios!C93</f>
        <v>44.332934498379423</v>
      </c>
      <c r="D157" s="300" t="str">
        <f>IF($D$11="","",C157*$E$25)</f>
        <v/>
      </c>
    </row>
    <row r="158" spans="2:4">
      <c r="B158" s="259" t="s">
        <v>417</v>
      </c>
      <c r="C158" s="298" t="str">
        <f>Market_currency</f>
        <v>HKD</v>
      </c>
      <c r="D158" s="298" t="str">
        <f>IF($D$11="","",D$13)</f>
        <v/>
      </c>
    </row>
    <row r="159" spans="2:4">
      <c r="B159" s="214" t="s">
        <v>263</v>
      </c>
      <c r="C159" s="92">
        <f>Scenarios!F93</f>
        <v>0.38845794111023324</v>
      </c>
    </row>
    <row r="161" spans="2:4">
      <c r="B161" s="210" t="s">
        <v>401</v>
      </c>
    </row>
    <row r="162" spans="2:4">
      <c r="B162" s="1" t="s">
        <v>410</v>
      </c>
      <c r="C162" s="92">
        <f>Scenarios!C96</f>
        <v>7.4999999999999997E-2</v>
      </c>
    </row>
    <row r="163" spans="2:4">
      <c r="B163" s="212" t="str">
        <f>"PV("&amp;C141&amp;" yrs of Dividends)"</f>
        <v>PV(3 yrs of Dividends)</v>
      </c>
      <c r="C163" s="216">
        <f>Scenarios!C97</f>
        <v>5.2683070709614199</v>
      </c>
    </row>
    <row r="164" spans="2:4">
      <c r="B164" s="212" t="str">
        <f>"+ PV(Equity Value realized at year "&amp;C141&amp;")"</f>
        <v>+ PV(Equity Value realized at year 3)</v>
      </c>
      <c r="C164" s="216">
        <f>Scenarios!C98</f>
        <v>58.354554168579327</v>
      </c>
    </row>
    <row r="165" spans="2:4">
      <c r="B165" s="80" t="s">
        <v>402</v>
      </c>
      <c r="C165" s="215">
        <f>Scenarios!C99</f>
        <v>63.622861239540747</v>
      </c>
      <c r="D165" s="300" t="str">
        <f>IF($D$11="","",C165*$E$25)</f>
        <v/>
      </c>
    </row>
    <row r="166" spans="2:4">
      <c r="B166" s="259" t="s">
        <v>417</v>
      </c>
      <c r="C166" s="298" t="str">
        <f>Market_currency</f>
        <v>HKD</v>
      </c>
      <c r="D166" s="298" t="str">
        <f>IF($D$11="","",D$13)</f>
        <v/>
      </c>
    </row>
    <row r="167" spans="2:4">
      <c r="B167" s="214" t="s">
        <v>263</v>
      </c>
      <c r="C167" s="92">
        <f>Scenarios!F99</f>
        <v>0.12236679130029249</v>
      </c>
    </row>
    <row r="169" spans="2:4">
      <c r="B169" s="210" t="s">
        <v>433</v>
      </c>
    </row>
    <row r="170" spans="2:4">
      <c r="B170" s="1" t="s">
        <v>424</v>
      </c>
      <c r="C170" s="92">
        <f>F32</f>
        <v>0.1174</v>
      </c>
    </row>
    <row r="171" spans="2:4">
      <c r="B171" s="212" t="str">
        <f>"PV("&amp;C141&amp;" yrs of Dividends)"</f>
        <v>PV(3 yrs of Dividends)</v>
      </c>
      <c r="C171" s="216">
        <f>Scenarios!C103</f>
        <v>4.8876017310376705</v>
      </c>
    </row>
    <row r="172" spans="2:4">
      <c r="B172" s="212" t="str">
        <f>"+ PV(Equity Value realized at year "&amp;C141&amp;")"</f>
        <v>+ PV(Equity Value realized at year 3)</v>
      </c>
      <c r="C172" s="216">
        <f>Scenarios!C104</f>
        <v>51.960598772627868</v>
      </c>
    </row>
    <row r="173" spans="2:4">
      <c r="B173" s="80" t="s">
        <v>402</v>
      </c>
      <c r="C173" s="215">
        <f>Scenarios!C105</f>
        <v>56.848200503665538</v>
      </c>
      <c r="D173" s="300" t="str">
        <f>IF($D$11="","",C173*$E$25)</f>
        <v/>
      </c>
    </row>
    <row r="174" spans="2:4">
      <c r="B174" s="259" t="s">
        <v>417</v>
      </c>
      <c r="C174" s="298" t="str">
        <f>Market_currency</f>
        <v>HKD</v>
      </c>
      <c r="D174" s="298" t="str">
        <f>IF($D$11="","",D$13)</f>
        <v/>
      </c>
    </row>
    <row r="175" spans="2:4">
      <c r="B175" s="214" t="s">
        <v>263</v>
      </c>
      <c r="C175" s="92">
        <f>Scenarios!F105</f>
        <v>0.21546150927969665</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32137830111</v>
      </c>
      <c r="D4" s="321">
        <v>33936522741</v>
      </c>
      <c r="E4" s="321">
        <v>32171565624</v>
      </c>
      <c r="F4" s="321">
        <v>30166805377</v>
      </c>
      <c r="G4" s="321">
        <v>27759710926</v>
      </c>
      <c r="H4" s="321"/>
      <c r="I4" s="321"/>
      <c r="J4" s="321"/>
      <c r="K4" s="321"/>
      <c r="L4" s="321"/>
      <c r="M4" s="321"/>
    </row>
    <row r="5" spans="2:13">
      <c r="B5" s="40" t="s">
        <v>43</v>
      </c>
      <c r="C5" s="321">
        <f>19209915823+2328256391</f>
        <v>21538172214</v>
      </c>
      <c r="D5" s="321">
        <f>20816889655+2386660732</f>
        <v>23203550387</v>
      </c>
      <c r="E5" s="321">
        <f>20317934822+2390725323</f>
        <v>22708660145</v>
      </c>
      <c r="F5" s="321">
        <f>19091130744+2318835745</f>
        <v>21409966489</v>
      </c>
      <c r="G5" s="321">
        <f>16540609624+2219072099</f>
        <v>18759681723</v>
      </c>
      <c r="H5" s="321"/>
      <c r="I5" s="321"/>
      <c r="J5" s="321"/>
      <c r="K5" s="321"/>
      <c r="L5" s="321"/>
      <c r="M5" s="321"/>
    </row>
    <row r="6" spans="2:13">
      <c r="B6" s="40" t="s">
        <v>54</v>
      </c>
      <c r="C6" s="321">
        <f>1406578781+C7</f>
        <v>6009098645</v>
      </c>
      <c r="D6" s="321">
        <f>1519063042+D7</f>
        <v>6227465840</v>
      </c>
      <c r="E6" s="321">
        <f>1473368004+E7</f>
        <v>5672870751</v>
      </c>
      <c r="F6" s="321">
        <f>1692545246+F7</f>
        <v>5789419371</v>
      </c>
      <c r="G6" s="321">
        <f>1678050722+G7</f>
        <v>6662600559</v>
      </c>
      <c r="H6" s="321"/>
      <c r="I6" s="321"/>
      <c r="J6" s="321"/>
      <c r="K6" s="321"/>
      <c r="L6" s="321"/>
      <c r="M6" s="321"/>
    </row>
    <row r="7" spans="2:13">
      <c r="B7" s="69" t="s">
        <v>61</v>
      </c>
      <c r="C7" s="322">
        <v>4602519864</v>
      </c>
      <c r="D7" s="322">
        <v>4708402798</v>
      </c>
      <c r="E7" s="322">
        <v>4199502747</v>
      </c>
      <c r="F7" s="322">
        <v>4096874125</v>
      </c>
      <c r="G7" s="322">
        <v>4984549837</v>
      </c>
      <c r="H7" s="322"/>
      <c r="I7" s="322"/>
      <c r="J7" s="322"/>
      <c r="K7" s="322"/>
      <c r="L7" s="322"/>
      <c r="M7" s="322"/>
    </row>
    <row r="8" spans="2:13">
      <c r="B8" s="40" t="s">
        <v>49</v>
      </c>
      <c r="C8" s="321">
        <v>102766675</v>
      </c>
      <c r="D8" s="321">
        <v>100637006</v>
      </c>
      <c r="E8" s="321">
        <v>62954899</v>
      </c>
      <c r="F8" s="321">
        <v>30890245</v>
      </c>
      <c r="G8" s="321">
        <v>21467092</v>
      </c>
      <c r="H8" s="321"/>
      <c r="I8" s="321"/>
      <c r="J8" s="321"/>
      <c r="K8" s="321"/>
      <c r="L8" s="321"/>
      <c r="M8" s="321"/>
    </row>
    <row r="9" spans="2:13">
      <c r="B9" s="40" t="s">
        <v>160</v>
      </c>
      <c r="C9" s="321">
        <v>48272283</v>
      </c>
      <c r="D9" s="321">
        <v>15798284</v>
      </c>
      <c r="E9" s="321">
        <v>19873379</v>
      </c>
      <c r="F9" s="321">
        <v>20561728</v>
      </c>
      <c r="G9" s="321">
        <v>18098320</v>
      </c>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21837054</v>
      </c>
      <c r="D12" s="321">
        <v>16430590</v>
      </c>
      <c r="E12" s="321">
        <v>9237800</v>
      </c>
      <c r="F12" s="321">
        <v>22685367</v>
      </c>
      <c r="G12" s="321">
        <v>13662682</v>
      </c>
      <c r="H12" s="321"/>
      <c r="I12" s="321"/>
      <c r="J12" s="321"/>
      <c r="K12" s="321"/>
      <c r="L12" s="321"/>
      <c r="M12" s="321"/>
    </row>
    <row r="13" spans="2:13">
      <c r="B13" s="40" t="s">
        <v>67</v>
      </c>
      <c r="C13" s="321">
        <v>616771200</v>
      </c>
      <c r="D13" s="321">
        <v>506376003</v>
      </c>
      <c r="E13" s="321">
        <v>459661656</v>
      </c>
      <c r="F13" s="321">
        <v>315648307</v>
      </c>
      <c r="G13" s="321">
        <v>524029340</v>
      </c>
      <c r="H13" s="321"/>
      <c r="I13" s="321"/>
      <c r="J13" s="321"/>
      <c r="K13" s="321"/>
      <c r="L13" s="321"/>
      <c r="M13" s="321"/>
    </row>
    <row r="14" spans="2:13">
      <c r="B14" s="40" t="s">
        <v>50</v>
      </c>
      <c r="C14" s="321">
        <v>1389716314</v>
      </c>
      <c r="D14" s="321">
        <v>1398208378</v>
      </c>
      <c r="E14" s="321">
        <v>1201419808</v>
      </c>
      <c r="F14" s="321">
        <v>1222731595</v>
      </c>
      <c r="G14" s="321">
        <v>912580519</v>
      </c>
      <c r="H14" s="321"/>
      <c r="I14" s="321"/>
      <c r="J14" s="321"/>
      <c r="K14" s="321"/>
      <c r="L14" s="321"/>
      <c r="M14" s="321"/>
    </row>
    <row r="15" spans="2:13">
      <c r="B15" s="43" t="s">
        <v>42</v>
      </c>
      <c r="C15" s="323">
        <v>4491776686</v>
      </c>
      <c r="D15" s="323">
        <v>4348198924</v>
      </c>
      <c r="E15" s="323">
        <v>3804721478</v>
      </c>
      <c r="F15" s="323">
        <v>3256243870</v>
      </c>
      <c r="G15" s="323">
        <v>2326968805</v>
      </c>
      <c r="H15" s="323"/>
      <c r="I15" s="323"/>
      <c r="J15" s="323"/>
      <c r="K15" s="323"/>
      <c r="L15" s="323"/>
      <c r="M15" s="323"/>
    </row>
    <row r="16" spans="2:13">
      <c r="B16" s="28" t="s">
        <v>44</v>
      </c>
      <c r="C16" s="321">
        <v>146792828</v>
      </c>
      <c r="D16" s="321">
        <v>80347518</v>
      </c>
      <c r="E16" s="321">
        <v>94092885</v>
      </c>
      <c r="F16" s="321">
        <v>100788060</v>
      </c>
      <c r="G16" s="321">
        <v>125645249</v>
      </c>
      <c r="H16" s="321"/>
      <c r="I16" s="321"/>
      <c r="J16" s="321"/>
      <c r="K16" s="321"/>
      <c r="L16" s="321"/>
      <c r="M16" s="321"/>
    </row>
    <row r="18" spans="2:13">
      <c r="B18" s="16" t="s">
        <v>51</v>
      </c>
      <c r="C18" s="9"/>
    </row>
    <row r="19" spans="2:13">
      <c r="B19" s="27" t="s">
        <v>47</v>
      </c>
      <c r="C19" s="321">
        <v>1191305772</v>
      </c>
      <c r="D19" s="321">
        <v>1140399624</v>
      </c>
      <c r="E19" s="321">
        <v>1083856796</v>
      </c>
      <c r="F19" s="321">
        <v>1109733268</v>
      </c>
      <c r="G19" s="321"/>
      <c r="H19" s="321"/>
      <c r="I19" s="321"/>
      <c r="J19" s="321"/>
      <c r="K19" s="321"/>
      <c r="L19" s="321"/>
      <c r="M19" s="321"/>
    </row>
    <row r="20" spans="2:13">
      <c r="B20" s="27" t="s">
        <v>53</v>
      </c>
      <c r="C20" s="321">
        <f>C19</f>
        <v>1191305772</v>
      </c>
      <c r="D20" s="321">
        <f>D19</f>
        <v>1140399624</v>
      </c>
      <c r="E20" s="321">
        <f>E19</f>
        <v>1083856796</v>
      </c>
      <c r="F20" s="321">
        <f>F19</f>
        <v>1109733268</v>
      </c>
      <c r="G20" s="321"/>
      <c r="H20" s="321"/>
      <c r="I20" s="321"/>
      <c r="J20" s="321"/>
      <c r="K20" s="321"/>
      <c r="L20" s="321"/>
      <c r="M20" s="321"/>
    </row>
    <row r="21" spans="2:13">
      <c r="B21" s="27" t="s">
        <v>52</v>
      </c>
      <c r="C21" s="321">
        <v>583532518</v>
      </c>
      <c r="D21" s="321">
        <v>1575918543</v>
      </c>
      <c r="E21" s="321">
        <v>878667968</v>
      </c>
      <c r="F21" s="321">
        <v>2804548241</v>
      </c>
      <c r="G21" s="321"/>
      <c r="H21" s="321"/>
      <c r="I21" s="321"/>
      <c r="J21" s="321"/>
      <c r="K21" s="321"/>
      <c r="L21" s="321"/>
      <c r="M21" s="321"/>
    </row>
    <row r="22" spans="2:13">
      <c r="B22" s="27" t="s">
        <v>372</v>
      </c>
      <c r="C22" s="321">
        <v>5154661132</v>
      </c>
      <c r="D22" s="321">
        <v>2777567140</v>
      </c>
      <c r="E22" s="321">
        <v>4878771322</v>
      </c>
      <c r="F22" s="321">
        <v>6043111455</v>
      </c>
      <c r="G22" s="321">
        <v>4953422362</v>
      </c>
      <c r="H22" s="321"/>
      <c r="I22" s="321"/>
      <c r="J22" s="321"/>
      <c r="K22" s="321"/>
      <c r="L22" s="321"/>
      <c r="M22" s="321"/>
    </row>
    <row r="23" spans="2:13">
      <c r="B23" s="27" t="s">
        <v>374</v>
      </c>
      <c r="C23" s="321">
        <v>-7421783375</v>
      </c>
      <c r="D23" s="321">
        <v>-3462971412</v>
      </c>
      <c r="E23" s="321">
        <v>-2199108158</v>
      </c>
      <c r="F23" s="321">
        <v>-10249763562</v>
      </c>
      <c r="G23" s="321">
        <v>-1487738165</v>
      </c>
      <c r="H23" s="321"/>
      <c r="I23" s="321"/>
      <c r="J23" s="321"/>
      <c r="K23" s="321"/>
      <c r="L23" s="321"/>
      <c r="M23" s="321"/>
    </row>
    <row r="24" spans="2:13">
      <c r="B24" s="27" t="s">
        <v>373</v>
      </c>
      <c r="C24" s="321">
        <v>-2983143705</v>
      </c>
      <c r="D24" s="321">
        <v>-2868065880</v>
      </c>
      <c r="E24" s="321">
        <v>-1675712527</v>
      </c>
      <c r="F24" s="321">
        <v>-1613622636</v>
      </c>
      <c r="G24" s="321">
        <v>-356090851</v>
      </c>
      <c r="H24" s="321"/>
      <c r="I24" s="321"/>
      <c r="J24" s="321"/>
      <c r="K24" s="321"/>
      <c r="L24" s="321"/>
      <c r="M24" s="321"/>
    </row>
    <row r="25" spans="2:13">
      <c r="B25" s="24" t="str">
        <f>"Dividend per share ("&amp;Market_currency&amp;")"</f>
        <v>Dividend per share (HKD)</v>
      </c>
      <c r="C25" s="39">
        <f>2.2/Exchange_Rate</f>
        <v>2.0258623055278089</v>
      </c>
      <c r="D25" s="39">
        <f>2/Exchange_Rate</f>
        <v>1.8416930050252804</v>
      </c>
      <c r="E25" s="39">
        <f>1.3/Exchange_Rate</f>
        <v>1.1971004532664324</v>
      </c>
      <c r="F25" s="39">
        <f>1.1/Exchange_Rate</f>
        <v>1.0129311527639044</v>
      </c>
      <c r="G25" s="39">
        <f>0.75/Exchange_Rate</f>
        <v>0.69063487688448022</v>
      </c>
      <c r="H25" s="39"/>
      <c r="I25" s="39"/>
      <c r="J25" s="39"/>
      <c r="K25" s="39"/>
      <c r="L25" s="39"/>
      <c r="M25" s="39"/>
    </row>
    <row r="27" spans="2:13">
      <c r="B27" s="16" t="s">
        <v>28</v>
      </c>
      <c r="C27" s="97" t="s">
        <v>462</v>
      </c>
    </row>
    <row r="28" spans="2:13">
      <c r="B28" s="26" t="s">
        <v>24</v>
      </c>
      <c r="C28" s="318">
        <f>BS!C4</f>
        <v>185704725</v>
      </c>
      <c r="D28" s="321">
        <v>100391321</v>
      </c>
      <c r="E28" s="321">
        <v>124099728</v>
      </c>
      <c r="F28" s="321">
        <v>124929816</v>
      </c>
      <c r="G28" s="321">
        <v>125155008</v>
      </c>
      <c r="H28" s="321"/>
      <c r="I28" s="321"/>
      <c r="J28" s="321"/>
      <c r="K28" s="321"/>
      <c r="L28" s="321"/>
      <c r="M28" s="321"/>
    </row>
    <row r="29" spans="2:13">
      <c r="B29" s="26" t="s">
        <v>32</v>
      </c>
      <c r="C29" s="318">
        <f>BS!C6</f>
        <v>3576387537</v>
      </c>
      <c r="D29" s="321">
        <v>3539828305</v>
      </c>
      <c r="E29" s="321">
        <v>4152187132</v>
      </c>
      <c r="F29" s="321">
        <v>3492997857</v>
      </c>
      <c r="G29" s="321">
        <v>3281033526</v>
      </c>
      <c r="H29" s="321"/>
      <c r="I29" s="321"/>
      <c r="J29" s="321"/>
      <c r="K29" s="321"/>
      <c r="L29" s="321"/>
      <c r="M29" s="321"/>
    </row>
    <row r="30" spans="2:13">
      <c r="B30" s="29" t="s">
        <v>40</v>
      </c>
      <c r="C30" s="319">
        <f>BS!C33+BS!C42</f>
        <v>21560843821</v>
      </c>
      <c r="D30" s="323">
        <v>21001264174</v>
      </c>
      <c r="E30" s="323">
        <v>24039387261</v>
      </c>
      <c r="F30" s="323">
        <v>22769313149</v>
      </c>
      <c r="G30" s="323">
        <v>20146133669</v>
      </c>
      <c r="H30" s="323"/>
      <c r="I30" s="323"/>
      <c r="J30" s="323"/>
      <c r="K30" s="323"/>
      <c r="L30" s="323"/>
      <c r="M30" s="323"/>
    </row>
    <row r="31" spans="2:13">
      <c r="B31" s="29" t="s">
        <v>30</v>
      </c>
      <c r="C31" s="319">
        <f>BS!G27</f>
        <v>29859542011</v>
      </c>
      <c r="D31" s="323">
        <v>28254747175</v>
      </c>
      <c r="E31" s="323">
        <v>26272312535</v>
      </c>
      <c r="F31" s="323">
        <v>23793691342</v>
      </c>
      <c r="G31" s="323">
        <v>21368052166</v>
      </c>
      <c r="H31" s="323"/>
      <c r="I31" s="323"/>
      <c r="J31" s="323"/>
      <c r="K31" s="323"/>
      <c r="L31" s="323"/>
      <c r="M31" s="323"/>
    </row>
    <row r="32" spans="2:13">
      <c r="B32" s="26" t="s">
        <v>173</v>
      </c>
      <c r="C32" s="318">
        <f>BS!G28</f>
        <v>799157484</v>
      </c>
      <c r="D32" s="321">
        <v>805268959</v>
      </c>
      <c r="E32" s="321">
        <v>777490832</v>
      </c>
      <c r="F32" s="321">
        <v>791846744</v>
      </c>
      <c r="G32" s="321">
        <v>746091651</v>
      </c>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32137830111</v>
      </c>
      <c r="D36" s="318">
        <f t="shared" si="1"/>
        <v>33936522741</v>
      </c>
      <c r="E36" s="318">
        <f t="shared" si="1"/>
        <v>32171565624</v>
      </c>
      <c r="F36" s="318">
        <f t="shared" si="1"/>
        <v>30166805377</v>
      </c>
      <c r="G36" s="318">
        <f t="shared" si="1"/>
        <v>27759710926</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-21538172214</v>
      </c>
      <c r="D37" s="318">
        <f t="shared" si="2"/>
        <v>-23203550387</v>
      </c>
      <c r="E37" s="318">
        <f t="shared" si="2"/>
        <v>-22708660145</v>
      </c>
      <c r="F37" s="318">
        <f t="shared" si="2"/>
        <v>-21409966489</v>
      </c>
      <c r="G37" s="318">
        <f t="shared" si="2"/>
        <v>-18759681723</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10599657897</v>
      </c>
      <c r="D38" s="317">
        <f t="shared" ref="D38" si="3">IF(D36="","",D36+D37)</f>
        <v>10732972354</v>
      </c>
      <c r="E38" s="317">
        <f t="shared" ref="E38" si="4">IF(E36="","",E36+E37)</f>
        <v>9462905479</v>
      </c>
      <c r="F38" s="317">
        <f t="shared" ref="F38" si="5">IF(F36="","",F36+F37)</f>
        <v>8756838888</v>
      </c>
      <c r="G38" s="317">
        <f t="shared" ref="G38" si="6">IF(G36="","",G36+G37)</f>
        <v>9000029203</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-6009098645</v>
      </c>
      <c r="D39" s="318">
        <f t="shared" si="13"/>
        <v>-6227465840</v>
      </c>
      <c r="E39" s="318">
        <f t="shared" si="13"/>
        <v>-5672870751</v>
      </c>
      <c r="F39" s="318">
        <f t="shared" si="13"/>
        <v>-5789419371</v>
      </c>
      <c r="G39" s="318">
        <f t="shared" si="13"/>
        <v>-6662600559</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-4602519864</v>
      </c>
      <c r="D40" s="320">
        <f t="shared" si="14"/>
        <v>-4708402798</v>
      </c>
      <c r="E40" s="320">
        <f t="shared" si="14"/>
        <v>-4199502747</v>
      </c>
      <c r="F40" s="320">
        <f t="shared" si="14"/>
        <v>-4096874125</v>
      </c>
      <c r="G40" s="320">
        <f t="shared" si="14"/>
        <v>-4984549837</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-1406578781</v>
      </c>
      <c r="D41" s="320">
        <f t="shared" ref="D41:M41" si="15">IF(D$4="","",D39-D40)</f>
        <v>-1519063042</v>
      </c>
      <c r="E41" s="320">
        <f t="shared" si="15"/>
        <v>-1473368004</v>
      </c>
      <c r="F41" s="320">
        <f t="shared" si="15"/>
        <v>-1692545246</v>
      </c>
      <c r="G41" s="320">
        <f t="shared" si="15"/>
        <v>-1678050722</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-102766675</v>
      </c>
      <c r="D42" s="318">
        <f t="shared" si="16"/>
        <v>-100637006</v>
      </c>
      <c r="E42" s="318">
        <f t="shared" si="16"/>
        <v>-62954899</v>
      </c>
      <c r="F42" s="318">
        <f t="shared" si="16"/>
        <v>-30890245</v>
      </c>
      <c r="G42" s="318">
        <f t="shared" si="16"/>
        <v>-21467092</v>
      </c>
      <c r="H42" s="318" t="str">
        <f t="shared" si="16"/>
        <v/>
      </c>
      <c r="I42" s="318" t="str">
        <f t="shared" si="16"/>
        <v/>
      </c>
      <c r="J42" s="318" t="str">
        <f t="shared" si="16"/>
        <v/>
      </c>
      <c r="K42" s="318" t="str">
        <f t="shared" si="16"/>
        <v/>
      </c>
      <c r="L42" s="318" t="str">
        <f t="shared" si="16"/>
        <v/>
      </c>
      <c r="M42" s="318" t="str">
        <f t="shared" si="16"/>
        <v/>
      </c>
    </row>
    <row r="43" spans="2:13">
      <c r="B43" s="43" t="s">
        <v>153</v>
      </c>
      <c r="C43" s="319">
        <f>IF(C$4="","",C38+C39+C42)</f>
        <v>4487792577</v>
      </c>
      <c r="D43" s="319">
        <f t="shared" ref="D43:M43" si="17">IF(D$4="","",D38+D39+D42)</f>
        <v>4404869508</v>
      </c>
      <c r="E43" s="319">
        <f t="shared" si="17"/>
        <v>3727079829</v>
      </c>
      <c r="F43" s="319">
        <f t="shared" si="17"/>
        <v>2936529272</v>
      </c>
      <c r="G43" s="319">
        <f t="shared" si="17"/>
        <v>2315961552</v>
      </c>
      <c r="H43" s="319" t="str">
        <f t="shared" si="17"/>
        <v/>
      </c>
      <c r="I43" s="319" t="str">
        <f t="shared" si="17"/>
        <v/>
      </c>
      <c r="J43" s="319" t="str">
        <f t="shared" si="17"/>
        <v/>
      </c>
      <c r="K43" s="319" t="str">
        <f t="shared" si="17"/>
        <v/>
      </c>
      <c r="L43" s="319" t="str">
        <f t="shared" si="17"/>
        <v/>
      </c>
      <c r="M43" s="319" t="str">
        <f t="shared" si="17"/>
        <v/>
      </c>
    </row>
    <row r="44" spans="2:13">
      <c r="B44" s="43" t="s">
        <v>169</v>
      </c>
      <c r="C44" s="180">
        <f t="shared" ref="C44:M44" si="18">IF(C$4="","",C47-C46-C45-C43)</f>
        <v>798766277</v>
      </c>
      <c r="D44" s="180">
        <f t="shared" si="18"/>
        <v>851592381</v>
      </c>
      <c r="E44" s="180">
        <f t="shared" si="18"/>
        <v>828637601</v>
      </c>
      <c r="F44" s="180">
        <f t="shared" si="18"/>
        <v>1249483253</v>
      </c>
      <c r="G44" s="180">
        <f t="shared" si="18"/>
        <v>413221114</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594934146</v>
      </c>
      <c r="D45" s="76">
        <f t="shared" si="19"/>
        <v>489945413</v>
      </c>
      <c r="E45" s="76">
        <f t="shared" si="19"/>
        <v>450423856</v>
      </c>
      <c r="F45" s="76">
        <f t="shared" si="19"/>
        <v>292962940</v>
      </c>
      <c r="G45" s="76">
        <f t="shared" si="19"/>
        <v>510366658</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-1389716314</v>
      </c>
      <c r="D46" s="318">
        <f t="shared" si="20"/>
        <v>-1398208378</v>
      </c>
      <c r="E46" s="318">
        <f t="shared" si="20"/>
        <v>-1201419808</v>
      </c>
      <c r="F46" s="318">
        <f t="shared" si="20"/>
        <v>-1222731595</v>
      </c>
      <c r="G46" s="318">
        <f t="shared" si="20"/>
        <v>-912580519</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4491776686</v>
      </c>
      <c r="D47" s="319">
        <f t="shared" si="21"/>
        <v>4348198924</v>
      </c>
      <c r="E47" s="319">
        <f t="shared" si="21"/>
        <v>3804721478</v>
      </c>
      <c r="F47" s="319">
        <f t="shared" si="21"/>
        <v>3256243870</v>
      </c>
      <c r="G47" s="319">
        <f t="shared" si="21"/>
        <v>2326968805</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-146792828</v>
      </c>
      <c r="D48" s="318">
        <f t="shared" si="22"/>
        <v>-80347518</v>
      </c>
      <c r="E48" s="318">
        <f t="shared" si="22"/>
        <v>-94092885</v>
      </c>
      <c r="F48" s="318">
        <f t="shared" si="22"/>
        <v>-100788060</v>
      </c>
      <c r="G48" s="318">
        <f t="shared" si="22"/>
        <v>-125645249</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-21837054</v>
      </c>
      <c r="D51" s="318">
        <f t="shared" si="23"/>
        <v>-16430590</v>
      </c>
      <c r="E51" s="318">
        <f t="shared" si="23"/>
        <v>-9237800</v>
      </c>
      <c r="F51" s="318">
        <f t="shared" si="23"/>
        <v>-22685367</v>
      </c>
      <c r="G51" s="318">
        <f t="shared" si="23"/>
        <v>-13662682</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616771200</v>
      </c>
      <c r="D52" s="318">
        <f t="shared" si="24"/>
        <v>506376003</v>
      </c>
      <c r="E52" s="318">
        <f t="shared" si="24"/>
        <v>459661656</v>
      </c>
      <c r="F52" s="318">
        <f t="shared" si="24"/>
        <v>315648307</v>
      </c>
      <c r="G52" s="318">
        <f t="shared" si="24"/>
        <v>524029340</v>
      </c>
      <c r="H52" s="318" t="str">
        <f t="shared" si="24"/>
        <v/>
      </c>
      <c r="I52" s="318" t="str">
        <f t="shared" si="24"/>
        <v/>
      </c>
      <c r="J52" s="318" t="str">
        <f t="shared" si="24"/>
        <v/>
      </c>
      <c r="K52" s="318" t="str">
        <f t="shared" si="24"/>
        <v/>
      </c>
      <c r="L52" s="318" t="str">
        <f t="shared" si="24"/>
        <v/>
      </c>
      <c r="M52" s="318" t="str">
        <f t="shared" si="24"/>
        <v/>
      </c>
    </row>
    <row r="54" spans="2:13">
      <c r="B54" s="174" t="s">
        <v>169</v>
      </c>
    </row>
    <row r="55" spans="2:13">
      <c r="B55" s="40" t="s">
        <v>160</v>
      </c>
      <c r="C55" s="76">
        <f t="shared" ref="C55:M55" si="25">IF(C$4="","",C9)</f>
        <v>48272283</v>
      </c>
      <c r="D55" s="76">
        <f t="shared" si="25"/>
        <v>15798284</v>
      </c>
      <c r="E55" s="76">
        <f t="shared" si="25"/>
        <v>19873379</v>
      </c>
      <c r="F55" s="76">
        <f t="shared" si="25"/>
        <v>20561728</v>
      </c>
      <c r="G55" s="76">
        <f t="shared" si="25"/>
        <v>18098320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750493994</v>
      </c>
      <c r="D58" s="76">
        <f t="shared" ref="D58:M58" si="28">IF(D$4="","",D44-D55-D56-D57)</f>
        <v>835794097</v>
      </c>
      <c r="E58" s="76">
        <f t="shared" si="28"/>
        <v>808764222</v>
      </c>
      <c r="F58" s="76">
        <f t="shared" si="28"/>
        <v>1228921525</v>
      </c>
      <c r="G58" s="76">
        <f t="shared" si="28"/>
        <v>395122794</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-1191305772</v>
      </c>
      <c r="D61" s="318">
        <f t="shared" ref="D61:M61" si="29">IF(D$4="","",-D19)</f>
        <v>-1140399624</v>
      </c>
      <c r="E61" s="318">
        <f t="shared" si="29"/>
        <v>-1083856796</v>
      </c>
      <c r="F61" s="318">
        <f t="shared" si="29"/>
        <v>-1109733268</v>
      </c>
      <c r="G61" s="318">
        <f t="shared" si="29"/>
        <v>0</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-1191305772</v>
      </c>
      <c r="D62" s="318">
        <f t="shared" ref="D62:M62" si="30">IF(D$4="","",IF(D20=0,D61,-D20))</f>
        <v>-1140399624</v>
      </c>
      <c r="E62" s="318">
        <f t="shared" si="30"/>
        <v>-1083856796</v>
      </c>
      <c r="F62" s="318">
        <f t="shared" si="30"/>
        <v>-1109733268</v>
      </c>
      <c r="G62" s="318">
        <f t="shared" si="30"/>
        <v>0</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-583532518</v>
      </c>
      <c r="D63" s="318">
        <f t="shared" ref="D63:M63" si="31">IF(D$4="","",-D21)</f>
        <v>-1575918543</v>
      </c>
      <c r="E63" s="318">
        <f t="shared" si="31"/>
        <v>-878667968</v>
      </c>
      <c r="F63" s="318">
        <f t="shared" si="31"/>
        <v>-2804548241</v>
      </c>
      <c r="G63" s="318">
        <f t="shared" si="31"/>
        <v>0</v>
      </c>
      <c r="H63" s="318" t="str">
        <f t="shared" si="31"/>
        <v/>
      </c>
      <c r="I63" s="318" t="str">
        <f t="shared" si="31"/>
        <v/>
      </c>
      <c r="J63" s="318" t="str">
        <f t="shared" si="31"/>
        <v/>
      </c>
      <c r="K63" s="318" t="str">
        <f t="shared" si="31"/>
        <v/>
      </c>
      <c r="L63" s="318" t="str">
        <f t="shared" si="31"/>
        <v/>
      </c>
      <c r="M63" s="318" t="str">
        <f t="shared" si="31"/>
        <v/>
      </c>
    </row>
    <row r="64" spans="2:13">
      <c r="B64" s="27" t="s">
        <v>394</v>
      </c>
      <c r="C64" s="318">
        <f>IF(C$4="","",C22+C23+C24)</f>
        <v>-5250265948</v>
      </c>
      <c r="D64" s="318">
        <f t="shared" ref="D64:M64" si="32">IF(D$4="","",D22+D23+D24)</f>
        <v>-3553470152</v>
      </c>
      <c r="E64" s="318">
        <f t="shared" si="32"/>
        <v>1003950637</v>
      </c>
      <c r="F64" s="318">
        <f t="shared" si="32"/>
        <v>-5820274743</v>
      </c>
      <c r="G64" s="318">
        <f t="shared" si="32"/>
        <v>3109593346</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2.0258623055278089</v>
      </c>
      <c r="D65" s="73">
        <f t="shared" ref="D65:M65" si="33">IF(D$4="","",D25)</f>
        <v>1.8416930050252804</v>
      </c>
      <c r="E65" s="73">
        <f t="shared" si="33"/>
        <v>1.1971004532664324</v>
      </c>
      <c r="F65" s="73">
        <f t="shared" si="33"/>
        <v>1.0129311527639044</v>
      </c>
      <c r="G65" s="73">
        <f t="shared" si="33"/>
        <v>0.69063487688448022</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51420385832</v>
      </c>
      <c r="D76" s="76">
        <f t="shared" ref="D76:M76" si="39">IF(D$4="","",D79+D80)</f>
        <v>49256011349</v>
      </c>
      <c r="E76" s="76">
        <f t="shared" si="39"/>
        <v>50311699796</v>
      </c>
      <c r="F76" s="76">
        <f t="shared" si="39"/>
        <v>46563004491</v>
      </c>
      <c r="G76" s="76">
        <f t="shared" si="39"/>
        <v>41514185835</v>
      </c>
      <c r="H76" s="76" t="str">
        <f t="shared" si="39"/>
        <v/>
      </c>
      <c r="I76" s="76" t="str">
        <f t="shared" si="39"/>
        <v/>
      </c>
      <c r="J76" s="76" t="str">
        <f t="shared" si="39"/>
        <v/>
      </c>
      <c r="K76" s="76" t="str">
        <f t="shared" si="39"/>
        <v/>
      </c>
      <c r="L76" s="76" t="str">
        <f t="shared" si="39"/>
        <v/>
      </c>
      <c r="M76" s="76" t="str">
        <f t="shared" si="39"/>
        <v/>
      </c>
    </row>
    <row r="77" spans="2:13">
      <c r="B77" s="93" t="s">
        <v>86</v>
      </c>
      <c r="C77" s="320">
        <f t="shared" ref="C77:H78" si="40">IF(C$4="","",C28)</f>
        <v>185704725</v>
      </c>
      <c r="D77" s="320">
        <f t="shared" si="40"/>
        <v>100391321</v>
      </c>
      <c r="E77" s="320">
        <f t="shared" si="40"/>
        <v>124099728</v>
      </c>
      <c r="F77" s="320">
        <f t="shared" si="40"/>
        <v>124929816</v>
      </c>
      <c r="G77" s="320">
        <f t="shared" si="40"/>
        <v>125155008</v>
      </c>
      <c r="H77" s="320" t="str">
        <f t="shared" si="40"/>
        <v/>
      </c>
      <c r="I77" s="324"/>
      <c r="J77" s="324"/>
      <c r="K77" s="324"/>
      <c r="L77" s="324"/>
      <c r="M77" s="324"/>
    </row>
    <row r="78" spans="2:13">
      <c r="B78" s="93" t="s">
        <v>87</v>
      </c>
      <c r="C78" s="320">
        <f t="shared" si="40"/>
        <v>3576387537</v>
      </c>
      <c r="D78" s="320">
        <f t="shared" si="40"/>
        <v>3539828305</v>
      </c>
      <c r="E78" s="320">
        <f t="shared" si="40"/>
        <v>4152187132</v>
      </c>
      <c r="F78" s="320">
        <f t="shared" si="40"/>
        <v>3492997857</v>
      </c>
      <c r="G78" s="320">
        <f t="shared" si="40"/>
        <v>3281033526</v>
      </c>
      <c r="H78" s="320" t="str">
        <f t="shared" si="40"/>
        <v/>
      </c>
      <c r="I78" s="324"/>
      <c r="J78" s="324"/>
      <c r="K78" s="324"/>
      <c r="L78" s="324"/>
      <c r="M78" s="324"/>
    </row>
    <row r="79" spans="2:13">
      <c r="B79" s="26" t="s">
        <v>40</v>
      </c>
      <c r="C79" s="318">
        <f t="shared" ref="C79:M79" si="41">IF(C$4="","",C30)</f>
        <v>21560843821</v>
      </c>
      <c r="D79" s="318">
        <f t="shared" si="41"/>
        <v>21001264174</v>
      </c>
      <c r="E79" s="318">
        <f t="shared" si="41"/>
        <v>24039387261</v>
      </c>
      <c r="F79" s="318">
        <f t="shared" si="41"/>
        <v>22769313149</v>
      </c>
      <c r="G79" s="318">
        <f t="shared" si="41"/>
        <v>20146133669</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29859542011</v>
      </c>
      <c r="D80" s="318">
        <f t="shared" si="42"/>
        <v>28254747175</v>
      </c>
      <c r="E80" s="318">
        <f t="shared" si="42"/>
        <v>26272312535</v>
      </c>
      <c r="F80" s="318">
        <f t="shared" si="42"/>
        <v>23793691342</v>
      </c>
      <c r="G80" s="318">
        <f t="shared" si="42"/>
        <v>21368052166</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102420347+83284378</f>
        <v>185704725</v>
      </c>
      <c r="D4" s="261">
        <v>0.6</v>
      </c>
      <c r="E4" s="25"/>
      <c r="F4" s="4" t="s">
        <v>78</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178</v>
      </c>
      <c r="G6" s="19">
        <v>0</v>
      </c>
      <c r="H6" s="261">
        <v>0.6</v>
      </c>
    </row>
    <row r="7" spans="2:8" ht="15" customHeight="1">
      <c r="B7" s="1" t="s">
        <v>69</v>
      </c>
      <c r="C7" s="19">
        <v>0</v>
      </c>
      <c r="D7" s="261">
        <v>0.6</v>
      </c>
      <c r="E7" s="25"/>
      <c r="F7" s="4" t="s">
        <v>179</v>
      </c>
      <c r="G7" s="19">
        <v>2021804089</v>
      </c>
      <c r="H7" s="261">
        <v>0.6</v>
      </c>
    </row>
    <row r="8" spans="2:8" ht="15" customHeight="1">
      <c r="B8" s="1" t="s">
        <v>174</v>
      </c>
      <c r="C8" s="19">
        <v>0</v>
      </c>
      <c r="D8" s="261">
        <v>0.6</v>
      </c>
      <c r="E8" s="25"/>
      <c r="F8" s="1" t="s">
        <v>180</v>
      </c>
      <c r="G8" s="19">
        <v>0</v>
      </c>
      <c r="H8" s="261">
        <v>0.6</v>
      </c>
    </row>
    <row r="9" spans="2:8" ht="15" customHeight="1">
      <c r="B9" s="4" t="s">
        <v>25</v>
      </c>
      <c r="C9" s="19">
        <v>241896760</v>
      </c>
      <c r="D9" s="261">
        <v>0.1</v>
      </c>
      <c r="E9" s="25"/>
      <c r="F9" s="4" t="s">
        <v>181</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2498379750</v>
      </c>
      <c r="H17" s="261">
        <v>0.6</v>
      </c>
    </row>
    <row r="18" spans="2:8" ht="15" customHeight="1">
      <c r="B18" s="4" t="s">
        <v>174</v>
      </c>
      <c r="C18" s="19">
        <v>0</v>
      </c>
      <c r="D18" s="261">
        <v>0.6</v>
      </c>
      <c r="F18" s="4" t="s">
        <v>182</v>
      </c>
      <c r="G18" s="19">
        <v>0</v>
      </c>
      <c r="H18" s="261">
        <v>0.1</v>
      </c>
    </row>
    <row r="19" spans="2:8" ht="15" customHeight="1">
      <c r="B19" s="4" t="s">
        <v>26</v>
      </c>
      <c r="C19" s="19">
        <f>11817650634+630874619+115672625+85702449</f>
        <v>12649900327</v>
      </c>
      <c r="D19" s="261">
        <v>0.1</v>
      </c>
      <c r="F19" s="4" t="s">
        <v>183</v>
      </c>
      <c r="G19" s="19">
        <v>391873803</v>
      </c>
      <c r="H19" s="261">
        <v>0.1</v>
      </c>
    </row>
    <row r="20" spans="2:8" ht="15" customHeight="1">
      <c r="B20" s="4" t="s">
        <v>18</v>
      </c>
      <c r="C20" s="19">
        <v>0</v>
      </c>
      <c r="D20" s="261">
        <v>0.05</v>
      </c>
      <c r="F20" s="4" t="s">
        <v>180</v>
      </c>
      <c r="G20" s="19">
        <v>0</v>
      </c>
      <c r="H20" s="261">
        <v>0.2</v>
      </c>
    </row>
    <row r="21" spans="2:8" ht="15" customHeight="1">
      <c r="B21" s="4" t="s">
        <v>19</v>
      </c>
      <c r="C21" s="19">
        <v>2684120584</v>
      </c>
      <c r="D21" s="261">
        <v>0.05</v>
      </c>
      <c r="F21" s="1" t="s">
        <v>181</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182" t="s">
        <v>137</v>
      </c>
      <c r="F26" s="184" t="s">
        <v>197</v>
      </c>
      <c r="G26" s="185" t="s">
        <v>137</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245</v>
      </c>
      <c r="G28" s="12">
        <v>799157484</v>
      </c>
      <c r="H28" s="188"/>
    </row>
    <row r="29" spans="2:8" ht="15" customHeight="1">
      <c r="B29" s="4" t="s">
        <v>7</v>
      </c>
      <c r="C29" s="19">
        <v>0</v>
      </c>
      <c r="F29" s="190" t="s">
        <v>76</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204</v>
      </c>
      <c r="C31" s="81">
        <f>SUM(C27:C30)</f>
        <v>217159673</v>
      </c>
      <c r="F31" s="190" t="s">
        <v>77</v>
      </c>
      <c r="G31" s="191">
        <f>C31+C40</f>
        <v>285396383</v>
      </c>
      <c r="H31" s="188"/>
    </row>
    <row r="32" spans="2:8" ht="15" customHeight="1">
      <c r="B32" s="4" t="s">
        <v>9</v>
      </c>
      <c r="C32" s="21">
        <f>C33-C31</f>
        <v>17305171626</v>
      </c>
      <c r="F32" s="192" t="s">
        <v>75</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28488416376</v>
      </c>
      <c r="H35" s="200">
        <f>D12+D24</f>
        <v>5119255394.3000002</v>
      </c>
    </row>
    <row r="36" spans="2:8" ht="15" customHeight="1">
      <c r="B36" s="4" t="s">
        <v>13</v>
      </c>
      <c r="C36" s="19">
        <v>0</v>
      </c>
      <c r="F36" s="190" t="s">
        <v>198</v>
      </c>
      <c r="G36" s="191">
        <f>C4+C15</f>
        <v>185704725</v>
      </c>
      <c r="H36" s="195"/>
    </row>
    <row r="37" spans="2:8" ht="15" customHeight="1">
      <c r="B37" s="4" t="s">
        <v>14</v>
      </c>
      <c r="C37" s="19">
        <v>68236710</v>
      </c>
      <c r="F37" s="190" t="s">
        <v>199</v>
      </c>
      <c r="G37" s="191">
        <f>C6</f>
        <v>3576387537</v>
      </c>
      <c r="H37" s="195"/>
    </row>
    <row r="38" spans="2:8" ht="15" customHeight="1">
      <c r="B38" s="4" t="s">
        <v>15</v>
      </c>
      <c r="C38" s="19">
        <v>0</v>
      </c>
      <c r="F38" s="190" t="s">
        <v>200</v>
      </c>
      <c r="G38" s="191">
        <f>C7+C17</f>
        <v>0</v>
      </c>
      <c r="H38" s="195"/>
    </row>
    <row r="39" spans="2:8" ht="15" customHeight="1">
      <c r="B39" s="2" t="s">
        <v>16</v>
      </c>
      <c r="C39" s="19">
        <v>0</v>
      </c>
      <c r="F39" s="190" t="s">
        <v>80</v>
      </c>
      <c r="G39" s="191">
        <f>C7+C17+C19+C20</f>
        <v>12649900327</v>
      </c>
      <c r="H39" s="188">
        <f>C7*D7+C17*D17+C19*D19+C20*D20</f>
        <v>1264990032.7</v>
      </c>
    </row>
    <row r="40" spans="2:8" ht="15" customHeight="1">
      <c r="B40" s="80" t="s">
        <v>205</v>
      </c>
      <c r="C40" s="81">
        <f>SUM(C36:C39)</f>
        <v>68236710</v>
      </c>
      <c r="F40" s="199" t="s">
        <v>139</v>
      </c>
      <c r="G40" s="193">
        <f>G12+G24</f>
        <v>22931969456</v>
      </c>
      <c r="H40" s="200">
        <f>H12+H24</f>
        <v>18936307181.899998</v>
      </c>
    </row>
    <row r="41" spans="2:8" ht="15" customHeight="1">
      <c r="B41" s="4" t="s">
        <v>17</v>
      </c>
      <c r="C41" s="21">
        <f>C42-C40</f>
        <v>3970275812</v>
      </c>
      <c r="F41" s="190" t="s">
        <v>192</v>
      </c>
      <c r="G41" s="191">
        <f>C70</f>
        <v>17978772896</v>
      </c>
      <c r="H41" s="200">
        <f>H40-H42</f>
        <v>16180895606.399998</v>
      </c>
    </row>
    <row r="42" spans="2:8" ht="15" customHeight="1">
      <c r="B42" s="83" t="s">
        <v>22</v>
      </c>
      <c r="C42" s="84">
        <v>4038512522</v>
      </c>
      <c r="F42" s="201" t="s">
        <v>193</v>
      </c>
      <c r="G42" s="202">
        <f>C82</f>
        <v>4953196560</v>
      </c>
      <c r="H42" s="203">
        <f>D82</f>
        <v>2755411575.5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29060384527</v>
      </c>
      <c r="D46" s="76">
        <f>H29</f>
        <v>1695561271.1999969</v>
      </c>
      <c r="F46" s="253"/>
    </row>
    <row r="47" spans="2:8" ht="15" customHeight="1">
      <c r="B47" s="1" t="str">
        <f>"Equity per share ("&amp;Market_currency&amp;")"</f>
        <v>Equity per share (HKD)</v>
      </c>
      <c r="C47" s="147">
        <f>C46*H1/Common_Shares*Exchange_Rate</f>
        <v>23.133273422654021</v>
      </c>
      <c r="D47" s="147">
        <f>D46*H1/Common_Shares*Exchange_Rate</f>
        <v>1.3497372154552687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7.3592411949940734E-2</v>
      </c>
      <c r="D50" s="95">
        <f>G31/Normalized_FCF!G8</f>
        <v>6.3593933566061064E-2</v>
      </c>
      <c r="F50" s="253"/>
    </row>
    <row r="51" spans="2:8" ht="15" customHeight="1">
      <c r="B51" s="1" t="s">
        <v>177</v>
      </c>
      <c r="C51" s="181"/>
      <c r="D51" s="92">
        <f>G29/G32</f>
        <v>0.56515298469260233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0.1361278920921285</v>
      </c>
      <c r="D54" s="92">
        <f>Normalized_FCF!G8/G35</f>
        <v>0.15753043334415495</v>
      </c>
      <c r="F54" s="253"/>
    </row>
    <row r="55" spans="2:8" ht="15" customHeight="1">
      <c r="B55" s="1" t="s">
        <v>142</v>
      </c>
      <c r="C55" s="92">
        <f>Normalized_FCF!C11/G40</f>
        <v>0</v>
      </c>
      <c r="D55" s="92">
        <f>Normalized_FCF!G11/G40</f>
        <v>2.1050212495974641E-3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9.4175111360938715E-2</v>
      </c>
      <c r="F58" s="5"/>
    </row>
    <row r="59" spans="2:8" ht="15" customHeight="1">
      <c r="B59" s="1" t="s">
        <v>93</v>
      </c>
      <c r="C59" s="98"/>
      <c r="D59" s="92">
        <f>G39/G32</f>
        <v>0.24600944007556819</v>
      </c>
      <c r="F59" s="253"/>
    </row>
    <row r="60" spans="2:8" ht="15" customHeight="1">
      <c r="F60" s="253"/>
    </row>
    <row r="61" spans="2:8" ht="15" customHeight="1">
      <c r="B61" s="157" t="s">
        <v>275</v>
      </c>
      <c r="C61" s="235" t="s">
        <v>138</v>
      </c>
      <c r="D61" s="197" t="s">
        <v>96</v>
      </c>
      <c r="F61" s="253"/>
    </row>
    <row r="62" spans="2:8" ht="15" customHeight="1">
      <c r="B62" s="1" t="s">
        <v>246</v>
      </c>
      <c r="C62" s="92">
        <f>IF(G28&lt;=0,0,G28/G29)</f>
        <v>2.749989365273205E-2</v>
      </c>
      <c r="D62" s="92">
        <f>G28/G29</f>
        <v>2.749989365273205E-2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17978772896</v>
      </c>
      <c r="D66" s="76">
        <f>C66-D75</f>
        <v>12813974938.821075</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17978772896</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-2534476032.0109425</v>
      </c>
      <c r="D73" s="355">
        <f>(Normalized_FCF!C25+Normalized_FCF!C35-Normalized_FCF!C91)/12</f>
        <v>-2582398978.5894628</v>
      </c>
      <c r="F73" s="1" t="s">
        <v>352</v>
      </c>
    </row>
    <row r="74" spans="2:6" ht="15" customHeight="1">
      <c r="B74" s="257" t="s">
        <v>322</v>
      </c>
      <c r="C74" s="258">
        <f>-$C$66/C73</f>
        <v>7.0936843232780582</v>
      </c>
      <c r="D74" s="258">
        <f>-$C$66/D73</f>
        <v>6.9620430634696975</v>
      </c>
      <c r="F74" s="253" t="s">
        <v>320</v>
      </c>
    </row>
    <row r="75" spans="2:6" ht="15" customHeight="1">
      <c r="B75" s="80" t="s">
        <v>321</v>
      </c>
      <c r="C75" s="326"/>
      <c r="D75" s="327">
        <f>MAX(-D73*D76,G5)</f>
        <v>5164797957.1789255</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4520183839</v>
      </c>
      <c r="D79" s="76">
        <f>G7*H7+G17*H17</f>
        <v>2712110303.3999996</v>
      </c>
      <c r="F79" s="253"/>
    </row>
    <row r="80" spans="2:6" ht="15" customHeight="1">
      <c r="B80" s="105" t="s">
        <v>183</v>
      </c>
      <c r="C80" s="20">
        <f>G19</f>
        <v>391873803</v>
      </c>
      <c r="D80" s="76">
        <f>G19*H19</f>
        <v>39187380.300000004</v>
      </c>
      <c r="F80" s="253"/>
    </row>
    <row r="81" spans="2:8" ht="15" customHeight="1">
      <c r="B81" s="105" t="s">
        <v>181</v>
      </c>
      <c r="C81" s="20">
        <f>G9+G21</f>
        <v>41138918</v>
      </c>
      <c r="D81" s="76">
        <f>G9*H9+G21*H21</f>
        <v>4113891.8000000003</v>
      </c>
      <c r="F81" s="253"/>
    </row>
    <row r="82" spans="2:8" ht="15" customHeight="1">
      <c r="B82" s="80" t="s">
        <v>190</v>
      </c>
      <c r="C82" s="81">
        <f>SUM(C79:C81)</f>
        <v>4953196560</v>
      </c>
      <c r="D82" s="81">
        <f>SUM(D79:D81)</f>
        <v>2755411575.5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-309928291.22037351</v>
      </c>
      <c r="D86" s="223">
        <f>C86*scaling_factor/Common_Shares</f>
        <v>-0.22718737791103311</v>
      </c>
      <c r="E86" s="240" t="str">
        <f>Market_currency</f>
        <v>HKD</v>
      </c>
    </row>
    <row r="87" spans="2:8" ht="15" customHeight="1">
      <c r="B87" s="238" t="s">
        <v>288</v>
      </c>
      <c r="C87" s="76">
        <f>DCF!C8*Exchange_Rate</f>
        <v>13915429883.109297</v>
      </c>
      <c r="D87" s="223">
        <f>C87*scaling_factor/Common_Shares</f>
        <v>10.200456419128658</v>
      </c>
      <c r="E87" s="240" t="str">
        <f>Market_currency</f>
        <v>HKD</v>
      </c>
    </row>
    <row r="88" spans="2:8" ht="15" customHeight="1">
      <c r="B88" s="239" t="s">
        <v>190</v>
      </c>
      <c r="C88" s="76">
        <f>DCF!C9*Exchange_Rate</f>
        <v>2992259370.0269575</v>
      </c>
      <c r="D88" s="223">
        <f>C88*scaling_factor/Common_Shares</f>
        <v>2.1934220900884847</v>
      </c>
      <c r="E88" s="240" t="str">
        <f>Market_currency</f>
        <v>HKD</v>
      </c>
    </row>
    <row r="89" spans="2:8" ht="15" customHeight="1">
      <c r="B89" s="80" t="s">
        <v>292</v>
      </c>
      <c r="C89" s="180">
        <f>SUM(C86:C88)</f>
        <v>16597760961.915882</v>
      </c>
      <c r="D89" s="242">
        <f>SUM(D86:D88)</f>
        <v>12.166691131306109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AVERAGE(G4:J4)</f>
        <v>32103180963.25</v>
      </c>
      <c r="D4" s="57"/>
      <c r="E4" s="266"/>
      <c r="F4" s="57"/>
      <c r="G4" s="339">
        <f>Data!C36</f>
        <v>32137830111</v>
      </c>
      <c r="H4" s="339">
        <f>Data!D36</f>
        <v>33936522741</v>
      </c>
      <c r="I4" s="339">
        <f>Data!E36</f>
        <v>32171565624</v>
      </c>
      <c r="J4" s="339">
        <f>Data!F36</f>
        <v>30166805377</v>
      </c>
      <c r="K4" s="339">
        <f>Data!G36</f>
        <v>27759710926</v>
      </c>
      <c r="L4" s="339" t="str">
        <f>Data!H36</f>
        <v/>
      </c>
      <c r="M4" s="339" t="str">
        <f>Data!I36</f>
        <v/>
      </c>
      <c r="N4" s="339" t="str">
        <f>Data!J36</f>
        <v/>
      </c>
      <c r="O4" s="339" t="str">
        <f>Data!K36</f>
        <v/>
      </c>
      <c r="P4" s="339" t="str">
        <f>Data!L36</f>
        <v/>
      </c>
      <c r="Q4" s="339" t="str">
        <f>Data!M36</f>
        <v/>
      </c>
    </row>
    <row r="5" spans="1:17" ht="15.75" customHeight="1">
      <c r="A5" s="10"/>
      <c r="B5" s="2" t="s">
        <v>46</v>
      </c>
      <c r="C5" s="334">
        <f>C25</f>
        <v>-26627911918.442245</v>
      </c>
      <c r="E5" s="268"/>
      <c r="G5" s="339">
        <f t="shared" ref="G5:Q5" si="1">G25</f>
        <v>-26140692078</v>
      </c>
      <c r="H5" s="339">
        <f t="shared" si="1"/>
        <v>-27911953185</v>
      </c>
      <c r="I5" s="339">
        <f t="shared" si="1"/>
        <v>-26908162892</v>
      </c>
      <c r="J5" s="339">
        <f t="shared" si="1"/>
        <v>-25506840614</v>
      </c>
      <c r="K5" s="339">
        <f t="shared" si="1"/>
        <v>-23744231560</v>
      </c>
      <c r="L5" s="339" t="str">
        <f t="shared" si="1"/>
        <v/>
      </c>
      <c r="M5" s="339" t="str">
        <f t="shared" si="1"/>
        <v/>
      </c>
      <c r="N5" s="339" t="str">
        <f t="shared" si="1"/>
        <v/>
      </c>
      <c r="O5" s="339" t="str">
        <f t="shared" si="1"/>
        <v/>
      </c>
      <c r="P5" s="339" t="str">
        <f t="shared" si="1"/>
        <v/>
      </c>
      <c r="Q5" s="339" t="str">
        <f t="shared" si="1"/>
        <v/>
      </c>
    </row>
    <row r="6" spans="1:17" ht="15.75" customHeight="1">
      <c r="A6" s="10"/>
      <c r="B6" s="31" t="s">
        <v>48</v>
      </c>
      <c r="C6" s="335">
        <f>C4+C5</f>
        <v>5475269044.8077545</v>
      </c>
      <c r="E6" s="268"/>
      <c r="G6" s="335">
        <f>IF(G4="","",G4+G5)</f>
        <v>5997138033</v>
      </c>
      <c r="H6" s="335">
        <f t="shared" ref="H6:Q6" si="2">IF(H4="","",H4+H5)</f>
        <v>6024569556</v>
      </c>
      <c r="I6" s="335">
        <f t="shared" si="2"/>
        <v>5263402732</v>
      </c>
      <c r="J6" s="335">
        <f t="shared" si="2"/>
        <v>4659964763</v>
      </c>
      <c r="K6" s="335">
        <f t="shared" si="2"/>
        <v>4015479366</v>
      </c>
      <c r="L6" s="335" t="str">
        <f t="shared" si="2"/>
        <v/>
      </c>
      <c r="M6" s="335" t="str">
        <f t="shared" si="2"/>
        <v/>
      </c>
      <c r="N6" s="335" t="str">
        <f t="shared" si="2"/>
        <v/>
      </c>
      <c r="O6" s="335" t="str">
        <f t="shared" si="2"/>
        <v/>
      </c>
      <c r="P6" s="335" t="str">
        <f t="shared" si="2"/>
        <v/>
      </c>
      <c r="Q6" s="335" t="str">
        <f t="shared" si="2"/>
        <v/>
      </c>
    </row>
    <row r="7" spans="1:17" ht="15.75" customHeight="1">
      <c r="A7" s="10"/>
      <c r="B7" s="8" t="s">
        <v>45</v>
      </c>
      <c r="C7" s="334">
        <f>C35</f>
        <v>-1597200974.5</v>
      </c>
      <c r="E7" s="268"/>
      <c r="G7" s="334">
        <f t="shared" ref="G7:Q7" si="3">G35</f>
        <v>-1509345456</v>
      </c>
      <c r="H7" s="334">
        <f t="shared" si="3"/>
        <v>-1619700048</v>
      </c>
      <c r="I7" s="334">
        <f t="shared" si="3"/>
        <v>-1536322903</v>
      </c>
      <c r="J7" s="334">
        <f t="shared" si="3"/>
        <v>-1723435491</v>
      </c>
      <c r="K7" s="334">
        <f t="shared" si="3"/>
        <v>-1699517814</v>
      </c>
      <c r="L7" s="334" t="str">
        <f t="shared" si="3"/>
        <v/>
      </c>
      <c r="M7" s="334" t="str">
        <f t="shared" si="3"/>
        <v/>
      </c>
      <c r="N7" s="334" t="str">
        <f t="shared" si="3"/>
        <v/>
      </c>
      <c r="O7" s="334" t="str">
        <f t="shared" si="3"/>
        <v/>
      </c>
      <c r="P7" s="334" t="str">
        <f t="shared" si="3"/>
        <v/>
      </c>
      <c r="Q7" s="334" t="str">
        <f t="shared" si="3"/>
        <v/>
      </c>
    </row>
    <row r="8" spans="1:17" ht="15.75" customHeight="1">
      <c r="A8" s="10"/>
      <c r="B8" s="29" t="s">
        <v>153</v>
      </c>
      <c r="C8" s="336">
        <f>C6+C7</f>
        <v>3878068070.3077545</v>
      </c>
      <c r="D8" s="59"/>
      <c r="E8" s="274"/>
      <c r="F8" s="59"/>
      <c r="G8" s="335">
        <f>IF(G$4="","",G6+G7)</f>
        <v>4487792577</v>
      </c>
      <c r="H8" s="335">
        <f t="shared" ref="H8:Q8" si="4">IF(H$4="","",H6+H7)</f>
        <v>4404869508</v>
      </c>
      <c r="I8" s="335">
        <f t="shared" si="4"/>
        <v>3727079829</v>
      </c>
      <c r="J8" s="335">
        <f t="shared" si="4"/>
        <v>2936529272</v>
      </c>
      <c r="K8" s="335">
        <f t="shared" si="4"/>
        <v>2315961552</v>
      </c>
      <c r="L8" s="335" t="str">
        <f t="shared" si="4"/>
        <v/>
      </c>
      <c r="M8" s="335" t="str">
        <f t="shared" si="4"/>
        <v/>
      </c>
      <c r="N8" s="335" t="str">
        <f t="shared" si="4"/>
        <v/>
      </c>
      <c r="O8" s="335" t="str">
        <f t="shared" si="4"/>
        <v/>
      </c>
      <c r="P8" s="335" t="str">
        <f t="shared" si="4"/>
        <v/>
      </c>
      <c r="Q8" s="335" t="str">
        <f t="shared" si="4"/>
        <v/>
      </c>
    </row>
    <row r="9" spans="1:17" ht="15.75" customHeight="1">
      <c r="A9" s="10"/>
      <c r="B9" s="2" t="s">
        <v>65</v>
      </c>
      <c r="C9" s="334">
        <f>BS!$G$39*BS!D58</f>
        <v>1191305772</v>
      </c>
      <c r="E9" s="268"/>
      <c r="G9" s="334">
        <f>IF(Data!C61="","",-Data!C61)</f>
        <v>1191305772</v>
      </c>
      <c r="H9" s="334">
        <f>IF(Data!D61="","",-Data!D61)</f>
        <v>1140399624</v>
      </c>
      <c r="I9" s="334">
        <f>IF(Data!E61="","",-Data!E61)</f>
        <v>1083856796</v>
      </c>
      <c r="J9" s="334">
        <f>IF(Data!F61="","",-Data!F61)</f>
        <v>1109733268</v>
      </c>
      <c r="K9" s="334">
        <f>IF(Data!G61="","",-Data!G61)</f>
        <v>0</v>
      </c>
      <c r="L9" s="334" t="str">
        <f>IF(Data!H61="","",-Data!H61)</f>
        <v/>
      </c>
      <c r="M9" s="334" t="str">
        <f>IF(Data!I61="","",-Data!I61)</f>
        <v/>
      </c>
      <c r="N9" s="334" t="str">
        <f>IF(Data!J61="","",-Data!J61)</f>
        <v/>
      </c>
      <c r="O9" s="334" t="str">
        <f>IF(Data!K61="","",-Data!K61)</f>
        <v/>
      </c>
      <c r="P9" s="334" t="str">
        <f>IF(Data!L61="","",-Data!L61)</f>
        <v/>
      </c>
      <c r="Q9" s="334" t="str">
        <f>IF(Data!M61="","",-Data!M61)</f>
        <v/>
      </c>
    </row>
    <row r="10" spans="1:17" ht="15.75" customHeight="1">
      <c r="A10" s="10"/>
      <c r="B10" s="2" t="s">
        <v>81</v>
      </c>
      <c r="C10" s="334">
        <f>-C4*C78</f>
        <v>-1191305772</v>
      </c>
      <c r="E10" s="268"/>
      <c r="G10" s="334">
        <f>Data!C62</f>
        <v>-1191305772</v>
      </c>
      <c r="H10" s="334">
        <f>Data!D62</f>
        <v>-1140399624</v>
      </c>
      <c r="I10" s="334">
        <f>Data!E62</f>
        <v>-1083856796</v>
      </c>
      <c r="J10" s="334">
        <f>Data!F62</f>
        <v>-1109733268</v>
      </c>
      <c r="K10" s="334">
        <f>Data!G62</f>
        <v>0</v>
      </c>
      <c r="L10" s="334" t="str">
        <f>Data!H62</f>
        <v/>
      </c>
      <c r="M10" s="334" t="str">
        <f>Data!I62</f>
        <v/>
      </c>
      <c r="N10" s="334" t="str">
        <f>Data!J62</f>
        <v/>
      </c>
      <c r="O10" s="334" t="str">
        <f>Data!K62</f>
        <v/>
      </c>
      <c r="P10" s="334" t="str">
        <f>Data!L62</f>
        <v/>
      </c>
      <c r="Q10" s="334" t="str">
        <f>Data!M62</f>
        <v/>
      </c>
    </row>
    <row r="11" spans="1:17" ht="15.75" customHeight="1">
      <c r="A11" s="10"/>
      <c r="B11" s="31" t="s">
        <v>195</v>
      </c>
      <c r="C11" s="337">
        <f>C63</f>
        <v>0</v>
      </c>
      <c r="D11" s="168"/>
      <c r="E11" s="267"/>
      <c r="F11" s="168"/>
      <c r="G11" s="340">
        <f>G61</f>
        <v>48272283</v>
      </c>
      <c r="H11" s="340">
        <f t="shared" ref="H11:Q11" si="5">H61</f>
        <v>15798284</v>
      </c>
      <c r="I11" s="340">
        <f t="shared" si="5"/>
        <v>19873379</v>
      </c>
      <c r="J11" s="340">
        <f t="shared" si="5"/>
        <v>20561728</v>
      </c>
      <c r="K11" s="340">
        <f t="shared" si="5"/>
        <v>18098320</v>
      </c>
      <c r="L11" s="340" t="str">
        <f t="shared" si="5"/>
        <v/>
      </c>
      <c r="M11" s="340" t="str">
        <f t="shared" si="5"/>
        <v/>
      </c>
      <c r="N11" s="340" t="str">
        <f t="shared" si="5"/>
        <v/>
      </c>
      <c r="O11" s="340" t="str">
        <f t="shared" si="5"/>
        <v/>
      </c>
      <c r="P11" s="340" t="str">
        <f t="shared" si="5"/>
        <v/>
      </c>
      <c r="Q11" s="340" t="str">
        <f t="shared" si="5"/>
        <v/>
      </c>
    </row>
    <row r="12" spans="1:17" ht="15.75" customHeight="1">
      <c r="A12" s="10"/>
      <c r="B12" s="2" t="s">
        <v>68</v>
      </c>
      <c r="C12" s="334">
        <f>C50</f>
        <v>155344039.07201487</v>
      </c>
      <c r="E12" s="268"/>
      <c r="G12" s="334">
        <f>G50</f>
        <v>155344039.07201487</v>
      </c>
      <c r="H12" s="334">
        <f t="shared" ref="H12:Q12" si="6">H50</f>
        <v>129037054.59329143</v>
      </c>
      <c r="I12" s="334">
        <f t="shared" si="6"/>
        <v>122810120.93627666</v>
      </c>
      <c r="J12" s="334">
        <f t="shared" si="6"/>
        <v>67991551.864873901</v>
      </c>
      <c r="K12" s="334">
        <f t="shared" si="6"/>
        <v>136876271.93138739</v>
      </c>
      <c r="L12" s="334" t="str">
        <f t="shared" si="6"/>
        <v/>
      </c>
      <c r="M12" s="334" t="str">
        <f t="shared" si="6"/>
        <v/>
      </c>
      <c r="N12" s="334" t="str">
        <f t="shared" si="6"/>
        <v/>
      </c>
      <c r="O12" s="334" t="str">
        <f t="shared" si="6"/>
        <v/>
      </c>
      <c r="P12" s="334" t="str">
        <f t="shared" si="6"/>
        <v/>
      </c>
      <c r="Q12" s="334" t="str">
        <f t="shared" si="6"/>
        <v/>
      </c>
    </row>
    <row r="13" spans="1:17" ht="15.75" customHeight="1">
      <c r="A13" s="10"/>
      <c r="B13" s="70" t="s">
        <v>165</v>
      </c>
      <c r="C13" s="335">
        <f>SUM(C8:C12)</f>
        <v>4033412109.3797693</v>
      </c>
      <c r="E13" s="268"/>
      <c r="G13" s="335">
        <f>IF(G$4="","",SUM(G8:G12))</f>
        <v>4691408899.0720148</v>
      </c>
      <c r="H13" s="335">
        <f t="shared" ref="H13:Q13" si="7">IF(H$4="","",SUM(H8:H12))</f>
        <v>4549704846.5932913</v>
      </c>
      <c r="I13" s="335">
        <f t="shared" si="7"/>
        <v>3869763328.9362764</v>
      </c>
      <c r="J13" s="335">
        <f t="shared" si="7"/>
        <v>3025082551.8648739</v>
      </c>
      <c r="K13" s="335">
        <f t="shared" si="7"/>
        <v>2470936143.9313874</v>
      </c>
      <c r="L13" s="335" t="str">
        <f t="shared" si="7"/>
        <v/>
      </c>
      <c r="M13" s="335" t="str">
        <f t="shared" si="7"/>
        <v/>
      </c>
      <c r="N13" s="335" t="str">
        <f t="shared" si="7"/>
        <v/>
      </c>
      <c r="O13" s="335" t="str">
        <f t="shared" si="7"/>
        <v/>
      </c>
      <c r="P13" s="335" t="str">
        <f t="shared" si="7"/>
        <v/>
      </c>
      <c r="Q13" s="335" t="str">
        <f t="shared" si="7"/>
        <v/>
      </c>
    </row>
    <row r="14" spans="1:17" ht="15.75" customHeight="1">
      <c r="A14" s="10"/>
      <c r="B14" s="2" t="s">
        <v>63</v>
      </c>
      <c r="C14" s="334">
        <f>-SUM(C8+C11,C12)*C43</f>
        <v>-1008353027.3449423</v>
      </c>
      <c r="E14" s="268"/>
      <c r="G14" s="334">
        <f>Data!C46</f>
        <v>-1389716314</v>
      </c>
      <c r="H14" s="334">
        <f>Data!D46</f>
        <v>-1398208378</v>
      </c>
      <c r="I14" s="334">
        <f>Data!E46</f>
        <v>-1201419808</v>
      </c>
      <c r="J14" s="334">
        <f>Data!F46</f>
        <v>-1222731595</v>
      </c>
      <c r="K14" s="334">
        <f>Data!G46</f>
        <v>-912580519</v>
      </c>
      <c r="L14" s="334" t="str">
        <f>Data!H46</f>
        <v/>
      </c>
      <c r="M14" s="334" t="str">
        <f>Data!I46</f>
        <v/>
      </c>
      <c r="N14" s="334" t="str">
        <f>Data!J46</f>
        <v/>
      </c>
      <c r="O14" s="334" t="str">
        <f>Data!K46</f>
        <v/>
      </c>
      <c r="P14" s="334" t="str">
        <f>Data!L46</f>
        <v/>
      </c>
      <c r="Q14" s="334" t="str">
        <f>Data!M46</f>
        <v/>
      </c>
    </row>
    <row r="15" spans="1:17" ht="15.75" customHeight="1">
      <c r="A15" s="10"/>
      <c r="B15" s="40" t="s">
        <v>244</v>
      </c>
      <c r="C15" s="334">
        <f>-C4*C83</f>
        <v>-146634564.47167698</v>
      </c>
      <c r="D15" s="60"/>
      <c r="E15" s="275"/>
      <c r="F15" s="60"/>
      <c r="G15" s="339">
        <f>Data!C48</f>
        <v>-146792828</v>
      </c>
      <c r="H15" s="339">
        <f>Data!D48</f>
        <v>-80347518</v>
      </c>
      <c r="I15" s="339">
        <f>Data!E48</f>
        <v>-94092885</v>
      </c>
      <c r="J15" s="339">
        <f>Data!F48</f>
        <v>-100788060</v>
      </c>
      <c r="K15" s="339">
        <f>Data!G48</f>
        <v>-125645249</v>
      </c>
      <c r="L15" s="339" t="str">
        <f>Data!H48</f>
        <v/>
      </c>
      <c r="M15" s="339" t="str">
        <f>Data!I48</f>
        <v/>
      </c>
      <c r="N15" s="339" t="str">
        <f>Data!J48</f>
        <v/>
      </c>
      <c r="O15" s="339" t="str">
        <f>Data!K48</f>
        <v/>
      </c>
      <c r="P15" s="339" t="str">
        <f>Data!L48</f>
        <v/>
      </c>
      <c r="Q15" s="339" t="str">
        <f>Data!M48</f>
        <v/>
      </c>
    </row>
    <row r="16" spans="1:17" ht="15.75" customHeight="1">
      <c r="A16" s="10"/>
      <c r="B16" s="41" t="s">
        <v>155</v>
      </c>
      <c r="C16" s="338">
        <f>SUM(C13:C15)</f>
        <v>2878424517.5631504</v>
      </c>
      <c r="D16" s="61"/>
      <c r="E16" s="276"/>
      <c r="F16" s="61"/>
      <c r="G16" s="335">
        <f>IF(G$4="","",SUM(G13:G15))</f>
        <v>3154899757.0720148</v>
      </c>
      <c r="H16" s="335">
        <f t="shared" ref="H16:Q16" si="8">IF(H$4="","",SUM(H13:H15))</f>
        <v>3071148950.5932913</v>
      </c>
      <c r="I16" s="335">
        <f t="shared" si="8"/>
        <v>2574250635.9362764</v>
      </c>
      <c r="J16" s="335">
        <f t="shared" si="8"/>
        <v>1701562896.8648739</v>
      </c>
      <c r="K16" s="335">
        <f t="shared" si="8"/>
        <v>1432710375.9313874</v>
      </c>
      <c r="L16" s="335" t="str">
        <f t="shared" si="8"/>
        <v/>
      </c>
      <c r="M16" s="335" t="str">
        <f t="shared" si="8"/>
        <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2878424517.5631504</v>
      </c>
      <c r="D19" s="27"/>
      <c r="E19" s="265"/>
      <c r="F19" s="27"/>
      <c r="G19" s="340">
        <f>IF(G$4="","",G16+G17)</f>
        <v>3154899757.0720148</v>
      </c>
      <c r="H19" s="340">
        <f t="shared" ref="H19:Q19" si="9">IF(H$4="","",H16+H17)</f>
        <v>3071148950.5932913</v>
      </c>
      <c r="I19" s="340">
        <f t="shared" si="9"/>
        <v>2574250635.9362764</v>
      </c>
      <c r="J19" s="340">
        <f t="shared" si="9"/>
        <v>1701562896.8648739</v>
      </c>
      <c r="K19" s="340">
        <f t="shared" si="9"/>
        <v>1432710375.9313874</v>
      </c>
      <c r="L19" s="340" t="str">
        <f t="shared" si="9"/>
        <v/>
      </c>
      <c r="M19" s="340" t="str">
        <f t="shared" si="9"/>
        <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-22227405835.768204</v>
      </c>
      <c r="D23" s="58"/>
      <c r="E23" s="267"/>
      <c r="F23" s="58"/>
      <c r="G23" s="339">
        <f>Data!C37</f>
        <v>-21538172214</v>
      </c>
      <c r="H23" s="339">
        <f>Data!D37</f>
        <v>-23203550387</v>
      </c>
      <c r="I23" s="339">
        <f>Data!E37</f>
        <v>-22708660145</v>
      </c>
      <c r="J23" s="339">
        <f>Data!F37</f>
        <v>-21409966489</v>
      </c>
      <c r="K23" s="339">
        <f>Data!G37</f>
        <v>-18759681723</v>
      </c>
      <c r="L23" s="339" t="str">
        <f>Data!H37</f>
        <v/>
      </c>
      <c r="M23" s="339" t="str">
        <f>Data!I37</f>
        <v/>
      </c>
      <c r="N23" s="339" t="str">
        <f>Data!J37</f>
        <v/>
      </c>
      <c r="O23" s="339" t="str">
        <f>Data!K37</f>
        <v/>
      </c>
      <c r="P23" s="339" t="str">
        <f>Data!L37</f>
        <v/>
      </c>
      <c r="Q23" s="339" t="str">
        <f>Data!M37</f>
        <v/>
      </c>
    </row>
    <row r="24" spans="1:17" ht="15.75" customHeight="1">
      <c r="A24" s="10"/>
      <c r="B24" s="68" t="s">
        <v>62</v>
      </c>
      <c r="C24" s="334">
        <f>-C4*C29</f>
        <v>-4400506082.6740408</v>
      </c>
      <c r="D24" s="27"/>
      <c r="E24" s="265"/>
      <c r="F24" s="27"/>
      <c r="G24" s="339">
        <f>Data!C40</f>
        <v>-4602519864</v>
      </c>
      <c r="H24" s="339">
        <f>Data!D40</f>
        <v>-4708402798</v>
      </c>
      <c r="I24" s="339">
        <f>Data!E40</f>
        <v>-4199502747</v>
      </c>
      <c r="J24" s="339">
        <f>Data!F40</f>
        <v>-4096874125</v>
      </c>
      <c r="K24" s="339">
        <f>Data!G40</f>
        <v>-4984549837</v>
      </c>
      <c r="L24" s="339" t="str">
        <f>Data!H40</f>
        <v/>
      </c>
      <c r="M24" s="339" t="str">
        <f>Data!I40</f>
        <v/>
      </c>
      <c r="N24" s="339" t="str">
        <f>Data!J40</f>
        <v/>
      </c>
      <c r="O24" s="339" t="str">
        <f>Data!K40</f>
        <v/>
      </c>
      <c r="P24" s="339" t="str">
        <f>Data!L40</f>
        <v/>
      </c>
      <c r="Q24" s="339" t="str">
        <f>Data!M40</f>
        <v/>
      </c>
    </row>
    <row r="25" spans="1:17" ht="15.75" customHeight="1">
      <c r="A25" s="10"/>
      <c r="B25" s="70" t="s">
        <v>46</v>
      </c>
      <c r="C25" s="335">
        <f>C23+C24</f>
        <v>-26627911918.442245</v>
      </c>
      <c r="D25" s="9"/>
      <c r="E25" s="273"/>
      <c r="F25" s="9"/>
      <c r="G25" s="335">
        <f t="shared" ref="G25:Q25" si="10">IF(G$4="","",G23+G24)</f>
        <v>-26140692078</v>
      </c>
      <c r="H25" s="335">
        <f t="shared" si="10"/>
        <v>-27911953185</v>
      </c>
      <c r="I25" s="335">
        <f t="shared" si="10"/>
        <v>-26908162892</v>
      </c>
      <c r="J25" s="335">
        <f t="shared" si="10"/>
        <v>-25506840614</v>
      </c>
      <c r="K25" s="335">
        <f t="shared" si="10"/>
        <v>-23744231560</v>
      </c>
      <c r="L25" s="335" t="str">
        <f t="shared" si="10"/>
        <v/>
      </c>
      <c r="M25" s="335" t="str">
        <f t="shared" si="10"/>
        <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0.69237393830888427</v>
      </c>
      <c r="D28" s="26"/>
      <c r="E28" s="266" t="s">
        <v>334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-1522888768.25</v>
      </c>
      <c r="E33" s="266" t="s">
        <v>334</v>
      </c>
      <c r="G33" s="334">
        <f>Data!C41</f>
        <v>-1406578781</v>
      </c>
      <c r="H33" s="334">
        <f>Data!D41</f>
        <v>-1519063042</v>
      </c>
      <c r="I33" s="334">
        <f>Data!E41</f>
        <v>-1473368004</v>
      </c>
      <c r="J33" s="334">
        <f>Data!F41</f>
        <v>-1692545246</v>
      </c>
      <c r="K33" s="334">
        <f>Data!G41</f>
        <v>-1678050722</v>
      </c>
      <c r="L33" s="334" t="str">
        <f>Data!H41</f>
        <v/>
      </c>
      <c r="M33" s="334" t="str">
        <f>Data!I41</f>
        <v/>
      </c>
      <c r="N33" s="334" t="str">
        <f>Data!J41</f>
        <v/>
      </c>
      <c r="O33" s="334" t="str">
        <f>Data!K41</f>
        <v/>
      </c>
      <c r="P33" s="334" t="str">
        <f>Data!L41</f>
        <v/>
      </c>
      <c r="Q33" s="334" t="str">
        <f>Data!M41</f>
        <v/>
      </c>
    </row>
    <row r="34" spans="1:17" ht="15.75" customHeight="1">
      <c r="A34" s="10"/>
      <c r="B34" s="27" t="s">
        <v>49</v>
      </c>
      <c r="C34" s="346">
        <f>AVERAGE(G34:J34)</f>
        <v>-74312206.25</v>
      </c>
      <c r="D34" s="58"/>
      <c r="E34" s="266" t="s">
        <v>334</v>
      </c>
      <c r="F34" s="58"/>
      <c r="G34" s="339">
        <f>Data!C42</f>
        <v>-102766675</v>
      </c>
      <c r="H34" s="339">
        <f>Data!D42</f>
        <v>-100637006</v>
      </c>
      <c r="I34" s="339">
        <f>Data!E42</f>
        <v>-62954899</v>
      </c>
      <c r="J34" s="339">
        <f>Data!F42</f>
        <v>-30890245</v>
      </c>
      <c r="K34" s="339">
        <f>Data!G42</f>
        <v>-21467092</v>
      </c>
      <c r="L34" s="339" t="str">
        <f>Data!H42</f>
        <v/>
      </c>
      <c r="M34" s="339" t="str">
        <f>Data!I42</f>
        <v/>
      </c>
      <c r="N34" s="339" t="str">
        <f>Data!J42</f>
        <v/>
      </c>
      <c r="O34" s="339" t="str">
        <f>Data!K42</f>
        <v/>
      </c>
      <c r="P34" s="339" t="str">
        <f>Data!L42</f>
        <v/>
      </c>
      <c r="Q34" s="339" t="str">
        <f>Data!M42</f>
        <v/>
      </c>
    </row>
    <row r="35" spans="1:17" ht="15.75" customHeight="1">
      <c r="A35" s="10"/>
      <c r="B35" s="70" t="s">
        <v>45</v>
      </c>
      <c r="C35" s="335">
        <f>C33+C34</f>
        <v>-1597200974.5</v>
      </c>
      <c r="D35" s="58"/>
      <c r="E35" s="267"/>
      <c r="F35" s="58"/>
      <c r="G35" s="335">
        <f t="shared" ref="G35:Q35" si="14">IF(G4="","",G33+G34)</f>
        <v>-1509345456</v>
      </c>
      <c r="H35" s="335">
        <f t="shared" si="14"/>
        <v>-1619700048</v>
      </c>
      <c r="I35" s="335">
        <f t="shared" si="14"/>
        <v>-1536322903</v>
      </c>
      <c r="J35" s="335">
        <f t="shared" si="14"/>
        <v>-1723435491</v>
      </c>
      <c r="K35" s="335">
        <f t="shared" si="14"/>
        <v>-1699517814</v>
      </c>
      <c r="L35" s="335" t="str">
        <f t="shared" si="14"/>
        <v/>
      </c>
      <c r="M35" s="335" t="str">
        <f t="shared" si="14"/>
        <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0.29622579141948024</v>
      </c>
      <c r="H43" s="6">
        <f t="shared" si="18"/>
        <v>0.30731848002116985</v>
      </c>
      <c r="I43" s="6">
        <f t="shared" si="18"/>
        <v>0.31046338131749446</v>
      </c>
      <c r="J43" s="6">
        <f t="shared" si="18"/>
        <v>0.40419776123009343</v>
      </c>
      <c r="K43" s="6">
        <f t="shared" si="18"/>
        <v>0.36932582059690022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-21837054</v>
      </c>
      <c r="E47" s="268"/>
      <c r="G47" s="334">
        <f>Data!C51</f>
        <v>-21837054</v>
      </c>
      <c r="H47" s="334">
        <f>Data!D51</f>
        <v>-16430590</v>
      </c>
      <c r="I47" s="334">
        <f>Data!E51</f>
        <v>-9237800</v>
      </c>
      <c r="J47" s="334">
        <f>Data!F51</f>
        <v>-22685367</v>
      </c>
      <c r="K47" s="334">
        <f>Data!G51</f>
        <v>-13662682</v>
      </c>
      <c r="L47" s="334" t="str">
        <f>Data!H51</f>
        <v/>
      </c>
      <c r="M47" s="334" t="str">
        <f>Data!I51</f>
        <v/>
      </c>
      <c r="N47" s="334" t="str">
        <f>Data!J51</f>
        <v/>
      </c>
      <c r="O47" s="334" t="str">
        <f>Data!K51</f>
        <v/>
      </c>
      <c r="P47" s="334" t="str">
        <f>Data!L51</f>
        <v/>
      </c>
      <c r="Q47" s="334" t="str">
        <f>Data!M51</f>
        <v/>
      </c>
    </row>
    <row r="48" spans="1:17" ht="15.75" customHeight="1">
      <c r="A48" s="10"/>
      <c r="B48" s="2" t="s">
        <v>346</v>
      </c>
      <c r="C48" s="334">
        <f>BS!D75*C53</f>
        <v>177181093.07201487</v>
      </c>
      <c r="E48" s="268"/>
      <c r="G48" s="343">
        <f>IFERROR(IF(G$4="","",($C$48/$C$49)*G49),0)</f>
        <v>177181093.07201487</v>
      </c>
      <c r="H48" s="343">
        <f t="shared" ref="H48:Q48" si="19">IFERROR(IF(H$4="","",($C$48/$C$49)*H49),0)</f>
        <v>145467644.59329143</v>
      </c>
      <c r="I48" s="343">
        <f t="shared" si="19"/>
        <v>132047920.93627666</v>
      </c>
      <c r="J48" s="343">
        <f t="shared" si="19"/>
        <v>90676918.864873901</v>
      </c>
      <c r="K48" s="343">
        <f t="shared" si="19"/>
        <v>150538953.93138739</v>
      </c>
      <c r="L48" s="343" t="str">
        <f t="shared" si="19"/>
        <v/>
      </c>
      <c r="M48" s="343" t="str">
        <f t="shared" si="19"/>
        <v/>
      </c>
      <c r="N48" s="343" t="str">
        <f t="shared" si="19"/>
        <v/>
      </c>
      <c r="O48" s="343" t="str">
        <f t="shared" si="19"/>
        <v/>
      </c>
      <c r="P48" s="343" t="str">
        <f t="shared" si="19"/>
        <v/>
      </c>
      <c r="Q48" s="343" t="str">
        <f t="shared" si="19"/>
        <v/>
      </c>
    </row>
    <row r="49" spans="1:17" ht="15.75" customHeight="1">
      <c r="A49" s="10"/>
      <c r="B49" s="287" t="s">
        <v>343</v>
      </c>
      <c r="C49" s="348">
        <f>BS!$C$66*C53</f>
        <v>616771200</v>
      </c>
      <c r="D49" s="288"/>
      <c r="E49" s="289"/>
      <c r="F49" s="288"/>
      <c r="G49" s="348">
        <f>Data!C52</f>
        <v>616771200</v>
      </c>
      <c r="H49" s="348">
        <f>Data!D52</f>
        <v>506376003</v>
      </c>
      <c r="I49" s="348">
        <f>Data!E52</f>
        <v>459661656</v>
      </c>
      <c r="J49" s="348">
        <f>Data!F52</f>
        <v>315648307</v>
      </c>
      <c r="K49" s="348">
        <f>Data!G52</f>
        <v>524029340</v>
      </c>
      <c r="L49" s="348" t="str">
        <f>Data!H52</f>
        <v/>
      </c>
      <c r="M49" s="348" t="str">
        <f>Data!I52</f>
        <v/>
      </c>
      <c r="N49" s="348" t="str">
        <f>Data!J52</f>
        <v/>
      </c>
      <c r="O49" s="348" t="str">
        <f>Data!K52</f>
        <v/>
      </c>
      <c r="P49" s="348" t="str">
        <f>Data!L52</f>
        <v/>
      </c>
      <c r="Q49" s="348" t="str">
        <f>Data!M52</f>
        <v/>
      </c>
    </row>
    <row r="50" spans="1:17" ht="15.75" customHeight="1">
      <c r="A50" s="10"/>
      <c r="B50" s="70" t="s">
        <v>68</v>
      </c>
      <c r="C50" s="335">
        <f>C47+C48</f>
        <v>155344039.07201487</v>
      </c>
      <c r="E50" s="268"/>
      <c r="G50" s="335">
        <f>IF(G$4="","",(G47+G48))</f>
        <v>155344039.07201487</v>
      </c>
      <c r="H50" s="335">
        <f t="shared" ref="H50:Q50" si="20">IF(H$4="","",(H47+H48))</f>
        <v>129037054.59329143</v>
      </c>
      <c r="I50" s="335">
        <f t="shared" si="20"/>
        <v>122810120.93627666</v>
      </c>
      <c r="J50" s="335">
        <f t="shared" si="20"/>
        <v>67991551.864873901</v>
      </c>
      <c r="K50" s="335">
        <f t="shared" si="20"/>
        <v>136876271.93138739</v>
      </c>
      <c r="L50" s="335" t="str">
        <f t="shared" si="20"/>
        <v/>
      </c>
      <c r="M50" s="335" t="str">
        <f t="shared" si="20"/>
        <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3.430552260533988E-2</v>
      </c>
      <c r="E53" s="265" t="s">
        <v>336</v>
      </c>
      <c r="G53" s="6">
        <f>IF(Normalized_FCF!G4="","",Normalized_FCF!G49/BS!$C$66)</f>
        <v>3.430552260533988E-2</v>
      </c>
      <c r="H53" s="169"/>
      <c r="I53" s="169"/>
      <c r="J53" s="169"/>
      <c r="K53" s="169"/>
      <c r="L53" s="169"/>
      <c r="M53" s="169"/>
      <c r="N53" s="169"/>
      <c r="O53" s="169"/>
      <c r="P53" s="169"/>
      <c r="Q53" s="169"/>
    </row>
    <row r="54" spans="1:17" ht="15.75" customHeight="1">
      <c r="A54" s="10"/>
      <c r="B54" s="8" t="s">
        <v>88</v>
      </c>
      <c r="C54" s="82">
        <f>G54</f>
        <v>7.6514823945754068E-2</v>
      </c>
      <c r="E54" s="265" t="s">
        <v>337</v>
      </c>
      <c r="G54" s="23">
        <f>IFERROR(ABS(Normalized_FCF!G47/BS!$G$31),0)</f>
        <v>7.6514823945754068E-2</v>
      </c>
      <c r="H54" s="169"/>
      <c r="I54" s="169"/>
      <c r="J54" s="169"/>
      <c r="K54" s="169"/>
      <c r="L54" s="169"/>
      <c r="M54" s="169"/>
      <c r="N54" s="169"/>
      <c r="O54" s="169"/>
      <c r="P54" s="169"/>
      <c r="Q54" s="169"/>
    </row>
    <row r="55" spans="1:17" ht="15.75" customHeight="1">
      <c r="A55" s="10"/>
      <c r="B55" s="26" t="s">
        <v>91</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t="str">
        <f>Data!H56</f>
        <v/>
      </c>
      <c r="M58" s="334" t="str">
        <f>Data!I56</f>
        <v/>
      </c>
      <c r="N58" s="334" t="str">
        <f>Data!J56</f>
        <v/>
      </c>
      <c r="O58" s="334" t="str">
        <f>Data!K56</f>
        <v/>
      </c>
      <c r="P58" s="334" t="str">
        <f>Data!L56</f>
        <v/>
      </c>
      <c r="Q58" s="334" t="str">
        <f>Data!M56</f>
        <v/>
      </c>
    </row>
    <row r="59" spans="1:17" ht="15.75" customHeight="1">
      <c r="A59" s="10"/>
      <c r="B59" s="40" t="s">
        <v>160</v>
      </c>
      <c r="C59" s="334">
        <f>BS!$C68*C67</f>
        <v>0</v>
      </c>
      <c r="E59" s="268"/>
      <c r="G59" s="334">
        <f>Data!C55</f>
        <v>48272283</v>
      </c>
      <c r="H59" s="334">
        <f>Data!D55</f>
        <v>15798284</v>
      </c>
      <c r="I59" s="334">
        <f>Data!E55</f>
        <v>19873379</v>
      </c>
      <c r="J59" s="334">
        <f>Data!F55</f>
        <v>20561728</v>
      </c>
      <c r="K59" s="334">
        <f>Data!G55</f>
        <v>18098320</v>
      </c>
      <c r="L59" s="334" t="str">
        <f>Data!H55</f>
        <v/>
      </c>
      <c r="M59" s="334" t="str">
        <f>Data!I55</f>
        <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t="str">
        <f>Data!H57</f>
        <v/>
      </c>
      <c r="M60" s="334" t="str">
        <f>Data!I57</f>
        <v/>
      </c>
      <c r="N60" s="334" t="str">
        <f>Data!J57</f>
        <v/>
      </c>
      <c r="O60" s="334" t="str">
        <f>Data!K57</f>
        <v/>
      </c>
      <c r="P60" s="334" t="str">
        <f>Data!L57</f>
        <v/>
      </c>
      <c r="Q60" s="334" t="str">
        <f>Data!M57</f>
        <v/>
      </c>
    </row>
    <row r="61" spans="1:17" ht="15.75" customHeight="1">
      <c r="A61" s="10"/>
      <c r="B61" s="31" t="s">
        <v>195</v>
      </c>
      <c r="C61" s="335">
        <f>SUM(C58:C60)</f>
        <v>0</v>
      </c>
      <c r="E61" s="268"/>
      <c r="G61" s="335">
        <f t="shared" ref="G61:Q61" si="22">IF(G4="","",SUM(G58:G60))</f>
        <v>48272283</v>
      </c>
      <c r="H61" s="335">
        <f t="shared" si="22"/>
        <v>15798284</v>
      </c>
      <c r="I61" s="335">
        <f t="shared" si="22"/>
        <v>19873379</v>
      </c>
      <c r="J61" s="335">
        <f t="shared" si="22"/>
        <v>20561728</v>
      </c>
      <c r="K61" s="335">
        <f t="shared" si="22"/>
        <v>18098320</v>
      </c>
      <c r="L61" s="335" t="str">
        <f t="shared" si="22"/>
        <v/>
      </c>
      <c r="M61" s="335" t="str">
        <f t="shared" si="22"/>
        <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750493994</v>
      </c>
      <c r="H62" s="334">
        <f>Data!D58</f>
        <v>835794097</v>
      </c>
      <c r="I62" s="334">
        <f>Data!E58</f>
        <v>808764222</v>
      </c>
      <c r="J62" s="334">
        <f>Data!F58</f>
        <v>1228921525</v>
      </c>
      <c r="K62" s="334">
        <f>Data!G58</f>
        <v>395122794</v>
      </c>
      <c r="L62" s="334" t="str">
        <f>Data!H58</f>
        <v/>
      </c>
      <c r="M62" s="334" t="str">
        <f>Data!I58</f>
        <v/>
      </c>
      <c r="N62" s="334" t="str">
        <f>Data!J58</f>
        <v/>
      </c>
      <c r="O62" s="334" t="str">
        <f>Data!K58</f>
        <v/>
      </c>
      <c r="P62" s="334" t="str">
        <f>Data!L58</f>
        <v/>
      </c>
      <c r="Q62" s="334" t="str">
        <f>Data!M58</f>
        <v/>
      </c>
    </row>
    <row r="63" spans="1:17" ht="15.75" customHeight="1">
      <c r="A63" s="10"/>
      <c r="B63" s="31" t="s">
        <v>196</v>
      </c>
      <c r="C63" s="335">
        <f>C61+C62</f>
        <v>0</v>
      </c>
      <c r="E63" s="268"/>
      <c r="G63" s="335">
        <f t="shared" ref="G63:Q63" si="23">IF(G4="","",G61+G62)</f>
        <v>798766277</v>
      </c>
      <c r="H63" s="335">
        <f t="shared" si="23"/>
        <v>851592381</v>
      </c>
      <c r="I63" s="335">
        <f t="shared" si="23"/>
        <v>828637601</v>
      </c>
      <c r="J63" s="335">
        <f t="shared" si="23"/>
        <v>1249483253</v>
      </c>
      <c r="K63" s="335">
        <f t="shared" si="23"/>
        <v>413221114</v>
      </c>
      <c r="L63" s="335" t="str">
        <f t="shared" si="23"/>
        <v/>
      </c>
      <c r="M63" s="335" t="str">
        <f t="shared" si="23"/>
        <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4.8388986515026161E-3</v>
      </c>
      <c r="D80" s="27"/>
      <c r="E80" s="265"/>
      <c r="F80" s="27"/>
      <c r="G80" s="6">
        <f t="shared" ref="G80:Q80" si="31">IF(G$4="","",ABS(G12/G$4))</f>
        <v>4.8336816311330359E-3</v>
      </c>
      <c r="H80" s="6">
        <f t="shared" si="31"/>
        <v>3.8023063110528077E-3</v>
      </c>
      <c r="I80" s="6">
        <f t="shared" si="31"/>
        <v>3.8173498415215537E-3</v>
      </c>
      <c r="J80" s="6">
        <f t="shared" si="31"/>
        <v>2.2538532342146022E-3</v>
      </c>
      <c r="K80" s="6">
        <f t="shared" si="31"/>
        <v>4.9307527839991955E-3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0.12563901732968466</v>
      </c>
      <c r="D81" s="27"/>
      <c r="E81" s="265"/>
      <c r="F81" s="27"/>
      <c r="G81" s="65">
        <f t="shared" ref="G81:Q81" si="32">IF(G$4="","",G13/G$4)</f>
        <v>0.14597777394642023</v>
      </c>
      <c r="H81" s="65">
        <f t="shared" si="32"/>
        <v>0.13406514513334686</v>
      </c>
      <c r="I81" s="65">
        <f t="shared" si="32"/>
        <v>0.12028520384004661</v>
      </c>
      <c r="J81" s="65">
        <f t="shared" si="32"/>
        <v>0.10027851852590529</v>
      </c>
      <c r="K81" s="65">
        <f t="shared" si="32"/>
        <v>8.9011594916036607E-2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3.1409754332421165E-2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8.9661660657808839E-2</v>
      </c>
      <c r="D84" s="27"/>
      <c r="E84" s="265"/>
      <c r="F84" s="27"/>
      <c r="G84" s="65">
        <f t="shared" ref="G84:Q84" si="35">IF(G$4="","",ABS(G16/G$4))</f>
        <v>9.8167789990033241E-2</v>
      </c>
      <c r="H84" s="65">
        <f t="shared" si="35"/>
        <v>9.0496865988067762E-2</v>
      </c>
      <c r="I84" s="65">
        <f t="shared" si="35"/>
        <v>8.0016330756868245E-2</v>
      </c>
      <c r="J84" s="65">
        <f t="shared" si="35"/>
        <v>5.6405140537757838E-2</v>
      </c>
      <c r="K84" s="65">
        <f t="shared" si="35"/>
        <v>5.1611141764069945E-2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8.9661660657808839E-2</v>
      </c>
      <c r="D87" s="75"/>
      <c r="E87" s="265"/>
      <c r="F87" s="75"/>
      <c r="G87" s="65">
        <f t="shared" ref="G87:Q87" si="36">IF(G$4="","",ABS(G19/G$4))</f>
        <v>9.8167789990033241E-2</v>
      </c>
      <c r="H87" s="65">
        <f t="shared" si="36"/>
        <v>9.0496865988067762E-2</v>
      </c>
      <c r="I87" s="65">
        <f t="shared" si="36"/>
        <v>8.0016330756868245E-2</v>
      </c>
      <c r="J87" s="65">
        <f t="shared" si="36"/>
        <v>5.6405140537757838E-2</v>
      </c>
      <c r="K87" s="65">
        <f t="shared" si="36"/>
        <v>5.1611141764069945E-2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2.0258623055278089</v>
      </c>
      <c r="E90" s="268"/>
      <c r="G90" s="112">
        <f>Data!C65</f>
        <v>2.0258623055278089</v>
      </c>
      <c r="H90" s="112">
        <f>Data!D65</f>
        <v>1.8416930050252804</v>
      </c>
      <c r="I90" s="112">
        <f>Data!E65</f>
        <v>1.1971004532664324</v>
      </c>
      <c r="J90" s="112">
        <f>Data!F65</f>
        <v>1.0129311527639044</v>
      </c>
      <c r="K90" s="112">
        <f>Data!G65</f>
        <v>0.69063487688448022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2763674850.1313114</v>
      </c>
      <c r="E91" s="268"/>
      <c r="G91" s="74">
        <f t="shared" ref="G91:Q91" si="37">IF(G$4="","",G90*Common_Shares/scaling_factor)</f>
        <v>2763674850.1313114</v>
      </c>
      <c r="H91" s="74">
        <f t="shared" si="37"/>
        <v>2512431681.9375553</v>
      </c>
      <c r="I91" s="74">
        <f t="shared" si="37"/>
        <v>1633080593.2594113</v>
      </c>
      <c r="J91" s="74">
        <f t="shared" si="37"/>
        <v>1381837425.0656557</v>
      </c>
      <c r="K91" s="74">
        <f t="shared" si="37"/>
        <v>942161880.72658336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0.96013455738315312</v>
      </c>
      <c r="E92" s="268"/>
      <c r="G92" s="170">
        <f t="shared" ref="G92:Q92" si="38">IF(G$4="","",G90/(G19*scaling_factor/Common_Shares))</f>
        <v>0.87599450471802331</v>
      </c>
      <c r="H92" s="170">
        <f t="shared" si="38"/>
        <v>0.81807548977792122</v>
      </c>
      <c r="I92" s="170">
        <f t="shared" si="38"/>
        <v>0.63439067294449603</v>
      </c>
      <c r="J92" s="170">
        <f t="shared" si="38"/>
        <v>0.81209894010482264</v>
      </c>
      <c r="K92" s="170">
        <f t="shared" si="38"/>
        <v>0.65760805292841928</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3.6208441564393366E-2</v>
      </c>
      <c r="E93" s="268"/>
      <c r="G93" s="23">
        <f t="shared" ref="G93:Q93" si="39">IF(G$4="","",G90/Market_Price)</f>
        <v>3.6208441564393366E-2</v>
      </c>
      <c r="H93" s="23">
        <f t="shared" si="39"/>
        <v>3.2916765058539417E-2</v>
      </c>
      <c r="I93" s="23">
        <f t="shared" si="39"/>
        <v>2.1395897288050622E-2</v>
      </c>
      <c r="J93" s="23">
        <f t="shared" si="39"/>
        <v>1.8104220782196683E-2</v>
      </c>
      <c r="K93" s="23">
        <f t="shared" si="39"/>
        <v>1.2343786896952282E-2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-0.14025568946300981</v>
      </c>
      <c r="D97" s="27"/>
      <c r="E97" s="265"/>
      <c r="F97" s="27"/>
      <c r="G97" s="6">
        <f t="shared" ref="G97:Q97" si="41">IF(H5="","",G13/H13-1)</f>
        <v>3.1145768188639344E-2</v>
      </c>
      <c r="H97" s="6">
        <f t="shared" si="41"/>
        <v>0.17570622796818891</v>
      </c>
      <c r="I97" s="6">
        <f t="shared" si="41"/>
        <v>0.27922569470068903</v>
      </c>
      <c r="J97" s="6">
        <f t="shared" si="41"/>
        <v>0.22426577444927842</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51420385832</v>
      </c>
      <c r="D101" s="26"/>
      <c r="E101" s="269"/>
      <c r="F101" s="26"/>
      <c r="G101" s="339">
        <f t="shared" ref="G101:Q101" si="42">IF(G$4="","",G105+G104)</f>
        <v>51420385832</v>
      </c>
      <c r="H101" s="339">
        <f t="shared" si="42"/>
        <v>49256011349</v>
      </c>
      <c r="I101" s="339">
        <f t="shared" si="42"/>
        <v>50311699796</v>
      </c>
      <c r="J101" s="339">
        <f t="shared" si="42"/>
        <v>46563004491</v>
      </c>
      <c r="K101" s="339">
        <f t="shared" si="42"/>
        <v>41514185835</v>
      </c>
      <c r="L101" s="339" t="str">
        <f t="shared" si="42"/>
        <v/>
      </c>
      <c r="M101" s="339" t="str">
        <f t="shared" si="42"/>
        <v/>
      </c>
      <c r="N101" s="339" t="str">
        <f t="shared" si="42"/>
        <v/>
      </c>
      <c r="O101" s="339" t="str">
        <f t="shared" si="42"/>
        <v/>
      </c>
      <c r="P101" s="339" t="str">
        <f t="shared" si="42"/>
        <v/>
      </c>
      <c r="Q101" s="339" t="str">
        <f t="shared" si="42"/>
        <v/>
      </c>
    </row>
    <row r="102" spans="1:17" ht="15.75" customHeight="1">
      <c r="A102" s="10"/>
      <c r="B102" s="93" t="s">
        <v>211</v>
      </c>
      <c r="C102" s="351">
        <f>BS!C4</f>
        <v>185704725</v>
      </c>
      <c r="D102" s="89"/>
      <c r="E102" s="270"/>
      <c r="F102" s="89"/>
      <c r="G102" s="352">
        <f>IF(G$4="","",Data!D77)</f>
        <v>100391321</v>
      </c>
      <c r="H102" s="352">
        <f>IF(H$4="","",Data!E77)</f>
        <v>124099728</v>
      </c>
      <c r="I102" s="352">
        <f>IF(I$4="","",Data!F77)</f>
        <v>124929816</v>
      </c>
      <c r="J102" s="352">
        <f>IF(J$4="","",Data!G77)</f>
        <v>125155008</v>
      </c>
      <c r="K102" s="352" t="str">
        <f>IF(K$4="","",Data!H77)</f>
        <v/>
      </c>
      <c r="L102" s="352" t="str">
        <f>IF(L$4="","",Data!I77)</f>
        <v/>
      </c>
      <c r="M102" s="352" t="str">
        <f>IF(M$4="","",Data!J77)</f>
        <v/>
      </c>
      <c r="N102" s="352" t="str">
        <f>IF(N$4="","",Data!K77)</f>
        <v/>
      </c>
      <c r="O102" s="352" t="str">
        <f>IF(O$4="","",Data!L77)</f>
        <v/>
      </c>
      <c r="P102" s="352" t="str">
        <f>IF(P$4="","",Data!M77)</f>
        <v/>
      </c>
      <c r="Q102" s="352" t="str">
        <f>IF(Q$4="","",Data!N77)</f>
        <v/>
      </c>
    </row>
    <row r="103" spans="1:17" ht="15.75" customHeight="1">
      <c r="A103" s="10"/>
      <c r="B103" s="93" t="s">
        <v>212</v>
      </c>
      <c r="C103" s="351">
        <f>BS!C6+BS!C7</f>
        <v>3576387537</v>
      </c>
      <c r="D103" s="89"/>
      <c r="E103" s="270"/>
      <c r="F103" s="89"/>
      <c r="G103" s="352">
        <f>IF(G$4="","",Data!D78)</f>
        <v>3539828305</v>
      </c>
      <c r="H103" s="352">
        <f>IF(H$4="","",Data!E78)</f>
        <v>4152187132</v>
      </c>
      <c r="I103" s="352">
        <f>IF(I$4="","",Data!F78)</f>
        <v>3492997857</v>
      </c>
      <c r="J103" s="352">
        <f>IF(J$4="","",Data!G78)</f>
        <v>3281033526</v>
      </c>
      <c r="K103" s="352" t="str">
        <f>IF(K$4="","",Data!H78)</f>
        <v/>
      </c>
      <c r="L103" s="352" t="str">
        <f>IF(L$4="","",Data!I78)</f>
        <v/>
      </c>
      <c r="M103" s="352" t="str">
        <f>IF(M$4="","",Data!J78)</f>
        <v/>
      </c>
      <c r="N103" s="352" t="str">
        <f>IF(N$4="","",Data!K78)</f>
        <v/>
      </c>
      <c r="O103" s="352" t="str">
        <f>IF(O$4="","",Data!L78)</f>
        <v/>
      </c>
      <c r="P103" s="352" t="str">
        <f>IF(P$4="","",Data!M78)</f>
        <v/>
      </c>
      <c r="Q103" s="352" t="str">
        <f>IF(Q$4="","",Data!N78)</f>
        <v/>
      </c>
    </row>
    <row r="104" spans="1:17" ht="15.75" customHeight="1">
      <c r="A104" s="10"/>
      <c r="B104" s="26" t="s">
        <v>40</v>
      </c>
      <c r="C104" s="350">
        <f>BS!G30</f>
        <v>21560843821</v>
      </c>
      <c r="D104" s="26"/>
      <c r="E104" s="269"/>
      <c r="F104" s="26"/>
      <c r="G104" s="339">
        <f>Data!C79</f>
        <v>21560843821</v>
      </c>
      <c r="H104" s="339">
        <f>Data!D79</f>
        <v>21001264174</v>
      </c>
      <c r="I104" s="339">
        <f>Data!E79</f>
        <v>24039387261</v>
      </c>
      <c r="J104" s="339">
        <f>Data!F79</f>
        <v>22769313149</v>
      </c>
      <c r="K104" s="339">
        <f>Data!G79</f>
        <v>20146133669</v>
      </c>
      <c r="L104" s="339" t="str">
        <f>Data!H79</f>
        <v/>
      </c>
      <c r="M104" s="339" t="str">
        <f>Data!I79</f>
        <v/>
      </c>
      <c r="N104" s="339" t="str">
        <f>Data!J79</f>
        <v/>
      </c>
      <c r="O104" s="339" t="str">
        <f>Data!K79</f>
        <v/>
      </c>
      <c r="P104" s="339" t="str">
        <f>Data!L79</f>
        <v/>
      </c>
      <c r="Q104" s="339" t="str">
        <f>Data!M79</f>
        <v/>
      </c>
    </row>
    <row r="105" spans="1:17" ht="15.75" customHeight="1">
      <c r="A105" s="10"/>
      <c r="B105" s="26" t="s">
        <v>30</v>
      </c>
      <c r="C105" s="350">
        <f>BS!G27</f>
        <v>29859542011</v>
      </c>
      <c r="D105" s="26"/>
      <c r="E105" s="269"/>
      <c r="F105" s="26"/>
      <c r="G105" s="339">
        <f>Data!C80</f>
        <v>29859542011</v>
      </c>
      <c r="H105" s="339">
        <f>Data!D80</f>
        <v>28254747175</v>
      </c>
      <c r="I105" s="339">
        <f>Data!E80</f>
        <v>26272312535</v>
      </c>
      <c r="J105" s="339">
        <f>Data!F80</f>
        <v>23793691342</v>
      </c>
      <c r="K105" s="339">
        <f>Data!G80</f>
        <v>21368052166</v>
      </c>
      <c r="L105" s="339" t="str">
        <f>Data!H80</f>
        <v/>
      </c>
      <c r="M105" s="339" t="str">
        <f>Data!I80</f>
        <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1.6338589270373252</v>
      </c>
      <c r="H114" s="295">
        <f>IF(H$4="","",Data!D$22/H19)</f>
        <v>0.90440652169066027</v>
      </c>
      <c r="I114" s="295">
        <f>IF(I$4="","",Data!E$22/I19)</f>
        <v>1.8952200123379013</v>
      </c>
      <c r="J114" s="295">
        <f>IF(J$4="","",Data!F$22/J19)</f>
        <v>3.5515063628470158</v>
      </c>
      <c r="K114" s="295">
        <f>IF(K$4="","",Data!G$22/K19)</f>
        <v>3.4573787174395529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0.12563901732968466</v>
      </c>
      <c r="E117" s="268"/>
      <c r="G117" s="23">
        <f t="shared" ref="G117:Q117" si="45">IF(G4="","",IF(valuation_method="DDM",G13/(G4+G12),G81))</f>
        <v>0.14597777394642023</v>
      </c>
      <c r="H117" s="23">
        <f t="shared" si="45"/>
        <v>0.13406514513334686</v>
      </c>
      <c r="I117" s="23">
        <f t="shared" si="45"/>
        <v>0.12028520384004661</v>
      </c>
      <c r="J117" s="23">
        <f t="shared" si="45"/>
        <v>0.10027851852590529</v>
      </c>
      <c r="K117" s="23">
        <f t="shared" si="45"/>
        <v>8.9011594916036607E-2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0.13507950349318468</v>
      </c>
      <c r="D120" s="103"/>
      <c r="E120" s="271"/>
      <c r="F120" s="103"/>
      <c r="G120" s="102">
        <f>IF(G$4="","",G13/G105)</f>
        <v>0.15711590276045559</v>
      </c>
      <c r="H120" s="102">
        <f t="shared" ref="H120:Q120" si="48">IF(H$4="","",H13/H105)</f>
        <v>0.16102444019102399</v>
      </c>
      <c r="I120" s="102">
        <f t="shared" si="48"/>
        <v>0.14729435498991472</v>
      </c>
      <c r="J120" s="102">
        <f t="shared" si="48"/>
        <v>0.12713800933128344</v>
      </c>
      <c r="K120" s="102">
        <f t="shared" si="48"/>
        <v>0.11563693895614142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2.2913455026513163</v>
      </c>
      <c r="D124" s="27"/>
      <c r="E124" s="265"/>
      <c r="F124" s="27"/>
      <c r="G124" s="177">
        <f t="shared" ref="G124:Q124" si="49">IF(G$4="","",G16*$C$3/Common_Shares*Exchange_Rate)</f>
        <v>2.5114312797066751</v>
      </c>
      <c r="H124" s="177">
        <f t="shared" si="49"/>
        <v>2.4447621582489041</v>
      </c>
      <c r="I124" s="177">
        <f t="shared" si="49"/>
        <v>2.0492104557056425</v>
      </c>
      <c r="J124" s="177">
        <f t="shared" si="49"/>
        <v>1.3545147588273128</v>
      </c>
      <c r="K124" s="177">
        <f t="shared" si="49"/>
        <v>1.1404969824504836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4.0953449555876972E-2</v>
      </c>
      <c r="D125" s="27"/>
      <c r="E125" s="265"/>
      <c r="F125" s="27"/>
      <c r="G125" s="77">
        <f t="shared" ref="G125" si="50">IF(G$4="","",G124/Market_Price)</f>
        <v>4.4887064874113938E-2</v>
      </c>
      <c r="H125" s="77">
        <f t="shared" ref="H125" si="51">IF(H$4="","",H124/Market_Price)</f>
        <v>4.3695480933849937E-2</v>
      </c>
      <c r="I125" s="77">
        <f t="shared" ref="I125" si="52">IF(I$4="","",I124/Market_Price)</f>
        <v>3.6625745410288513E-2</v>
      </c>
      <c r="J125" s="77">
        <f t="shared" ref="J125" si="53">IF(J$4="","",J124/Market_Price)</f>
        <v>2.4209379067512291E-2</v>
      </c>
      <c r="K125" s="77">
        <f t="shared" ref="K125" si="54">IF(K$4="","",K124/Market_Price)</f>
        <v>2.0384217738167714E-2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5.8849265009452138E-2</v>
      </c>
      <c r="H126" s="23">
        <f>IF(H$4="","",(Data!D47*$C$3)/(Market_Price*Common_Shares))</f>
        <v>5.6968172881311098E-2</v>
      </c>
      <c r="I126" s="23">
        <f>IF(I$4="","",(Data!E47*$C$3)/(Market_Price*Common_Shares))</f>
        <v>4.9847772540394818E-2</v>
      </c>
      <c r="J126" s="23">
        <f>IF(J$4="","",(Data!F47*$C$3)/(Market_Price*Common_Shares))</f>
        <v>4.266186229567024E-2</v>
      </c>
      <c r="K126" s="23">
        <f>IF(K$4="","",(Data!G47*$C$3)/(Market_Price*Common_Shares))</f>
        <v>3.048691274011683E-2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2878424517.5631504</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38378993567.508675</v>
      </c>
      <c r="D6" t="str">
        <f>Reporting_currency</f>
        <v>CNY</v>
      </c>
      <c r="E6" s="365" t="s">
        <v>250</v>
      </c>
      <c r="F6" s="365"/>
      <c r="H6" s="120"/>
    </row>
    <row r="7" spans="2:8">
      <c r="B7" s="148" t="s">
        <v>225</v>
      </c>
      <c r="C7" s="344">
        <f>BS!G31</f>
        <v>285396383</v>
      </c>
      <c r="D7" t="str">
        <f>Reporting_currency</f>
        <v>CNY</v>
      </c>
      <c r="E7" s="365"/>
      <c r="F7" s="365"/>
      <c r="H7" s="120"/>
    </row>
    <row r="8" spans="2:8">
      <c r="B8" s="148" t="s">
        <v>226</v>
      </c>
      <c r="C8" s="344">
        <f>BS!D66</f>
        <v>12813974938.821075</v>
      </c>
      <c r="D8" t="str">
        <f>Reporting_currency</f>
        <v>CNY</v>
      </c>
      <c r="E8" s="365"/>
      <c r="F8" s="365"/>
      <c r="H8" s="120"/>
    </row>
    <row r="9" spans="2:8">
      <c r="B9" s="205" t="s">
        <v>191</v>
      </c>
      <c r="C9" s="354">
        <f>BS!H42</f>
        <v>2755411575.5</v>
      </c>
      <c r="D9" t="str">
        <f>Reporting_currency</f>
        <v>CNY</v>
      </c>
      <c r="E9" s="365"/>
      <c r="F9" s="365"/>
      <c r="H9" s="120"/>
    </row>
    <row r="10" spans="2:8" ht="13.15">
      <c r="B10" s="149" t="s">
        <v>228</v>
      </c>
      <c r="C10" s="353">
        <f>C6-C7+C8+C9</f>
        <v>53662983698.82975</v>
      </c>
      <c r="D10" t="str">
        <f>Reporting_currency</f>
        <v>CNY</v>
      </c>
      <c r="H10" s="120"/>
    </row>
    <row r="11" spans="2:8" ht="13.15" thickBot="1">
      <c r="B11" s="207" t="s">
        <v>167</v>
      </c>
      <c r="C11" s="208">
        <f>Exchange_Rate</f>
        <v>1.0859573199999999</v>
      </c>
      <c r="D11" t="str">
        <f>Thesis!C15</f>
        <v>CNY/HKD</v>
      </c>
      <c r="H11" s="120"/>
    </row>
    <row r="12" spans="2:8" ht="13.5" thickTop="1">
      <c r="B12" s="149" t="s">
        <v>103</v>
      </c>
      <c r="C12" s="111">
        <f>(C10*scaling_factor)/Common_Shares*Exchange_Rate</f>
        <v>42.71796449999033</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6.1165848114484E-2</v>
      </c>
      <c r="H16" s="120"/>
    </row>
    <row r="17" spans="2:17" ht="13.25" customHeight="1">
      <c r="B17" s="118" t="s">
        <v>135</v>
      </c>
      <c r="C17" s="162">
        <f>Scenarios!C64</f>
        <v>30</v>
      </c>
      <c r="H17" s="120"/>
    </row>
    <row r="18" spans="2:17" ht="13.25" customHeight="1">
      <c r="B18" s="153" t="s">
        <v>107</v>
      </c>
      <c r="C18" s="140">
        <f>(F52-C7+C8+C9)*Exchange_Rate/Common_Shares*scaling_factor</f>
        <v>72.460690171455909</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3054485794.4134245</v>
      </c>
      <c r="D21" s="138">
        <f>IF($C$17&lt;B21,0,DCF!$C$16)</f>
        <v>6.1165848114484E-2</v>
      </c>
      <c r="E21" s="124">
        <f t="shared" ref="E21:E50" si="0">IF($C$17&lt;B21,0,1/(1+Equity_Cost)^B21)</f>
        <v>0.93023255813953487</v>
      </c>
      <c r="F21" s="125">
        <f t="shared" ref="F21:F51" si="1">C21*E21</f>
        <v>2841382134.3380694</v>
      </c>
      <c r="H21" s="120"/>
    </row>
    <row r="22" spans="2:17">
      <c r="B22" s="122">
        <v>2</v>
      </c>
      <c r="C22" s="123">
        <f t="shared" ref="C22:C50" si="2">IF(ROW()-ROW($C$21)&lt;$C$17, $C$21*(1+D22)^(ROW()-ROW($C$21)), 0)</f>
        <v>3241316008.5823646</v>
      </c>
      <c r="D22" s="138">
        <f>IF($C$17&lt;B22,0,DCF!$C$16)</f>
        <v>6.1165848114484E-2</v>
      </c>
      <c r="E22" s="124">
        <f t="shared" si="0"/>
        <v>0.86533261222282321</v>
      </c>
      <c r="F22" s="125">
        <f t="shared" si="1"/>
        <v>2804816448.7462325</v>
      </c>
      <c r="H22" s="120"/>
    </row>
    <row r="23" spans="2:17">
      <c r="B23" s="122">
        <v>3</v>
      </c>
      <c r="C23" s="123">
        <f t="shared" si="2"/>
        <v>3439573851.2543588</v>
      </c>
      <c r="D23" s="138">
        <f>IF($C$17&lt;B23,0,DCF!$C$16)</f>
        <v>6.1165848114484E-2</v>
      </c>
      <c r="E23" s="124">
        <f t="shared" si="0"/>
        <v>0.80496056950960304</v>
      </c>
      <c r="F23" s="125">
        <f t="shared" si="1"/>
        <v>2768721326.1760473</v>
      </c>
      <c r="G23" s="344"/>
      <c r="H23" s="345"/>
      <c r="I23" s="344"/>
      <c r="J23" s="344"/>
      <c r="K23" s="344"/>
      <c r="L23" s="344"/>
      <c r="M23" s="344"/>
      <c r="N23" s="344"/>
      <c r="O23" s="344"/>
      <c r="P23" s="344"/>
      <c r="Q23" s="344"/>
    </row>
    <row r="24" spans="2:17">
      <c r="B24" s="122">
        <v>4</v>
      </c>
      <c r="C24" s="123">
        <f t="shared" si="2"/>
        <v>3649958303.018733</v>
      </c>
      <c r="D24" s="138">
        <f>IF($C$17&lt;B24,0,DCF!$C$16)</f>
        <v>6.1165848114484E-2</v>
      </c>
      <c r="E24" s="124">
        <f t="shared" si="0"/>
        <v>0.7488005297763749</v>
      </c>
      <c r="F24" s="125">
        <f t="shared" si="1"/>
        <v>2733090710.9621058</v>
      </c>
      <c r="G24" s="344"/>
      <c r="H24" s="345"/>
      <c r="I24" s="344"/>
      <c r="J24" s="344"/>
      <c r="K24" s="344"/>
      <c r="L24" s="344"/>
      <c r="M24" s="344"/>
      <c r="N24" s="344"/>
      <c r="O24" s="344"/>
      <c r="P24" s="344"/>
      <c r="Q24" s="344"/>
    </row>
    <row r="25" spans="2:17">
      <c r="B25" s="122">
        <v>5</v>
      </c>
      <c r="C25" s="123">
        <f t="shared" si="2"/>
        <v>3873211098.2053761</v>
      </c>
      <c r="D25" s="138">
        <f>IF($C$17&lt;B25,0,DCF!$C$16)</f>
        <v>6.1165848114484E-2</v>
      </c>
      <c r="E25" s="124">
        <f t="shared" si="0"/>
        <v>0.69655863235011617</v>
      </c>
      <c r="F25" s="125">
        <f t="shared" si="1"/>
        <v>2697918625.3692284</v>
      </c>
      <c r="G25" s="344"/>
      <c r="H25" s="345"/>
      <c r="I25" s="344"/>
      <c r="J25" s="344"/>
      <c r="K25" s="344"/>
      <c r="L25" s="344"/>
      <c r="M25" s="344"/>
      <c r="N25" s="344"/>
      <c r="O25" s="344"/>
      <c r="P25" s="344"/>
      <c r="Q25" s="344"/>
    </row>
    <row r="26" spans="2:17">
      <c r="B26" s="122">
        <v>6</v>
      </c>
      <c r="C26" s="123">
        <f t="shared" si="2"/>
        <v>4110119339.9535398</v>
      </c>
      <c r="D26" s="138">
        <f>IF($C$17&lt;B26,0,DCF!$C$16)</f>
        <v>6.1165848114484E-2</v>
      </c>
      <c r="E26" s="124">
        <f t="shared" si="0"/>
        <v>0.64796151846522443</v>
      </c>
      <c r="F26" s="125">
        <f t="shared" si="1"/>
        <v>2663199168.5895815</v>
      </c>
      <c r="H26" s="120"/>
    </row>
    <row r="27" spans="2:17">
      <c r="B27" s="122">
        <v>7</v>
      </c>
      <c r="C27" s="123">
        <f t="shared" si="2"/>
        <v>4361518275.2335405</v>
      </c>
      <c r="D27" s="138">
        <f>IF($C$17&lt;B27,0,DCF!$C$16)</f>
        <v>6.1165848114484E-2</v>
      </c>
      <c r="E27" s="124">
        <f t="shared" si="0"/>
        <v>0.60275490089788319</v>
      </c>
      <c r="F27" s="125">
        <f t="shared" si="1"/>
        <v>2628926515.7526994</v>
      </c>
      <c r="H27" s="120"/>
    </row>
    <row r="28" spans="2:17">
      <c r="B28" s="122">
        <v>8</v>
      </c>
      <c r="C28" s="123">
        <f t="shared" si="2"/>
        <v>4628294239.6050205</v>
      </c>
      <c r="D28" s="138">
        <f>IF($C$17&lt;B28,0,DCF!$C$16)</f>
        <v>6.1165848114484E-2</v>
      </c>
      <c r="E28" s="124">
        <f t="shared" si="0"/>
        <v>0.56070223339337966</v>
      </c>
      <c r="F28" s="125">
        <f t="shared" si="1"/>
        <v>2595094916.9482489</v>
      </c>
      <c r="H28" s="120"/>
    </row>
    <row r="29" spans="2:17">
      <c r="B29" s="122">
        <v>9</v>
      </c>
      <c r="C29" s="123">
        <f t="shared" si="2"/>
        <v>4911387782.0938425</v>
      </c>
      <c r="D29" s="138">
        <f>IF($C$17&lt;B29,0,DCF!$C$16)</f>
        <v>6.1165848114484E-2</v>
      </c>
      <c r="E29" s="124">
        <f t="shared" si="0"/>
        <v>0.52158347292407414</v>
      </c>
      <c r="F29" s="125">
        <f t="shared" si="1"/>
        <v>2561698696.2613721</v>
      </c>
      <c r="H29" s="120"/>
    </row>
    <row r="30" spans="2:17">
      <c r="B30" s="122">
        <v>10</v>
      </c>
      <c r="C30" s="123">
        <f t="shared" si="2"/>
        <v>5211796981.2047262</v>
      </c>
      <c r="D30" s="138">
        <f>IF($C$17&lt;B30,0,DCF!$C$16)</f>
        <v>6.1165848114484E-2</v>
      </c>
      <c r="E30" s="124">
        <f t="shared" si="0"/>
        <v>0.48519392830146441</v>
      </c>
      <c r="F30" s="125">
        <f t="shared" si="1"/>
        <v>2528732250.8204346</v>
      </c>
      <c r="H30" s="120"/>
    </row>
    <row r="31" spans="2:17">
      <c r="B31" s="122">
        <v>11</v>
      </c>
      <c r="C31" s="123">
        <f t="shared" si="2"/>
        <v>5530580963.7606192</v>
      </c>
      <c r="D31" s="138">
        <f>IF($C$17&lt;B31,0,DCF!$C$16)</f>
        <v>6.1165848114484E-2</v>
      </c>
      <c r="E31" s="124">
        <f t="shared" si="0"/>
        <v>0.45134318911764126</v>
      </c>
      <c r="F31" s="125">
        <f t="shared" si="1"/>
        <v>2496190049.8570356</v>
      </c>
      <c r="H31" s="120"/>
    </row>
    <row r="32" spans="2:17">
      <c r="B32" s="122">
        <v>12</v>
      </c>
      <c r="C32" s="123">
        <f t="shared" si="2"/>
        <v>5868863638.9748573</v>
      </c>
      <c r="D32" s="138">
        <f>IF($C$17&lt;B32,0,DCF!$C$16)</f>
        <v>6.1165848114484E-2</v>
      </c>
      <c r="E32" s="124">
        <f t="shared" si="0"/>
        <v>0.41985412941175931</v>
      </c>
      <c r="F32" s="125">
        <f t="shared" si="1"/>
        <v>2464066633.7781186</v>
      </c>
      <c r="H32" s="120"/>
    </row>
    <row r="33" spans="2:17">
      <c r="B33" s="122">
        <v>13</v>
      </c>
      <c r="C33" s="347">
        <f t="shared" si="2"/>
        <v>6227837660.921011</v>
      </c>
      <c r="D33" s="138">
        <f>IF($C$17&lt;B33,0,DCF!$C$16)</f>
        <v>6.1165848114484E-2</v>
      </c>
      <c r="E33" s="124">
        <f t="shared" si="0"/>
        <v>0.39056198084814819</v>
      </c>
      <c r="F33" s="125">
        <f t="shared" si="1"/>
        <v>2432356613.2500081</v>
      </c>
      <c r="G33" s="344"/>
      <c r="H33" s="345"/>
      <c r="I33" s="344"/>
      <c r="J33" s="344"/>
      <c r="K33" s="344"/>
      <c r="L33" s="344"/>
      <c r="M33" s="344"/>
      <c r="N33" s="344"/>
      <c r="O33" s="344"/>
      <c r="P33" s="344"/>
      <c r="Q33" s="344"/>
    </row>
    <row r="34" spans="2:17">
      <c r="B34" s="122">
        <v>14</v>
      </c>
      <c r="C34" s="347">
        <f t="shared" si="2"/>
        <v>6608768633.3705683</v>
      </c>
      <c r="D34" s="138">
        <f>IF($C$17&lt;B34,0,DCF!$C$16)</f>
        <v>6.1165848114484E-2</v>
      </c>
      <c r="E34" s="124">
        <f t="shared" si="0"/>
        <v>0.36331347055641694</v>
      </c>
      <c r="F34" s="125">
        <f t="shared" si="1"/>
        <v>2401054668.29425</v>
      </c>
      <c r="G34" s="344"/>
      <c r="H34" s="345"/>
      <c r="I34" s="344"/>
      <c r="J34" s="344"/>
      <c r="K34" s="344"/>
      <c r="L34" s="344"/>
      <c r="M34" s="344"/>
      <c r="N34" s="344"/>
      <c r="O34" s="344"/>
      <c r="P34" s="344"/>
      <c r="Q34" s="344"/>
    </row>
    <row r="35" spans="2:17">
      <c r="B35" s="122">
        <v>15</v>
      </c>
      <c r="C35" s="347">
        <f t="shared" si="2"/>
        <v>7012999571.8230772</v>
      </c>
      <c r="D35" s="138">
        <f>IF($C$17&lt;B35,0,DCF!$C$16)</f>
        <v>6.1165848114484E-2</v>
      </c>
      <c r="E35" s="124">
        <f t="shared" si="0"/>
        <v>0.33796601912224833</v>
      </c>
      <c r="F35" s="125">
        <f t="shared" si="1"/>
        <v>2370155547.3950772</v>
      </c>
      <c r="G35" s="344"/>
      <c r="H35" s="345"/>
      <c r="I35" s="344"/>
      <c r="J35" s="344"/>
      <c r="K35" s="344"/>
      <c r="L35" s="344"/>
      <c r="M35" s="344"/>
      <c r="N35" s="344"/>
      <c r="O35" s="344"/>
      <c r="P35" s="344"/>
      <c r="Q35" s="344"/>
    </row>
    <row r="36" spans="2:17">
      <c r="B36" s="122">
        <v>16</v>
      </c>
      <c r="C36" s="123">
        <f t="shared" si="2"/>
        <v>7441955638.4601469</v>
      </c>
      <c r="D36" s="138">
        <f>IF($C$17&lt;B36,0,DCF!$C$16)</f>
        <v>6.1165848114484E-2</v>
      </c>
      <c r="E36" s="124">
        <f t="shared" si="0"/>
        <v>0.31438699453232405</v>
      </c>
      <c r="F36" s="125">
        <f t="shared" si="1"/>
        <v>2339654066.6183681</v>
      </c>
      <c r="H36" s="120"/>
    </row>
    <row r="37" spans="2:17">
      <c r="B37" s="122">
        <v>17</v>
      </c>
      <c r="C37" s="123">
        <f t="shared" si="2"/>
        <v>7897149166.7169285</v>
      </c>
      <c r="D37" s="138">
        <f>IF($C$17&lt;B37,0,DCF!$C$16)</f>
        <v>6.1165848114484E-2</v>
      </c>
      <c r="E37" s="124">
        <f t="shared" si="0"/>
        <v>0.29245301816960378</v>
      </c>
      <c r="F37" s="125">
        <f t="shared" si="1"/>
        <v>2309545108.7419372</v>
      </c>
      <c r="H37" s="120"/>
    </row>
    <row r="38" spans="2:17">
      <c r="B38" s="122">
        <v>18</v>
      </c>
      <c r="C38" s="123">
        <f t="shared" si="2"/>
        <v>8380184993.1857595</v>
      </c>
      <c r="D38" s="138">
        <f>IF($C$17&lt;B38,0,DCF!$C$16)</f>
        <v>6.1165848114484E-2</v>
      </c>
      <c r="E38" s="124">
        <f t="shared" si="0"/>
        <v>0.27204931922753844</v>
      </c>
      <c r="F38" s="125">
        <f t="shared" si="1"/>
        <v>2279823622.3970199</v>
      </c>
      <c r="H38" s="120"/>
    </row>
    <row r="39" spans="2:17">
      <c r="B39" s="122">
        <v>19</v>
      </c>
      <c r="C39" s="123">
        <f t="shared" si="2"/>
        <v>8892766115.6502361</v>
      </c>
      <c r="D39" s="138">
        <f>IF($C$17&lt;B39,0,DCF!$C$16)</f>
        <v>6.1165848114484E-2</v>
      </c>
      <c r="E39" s="124">
        <f t="shared" si="0"/>
        <v>0.25306913416515198</v>
      </c>
      <c r="F39" s="125">
        <f t="shared" si="1"/>
        <v>2250484621.2208071</v>
      </c>
      <c r="H39" s="120"/>
    </row>
    <row r="40" spans="2:17">
      <c r="B40" s="122">
        <v>20</v>
      </c>
      <c r="C40" s="123">
        <f t="shared" si="2"/>
        <v>9436699697.1977272</v>
      </c>
      <c r="D40" s="138">
        <f>IF($C$17&lt;B40,0,DCF!$C$16)</f>
        <v>6.1165848114484E-2</v>
      </c>
      <c r="E40" s="124">
        <f t="shared" si="0"/>
        <v>0.23541314806060654</v>
      </c>
      <c r="F40" s="125">
        <f t="shared" si="1"/>
        <v>2221523183.0198894</v>
      </c>
      <c r="H40" s="120"/>
    </row>
    <row r="41" spans="2:17">
      <c r="B41" s="122">
        <v>21</v>
      </c>
      <c r="C41" s="123">
        <f t="shared" si="2"/>
        <v>10013903437.57852</v>
      </c>
      <c r="D41" s="138">
        <f>IF($C$17&lt;B41,0,DCF!$C$16)</f>
        <v>6.1165848114484E-2</v>
      </c>
      <c r="E41" s="124">
        <f t="shared" si="0"/>
        <v>0.21898897494009908</v>
      </c>
      <c r="F41" s="125">
        <f t="shared" si="1"/>
        <v>2192934448.9444547</v>
      </c>
      <c r="H41" s="120"/>
    </row>
    <row r="42" spans="2:17">
      <c r="B42" s="122">
        <v>22</v>
      </c>
      <c r="C42" s="123">
        <f t="shared" si="2"/>
        <v>10626412334.274555</v>
      </c>
      <c r="D42" s="138">
        <f>IF($C$17&lt;B42,0,DCF!$C$16)</f>
        <v>6.1165848114484E-2</v>
      </c>
      <c r="E42" s="124">
        <f t="shared" si="0"/>
        <v>0.20371067436288287</v>
      </c>
      <c r="F42" s="125">
        <f t="shared" si="1"/>
        <v>2164713622.6731257</v>
      </c>
      <c r="H42" s="120"/>
    </row>
    <row r="43" spans="2:17">
      <c r="B43" s="122">
        <v>23</v>
      </c>
      <c r="C43" s="123">
        <f t="shared" si="2"/>
        <v>11276385857.11467</v>
      </c>
      <c r="D43" s="138">
        <f>IF($C$17&lt;B43,0,DCF!$C$16)</f>
        <v>6.1165848114484E-2</v>
      </c>
      <c r="E43" s="124">
        <f t="shared" si="0"/>
        <v>0.18949830173291429</v>
      </c>
      <c r="F43" s="125">
        <f t="shared" si="1"/>
        <v>2136855969.608283</v>
      </c>
      <c r="H43" s="120"/>
    </row>
    <row r="44" spans="2:17">
      <c r="B44" s="122">
        <v>24</v>
      </c>
      <c r="C44" s="123">
        <f t="shared" si="2"/>
        <v>11966115561.73126</v>
      </c>
      <c r="D44" s="138">
        <f>IF($C$17&lt;B44,0,DCF!$C$16)</f>
        <v>6.1165848114484E-2</v>
      </c>
      <c r="E44" s="124">
        <f t="shared" si="0"/>
        <v>0.17627748998410636</v>
      </c>
      <c r="F44" s="125">
        <f t="shared" si="1"/>
        <v>2109356816.0817416</v>
      </c>
      <c r="H44" s="120"/>
    </row>
    <row r="45" spans="2:17">
      <c r="B45" s="122">
        <v>25</v>
      </c>
      <c r="C45" s="123">
        <f t="shared" si="2"/>
        <v>12698033168.700478</v>
      </c>
      <c r="D45" s="138">
        <f>IF($C$17&lt;B45,0,DCF!$C$16)</f>
        <v>6.1165848114484E-2</v>
      </c>
      <c r="E45" s="124">
        <f t="shared" si="0"/>
        <v>0.16397906045033148</v>
      </c>
      <c r="F45" s="125">
        <f t="shared" si="1"/>
        <v>2082211548.5706499</v>
      </c>
      <c r="H45" s="120"/>
    </row>
    <row r="46" spans="2:17">
      <c r="B46" s="122">
        <v>26</v>
      </c>
      <c r="C46" s="123">
        <f t="shared" si="2"/>
        <v>13474719136.84989</v>
      </c>
      <c r="D46" s="138">
        <f>IF($C$17&lt;B46,0,DCF!$C$16)</f>
        <v>6.1165848114484E-2</v>
      </c>
      <c r="E46" s="124">
        <f t="shared" si="0"/>
        <v>0.15253866088402931</v>
      </c>
      <c r="F46" s="125">
        <f t="shared" si="1"/>
        <v>2055415612.9234855</v>
      </c>
      <c r="H46" s="120"/>
    </row>
    <row r="47" spans="2:17">
      <c r="B47" s="122">
        <v>27</v>
      </c>
      <c r="C47" s="347">
        <f t="shared" si="2"/>
        <v>14298911760.959778</v>
      </c>
      <c r="D47" s="138">
        <f>IF($C$17&lt;B47,0,DCF!$C$16)</f>
        <v>6.1165848114484E-2</v>
      </c>
      <c r="E47" s="124">
        <f t="shared" si="0"/>
        <v>0.14189642872932959</v>
      </c>
      <c r="F47" s="125">
        <f t="shared" si="1"/>
        <v>2028964513.5960019</v>
      </c>
      <c r="G47" s="344"/>
      <c r="H47" s="345"/>
      <c r="I47" s="344"/>
      <c r="J47" s="344"/>
      <c r="K47" s="344"/>
      <c r="L47" s="344"/>
      <c r="M47" s="344"/>
      <c r="N47" s="344"/>
      <c r="O47" s="344"/>
      <c r="P47" s="344"/>
      <c r="Q47" s="344"/>
    </row>
    <row r="48" spans="2:17">
      <c r="B48" s="122">
        <v>28</v>
      </c>
      <c r="C48" s="347">
        <f t="shared" si="2"/>
        <v>15173516825.93305</v>
      </c>
      <c r="D48" s="138">
        <f>IF($C$17&lt;B48,0,DCF!$C$16)</f>
        <v>6.1165848114484E-2</v>
      </c>
      <c r="E48" s="124">
        <f t="shared" si="0"/>
        <v>0.13199667788774846</v>
      </c>
      <c r="F48" s="125">
        <f t="shared" si="1"/>
        <v>2002853812.8970163</v>
      </c>
      <c r="G48" s="344"/>
      <c r="H48" s="345"/>
      <c r="I48" s="344"/>
      <c r="J48" s="344"/>
      <c r="K48" s="344"/>
      <c r="L48" s="344"/>
      <c r="M48" s="344"/>
      <c r="N48" s="344"/>
      <c r="O48" s="344"/>
      <c r="P48" s="344"/>
      <c r="Q48" s="344"/>
    </row>
    <row r="49" spans="1:17">
      <c r="B49" s="122">
        <v>29</v>
      </c>
      <c r="C49" s="347">
        <f t="shared" si="2"/>
        <v>16101617851.470636</v>
      </c>
      <c r="D49" s="138">
        <f>IF($C$17&lt;B49,0,DCF!$C$16)</f>
        <v>6.1165848114484E-2</v>
      </c>
      <c r="E49" s="124">
        <f t="shared" si="0"/>
        <v>0.1227876073374404</v>
      </c>
      <c r="F49" s="125">
        <f t="shared" si="1"/>
        <v>1977079130.2438972</v>
      </c>
      <c r="G49" s="344"/>
      <c r="H49" s="345"/>
      <c r="I49" s="344"/>
      <c r="J49" s="344"/>
      <c r="K49" s="344"/>
      <c r="L49" s="344"/>
      <c r="M49" s="344"/>
      <c r="N49" s="344"/>
      <c r="O49" s="344"/>
      <c r="P49" s="344"/>
      <c r="Q49" s="344"/>
    </row>
    <row r="50" spans="1:17">
      <c r="B50" s="122">
        <v>30</v>
      </c>
      <c r="C50" s="347">
        <f t="shared" si="2"/>
        <v>17086486963.371153</v>
      </c>
      <c r="D50" s="138">
        <f>IF($C$17&lt;B50,0,DCF!$C$16)</f>
        <v>6.1165848114484E-2</v>
      </c>
      <c r="E50" s="124">
        <f t="shared" si="0"/>
        <v>0.11422103008133992</v>
      </c>
      <c r="F50" s="125">
        <f t="shared" si="1"/>
        <v>1951636141.4276388</v>
      </c>
      <c r="G50" s="344"/>
      <c r="H50" s="345"/>
      <c r="I50" s="344"/>
      <c r="J50" s="344"/>
      <c r="K50" s="344"/>
      <c r="L50" s="344"/>
      <c r="M50" s="344"/>
      <c r="N50" s="344"/>
      <c r="O50" s="344"/>
      <c r="P50" s="344"/>
      <c r="Q50" s="344"/>
    </row>
    <row r="51" spans="1:17">
      <c r="B51" s="126" t="s">
        <v>132</v>
      </c>
      <c r="C51" s="123">
        <f>C$21*(1+Terminal_Growth)^$C$17/Equity_Cost</f>
        <v>40726477258.845665</v>
      </c>
      <c r="D51" s="139">
        <f>Terminal_Growth</f>
        <v>0</v>
      </c>
      <c r="E51" s="124">
        <f>1/(1+Equity_Cost)^C17</f>
        <v>0.11422103008133992</v>
      </c>
      <c r="F51" s="125">
        <f t="shared" si="1"/>
        <v>4651820184.0896168</v>
      </c>
      <c r="H51" s="120"/>
    </row>
    <row r="52" spans="1:17">
      <c r="C52" s="114"/>
      <c r="E52" s="127" t="s">
        <v>101</v>
      </c>
      <c r="F52" s="137">
        <f>SUM(F21:F51)</f>
        <v>75742276709.592453</v>
      </c>
      <c r="H52" s="120"/>
    </row>
    <row r="53" spans="1:17">
      <c r="C53" s="114"/>
      <c r="H53" s="120"/>
    </row>
    <row r="54" spans="1:17" ht="13.15">
      <c r="B54" s="119" t="s">
        <v>130</v>
      </c>
      <c r="C54" s="136"/>
      <c r="D54" s="136"/>
      <c r="E54" s="117"/>
      <c r="F54" s="117"/>
      <c r="H54" s="120"/>
    </row>
    <row r="55" spans="1:17" ht="13.15">
      <c r="A55" s="133">
        <f>F52</f>
        <v>75742276709.592453</v>
      </c>
      <c r="B55" s="131">
        <f>C78</f>
        <v>0.02</v>
      </c>
      <c r="C55" s="131">
        <f>C77</f>
        <v>0.04</v>
      </c>
      <c r="D55" s="131">
        <f>C76</f>
        <v>0.06</v>
      </c>
      <c r="E55" s="131">
        <f>C75</f>
        <v>0.08</v>
      </c>
      <c r="F55" s="131">
        <f>C74</f>
        <v>0.1</v>
      </c>
      <c r="H55" s="120"/>
    </row>
    <row r="56" spans="1:17" ht="13.15">
      <c r="A56" s="143">
        <v>5</v>
      </c>
      <c r="B56" s="123">
        <f t="dataTable" ref="B56:F61" dt2D="1" dtr="1" r1="C16" r2="C17"/>
        <v>39596010770.270973</v>
      </c>
      <c r="C56" s="123">
        <v>40848482059.318359</v>
      </c>
      <c r="D56" s="123">
        <v>42137965998.710884</v>
      </c>
      <c r="E56" s="123">
        <v>43466069464.782471</v>
      </c>
      <c r="F56" s="123">
        <v>44834448416.057617</v>
      </c>
      <c r="H56" s="120"/>
    </row>
    <row r="57" spans="1:17" ht="13.15">
      <c r="A57" s="143">
        <v>10</v>
      </c>
      <c r="B57" s="123">
        <v>40802839491.206558</v>
      </c>
      <c r="C57" s="123">
        <v>43468077626.293694</v>
      </c>
      <c r="D57" s="123">
        <v>46403691526.713943</v>
      </c>
      <c r="E57" s="123">
        <v>49641912086.847382</v>
      </c>
      <c r="F57" s="123">
        <v>53218539565.797546</v>
      </c>
      <c r="H57" s="120"/>
    </row>
    <row r="58" spans="1:17" ht="13.15">
      <c r="A58" s="143">
        <v>15</v>
      </c>
      <c r="B58" s="123">
        <v>42330825979.277298</v>
      </c>
      <c r="C58" s="347">
        <v>46961262366.843788</v>
      </c>
      <c r="D58" s="123">
        <v>52405796112.261749</v>
      </c>
      <c r="E58" s="123">
        <v>58826793793.525726</v>
      </c>
      <c r="F58" s="123">
        <v>66418563668.335838</v>
      </c>
      <c r="G58" s="344"/>
      <c r="H58" s="345"/>
      <c r="I58" s="344"/>
      <c r="J58" s="344"/>
      <c r="K58" s="344"/>
      <c r="L58" s="344"/>
      <c r="M58" s="344"/>
      <c r="N58" s="344"/>
      <c r="O58" s="344"/>
      <c r="P58" s="344"/>
      <c r="Q58" s="344"/>
    </row>
    <row r="59" spans="1:17" ht="13.15">
      <c r="A59" s="144">
        <v>20</v>
      </c>
      <c r="B59" s="123">
        <v>43923776821.48764</v>
      </c>
      <c r="C59" s="347">
        <v>50808459636.918777</v>
      </c>
      <c r="D59" s="123">
        <v>59411760137.63063</v>
      </c>
      <c r="E59" s="123">
        <v>70222268130.07457</v>
      </c>
      <c r="F59" s="123">
        <v>83869724802.53569</v>
      </c>
      <c r="G59" s="344"/>
      <c r="H59" s="345"/>
      <c r="I59" s="344"/>
      <c r="J59" s="344"/>
      <c r="K59" s="344"/>
      <c r="L59" s="344"/>
      <c r="M59" s="344"/>
      <c r="N59" s="344"/>
      <c r="O59" s="344"/>
      <c r="P59" s="344"/>
      <c r="Q59" s="344"/>
    </row>
    <row r="60" spans="1:17" ht="13.15">
      <c r="A60" s="144">
        <v>25</v>
      </c>
      <c r="B60" s="123">
        <v>45439898372.837212</v>
      </c>
      <c r="C60" s="347">
        <v>54686571720.386841</v>
      </c>
      <c r="D60" s="123">
        <v>66925292230.993103</v>
      </c>
      <c r="E60" s="123">
        <v>83274860830.350494</v>
      </c>
      <c r="F60" s="123">
        <v>105287823308.80762</v>
      </c>
      <c r="G60" s="344"/>
      <c r="H60" s="345"/>
      <c r="I60" s="344"/>
      <c r="J60" s="344"/>
      <c r="K60" s="344"/>
      <c r="L60" s="344"/>
      <c r="M60" s="344"/>
      <c r="N60" s="344"/>
      <c r="O60" s="344"/>
      <c r="P60" s="344"/>
      <c r="Q60" s="344"/>
    </row>
    <row r="61" spans="1:17" ht="13.15">
      <c r="A61" s="144">
        <v>30</v>
      </c>
      <c r="B61" s="123">
        <v>46808616743.995979</v>
      </c>
      <c r="C61" s="347">
        <v>58403439106.300568</v>
      </c>
      <c r="D61" s="123">
        <v>74613701271.691849</v>
      </c>
      <c r="E61" s="123">
        <v>97601798275.492813</v>
      </c>
      <c r="F61" s="123">
        <v>130597415117.60651</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0.02</v>
      </c>
      <c r="C64" s="132">
        <f>C55</f>
        <v>0.04</v>
      </c>
      <c r="D64" s="132">
        <f>D55</f>
        <v>0.06</v>
      </c>
      <c r="E64" s="132">
        <f>E55</f>
        <v>0.08</v>
      </c>
      <c r="F64" s="132">
        <f>F55</f>
        <v>0.1</v>
      </c>
      <c r="H64" s="120"/>
    </row>
    <row r="65" spans="1:8" ht="13.15">
      <c r="A65" s="143">
        <v>0</v>
      </c>
      <c r="B65" s="124">
        <f>C12</f>
        <v>42.71796449999033</v>
      </c>
      <c r="C65" s="124">
        <f>C12</f>
        <v>42.71796449999033</v>
      </c>
      <c r="D65" s="124">
        <f>C12</f>
        <v>42.71796449999033</v>
      </c>
      <c r="E65" s="141">
        <f>C12</f>
        <v>42.71796449999033</v>
      </c>
      <c r="F65" s="124">
        <f>C12</f>
        <v>42.71796449999033</v>
      </c>
      <c r="H65" s="120"/>
    </row>
    <row r="66" spans="1:8" ht="13.15">
      <c r="A66" s="143">
        <f t="shared" ref="A66:A71" si="3">A56</f>
        <v>5</v>
      </c>
      <c r="B66" s="124">
        <f t="shared" ref="B66:F71" si="4">(B56-$C$7+$C$8+$C$9)/Common_Shares*$C$3*Exchange_Rate</f>
        <v>43.686760755436168</v>
      </c>
      <c r="C66" s="124">
        <f t="shared" si="4"/>
        <v>44.683779936536048</v>
      </c>
      <c r="D66" s="124">
        <f t="shared" si="4"/>
        <v>45.710262725033679</v>
      </c>
      <c r="E66" s="124">
        <f t="shared" si="4"/>
        <v>46.767488261249945</v>
      </c>
      <c r="F66" s="124">
        <f t="shared" si="4"/>
        <v>47.856774756968605</v>
      </c>
      <c r="H66" s="120"/>
    </row>
    <row r="67" spans="1:8" ht="13.15">
      <c r="A67" s="143">
        <f t="shared" si="3"/>
        <v>10</v>
      </c>
      <c r="B67" s="124">
        <f t="shared" si="4"/>
        <v>44.647446556058533</v>
      </c>
      <c r="C67" s="124">
        <f t="shared" si="4"/>
        <v>46.769086841243713</v>
      </c>
      <c r="D67" s="124">
        <f t="shared" si="4"/>
        <v>49.105957468632347</v>
      </c>
      <c r="E67" s="124">
        <f t="shared" si="4"/>
        <v>51.683715569211749</v>
      </c>
      <c r="F67" s="124">
        <f t="shared" si="4"/>
        <v>54.530859636581511</v>
      </c>
      <c r="H67" s="120"/>
    </row>
    <row r="68" spans="1:8" ht="13.15">
      <c r="A68" s="143">
        <f t="shared" si="3"/>
        <v>15</v>
      </c>
      <c r="B68" s="124">
        <f t="shared" si="4"/>
        <v>45.863787282101576</v>
      </c>
      <c r="C68" s="124">
        <f t="shared" si="4"/>
        <v>49.549807022145266</v>
      </c>
      <c r="D68" s="124">
        <f t="shared" si="4"/>
        <v>53.883882081427437</v>
      </c>
      <c r="E68" s="124">
        <f t="shared" si="4"/>
        <v>58.995263001693644</v>
      </c>
      <c r="F68" s="124">
        <f t="shared" si="4"/>
        <v>65.038627228780172</v>
      </c>
      <c r="H68" s="120"/>
    </row>
    <row r="69" spans="1:8" ht="13.15">
      <c r="A69" s="144">
        <f t="shared" si="3"/>
        <v>20</v>
      </c>
      <c r="B69" s="124">
        <f t="shared" si="4"/>
        <v>47.131842333040822</v>
      </c>
      <c r="C69" s="124">
        <f t="shared" si="4"/>
        <v>52.612335884309651</v>
      </c>
      <c r="D69" s="124">
        <f t="shared" si="4"/>
        <v>59.460920514540945</v>
      </c>
      <c r="E69" s="124">
        <f t="shared" si="4"/>
        <v>68.066534008562016</v>
      </c>
      <c r="F69" s="124">
        <f t="shared" si="4"/>
        <v>78.930476515397771</v>
      </c>
      <c r="H69" s="120"/>
    </row>
    <row r="70" spans="1:8" ht="13.15">
      <c r="A70" s="144">
        <f t="shared" si="3"/>
        <v>25</v>
      </c>
      <c r="B70" s="124">
        <f t="shared" si="4"/>
        <v>48.338738076514609</v>
      </c>
      <c r="C70" s="124">
        <f t="shared" si="4"/>
        <v>55.69947422231796</v>
      </c>
      <c r="D70" s="124">
        <f t="shared" si="4"/>
        <v>65.442004217137892</v>
      </c>
      <c r="E70" s="124">
        <f t="shared" si="4"/>
        <v>78.456940079392922</v>
      </c>
      <c r="F70" s="124">
        <f t="shared" si="4"/>
        <v>95.980172760076982</v>
      </c>
    </row>
    <row r="71" spans="1:8" ht="13.15">
      <c r="A71" s="144">
        <f t="shared" si="3"/>
        <v>30</v>
      </c>
      <c r="B71" s="124">
        <f t="shared" si="4"/>
        <v>49.428294764562132</v>
      </c>
      <c r="C71" s="124">
        <f t="shared" si="4"/>
        <v>58.658255082020645</v>
      </c>
      <c r="D71" s="124">
        <f t="shared" si="4"/>
        <v>71.562297235230659</v>
      </c>
      <c r="E71" s="124">
        <f t="shared" si="4"/>
        <v>89.861777510907515</v>
      </c>
      <c r="F71" s="124">
        <f t="shared" si="4"/>
        <v>116.12765934906989</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30</v>
      </c>
      <c r="E74" s="135">
        <f>INDEX(B$65:F$71, MATCH(D74, A$65:A$71, 0), MATCH(C74, B$64:F$64, 0))</f>
        <v>116.12765934906989</v>
      </c>
      <c r="F74" s="142">
        <f>Scenarios!C58</f>
        <v>0.05</v>
      </c>
    </row>
    <row r="75" spans="1:8">
      <c r="B75" s="127" t="str">
        <f>Scenarios!B36</f>
        <v>Optimistic</v>
      </c>
      <c r="C75" s="142">
        <f>Scenarios!C38</f>
        <v>0.08</v>
      </c>
      <c r="D75" s="145">
        <f>Scenarios!C37</f>
        <v>30</v>
      </c>
      <c r="E75" s="135">
        <f>INDEX(B$65:F$71, MATCH(D75, A$65:A$71, 0), MATCH(C75, B$64:F$64, 0))</f>
        <v>89.861777510907515</v>
      </c>
      <c r="F75" s="142">
        <f>Scenarios!C40*(1-F$74-F$78)</f>
        <v>0.18</v>
      </c>
      <c r="H75" s="120"/>
    </row>
    <row r="76" spans="1:8">
      <c r="B76" s="127" t="str">
        <f>Scenarios!B24</f>
        <v>Base</v>
      </c>
      <c r="C76" s="142">
        <f>Scenarios!C26</f>
        <v>0.06</v>
      </c>
      <c r="D76" s="145">
        <f>Scenarios!C25</f>
        <v>30</v>
      </c>
      <c r="E76" s="135">
        <f>INDEX(B$65:F$71, MATCH(D76, A$65:A$71, 0), MATCH(C76, B$64:F$64, 0))</f>
        <v>71.562297235230659</v>
      </c>
      <c r="F76" s="142">
        <f>Scenarios!C28*(1-F$74-F$78)</f>
        <v>0.44999999999999996</v>
      </c>
      <c r="H76" s="120"/>
    </row>
    <row r="77" spans="1:8">
      <c r="B77" s="127" t="str">
        <f>Scenarios!B30</f>
        <v>Pessimistic</v>
      </c>
      <c r="C77" s="142">
        <f>Scenarios!C32</f>
        <v>0.04</v>
      </c>
      <c r="D77" s="145">
        <f>Scenarios!C31</f>
        <v>30</v>
      </c>
      <c r="E77" s="135">
        <f>INDEX(B$65:F$71, MATCH(D77, A$65:A$71, 0), MATCH(C77, B$64:F$64, 0))</f>
        <v>58.658255082020645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49.428294764562132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2763674850.1313114</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25">
        <f>(C4*(1+Terminal_Growth))/(Equity_Cost-Terminal_Growth)</f>
        <v>36848998001.750824</v>
      </c>
      <c r="D6" t="str">
        <f>Reporting_currency</f>
        <v>CNY</v>
      </c>
      <c r="E6" s="365"/>
      <c r="F6" s="365"/>
      <c r="H6" s="120"/>
    </row>
    <row r="7" spans="2:8" ht="13.15">
      <c r="B7" s="149" t="s">
        <v>445</v>
      </c>
      <c r="C7" s="111">
        <f>(C6*scaling_factor)/Common_Shares*Exchange_Rate</f>
        <v>29.333333333333339</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6.1165848114484E-2</v>
      </c>
      <c r="H11" s="120"/>
    </row>
    <row r="12" spans="2:8" ht="13.25" customHeight="1">
      <c r="B12" s="118" t="s">
        <v>135</v>
      </c>
      <c r="C12" s="162">
        <f>Scenarios!C64</f>
        <v>30</v>
      </c>
      <c r="H12" s="120"/>
    </row>
    <row r="13" spans="2:8" ht="13.25" customHeight="1">
      <c r="B13" s="153" t="s">
        <v>107</v>
      </c>
      <c r="C13" s="140">
        <f>F47/Common_Shares*scaling_factor</f>
        <v>53.30812824326695</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2932717366.2522621</v>
      </c>
      <c r="D16" s="138">
        <f>IF($C$12&lt;B16,0,DDM!$C$11)</f>
        <v>6.1165848114484E-2</v>
      </c>
      <c r="E16" s="124">
        <f t="shared" ref="E16:E45" si="0">IF($C$12&lt;B16,0,1/(1+Equity_Cost)^B16)</f>
        <v>0.93023255813953487</v>
      </c>
      <c r="F16" s="125">
        <f t="shared" ref="F16:F46" si="1">C16*E16</f>
        <v>2728109177.909081</v>
      </c>
      <c r="H16" s="120"/>
    </row>
    <row r="17" spans="2:8">
      <c r="B17" s="122">
        <v>2</v>
      </c>
      <c r="C17" s="123">
        <f t="shared" ref="C17:C45" si="2">IF(ROW()-ROW($C$16)&lt;$C$12, $C$16*(1+D17)^(ROW()-ROW($C$16)), 0)</f>
        <v>3112099511.2391572</v>
      </c>
      <c r="D17" s="138">
        <f>IF($C$12&lt;B17,0,DDM!$C$11)</f>
        <v>6.1165848114484E-2</v>
      </c>
      <c r="E17" s="124">
        <f t="shared" si="0"/>
        <v>0.86533261222282321</v>
      </c>
      <c r="F17" s="125">
        <f t="shared" si="1"/>
        <v>2693001199.5579515</v>
      </c>
      <c r="H17" s="120"/>
    </row>
    <row r="18" spans="2:8">
      <c r="B18" s="122">
        <v>3</v>
      </c>
      <c r="C18" s="123">
        <f t="shared" si="2"/>
        <v>3302453717.2607708</v>
      </c>
      <c r="D18" s="138">
        <f>IF($C$12&lt;B18,0,DDM!$C$11)</f>
        <v>6.1165848114484E-2</v>
      </c>
      <c r="E18" s="124">
        <f t="shared" si="0"/>
        <v>0.80496056950960304</v>
      </c>
      <c r="F18" s="125">
        <f t="shared" si="1"/>
        <v>2658345025.0253358</v>
      </c>
      <c r="H18" s="120"/>
    </row>
    <row r="19" spans="2:8">
      <c r="B19" s="122">
        <v>4</v>
      </c>
      <c r="C19" s="123">
        <f t="shared" si="2"/>
        <v>3504451099.7358556</v>
      </c>
      <c r="D19" s="138">
        <f>IF($C$12&lt;B19,0,DDM!$C$11)</f>
        <v>6.1165848114484E-2</v>
      </c>
      <c r="E19" s="124">
        <f t="shared" si="0"/>
        <v>0.7488005297763749</v>
      </c>
      <c r="F19" s="125">
        <f t="shared" si="1"/>
        <v>2624134840.0576081</v>
      </c>
      <c r="H19" s="120"/>
    </row>
    <row r="20" spans="2:8">
      <c r="B20" s="122">
        <v>5</v>
      </c>
      <c r="C20" s="123">
        <f t="shared" si="2"/>
        <v>3718803823.4269352</v>
      </c>
      <c r="D20" s="138">
        <f>IF($C$12&lt;B20,0,DDM!$C$11)</f>
        <v>6.1165848114484E-2</v>
      </c>
      <c r="E20" s="124">
        <f t="shared" si="0"/>
        <v>0.69655863235011617</v>
      </c>
      <c r="F20" s="125">
        <f t="shared" si="1"/>
        <v>2590364905.224649</v>
      </c>
      <c r="H20" s="120"/>
    </row>
    <row r="21" spans="2:8">
      <c r="B21" s="122">
        <v>6</v>
      </c>
      <c r="C21" s="123">
        <f t="shared" si="2"/>
        <v>3946267613.2582293</v>
      </c>
      <c r="D21" s="138">
        <f>IF($C$12&lt;B21,0,DDM!$C$11)</f>
        <v>6.1165848114484E-2</v>
      </c>
      <c r="E21" s="124">
        <f t="shared" si="0"/>
        <v>0.64796151846522443</v>
      </c>
      <c r="F21" s="125">
        <f t="shared" si="1"/>
        <v>2557029554.9569392</v>
      </c>
      <c r="H21" s="120"/>
    </row>
    <row r="22" spans="2:8">
      <c r="B22" s="122">
        <v>7</v>
      </c>
      <c r="C22" s="123">
        <f t="shared" si="2"/>
        <v>4187644418.7098885</v>
      </c>
      <c r="D22" s="138">
        <f>IF($C$12&lt;B22,0,DDM!$C$11)</f>
        <v>6.1165848114484E-2</v>
      </c>
      <c r="E22" s="124">
        <f t="shared" si="0"/>
        <v>0.60275490089788319</v>
      </c>
      <c r="F22" s="125">
        <f t="shared" si="1"/>
        <v>2524123196.5950527</v>
      </c>
      <c r="H22" s="120"/>
    </row>
    <row r="23" spans="2:8">
      <c r="B23" s="122">
        <v>8</v>
      </c>
      <c r="C23" s="123">
        <f t="shared" si="2"/>
        <v>4443785241.1821632</v>
      </c>
      <c r="D23" s="138">
        <f>IF($C$12&lt;B23,0,DDM!$C$11)</f>
        <v>6.1165848114484E-2</v>
      </c>
      <c r="E23" s="124">
        <f t="shared" si="0"/>
        <v>0.56070223339337966</v>
      </c>
      <c r="F23" s="125">
        <f t="shared" si="1"/>
        <v>2491640309.4513774</v>
      </c>
      <c r="H23" s="120"/>
    </row>
    <row r="24" spans="2:8">
      <c r="B24" s="122">
        <v>9</v>
      </c>
      <c r="C24" s="123">
        <f t="shared" si="2"/>
        <v>4715593134.2976971</v>
      </c>
      <c r="D24" s="138">
        <f>IF($C$12&lt;B24,0,DDM!$C$11)</f>
        <v>6.1165848114484E-2</v>
      </c>
      <c r="E24" s="124">
        <f t="shared" si="0"/>
        <v>0.52158347292407414</v>
      </c>
      <c r="F24" s="125">
        <f t="shared" si="1"/>
        <v>2459575443.883913</v>
      </c>
      <c r="H24" s="120"/>
    </row>
    <row r="25" spans="2:8">
      <c r="B25" s="122">
        <v>10</v>
      </c>
      <c r="C25" s="123">
        <f t="shared" si="2"/>
        <v>5004026387.7198534</v>
      </c>
      <c r="D25" s="138">
        <f>IF($C$12&lt;B25,0,DDM!$C$11)</f>
        <v>6.1165848114484E-2</v>
      </c>
      <c r="E25" s="124">
        <f t="shared" si="0"/>
        <v>0.48519392830146441</v>
      </c>
      <c r="F25" s="125">
        <f t="shared" si="1"/>
        <v>2427923220.3819823</v>
      </c>
      <c r="H25" s="120"/>
    </row>
    <row r="26" spans="2:8">
      <c r="B26" s="122">
        <v>11</v>
      </c>
      <c r="C26" s="123">
        <f t="shared" si="2"/>
        <v>5310101905.7119951</v>
      </c>
      <c r="D26" s="138">
        <f>IF($C$12&lt;B26,0,DDM!$C$11)</f>
        <v>6.1165848114484E-2</v>
      </c>
      <c r="E26" s="124">
        <f t="shared" si="0"/>
        <v>0.45134318911764126</v>
      </c>
      <c r="F26" s="125">
        <f t="shared" si="1"/>
        <v>2396678328.6637163</v>
      </c>
      <c r="H26" s="120"/>
    </row>
    <row r="27" spans="2:8">
      <c r="B27" s="122">
        <v>12</v>
      </c>
      <c r="C27" s="123">
        <f t="shared" si="2"/>
        <v>5634898792.349206</v>
      </c>
      <c r="D27" s="138">
        <f>IF($C$12&lt;B27,0,DDM!$C$11)</f>
        <v>6.1165848114484E-2</v>
      </c>
      <c r="E27" s="124">
        <f t="shared" si="0"/>
        <v>0.41985412941175931</v>
      </c>
      <c r="F27" s="125">
        <f t="shared" si="1"/>
        <v>2365835526.7851496</v>
      </c>
      <c r="H27" s="120"/>
    </row>
    <row r="28" spans="2:8">
      <c r="B28" s="122">
        <v>13</v>
      </c>
      <c r="C28" s="123">
        <f t="shared" si="2"/>
        <v>5979562156.0225258</v>
      </c>
      <c r="D28" s="138">
        <f>IF($C$12&lt;B28,0,DDM!$C$11)</f>
        <v>6.1165848114484E-2</v>
      </c>
      <c r="E28" s="124">
        <f t="shared" si="0"/>
        <v>0.39056198084814819</v>
      </c>
      <c r="F28" s="125">
        <f t="shared" si="1"/>
        <v>2335389640.2607813</v>
      </c>
      <c r="H28" s="120"/>
    </row>
    <row r="29" spans="2:8">
      <c r="B29" s="122">
        <v>14</v>
      </c>
      <c r="C29" s="123">
        <f t="shared" si="2"/>
        <v>6345307146.6489162</v>
      </c>
      <c r="D29" s="138">
        <f>IF($C$12&lt;B29,0,DDM!$C$11)</f>
        <v>6.1165848114484E-2</v>
      </c>
      <c r="E29" s="124">
        <f t="shared" si="0"/>
        <v>0.36331347055641694</v>
      </c>
      <c r="F29" s="125">
        <f t="shared" si="1"/>
        <v>2305335561.1954532</v>
      </c>
      <c r="H29" s="120"/>
    </row>
    <row r="30" spans="2:8">
      <c r="B30" s="122">
        <v>15</v>
      </c>
      <c r="C30" s="123">
        <f t="shared" si="2"/>
        <v>6733423239.8205919</v>
      </c>
      <c r="D30" s="138">
        <f>IF($C$12&lt;B30,0,DDM!$C$11)</f>
        <v>6.1165848114484E-2</v>
      </c>
      <c r="E30" s="124">
        <f t="shared" si="0"/>
        <v>0.33796601912224833</v>
      </c>
      <c r="F30" s="125">
        <f t="shared" si="1"/>
        <v>2275668247.4273973</v>
      </c>
      <c r="H30" s="120"/>
    </row>
    <row r="31" spans="2:8">
      <c r="B31" s="122">
        <v>16</v>
      </c>
      <c r="C31" s="123">
        <f t="shared" si="2"/>
        <v>7145278782.9979935</v>
      </c>
      <c r="D31" s="138">
        <f>IF($C$12&lt;B31,0,DDM!$C$11)</f>
        <v>6.1165848114484E-2</v>
      </c>
      <c r="E31" s="124">
        <f t="shared" si="0"/>
        <v>0.31438699453232405</v>
      </c>
      <c r="F31" s="125">
        <f t="shared" si="1"/>
        <v>2246382721.6823211</v>
      </c>
      <c r="H31" s="120"/>
    </row>
    <row r="32" spans="2:8">
      <c r="B32" s="122">
        <v>17</v>
      </c>
      <c r="C32" s="123">
        <f t="shared" si="2"/>
        <v>7582325819.7744942</v>
      </c>
      <c r="D32" s="138">
        <f>IF($C$12&lt;B32,0,DDM!$C$11)</f>
        <v>6.1165848114484E-2</v>
      </c>
      <c r="E32" s="124">
        <f t="shared" si="0"/>
        <v>0.29245301816960378</v>
      </c>
      <c r="F32" s="125">
        <f t="shared" si="1"/>
        <v>2217474070.7383661</v>
      </c>
      <c r="H32" s="120"/>
    </row>
    <row r="33" spans="2:8">
      <c r="B33" s="122">
        <v>18</v>
      </c>
      <c r="C33" s="123">
        <f t="shared" si="2"/>
        <v>8046105209.2213516</v>
      </c>
      <c r="D33" s="138">
        <f>IF($C$12&lt;B33,0,DDM!$C$11)</f>
        <v>6.1165848114484E-2</v>
      </c>
      <c r="E33" s="124">
        <f t="shared" si="0"/>
        <v>0.27204931922753844</v>
      </c>
      <c r="F33" s="125">
        <f t="shared" si="1"/>
        <v>2188937444.6018195</v>
      </c>
      <c r="H33" s="120"/>
    </row>
    <row r="34" spans="2:8">
      <c r="B34" s="122">
        <v>19</v>
      </c>
      <c r="C34" s="123">
        <f t="shared" si="2"/>
        <v>8538252058.3617411</v>
      </c>
      <c r="D34" s="138">
        <f>IF($C$12&lt;B34,0,DDM!$C$11)</f>
        <v>6.1165848114484E-2</v>
      </c>
      <c r="E34" s="124">
        <f t="shared" si="0"/>
        <v>0.25306913416515198</v>
      </c>
      <c r="F34" s="125">
        <f t="shared" si="1"/>
        <v>2160768055.6934323</v>
      </c>
      <c r="H34" s="120"/>
    </row>
    <row r="35" spans="2:8">
      <c r="B35" s="122">
        <v>20</v>
      </c>
      <c r="C35" s="123">
        <f t="shared" si="2"/>
        <v>9060501486.9266739</v>
      </c>
      <c r="D35" s="138">
        <f>IF($C$12&lt;B35,0,DDM!$C$11)</f>
        <v>6.1165848114484E-2</v>
      </c>
      <c r="E35" s="124">
        <f t="shared" si="0"/>
        <v>0.23541314806060654</v>
      </c>
      <c r="F35" s="125">
        <f t="shared" si="1"/>
        <v>2132961178.0452147</v>
      </c>
      <c r="H35" s="120"/>
    </row>
    <row r="36" spans="2:8">
      <c r="B36" s="122">
        <v>21</v>
      </c>
      <c r="C36" s="123">
        <f t="shared" si="2"/>
        <v>9614694744.7170868</v>
      </c>
      <c r="D36" s="138">
        <f>IF($C$12&lt;B36,0,DDM!$C$11)</f>
        <v>6.1165848114484E-2</v>
      </c>
      <c r="E36" s="124">
        <f t="shared" si="0"/>
        <v>0.21898897494009908</v>
      </c>
      <c r="F36" s="125">
        <f t="shared" si="1"/>
        <v>2105512146.5075524</v>
      </c>
      <c r="H36" s="120"/>
    </row>
    <row r="37" spans="2:8">
      <c r="B37" s="122">
        <v>22</v>
      </c>
      <c r="C37" s="123">
        <f t="shared" si="2"/>
        <v>10202785703.13958</v>
      </c>
      <c r="D37" s="138">
        <f>IF($C$12&lt;B37,0,DDM!$C$11)</f>
        <v>6.1165848114484E-2</v>
      </c>
      <c r="E37" s="124">
        <f t="shared" si="0"/>
        <v>0.20371067436288287</v>
      </c>
      <c r="F37" s="125">
        <f t="shared" si="1"/>
        <v>2078416355.9665439</v>
      </c>
      <c r="H37" s="120"/>
    </row>
    <row r="38" spans="2:8">
      <c r="B38" s="122">
        <v>23</v>
      </c>
      <c r="C38" s="123">
        <f t="shared" si="2"/>
        <v>10826847743.802441</v>
      </c>
      <c r="D38" s="138">
        <f>IF($C$12&lt;B38,0,DDM!$C$11)</f>
        <v>6.1165848114484E-2</v>
      </c>
      <c r="E38" s="124">
        <f t="shared" si="0"/>
        <v>0.18949830173291429</v>
      </c>
      <c r="F38" s="125">
        <f t="shared" si="1"/>
        <v>2051669260.5713973</v>
      </c>
      <c r="H38" s="120"/>
    </row>
    <row r="39" spans="2:8">
      <c r="B39" s="122">
        <v>24</v>
      </c>
      <c r="C39" s="123">
        <f t="shared" si="2"/>
        <v>11489081068.458504</v>
      </c>
      <c r="D39" s="138">
        <f>IF($C$12&lt;B39,0,DDM!$C$11)</f>
        <v>6.1165848114484E-2</v>
      </c>
      <c r="E39" s="124">
        <f t="shared" si="0"/>
        <v>0.17627748998410636</v>
      </c>
      <c r="F39" s="125">
        <f t="shared" si="1"/>
        <v>2025266372.9717798</v>
      </c>
      <c r="H39" s="120"/>
    </row>
    <row r="40" spans="2:8">
      <c r="B40" s="122">
        <v>25</v>
      </c>
      <c r="C40" s="123">
        <f t="shared" si="2"/>
        <v>12191820456.06683</v>
      </c>
      <c r="D40" s="138">
        <f>IF($C$12&lt;B40,0,DDM!$C$11)</f>
        <v>6.1165848114484E-2</v>
      </c>
      <c r="E40" s="124">
        <f t="shared" si="0"/>
        <v>0.16397906045033148</v>
      </c>
      <c r="F40" s="125">
        <f t="shared" si="1"/>
        <v>1999203263.5649705</v>
      </c>
      <c r="H40" s="120"/>
    </row>
    <row r="41" spans="2:8">
      <c r="B41" s="122">
        <v>26</v>
      </c>
      <c r="C41" s="123">
        <f t="shared" si="2"/>
        <v>12937543494.321671</v>
      </c>
      <c r="D41" s="138">
        <f>IF($C$12&lt;B41,0,DDM!$C$11)</f>
        <v>6.1165848114484E-2</v>
      </c>
      <c r="E41" s="124">
        <f t="shared" si="0"/>
        <v>0.15253866088402931</v>
      </c>
      <c r="F41" s="125">
        <f t="shared" si="1"/>
        <v>1973475559.752713</v>
      </c>
      <c r="H41" s="120"/>
    </row>
    <row r="42" spans="2:8">
      <c r="B42" s="122">
        <v>27</v>
      </c>
      <c r="C42" s="123">
        <f t="shared" si="2"/>
        <v>13728879314.66988</v>
      </c>
      <c r="D42" s="138">
        <f>IF($C$12&lt;B42,0,DDM!$C$11)</f>
        <v>6.1165848114484E-2</v>
      </c>
      <c r="E42" s="124">
        <f t="shared" si="0"/>
        <v>0.14189642872932959</v>
      </c>
      <c r="F42" s="125">
        <f t="shared" si="1"/>
        <v>1948078945.2076218</v>
      </c>
      <c r="H42" s="120"/>
    </row>
    <row r="43" spans="2:8">
      <c r="B43" s="122">
        <v>28</v>
      </c>
      <c r="C43" s="123">
        <f t="shared" si="2"/>
        <v>14568617861.613054</v>
      </c>
      <c r="D43" s="138">
        <f>IF($C$12&lt;B43,0,DDM!$C$11)</f>
        <v>6.1165848114484E-2</v>
      </c>
      <c r="E43" s="124">
        <f t="shared" si="0"/>
        <v>0.13199667788774846</v>
      </c>
      <c r="F43" s="125">
        <f t="shared" si="1"/>
        <v>1923009159.1490371</v>
      </c>
      <c r="H43" s="120"/>
    </row>
    <row r="44" spans="2:8">
      <c r="B44" s="122">
        <v>29</v>
      </c>
      <c r="C44" s="123">
        <f t="shared" si="2"/>
        <v>15459719728.974436</v>
      </c>
      <c r="D44" s="138">
        <f>IF($C$12&lt;B44,0,DDM!$C$11)</f>
        <v>6.1165848114484E-2</v>
      </c>
      <c r="E44" s="124">
        <f t="shared" si="0"/>
        <v>0.1227876073374404</v>
      </c>
      <c r="F44" s="125">
        <f t="shared" si="1"/>
        <v>1898261995.6281936</v>
      </c>
      <c r="H44" s="120"/>
    </row>
    <row r="45" spans="2:8">
      <c r="B45" s="122">
        <v>30</v>
      </c>
      <c r="C45" s="123">
        <f t="shared" si="2"/>
        <v>16405326597.809378</v>
      </c>
      <c r="D45" s="138">
        <f>IF($C$12&lt;B45,0,DDM!$C$11)</f>
        <v>6.1165848114484E-2</v>
      </c>
      <c r="E45" s="124">
        <f t="shared" si="0"/>
        <v>0.11422103008133992</v>
      </c>
      <c r="F45" s="125">
        <f t="shared" si="1"/>
        <v>1873833302.8225908</v>
      </c>
      <c r="H45" s="120"/>
    </row>
    <row r="46" spans="2:8">
      <c r="B46" s="126" t="s">
        <v>132</v>
      </c>
      <c r="C46" s="123">
        <f>C$16*(1+F4)^$C$12/Equity_Cost</f>
        <v>39102898216.696831</v>
      </c>
      <c r="D46" s="139">
        <f>Terminal_Growth</f>
        <v>0</v>
      </c>
      <c r="E46" s="124">
        <f>1/(1+Equity_Cost)^C12</f>
        <v>0.11422103008133992</v>
      </c>
      <c r="F46" s="125">
        <f t="shared" si="1"/>
        <v>4466373313.476902</v>
      </c>
      <c r="H46" s="120"/>
    </row>
    <row r="47" spans="2:8">
      <c r="C47" s="114"/>
      <c r="E47" s="127" t="s">
        <v>101</v>
      </c>
      <c r="F47" s="137">
        <f>SUM(F16:F46)</f>
        <v>72722777323.756851</v>
      </c>
      <c r="H47" s="120"/>
    </row>
    <row r="48" spans="2:8">
      <c r="C48" s="114"/>
      <c r="H48" s="120"/>
    </row>
    <row r="49" spans="1:8" ht="13.15">
      <c r="B49" s="119" t="s">
        <v>130</v>
      </c>
      <c r="C49" s="136"/>
      <c r="D49" s="136"/>
      <c r="E49" s="117"/>
      <c r="F49" s="117"/>
      <c r="H49" s="120"/>
    </row>
    <row r="50" spans="1:8" ht="13.15">
      <c r="A50" s="133">
        <f>F47</f>
        <v>72722777323.756851</v>
      </c>
      <c r="B50" s="131">
        <f>C73</f>
        <v>0.02</v>
      </c>
      <c r="C50" s="131">
        <f>C72</f>
        <v>0.04</v>
      </c>
      <c r="D50" s="131">
        <f>C71</f>
        <v>0.06</v>
      </c>
      <c r="E50" s="131">
        <f>C70</f>
        <v>0.08</v>
      </c>
      <c r="F50" s="131">
        <f>C69</f>
        <v>0.1</v>
      </c>
      <c r="H50" s="120"/>
    </row>
    <row r="51" spans="1:8" ht="13.15">
      <c r="A51" s="143">
        <v>5</v>
      </c>
      <c r="B51" s="123">
        <f t="dataTable" ref="B51:F56" dt2D="1" dtr="1" r1="C11" r2="C12"/>
        <v>38017498275.052689</v>
      </c>
      <c r="C51" s="123">
        <v>39220039241.797302</v>
      </c>
      <c r="D51" s="123">
        <v>40458117333.198631</v>
      </c>
      <c r="E51" s="123">
        <v>41733275366.754303</v>
      </c>
      <c r="F51" s="123">
        <v>43047103285.469299</v>
      </c>
      <c r="H51" s="120"/>
    </row>
    <row r="52" spans="1:8" ht="13.15">
      <c r="A52" s="143">
        <v>10</v>
      </c>
      <c r="B52" s="123">
        <v>39176216234.865448</v>
      </c>
      <c r="C52" s="123">
        <v>41735203472.018036</v>
      </c>
      <c r="D52" s="123">
        <v>44553787824.945862</v>
      </c>
      <c r="E52" s="123">
        <v>47662915289.158615</v>
      </c>
      <c r="F52" s="123">
        <v>51096958930.584846</v>
      </c>
      <c r="H52" s="120"/>
    </row>
    <row r="53" spans="1:8" ht="13.15">
      <c r="A53" s="143">
        <v>15</v>
      </c>
      <c r="B53" s="123">
        <v>40643288865.276695</v>
      </c>
      <c r="C53" s="123">
        <v>45089130856.74369</v>
      </c>
      <c r="D53" s="123">
        <v>50316615854.558205</v>
      </c>
      <c r="E53" s="123">
        <v>56481637621.216858</v>
      </c>
      <c r="F53" s="123">
        <v>63770758229.72242</v>
      </c>
      <c r="H53" s="120"/>
    </row>
    <row r="54" spans="1:8" ht="13.15">
      <c r="A54" s="144">
        <v>20</v>
      </c>
      <c r="B54" s="123">
        <v>42172736017.095444</v>
      </c>
      <c r="C54" s="123">
        <v>48782957904.81282</v>
      </c>
      <c r="D54" s="123">
        <v>57043284023.098053</v>
      </c>
      <c r="E54" s="123">
        <v>67422826329.510254</v>
      </c>
      <c r="F54" s="123">
        <v>80526221101.129486</v>
      </c>
      <c r="H54" s="120"/>
    </row>
    <row r="55" spans="1:8" ht="13.15">
      <c r="A55" s="144">
        <v>25</v>
      </c>
      <c r="B55" s="123">
        <v>43628416711.739517</v>
      </c>
      <c r="C55" s="123">
        <v>52506467333.555672</v>
      </c>
      <c r="D55" s="123">
        <v>64257285833.942734</v>
      </c>
      <c r="E55" s="123">
        <v>79955071644.492233</v>
      </c>
      <c r="F55" s="123">
        <v>101090477630.43767</v>
      </c>
      <c r="H55" s="120"/>
    </row>
    <row r="56" spans="1:8" ht="13.15">
      <c r="A56" s="144">
        <v>30</v>
      </c>
      <c r="B56" s="123">
        <v>44942570519.214226</v>
      </c>
      <c r="C56" s="123">
        <v>56075160155.981827</v>
      </c>
      <c r="D56" s="123">
        <v>71639193045.214661</v>
      </c>
      <c r="E56" s="123">
        <v>93710859387.040054</v>
      </c>
      <c r="F56" s="123">
        <v>125391091359.32706</v>
      </c>
      <c r="H56" s="120"/>
    </row>
    <row r="57" spans="1:8">
      <c r="C57" s="114"/>
      <c r="D57" s="114"/>
      <c r="E57" s="114"/>
      <c r="F57" s="114"/>
      <c r="H57" s="120"/>
    </row>
    <row r="58" spans="1:8" ht="13.15">
      <c r="B58" s="119" t="s">
        <v>131</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29.333333333333339</v>
      </c>
      <c r="C60" s="124">
        <f>C7</f>
        <v>29.333333333333339</v>
      </c>
      <c r="D60" s="124">
        <f>C7</f>
        <v>29.333333333333339</v>
      </c>
      <c r="E60" s="141">
        <f>C7</f>
        <v>29.333333333333339</v>
      </c>
      <c r="F60" s="124">
        <f>C7</f>
        <v>29.333333333333339</v>
      </c>
      <c r="H60" s="120"/>
    </row>
    <row r="61" spans="1:8" ht="13.15">
      <c r="A61" s="143">
        <f t="shared" ref="A61:A66" si="3">A51</f>
        <v>5</v>
      </c>
      <c r="B61" s="124">
        <f t="shared" ref="B61:F66" si="4">B51/Common_Shares*$C$3*Exchange_Rate</f>
        <v>30.263508097250288</v>
      </c>
      <c r="C61" s="124">
        <f t="shared" si="4"/>
        <v>31.220780667398131</v>
      </c>
      <c r="D61" s="124">
        <f t="shared" si="4"/>
        <v>32.206342265193726</v>
      </c>
      <c r="E61" s="124">
        <f t="shared" si="4"/>
        <v>33.221421037462896</v>
      </c>
      <c r="F61" s="124">
        <f t="shared" si="4"/>
        <v>34.267282644893186</v>
      </c>
      <c r="H61" s="120"/>
    </row>
    <row r="62" spans="1:8" ht="13.15">
      <c r="A62" s="143">
        <f t="shared" si="3"/>
        <v>10</v>
      </c>
      <c r="B62" s="124">
        <f t="shared" si="4"/>
        <v>31.185895733215116</v>
      </c>
      <c r="C62" s="124">
        <f t="shared" si="4"/>
        <v>33.222955889357657</v>
      </c>
      <c r="D62" s="124">
        <f t="shared" si="4"/>
        <v>35.466666134847131</v>
      </c>
      <c r="E62" s="124">
        <f t="shared" si="4"/>
        <v>37.941660767787788</v>
      </c>
      <c r="F62" s="124">
        <f t="shared" si="4"/>
        <v>40.675302176717906</v>
      </c>
      <c r="H62" s="120"/>
    </row>
    <row r="63" spans="1:8" ht="13.15">
      <c r="A63" s="143">
        <f t="shared" si="3"/>
        <v>15</v>
      </c>
      <c r="B63" s="124">
        <f t="shared" si="4"/>
        <v>32.35374649784157</v>
      </c>
      <c r="C63" s="124">
        <f t="shared" si="4"/>
        <v>35.892821429453967</v>
      </c>
      <c r="D63" s="124">
        <f t="shared" si="4"/>
        <v>40.054116668163225</v>
      </c>
      <c r="E63" s="124">
        <f t="shared" si="4"/>
        <v>44.96173012565972</v>
      </c>
      <c r="F63" s="124">
        <f t="shared" si="4"/>
        <v>50.764172962938609</v>
      </c>
      <c r="H63" s="120"/>
    </row>
    <row r="64" spans="1:8" ht="13.15">
      <c r="A64" s="144">
        <f t="shared" si="3"/>
        <v>20</v>
      </c>
      <c r="B64" s="124">
        <f t="shared" si="4"/>
        <v>33.571249972912589</v>
      </c>
      <c r="C64" s="124">
        <f t="shared" si="4"/>
        <v>38.833261223001308</v>
      </c>
      <c r="D64" s="124">
        <f t="shared" si="4"/>
        <v>45.408823995649506</v>
      </c>
      <c r="E64" s="124">
        <f t="shared" si="4"/>
        <v>53.671370898741912</v>
      </c>
      <c r="F64" s="124">
        <f t="shared" si="4"/>
        <v>64.102217528978684</v>
      </c>
      <c r="H64" s="120"/>
    </row>
    <row r="65" spans="1:8" ht="13.15">
      <c r="A65" s="144">
        <f t="shared" si="3"/>
        <v>25</v>
      </c>
      <c r="B65" s="124">
        <f t="shared" si="4"/>
        <v>34.730032283380403</v>
      </c>
      <c r="C65" s="124">
        <f t="shared" si="4"/>
        <v>41.79732942474547</v>
      </c>
      <c r="D65" s="124">
        <f t="shared" si="4"/>
        <v>51.151469149114</v>
      </c>
      <c r="E65" s="124">
        <f t="shared" si="4"/>
        <v>63.647558832590342</v>
      </c>
      <c r="F65" s="124">
        <f t="shared" si="4"/>
        <v>80.472220086381</v>
      </c>
    </row>
    <row r="66" spans="1:8" ht="13.15">
      <c r="A66" s="144">
        <f t="shared" si="3"/>
        <v>30</v>
      </c>
      <c r="B66" s="124">
        <f t="shared" si="4"/>
        <v>35.776153311802759</v>
      </c>
      <c r="C66" s="124">
        <f t="shared" si="4"/>
        <v>44.63815717586985</v>
      </c>
      <c r="D66" s="124">
        <f t="shared" si="4"/>
        <v>57.027773977095698</v>
      </c>
      <c r="E66" s="124">
        <f t="shared" si="4"/>
        <v>74.59773737192441</v>
      </c>
      <c r="F66" s="124">
        <f t="shared" si="4"/>
        <v>99.816518204886705</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30</v>
      </c>
      <c r="E69" s="135">
        <f>INDEX(B$60:F$66, MATCH(D69, A$60:A$66, 0), MATCH(C69, B$59:F$59, 0))</f>
        <v>99.816518204886705</v>
      </c>
      <c r="F69" s="142">
        <f>Scenarios!C58</f>
        <v>0.05</v>
      </c>
    </row>
    <row r="70" spans="1:8">
      <c r="B70" s="127" t="str">
        <f>Scenarios!B36</f>
        <v>Optimistic</v>
      </c>
      <c r="C70" s="142">
        <f>Scenarios!C38</f>
        <v>0.08</v>
      </c>
      <c r="D70" s="145">
        <f>Scenarios!C37</f>
        <v>30</v>
      </c>
      <c r="E70" s="135">
        <f>INDEX(B$60:F$66, MATCH(D70, A$60:A$66, 0), MATCH(C70, B$59:F$59, 0))</f>
        <v>74.59773737192441</v>
      </c>
      <c r="F70" s="142">
        <f>Scenarios!C40*(1-F$69-F$73)</f>
        <v>0.18</v>
      </c>
      <c r="H70" s="120"/>
    </row>
    <row r="71" spans="1:8">
      <c r="B71" s="127" t="str">
        <f>Scenarios!B24</f>
        <v>Base</v>
      </c>
      <c r="C71" s="142">
        <f>Scenarios!C26</f>
        <v>0.06</v>
      </c>
      <c r="D71" s="145">
        <f>Scenarios!C25</f>
        <v>30</v>
      </c>
      <c r="E71" s="135">
        <f>INDEX(B$60:F$66, MATCH(D71, A$60:A$66, 0), MATCH(C71, B$59:F$59, 0))</f>
        <v>57.027773977095698</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44.63815717586985</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35.776153311802759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-55.95</v>
      </c>
    </row>
    <row r="4" spans="2:9">
      <c r="B4" s="152" t="s">
        <v>147</v>
      </c>
      <c r="C4" s="120">
        <v>3</v>
      </c>
      <c r="D4" s="120"/>
      <c r="E4" s="155" t="s">
        <v>151</v>
      </c>
      <c r="F4" s="155"/>
      <c r="H4" s="247">
        <v>1</v>
      </c>
      <c r="I4" s="124">
        <f t="shared" ref="I4:I13" si="0">IF(ROW()-3 &lt; $C$76, $C$77, IF(ROW()-3 = $C$76, $C$77 + $C$60, ""))</f>
        <v>2.0258623055278089</v>
      </c>
    </row>
    <row r="5" spans="2:9">
      <c r="H5" s="247">
        <v>2</v>
      </c>
      <c r="I5" s="124">
        <f t="shared" si="0"/>
        <v>2.0258623055278089</v>
      </c>
    </row>
    <row r="6" spans="2:9" ht="13.15">
      <c r="B6" s="159" t="s">
        <v>96</v>
      </c>
      <c r="C6" s="107">
        <f>DCF!C3</f>
        <v>1</v>
      </c>
      <c r="E6" s="100" t="s">
        <v>280</v>
      </c>
      <c r="F6" s="100"/>
      <c r="H6" s="247">
        <v>3</v>
      </c>
      <c r="I6" s="124">
        <f t="shared" si="0"/>
        <v>74.519542591172126</v>
      </c>
    </row>
    <row r="7" spans="2:9" ht="12.75" customHeight="1">
      <c r="B7" s="100" t="s">
        <v>276</v>
      </c>
      <c r="C7" s="344">
        <f>Normalized_FCF!G8</f>
        <v>4487792577</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7"/>
      <c r="H7" s="247">
        <v>4</v>
      </c>
      <c r="I7" s="124" t="str">
        <f t="shared" si="0"/>
        <v/>
      </c>
    </row>
    <row r="8" spans="2:9">
      <c r="B8" s="100" t="s">
        <v>66</v>
      </c>
      <c r="C8" s="344">
        <f>Normalized_FCF!G19</f>
        <v>3154899757.0720148</v>
      </c>
      <c r="D8" t="str">
        <f>Reporting_currency</f>
        <v>CNY</v>
      </c>
      <c r="E8" s="367"/>
      <c r="F8" s="367"/>
      <c r="H8" s="247">
        <v>5</v>
      </c>
      <c r="I8" s="124" t="str">
        <f t="shared" si="0"/>
        <v/>
      </c>
    </row>
    <row r="9" spans="2:9">
      <c r="B9" s="100" t="s">
        <v>57</v>
      </c>
      <c r="C9" s="344">
        <f>Normalized_FCF!C19</f>
        <v>2878424517.5631504</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2.1321347914251776E-2</v>
      </c>
      <c r="D12" s="158"/>
      <c r="E12" s="367"/>
      <c r="F12" s="367"/>
      <c r="H12" s="247">
        <v>9</v>
      </c>
      <c r="I12" s="124" t="str">
        <f t="shared" si="0"/>
        <v/>
      </c>
    </row>
    <row r="13" spans="2:9">
      <c r="B13" s="148" t="s">
        <v>153</v>
      </c>
      <c r="C13" s="158">
        <f ca="1">(Normalized_FCF!G8/OFFSET(Normalized_FCF!G8, 0, $C$4))^(1/$C$4) - 1</f>
        <v>0.15185942572632172</v>
      </c>
      <c r="E13" s="367"/>
      <c r="F13" s="367"/>
      <c r="H13" s="247">
        <v>10</v>
      </c>
      <c r="I13" s="124" t="str">
        <f t="shared" si="0"/>
        <v/>
      </c>
    </row>
    <row r="14" spans="2:9">
      <c r="B14" s="100" t="s">
        <v>66</v>
      </c>
      <c r="C14" s="158">
        <f ca="1">(Normalized_FCF!G19/OFFSET(Normalized_FCF!G19, 0, $C$4))^(1/$C$4) - 1</f>
        <v>0.22851138579792707</v>
      </c>
      <c r="E14" s="367"/>
      <c r="F14" s="367"/>
    </row>
    <row r="16" spans="2:9" ht="13.9">
      <c r="B16" s="36" t="s">
        <v>163</v>
      </c>
      <c r="C16" s="37"/>
      <c r="D16" s="37"/>
      <c r="E16" s="37"/>
      <c r="F16" s="37"/>
    </row>
    <row r="17" spans="2:6" ht="13.15">
      <c r="B17" s="109" t="s">
        <v>152</v>
      </c>
      <c r="E17" s="159" t="s">
        <v>330</v>
      </c>
    </row>
    <row r="18" spans="2:6">
      <c r="B18" s="152" t="s">
        <v>134</v>
      </c>
      <c r="C18" s="150">
        <v>30</v>
      </c>
      <c r="E18" s="367" t="s">
        <v>331</v>
      </c>
      <c r="F18" s="368"/>
    </row>
    <row r="19" spans="2:6">
      <c r="E19" s="368"/>
      <c r="F19" s="368"/>
    </row>
    <row r="20" spans="2:6" ht="13.15">
      <c r="B20" s="159" t="s">
        <v>304</v>
      </c>
      <c r="E20" s="368"/>
      <c r="F20" s="368"/>
    </row>
    <row r="21" spans="2:6">
      <c r="B21" s="100" t="s">
        <v>278</v>
      </c>
      <c r="C21" s="160">
        <f>Market_Price</f>
        <v>55.95</v>
      </c>
      <c r="D21" t="str">
        <f>Market_currency</f>
        <v>HKD</v>
      </c>
      <c r="E21" s="368"/>
      <c r="F21" s="368"/>
    </row>
    <row r="22" spans="2:6">
      <c r="B22" s="100" t="s">
        <v>279</v>
      </c>
      <c r="C22" s="160">
        <f>IF(valuation_method="DCF",DCF!C12,DDM!C7)</f>
        <v>42.71796449999033</v>
      </c>
      <c r="D22" t="str">
        <f>Market_currency</f>
        <v>HKD</v>
      </c>
      <c r="E22" s="368"/>
      <c r="F22" s="368"/>
    </row>
    <row r="24" spans="2:6" ht="13.15">
      <c r="B24" s="159" t="s">
        <v>116</v>
      </c>
      <c r="E24" s="159" t="s">
        <v>150</v>
      </c>
      <c r="F24" s="159"/>
    </row>
    <row r="25" spans="2:6">
      <c r="B25" s="152" t="s">
        <v>134</v>
      </c>
      <c r="C25" s="166">
        <f>C18</f>
        <v>30</v>
      </c>
      <c r="D25" s="163"/>
      <c r="E25" s="366"/>
      <c r="F25" s="366"/>
    </row>
    <row r="26" spans="2:6">
      <c r="B26" s="118" t="s">
        <v>135</v>
      </c>
      <c r="C26" s="164">
        <v>0.06</v>
      </c>
      <c r="D26" s="164"/>
      <c r="E26" s="366"/>
      <c r="F26" s="366"/>
    </row>
    <row r="27" spans="2:6">
      <c r="B27" s="100" t="s">
        <v>114</v>
      </c>
      <c r="C27" s="160">
        <f>IF(valuation_method="DCF",DCF!E76,DDM!E71)</f>
        <v>71.562297235230659</v>
      </c>
      <c r="D27" s="160" t="str">
        <f>Market_currency</f>
        <v>HKD</v>
      </c>
      <c r="E27" s="366"/>
      <c r="F27" s="366"/>
    </row>
    <row r="28" spans="2:6">
      <c r="B28" s="100" t="s">
        <v>148</v>
      </c>
      <c r="C28" s="165">
        <v>0.5</v>
      </c>
      <c r="D28" s="165"/>
      <c r="E28" s="366"/>
      <c r="F28" s="366"/>
    </row>
    <row r="30" spans="2:6" ht="13.15">
      <c r="B30" s="159" t="s">
        <v>117</v>
      </c>
      <c r="E30" s="159" t="s">
        <v>150</v>
      </c>
      <c r="F30" s="159"/>
    </row>
    <row r="31" spans="2:6">
      <c r="B31" s="152" t="s">
        <v>134</v>
      </c>
      <c r="C31" s="166">
        <f>C18</f>
        <v>30</v>
      </c>
      <c r="D31" s="163"/>
      <c r="E31" s="366"/>
      <c r="F31" s="366"/>
    </row>
    <row r="32" spans="2:6">
      <c r="B32" s="118" t="s">
        <v>135</v>
      </c>
      <c r="C32" s="164">
        <v>0.04</v>
      </c>
      <c r="D32" s="164"/>
      <c r="E32" s="366"/>
      <c r="F32" s="366"/>
    </row>
    <row r="33" spans="2:6">
      <c r="B33" s="100" t="s">
        <v>114</v>
      </c>
      <c r="C33" s="160">
        <f>IF(valuation_method="DCF",DCF!E77,DDM!E72)</f>
        <v>58.658255082020645</v>
      </c>
      <c r="D33" t="str">
        <f>Market_currency</f>
        <v>HKD</v>
      </c>
      <c r="E33" s="366"/>
      <c r="F33" s="366"/>
    </row>
    <row r="34" spans="2:6">
      <c r="B34" s="100" t="s">
        <v>148</v>
      </c>
      <c r="C34" s="165">
        <v>0.3</v>
      </c>
      <c r="D34" s="165"/>
      <c r="E34" s="366"/>
      <c r="F34" s="366"/>
    </row>
    <row r="36" spans="2:6" ht="13.15">
      <c r="B36" s="159" t="s">
        <v>115</v>
      </c>
      <c r="E36" s="159" t="s">
        <v>150</v>
      </c>
      <c r="F36" s="159"/>
    </row>
    <row r="37" spans="2:6">
      <c r="B37" s="152" t="s">
        <v>134</v>
      </c>
      <c r="C37" s="166">
        <f>C18</f>
        <v>30</v>
      </c>
      <c r="D37" s="163"/>
      <c r="E37" s="366"/>
      <c r="F37" s="366"/>
    </row>
    <row r="38" spans="2:6">
      <c r="B38" s="118" t="s">
        <v>135</v>
      </c>
      <c r="C38" s="164">
        <v>0.08</v>
      </c>
      <c r="D38" s="164"/>
      <c r="E38" s="366"/>
      <c r="F38" s="366"/>
    </row>
    <row r="39" spans="2:6">
      <c r="B39" s="100" t="s">
        <v>114</v>
      </c>
      <c r="C39" s="160">
        <f>IF(valuation_method="DCF",DCF!E75,DDM!E70)</f>
        <v>89.861777510907515</v>
      </c>
      <c r="D39" t="str">
        <f>Market_currency</f>
        <v>HKD</v>
      </c>
      <c r="E39" s="366"/>
      <c r="F39" s="366"/>
    </row>
    <row r="40" spans="2:6">
      <c r="B40" s="100" t="s">
        <v>148</v>
      </c>
      <c r="C40" s="167">
        <f>1-C28-C34</f>
        <v>0.2</v>
      </c>
      <c r="D40" s="165"/>
      <c r="E40" s="366"/>
      <c r="F40" s="366"/>
    </row>
    <row r="42" spans="2:6" ht="13.15">
      <c r="B42" s="100" t="s">
        <v>121</v>
      </c>
      <c r="C42" s="154">
        <f>C27*C28+C33*C34+C39*C40</f>
        <v>71.350980644403023</v>
      </c>
      <c r="D42" t="str">
        <f>Market_currency</f>
        <v>HKD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66"/>
      <c r="F49" s="366"/>
    </row>
    <row r="50" spans="2:6">
      <c r="B50" s="118" t="s">
        <v>135</v>
      </c>
      <c r="C50" s="164">
        <v>0.02</v>
      </c>
      <c r="D50" s="164"/>
      <c r="E50" s="366"/>
      <c r="F50" s="366"/>
    </row>
    <row r="51" spans="2:6">
      <c r="B51" s="100" t="s">
        <v>114</v>
      </c>
      <c r="C51" s="160">
        <f>IF(valuation_method="DCF",DCF!E78,DDM!E73)</f>
        <v>49.428294764562132</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30</v>
      </c>
      <c r="D55" s="163"/>
      <c r="E55" s="366"/>
      <c r="F55" s="366"/>
    </row>
    <row r="56" spans="2:6">
      <c r="B56" s="118" t="s">
        <v>135</v>
      </c>
      <c r="C56" s="164">
        <v>0.1</v>
      </c>
      <c r="D56" s="164"/>
      <c r="E56" s="366"/>
      <c r="F56" s="366"/>
    </row>
    <row r="57" spans="2:6">
      <c r="B57" s="100" t="s">
        <v>114</v>
      </c>
      <c r="C57" s="160">
        <f>IF(valuation_method="DCF",DCF!E74,DDM!E69)</f>
        <v>116.12765934906989</v>
      </c>
      <c r="D57" t="str">
        <f>Market_currency</f>
        <v>HKD</v>
      </c>
      <c r="E57" s="366"/>
      <c r="F57" s="366"/>
    </row>
    <row r="58" spans="2:6">
      <c r="B58" s="100" t="s">
        <v>148</v>
      </c>
      <c r="C58" s="165">
        <v>0.05</v>
      </c>
      <c r="D58" s="165"/>
      <c r="E58" s="366"/>
      <c r="F58" s="366"/>
    </row>
    <row r="60" spans="2:6" ht="13.15">
      <c r="B60" s="100" t="s">
        <v>121</v>
      </c>
      <c r="C60" s="154">
        <f>C51*C52+C57*C58+C42*(1-C52-C58)</f>
        <v>72.493680285644317</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6.1165848114484E-2</v>
      </c>
      <c r="D65" s="151"/>
      <c r="E65" s="251" t="s">
        <v>313</v>
      </c>
    </row>
    <row r="66" spans="2:6">
      <c r="B66" s="100" t="s">
        <v>103</v>
      </c>
      <c r="C66" s="160">
        <f>IF(valuation_method="DCF",DCF!C18,DDM!C13)</f>
        <v>72.460690171455909</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0.16783105897460471</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2.0258623055278089</v>
      </c>
      <c r="D77" t="str">
        <f>Market_currency</f>
        <v>HKD</v>
      </c>
    </row>
    <row r="79" spans="2:6" ht="13.15">
      <c r="B79" s="109" t="s">
        <v>302</v>
      </c>
    </row>
    <row r="80" spans="2:6">
      <c r="B80" s="148" t="s">
        <v>300</v>
      </c>
      <c r="C80" s="167">
        <f>Thesis!F29</f>
        <v>0.3674</v>
      </c>
    </row>
    <row r="81" spans="2:8">
      <c r="B81" s="100" t="s">
        <v>122</v>
      </c>
      <c r="C81" s="116">
        <f>PV(C80, C76, -C77, 0)</f>
        <v>3.3573791855859398</v>
      </c>
      <c r="D81" s="116"/>
      <c r="E81" s="100"/>
      <c r="F81" s="100"/>
    </row>
    <row r="82" spans="2:8">
      <c r="B82" s="100" t="s">
        <v>123</v>
      </c>
      <c r="C82" s="116">
        <f>C60/(1+C80)^C76</f>
        <v>28.353940354567246</v>
      </c>
      <c r="D82" s="116"/>
    </row>
    <row r="83" spans="2:8" ht="13.15">
      <c r="B83" s="110" t="s">
        <v>102</v>
      </c>
      <c r="C83" s="111">
        <f>C81+C82</f>
        <v>31.711319540153188</v>
      </c>
      <c r="D83" t="str">
        <f>Market_currency</f>
        <v>HKD</v>
      </c>
      <c r="E83" s="146" t="s">
        <v>127</v>
      </c>
      <c r="F83" s="291">
        <f>(1-C83/C60)</f>
        <v>0.56256435850404918</v>
      </c>
    </row>
    <row r="84" spans="2:8">
      <c r="E84" s="120"/>
    </row>
    <row r="85" spans="2:8" ht="13.15">
      <c r="B85" s="109" t="s">
        <v>303</v>
      </c>
    </row>
    <row r="86" spans="2:8">
      <c r="B86" s="148" t="s">
        <v>301</v>
      </c>
      <c r="C86" s="116">
        <f>Market_Price</f>
        <v>55.95</v>
      </c>
      <c r="D86" t="str">
        <f>Market_currency</f>
        <v>HKD</v>
      </c>
    </row>
    <row r="87" spans="2:8" ht="13.15">
      <c r="B87" s="100" t="s">
        <v>299</v>
      </c>
      <c r="C87" s="237">
        <f ca="1">IRR(OFFSET($I$3, 0, 0, $C$76 + 1, 1))</f>
        <v>0.12353795749763874</v>
      </c>
    </row>
    <row r="88" spans="2:8">
      <c r="B88" s="100"/>
    </row>
    <row r="89" spans="2:8" ht="13.15">
      <c r="B89" s="109" t="s">
        <v>413</v>
      </c>
    </row>
    <row r="90" spans="2:8">
      <c r="B90" s="148" t="s">
        <v>414</v>
      </c>
      <c r="C90" s="167">
        <f>Thesis!F30</f>
        <v>0.21740000000000001</v>
      </c>
    </row>
    <row r="91" spans="2:8">
      <c r="B91" s="100" t="s">
        <v>122</v>
      </c>
      <c r="C91" s="116">
        <f>PV(C90, C76, -C77, 0)</f>
        <v>4.1538297402911395</v>
      </c>
      <c r="D91" s="116"/>
      <c r="E91" s="100"/>
      <c r="F91" s="100"/>
    </row>
    <row r="92" spans="2:8">
      <c r="B92" s="100" t="s">
        <v>123</v>
      </c>
      <c r="C92" s="116">
        <f>C60/(1+C90)^C76</f>
        <v>40.179104758088286</v>
      </c>
      <c r="D92" s="116"/>
    </row>
    <row r="93" spans="2:8" ht="13.15">
      <c r="B93" s="110" t="s">
        <v>102</v>
      </c>
      <c r="C93" s="111">
        <f>C91+C92</f>
        <v>44.332934498379423</v>
      </c>
      <c r="D93" t="str">
        <f>Market_currency</f>
        <v>HKD</v>
      </c>
      <c r="E93" s="146" t="s">
        <v>127</v>
      </c>
      <c r="F93" s="291">
        <f>(1-C93/C60)</f>
        <v>0.38845794111023324</v>
      </c>
    </row>
    <row r="95" spans="2:8" ht="13.15">
      <c r="B95" s="109" t="s">
        <v>398</v>
      </c>
      <c r="G95" s="2"/>
      <c r="H95" s="281"/>
    </row>
    <row r="96" spans="2:8">
      <c r="B96" s="148" t="s">
        <v>404</v>
      </c>
      <c r="C96" s="134">
        <f>Thesis!F31</f>
        <v>7.4999999999999997E-2</v>
      </c>
      <c r="G96" s="2"/>
      <c r="H96" s="281"/>
    </row>
    <row r="97" spans="2:8">
      <c r="B97" s="100" t="s">
        <v>122</v>
      </c>
      <c r="C97" s="116">
        <f>PV(C96, C76, -C77, 0)</f>
        <v>5.2683070709614199</v>
      </c>
      <c r="D97" s="116"/>
      <c r="G97" s="2"/>
      <c r="H97" s="281"/>
    </row>
    <row r="98" spans="2:8">
      <c r="B98" s="100" t="s">
        <v>123</v>
      </c>
      <c r="C98" s="116">
        <f>C60/(1+C96)^C76</f>
        <v>58.354554168579327</v>
      </c>
      <c r="D98" s="116"/>
      <c r="G98" s="2"/>
      <c r="H98" s="281"/>
    </row>
    <row r="99" spans="2:8" ht="13.15">
      <c r="B99" s="110" t="s">
        <v>399</v>
      </c>
      <c r="C99" s="111">
        <f>C97+C98</f>
        <v>63.622861239540747</v>
      </c>
      <c r="D99" t="s">
        <v>397</v>
      </c>
      <c r="E99" s="146" t="s">
        <v>127</v>
      </c>
      <c r="F99" s="291">
        <f>(1-C99/C60)</f>
        <v>0.12236679130029249</v>
      </c>
    </row>
    <row r="100" spans="2:8">
      <c r="B100" s="100"/>
    </row>
    <row r="101" spans="2:8" ht="13.15">
      <c r="B101" s="109" t="s">
        <v>423</v>
      </c>
    </row>
    <row r="102" spans="2:8">
      <c r="B102" s="148" t="s">
        <v>422</v>
      </c>
      <c r="C102" s="134">
        <f>Thesis!F32</f>
        <v>0.1174</v>
      </c>
    </row>
    <row r="103" spans="2:8">
      <c r="B103" s="100" t="s">
        <v>122</v>
      </c>
      <c r="C103" s="116">
        <f>PV(C102, C76, -C77, 0)</f>
        <v>4.8876017310376705</v>
      </c>
      <c r="D103" s="116"/>
    </row>
    <row r="104" spans="2:8">
      <c r="B104" s="100" t="s">
        <v>123</v>
      </c>
      <c r="C104" s="116">
        <f>C60/(1+C102)^C76</f>
        <v>51.960598772627868</v>
      </c>
      <c r="D104" s="116"/>
    </row>
    <row r="105" spans="2:8" ht="13.15">
      <c r="B105" s="110" t="s">
        <v>399</v>
      </c>
      <c r="C105" s="111">
        <f>C103+C104</f>
        <v>56.848200503665538</v>
      </c>
      <c r="D105" t="s">
        <v>397</v>
      </c>
      <c r="E105" s="146" t="s">
        <v>127</v>
      </c>
      <c r="F105" s="291">
        <f>(1-C105/C66)</f>
        <v>0.21546150927969665</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2025-05-23T01:59:48Z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