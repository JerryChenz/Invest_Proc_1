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540F8EC-BBE5-4F7B-9FFC-523292C4CA2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 i="3" l="1"/>
  <c r="E85" i="2"/>
  <c r="E86" i="2"/>
  <c r="C90" i="2"/>
  <c r="C83" i="2"/>
  <c r="C78" i="2"/>
  <c r="C66" i="2"/>
  <c r="C67" i="2"/>
  <c r="C68" i="2"/>
  <c r="C53" i="2"/>
  <c r="C54" i="2"/>
  <c r="C33" i="2"/>
  <c r="C34" i="2"/>
  <c r="C28" i="2"/>
  <c r="C29" i="2"/>
  <c r="C4" i="2"/>
  <c r="C19" i="3"/>
  <c r="C23" i="3"/>
  <c r="C4" i="3"/>
  <c r="C28" i="4" s="1"/>
  <c r="C11" i="3"/>
  <c r="C5" i="4"/>
  <c r="D5" i="4"/>
  <c r="E5" i="4"/>
  <c r="F5" i="4"/>
  <c r="G5" i="4"/>
  <c r="C6" i="4"/>
  <c r="D6" i="4"/>
  <c r="E6" i="4"/>
  <c r="F6" i="4"/>
  <c r="G6" i="4"/>
  <c r="C20" i="4"/>
  <c r="D20" i="4"/>
  <c r="E20" i="4"/>
  <c r="F20" i="4"/>
  <c r="C25" i="4"/>
  <c r="D25" i="4"/>
  <c r="E25" i="4"/>
  <c r="F25" i="4"/>
  <c r="G25" i="4"/>
  <c r="C29" i="4"/>
  <c r="C30" i="4"/>
  <c r="C3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<sst xmlns="http://schemas.openxmlformats.org/spreadsheetml/2006/main" count="587" uniqueCount="417">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</sst>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6" sqref="C1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328</v>
      </c>
      <c r="C5" s="339" t="s">
        <v>413</v>
      </c>
      <c r="D5" s="49" t="s">
        <v>412</v>
      </c>
    </row>
    <row r="6" spans="1:10" x14ac:dyDescent="0.35">
      <c r="B6" s="4" t="s">
        <v>96</v>
      </c>
      <c r="C6" s="50">
        <v>54.75</v>
      </c>
      <c r="D6" s="48" t="s">
        <v>41</v>
      </c>
      <c r="E6" s="48"/>
    </row>
    <row r="7" spans="1:10" x14ac:dyDescent="0.35">
      <c r="B7" s="4" t="s">
        <v>0</v>
      </c>
      <c r="C7" s="51">
        <v>1364196788</v>
      </c>
      <c r="D7" s="34"/>
      <c r="E7" s="34"/>
    </row>
    <row r="8" spans="1:10" x14ac:dyDescent="0.35">
      <c r="B8" s="2" t="s">
        <v>318</v>
      </c>
      <c r="C8" s="285">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43" t="s">
        <v>376</v>
      </c>
      <c r="C12" s="343"/>
      <c r="D12" s="343"/>
      <c r="E12" s="343"/>
      <c r="F12" s="343"/>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408</v>
      </c>
      <c r="D16" s="32"/>
      <c r="E16" s="5"/>
    </row>
    <row r="17" spans="1:6" x14ac:dyDescent="0.35">
      <c r="B17" s="4" t="s">
        <v>1</v>
      </c>
      <c r="C17" s="50">
        <v>0.94020000000000004</v>
      </c>
      <c r="D17" s="32" t="str">
        <f>IF(C16=D6,D6,C16&amp;"/"&amp;D6)</f>
        <v>CNY/HKD</v>
      </c>
      <c r="E17" s="5"/>
    </row>
    <row r="18" spans="1:6" x14ac:dyDescent="0.35">
      <c r="B18" s="2" t="s">
        <v>57</v>
      </c>
      <c r="C18" s="48" t="s">
        <v>415</v>
      </c>
      <c r="E18" s="5"/>
    </row>
    <row r="19" spans="1:6" x14ac:dyDescent="0.35">
      <c r="B19" s="2" t="s">
        <v>280</v>
      </c>
      <c r="C19" s="255">
        <v>0.2</v>
      </c>
      <c r="E19" s="5"/>
    </row>
    <row r="20" spans="1:6" x14ac:dyDescent="0.35">
      <c r="B20" s="2" t="str">
        <f>"Target Buy Price ("&amp;Market_currency&amp;"):"</f>
        <v>Target Buy Price (HKD):</v>
      </c>
      <c r="C20" s="258">
        <f>C129</f>
        <v>27.658966981315359</v>
      </c>
      <c r="D20" s="1" t="s">
        <v>319</v>
      </c>
      <c r="E20" s="336">
        <v>3</v>
      </c>
    </row>
    <row r="21" spans="1:6" x14ac:dyDescent="0.35">
      <c r="B21" s="1" t="s">
        <v>375</v>
      </c>
      <c r="C21" s="286">
        <f ca="1">Scenarios!C87</f>
        <v>-5.7047688184643786E-2</v>
      </c>
      <c r="D21" s="5"/>
      <c r="E21" s="5"/>
    </row>
    <row r="22" spans="1:6" x14ac:dyDescent="0.35">
      <c r="D22" s="5"/>
      <c r="E22" s="5"/>
    </row>
    <row r="23" spans="1:6" ht="13.9" x14ac:dyDescent="0.45">
      <c r="A23" s="253" t="s">
        <v>369</v>
      </c>
      <c r="B23" s="36"/>
      <c r="C23" s="36"/>
      <c r="D23" s="36"/>
      <c r="E23" s="36"/>
      <c r="F23" s="36"/>
    </row>
    <row r="25" spans="1:6" ht="24.4" customHeight="1" x14ac:dyDescent="0.35">
      <c r="B25" s="343" t="s">
        <v>377</v>
      </c>
      <c r="C25" s="343"/>
      <c r="D25" s="343"/>
      <c r="E25" s="343"/>
      <c r="F25" s="343"/>
    </row>
    <row r="26" spans="1:6" ht="24.4" customHeight="1" x14ac:dyDescent="0.35">
      <c r="B26" s="346" t="s">
        <v>353</v>
      </c>
      <c r="C26" s="346"/>
      <c r="D26" s="346"/>
      <c r="E26" s="346"/>
      <c r="F26" s="346"/>
    </row>
    <row r="28" spans="1:6" x14ac:dyDescent="0.35">
      <c r="B28" s="240" t="s">
        <v>232</v>
      </c>
      <c r="C28" s="111">
        <f>Data!C3</f>
        <v>1</v>
      </c>
    </row>
    <row r="29" spans="1:6" ht="24.4" customHeight="1" x14ac:dyDescent="0.35">
      <c r="B29" s="344" t="s">
        <v>233</v>
      </c>
      <c r="C29" s="344"/>
      <c r="D29" s="344"/>
      <c r="E29" s="344"/>
      <c r="F29" s="344"/>
    </row>
    <row r="30" spans="1:6" x14ac:dyDescent="0.35">
      <c r="B30" s="47" t="s">
        <v>234</v>
      </c>
      <c r="C30" s="191">
        <f>Normalized_FCF!C8</f>
        <v>3878068070.3077545</v>
      </c>
      <c r="D30" s="1" t="str">
        <f>Reporting_currency</f>
        <v>CNY</v>
      </c>
    </row>
    <row r="31" spans="1:6" x14ac:dyDescent="0.35">
      <c r="B31" s="47"/>
      <c r="C31" s="78"/>
    </row>
    <row r="32" spans="1:6" ht="24.4" customHeight="1" x14ac:dyDescent="0.35">
      <c r="B32" s="344" t="s">
        <v>235</v>
      </c>
      <c r="C32" s="344"/>
      <c r="D32" s="344"/>
      <c r="E32" s="344"/>
      <c r="F32" s="344"/>
    </row>
    <row r="33" spans="2:6" x14ac:dyDescent="0.35">
      <c r="B33" s="47" t="s">
        <v>236</v>
      </c>
      <c r="C33" s="191">
        <f>Normalized_FCF!C9</f>
        <v>1191305772</v>
      </c>
      <c r="D33" s="1" t="str">
        <f>Reporting_currency</f>
        <v>CNY</v>
      </c>
    </row>
    <row r="34" spans="2:6" x14ac:dyDescent="0.35">
      <c r="B34" s="52" t="s">
        <v>237</v>
      </c>
      <c r="C34" s="191">
        <f>Normalized_FCF!C10</f>
        <v>-1191305772</v>
      </c>
      <c r="D34" s="1" t="str">
        <f>Reporting_currency</f>
        <v>CNY</v>
      </c>
    </row>
    <row r="36" spans="2:6" x14ac:dyDescent="0.35">
      <c r="B36" s="344" t="s">
        <v>238</v>
      </c>
      <c r="C36" s="344"/>
      <c r="D36" s="344"/>
      <c r="E36" s="344"/>
      <c r="F36" s="344"/>
    </row>
    <row r="37" spans="2:6" x14ac:dyDescent="0.35">
      <c r="B37" s="47" t="s">
        <v>239</v>
      </c>
      <c r="C37" s="191">
        <f>Normalized_FCF!C11</f>
        <v>0</v>
      </c>
      <c r="D37" s="1" t="str">
        <f>Reporting_currency</f>
        <v>CNY</v>
      </c>
    </row>
    <row r="39" spans="2:6" x14ac:dyDescent="0.35">
      <c r="B39" s="344" t="s">
        <v>242</v>
      </c>
      <c r="C39" s="344"/>
      <c r="D39" s="344"/>
      <c r="E39" s="344"/>
      <c r="F39" s="344"/>
    </row>
    <row r="40" spans="2:6" x14ac:dyDescent="0.35">
      <c r="B40" s="47" t="s">
        <v>354</v>
      </c>
      <c r="C40" s="328">
        <f>Normalized_FCF!C48</f>
        <v>179630775.93084043</v>
      </c>
      <c r="D40" s="1" t="str">
        <f>Reporting_currency</f>
        <v>CNY</v>
      </c>
      <c r="E40" s="327"/>
      <c r="F40" s="327"/>
    </row>
    <row r="41" spans="2:6" x14ac:dyDescent="0.35">
      <c r="B41" s="47" t="s">
        <v>355</v>
      </c>
      <c r="C41" s="328">
        <f>Normalized_FCF!C47</f>
        <v>-21837054</v>
      </c>
      <c r="D41" s="1" t="str">
        <f>Reporting_currency</f>
        <v>CNY</v>
      </c>
      <c r="E41" s="327"/>
      <c r="F41" s="327"/>
    </row>
    <row r="42" spans="2:6" x14ac:dyDescent="0.35">
      <c r="B42" s="47" t="s">
        <v>240</v>
      </c>
      <c r="C42" s="191">
        <f>Normalized_FCF!C12</f>
        <v>157793721.93084043</v>
      </c>
      <c r="D42" s="1" t="str">
        <f>Reporting_currency</f>
        <v>CNY</v>
      </c>
    </row>
    <row r="44" spans="2:6" x14ac:dyDescent="0.35">
      <c r="B44" s="1" t="s">
        <v>248</v>
      </c>
    </row>
    <row r="45" spans="2:6" x14ac:dyDescent="0.35">
      <c r="B45" s="47" t="s">
        <v>268</v>
      </c>
      <c r="C45" s="191">
        <f>Normalized_FCF!C15</f>
        <v>-146634564.47167698</v>
      </c>
      <c r="D45" s="1" t="str">
        <f>Reporting_currency</f>
        <v>CNY</v>
      </c>
    </row>
    <row r="47" spans="2:6" x14ac:dyDescent="0.35">
      <c r="B47" s="344" t="s">
        <v>243</v>
      </c>
      <c r="C47" s="344"/>
      <c r="D47" s="344"/>
      <c r="E47" s="344"/>
      <c r="F47" s="344"/>
    </row>
    <row r="48" spans="2:6" x14ac:dyDescent="0.35">
      <c r="B48" s="47" t="s">
        <v>241</v>
      </c>
      <c r="C48" s="191">
        <f>Normalized_FCF!C14</f>
        <v>-1008965448.0596488</v>
      </c>
      <c r="D48" s="1" t="str">
        <f>Reporting_currency</f>
        <v>CNY</v>
      </c>
    </row>
    <row r="50" spans="1:6" x14ac:dyDescent="0.35">
      <c r="B50" s="344" t="s">
        <v>352</v>
      </c>
      <c r="C50" s="345"/>
      <c r="D50" s="345"/>
      <c r="E50" s="345"/>
      <c r="F50" s="345"/>
    </row>
    <row r="51" spans="1:6" x14ac:dyDescent="0.35">
      <c r="B51" s="47" t="s">
        <v>244</v>
      </c>
      <c r="C51" s="1">
        <f>Normalized_FCF!C17</f>
        <v>0</v>
      </c>
      <c r="D51" s="1" t="str">
        <f>Reporting_currency</f>
        <v>CNY</v>
      </c>
    </row>
    <row r="53" spans="1:6" ht="24.4" customHeight="1" x14ac:dyDescent="0.35">
      <c r="B53" s="343" t="s">
        <v>357</v>
      </c>
      <c r="C53" s="343"/>
      <c r="D53" s="343"/>
      <c r="E53" s="343"/>
      <c r="F53" s="343"/>
    </row>
    <row r="54" spans="1:6" ht="24.4" customHeight="1" x14ac:dyDescent="0.35">
      <c r="B54" s="343" t="s">
        <v>378</v>
      </c>
      <c r="C54" s="343"/>
      <c r="D54" s="343"/>
      <c r="E54" s="343"/>
      <c r="F54" s="343"/>
    </row>
    <row r="56" spans="1:6" x14ac:dyDescent="0.35">
      <c r="B56" s="47" t="s">
        <v>273</v>
      </c>
      <c r="C56" s="191">
        <f>Normalized_FCF!G19</f>
        <v>3157349439.9308405</v>
      </c>
      <c r="D56" s="1" t="str">
        <f>Reporting_currency</f>
        <v>CNY</v>
      </c>
    </row>
    <row r="57" spans="1:6" x14ac:dyDescent="0.35">
      <c r="B57" s="47" t="s">
        <v>250</v>
      </c>
      <c r="C57" s="191">
        <f>Normalized_FCF!C19</f>
        <v>2880261779.7072697</v>
      </c>
      <c r="D57" s="1" t="str">
        <f>Reporting_currency</f>
        <v>CNY</v>
      </c>
    </row>
    <row r="58" spans="1:6" x14ac:dyDescent="0.35">
      <c r="B58" s="260" t="s">
        <v>407</v>
      </c>
      <c r="C58" s="94">
        <f>Normalized_FCF!C125</f>
        <v>3.6256932844595753E-2</v>
      </c>
    </row>
    <row r="59" spans="1:6" x14ac:dyDescent="0.35">
      <c r="B59" s="260" t="s">
        <v>320</v>
      </c>
      <c r="C59" s="94">
        <f>Normalized_FCF!C93</f>
        <v>4.2738405022151121E-2</v>
      </c>
    </row>
    <row r="61" spans="1:6" ht="13.9" x14ac:dyDescent="0.45">
      <c r="A61" s="253" t="s">
        <v>370</v>
      </c>
      <c r="B61" s="36"/>
      <c r="C61" s="36"/>
      <c r="D61" s="36"/>
      <c r="E61" s="36"/>
      <c r="F61" s="36"/>
    </row>
    <row r="62" spans="1:6" x14ac:dyDescent="0.35">
      <c r="A62" s="239"/>
    </row>
    <row r="63" spans="1:6" ht="24.4" customHeight="1" x14ac:dyDescent="0.35">
      <c r="A63" s="17"/>
      <c r="B63" s="343" t="s">
        <v>379</v>
      </c>
      <c r="C63" s="343"/>
      <c r="D63" s="343"/>
      <c r="E63" s="343"/>
      <c r="F63" s="343"/>
    </row>
    <row r="64" spans="1:6" x14ac:dyDescent="0.35">
      <c r="B64" s="346" t="s">
        <v>254</v>
      </c>
      <c r="C64" s="346"/>
      <c r="D64" s="346"/>
      <c r="E64" s="346"/>
      <c r="F64" s="346"/>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371</v>
      </c>
      <c r="C72" s="125"/>
    </row>
    <row r="73" spans="1:6" ht="24.4" customHeight="1" x14ac:dyDescent="0.35">
      <c r="B73" s="343" t="s">
        <v>380</v>
      </c>
      <c r="C73" s="343"/>
      <c r="D73" s="343"/>
      <c r="E73" s="343"/>
      <c r="F73" s="343"/>
    </row>
    <row r="74" spans="1:6" ht="24.4" customHeight="1" x14ac:dyDescent="0.35">
      <c r="B74" s="343" t="s">
        <v>381</v>
      </c>
      <c r="C74" s="343"/>
      <c r="D74" s="343"/>
      <c r="E74" s="343"/>
      <c r="F74" s="343"/>
    </row>
    <row r="76" spans="1:6" x14ac:dyDescent="0.35">
      <c r="B76" s="47" t="s">
        <v>253</v>
      </c>
      <c r="C76" s="269">
        <v>0</v>
      </c>
    </row>
    <row r="77" spans="1:6" x14ac:dyDescent="0.35">
      <c r="B77" s="47" t="s">
        <v>287</v>
      </c>
      <c r="C77" s="254">
        <f>Valuation_Model!C6*C28*Exchange_Rate/Common_Shares</f>
        <v>24.813338415520217</v>
      </c>
      <c r="D77" s="1" t="str">
        <f>Market_currency</f>
        <v>HKD</v>
      </c>
    </row>
    <row r="79" spans="1:6" ht="13.9" x14ac:dyDescent="0.45">
      <c r="A79" s="253" t="s">
        <v>372</v>
      </c>
      <c r="B79" s="36"/>
      <c r="C79" s="36"/>
      <c r="D79" s="36"/>
      <c r="E79" s="36"/>
      <c r="F79" s="36"/>
    </row>
    <row r="80" spans="1:6" x14ac:dyDescent="0.35">
      <c r="A80" s="239"/>
    </row>
    <row r="81" spans="2:6" x14ac:dyDescent="0.35">
      <c r="B81" s="343" t="s">
        <v>382</v>
      </c>
      <c r="C81" s="343"/>
      <c r="D81" s="343"/>
      <c r="E81" s="343"/>
      <c r="F81" s="343"/>
    </row>
    <row r="82" spans="2:6" x14ac:dyDescent="0.35">
      <c r="B82" s="1" t="s">
        <v>255</v>
      </c>
    </row>
    <row r="84" spans="2:6" x14ac:dyDescent="0.35">
      <c r="B84" s="240" t="s">
        <v>232</v>
      </c>
    </row>
    <row r="85" spans="2:6" ht="24.4" customHeight="1" x14ac:dyDescent="0.35">
      <c r="B85" s="343" t="s">
        <v>358</v>
      </c>
      <c r="C85" s="343"/>
      <c r="D85" s="343"/>
      <c r="E85" s="343"/>
      <c r="F85" s="343"/>
    </row>
    <row r="86" spans="2:6" x14ac:dyDescent="0.35">
      <c r="B86" s="47" t="s">
        <v>257</v>
      </c>
      <c r="C86" s="191">
        <f>Valuation_Model!C7</f>
        <v>285396383</v>
      </c>
      <c r="D86" s="1" t="str">
        <f>Reporting_currency</f>
        <v>CNY</v>
      </c>
    </row>
    <row r="87" spans="2:6" x14ac:dyDescent="0.35">
      <c r="B87" s="47" t="s">
        <v>288</v>
      </c>
      <c r="C87" s="254">
        <f>C86*C28*Exchange_Rate/Common_Shares</f>
        <v>0.19669426116300168</v>
      </c>
      <c r="D87" s="1" t="str">
        <f>Market_currency</f>
        <v>HKD</v>
      </c>
    </row>
    <row r="89" spans="2:6" x14ac:dyDescent="0.35">
      <c r="B89" s="1" t="s">
        <v>256</v>
      </c>
    </row>
    <row r="90" spans="2:6" x14ac:dyDescent="0.35">
      <c r="B90" s="47" t="s">
        <v>267</v>
      </c>
      <c r="C90" s="191">
        <f>BS!C66</f>
        <v>17978772896</v>
      </c>
      <c r="D90" s="1" t="str">
        <f>Reporting_currency</f>
        <v>CNY</v>
      </c>
    </row>
    <row r="91" spans="2:6" x14ac:dyDescent="0.35">
      <c r="B91" s="47" t="s">
        <v>269</v>
      </c>
      <c r="C91" s="191">
        <f>Valuation_Model!C8</f>
        <v>12742567110.786873</v>
      </c>
      <c r="D91" s="1" t="str">
        <f>Reporting_currency</f>
        <v>CNY</v>
      </c>
    </row>
    <row r="92" spans="2:6" x14ac:dyDescent="0.35">
      <c r="B92" s="47" t="s">
        <v>289</v>
      </c>
      <c r="C92" s="254">
        <f>C91*C28*Exchange_Rate/Common_Shares</f>
        <v>8.7821359080650598</v>
      </c>
      <c r="D92" s="1" t="str">
        <f>Market_currency</f>
        <v>HKD</v>
      </c>
    </row>
    <row r="94" spans="2:6" x14ac:dyDescent="0.35">
      <c r="B94" s="1" t="s">
        <v>258</v>
      </c>
    </row>
    <row r="95" spans="2:6" x14ac:dyDescent="0.35">
      <c r="B95" s="47" t="s">
        <v>259</v>
      </c>
      <c r="C95" s="191">
        <f>Valuation_Model!C9</f>
        <v>2755411575.5</v>
      </c>
      <c r="D95" s="1" t="str">
        <f>Reporting_currency</f>
        <v>CNY</v>
      </c>
    </row>
    <row r="96" spans="2:6" x14ac:dyDescent="0.35">
      <c r="B96" s="47" t="s">
        <v>290</v>
      </c>
      <c r="C96" s="254">
        <f>C95*C28*Exchange_Rate/Common_Shares</f>
        <v>1.899020717592468</v>
      </c>
      <c r="D96" s="1" t="str">
        <f>Market_currency</f>
        <v>HKD</v>
      </c>
    </row>
    <row r="98" spans="1:6" ht="24.4" customHeight="1" x14ac:dyDescent="0.35">
      <c r="B98" s="343" t="s">
        <v>383</v>
      </c>
      <c r="C98" s="343"/>
      <c r="D98" s="343"/>
      <c r="E98" s="343"/>
      <c r="F98" s="343"/>
    </row>
    <row r="100" spans="1:6" x14ac:dyDescent="0.35">
      <c r="B100" s="47" t="s">
        <v>286</v>
      </c>
      <c r="C100" s="254">
        <f>Valuation_Model!C12</f>
        <v>35.297800780014747</v>
      </c>
      <c r="D100" s="1" t="str">
        <f>Market_currency</f>
        <v>HKD</v>
      </c>
    </row>
    <row r="102" spans="1:6" ht="13.9" x14ac:dyDescent="0.45">
      <c r="A102" s="253" t="s">
        <v>373</v>
      </c>
      <c r="B102" s="36"/>
      <c r="C102" s="36"/>
      <c r="D102" s="36"/>
      <c r="E102" s="36"/>
      <c r="F102" s="36"/>
    </row>
    <row r="104" spans="1:6" ht="24.4" customHeight="1" x14ac:dyDescent="0.35">
      <c r="B104" s="344" t="s">
        <v>384</v>
      </c>
      <c r="C104" s="344"/>
      <c r="D104" s="344"/>
      <c r="E104" s="344"/>
      <c r="F104" s="344"/>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0.1</v>
      </c>
      <c r="D107" s="263">
        <f>Valuation_Model!D74</f>
        <v>15</v>
      </c>
      <c r="E107" s="264" t="str">
        <f>ROUND(Valuation_Model!E74,2)&amp;" "&amp;Market_currency</f>
        <v>53.68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40.6 HKD</v>
      </c>
      <c r="F108" s="252">
        <f>Valuation_Model!F75</f>
        <v>0.18</v>
      </c>
    </row>
    <row r="109" spans="1:6" x14ac:dyDescent="0.35">
      <c r="B109" s="248" t="str">
        <f>Valuation_Model!B76</f>
        <v>Base</v>
      </c>
      <c r="C109" s="249">
        <f>Valuation_Model!C76</f>
        <v>0.04</v>
      </c>
      <c r="D109" s="250">
        <f>Valuation_Model!D76</f>
        <v>10</v>
      </c>
      <c r="E109" s="251" t="str">
        <f>ROUND(Valuation_Model!E76,2)&amp;" "&amp;Market_currency</f>
        <v>38.66 HKD</v>
      </c>
      <c r="F109" s="252">
        <f>Valuation_Model!F76</f>
        <v>0.53999999999999992</v>
      </c>
    </row>
    <row r="110" spans="1:6" x14ac:dyDescent="0.35">
      <c r="B110" s="248" t="str">
        <f>Valuation_Model!B77</f>
        <v>Pessimistic</v>
      </c>
      <c r="C110" s="249">
        <f>Valuation_Model!C77</f>
        <v>0.02</v>
      </c>
      <c r="D110" s="250">
        <f>Valuation_Model!D77</f>
        <v>10</v>
      </c>
      <c r="E110" s="251" t="str">
        <f>ROUND(Valuation_Model!E77,2)&amp;" "&amp;Market_currency</f>
        <v>36.9 HKD</v>
      </c>
      <c r="F110" s="252">
        <f>Valuation_Model!F77</f>
        <v>0.18</v>
      </c>
    </row>
    <row r="111" spans="1:6" x14ac:dyDescent="0.35">
      <c r="B111" s="248" t="str">
        <f>Valuation_Model!B78</f>
        <v>Devil's advocate</v>
      </c>
      <c r="C111" s="249">
        <f>Valuation_Model!C78</f>
        <v>0</v>
      </c>
      <c r="D111" s="250">
        <f>Valuation_Model!D78</f>
        <v>15</v>
      </c>
      <c r="E111" s="251" t="str">
        <f>ROUND(Valuation_Model!E78,2)&amp;" "&amp;Market_currency</f>
        <v>35.3 HKD</v>
      </c>
      <c r="F111" s="252">
        <f>Valuation_Model!F78</f>
        <v>0.05</v>
      </c>
    </row>
    <row r="113" spans="1:6" x14ac:dyDescent="0.35">
      <c r="B113" s="241" t="s">
        <v>260</v>
      </c>
      <c r="C113" s="247">
        <f>Scenarios!C60</f>
        <v>39.277358206848447</v>
      </c>
      <c r="D113" s="242" t="str">
        <f>Market_currency</f>
        <v>HKD</v>
      </c>
    </row>
    <row r="115" spans="1:6" ht="24.4" customHeight="1" x14ac:dyDescent="0.35">
      <c r="B115" s="347" t="s">
        <v>387</v>
      </c>
      <c r="C115" s="347"/>
      <c r="D115" s="347"/>
      <c r="E115" s="347"/>
      <c r="F115" s="347"/>
    </row>
    <row r="117" spans="1:6" ht="13.9" x14ac:dyDescent="0.45">
      <c r="A117" s="253" t="s">
        <v>374</v>
      </c>
      <c r="B117" s="36"/>
      <c r="C117" s="36"/>
      <c r="D117" s="36"/>
      <c r="E117" s="36"/>
      <c r="F117" s="36"/>
    </row>
    <row r="119" spans="1:6" x14ac:dyDescent="0.35">
      <c r="B119" s="348" t="s">
        <v>385</v>
      </c>
      <c r="C119" s="348"/>
      <c r="D119" s="348"/>
      <c r="E119" s="348"/>
      <c r="F119" s="348"/>
    </row>
    <row r="120" spans="1:6" ht="24.4" customHeight="1" x14ac:dyDescent="0.35">
      <c r="B120" s="343" t="s">
        <v>386</v>
      </c>
      <c r="C120" s="343"/>
      <c r="D120" s="343"/>
      <c r="E120" s="343"/>
      <c r="F120" s="343"/>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2.339927674962774</v>
      </c>
      <c r="D124" s="242" t="str">
        <f>Market_currency</f>
        <v>HKD</v>
      </c>
    </row>
    <row r="126" spans="1:6" x14ac:dyDescent="0.35">
      <c r="B126" s="240" t="s">
        <v>265</v>
      </c>
    </row>
    <row r="127" spans="1:6" x14ac:dyDescent="0.35">
      <c r="B127" s="242" t="str">
        <f>"PV("&amp;C122&amp;" yrs of Dividends)"</f>
        <v>PV(3 yrs of Dividends)</v>
      </c>
      <c r="C127" s="246">
        <f>Scenarios!C81</f>
        <v>4.9290143153151025</v>
      </c>
    </row>
    <row r="128" spans="1:6" x14ac:dyDescent="0.35">
      <c r="B128" s="242" t="str">
        <f>"+ PV(Equity Value realized at year "&amp;C122&amp;")"</f>
        <v>+ PV(Equity Value realized at year 3)</v>
      </c>
      <c r="C128" s="246">
        <f>Scenarios!C82</f>
        <v>22.729952666000258</v>
      </c>
    </row>
    <row r="129" spans="1:6" x14ac:dyDescent="0.35">
      <c r="B129" s="82" t="s">
        <v>262</v>
      </c>
      <c r="C129" s="245">
        <f>Scenarios!C83</f>
        <v>27.658966981315359</v>
      </c>
      <c r="D129" s="47" t="str">
        <f>Reporting_currency</f>
        <v>CNY</v>
      </c>
    </row>
    <row r="130" spans="1:6" x14ac:dyDescent="0.35">
      <c r="B130" s="244" t="s">
        <v>264</v>
      </c>
      <c r="C130" s="94">
        <f>Scenarios!F83</f>
        <v>0.29580378508010985</v>
      </c>
    </row>
    <row r="132" spans="1:6" ht="13.9" x14ac:dyDescent="0.45">
      <c r="A132" s="253" t="s">
        <v>391</v>
      </c>
      <c r="B132" s="36"/>
      <c r="C132" s="36"/>
      <c r="D132" s="36"/>
      <c r="E132" s="36"/>
      <c r="F132" s="36"/>
    </row>
    <row r="134" spans="1:6" x14ac:dyDescent="0.35">
      <c r="B134" s="342" t="s">
        <v>393</v>
      </c>
      <c r="C134" s="343"/>
      <c r="D134" s="343"/>
      <c r="E134" s="343"/>
      <c r="F134" s="343"/>
    </row>
    <row r="136" spans="1:6" x14ac:dyDescent="0.35">
      <c r="B136" s="240" t="s">
        <v>392</v>
      </c>
    </row>
    <row r="137" spans="1:6" x14ac:dyDescent="0.35">
      <c r="B137" s="345" t="s">
        <v>397</v>
      </c>
      <c r="C137" s="345"/>
      <c r="D137" s="345"/>
      <c r="E137" s="345"/>
      <c r="F137" s="345"/>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4" t="s">
        <v>398</v>
      </c>
      <c r="C143" s="344"/>
      <c r="D143" s="344"/>
      <c r="E143" s="344"/>
      <c r="F143" s="344"/>
    </row>
    <row r="145" spans="2:6" x14ac:dyDescent="0.35">
      <c r="B145" s="1" t="s">
        <v>402</v>
      </c>
    </row>
    <row r="146" spans="2:6" ht="24.4" customHeight="1" x14ac:dyDescent="0.35">
      <c r="B146" s="341" t="s">
        <v>399</v>
      </c>
      <c r="C146" s="341"/>
      <c r="D146" s="341"/>
      <c r="E146" s="341"/>
      <c r="F146" s="341"/>
    </row>
    <row r="147" spans="2:6" ht="24.4" customHeight="1" x14ac:dyDescent="0.35">
      <c r="B147" s="341" t="s">
        <v>400</v>
      </c>
      <c r="C147" s="341"/>
      <c r="D147" s="341"/>
      <c r="E147" s="341"/>
      <c r="F147" s="341"/>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v>
      </c>
    </row>
    <row r="4" spans="2:13" x14ac:dyDescent="0.35">
      <c r="B4" s="32" t="s">
        <v>2</v>
      </c>
      <c r="C4" s="193">
        <v>32137830111</v>
      </c>
      <c r="D4" s="184">
        <v>33936522741</v>
      </c>
      <c r="E4" s="184">
        <v>32171565624</v>
      </c>
      <c r="F4" s="184">
        <v>30166805377</v>
      </c>
      <c r="G4" s="184">
        <v>27759710926</v>
      </c>
      <c r="H4" s="184"/>
      <c r="I4" s="184"/>
      <c r="J4" s="184"/>
      <c r="K4" s="184"/>
      <c r="L4" s="184"/>
      <c r="M4" s="184"/>
    </row>
    <row r="5" spans="2:13" x14ac:dyDescent="0.35">
      <c r="B5" s="40" t="s">
        <v>44</v>
      </c>
      <c r="C5" s="193">
        <f>19209915823+2328256391</f>
        <v>21538172214</v>
      </c>
      <c r="D5" s="184">
        <f>20816889655+2386660732</f>
        <v>23203550387</v>
      </c>
      <c r="E5" s="184">
        <f>20317934822+2390725323</f>
        <v>22708660145</v>
      </c>
      <c r="F5" s="184">
        <f>19091130744+2318835745</f>
        <v>21409966489</v>
      </c>
      <c r="G5" s="184">
        <f>16540609624+2219072099</f>
        <v>18759681723</v>
      </c>
      <c r="H5" s="184"/>
      <c r="I5" s="184"/>
      <c r="J5" s="184"/>
      <c r="K5" s="184"/>
      <c r="L5" s="184"/>
      <c r="M5" s="184"/>
    </row>
    <row r="6" spans="2:13" x14ac:dyDescent="0.35">
      <c r="B6" s="40" t="s">
        <v>55</v>
      </c>
      <c r="C6" s="193">
        <f>1406578781+C7</f>
        <v>6009098645</v>
      </c>
      <c r="D6" s="184">
        <f>1519063042+D7</f>
        <v>6227465840</v>
      </c>
      <c r="E6" s="184">
        <f>1473368004+E7</f>
        <v>5672870751</v>
      </c>
      <c r="F6" s="184">
        <f>1692545246+F7</f>
        <v>5789419371</v>
      </c>
      <c r="G6" s="184">
        <f>1678050722+G7</f>
        <v>6662600559</v>
      </c>
      <c r="H6" s="184"/>
      <c r="I6" s="184"/>
      <c r="J6" s="184"/>
      <c r="K6" s="184"/>
      <c r="L6" s="184"/>
      <c r="M6" s="184"/>
    </row>
    <row r="7" spans="2:13" x14ac:dyDescent="0.35">
      <c r="B7" s="70" t="s">
        <v>62</v>
      </c>
      <c r="C7" s="194">
        <v>4602519864</v>
      </c>
      <c r="D7" s="192">
        <v>4708402798</v>
      </c>
      <c r="E7" s="192">
        <v>4199502747</v>
      </c>
      <c r="F7" s="192">
        <v>4096874125</v>
      </c>
      <c r="G7" s="192">
        <v>4984549837</v>
      </c>
      <c r="H7" s="192"/>
      <c r="I7" s="192"/>
      <c r="J7" s="192"/>
      <c r="K7" s="192"/>
      <c r="L7" s="192"/>
      <c r="M7" s="192"/>
    </row>
    <row r="8" spans="2:13" x14ac:dyDescent="0.35">
      <c r="B8" s="40" t="s">
        <v>50</v>
      </c>
      <c r="C8" s="193">
        <v>102766675</v>
      </c>
      <c r="D8" s="184">
        <v>100637006</v>
      </c>
      <c r="E8" s="184">
        <v>62954899</v>
      </c>
      <c r="F8" s="184">
        <v>30890245</v>
      </c>
      <c r="G8" s="184">
        <v>21467092</v>
      </c>
      <c r="H8" s="184"/>
      <c r="I8" s="184"/>
      <c r="J8" s="184"/>
      <c r="K8" s="184"/>
      <c r="L8" s="184"/>
      <c r="M8" s="184"/>
    </row>
    <row r="9" spans="2:13" x14ac:dyDescent="0.35">
      <c r="B9" s="40" t="s">
        <v>161</v>
      </c>
      <c r="C9" s="193">
        <v>48272283</v>
      </c>
      <c r="D9" s="184">
        <v>15798284</v>
      </c>
      <c r="E9" s="184">
        <v>19873379</v>
      </c>
      <c r="F9" s="184">
        <v>20561728</v>
      </c>
      <c r="G9" s="184">
        <v>18098320</v>
      </c>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21837054</v>
      </c>
      <c r="D12" s="184">
        <v>16430590</v>
      </c>
      <c r="E12" s="184">
        <v>9237800</v>
      </c>
      <c r="F12" s="184">
        <v>22685367</v>
      </c>
      <c r="G12" s="184">
        <v>13662682</v>
      </c>
      <c r="H12" s="184"/>
      <c r="I12" s="184"/>
      <c r="J12" s="184"/>
      <c r="K12" s="184"/>
      <c r="L12" s="184"/>
      <c r="M12" s="184"/>
    </row>
    <row r="13" spans="2:13" x14ac:dyDescent="0.35">
      <c r="B13" s="40" t="s">
        <v>68</v>
      </c>
      <c r="C13" s="193">
        <v>616771200</v>
      </c>
      <c r="D13" s="184">
        <v>506376003</v>
      </c>
      <c r="E13" s="184">
        <v>459661656</v>
      </c>
      <c r="F13" s="184">
        <v>315648307</v>
      </c>
      <c r="G13" s="184">
        <v>524029340</v>
      </c>
      <c r="H13" s="184"/>
      <c r="I13" s="184"/>
      <c r="J13" s="184"/>
      <c r="K13" s="184"/>
      <c r="L13" s="184"/>
      <c r="M13" s="184"/>
    </row>
    <row r="14" spans="2:13" x14ac:dyDescent="0.35">
      <c r="B14" s="40" t="s">
        <v>51</v>
      </c>
      <c r="C14" s="193">
        <v>1389716314</v>
      </c>
      <c r="D14" s="184">
        <v>1398208378</v>
      </c>
      <c r="E14" s="184">
        <v>1201419808</v>
      </c>
      <c r="F14" s="184">
        <v>1222731595</v>
      </c>
      <c r="G14" s="184">
        <v>912580519</v>
      </c>
      <c r="H14" s="184"/>
      <c r="I14" s="184"/>
      <c r="J14" s="184"/>
      <c r="K14" s="184"/>
      <c r="L14" s="184"/>
      <c r="M14" s="184"/>
    </row>
    <row r="15" spans="2:13" x14ac:dyDescent="0.35">
      <c r="B15" s="43" t="s">
        <v>43</v>
      </c>
      <c r="C15" s="195">
        <v>4491776686</v>
      </c>
      <c r="D15" s="185">
        <v>4348198924</v>
      </c>
      <c r="E15" s="185">
        <v>3804721478</v>
      </c>
      <c r="F15" s="185">
        <v>3256243870</v>
      </c>
      <c r="G15" s="185">
        <v>2326968805</v>
      </c>
      <c r="H15" s="185"/>
      <c r="I15" s="185"/>
      <c r="J15" s="185"/>
      <c r="K15" s="185"/>
      <c r="L15" s="185"/>
      <c r="M15" s="185"/>
    </row>
    <row r="16" spans="2:13" x14ac:dyDescent="0.35">
      <c r="B16" s="28" t="s">
        <v>45</v>
      </c>
      <c r="C16" s="193">
        <v>146792828</v>
      </c>
      <c r="D16" s="184">
        <v>80347518</v>
      </c>
      <c r="E16" s="184">
        <v>94092885</v>
      </c>
      <c r="F16" s="184">
        <v>100788060</v>
      </c>
      <c r="G16" s="184">
        <v>125645249</v>
      </c>
      <c r="H16" s="184"/>
      <c r="I16" s="184"/>
      <c r="J16" s="184"/>
      <c r="K16" s="184"/>
      <c r="L16" s="184"/>
      <c r="M16" s="184"/>
    </row>
    <row r="18" spans="2:13" x14ac:dyDescent="0.35">
      <c r="B18" s="16" t="s">
        <v>52</v>
      </c>
      <c r="C18" s="9"/>
    </row>
    <row r="19" spans="2:13" x14ac:dyDescent="0.35">
      <c r="B19" s="27" t="s">
        <v>48</v>
      </c>
      <c r="C19" s="184">
        <v>1191305772</v>
      </c>
      <c r="D19" s="184">
        <v>1140399624</v>
      </c>
      <c r="E19" s="184">
        <v>1083856796</v>
      </c>
      <c r="F19" s="184">
        <v>1109733268</v>
      </c>
      <c r="G19" s="184"/>
      <c r="H19" s="184"/>
      <c r="I19" s="184"/>
      <c r="J19" s="184"/>
      <c r="K19" s="184"/>
      <c r="L19" s="184"/>
      <c r="M19" s="184"/>
    </row>
    <row r="20" spans="2:13" x14ac:dyDescent="0.35">
      <c r="B20" s="27" t="s">
        <v>54</v>
      </c>
      <c r="C20" s="184">
        <f>C19</f>
        <v>1191305772</v>
      </c>
      <c r="D20" s="184">
        <f>D19</f>
        <v>1140399624</v>
      </c>
      <c r="E20" s="184">
        <f>E19</f>
        <v>1083856796</v>
      </c>
      <c r="F20" s="184">
        <f>F19</f>
        <v>1109733268</v>
      </c>
      <c r="G20" s="184"/>
      <c r="H20" s="184"/>
      <c r="I20" s="184"/>
      <c r="J20" s="184"/>
      <c r="K20" s="184"/>
      <c r="L20" s="184"/>
      <c r="M20" s="184"/>
    </row>
    <row r="21" spans="2:13" x14ac:dyDescent="0.35">
      <c r="B21" s="27" t="s">
        <v>53</v>
      </c>
      <c r="C21" s="184">
        <v>583532518</v>
      </c>
      <c r="D21" s="184">
        <v>1575918543</v>
      </c>
      <c r="E21" s="184">
        <v>878667968</v>
      </c>
      <c r="F21" s="184">
        <v>2804548241</v>
      </c>
      <c r="G21" s="184"/>
      <c r="H21" s="184"/>
      <c r="I21" s="184"/>
      <c r="J21" s="184"/>
      <c r="K21" s="184"/>
      <c r="L21" s="184"/>
      <c r="M21" s="184"/>
    </row>
    <row r="22" spans="2:13" x14ac:dyDescent="0.35">
      <c r="B22" s="27" t="s">
        <v>388</v>
      </c>
      <c r="C22" s="184">
        <v>5154661132</v>
      </c>
      <c r="D22" s="184">
        <v>2777567140</v>
      </c>
      <c r="E22" s="184">
        <v>4878771322</v>
      </c>
      <c r="F22" s="184">
        <v>6043111455</v>
      </c>
      <c r="G22" s="184">
        <v>4953422362</v>
      </c>
      <c r="H22" s="184"/>
      <c r="I22" s="184"/>
      <c r="J22" s="184"/>
      <c r="K22" s="184"/>
      <c r="L22" s="184"/>
      <c r="M22" s="184"/>
    </row>
    <row r="23" spans="2:13" x14ac:dyDescent="0.35">
      <c r="B23" s="27" t="s">
        <v>390</v>
      </c>
      <c r="C23" s="184">
        <v>-7421783375</v>
      </c>
      <c r="D23" s="184">
        <v>-3462971412</v>
      </c>
      <c r="E23" s="184">
        <v>-2199108158</v>
      </c>
      <c r="F23" s="184">
        <v>-10249763562</v>
      </c>
      <c r="G23" s="184">
        <v>-1487738165</v>
      </c>
      <c r="H23" s="184"/>
      <c r="I23" s="184"/>
      <c r="J23" s="184"/>
      <c r="K23" s="184"/>
      <c r="L23" s="184"/>
      <c r="M23" s="184"/>
    </row>
    <row r="24" spans="2:13" x14ac:dyDescent="0.35">
      <c r="B24" s="27" t="s">
        <v>389</v>
      </c>
      <c r="C24" s="184">
        <v>-2983143705</v>
      </c>
      <c r="D24" s="184">
        <v>-2868065880</v>
      </c>
      <c r="E24" s="184">
        <v>-1675712527</v>
      </c>
      <c r="F24" s="184">
        <v>-1613622636</v>
      </c>
      <c r="G24" s="184">
        <v>-356090851</v>
      </c>
      <c r="H24" s="184"/>
      <c r="I24" s="184"/>
      <c r="J24" s="184"/>
      <c r="K24" s="184"/>
      <c r="L24" s="184"/>
      <c r="M24" s="184"/>
    </row>
    <row r="25" spans="2:13" x14ac:dyDescent="0.35">
      <c r="B25" s="24" t="str">
        <f>"Dividend per share ("&amp;Market_currency&amp;")"</f>
        <v>Dividend per share (HKD)</v>
      </c>
      <c r="C25" s="39">
        <f>2.2/Exchange_Rate</f>
        <v>2.339927674962774</v>
      </c>
      <c r="D25" s="39">
        <f>2/Exchange_Rate</f>
        <v>2.1272069772388851</v>
      </c>
      <c r="E25" s="39">
        <f>1.3/Exchange_Rate</f>
        <v>1.3826845352052755</v>
      </c>
      <c r="F25" s="39">
        <f>1.1/Exchange_Rate</f>
        <v>1.169963837481387</v>
      </c>
      <c r="G25" s="39">
        <f>0.75/Exchange_Rate</f>
        <v>0.79770261646458196</v>
      </c>
      <c r="H25" s="39"/>
      <c r="I25" s="39"/>
      <c r="J25" s="39"/>
      <c r="K25" s="39"/>
      <c r="L25" s="39"/>
      <c r="M25" s="39"/>
    </row>
    <row r="27" spans="2:13" x14ac:dyDescent="0.35">
      <c r="B27" s="16" t="s">
        <v>28</v>
      </c>
      <c r="C27" s="100" t="s">
        <v>416</v>
      </c>
    </row>
    <row r="28" spans="2:13" x14ac:dyDescent="0.35">
      <c r="B28" s="26" t="s">
        <v>24</v>
      </c>
      <c r="C28" s="186">
        <f>BS!C4</f>
        <v>185704725</v>
      </c>
      <c r="D28" s="184">
        <v>100391321</v>
      </c>
      <c r="E28" s="184">
        <v>124099728</v>
      </c>
      <c r="F28" s="184">
        <v>124929816</v>
      </c>
      <c r="G28" s="184">
        <v>125155008</v>
      </c>
      <c r="H28" s="184"/>
      <c r="I28" s="184"/>
      <c r="J28" s="184"/>
      <c r="K28" s="184"/>
      <c r="L28" s="184"/>
      <c r="M28" s="184"/>
    </row>
    <row r="29" spans="2:13" x14ac:dyDescent="0.35">
      <c r="B29" s="26" t="s">
        <v>32</v>
      </c>
      <c r="C29" s="186">
        <f>BS!C6</f>
        <v>3576387537</v>
      </c>
      <c r="D29" s="184">
        <v>3539828305</v>
      </c>
      <c r="E29" s="184">
        <v>4152187132</v>
      </c>
      <c r="F29" s="184">
        <v>3492997857</v>
      </c>
      <c r="G29" s="184">
        <v>3281033526</v>
      </c>
      <c r="H29" s="184"/>
      <c r="I29" s="184"/>
      <c r="J29" s="184"/>
      <c r="K29" s="184"/>
      <c r="L29" s="184"/>
      <c r="M29" s="184"/>
    </row>
    <row r="30" spans="2:13" x14ac:dyDescent="0.35">
      <c r="B30" s="29" t="s">
        <v>40</v>
      </c>
      <c r="C30" s="189">
        <f>BS!C33+BS!C42</f>
        <v>21560843821</v>
      </c>
      <c r="D30" s="185">
        <v>21001264174</v>
      </c>
      <c r="E30" s="185">
        <v>24039387261</v>
      </c>
      <c r="F30" s="185">
        <v>22769313149</v>
      </c>
      <c r="G30" s="185">
        <v>20146133669</v>
      </c>
      <c r="H30" s="185"/>
      <c r="I30" s="185"/>
      <c r="J30" s="185"/>
      <c r="K30" s="185"/>
      <c r="L30" s="185"/>
      <c r="M30" s="185"/>
    </row>
    <row r="31" spans="2:13" x14ac:dyDescent="0.35">
      <c r="B31" s="29" t="s">
        <v>30</v>
      </c>
      <c r="C31" s="189">
        <f>BS!G27</f>
        <v>29859542011</v>
      </c>
      <c r="D31" s="185">
        <v>28254747175</v>
      </c>
      <c r="E31" s="185">
        <v>26272312535</v>
      </c>
      <c r="F31" s="185">
        <v>23793691342</v>
      </c>
      <c r="G31" s="185">
        <v>21368052166</v>
      </c>
      <c r="H31" s="185"/>
      <c r="I31" s="185"/>
      <c r="J31" s="185"/>
      <c r="K31" s="185"/>
      <c r="L31" s="185"/>
      <c r="M31" s="185"/>
    </row>
    <row r="32" spans="2:13" x14ac:dyDescent="0.35">
      <c r="B32" s="26" t="s">
        <v>174</v>
      </c>
      <c r="C32" s="186">
        <f>BS!G28</f>
        <v>799157484</v>
      </c>
      <c r="D32" s="184">
        <v>805268959</v>
      </c>
      <c r="E32" s="184">
        <v>777490832</v>
      </c>
      <c r="F32" s="184">
        <v>791846744</v>
      </c>
      <c r="G32" s="185">
        <v>746091651</v>
      </c>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32137830111</v>
      </c>
      <c r="D36" s="186">
        <f t="shared" si="1"/>
        <v>33936522741</v>
      </c>
      <c r="E36" s="186">
        <f t="shared" si="1"/>
        <v>32171565624</v>
      </c>
      <c r="F36" s="186">
        <f t="shared" si="1"/>
        <v>30166805377</v>
      </c>
      <c r="G36" s="186">
        <f t="shared" si="1"/>
        <v>27759710926</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-21538172214</v>
      </c>
      <c r="D37" s="186">
        <f t="shared" si="2"/>
        <v>-23203550387</v>
      </c>
      <c r="E37" s="186">
        <f t="shared" si="2"/>
        <v>-22708660145</v>
      </c>
      <c r="F37" s="186">
        <f t="shared" si="2"/>
        <v>-21409966489</v>
      </c>
      <c r="G37" s="186">
        <f t="shared" si="2"/>
        <v>-18759681723</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10599657897</v>
      </c>
      <c r="D38" s="187">
        <f t="shared" ref="D38" si="3">IF(D36="","",D36+D37)</f>
        <v>10732972354</v>
      </c>
      <c r="E38" s="187">
        <f t="shared" ref="E38" si="4">IF(E36="","",E36+E37)</f>
        <v>9462905479</v>
      </c>
      <c r="F38" s="187">
        <f t="shared" ref="F38" si="5">IF(F36="","",F36+F37)</f>
        <v>8756838888</v>
      </c>
      <c r="G38" s="187">
        <f t="shared" ref="G38" si="6">IF(G36="","",G36+G37)</f>
        <v>9000029203</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-6009098645</v>
      </c>
      <c r="D39" s="186">
        <f t="shared" si="13"/>
        <v>-6227465840</v>
      </c>
      <c r="E39" s="186">
        <f t="shared" si="13"/>
        <v>-5672870751</v>
      </c>
      <c r="F39" s="186">
        <f t="shared" si="13"/>
        <v>-5789419371</v>
      </c>
      <c r="G39" s="186">
        <f t="shared" si="13"/>
        <v>-6662600559</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-4602519864</v>
      </c>
      <c r="D40" s="188">
        <f t="shared" si="14"/>
        <v>-4708402798</v>
      </c>
      <c r="E40" s="188">
        <f t="shared" si="14"/>
        <v>-4199502747</v>
      </c>
      <c r="F40" s="188">
        <f t="shared" si="14"/>
        <v>-4096874125</v>
      </c>
      <c r="G40" s="188">
        <f t="shared" si="14"/>
        <v>-4984549837</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-1406578781</v>
      </c>
      <c r="D41" s="188">
        <f t="shared" ref="D41:M41" si="15">IF(D$4="","",D39-D40)</f>
        <v>-1519063042</v>
      </c>
      <c r="E41" s="188">
        <f t="shared" si="15"/>
        <v>-1473368004</v>
      </c>
      <c r="F41" s="188">
        <f t="shared" si="15"/>
        <v>-1692545246</v>
      </c>
      <c r="G41" s="188">
        <f t="shared" si="15"/>
        <v>-1678050722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-102766675</v>
      </c>
      <c r="D42" s="186">
        <f t="shared" si="16"/>
        <v>-100637006</v>
      </c>
      <c r="E42" s="186">
        <f t="shared" si="16"/>
        <v>-62954899</v>
      </c>
      <c r="F42" s="186">
        <f t="shared" si="16"/>
        <v>-30890245</v>
      </c>
      <c r="G42" s="186">
        <f t="shared" si="16"/>
        <v>-21467092</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4487792577</v>
      </c>
      <c r="D43" s="189">
        <f t="shared" ref="D43:M43" si="17">IF(D$4="","",D38+D39+D42)</f>
        <v>4404869508</v>
      </c>
      <c r="E43" s="189">
        <f t="shared" si="17"/>
        <v>3727079829</v>
      </c>
      <c r="F43" s="189">
        <f t="shared" si="17"/>
        <v>2936529272</v>
      </c>
      <c r="G43" s="189">
        <f t="shared" si="17"/>
        <v>2315961552</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798766277</v>
      </c>
      <c r="D44" s="190">
        <f t="shared" si="18"/>
        <v>851592381</v>
      </c>
      <c r="E44" s="190">
        <f t="shared" si="18"/>
        <v>828637601</v>
      </c>
      <c r="F44" s="190">
        <f t="shared" si="18"/>
        <v>1249483253</v>
      </c>
      <c r="G44" s="190">
        <f t="shared" si="18"/>
        <v>413221114</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594934146</v>
      </c>
      <c r="D45" s="191">
        <f t="shared" si="19"/>
        <v>489945413</v>
      </c>
      <c r="E45" s="191">
        <f t="shared" si="19"/>
        <v>450423856</v>
      </c>
      <c r="F45" s="191">
        <f t="shared" si="19"/>
        <v>292962940</v>
      </c>
      <c r="G45" s="191">
        <f t="shared" si="19"/>
        <v>510366658</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-1389716314</v>
      </c>
      <c r="D46" s="186">
        <f t="shared" si="20"/>
        <v>-1398208378</v>
      </c>
      <c r="E46" s="186">
        <f t="shared" si="20"/>
        <v>-1201419808</v>
      </c>
      <c r="F46" s="186">
        <f t="shared" si="20"/>
        <v>-1222731595</v>
      </c>
      <c r="G46" s="186">
        <f t="shared" si="20"/>
        <v>-912580519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4491776686</v>
      </c>
      <c r="D47" s="189">
        <f t="shared" si="21"/>
        <v>4348198924</v>
      </c>
      <c r="E47" s="189">
        <f t="shared" si="21"/>
        <v>3804721478</v>
      </c>
      <c r="F47" s="189">
        <f t="shared" si="21"/>
        <v>3256243870</v>
      </c>
      <c r="G47" s="189">
        <f t="shared" si="21"/>
        <v>2326968805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-146792828</v>
      </c>
      <c r="D48" s="186">
        <f t="shared" si="22"/>
        <v>-80347518</v>
      </c>
      <c r="E48" s="186">
        <f t="shared" si="22"/>
        <v>-94092885</v>
      </c>
      <c r="F48" s="186">
        <f t="shared" si="22"/>
        <v>-100788060</v>
      </c>
      <c r="G48" s="186">
        <f t="shared" si="22"/>
        <v>-125645249</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-21837054</v>
      </c>
      <c r="D51" s="186">
        <f t="shared" si="23"/>
        <v>-16430590</v>
      </c>
      <c r="E51" s="186">
        <f t="shared" si="23"/>
        <v>-9237800</v>
      </c>
      <c r="F51" s="186">
        <f t="shared" si="23"/>
        <v>-22685367</v>
      </c>
      <c r="G51" s="186">
        <f t="shared" si="23"/>
        <v>-13662682</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616771200</v>
      </c>
      <c r="D52" s="186">
        <f t="shared" si="24"/>
        <v>506376003</v>
      </c>
      <c r="E52" s="186">
        <f t="shared" si="24"/>
        <v>459661656</v>
      </c>
      <c r="F52" s="186">
        <f t="shared" si="24"/>
        <v>315648307</v>
      </c>
      <c r="G52" s="186">
        <f t="shared" si="24"/>
        <v>524029340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48272283</v>
      </c>
      <c r="D55" s="191">
        <f t="shared" si="25"/>
        <v>15798284</v>
      </c>
      <c r="E55" s="191">
        <f t="shared" si="25"/>
        <v>19873379</v>
      </c>
      <c r="F55" s="191">
        <f t="shared" si="25"/>
        <v>20561728</v>
      </c>
      <c r="G55" s="191">
        <f t="shared" si="25"/>
        <v>18098320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750493994</v>
      </c>
      <c r="D58" s="191">
        <f t="shared" ref="D58:M58" si="28">IF(D$4="","",D44-D55-D56-D57)</f>
        <v>835794097</v>
      </c>
      <c r="E58" s="191">
        <f t="shared" si="28"/>
        <v>808764222</v>
      </c>
      <c r="F58" s="191">
        <f t="shared" si="28"/>
        <v>1228921525</v>
      </c>
      <c r="G58" s="191">
        <f t="shared" si="28"/>
        <v>395122794</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-1191305772</v>
      </c>
      <c r="D61" s="186">
        <f t="shared" si="29"/>
        <v>-1140399624</v>
      </c>
      <c r="E61" s="186">
        <f t="shared" si="29"/>
        <v>-1083856796</v>
      </c>
      <c r="F61" s="186">
        <f t="shared" si="29"/>
        <v>-1109733268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-1191305772</v>
      </c>
      <c r="D62" s="186">
        <f t="shared" si="30"/>
        <v>-1140399624</v>
      </c>
      <c r="E62" s="186">
        <f t="shared" si="30"/>
        <v>-1083856796</v>
      </c>
      <c r="F62" s="186">
        <f t="shared" si="30"/>
        <v>-1109733268</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-583532518</v>
      </c>
      <c r="D63" s="186">
        <f t="shared" si="31"/>
        <v>-1575918543</v>
      </c>
      <c r="E63" s="186">
        <f t="shared" si="31"/>
        <v>-878667968</v>
      </c>
      <c r="F63" s="186">
        <f t="shared" si="31"/>
        <v>-2804548241</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411</v>
      </c>
      <c r="C64" s="186">
        <f>IF(C$4="","",C22+C23+C24)</f>
        <v>-5250265948</v>
      </c>
      <c r="D64" s="186">
        <f t="shared" ref="D64:M64" si="32">IF(D$4="","",D22+D23+D24)</f>
        <v>-3553470152</v>
      </c>
      <c r="E64" s="186">
        <f t="shared" si="32"/>
        <v>1003950637</v>
      </c>
      <c r="F64" s="186">
        <f t="shared" si="32"/>
        <v>-5820274743</v>
      </c>
      <c r="G64" s="186">
        <f t="shared" si="32"/>
        <v>3109593346</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2.339927674962774</v>
      </c>
      <c r="D65" s="75">
        <f t="shared" si="33"/>
        <v>2.1272069772388851</v>
      </c>
      <c r="E65" s="75">
        <f t="shared" si="33"/>
        <v>1.3826845352052755</v>
      </c>
      <c r="F65" s="75">
        <f t="shared" si="33"/>
        <v>1.169963837481387</v>
      </c>
      <c r="G65" s="75">
        <f t="shared" si="33"/>
        <v>0.79770261646458196</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-5.3001677388323953E-2</v>
      </c>
      <c r="D68" s="94">
        <f t="shared" si="34"/>
        <v>5.48607779188508E-2</v>
      </c>
      <c r="E68" s="94">
        <f t="shared" si="34"/>
        <v>6.6455835211788328E-2</v>
      </c>
      <c r="F68" s="94">
        <f t="shared" si="34"/>
        <v>8.6711798167375509E-2</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-7.1772558303536349E-2</v>
      </c>
      <c r="D69" s="104">
        <f t="shared" si="35"/>
        <v>2.1793018119079299E-2</v>
      </c>
      <c r="E69" s="104">
        <f t="shared" si="35"/>
        <v>6.0658369393863376E-2</v>
      </c>
      <c r="F69" s="104">
        <f t="shared" si="35"/>
        <v>0.14127557200241103</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-1.2421019322789495E-2</v>
      </c>
      <c r="D70" s="94">
        <f t="shared" si="36"/>
        <v>0.13421531873255232</v>
      </c>
      <c r="E70" s="94">
        <f t="shared" si="36"/>
        <v>8.0630305071338393E-2</v>
      </c>
      <c r="F70" s="94">
        <f t="shared" si="36"/>
        <v>-2.702105843378122E-2</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-3.5065177491202415E-2</v>
      </c>
      <c r="D71" s="104">
        <f t="shared" si="37"/>
        <v>9.7762687243004409E-2</v>
      </c>
      <c r="E71" s="104">
        <f t="shared" si="37"/>
        <v>-2.0131314132088685E-2</v>
      </c>
      <c r="F71" s="104">
        <f t="shared" si="37"/>
        <v>-0.13105711204921122</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0.10000000000000009</v>
      </c>
      <c r="D72" s="94">
        <f t="shared" ref="D72:M72" si="38">IF(E$36="","",D65/E65-1)</f>
        <v>0.53846153846153832</v>
      </c>
      <c r="E72" s="94">
        <f t="shared" si="38"/>
        <v>0.18181818181818166</v>
      </c>
      <c r="F72" s="94">
        <f t="shared" si="38"/>
        <v>0.46666666666666679</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51420385832</v>
      </c>
      <c r="D76" s="78">
        <f t="shared" ref="D76:M76" si="39">IF(D$4="","",D79+D80)</f>
        <v>49256011349</v>
      </c>
      <c r="E76" s="78">
        <f t="shared" si="39"/>
        <v>50311699796</v>
      </c>
      <c r="F76" s="78">
        <f t="shared" si="39"/>
        <v>46563004491</v>
      </c>
      <c r="G76" s="78">
        <f t="shared" si="39"/>
        <v>41514185835</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185704725</v>
      </c>
      <c r="D77" s="74">
        <f t="shared" si="40"/>
        <v>100391321</v>
      </c>
      <c r="E77" s="74">
        <f t="shared" si="40"/>
        <v>124099728</v>
      </c>
      <c r="F77" s="74">
        <f t="shared" si="40"/>
        <v>124929816</v>
      </c>
      <c r="G77" s="74">
        <f t="shared" si="40"/>
        <v>125155008</v>
      </c>
      <c r="H77" s="74" t="str">
        <f t="shared" si="40"/>
        <v/>
      </c>
      <c r="I77" s="96"/>
      <c r="J77" s="96"/>
      <c r="K77" s="96"/>
      <c r="L77" s="96"/>
      <c r="M77" s="96"/>
    </row>
    <row r="78" spans="2:13" x14ac:dyDescent="0.35">
      <c r="B78" s="95" t="s">
        <v>88</v>
      </c>
      <c r="C78" s="74">
        <f t="shared" si="40"/>
        <v>3576387537</v>
      </c>
      <c r="D78" s="74">
        <f t="shared" si="40"/>
        <v>3539828305</v>
      </c>
      <c r="E78" s="74">
        <f t="shared" si="40"/>
        <v>4152187132</v>
      </c>
      <c r="F78" s="74">
        <f t="shared" si="40"/>
        <v>3492997857</v>
      </c>
      <c r="G78" s="74">
        <f t="shared" si="40"/>
        <v>3281033526</v>
      </c>
      <c r="H78" s="74" t="str">
        <f t="shared" si="40"/>
        <v/>
      </c>
      <c r="I78" s="96"/>
      <c r="J78" s="96"/>
      <c r="K78" s="96"/>
      <c r="L78" s="96"/>
      <c r="M78" s="96"/>
    </row>
    <row r="79" spans="2:13" x14ac:dyDescent="0.35">
      <c r="B79" s="26" t="s">
        <v>40</v>
      </c>
      <c r="C79" s="58">
        <f t="shared" ref="C79:M79" si="41">IF(C$4="","",C30)</f>
        <v>21560843821</v>
      </c>
      <c r="D79" s="58">
        <f t="shared" si="41"/>
        <v>21001264174</v>
      </c>
      <c r="E79" s="58">
        <f t="shared" si="41"/>
        <v>24039387261</v>
      </c>
      <c r="F79" s="58">
        <f t="shared" si="41"/>
        <v>22769313149</v>
      </c>
      <c r="G79" s="58">
        <f t="shared" si="41"/>
        <v>20146133669</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29859542011</v>
      </c>
      <c r="D80" s="58">
        <f t="shared" si="42"/>
        <v>28254747175</v>
      </c>
      <c r="E80" s="58">
        <f t="shared" si="42"/>
        <v>26272312535</v>
      </c>
      <c r="F80" s="58">
        <f t="shared" si="42"/>
        <v>23793691342</v>
      </c>
      <c r="G80" s="58">
        <f t="shared" si="42"/>
        <v>21368052166</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 sqref="C2"/>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f>Normalized_FCF!G1</f>
        <v>45657</v>
      </c>
      <c r="F1" s="88" t="str">
        <f>IF(MONTH(C1)=MONTH(Normalized_FCF!G1),"FY","Quarter")&amp;" Report"</f>
        <v>FY Report</v>
      </c>
      <c r="H1" s="110">
        <f>Data!C3</f>
        <v>1</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102420347+83284378</f>
        <v>185704725</v>
      </c>
      <c r="D4" s="300">
        <v>0.6</v>
      </c>
      <c r="E4" s="25"/>
      <c r="F4" s="4" t="s">
        <v>79</v>
      </c>
      <c r="G4" s="19">
        <v>17978772896</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3576387537</v>
      </c>
      <c r="D6" s="300">
        <v>0.5</v>
      </c>
      <c r="E6" s="25"/>
      <c r="F6" s="4" t="s">
        <v>179</v>
      </c>
      <c r="G6" s="19">
        <v>0</v>
      </c>
      <c r="H6" s="300">
        <v>0.6</v>
      </c>
    </row>
    <row r="7" spans="2:8" ht="15" customHeight="1" x14ac:dyDescent="0.35">
      <c r="B7" s="1" t="s">
        <v>70</v>
      </c>
      <c r="C7" s="19">
        <v>0</v>
      </c>
      <c r="D7" s="300">
        <v>0.6</v>
      </c>
      <c r="E7" s="25"/>
      <c r="F7" s="4" t="s">
        <v>180</v>
      </c>
      <c r="G7" s="19">
        <v>2021804089</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241896760</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f>51713930+1132635624</f>
        <v>1184349554</v>
      </c>
      <c r="D11" s="300">
        <v>0.05</v>
      </c>
      <c r="H11" s="301"/>
    </row>
    <row r="12" spans="2:8" ht="15" customHeight="1" x14ac:dyDescent="0.35">
      <c r="B12" s="82" t="s">
        <v>73</v>
      </c>
      <c r="C12" s="83">
        <f>SUM(C4:C11)</f>
        <v>5188338576</v>
      </c>
      <c r="D12" s="20">
        <f>C4*D4+C5*D5+C9*D9+C6*D6+C8*D8+C7*D7+C10*D10+C11*D11</f>
        <v>1983023757.2</v>
      </c>
      <c r="F12" s="82" t="s">
        <v>71</v>
      </c>
      <c r="G12" s="83">
        <f>SUM(G4:G9)</f>
        <v>20000576985</v>
      </c>
      <c r="H12" s="20">
        <f>G4*H4+G5*H5+G6*H6+G7*H7+G8*H8+G9*H9</f>
        <v>17393978059.799999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2498379750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f>11817650634+630874619+115672625+85702449</f>
        <v>12649900327</v>
      </c>
      <c r="D19" s="300">
        <v>0.1</v>
      </c>
      <c r="F19" s="4" t="s">
        <v>184</v>
      </c>
      <c r="G19" s="19">
        <v>391873803</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2684120584</v>
      </c>
      <c r="D21" s="300">
        <v>0.05</v>
      </c>
      <c r="F21" s="1" t="s">
        <v>182</v>
      </c>
      <c r="G21" s="19">
        <v>41138918</v>
      </c>
      <c r="H21" s="300">
        <v>0.1</v>
      </c>
    </row>
    <row r="22" spans="2:8" ht="15" customHeight="1" x14ac:dyDescent="0.35">
      <c r="B22" s="4" t="s">
        <v>20</v>
      </c>
      <c r="C22" s="19">
        <v>1930039528</v>
      </c>
      <c r="D22" s="300">
        <v>0.9</v>
      </c>
      <c r="H22" s="301"/>
    </row>
    <row r="23" spans="2:8" ht="15" customHeight="1" x14ac:dyDescent="0.35">
      <c r="B23" s="4" t="s">
        <v>21</v>
      </c>
      <c r="C23" s="19">
        <f>1307103982+4728913379</f>
        <v>6036017361</v>
      </c>
      <c r="D23" s="300">
        <v>0</v>
      </c>
      <c r="H23" s="301"/>
    </row>
    <row r="24" spans="2:8" ht="15" customHeight="1" x14ac:dyDescent="0.35">
      <c r="B24" s="82" t="s">
        <v>75</v>
      </c>
      <c r="C24" s="83">
        <f>SUM(C15:C23)</f>
        <v>23300077800</v>
      </c>
      <c r="D24" s="20">
        <f>C15*D15+C16*D16+C18*D18+C17*D17+C19*D19+C20*D20+C21*D21+C22*D22+C23*D23</f>
        <v>3136231637.1000004</v>
      </c>
      <c r="F24" s="82" t="s">
        <v>72</v>
      </c>
      <c r="G24" s="83">
        <f>SUM(G15:G21)</f>
        <v>2931392471</v>
      </c>
      <c r="H24" s="20">
        <f>G15*H15+G16*H16+G17*H17+G18*H18+G19*H19+G20*H20+G21*H21</f>
        <v>1542329122.0999999</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29859542011</v>
      </c>
      <c r="H27" s="215">
        <f>H32-G30</f>
        <v>2494718755.1999969</v>
      </c>
    </row>
    <row r="28" spans="2:8" ht="15" customHeight="1" x14ac:dyDescent="0.35">
      <c r="B28" s="4" t="s">
        <v>6</v>
      </c>
      <c r="C28" s="19">
        <v>0</v>
      </c>
      <c r="F28" s="216" t="s">
        <v>246</v>
      </c>
      <c r="G28" s="184">
        <v>799157484</v>
      </c>
      <c r="H28" s="215"/>
    </row>
    <row r="29" spans="2:8" ht="15" customHeight="1" x14ac:dyDescent="0.35">
      <c r="B29" s="4" t="s">
        <v>7</v>
      </c>
      <c r="C29" s="19">
        <v>0</v>
      </c>
      <c r="F29" s="217" t="s">
        <v>77</v>
      </c>
      <c r="G29" s="14">
        <f>G27-G28</f>
        <v>29060384527</v>
      </c>
      <c r="H29" s="215">
        <f>H27-G28</f>
        <v>1695561271.1999969</v>
      </c>
    </row>
    <row r="30" spans="2:8" ht="15" customHeight="1" x14ac:dyDescent="0.35">
      <c r="B30" s="2" t="s">
        <v>8</v>
      </c>
      <c r="C30" s="19">
        <v>217159673</v>
      </c>
      <c r="F30" s="214" t="s">
        <v>23</v>
      </c>
      <c r="G30" s="87">
        <f>C33+C42</f>
        <v>21560843821</v>
      </c>
      <c r="H30" s="215"/>
    </row>
    <row r="31" spans="2:8" ht="15" customHeight="1" x14ac:dyDescent="0.35">
      <c r="B31" s="82" t="s">
        <v>205</v>
      </c>
      <c r="C31" s="83">
        <f>SUM(C27:C30)</f>
        <v>217159673</v>
      </c>
      <c r="F31" s="217" t="s">
        <v>78</v>
      </c>
      <c r="G31" s="218">
        <f>C31+C40</f>
        <v>285396383</v>
      </c>
      <c r="H31" s="215"/>
    </row>
    <row r="32" spans="2:8" ht="15" customHeight="1" x14ac:dyDescent="0.35">
      <c r="B32" s="4" t="s">
        <v>9</v>
      </c>
      <c r="C32" s="21">
        <f>C33-C31</f>
        <v>17305171626</v>
      </c>
      <c r="F32" s="219" t="s">
        <v>76</v>
      </c>
      <c r="G32" s="220">
        <f>G35+G40</f>
        <v>51420385832</v>
      </c>
      <c r="H32" s="215">
        <f>H35+H40</f>
        <v>24055562576.199997</v>
      </c>
    </row>
    <row r="33" spans="2:8" ht="15" customHeight="1" x14ac:dyDescent="0.35">
      <c r="B33" s="85" t="s">
        <v>4</v>
      </c>
      <c r="C33" s="86">
        <v>17522331299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28488416376</v>
      </c>
      <c r="H35" s="227">
        <f>D12+D24</f>
        <v>5119255394.3000002</v>
      </c>
    </row>
    <row r="36" spans="2:8" ht="15" customHeight="1" x14ac:dyDescent="0.35">
      <c r="B36" s="4" t="s">
        <v>13</v>
      </c>
      <c r="C36" s="19">
        <v>0</v>
      </c>
      <c r="F36" s="217" t="s">
        <v>199</v>
      </c>
      <c r="G36" s="218">
        <f>C4+C15</f>
        <v>185704725</v>
      </c>
      <c r="H36" s="222"/>
    </row>
    <row r="37" spans="2:8" ht="15" customHeight="1" x14ac:dyDescent="0.35">
      <c r="B37" s="4" t="s">
        <v>14</v>
      </c>
      <c r="C37" s="19">
        <v>68236710</v>
      </c>
      <c r="F37" s="217" t="s">
        <v>200</v>
      </c>
      <c r="G37" s="218">
        <f>C6</f>
        <v>3576387537</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12649900327</v>
      </c>
      <c r="H39" s="215">
        <f>C7*D7+C17*D17+C19*D19+C20*D20</f>
        <v>1264990032.7</v>
      </c>
    </row>
    <row r="40" spans="2:8" ht="15" customHeight="1" x14ac:dyDescent="0.35">
      <c r="B40" s="82" t="s">
        <v>206</v>
      </c>
      <c r="C40" s="83">
        <f>SUM(C36:C39)</f>
        <v>68236710</v>
      </c>
      <c r="F40" s="226" t="s">
        <v>140</v>
      </c>
      <c r="G40" s="220">
        <f>G12+G24</f>
        <v>22931969456</v>
      </c>
      <c r="H40" s="227">
        <f>H12+H24</f>
        <v>18936307181.899998</v>
      </c>
    </row>
    <row r="41" spans="2:8" ht="15" customHeight="1" x14ac:dyDescent="0.35">
      <c r="B41" s="4" t="s">
        <v>17</v>
      </c>
      <c r="C41" s="21">
        <f>C42-C40</f>
        <v>3970275812</v>
      </c>
      <c r="F41" s="217" t="s">
        <v>193</v>
      </c>
      <c r="G41" s="218">
        <f>C70</f>
        <v>17978772896</v>
      </c>
      <c r="H41" s="227">
        <f>H40-H42</f>
        <v>16180895606.399998</v>
      </c>
    </row>
    <row r="42" spans="2:8" ht="15" customHeight="1" x14ac:dyDescent="0.35">
      <c r="B42" s="85" t="s">
        <v>22</v>
      </c>
      <c r="C42" s="86">
        <v>4038512522</v>
      </c>
      <c r="F42" s="228" t="s">
        <v>194</v>
      </c>
      <c r="G42" s="229">
        <f>C82</f>
        <v>4953196560</v>
      </c>
      <c r="H42" s="230">
        <f>D82</f>
        <v>2755411575.5</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29060384527</v>
      </c>
      <c r="D46" s="191">
        <f>H29</f>
        <v>1695561271.1999969</v>
      </c>
      <c r="F46" s="289"/>
    </row>
    <row r="47" spans="2:8" ht="15" customHeight="1" x14ac:dyDescent="0.35">
      <c r="B47" s="1" t="str">
        <f>"Equity per share ("&amp;Market_currency&amp;")"</f>
        <v>Equity per share (HKD)</v>
      </c>
      <c r="C47" s="151">
        <f>C46*H1/Common_Shares*Exchange_Rate</f>
        <v>20.02832272632898</v>
      </c>
      <c r="D47" s="151">
        <f>D46*H1/Common_Shares*Exchange_Rate</f>
        <v>1.1685753266721788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7.3592411949940734E-2</v>
      </c>
      <c r="D50" s="98">
        <f>G31/Normalized_FCF!G8</f>
        <v>6.3593933566061064E-2</v>
      </c>
      <c r="F50" s="289"/>
    </row>
    <row r="51" spans="2:8" ht="15" customHeight="1" x14ac:dyDescent="0.35">
      <c r="B51" s="1" t="s">
        <v>178</v>
      </c>
      <c r="C51" s="208"/>
      <c r="D51" s="94">
        <f>G29/G32</f>
        <v>0.56515298469260233</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0.1361278920921285</v>
      </c>
      <c r="D54" s="94">
        <f>Normalized_FCF!G8/G35</f>
        <v>0.15753043334415495</v>
      </c>
      <c r="F54" s="289"/>
    </row>
    <row r="55" spans="2:8" ht="15" customHeight="1" x14ac:dyDescent="0.35">
      <c r="B55" s="1" t="s">
        <v>143</v>
      </c>
      <c r="C55" s="94">
        <f>Normalized_FCF!C11/G40</f>
        <v>0</v>
      </c>
      <c r="D55" s="94">
        <f>Normalized_FCF!G11/G40</f>
        <v>2.1050212495974641E-3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9.4175111360938715E-2</v>
      </c>
      <c r="F58" s="5"/>
    </row>
    <row r="59" spans="2:8" ht="15" customHeight="1" x14ac:dyDescent="0.35">
      <c r="B59" s="1" t="s">
        <v>94</v>
      </c>
      <c r="C59" s="101"/>
      <c r="D59" s="94">
        <f>G39/G32</f>
        <v>0.24600944007556819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2.749989365273205E-2</v>
      </c>
      <c r="D62" s="94">
        <f>G28/G29</f>
        <v>2.749989365273205E-2</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17978772896</v>
      </c>
      <c r="D66" s="191">
        <f>C66-D75</f>
        <v>12742567110.786873</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17978772896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-2570179946.0280437</v>
      </c>
      <c r="D73" s="191">
        <f>(Normalized_FCF!C25+Normalized_FCF!C35-Normalized_FCF!C91)/12</f>
        <v>-2618102892.606564</v>
      </c>
      <c r="F73" s="1" t="s">
        <v>365</v>
      </c>
    </row>
    <row r="74" spans="2:6" ht="15" customHeight="1" x14ac:dyDescent="0.35">
      <c r="B74" s="294" t="s">
        <v>335</v>
      </c>
      <c r="C74" s="295">
        <f>-$C$66/C73</f>
        <v>6.9951416918431715</v>
      </c>
      <c r="D74" s="295">
        <f>-$C$66/D73</f>
        <v>6.8670994355384041</v>
      </c>
      <c r="F74" s="289" t="s">
        <v>332</v>
      </c>
    </row>
    <row r="75" spans="2:6" ht="15" customHeight="1" x14ac:dyDescent="0.35">
      <c r="B75" s="82" t="s">
        <v>333</v>
      </c>
      <c r="C75" s="299"/>
      <c r="D75" s="298">
        <f>MAX(-D73*D76,G5)</f>
        <v>5236205785.2131281</v>
      </c>
      <c r="F75" s="289" t="s">
        <v>366</v>
      </c>
    </row>
    <row r="76" spans="2:6" ht="15" customHeight="1" x14ac:dyDescent="0.35">
      <c r="B76" s="296" t="s">
        <v>336</v>
      </c>
      <c r="C76" s="297"/>
      <c r="D76" s="333">
        <f>IF(D74&lt;=3,1,IF(D74&gt;18,6,2))</f>
        <v>2</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4520183839</v>
      </c>
      <c r="D79" s="191">
        <f>G7*H7+G17*H17</f>
        <v>2712110303.3999996</v>
      </c>
      <c r="F79" s="289"/>
    </row>
    <row r="80" spans="2:6" ht="15" customHeight="1" x14ac:dyDescent="0.35">
      <c r="B80" s="108" t="s">
        <v>184</v>
      </c>
      <c r="C80" s="20">
        <f>G19</f>
        <v>391873803</v>
      </c>
      <c r="D80" s="191">
        <f>G19*H19</f>
        <v>39187380.300000004</v>
      </c>
      <c r="F80" s="289"/>
    </row>
    <row r="81" spans="2:8" ht="15" customHeight="1" x14ac:dyDescent="0.35">
      <c r="B81" s="108" t="s">
        <v>182</v>
      </c>
      <c r="C81" s="20">
        <f>G9+G21</f>
        <v>41138918</v>
      </c>
      <c r="D81" s="191">
        <f>G9*H9+G21*H21</f>
        <v>4113891.8000000003</v>
      </c>
      <c r="F81" s="289"/>
    </row>
    <row r="82" spans="2:8" ht="15" customHeight="1" x14ac:dyDescent="0.35">
      <c r="B82" s="82" t="s">
        <v>191</v>
      </c>
      <c r="C82" s="83">
        <f>SUM(C79:C81)</f>
        <v>4953196560</v>
      </c>
      <c r="D82" s="83">
        <f>SUM(D79:D81)</f>
        <v>2755411575.5</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-268329679.29660001</v>
      </c>
      <c r="D86" s="254">
        <f>C86*$H$1/Common_Shares</f>
        <v>-0.19669426116300168</v>
      </c>
      <c r="E86" s="275" t="str">
        <f>Market_currency</f>
        <v>HKD</v>
      </c>
    </row>
    <row r="87" spans="2:8" ht="15" customHeight="1" x14ac:dyDescent="0.35">
      <c r="B87" s="273" t="s">
        <v>298</v>
      </c>
      <c r="C87" s="191">
        <f>Valuation_Model!C8*Exchange_Rate</f>
        <v>11980561597.561819</v>
      </c>
      <c r="D87" s="254">
        <f>C87*$H$1/Common_Shares</f>
        <v>8.7821359080650598</v>
      </c>
      <c r="E87" s="275" t="str">
        <f>Market_currency</f>
        <v>HKD</v>
      </c>
    </row>
    <row r="88" spans="2:8" ht="15" customHeight="1" x14ac:dyDescent="0.35">
      <c r="B88" s="274" t="s">
        <v>191</v>
      </c>
      <c r="C88" s="191">
        <f>Valuation_Model!C9*Exchange_Rate</f>
        <v>2590637963.2851</v>
      </c>
      <c r="D88" s="254">
        <f>C88*$H$1/Common_Shares</f>
        <v>1.899020717592468</v>
      </c>
      <c r="E88" s="275" t="str">
        <f>Market_currency</f>
        <v>HKD</v>
      </c>
    </row>
    <row r="89" spans="2:8" ht="15" customHeight="1" x14ac:dyDescent="0.35">
      <c r="B89" s="82" t="s">
        <v>302</v>
      </c>
      <c r="C89" s="190">
        <f>SUM(C86:C88)</f>
        <v>14302869881.55032</v>
      </c>
      <c r="D89" s="277">
        <f>SUM(D86:D88)</f>
        <v>10.484462364494526</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v>
      </c>
      <c r="D3" s="9"/>
      <c r="E3" s="308"/>
      <c r="F3" s="9"/>
      <c r="G3" s="9"/>
    </row>
    <row r="4" spans="1:17" ht="15.75" customHeight="1" x14ac:dyDescent="0.35">
      <c r="A4" s="10"/>
      <c r="B4" s="26" t="s">
        <v>2</v>
      </c>
      <c r="C4" s="196">
        <f>AVERAGE(G4:J4)</f>
        <v>32103180963.25</v>
      </c>
      <c r="D4" s="57"/>
      <c r="E4" s="306"/>
      <c r="F4" s="57"/>
      <c r="G4" s="186">
        <f>Data!C36</f>
        <v>32137830111</v>
      </c>
      <c r="H4" s="186">
        <f>Data!D36</f>
        <v>33936522741</v>
      </c>
      <c r="I4" s="186">
        <f>Data!E36</f>
        <v>32171565624</v>
      </c>
      <c r="J4" s="186">
        <f>Data!F36</f>
        <v>30166805377</v>
      </c>
      <c r="K4" s="186">
        <f>Data!G36</f>
        <v>27759710926</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-26627911918.442245</v>
      </c>
      <c r="E5" s="308"/>
      <c r="G5" s="186">
        <f t="shared" ref="G5:Q5" si="1">G25</f>
        <v>-26140692078</v>
      </c>
      <c r="H5" s="186">
        <f t="shared" si="1"/>
        <v>-27911953185</v>
      </c>
      <c r="I5" s="186">
        <f t="shared" si="1"/>
        <v>-26908162892</v>
      </c>
      <c r="J5" s="186">
        <f t="shared" si="1"/>
        <v>-25506840614</v>
      </c>
      <c r="K5" s="186">
        <f t="shared" si="1"/>
        <v>-23744231560</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5475269044.8077545</v>
      </c>
      <c r="E6" s="308"/>
      <c r="G6" s="187">
        <f>IF(G4="","",G4+G5)</f>
        <v>5997138033</v>
      </c>
      <c r="H6" s="187">
        <f t="shared" ref="H6:Q6" si="2">IF(H4="","",H4+H5)</f>
        <v>6024569556</v>
      </c>
      <c r="I6" s="187">
        <f t="shared" si="2"/>
        <v>5263402732</v>
      </c>
      <c r="J6" s="187">
        <f t="shared" si="2"/>
        <v>4659964763</v>
      </c>
      <c r="K6" s="187">
        <f t="shared" si="2"/>
        <v>4015479366</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-1597200974.5</v>
      </c>
      <c r="E7" s="308"/>
      <c r="G7" s="197">
        <f t="shared" ref="G7:Q7" si="3">G35</f>
        <v>-1509345456</v>
      </c>
      <c r="H7" s="197">
        <f t="shared" si="3"/>
        <v>-1619700048</v>
      </c>
      <c r="I7" s="197">
        <f t="shared" si="3"/>
        <v>-1536322903</v>
      </c>
      <c r="J7" s="197">
        <f t="shared" si="3"/>
        <v>-1723435491</v>
      </c>
      <c r="K7" s="197">
        <f t="shared" si="3"/>
        <v>-1699517814</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3878068070.3077545</v>
      </c>
      <c r="D8" s="60"/>
      <c r="E8" s="314"/>
      <c r="F8" s="60"/>
      <c r="G8" s="187">
        <f>IF(G$4="","",G6+G7)</f>
        <v>4487792577</v>
      </c>
      <c r="H8" s="187">
        <f t="shared" ref="H8:Q8" si="4">IF(H$4="","",H6+H7)</f>
        <v>4404869508</v>
      </c>
      <c r="I8" s="187">
        <f t="shared" si="4"/>
        <v>3727079829</v>
      </c>
      <c r="J8" s="187">
        <f t="shared" si="4"/>
        <v>2936529272</v>
      </c>
      <c r="K8" s="187">
        <f t="shared" si="4"/>
        <v>2315961552</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1191305772</v>
      </c>
      <c r="E9" s="308"/>
      <c r="G9" s="197">
        <f>IF(Data!C61="","",-Data!C61)</f>
        <v>1191305772</v>
      </c>
      <c r="H9" s="197">
        <f>IF(Data!D61="","",-Data!D61)</f>
        <v>1140399624</v>
      </c>
      <c r="I9" s="197">
        <f>IF(Data!E61="","",-Data!E61)</f>
        <v>1083856796</v>
      </c>
      <c r="J9" s="197">
        <f>IF(Data!F61="","",-Data!F61)</f>
        <v>1109733268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-1191305772</v>
      </c>
      <c r="E10" s="308"/>
      <c r="G10" s="197">
        <f>Data!C62</f>
        <v>-1191305772</v>
      </c>
      <c r="H10" s="197">
        <f>Data!D62</f>
        <v>-1140399624</v>
      </c>
      <c r="I10" s="197">
        <f>Data!E62</f>
        <v>-1083856796</v>
      </c>
      <c r="J10" s="197">
        <f>Data!F62</f>
        <v>-1109733268</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48272283</v>
      </c>
      <c r="H11" s="189">
        <f t="shared" ref="H11:Q11" si="5">H61</f>
        <v>15798284</v>
      </c>
      <c r="I11" s="189">
        <f t="shared" si="5"/>
        <v>19873379</v>
      </c>
      <c r="J11" s="189">
        <f t="shared" si="5"/>
        <v>20561728</v>
      </c>
      <c r="K11" s="189">
        <f t="shared" si="5"/>
        <v>18098320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157793721.93084043</v>
      </c>
      <c r="E12" s="308"/>
      <c r="G12" s="197">
        <f>G50</f>
        <v>157793721.93084043</v>
      </c>
      <c r="H12" s="197">
        <f t="shared" ref="H12:Q12" si="6">H50</f>
        <v>131048271.41837943</v>
      </c>
      <c r="I12" s="197">
        <f t="shared" si="6"/>
        <v>124635798.39910661</v>
      </c>
      <c r="J12" s="197">
        <f t="shared" si="6"/>
        <v>69245239.208049491</v>
      </c>
      <c r="K12" s="197">
        <f t="shared" si="6"/>
        <v>138957604.02296314</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4035861792.238595</v>
      </c>
      <c r="E13" s="308"/>
      <c r="G13" s="187">
        <f>IF(G$4="","",SUM(G8:G12))</f>
        <v>4693858581.9308405</v>
      </c>
      <c r="H13" s="187">
        <f t="shared" ref="H13:Q13" si="7">IF(H$4="","",SUM(H8:H12))</f>
        <v>4551716063.4183798</v>
      </c>
      <c r="I13" s="187">
        <f t="shared" si="7"/>
        <v>3871589006.3991065</v>
      </c>
      <c r="J13" s="187">
        <f t="shared" si="7"/>
        <v>3026336239.2080493</v>
      </c>
      <c r="K13" s="187">
        <f t="shared" si="7"/>
        <v>2473017476.022963</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-1008965448.0596488</v>
      </c>
      <c r="E14" s="308"/>
      <c r="G14" s="197">
        <f>Data!C46</f>
        <v>-1389716314</v>
      </c>
      <c r="H14" s="197">
        <f>Data!D46</f>
        <v>-1398208378</v>
      </c>
      <c r="I14" s="197">
        <f>Data!E46</f>
        <v>-1201419808</v>
      </c>
      <c r="J14" s="197">
        <f>Data!F46</f>
        <v>-1222731595</v>
      </c>
      <c r="K14" s="197">
        <f>Data!G46</f>
        <v>-912580519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-146634564.47167698</v>
      </c>
      <c r="D15" s="61"/>
      <c r="E15" s="315"/>
      <c r="F15" s="61"/>
      <c r="G15" s="186">
        <f>Data!C48</f>
        <v>-146792828</v>
      </c>
      <c r="H15" s="186">
        <f>Data!D48</f>
        <v>-80347518</v>
      </c>
      <c r="I15" s="186">
        <f>Data!E48</f>
        <v>-94092885</v>
      </c>
      <c r="J15" s="186">
        <f>Data!F48</f>
        <v>-100788060</v>
      </c>
      <c r="K15" s="186">
        <f>Data!G48</f>
        <v>-125645249</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2880261779.7072697</v>
      </c>
      <c r="D16" s="62"/>
      <c r="E16" s="316"/>
      <c r="F16" s="62"/>
      <c r="G16" s="187">
        <f>IF(G$4="","",SUM(G13:G15))</f>
        <v>3157349439.9308405</v>
      </c>
      <c r="H16" s="187">
        <f t="shared" ref="H16:Q16" si="8">IF(H$4="","",SUM(H13:H15))</f>
        <v>3073160167.4183798</v>
      </c>
      <c r="I16" s="187">
        <f t="shared" si="8"/>
        <v>2576076313.3991065</v>
      </c>
      <c r="J16" s="187">
        <f t="shared" si="8"/>
        <v>1702816584.2080493</v>
      </c>
      <c r="K16" s="187">
        <f t="shared" si="8"/>
        <v>1434791708.022963</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2880261779.7072697</v>
      </c>
      <c r="D19" s="27"/>
      <c r="E19" s="305"/>
      <c r="F19" s="27"/>
      <c r="G19" s="189">
        <f>IF(G$4="","",G16+G17)</f>
        <v>3157349439.9308405</v>
      </c>
      <c r="H19" s="189">
        <f t="shared" ref="H19:Q19" si="9">IF(H$4="","",H16+H17)</f>
        <v>3073160167.4183798</v>
      </c>
      <c r="I19" s="189">
        <f t="shared" si="9"/>
        <v>2576076313.3991065</v>
      </c>
      <c r="J19" s="189">
        <f t="shared" si="9"/>
        <v>1702816584.2080493</v>
      </c>
      <c r="K19" s="189">
        <f t="shared" si="9"/>
        <v>1434791708.022963</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-22227405835.768204</v>
      </c>
      <c r="D23" s="59"/>
      <c r="E23" s="307"/>
      <c r="F23" s="59"/>
      <c r="G23" s="186">
        <f>Data!C37</f>
        <v>-21538172214</v>
      </c>
      <c r="H23" s="186">
        <f>Data!D37</f>
        <v>-23203550387</v>
      </c>
      <c r="I23" s="186">
        <f>Data!E37</f>
        <v>-22708660145</v>
      </c>
      <c r="J23" s="186">
        <f>Data!F37</f>
        <v>-21409966489</v>
      </c>
      <c r="K23" s="186">
        <f>Data!G37</f>
        <v>-18759681723</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-4400506082.6740408</v>
      </c>
      <c r="D24" s="27"/>
      <c r="E24" s="305"/>
      <c r="F24" s="27"/>
      <c r="G24" s="186">
        <f>Data!C40</f>
        <v>-4602519864</v>
      </c>
      <c r="H24" s="186">
        <f>Data!D40</f>
        <v>-4708402798</v>
      </c>
      <c r="I24" s="186">
        <f>Data!E40</f>
        <v>-4199502747</v>
      </c>
      <c r="J24" s="186">
        <f>Data!F40</f>
        <v>-4096874125</v>
      </c>
      <c r="K24" s="186">
        <f>Data!G40</f>
        <v>-4984549837</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-26627911918.442245</v>
      </c>
      <c r="D25" s="9"/>
      <c r="E25" s="313"/>
      <c r="F25" s="9"/>
      <c r="G25" s="187">
        <f t="shared" ref="G25:Q25" si="10">IF(G$4="","",G23+G24)</f>
        <v>-26140692078</v>
      </c>
      <c r="H25" s="187">
        <f t="shared" si="10"/>
        <v>-27911953185</v>
      </c>
      <c r="I25" s="187">
        <f t="shared" si="10"/>
        <v>-26908162892</v>
      </c>
      <c r="J25" s="187">
        <f t="shared" si="10"/>
        <v>-25506840614</v>
      </c>
      <c r="K25" s="187">
        <f t="shared" si="10"/>
        <v>-23744231560</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0.69237393830888427</v>
      </c>
      <c r="D28" s="26"/>
      <c r="E28" s="306" t="s">
        <v>347</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0.13707383351548572</v>
      </c>
      <c r="D29" s="26"/>
      <c r="E29" s="306" t="s">
        <v>347</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0.82944777182437002</v>
      </c>
      <c r="E30" s="30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-1522888768.25</v>
      </c>
      <c r="E33" s="306" t="s">
        <v>347</v>
      </c>
      <c r="G33" s="197">
        <f>Data!C41</f>
        <v>-1406578781</v>
      </c>
      <c r="H33" s="197">
        <f>Data!D41</f>
        <v>-1519063042</v>
      </c>
      <c r="I33" s="197">
        <f>Data!E41</f>
        <v>-1473368004</v>
      </c>
      <c r="J33" s="197">
        <f>Data!F41</f>
        <v>-1692545246</v>
      </c>
      <c r="K33" s="197">
        <f>Data!G41</f>
        <v>-1678050722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-74312206.25</v>
      </c>
      <c r="D34" s="59"/>
      <c r="E34" s="306" t="s">
        <v>347</v>
      </c>
      <c r="F34" s="59"/>
      <c r="G34" s="186">
        <f>Data!C42</f>
        <v>-102766675</v>
      </c>
      <c r="H34" s="186">
        <f>Data!D42</f>
        <v>-100637006</v>
      </c>
      <c r="I34" s="186">
        <f>Data!E42</f>
        <v>-62954899</v>
      </c>
      <c r="J34" s="186">
        <f>Data!F42</f>
        <v>-30890245</v>
      </c>
      <c r="K34" s="186">
        <f>Data!G42</f>
        <v>-21467092</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-1597200974.5</v>
      </c>
      <c r="D35" s="59"/>
      <c r="E35" s="307"/>
      <c r="F35" s="59"/>
      <c r="G35" s="187">
        <f t="shared" ref="G35:Q35" si="14">IF(G4="","",G33+G34)</f>
        <v>-1509345456</v>
      </c>
      <c r="H35" s="187">
        <f t="shared" si="14"/>
        <v>-1619700048</v>
      </c>
      <c r="I35" s="187">
        <f t="shared" si="14"/>
        <v>-1536322903</v>
      </c>
      <c r="J35" s="187">
        <f t="shared" si="14"/>
        <v>-1723435491</v>
      </c>
      <c r="K35" s="187">
        <f t="shared" si="14"/>
        <v>-1699517814</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4.7437316881256138E-2</v>
      </c>
      <c r="D38" s="27"/>
      <c r="E38" s="30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30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4.9752109497447933E-2</v>
      </c>
      <c r="E40" s="30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0.29607119382542918</v>
      </c>
      <c r="H43" s="6">
        <f t="shared" si="18"/>
        <v>0.30718268857700515</v>
      </c>
      <c r="I43" s="6">
        <f t="shared" si="18"/>
        <v>0.31031697993104346</v>
      </c>
      <c r="J43" s="6">
        <f t="shared" si="18"/>
        <v>0.4040303186271107</v>
      </c>
      <c r="K43" s="6">
        <f t="shared" si="18"/>
        <v>0.36901498992541948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-21837054</v>
      </c>
      <c r="E47" s="308"/>
      <c r="G47" s="197">
        <f>Data!C51</f>
        <v>-21837054</v>
      </c>
      <c r="H47" s="197">
        <f>Data!D51</f>
        <v>-16430590</v>
      </c>
      <c r="I47" s="197">
        <f>Data!E51</f>
        <v>-9237800</v>
      </c>
      <c r="J47" s="197">
        <f>Data!F51</f>
        <v>-22685367</v>
      </c>
      <c r="K47" s="197">
        <f>Data!G51</f>
        <v>-13662682</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179630775.93084043</v>
      </c>
      <c r="E48" s="308"/>
      <c r="G48" s="334">
        <f>IF(G$4="","",($C$48/$C$49)*G49)</f>
        <v>179630775.93084043</v>
      </c>
      <c r="H48" s="334">
        <f t="shared" ref="H48:Q48" si="19">IF(H$4="","",($C$48/$C$49)*H49)</f>
        <v>147478861.41837943</v>
      </c>
      <c r="I48" s="334">
        <f t="shared" si="19"/>
        <v>133873598.39910661</v>
      </c>
      <c r="J48" s="334">
        <f t="shared" si="19"/>
        <v>91930606.208049491</v>
      </c>
      <c r="K48" s="334">
        <f t="shared" si="19"/>
        <v>152620286.02296314</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616771200</v>
      </c>
      <c r="D49" s="331"/>
      <c r="E49" s="332"/>
      <c r="F49" s="331"/>
      <c r="G49" s="330">
        <f>Data!C52</f>
        <v>616771200</v>
      </c>
      <c r="H49" s="330">
        <f>Data!D52</f>
        <v>506376003</v>
      </c>
      <c r="I49" s="330">
        <f>Data!E52</f>
        <v>459661656</v>
      </c>
      <c r="J49" s="330">
        <f>Data!F52</f>
        <v>315648307</v>
      </c>
      <c r="K49" s="330">
        <f>Data!G52</f>
        <v>524029340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157793721.93084043</v>
      </c>
      <c r="E50" s="308"/>
      <c r="G50" s="187">
        <f>IF(G$4="","",(G47+G48))</f>
        <v>157793721.93084043</v>
      </c>
      <c r="H50" s="187">
        <f t="shared" ref="H50:Q50" si="20">IF(H$4="","",(H47+H48))</f>
        <v>131048271.41837943</v>
      </c>
      <c r="I50" s="187">
        <f t="shared" si="20"/>
        <v>124635798.39910661</v>
      </c>
      <c r="J50" s="187">
        <f t="shared" si="20"/>
        <v>69245239.208049491</v>
      </c>
      <c r="K50" s="187">
        <f t="shared" si="20"/>
        <v>138957604.02296314</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3.430552260533988E-2</v>
      </c>
      <c r="E53" s="305" t="s">
        <v>349</v>
      </c>
      <c r="G53" s="6">
        <f>IF(Normalized_FCF!G4="","",Normalized_FCF!G49/BS!$C$66)</f>
        <v>3.430552260533988E-2</v>
      </c>
      <c r="H53" s="173"/>
      <c r="I53" s="173"/>
      <c r="J53" s="173"/>
      <c r="K53" s="173"/>
      <c r="L53" s="173"/>
      <c r="M53" s="173"/>
      <c r="N53" s="173"/>
      <c r="O53" s="173"/>
      <c r="P53" s="173"/>
      <c r="Q53" s="173"/>
    </row>
    <row r="54" spans="1:17" ht="15.75" customHeight="1" x14ac:dyDescent="0.35">
      <c r="A54" s="10"/>
      <c r="B54" s="8" t="s">
        <v>89</v>
      </c>
      <c r="C54" s="84">
        <f>G54</f>
        <v>7.6514823945754068E-2</v>
      </c>
      <c r="E54" s="305" t="s">
        <v>350</v>
      </c>
      <c r="G54" s="23">
        <f>IFERROR(ABS(Normalized_FCF!G47/BS!$G$31),0)</f>
        <v>7.6514823945754068E-2</v>
      </c>
      <c r="H54" s="173"/>
      <c r="I54" s="173"/>
      <c r="J54" s="173"/>
      <c r="K54" s="173"/>
      <c r="L54" s="173"/>
      <c r="M54" s="173"/>
      <c r="N54" s="173"/>
      <c r="O54" s="173"/>
      <c r="P54" s="173"/>
      <c r="Q54" s="173"/>
    </row>
    <row r="55" spans="1:17" ht="15.75" customHeight="1" x14ac:dyDescent="0.35">
      <c r="A55" s="10"/>
      <c r="B55" s="26" t="s">
        <v>92</v>
      </c>
      <c r="C55" s="42">
        <f>-C8/C47</f>
        <v>177.59117462949692</v>
      </c>
      <c r="E55" s="30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48272283</v>
      </c>
      <c r="H59" s="197">
        <f>Data!D55</f>
        <v>15798284</v>
      </c>
      <c r="I59" s="197">
        <f>Data!E55</f>
        <v>19873379</v>
      </c>
      <c r="J59" s="197">
        <f>Data!F55</f>
        <v>20561728</v>
      </c>
      <c r="K59" s="197">
        <f>Data!G55</f>
        <v>18098320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48272283</v>
      </c>
      <c r="H61" s="187">
        <f t="shared" si="22"/>
        <v>15798284</v>
      </c>
      <c r="I61" s="187">
        <f t="shared" si="22"/>
        <v>19873379</v>
      </c>
      <c r="J61" s="187">
        <f t="shared" si="22"/>
        <v>20561728</v>
      </c>
      <c r="K61" s="187">
        <f t="shared" si="22"/>
        <v>18098320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750493994</v>
      </c>
      <c r="H62" s="197">
        <f>Data!D58</f>
        <v>835794097</v>
      </c>
      <c r="I62" s="197">
        <f>Data!E58</f>
        <v>808764222</v>
      </c>
      <c r="J62" s="197">
        <f>Data!F58</f>
        <v>1228921525</v>
      </c>
      <c r="K62" s="197">
        <f>Data!G58</f>
        <v>395122794</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798766277</v>
      </c>
      <c r="H63" s="187">
        <f t="shared" si="23"/>
        <v>851592381</v>
      </c>
      <c r="I63" s="187">
        <f t="shared" si="23"/>
        <v>828637601</v>
      </c>
      <c r="J63" s="187">
        <f t="shared" si="23"/>
        <v>1249483253</v>
      </c>
      <c r="K63" s="187">
        <f t="shared" si="23"/>
        <v>413221114</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2.684959828973636E-3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0.82944777182437002</v>
      </c>
      <c r="D73" s="27"/>
      <c r="E73" s="30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0.17055222817562998</v>
      </c>
      <c r="D74" s="27"/>
      <c r="E74" s="305"/>
      <c r="F74" s="27"/>
      <c r="G74" s="66">
        <f t="shared" ref="G74:Q74" si="25">IF(G$4="","",ABS(G6/G$4))</f>
        <v>0.18660681235437004</v>
      </c>
      <c r="H74" s="66">
        <f t="shared" si="25"/>
        <v>0.17752465690073452</v>
      </c>
      <c r="I74" s="66">
        <f t="shared" si="25"/>
        <v>0.16360418369174734</v>
      </c>
      <c r="J74" s="66">
        <f t="shared" si="25"/>
        <v>0.15447325975566789</v>
      </c>
      <c r="K74" s="66">
        <f t="shared" si="25"/>
        <v>0.14465133937108349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4.9752109497447933E-2</v>
      </c>
      <c r="D75" s="27"/>
      <c r="E75" s="30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0.12080011867818204</v>
      </c>
      <c r="D76" s="27"/>
      <c r="E76" s="305"/>
      <c r="F76" s="27"/>
      <c r="G76" s="66">
        <f t="shared" ref="G76:Q76" si="27">IF(G$4="","",ABS(G8/G$4))</f>
        <v>0.13964205304153179</v>
      </c>
      <c r="H76" s="66">
        <f t="shared" si="27"/>
        <v>0.12979731428636648</v>
      </c>
      <c r="I76" s="66">
        <f t="shared" si="27"/>
        <v>0.11585012282459754</v>
      </c>
      <c r="J76" s="66">
        <f t="shared" si="27"/>
        <v>9.7343064182689051E-2</v>
      </c>
      <c r="K76" s="66">
        <f t="shared" si="27"/>
        <v>8.3428878570592363E-2</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3.7108652048024243E-2</v>
      </c>
      <c r="D77" s="27"/>
      <c r="E77" s="30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3.7108652048024243E-2</v>
      </c>
      <c r="D78" s="27"/>
      <c r="E78" s="306" t="s">
        <v>368</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1.5020392737553731E-3</v>
      </c>
      <c r="H79" s="66">
        <f t="shared" si="30"/>
        <v>4.655245359275862E-4</v>
      </c>
      <c r="I79" s="66">
        <f t="shared" si="30"/>
        <v>6.1773117392752727E-4</v>
      </c>
      <c r="J79" s="66">
        <f t="shared" si="30"/>
        <v>6.8160110900164538E-4</v>
      </c>
      <c r="K79" s="66">
        <f t="shared" si="30"/>
        <v>6.5196356144504907E-4</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4.9152051976243168E-3</v>
      </c>
      <c r="D80" s="27"/>
      <c r="E80" s="305"/>
      <c r="F80" s="27"/>
      <c r="G80" s="6">
        <f t="shared" ref="G80:Q80" si="31">IF(G$4="","",ABS(G12/G$4))</f>
        <v>4.9099059079546091E-3</v>
      </c>
      <c r="H80" s="6">
        <f t="shared" si="31"/>
        <v>3.8615703918320143E-3</v>
      </c>
      <c r="I80" s="6">
        <f t="shared" si="31"/>
        <v>3.8740980111371471E-3</v>
      </c>
      <c r="J80" s="6">
        <f t="shared" si="31"/>
        <v>2.2954117395819432E-3</v>
      </c>
      <c r="K80" s="6">
        <f t="shared" si="31"/>
        <v>5.0057295046546813E-3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0.12571532387580636</v>
      </c>
      <c r="D81" s="27"/>
      <c r="E81" s="305"/>
      <c r="F81" s="27"/>
      <c r="G81" s="66">
        <f t="shared" ref="G81:Q81" si="32">IF(G$4="","",G13/G$4)</f>
        <v>0.14605399822324178</v>
      </c>
      <c r="H81" s="66">
        <f t="shared" si="32"/>
        <v>0.13412440921412608</v>
      </c>
      <c r="I81" s="66">
        <f t="shared" si="32"/>
        <v>0.12034195200966222</v>
      </c>
      <c r="J81" s="66">
        <f t="shared" si="32"/>
        <v>0.10032007703127263</v>
      </c>
      <c r="K81" s="66">
        <f t="shared" si="32"/>
        <v>8.9086571636692091E-2</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3.142883096895159E-2</v>
      </c>
      <c r="D82" s="27"/>
      <c r="E82" s="30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4.5676023394546593E-3</v>
      </c>
      <c r="D83" s="27"/>
      <c r="E83" s="30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8.9718890567400122E-2</v>
      </c>
      <c r="D84" s="27"/>
      <c r="E84" s="305"/>
      <c r="F84" s="27"/>
      <c r="G84" s="66">
        <f t="shared" ref="G84:Q84" si="35">IF(G$4="","",ABS(G16/G$4))</f>
        <v>9.8244014266854821E-2</v>
      </c>
      <c r="H84" s="66">
        <f t="shared" si="35"/>
        <v>9.0556130068846996E-2</v>
      </c>
      <c r="I84" s="66">
        <f t="shared" si="35"/>
        <v>8.007307892648384E-2</v>
      </c>
      <c r="J84" s="66">
        <f t="shared" si="35"/>
        <v>5.6446699043125173E-2</v>
      </c>
      <c r="K84" s="66">
        <f t="shared" si="35"/>
        <v>5.168611848472543E-2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8.9718890567400122E-2</v>
      </c>
      <c r="D87" s="77"/>
      <c r="E87" s="305"/>
      <c r="F87" s="77"/>
      <c r="G87" s="66">
        <f t="shared" ref="G87:Q87" si="36">IF(G$4="","",ABS(G19/G$4))</f>
        <v>9.8244014266854821E-2</v>
      </c>
      <c r="H87" s="66">
        <f t="shared" si="36"/>
        <v>9.0556130068846996E-2</v>
      </c>
      <c r="I87" s="66">
        <f t="shared" si="36"/>
        <v>8.007307892648384E-2</v>
      </c>
      <c r="J87" s="66">
        <f t="shared" si="36"/>
        <v>5.6446699043125173E-2</v>
      </c>
      <c r="K87" s="66">
        <f t="shared" si="36"/>
        <v>5.168611848472543E-2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2.339927674962774</v>
      </c>
      <c r="E90" s="308"/>
      <c r="G90" s="116">
        <f>Data!C65</f>
        <v>2.339927674962774</v>
      </c>
      <c r="H90" s="116">
        <f>Data!D65</f>
        <v>2.1272069772388851</v>
      </c>
      <c r="I90" s="116">
        <f>Data!E65</f>
        <v>1.3826845352052755</v>
      </c>
      <c r="J90" s="116">
        <f>Data!F65</f>
        <v>1.169963837481387</v>
      </c>
      <c r="K90" s="116">
        <f>Data!G65</f>
        <v>0.79770261646458196</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3192121818.3365245</v>
      </c>
      <c r="E91" s="308"/>
      <c r="G91" s="76">
        <f t="shared" ref="G91:Q91" si="37">IF(G$4="","",G90*Common_Shares/$C$3)</f>
        <v>3192121818.3365245</v>
      </c>
      <c r="H91" s="76">
        <f t="shared" si="37"/>
        <v>2901928925.7604761</v>
      </c>
      <c r="I91" s="76">
        <f t="shared" si="37"/>
        <v>1886253801.7443097</v>
      </c>
      <c r="J91" s="76">
        <f t="shared" si="37"/>
        <v>1596060909.1682622</v>
      </c>
      <c r="K91" s="76">
        <f t="shared" si="37"/>
        <v>1088223347.1601787</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1.1082748939094522</v>
      </c>
      <c r="E92" s="308"/>
      <c r="G92" s="174">
        <f t="shared" ref="G92:Q92" si="38">IF(G$4="","",G90/(G19*$C$3/Common_Shares))</f>
        <v>1.011013154884258</v>
      </c>
      <c r="H92" s="174">
        <f t="shared" si="38"/>
        <v>0.94428170601932959</v>
      </c>
      <c r="I92" s="174">
        <f t="shared" si="38"/>
        <v>0.73221969082717786</v>
      </c>
      <c r="J92" s="174">
        <f t="shared" si="38"/>
        <v>0.93730641571744067</v>
      </c>
      <c r="K92" s="174">
        <f t="shared" si="38"/>
        <v>0.75845388642485956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4.2738405022151121E-2</v>
      </c>
      <c r="E93" s="308"/>
      <c r="G93" s="23">
        <f t="shared" ref="G93:Q93" si="39">IF(G$4="","",G90/Market_Price)</f>
        <v>4.2738405022151121E-2</v>
      </c>
      <c r="H93" s="23">
        <f t="shared" si="39"/>
        <v>3.8853095474682832E-2</v>
      </c>
      <c r="I93" s="23">
        <f t="shared" si="39"/>
        <v>2.5254512058543843E-2</v>
      </c>
      <c r="J93" s="23">
        <f t="shared" si="39"/>
        <v>2.1369202511075561E-2</v>
      </c>
      <c r="K93" s="23">
        <f t="shared" si="39"/>
        <v>1.4569910803006063E-2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-1.0781421032572958E-3</v>
      </c>
      <c r="D96" s="27"/>
      <c r="E96" s="30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-0.14018249127172799</v>
      </c>
      <c r="D97" s="27"/>
      <c r="E97" s="305"/>
      <c r="F97" s="27"/>
      <c r="G97" s="6">
        <f t="shared" ref="G97:Q97" si="41">IF(H5="","",G13/H13-1)</f>
        <v>3.1228335979663457E-2</v>
      </c>
      <c r="H97" s="6">
        <f t="shared" si="41"/>
        <v>0.17567129566055018</v>
      </c>
      <c r="I97" s="6">
        <f t="shared" si="41"/>
        <v>0.27929902706787413</v>
      </c>
      <c r="J97" s="6">
        <f t="shared" si="41"/>
        <v>0.22374235869732617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51420385832</v>
      </c>
      <c r="D101" s="26"/>
      <c r="E101" s="309"/>
      <c r="F101" s="26"/>
      <c r="G101" s="186">
        <f t="shared" ref="G101:Q101" si="42">IF(G$4="","",G105+G104)</f>
        <v>51420385832</v>
      </c>
      <c r="H101" s="186">
        <f t="shared" si="42"/>
        <v>49256011349</v>
      </c>
      <c r="I101" s="186">
        <f t="shared" si="42"/>
        <v>50311699796</v>
      </c>
      <c r="J101" s="186">
        <f t="shared" si="42"/>
        <v>46563004491</v>
      </c>
      <c r="K101" s="186">
        <f t="shared" si="42"/>
        <v>41514185835</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185704725</v>
      </c>
      <c r="D102" s="91"/>
      <c r="E102" s="310"/>
      <c r="F102" s="91"/>
      <c r="G102" s="188">
        <f>IF(G$4="","",Data!D77)</f>
        <v>100391321</v>
      </c>
      <c r="H102" s="188">
        <f>IF(H$4="","",Data!E77)</f>
        <v>124099728</v>
      </c>
      <c r="I102" s="188">
        <f>IF(I$4="","",Data!F77)</f>
        <v>124929816</v>
      </c>
      <c r="J102" s="188">
        <f>IF(J$4="","",Data!G77)</f>
        <v>125155008</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3576387537</v>
      </c>
      <c r="D103" s="91"/>
      <c r="E103" s="310"/>
      <c r="F103" s="91"/>
      <c r="G103" s="188">
        <f>IF(G$4="","",Data!D78)</f>
        <v>3539828305</v>
      </c>
      <c r="H103" s="188">
        <f>IF(H$4="","",Data!E78)</f>
        <v>4152187132</v>
      </c>
      <c r="I103" s="188">
        <f>IF(I$4="","",Data!F78)</f>
        <v>3492997857</v>
      </c>
      <c r="J103" s="188">
        <f>IF(J$4="","",Data!G78)</f>
        <v>3281033526</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21560843821</v>
      </c>
      <c r="D104" s="26"/>
      <c r="E104" s="309"/>
      <c r="F104" s="26"/>
      <c r="G104" s="186">
        <f>Data!C79</f>
        <v>21560843821</v>
      </c>
      <c r="H104" s="186">
        <f>Data!D79</f>
        <v>21001264174</v>
      </c>
      <c r="I104" s="186">
        <f>Data!E79</f>
        <v>24039387261</v>
      </c>
      <c r="J104" s="186">
        <f>Data!F79</f>
        <v>22769313149</v>
      </c>
      <c r="K104" s="186">
        <f>Data!G79</f>
        <v>20146133669</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29859542011</v>
      </c>
      <c r="D105" s="26"/>
      <c r="E105" s="309"/>
      <c r="F105" s="26"/>
      <c r="G105" s="186">
        <f>Data!C80</f>
        <v>29859542011</v>
      </c>
      <c r="H105" s="186">
        <f>Data!D80</f>
        <v>28254747175</v>
      </c>
      <c r="I105" s="186">
        <f>Data!E80</f>
        <v>26272312535</v>
      </c>
      <c r="J105" s="186">
        <f>Data!F80</f>
        <v>23793691342</v>
      </c>
      <c r="K105" s="186">
        <f>Data!G80</f>
        <v>21368052166</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5.7846206957679613E-3</v>
      </c>
      <c r="D108" s="26"/>
      <c r="E108" s="309"/>
      <c r="F108" s="26"/>
      <c r="G108" s="97">
        <f t="shared" ref="G108:Q108" si="43">IF(G$4="","",G102/G$4)</f>
        <v>3.1237740897024184E-3</v>
      </c>
      <c r="H108" s="97">
        <f t="shared" si="43"/>
        <v>3.6568192017525239E-3</v>
      </c>
      <c r="I108" s="97">
        <f t="shared" si="43"/>
        <v>3.8832370628180527E-3</v>
      </c>
      <c r="J108" s="97">
        <f t="shared" si="43"/>
        <v>4.1487657190052221E-3</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0.11140290244427979</v>
      </c>
      <c r="D109" s="26"/>
      <c r="E109" s="309"/>
      <c r="F109" s="26"/>
      <c r="G109" s="97">
        <f t="shared" ref="G109:Q109" si="44">IF(G$4="","",G103/G$4)</f>
        <v>0.11014521804284486</v>
      </c>
      <c r="H109" s="97">
        <f t="shared" si="44"/>
        <v>0.12235157867201242</v>
      </c>
      <c r="I109" s="97">
        <f t="shared" si="44"/>
        <v>0.10857407121008193</v>
      </c>
      <c r="J109" s="97">
        <f t="shared" si="44"/>
        <v>0.10876304219145293</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409</v>
      </c>
      <c r="C113" s="173"/>
      <c r="E113" s="308"/>
      <c r="G113" s="340">
        <f>IF(G$4="","",Data!C$22/Data!C15)</f>
        <v>1.1475773379531717</v>
      </c>
      <c r="H113" s="340">
        <f>IF(H$4="","",Data!D$22/Data!D15)</f>
        <v>0.63878566471951048</v>
      </c>
      <c r="I113" s="340">
        <f>IF(I$4="","",Data!E$22/Data!E15)</f>
        <v>1.2822939471944179</v>
      </c>
      <c r="J113" s="340">
        <f>IF(J$4="","",Data!F$22/Data!F15)</f>
        <v>1.8558534606930408</v>
      </c>
      <c r="K113" s="340">
        <f>IF(K$4="","",Data!G$22/Data!G15)</f>
        <v>2.1287016617311294</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410</v>
      </c>
      <c r="C114" s="173"/>
      <c r="E114" s="308"/>
      <c r="G114" s="340">
        <f>IF(G$4="","",Data!C$22/G19)</f>
        <v>1.6325912700093497</v>
      </c>
      <c r="H114" s="340">
        <f>IF(H$4="","",Data!D$22/H19)</f>
        <v>0.90381463662315598</v>
      </c>
      <c r="I114" s="340">
        <f>IF(I$4="","",Data!E$22/I19)</f>
        <v>1.8938768609546783</v>
      </c>
      <c r="J114" s="340">
        <f>IF(J$4="","",Data!F$22/J19)</f>
        <v>3.5488915899950242</v>
      </c>
      <c r="K114" s="340">
        <f>IF(K$4="","",Data!G$22/K19)</f>
        <v>3.4523633878714355</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0.12571532387580636</v>
      </c>
      <c r="E117" s="308"/>
      <c r="G117" s="23">
        <f t="shared" ref="G117:Q117" si="45">G81</f>
        <v>0.14605399822324178</v>
      </c>
      <c r="H117" s="23">
        <f t="shared" si="45"/>
        <v>0.13412440921412608</v>
      </c>
      <c r="I117" s="23">
        <f t="shared" si="45"/>
        <v>0.12034195200966222</v>
      </c>
      <c r="J117" s="23">
        <f t="shared" si="45"/>
        <v>0.10032007703127263</v>
      </c>
      <c r="K117" s="23">
        <f t="shared" si="45"/>
        <v>8.9086571636692091E-2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1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0.1298770111369795</v>
      </c>
      <c r="D120" s="106"/>
      <c r="E120" s="311"/>
      <c r="F120" s="106"/>
      <c r="G120" s="105">
        <f t="shared" ref="G120:Q120" si="48">IF(G$4="","",G8/G105)</f>
        <v>0.15029676528014849</v>
      </c>
      <c r="H120" s="105">
        <f t="shared" si="48"/>
        <v>0.15589838694070707</v>
      </c>
      <c r="I120" s="105">
        <f t="shared" si="48"/>
        <v>0.14186340939857428</v>
      </c>
      <c r="J120" s="105">
        <f t="shared" si="48"/>
        <v>0.12341629677344412</v>
      </c>
      <c r="K120" s="105">
        <f t="shared" si="48"/>
        <v>0.10838430821902739</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1.9850670732416174</v>
      </c>
      <c r="D124" s="27"/>
      <c r="E124" s="305"/>
      <c r="F124" s="27"/>
      <c r="G124" s="181">
        <f t="shared" ref="G124:Q124" si="49">IF(G$4="","",G16*$C$3/Common_Shares*Exchange_Rate)</f>
        <v>2.1760349896256876</v>
      </c>
      <c r="H124" s="181">
        <f t="shared" si="49"/>
        <v>2.1180120161716438</v>
      </c>
      <c r="I124" s="181">
        <f t="shared" si="49"/>
        <v>1.7754234368259192</v>
      </c>
      <c r="J124" s="181">
        <f t="shared" si="49"/>
        <v>1.1735756648566511</v>
      </c>
      <c r="K124" s="181">
        <f t="shared" si="49"/>
        <v>0.98885378982668426</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3.6256932844595753E-2</v>
      </c>
      <c r="D125" s="27"/>
      <c r="E125" s="305"/>
      <c r="F125" s="27"/>
      <c r="G125" s="79">
        <f t="shared" ref="G125" si="50">IF(G$4="","",G124/Market_Price)</f>
        <v>3.974493131736416E-2</v>
      </c>
      <c r="H125" s="79">
        <f t="shared" ref="H125" si="51">IF(H$4="","",H124/Market_Price)</f>
        <v>3.8685150980303999E-2</v>
      </c>
      <c r="I125" s="79">
        <f t="shared" ref="I125" si="52">IF(I$4="","",I124/Market_Price)</f>
        <v>3.2427825330153773E-2</v>
      </c>
      <c r="J125" s="79">
        <f t="shared" ref="J125" si="53">IF(J$4="","",J124/Market_Price)</f>
        <v>2.1435171960852074E-2</v>
      </c>
      <c r="K125" s="79">
        <f t="shared" ref="K125" si="54">IF(K$4="","",K124/Market_Price)</f>
        <v>1.8061256435190579E-2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414</v>
      </c>
      <c r="C126" s="173"/>
      <c r="G126" s="23">
        <f>IF(G$4="","",(Data!C47*$C$3)/(Market_Price*Common_Shares))</f>
        <v>6.0139111913768903E-2</v>
      </c>
      <c r="H126" s="23">
        <f>IF(H$4="","",(Data!D47*$C$3)/(Market_Price*Common_Shares))</f>
        <v>5.8216790369120662E-2</v>
      </c>
      <c r="I126" s="23">
        <f>IF(I$4="","",(Data!E47*$C$3)/(Market_Price*Common_Shares))</f>
        <v>5.0940326459088407E-2</v>
      </c>
      <c r="J126" s="23">
        <f>IF(J$4="","",(Data!F47*$C$3)/(Market_Price*Common_Shares))</f>
        <v>4.359691681173973E-2</v>
      </c>
      <c r="K126" s="23">
        <f>IF(K$4="","",(Data!G47*$C$3)/(Market_Price*Common_Shares))</f>
        <v>3.1155119046749533E-2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v>
      </c>
      <c r="E3" s="112" t="s">
        <v>126</v>
      </c>
      <c r="H3" s="124"/>
    </row>
    <row r="4" spans="2:8" x14ac:dyDescent="0.35">
      <c r="B4" s="103" t="s">
        <v>130</v>
      </c>
      <c r="C4" s="113">
        <f>Normalized_FCF!C19</f>
        <v>2880261779.7072697</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36003272246.340874</v>
      </c>
      <c r="D6" t="str">
        <f>Reporting_currency</f>
        <v>CNY</v>
      </c>
      <c r="E6" s="349" t="s">
        <v>251</v>
      </c>
      <c r="F6" s="349"/>
      <c r="H6" s="124"/>
    </row>
    <row r="7" spans="2:8" x14ac:dyDescent="0.35">
      <c r="B7" s="152" t="s">
        <v>226</v>
      </c>
      <c r="C7" s="232">
        <f>BS!G31</f>
        <v>285396383</v>
      </c>
      <c r="D7" t="str">
        <f>Reporting_currency</f>
        <v>CNY</v>
      </c>
      <c r="E7" s="349"/>
      <c r="F7" s="349"/>
      <c r="H7" s="124"/>
    </row>
    <row r="8" spans="2:8" x14ac:dyDescent="0.35">
      <c r="B8" s="152" t="s">
        <v>227</v>
      </c>
      <c r="C8" s="207">
        <f>BS!D66</f>
        <v>12742567110.786873</v>
      </c>
      <c r="D8" t="str">
        <f>Reporting_currency</f>
        <v>CNY</v>
      </c>
      <c r="E8" s="349"/>
      <c r="F8" s="349"/>
      <c r="H8" s="124"/>
    </row>
    <row r="9" spans="2:8" x14ac:dyDescent="0.35">
      <c r="B9" s="233" t="s">
        <v>192</v>
      </c>
      <c r="C9" s="235">
        <f>BS!H42</f>
        <v>2755411575.5</v>
      </c>
      <c r="D9" t="str">
        <f>Reporting_currency</f>
        <v>CNY</v>
      </c>
      <c r="E9" s="349"/>
      <c r="F9" s="349"/>
      <c r="H9" s="124"/>
    </row>
    <row r="10" spans="2:8" ht="13.15" x14ac:dyDescent="0.4">
      <c r="B10" s="153" t="s">
        <v>229</v>
      </c>
      <c r="C10" s="238">
        <f>C6-C7+C8+C9</f>
        <v>51215854549.627747</v>
      </c>
      <c r="D10" t="str">
        <f>Reporting_currency</f>
        <v>CNY</v>
      </c>
      <c r="H10" s="124"/>
    </row>
    <row r="11" spans="2:8" ht="13.15" thickBot="1" x14ac:dyDescent="0.4">
      <c r="B11" s="236" t="s">
        <v>168</v>
      </c>
      <c r="C11" s="237">
        <f>Exchange_Rate</f>
        <v>0.94020000000000004</v>
      </c>
      <c r="D11" t="str">
        <f>Thesis!D17</f>
        <v>CNY/HKD</v>
      </c>
      <c r="H11" s="124"/>
    </row>
    <row r="12" spans="2:8" ht="13.5" thickTop="1" x14ac:dyDescent="0.4">
      <c r="B12" s="153" t="s">
        <v>104</v>
      </c>
      <c r="C12" s="115">
        <f>(C10*C3)/Common_Shares*C11</f>
        <v>35.297800780014747</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4.6574870890079501E-2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39.279947779882377</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3014409600.2267666</v>
      </c>
      <c r="D21" s="142">
        <f>IF($C$17&lt;B21,0,Valuation_Model!$C$16)</f>
        <v>4.6574870890079501E-2</v>
      </c>
      <c r="E21" s="128">
        <f t="shared" ref="E21:E50" si="0">IF($C$17&lt;B21,0,1/(1+Equity_Cost)^B21)</f>
        <v>0.92592592592592582</v>
      </c>
      <c r="F21" s="129">
        <f t="shared" ref="F21:F51" si="1">C21*E21</f>
        <v>2791120000.2099686</v>
      </c>
      <c r="H21" s="124"/>
    </row>
    <row r="22" spans="2:8" x14ac:dyDescent="0.35">
      <c r="B22" s="126">
        <v>2</v>
      </c>
      <c r="C22" s="127">
        <f t="shared" ref="C22:C50" si="2">IF(ROW()-ROW($C$21)&lt;$C$17, $C$21*(1+D22)^(ROW()-ROW($C$21)), 0)</f>
        <v>3154805338.1671443</v>
      </c>
      <c r="D22" s="142">
        <f>IF($C$17&lt;B22,0,Valuation_Model!$C$16)</f>
        <v>4.6574870890079501E-2</v>
      </c>
      <c r="E22" s="128">
        <f t="shared" si="0"/>
        <v>0.85733882030178321</v>
      </c>
      <c r="F22" s="129">
        <f t="shared" si="1"/>
        <v>2704737086.9059877</v>
      </c>
      <c r="H22" s="124"/>
    </row>
    <row r="23" spans="2:8" x14ac:dyDescent="0.35">
      <c r="B23" s="126">
        <v>3</v>
      </c>
      <c r="C23" s="127">
        <f t="shared" si="2"/>
        <v>3301739989.4756131</v>
      </c>
      <c r="D23" s="142">
        <f>IF($C$17&lt;B23,0,Valuation_Model!$C$16)</f>
        <v>4.6574870890079501E-2</v>
      </c>
      <c r="E23" s="128">
        <f t="shared" si="0"/>
        <v>0.79383224102016958</v>
      </c>
      <c r="F23" s="129">
        <f t="shared" si="1"/>
        <v>2621027655.1113372</v>
      </c>
      <c r="H23" s="124"/>
    </row>
    <row r="24" spans="2:8" x14ac:dyDescent="0.35">
      <c r="B24" s="126">
        <v>4</v>
      </c>
      <c r="C24" s="127">
        <f t="shared" si="2"/>
        <v>3455518103.1980524</v>
      </c>
      <c r="D24" s="142">
        <f>IF($C$17&lt;B24,0,Valuation_Model!$C$16)</f>
        <v>4.6574870890079501E-2</v>
      </c>
      <c r="E24" s="128">
        <f t="shared" si="0"/>
        <v>0.73502985279645328</v>
      </c>
      <c r="F24" s="129">
        <f t="shared" si="1"/>
        <v>2539908962.7291441</v>
      </c>
      <c r="H24" s="124"/>
    </row>
    <row r="25" spans="2:8" x14ac:dyDescent="0.35">
      <c r="B25" s="126">
        <v>5</v>
      </c>
      <c r="C25" s="127">
        <f t="shared" si="2"/>
        <v>3616458412.7128344</v>
      </c>
      <c r="D25" s="142">
        <f>IF($C$17&lt;B25,0,Valuation_Model!$C$16)</f>
        <v>4.6574870890079501E-2</v>
      </c>
      <c r="E25" s="128">
        <f t="shared" si="0"/>
        <v>0.68058319703375303</v>
      </c>
      <c r="F25" s="129">
        <f t="shared" si="1"/>
        <v>2461300828.4637127</v>
      </c>
      <c r="H25" s="124"/>
    </row>
    <row r="26" spans="2:8" x14ac:dyDescent="0.35">
      <c r="B26" s="126">
        <v>6</v>
      </c>
      <c r="C26" s="127">
        <f t="shared" si="2"/>
        <v>3784894496.3642764</v>
      </c>
      <c r="D26" s="142">
        <f>IF($C$17&lt;B26,0,Valuation_Model!$C$16)</f>
        <v>4.6574870890079501E-2</v>
      </c>
      <c r="E26" s="128">
        <f t="shared" si="0"/>
        <v>0.63016962688310452</v>
      </c>
      <c r="F26" s="129">
        <f t="shared" si="1"/>
        <v>2385125552.5657921</v>
      </c>
      <c r="H26" s="124"/>
    </row>
    <row r="27" spans="2:8" x14ac:dyDescent="0.35">
      <c r="B27" s="126">
        <v>7</v>
      </c>
      <c r="C27" s="127">
        <f t="shared" si="2"/>
        <v>3961175468.8650155</v>
      </c>
      <c r="D27" s="142">
        <f>IF($C$17&lt;B27,0,Valuation_Model!$C$16)</f>
        <v>4.6574870890079501E-2</v>
      </c>
      <c r="E27" s="128">
        <f t="shared" si="0"/>
        <v>0.58349039526213387</v>
      </c>
      <c r="F27" s="129">
        <f t="shared" si="1"/>
        <v>2311307840.0307164</v>
      </c>
      <c r="H27" s="124"/>
    </row>
    <row r="28" spans="2:8" x14ac:dyDescent="0.35">
      <c r="B28" s="126">
        <v>8</v>
      </c>
      <c r="C28" s="127">
        <f t="shared" si="2"/>
        <v>4145666704.9003539</v>
      </c>
      <c r="D28" s="142">
        <f>IF($C$17&lt;B28,0,Valuation_Model!$C$16)</f>
        <v>4.6574870890079501E-2</v>
      </c>
      <c r="E28" s="128">
        <f t="shared" si="0"/>
        <v>0.54026888450197574</v>
      </c>
      <c r="F28" s="129">
        <f t="shared" si="1"/>
        <v>2239774726.1734958</v>
      </c>
      <c r="H28" s="124"/>
    </row>
    <row r="29" spans="2:8" x14ac:dyDescent="0.35">
      <c r="B29" s="126">
        <v>9</v>
      </c>
      <c r="C29" s="127">
        <f t="shared" si="2"/>
        <v>4338750596.4343901</v>
      </c>
      <c r="D29" s="142">
        <f>IF($C$17&lt;B29,0,Valuation_Model!$C$16)</f>
        <v>4.6574870890079501E-2</v>
      </c>
      <c r="E29" s="128">
        <f t="shared" si="0"/>
        <v>0.50024896713145905</v>
      </c>
      <c r="F29" s="129">
        <f t="shared" si="1"/>
        <v>2170455504.5073056</v>
      </c>
      <c r="H29" s="124"/>
    </row>
    <row r="30" spans="2:8" x14ac:dyDescent="0.35">
      <c r="B30" s="126">
        <v>10</v>
      </c>
      <c r="C30" s="127">
        <f t="shared" si="2"/>
        <v>4540827345.2875767</v>
      </c>
      <c r="D30" s="142">
        <f>IF($C$17&lt;B30,0,Valuation_Model!$C$16)</f>
        <v>4.6574870890079501E-2</v>
      </c>
      <c r="E30" s="128">
        <f t="shared" si="0"/>
        <v>0.46319348808468425</v>
      </c>
      <c r="F30" s="129">
        <f t="shared" si="1"/>
        <v>2103281656.8540695</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37680120002.834579</v>
      </c>
      <c r="D51" s="143">
        <f>Terminal_Growth</f>
        <v>0</v>
      </c>
      <c r="E51" s="128">
        <f>1/(1+Equity_Cost)^C17</f>
        <v>0.46319348808468425</v>
      </c>
      <c r="F51" s="129">
        <f t="shared" si="1"/>
        <v>17453186215.562431</v>
      </c>
      <c r="H51" s="124"/>
    </row>
    <row r="52" spans="1:8" x14ac:dyDescent="0.35">
      <c r="C52" s="118"/>
      <c r="E52" s="131" t="s">
        <v>102</v>
      </c>
      <c r="F52" s="141">
        <f>SUM(F21:F51)</f>
        <v>41781226029.11396</v>
      </c>
      <c r="H52" s="124"/>
    </row>
    <row r="53" spans="1:8" x14ac:dyDescent="0.35">
      <c r="C53" s="118"/>
      <c r="H53" s="124"/>
    </row>
    <row r="54" spans="1:8" ht="13.15" x14ac:dyDescent="0.35">
      <c r="B54" s="123" t="s">
        <v>131</v>
      </c>
      <c r="C54" s="140"/>
      <c r="D54" s="140"/>
      <c r="E54" s="121"/>
      <c r="F54" s="121"/>
      <c r="H54" s="124"/>
    </row>
    <row r="55" spans="1:8" ht="13.15" x14ac:dyDescent="0.4">
      <c r="A55" s="137">
        <f>F52</f>
        <v>41781226029.11396</v>
      </c>
      <c r="B55" s="135">
        <f>C78</f>
        <v>0</v>
      </c>
      <c r="C55" s="135">
        <f>C77</f>
        <v>0.02</v>
      </c>
      <c r="D55" s="135">
        <f>C76</f>
        <v>0.04</v>
      </c>
      <c r="E55" s="135">
        <f>C75</f>
        <v>0.06</v>
      </c>
      <c r="F55" s="135">
        <f>C74</f>
        <v>0.1</v>
      </c>
      <c r="H55" s="124"/>
    </row>
    <row r="56" spans="1:8" ht="13.15" x14ac:dyDescent="0.4">
      <c r="A56" s="147">
        <v>5</v>
      </c>
      <c r="B56" s="127">
        <f t="dataTable" ref="B56:F61" dt2D="1" dtr="1" r1="C16" r2="C17"/>
        <v>36003272246.340866</v>
      </c>
      <c r="C56" s="127">
        <v>37164926276.482529</v>
      </c>
      <c r="D56" s="127">
        <v>38361371337.901474</v>
      </c>
      <c r="E56" s="127">
        <v>39594134173.441559</v>
      </c>
      <c r="F56" s="127">
        <v>42174957251.040771</v>
      </c>
      <c r="H56" s="124"/>
    </row>
    <row r="57" spans="1:8" ht="13.15" x14ac:dyDescent="0.4">
      <c r="A57" s="147">
        <v>10</v>
      </c>
      <c r="B57" s="127">
        <v>36003272246.340858</v>
      </c>
      <c r="C57" s="127">
        <v>38327650006.415695</v>
      </c>
      <c r="D57" s="127">
        <v>40884993352.983871</v>
      </c>
      <c r="E57" s="127">
        <v>43703183161.819977</v>
      </c>
      <c r="F57" s="127">
        <v>50249520558.23806</v>
      </c>
      <c r="H57" s="124"/>
    </row>
    <row r="58" spans="1:8" ht="13.15" x14ac:dyDescent="0.4">
      <c r="A58" s="147">
        <v>15</v>
      </c>
      <c r="B58" s="127">
        <v>36003272246.340858</v>
      </c>
      <c r="C58" s="127">
        <v>39766843015.28804</v>
      </c>
      <c r="D58" s="127">
        <v>44174854683.123947</v>
      </c>
      <c r="E58" s="127">
        <v>49355338577.140076</v>
      </c>
      <c r="F58" s="127">
        <v>62677173149.138901</v>
      </c>
      <c r="H58" s="124"/>
    </row>
    <row r="59" spans="1:8" ht="13.15" x14ac:dyDescent="0.4">
      <c r="A59" s="148">
        <v>20</v>
      </c>
      <c r="B59" s="127">
        <v>36003272246.340858</v>
      </c>
      <c r="C59" s="127">
        <v>41233149891.481445</v>
      </c>
      <c r="D59" s="127">
        <v>47715818149.870476</v>
      </c>
      <c r="E59" s="127">
        <v>55802911570.760323</v>
      </c>
      <c r="F59" s="127">
        <v>78733556730.096573</v>
      </c>
      <c r="H59" s="124"/>
    </row>
    <row r="60" spans="1:8" ht="13.15" x14ac:dyDescent="0.4">
      <c r="A60" s="148">
        <v>25</v>
      </c>
      <c r="B60" s="127">
        <v>36003272246.340858</v>
      </c>
      <c r="C60" s="127">
        <v>42596896651.723969</v>
      </c>
      <c r="D60" s="127">
        <v>51203787625.648758</v>
      </c>
      <c r="E60" s="127">
        <v>62559772030.275948</v>
      </c>
      <c r="F60" s="127">
        <v>97989687322.006714</v>
      </c>
      <c r="H60" s="124"/>
    </row>
    <row r="61" spans="1:8" ht="13.15" x14ac:dyDescent="0.4">
      <c r="A61" s="148">
        <v>30</v>
      </c>
      <c r="B61" s="127">
        <v>36003272246.340851</v>
      </c>
      <c r="C61" s="127">
        <v>43799911002.586906</v>
      </c>
      <c r="D61" s="127">
        <v>54470301950.884308</v>
      </c>
      <c r="E61" s="127">
        <v>69315773825.086578</v>
      </c>
      <c r="F61" s="127">
        <v>120223757450.11841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v>
      </c>
      <c r="C64" s="136">
        <f>C55</f>
        <v>0.02</v>
      </c>
      <c r="D64" s="136">
        <f>D55</f>
        <v>0.04</v>
      </c>
      <c r="E64" s="136">
        <f>E55</f>
        <v>0.06</v>
      </c>
      <c r="F64" s="136">
        <f>F55</f>
        <v>0.1</v>
      </c>
      <c r="H64" s="124"/>
    </row>
    <row r="65" spans="1:8" ht="13.15" x14ac:dyDescent="0.4">
      <c r="A65" s="147">
        <v>0</v>
      </c>
      <c r="B65" s="128">
        <f>C12</f>
        <v>35.297800780014747</v>
      </c>
      <c r="C65" s="128">
        <f>C12</f>
        <v>35.297800780014747</v>
      </c>
      <c r="D65" s="128">
        <f>C12</f>
        <v>35.297800780014747</v>
      </c>
      <c r="E65" s="145">
        <f>C12</f>
        <v>35.297800780014747</v>
      </c>
      <c r="F65" s="128">
        <f>C12</f>
        <v>35.297800780014747</v>
      </c>
      <c r="H65" s="124"/>
    </row>
    <row r="66" spans="1:8" ht="13.15" x14ac:dyDescent="0.4">
      <c r="A66" s="147">
        <f t="shared" ref="A66:A71" si="3">A56</f>
        <v>5</v>
      </c>
      <c r="B66" s="128">
        <f t="shared" ref="B66:F71" si="4">(B56-$C$7+$C$8+$C$9)/Common_Shares*$C$3*Exchange_Rate</f>
        <v>35.29780078001474</v>
      </c>
      <c r="C66" s="128">
        <f t="shared" si="4"/>
        <v>36.098408968471482</v>
      </c>
      <c r="D66" s="128">
        <f t="shared" si="4"/>
        <v>36.922995022801132</v>
      </c>
      <c r="E66" s="128">
        <f t="shared" si="4"/>
        <v>37.772611169217967</v>
      </c>
      <c r="F66" s="128">
        <f t="shared" si="4"/>
        <v>39.551306060529186</v>
      </c>
      <c r="H66" s="124"/>
    </row>
    <row r="67" spans="1:8" ht="13.15" x14ac:dyDescent="0.4">
      <c r="A67" s="147">
        <f t="shared" si="3"/>
        <v>10</v>
      </c>
      <c r="B67" s="128">
        <f t="shared" si="4"/>
        <v>35.297800780014732</v>
      </c>
      <c r="C67" s="128">
        <f t="shared" si="4"/>
        <v>36.899754390553774</v>
      </c>
      <c r="D67" s="128">
        <f t="shared" si="4"/>
        <v>38.662267127421032</v>
      </c>
      <c r="E67" s="128">
        <f t="shared" si="4"/>
        <v>40.604554399737722</v>
      </c>
      <c r="F67" s="128">
        <f t="shared" si="4"/>
        <v>45.1162688930226</v>
      </c>
      <c r="H67" s="124"/>
    </row>
    <row r="68" spans="1:8" ht="13.15" x14ac:dyDescent="0.4">
      <c r="A68" s="147">
        <f t="shared" si="3"/>
        <v>15</v>
      </c>
      <c r="B68" s="128">
        <f t="shared" si="4"/>
        <v>35.297800780014732</v>
      </c>
      <c r="C68" s="128">
        <f t="shared" si="4"/>
        <v>37.891641542645338</v>
      </c>
      <c r="D68" s="128">
        <f t="shared" si="4"/>
        <v>40.929628881829224</v>
      </c>
      <c r="E68" s="128">
        <f t="shared" si="4"/>
        <v>44.500001572923672</v>
      </c>
      <c r="F68" s="128">
        <f t="shared" si="4"/>
        <v>53.68136673575772</v>
      </c>
      <c r="H68" s="124"/>
    </row>
    <row r="69" spans="1:8" ht="13.15" x14ac:dyDescent="0.4">
      <c r="A69" s="148">
        <f t="shared" si="3"/>
        <v>20</v>
      </c>
      <c r="B69" s="128">
        <f t="shared" si="4"/>
        <v>35.297800780014732</v>
      </c>
      <c r="C69" s="128">
        <f t="shared" si="4"/>
        <v>38.902215484120589</v>
      </c>
      <c r="D69" s="128">
        <f t="shared" si="4"/>
        <v>43.370049414057512</v>
      </c>
      <c r="E69" s="128">
        <f t="shared" si="4"/>
        <v>48.94364796025247</v>
      </c>
      <c r="F69" s="128">
        <f t="shared" si="4"/>
        <v>64.747374203014999</v>
      </c>
      <c r="H69" s="124"/>
    </row>
    <row r="70" spans="1:8" ht="13.15" x14ac:dyDescent="0.4">
      <c r="A70" s="148">
        <f t="shared" si="3"/>
        <v>25</v>
      </c>
      <c r="B70" s="128">
        <f t="shared" si="4"/>
        <v>35.297800780014732</v>
      </c>
      <c r="C70" s="128">
        <f t="shared" si="4"/>
        <v>39.842105326450302</v>
      </c>
      <c r="D70" s="128">
        <f t="shared" si="4"/>
        <v>45.773946659655444</v>
      </c>
      <c r="E70" s="128">
        <f t="shared" si="4"/>
        <v>53.600454265558469</v>
      </c>
      <c r="F70" s="128">
        <f t="shared" si="4"/>
        <v>78.018636928282405</v>
      </c>
    </row>
    <row r="71" spans="1:8" ht="13.15" x14ac:dyDescent="0.4">
      <c r="A71" s="148">
        <f t="shared" si="3"/>
        <v>30</v>
      </c>
      <c r="B71" s="128">
        <f t="shared" si="4"/>
        <v>35.297800780014732</v>
      </c>
      <c r="C71" s="128">
        <f t="shared" si="4"/>
        <v>40.671218913749946</v>
      </c>
      <c r="D71" s="128">
        <f t="shared" si="4"/>
        <v>48.025217734035408</v>
      </c>
      <c r="E71" s="128">
        <f t="shared" si="4"/>
        <v>58.256668781935815</v>
      </c>
      <c r="F71" s="128">
        <f t="shared" si="4"/>
        <v>93.342285919640815</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0.1</v>
      </c>
      <c r="D74" s="149">
        <f>Scenarios!C55</f>
        <v>15</v>
      </c>
      <c r="E74" s="139">
        <f>INDEX(B$65:F$71, MATCH(D74, A$65:A$71, 0), MATCH(C74, B$64:F$64, 0))</f>
        <v>53.68136673575772</v>
      </c>
      <c r="F74" s="146">
        <f>Scenarios!C58</f>
        <v>0.05</v>
      </c>
    </row>
    <row r="75" spans="1:8" x14ac:dyDescent="0.35">
      <c r="B75" s="131" t="str">
        <f>Scenarios!B36</f>
        <v>Optimistic</v>
      </c>
      <c r="C75" s="146">
        <f>Scenarios!C38</f>
        <v>0.06</v>
      </c>
      <c r="D75" s="149">
        <f>Scenarios!C37</f>
        <v>10</v>
      </c>
      <c r="E75" s="139">
        <f>INDEX(B$65:F$71, MATCH(D75, A$65:A$71, 0), MATCH(C75, B$64:F$64, 0))</f>
        <v>40.604554399737722</v>
      </c>
      <c r="F75" s="146">
        <f>Scenarios!C40*(1-F$74-F$78)</f>
        <v>0.18</v>
      </c>
      <c r="H75" s="124"/>
    </row>
    <row r="76" spans="1:8" x14ac:dyDescent="0.35">
      <c r="B76" s="131" t="str">
        <f>Scenarios!B24</f>
        <v>Base</v>
      </c>
      <c r="C76" s="146">
        <f>Scenarios!C26</f>
        <v>0.04</v>
      </c>
      <c r="D76" s="149">
        <f>Scenarios!C25</f>
        <v>10</v>
      </c>
      <c r="E76" s="139">
        <f>INDEX(B$65:F$71, MATCH(D76, A$65:A$71, 0), MATCH(C76, B$64:F$64, 0))</f>
        <v>38.662267127421032</v>
      </c>
      <c r="F76" s="146">
        <f>Scenarios!C28*(1-F$74-F$78)</f>
        <v>0.53999999999999992</v>
      </c>
      <c r="H76" s="124"/>
    </row>
    <row r="77" spans="1:8" x14ac:dyDescent="0.35">
      <c r="B77" s="131" t="str">
        <f>Scenarios!B30</f>
        <v>Pessimistic</v>
      </c>
      <c r="C77" s="146">
        <f>Scenarios!C32</f>
        <v>0.02</v>
      </c>
      <c r="D77" s="149">
        <f>Scenarios!C31</f>
        <v>10</v>
      </c>
      <c r="E77" s="139">
        <f>INDEX(B$65:F$71, MATCH(D77, A$65:A$71, 0), MATCH(C77, B$64:F$64, 0))</f>
        <v>36.899754390553774</v>
      </c>
      <c r="F77" s="146">
        <f>Scenarios!C34*(1-F$74-F$78)</f>
        <v>0.18</v>
      </c>
      <c r="H77" s="124"/>
    </row>
    <row r="78" spans="1:8" x14ac:dyDescent="0.35">
      <c r="B78" s="131" t="str">
        <f>Scenarios!B48</f>
        <v>Devil's advocate</v>
      </c>
      <c r="C78" s="146">
        <f>Scenarios!C50</f>
        <v>0</v>
      </c>
      <c r="D78" s="149">
        <f>Scenarios!C49</f>
        <v>15</v>
      </c>
      <c r="E78" s="139">
        <f>INDEX(B$65:F$71, MATCH(D78, A$65:A$71, 0), MATCH(C78, B$64:F$64, 0))</f>
        <v>35.297800780014732</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-54.75</v>
      </c>
    </row>
    <row r="4" spans="2:9" x14ac:dyDescent="0.35">
      <c r="B4" s="156" t="s">
        <v>148</v>
      </c>
      <c r="C4" s="124">
        <v>3</v>
      </c>
      <c r="D4" s="124"/>
      <c r="E4" s="159" t="s">
        <v>152</v>
      </c>
      <c r="F4" s="159"/>
      <c r="H4" s="282">
        <v>1</v>
      </c>
      <c r="I4" s="270">
        <f t="shared" ref="I4:I13" si="0">IF(ROW()-3 &lt; $C$76, $C$77, IF(ROW()-3 = $C$76, $C$77 + $C$60, ""))</f>
        <v>2.339927674962774</v>
      </c>
    </row>
    <row r="5" spans="2:9" x14ac:dyDescent="0.35">
      <c r="H5" s="282">
        <v>2</v>
      </c>
      <c r="I5" s="270">
        <f t="shared" si="0"/>
        <v>2.339927674962774</v>
      </c>
    </row>
    <row r="6" spans="2:9" ht="13.15" x14ac:dyDescent="0.4">
      <c r="B6" s="163" t="s">
        <v>97</v>
      </c>
      <c r="C6" s="110">
        <f>Valuation_Model!C3</f>
        <v>1</v>
      </c>
      <c r="E6" s="103" t="s">
        <v>285</v>
      </c>
      <c r="F6" s="103"/>
      <c r="H6" s="282">
        <v>3</v>
      </c>
      <c r="I6" s="270">
        <f t="shared" si="0"/>
        <v>41.61728588181122</v>
      </c>
    </row>
    <row r="7" spans="2:9" ht="12.75" customHeight="1" x14ac:dyDescent="0.35">
      <c r="B7" s="103" t="s">
        <v>279</v>
      </c>
      <c r="C7" s="118">
        <f>Normalized_FCF!G8</f>
        <v>4487792577</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1"/>
      <c r="H7" s="282">
        <v>4</v>
      </c>
      <c r="I7" s="270" t="str">
        <f t="shared" si="0"/>
        <v/>
      </c>
    </row>
    <row r="8" spans="2:9" x14ac:dyDescent="0.35">
      <c r="B8" s="103" t="s">
        <v>67</v>
      </c>
      <c r="C8" s="118">
        <f>Normalized_FCF!G19</f>
        <v>3157349439.9308405</v>
      </c>
      <c r="D8" t="str">
        <f>Reporting_currency</f>
        <v>CNY</v>
      </c>
      <c r="E8" s="351"/>
      <c r="F8" s="351"/>
      <c r="H8" s="282">
        <v>5</v>
      </c>
      <c r="I8" s="270" t="str">
        <f t="shared" si="0"/>
        <v/>
      </c>
    </row>
    <row r="9" spans="2:9" x14ac:dyDescent="0.35">
      <c r="B9" s="103" t="s">
        <v>58</v>
      </c>
      <c r="C9" s="207">
        <f>Normalized_FCF!C19</f>
        <v>2880261779.7072697</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2.1321347914251776E-2</v>
      </c>
      <c r="D12" s="162"/>
      <c r="E12" s="351"/>
      <c r="F12" s="351"/>
      <c r="H12" s="282">
        <v>9</v>
      </c>
      <c r="I12" s="270" t="str">
        <f t="shared" si="0"/>
        <v/>
      </c>
    </row>
    <row r="13" spans="2:9" x14ac:dyDescent="0.35">
      <c r="B13" s="152" t="s">
        <v>154</v>
      </c>
      <c r="C13" s="162">
        <f ca="1">(Normalized_FCF!G8/OFFSET(Normalized_FCF!G8, 0, $C$4))^(1/$C$4) - 1</f>
        <v>0.15185942572632172</v>
      </c>
      <c r="E13" s="351"/>
      <c r="F13" s="351"/>
      <c r="H13" s="282">
        <v>10</v>
      </c>
      <c r="I13" s="270" t="str">
        <f t="shared" si="0"/>
        <v/>
      </c>
    </row>
    <row r="14" spans="2:9" x14ac:dyDescent="0.35">
      <c r="B14" s="103" t="s">
        <v>67</v>
      </c>
      <c r="C14" s="162">
        <f ca="1">(Normalized_FCF!G19/OFFSET(Normalized_FCF!G19, 0, $C$4))^(1/$C$4) - 1</f>
        <v>0.22852762417856032</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54.75</v>
      </c>
      <c r="D21" t="str">
        <f>Market_currency</f>
        <v>HKD</v>
      </c>
      <c r="E21" s="352"/>
      <c r="F21" s="352"/>
    </row>
    <row r="22" spans="2:6" x14ac:dyDescent="0.35">
      <c r="B22" s="103" t="s">
        <v>284</v>
      </c>
      <c r="C22" s="164">
        <f>Valuation_Model!C12</f>
        <v>35.297800780014747</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0.04</v>
      </c>
      <c r="D26" s="168"/>
      <c r="E26" s="350"/>
      <c r="F26" s="350"/>
    </row>
    <row r="27" spans="2:6" x14ac:dyDescent="0.35">
      <c r="B27" s="103" t="s">
        <v>115</v>
      </c>
      <c r="C27" s="164">
        <f>Valuation_Model!E76</f>
        <v>38.662267127421032</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0.02</v>
      </c>
      <c r="D32" s="168"/>
      <c r="E32" s="350"/>
      <c r="F32" s="350"/>
    </row>
    <row r="33" spans="2:6" x14ac:dyDescent="0.35">
      <c r="B33" s="103" t="s">
        <v>115</v>
      </c>
      <c r="C33" s="164">
        <f>Valuation_Model!E77</f>
        <v>36.899754390553774</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0.06</v>
      </c>
      <c r="D38" s="168"/>
      <c r="E38" s="350"/>
      <c r="F38" s="350"/>
    </row>
    <row r="39" spans="2:6" x14ac:dyDescent="0.35">
      <c r="B39" s="103" t="s">
        <v>115</v>
      </c>
      <c r="C39" s="164">
        <f>Valuation_Model!E75</f>
        <v>40.604554399737722</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38.69822203451092</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v>
      </c>
      <c r="D50" s="168"/>
      <c r="E50" s="350"/>
      <c r="F50" s="350"/>
    </row>
    <row r="51" spans="2:6" x14ac:dyDescent="0.35">
      <c r="B51" s="103" t="s">
        <v>115</v>
      </c>
      <c r="C51" s="164">
        <f>Valuation_Model!E78</f>
        <v>35.297800780014732</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15</v>
      </c>
      <c r="D55" s="167"/>
      <c r="E55" s="350"/>
      <c r="F55" s="350"/>
    </row>
    <row r="56" spans="2:6" x14ac:dyDescent="0.35">
      <c r="B56" s="122" t="s">
        <v>136</v>
      </c>
      <c r="C56" s="168">
        <v>0.1</v>
      </c>
      <c r="D56" s="168"/>
      <c r="E56" s="350"/>
      <c r="F56" s="350"/>
    </row>
    <row r="57" spans="2:6" x14ac:dyDescent="0.35">
      <c r="B57" s="103" t="s">
        <v>115</v>
      </c>
      <c r="C57" s="164">
        <f>Valuation_Model!E74</f>
        <v>53.68136673575772</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39.277358206848447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4.6574870890079501E-2</v>
      </c>
      <c r="D65" s="155"/>
      <c r="E65" s="287" t="s">
        <v>325</v>
      </c>
    </row>
    <row r="66" spans="2:6" x14ac:dyDescent="0.35">
      <c r="B66" s="103" t="s">
        <v>104</v>
      </c>
      <c r="C66" s="164">
        <f>Valuation_Model!C18</f>
        <v>39.279947779882377</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0.26693400073598744</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2.339927674962774</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4.9290143153151025</v>
      </c>
      <c r="D81" s="120"/>
      <c r="E81" s="103"/>
      <c r="F81" s="103"/>
    </row>
    <row r="82" spans="2:8" x14ac:dyDescent="0.35">
      <c r="B82" s="103" t="s">
        <v>124</v>
      </c>
      <c r="C82" s="120">
        <f>C60/(1+C80)^C76</f>
        <v>22.729952666000258</v>
      </c>
      <c r="D82" s="120"/>
    </row>
    <row r="83" spans="2:8" ht="13.15" x14ac:dyDescent="0.4">
      <c r="B83" s="114" t="s">
        <v>103</v>
      </c>
      <c r="C83" s="115">
        <f>C81+C82</f>
        <v>27.658966981315359</v>
      </c>
      <c r="D83" t="str">
        <f>Market_currency</f>
        <v>HKD</v>
      </c>
      <c r="E83" s="150" t="s">
        <v>128</v>
      </c>
      <c r="F83" s="335">
        <f>(1-C83/C60)</f>
        <v>0.29580378508010985</v>
      </c>
    </row>
    <row r="84" spans="2:8" x14ac:dyDescent="0.35">
      <c r="E84" s="124"/>
    </row>
    <row r="85" spans="2:8" ht="13.15" x14ac:dyDescent="0.4">
      <c r="B85" s="112" t="s">
        <v>313</v>
      </c>
    </row>
    <row r="86" spans="2:8" x14ac:dyDescent="0.35">
      <c r="B86" s="152" t="s">
        <v>311</v>
      </c>
      <c r="C86" s="272">
        <f>Market_Price</f>
        <v>54.75</v>
      </c>
      <c r="D86" t="str">
        <f>Market_currency</f>
        <v>HKD</v>
      </c>
    </row>
    <row r="87" spans="2:8" ht="13.15" x14ac:dyDescent="0.4">
      <c r="B87" s="103" t="s">
        <v>309</v>
      </c>
      <c r="C87" s="271">
        <f ca="1">IRR(OFFSET($I$3, 0, 0, $C$76 + 1, 1))</f>
        <v>-5.7047688184643786E-2</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2025-04-07T14:22:11Z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