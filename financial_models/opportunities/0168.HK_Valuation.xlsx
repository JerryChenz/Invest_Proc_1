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D1E4B87-AF50-4743-ADB2-1387FF571905}"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J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43" i="8" l="1"/>
  <c r="F43" i="8" s="1"/>
  <c r="C47" i="8"/>
  <c r="F47" i="8" s="1"/>
  <c r="C48" i="8"/>
  <c r="F48" i="8" s="1"/>
  <c r="C40" i="8"/>
  <c r="F40" i="8" s="1"/>
  <c r="C46" i="8"/>
  <c r="F46" i="8" s="1"/>
  <c r="C50" i="8"/>
  <c r="F50" i="8" s="1"/>
  <c r="C44" i="8"/>
  <c r="F44" i="8" s="1"/>
  <c r="C36" i="8"/>
  <c r="F36" i="8" s="1"/>
  <c r="C49" i="8"/>
  <c r="F49" i="8" s="1"/>
  <c r="C45" i="8"/>
  <c r="F45" i="8" s="1"/>
  <c r="C39" i="8"/>
  <c r="F39" i="8" s="1"/>
  <c r="C38" i="8"/>
  <c r="F38" i="8" s="1"/>
  <c r="C37" i="8"/>
  <c r="F37" i="8" s="1"/>
  <c r="C41" i="8"/>
  <c r="F41" i="8" s="1"/>
  <c r="C42" i="8"/>
  <c r="F42"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<sst xmlns="http://schemas.openxmlformats.org/spreadsheetml/2006/main" count="589" uniqueCount="416">
  <si>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</si>
  <si>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</si>
  <si>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</si>
  <si>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</si>
  <si>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</si>
  <si>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</si>
  <si>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</si>
  <si>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</si>
  <si>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</si>
  <si>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</si>
  <si>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</si>
  <si>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</si>
  <si>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</si>
  <si>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</si>
  <si>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</si>
  <si>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</si>
  <si>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</si>
  <si>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</si>
  <si>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</si>
  <si>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</si>
  <si>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</si>
  <si>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</si>
  <si>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</si>
  <si>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</si>
  <si>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</si>
  <si>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</si>
  <si>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</si>
  <si>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</si>
  <si>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</si>
  <si>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</si>
  <si>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</si>
  <si>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</si>
  <si>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</si>
  <si>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</si>
  <si>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</si>
  <si>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</si>
  <si>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</si>
  <si>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</si>
  <si>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</si>
  <si>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</si>
  <si>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</si>
  <si>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</si>
  <si>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</si>
  <si>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</si>
  <si>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</si>
  <si>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</si>
  <si>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</si>
  <si>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</si>
  <si>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</si>
  <si>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</si>
  <si>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</si>
  <si>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</si>
  <si>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</si>
  <si>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</si>
  <si>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</si>
  <si>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</si>
  <si>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</si>
  <si>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</si>
  <si>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</si>
  <si>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</si>
  <si>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</si>
  <si>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</si>
  <si>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</si>
  <si>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</si>
  <si>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</si>
  <si>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</si>
  <si>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</si>
  <si>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</si>
  <si>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</si>
  <si>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</si>
  <si>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</si>
  <si>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</si>
  <si>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</si>
  <si>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</si>
  <si>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</si>
  <si>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</si>
  <si>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</si>
  <si>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</si>
  <si>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</si>
  <si>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</si>
  <si>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</si>
  <si>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</si>
  <si>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</si>
  <si>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</si>
  <si>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</si>
  <si>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</si>
  <si>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</si>
  <si>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</si>
  <si>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</si>
  <si>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</si>
  <si>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</si>
  <si>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</si>
  <si>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</si>
  <si>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</si>
  <si>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</si>
  <si>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</si>
  <si>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</si>
  <si>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</si>
  <si>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</si>
  <si>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</si>
  <si>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</si>
  <si>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</si>
  <si>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</si>
  <si>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</si>
  <si>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</si>
  <si>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</si>
  <si>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</si>
  <si>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</si>
  <si>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</si>
  <si>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</si>
  <si>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</si>
  <si>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</si>
  <si>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</si>
  <si>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</si>
  <si>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</si>
  <si>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</si>
  <si>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</si>
  <si>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</si>
  <si>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</si>
  <si>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</si>
  <si>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</si>
  <si>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</si>
  <si>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</si>
  <si>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</si>
  <si>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</si>
  <si>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</si>
  <si>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</si>
  <si>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</si>
  <si>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</si>
  <si>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</si>
  <si>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</si>
  <si>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</si>
  <si>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</si>
  <si>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</si>
  <si>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</si>
  <si>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</si>
  <si>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</si>
  <si>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</si>
  <si>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</si>
  <si>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</si>
  <si>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</si>
  <si>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</si>
  <si>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</si>
  <si>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</si>
  <si>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</si>
  <si>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</si>
  <si>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</si>
  <si>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</si>
  <si>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</si>
  <si>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</si>
  <si>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</si>
  <si>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</si>
  <si>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</si>
  <si>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</si>
  <si>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</si>
  <si>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</si>
  <si>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</si>
  <si>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</si>
  <si>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</si>
  <si>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</si>
  <si>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</si>
  <si>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</si>
  <si>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</si>
  <si>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</si>
  <si>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</si>
  <si>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</si>
  <si>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</si>
  <si>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</si>
  <si>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</si>
  <si>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</si>
  <si>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</si>
  <si>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</si>
  <si>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</si>
  <si>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</si>
  <si>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</si>
  <si>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</si>
  <si>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</si>
  <si>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</si>
  <si>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</si>
  <si>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</si>
  <si>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</si>
  <si>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</si>
  <si>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</si>
  <si>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</si>
  <si>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</si>
  <si>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</si>
  <si>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</si>
  <si>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</si>
  <si>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</si>
  <si>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</si>
  <si>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</si>
  <si>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</si>
  <si>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</si>
  <si>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</si>
  <si>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</si>
  <si>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</si>
  <si>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</si>
  <si>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</si>
  <si>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</si>
  <si>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</si>
  <si>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</si>
  <si>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</si>
  <si>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</si>
  <si>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</si>
  <si>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</si>
  <si>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</si>
  <si>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</si>
  <si>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</si>
  <si>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</si>
  <si>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</si>
  <si>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</si>
  <si>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</si>
  <si>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</si>
  <si>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</si>
  <si>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</si>
  <si>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</si>
  <si>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</si>
  <si>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</si>
  <si>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</si>
  <si>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</si>
  <si>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</si>
  <si>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</si>
  <si>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</si>
  <si>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</si>
  <si>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</si>
  <si>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</si>
  <si>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</si>
  <si>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</si>
  <si>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</si>
  <si>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</si>
  <si>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</si>
  <si>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</si>
  <si>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</si>
  <si>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</si>
  <si>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</si>
  <si>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</si>
  <si>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</si>
  <si>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</si>
  <si>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</si>
  <si>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</si>
  <si>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</si>
  <si>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</si>
  <si>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</si>
  <si>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</si>
  <si>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</si>
  <si>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</si>
  <si>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</si>
  <si>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</si>
  <si>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</si>
  <si>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</si>
  <si>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</si>
  <si>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</si>
  <si>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</si>
  <si>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</si>
  <si>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</si>
  <si>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</si>
  <si>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</si>
  <si>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</si>
  <si>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</si>
  <si>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</si>
  <si>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</si>
  <si>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</si>
  <si>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</si>
  <si>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</si>
  <si>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</si>
  <si>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</si>
  <si>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</si>
  <si>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</si>
  <si>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</si>
  <si>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</si>
  <si>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</si>
  <si>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</si>
  <si>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</si>
  <si>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</si>
  <si>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</si>
  <si>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</si>
  <si>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</si>
  <si>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</si>
  <si>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</si>
  <si>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</si>
  <si>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</si>
  <si>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</si>
  <si>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</si>
  <si>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</si>
  <si>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</si>
  <si>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</si>
  <si>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</si>
  <si>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</si>
  <si>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</si>
  <si>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</si>
  <si>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</si>
  <si>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</si>
  <si>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</si>
  <si>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</si>
  <si>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</si>
  <si>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</si>
  <si>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</si>
  <si>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</si>
  <si>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</si>
  <si>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</si>
  <si>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</si>
  <si>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</si>
  <si>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</si>
  <si>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</si>
  <si>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</si>
  <si>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</si>
  <si>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</si>
  <si>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</si>
  <si>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</si>
  <si>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</si>
  <si>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</si>
  <si>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</si>
  <si>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</si>
  <si>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</si>
  <si>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</si>
  <si>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</si>
  <si>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</si>
  <si>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</si>
  <si>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</si>
  <si>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</si>
  <si>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</si>
  <si>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</si>
  <si>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</si>
  <si>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</si>
  <si>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</si>
  <si>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</si>
  <si>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</si>
  <si>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</si>
  <si>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</si>
  <si>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</si>
  <si>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</si>
  <si>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</si>
  <si>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</si>
  <si>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</si>
  <si>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</si>
  <si>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</si>
  <si>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</si>
  <si>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</si>
  <si>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</si>
  <si>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</si>
  <si>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</si>
  <si>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</si>
  <si>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</si>
  <si>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</si>
  <si>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</si>
  <si>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</si>
  <si>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</si>
  <si>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</si>
  <si>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</si>
  <si>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</si>
  <si>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</si>
  <si>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</si>
  <si>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</si>
  <si>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</si>
  <si>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</si>
  <si>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</si>
  <si>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</si>
  <si>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</si>
  <si>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</si>
  <si>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</si>
  <si>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</si>
  <si>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</si>
  <si>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</si>
  <si>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</si>
  <si>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</si>
  <si>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</si>
  <si>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</si>
  <si>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</si>
  <si>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</si>
  <si>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</si>
  <si>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</si>
  <si>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</si>
  <si>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</si>
  <si>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</si>
  <si>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</si>
  <si>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</si>
  <si>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</si>
  <si>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</si>
  <si>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</si>
  <si>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</si>
  <si>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</si>
  <si>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</si>
  <si>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</si>
  <si>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</si>
  <si>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</si>
  <si>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</si>
  <si>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</si>
  <si>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</si>
  <si>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</si>
  <si>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</si>
  <si>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</si>
  <si>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</si>
  <si>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</si>
  <si>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</si>
  <si>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</si>
  <si>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</si>
  <si>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</si>
  <si>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</si>
  <si>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</si>
  <si>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</si>
  <si>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</si>
  <si>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</si>
  <si>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</si>
  <si>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</si>
  <si>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</si>
  <si>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</si>
  <si>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</si>
  <si>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</si>
  <si>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</si>
  <si>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</si>
  <si>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</si>
  <si>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</si>
  <si>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</si>
  <si>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</si>
  <si>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CNS_03</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</si>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</sst>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332</v>
      </c>
    </row>
    <row r="2" spans="1:10" ht="13.9" x14ac:dyDescent="0.45">
      <c r="A2" s="247"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326</v>
      </c>
      <c r="C5" s="333" t="s">
        <v>411</v>
      </c>
      <c r="D5" s="49" t="s">
        <v>410</v>
      </c>
    </row>
    <row r="6" spans="1:10" x14ac:dyDescent="0.35">
      <c r="B6" s="4" t="s">
        <v>96</v>
      </c>
      <c r="C6" s="50">
        <v>59.9</v>
      </c>
      <c r="D6" s="48" t="s">
        <v>41</v>
      </c>
      <c r="E6" s="48"/>
    </row>
    <row r="7" spans="1:10" x14ac:dyDescent="0.35">
      <c r="B7" s="4" t="s">
        <v>0</v>
      </c>
      <c r="C7" s="51">
        <v>1364196788</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81715.387601199996</v>
      </c>
      <c r="D10" s="32"/>
      <c r="E10" s="5"/>
    </row>
    <row r="11" spans="1:10" x14ac:dyDescent="0.35">
      <c r="D11" s="5"/>
      <c r="E11" s="5"/>
    </row>
    <row r="12" spans="1:10" ht="24.4" customHeight="1" x14ac:dyDescent="0.35">
      <c r="B12" s="336" t="s">
        <v>374</v>
      </c>
      <c r="C12" s="336"/>
      <c r="D12" s="336"/>
      <c r="E12" s="336"/>
      <c r="F12" s="336"/>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406</v>
      </c>
      <c r="D16" s="32"/>
      <c r="E16" s="5"/>
    </row>
    <row r="17" spans="1:6" x14ac:dyDescent="0.35">
      <c r="B17" s="4" t="s">
        <v>1</v>
      </c>
      <c r="C17" s="50">
        <v>1.0624809</v>
      </c>
      <c r="D17" s="32" t="str">
        <f>IF(C16=D6,D6,C16&amp;"/"&amp;D6)</f>
        <v>CNY/HKD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44.107282041660923</v>
      </c>
      <c r="D20" s="1" t="s">
        <v>318</v>
      </c>
      <c r="E20" s="330">
        <v>3</v>
      </c>
    </row>
    <row r="21" spans="1:6" x14ac:dyDescent="0.35">
      <c r="B21" s="1" t="s">
        <v>373</v>
      </c>
      <c r="C21" s="280">
        <f ca="1">Scenarios!C87</f>
        <v>0.12493740306462042</v>
      </c>
      <c r="D21" s="5"/>
      <c r="E21" s="5"/>
    </row>
    <row r="22" spans="1:6" x14ac:dyDescent="0.35">
      <c r="D22" s="5"/>
      <c r="E22" s="5"/>
    </row>
    <row r="23" spans="1:6" ht="13.9" x14ac:dyDescent="0.45">
      <c r="A23" s="247" t="s">
        <v>367</v>
      </c>
      <c r="B23" s="36"/>
      <c r="C23" s="36"/>
      <c r="D23" s="36"/>
      <c r="E23" s="36"/>
      <c r="F23" s="36"/>
    </row>
    <row r="25" spans="1:6" ht="24.4" customHeight="1" x14ac:dyDescent="0.35">
      <c r="B25" s="336" t="s">
        <v>375</v>
      </c>
      <c r="C25" s="336"/>
      <c r="D25" s="336"/>
      <c r="E25" s="336"/>
      <c r="F25" s="336"/>
    </row>
    <row r="26" spans="1:6" ht="24.4" customHeight="1" x14ac:dyDescent="0.35">
      <c r="B26" s="338" t="s">
        <v>351</v>
      </c>
      <c r="C26" s="338"/>
      <c r="D26" s="338"/>
      <c r="E26" s="338"/>
      <c r="F26" s="338"/>
    </row>
    <row r="28" spans="1:6" x14ac:dyDescent="0.35">
      <c r="B28" s="234" t="s">
        <v>232</v>
      </c>
      <c r="C28" s="108">
        <f>Data!C3</f>
        <v>1</v>
      </c>
    </row>
    <row r="29" spans="1:6" ht="24.4" customHeight="1" x14ac:dyDescent="0.35">
      <c r="B29" s="337" t="s">
        <v>233</v>
      </c>
      <c r="C29" s="337"/>
      <c r="D29" s="337"/>
      <c r="E29" s="337"/>
      <c r="F29" s="337"/>
    </row>
    <row r="30" spans="1:6" x14ac:dyDescent="0.35">
      <c r="B30" s="47" t="s">
        <v>234</v>
      </c>
      <c r="C30" s="188">
        <f>Normalized_FCF!C8</f>
        <v>3878068070.3077545</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37" t="s">
        <v>238</v>
      </c>
      <c r="C36" s="337"/>
      <c r="D36" s="337"/>
      <c r="E36" s="337"/>
      <c r="F36" s="337"/>
    </row>
    <row r="37" spans="2:6" x14ac:dyDescent="0.35">
      <c r="B37" s="47" t="s">
        <v>239</v>
      </c>
      <c r="C37" s="188">
        <f>Normalized_FCF!C11</f>
        <v>0</v>
      </c>
      <c r="D37" s="1" t="str">
        <f>Reporting_currency</f>
        <v>CNY</v>
      </c>
    </row>
    <row r="39" spans="2:6" x14ac:dyDescent="0.35">
      <c r="B39" s="337" t="s">
        <v>242</v>
      </c>
      <c r="C39" s="337"/>
      <c r="D39" s="337"/>
      <c r="E39" s="337"/>
      <c r="F39" s="337"/>
    </row>
    <row r="40" spans="2:6" x14ac:dyDescent="0.35">
      <c r="B40" s="47" t="s">
        <v>352</v>
      </c>
      <c r="C40" s="322">
        <f>Normalized_FCF!C48</f>
        <v>177530241.80848101</v>
      </c>
      <c r="D40" s="1" t="str">
        <f>Reporting_currency</f>
        <v>CNY</v>
      </c>
      <c r="E40" s="321"/>
      <c r="F40" s="321"/>
    </row>
    <row r="41" spans="2:6" x14ac:dyDescent="0.35">
      <c r="B41" s="47" t="s">
        <v>353</v>
      </c>
      <c r="C41" s="322">
        <f>Normalized_FCF!C47</f>
        <v>-21837054</v>
      </c>
      <c r="D41" s="1" t="str">
        <f>Reporting_currency</f>
        <v>CNY</v>
      </c>
      <c r="E41" s="321"/>
      <c r="F41" s="321"/>
    </row>
    <row r="42" spans="2:6" x14ac:dyDescent="0.35">
      <c r="B42" s="47" t="s">
        <v>240</v>
      </c>
      <c r="C42" s="188">
        <f>Normalized_FCF!C12</f>
        <v>155693187.80848101</v>
      </c>
      <c r="D42" s="1" t="str">
        <f>Reporting_currency</f>
        <v>CNY</v>
      </c>
    </row>
    <row r="44" spans="2:6" x14ac:dyDescent="0.35">
      <c r="B44" s="1" t="s">
        <v>248</v>
      </c>
    </row>
    <row r="45" spans="2:6" x14ac:dyDescent="0.35">
      <c r="B45" s="47" t="s">
        <v>268</v>
      </c>
      <c r="C45" s="188">
        <f>Normalized_FCF!C15</f>
        <v>-146634564.47167698</v>
      </c>
      <c r="D45" s="1" t="str">
        <f>Reporting_currency</f>
        <v>CNY</v>
      </c>
    </row>
    <row r="47" spans="2:6" x14ac:dyDescent="0.35">
      <c r="B47" s="337" t="s">
        <v>243</v>
      </c>
      <c r="C47" s="337"/>
      <c r="D47" s="337"/>
      <c r="E47" s="337"/>
      <c r="F47" s="337"/>
    </row>
    <row r="48" spans="2:6" x14ac:dyDescent="0.35">
      <c r="B48" s="47" t="s">
        <v>241</v>
      </c>
      <c r="C48" s="188">
        <f>Normalized_FCF!C14</f>
        <v>-1008440314.5290589</v>
      </c>
      <c r="D48" s="1" t="str">
        <f>Reporting_currency</f>
        <v>CNY</v>
      </c>
    </row>
    <row r="50" spans="1:6" x14ac:dyDescent="0.35">
      <c r="B50" s="337" t="s">
        <v>350</v>
      </c>
      <c r="C50" s="340"/>
      <c r="D50" s="340"/>
      <c r="E50" s="340"/>
      <c r="F50" s="340"/>
    </row>
    <row r="51" spans="1:6" x14ac:dyDescent="0.35">
      <c r="B51" s="47" t="s">
        <v>244</v>
      </c>
      <c r="C51" s="1">
        <f>Normalized_FCF!C17</f>
        <v>0</v>
      </c>
      <c r="D51" s="1" t="str">
        <f>Reporting_currency</f>
        <v>CNY</v>
      </c>
    </row>
    <row r="53" spans="1:6" ht="24.4" customHeight="1" x14ac:dyDescent="0.35">
      <c r="B53" s="336" t="s">
        <v>355</v>
      </c>
      <c r="C53" s="336"/>
      <c r="D53" s="336"/>
      <c r="E53" s="336"/>
      <c r="F53" s="336"/>
    </row>
    <row r="54" spans="1:6" ht="24.4" customHeight="1" x14ac:dyDescent="0.35">
      <c r="B54" s="336" t="s">
        <v>376</v>
      </c>
      <c r="C54" s="336"/>
      <c r="D54" s="336"/>
      <c r="E54" s="336"/>
      <c r="F54" s="336"/>
    </row>
    <row r="56" spans="1:6" x14ac:dyDescent="0.35">
      <c r="B56" s="47" t="s">
        <v>273</v>
      </c>
      <c r="C56" s="188">
        <f>Normalized_FCF!G19</f>
        <v>3155248905.8084812</v>
      </c>
      <c r="D56" s="1" t="str">
        <f>Reporting_currency</f>
        <v>CNY</v>
      </c>
    </row>
    <row r="57" spans="1:6" x14ac:dyDescent="0.35">
      <c r="B57" s="47" t="s">
        <v>250</v>
      </c>
      <c r="C57" s="188">
        <f>Normalized_FCF!C19</f>
        <v>2878686379.1155</v>
      </c>
      <c r="D57" s="1" t="str">
        <f>Reporting_currency</f>
        <v>CNY</v>
      </c>
    </row>
    <row r="58" spans="1:6" x14ac:dyDescent="0.35">
      <c r="B58" s="254" t="s">
        <v>405</v>
      </c>
      <c r="C58" s="92">
        <f>Normalized_FCF!C125</f>
        <v>3.7429294343278158E-2</v>
      </c>
    </row>
    <row r="59" spans="1:6" x14ac:dyDescent="0.35">
      <c r="B59" s="254" t="s">
        <v>319</v>
      </c>
      <c r="C59" s="92">
        <f>Normalized_FCF!C93</f>
        <v>3.456803769335158E-2</v>
      </c>
    </row>
    <row r="61" spans="1:6" ht="13.9" x14ac:dyDescent="0.45">
      <c r="A61" s="247" t="s">
        <v>368</v>
      </c>
      <c r="B61" s="36"/>
      <c r="C61" s="36"/>
      <c r="D61" s="36"/>
      <c r="E61" s="36"/>
      <c r="F61" s="36"/>
    </row>
    <row r="62" spans="1:6" x14ac:dyDescent="0.35">
      <c r="A62" s="233"/>
    </row>
    <row r="63" spans="1:6" ht="24.4" customHeight="1" x14ac:dyDescent="0.35">
      <c r="A63" s="17"/>
      <c r="B63" s="336" t="s">
        <v>377</v>
      </c>
      <c r="C63" s="336"/>
      <c r="D63" s="336"/>
      <c r="E63" s="336"/>
      <c r="F63" s="336"/>
    </row>
    <row r="64" spans="1:6" x14ac:dyDescent="0.35">
      <c r="B64" s="338" t="s">
        <v>254</v>
      </c>
      <c r="C64" s="338"/>
      <c r="D64" s="338"/>
      <c r="E64" s="338"/>
      <c r="F64" s="338"/>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6" t="s">
        <v>378</v>
      </c>
      <c r="C73" s="336"/>
      <c r="D73" s="336"/>
      <c r="E73" s="336"/>
      <c r="F73" s="336"/>
    </row>
    <row r="74" spans="1:6" ht="24.4" customHeight="1" x14ac:dyDescent="0.35">
      <c r="B74" s="336" t="s">
        <v>379</v>
      </c>
      <c r="C74" s="336"/>
      <c r="D74" s="336"/>
      <c r="E74" s="336"/>
      <c r="F74" s="336"/>
    </row>
    <row r="76" spans="1:6" x14ac:dyDescent="0.35">
      <c r="B76" s="47" t="s">
        <v>253</v>
      </c>
      <c r="C76" s="263">
        <v>0</v>
      </c>
    </row>
    <row r="77" spans="1:6" x14ac:dyDescent="0.35">
      <c r="B77" s="47" t="s">
        <v>287</v>
      </c>
      <c r="C77" s="248">
        <f>Valuation_Model!C6*C28*Exchange_Rate/Common_Shares</f>
        <v>28.025184139529522</v>
      </c>
      <c r="D77" s="1" t="str">
        <f>Market_currency</f>
        <v>HKD</v>
      </c>
    </row>
    <row r="79" spans="1:6" ht="13.9" x14ac:dyDescent="0.45">
      <c r="A79" s="247" t="s">
        <v>370</v>
      </c>
      <c r="B79" s="36"/>
      <c r="C79" s="36"/>
      <c r="D79" s="36"/>
      <c r="E79" s="36"/>
      <c r="F79" s="36"/>
    </row>
    <row r="80" spans="1:6" x14ac:dyDescent="0.35">
      <c r="A80" s="233"/>
    </row>
    <row r="81" spans="2:6" x14ac:dyDescent="0.35">
      <c r="B81" s="336" t="s">
        <v>380</v>
      </c>
      <c r="C81" s="336"/>
      <c r="D81" s="336"/>
      <c r="E81" s="336"/>
      <c r="F81" s="336"/>
    </row>
    <row r="82" spans="2:6" x14ac:dyDescent="0.35">
      <c r="B82" s="1" t="s">
        <v>255</v>
      </c>
    </row>
    <row r="84" spans="2:6" x14ac:dyDescent="0.35">
      <c r="B84" s="234" t="s">
        <v>232</v>
      </c>
    </row>
    <row r="85" spans="2:6" ht="24.4" customHeight="1" x14ac:dyDescent="0.35">
      <c r="B85" s="336" t="s">
        <v>356</v>
      </c>
      <c r="C85" s="336"/>
      <c r="D85" s="336"/>
      <c r="E85" s="336"/>
      <c r="F85" s="336"/>
    </row>
    <row r="86" spans="2:6" x14ac:dyDescent="0.35">
      <c r="B86" s="47" t="s">
        <v>257</v>
      </c>
      <c r="C86" s="188">
        <f>Valuation_Model!C7</f>
        <v>285396383</v>
      </c>
      <c r="D86" s="1" t="str">
        <f>Reporting_currency</f>
        <v>CNY</v>
      </c>
    </row>
    <row r="87" spans="2:6" x14ac:dyDescent="0.35">
      <c r="B87" s="47" t="s">
        <v>288</v>
      </c>
      <c r="C87" s="248">
        <f>C86*C28*Exchange_Rate/Common_Shares</f>
        <v>0.22227600045235163</v>
      </c>
      <c r="D87" s="1" t="str">
        <f>Market_currency</f>
        <v>HKD</v>
      </c>
    </row>
    <row r="89" spans="2:6" x14ac:dyDescent="0.35">
      <c r="B89" s="1" t="s">
        <v>256</v>
      </c>
    </row>
    <row r="90" spans="2:6" x14ac:dyDescent="0.35">
      <c r="B90" s="47" t="s">
        <v>267</v>
      </c>
      <c r="C90" s="188">
        <f>BS!C66</f>
        <v>17978772896</v>
      </c>
      <c r="D90" s="1" t="str">
        <f>Reporting_currency</f>
        <v>CNY</v>
      </c>
    </row>
    <row r="91" spans="2:6" x14ac:dyDescent="0.35">
      <c r="B91" s="47" t="s">
        <v>269</v>
      </c>
      <c r="C91" s="188">
        <f>Valuation_Model!C8</f>
        <v>12803797314.055439</v>
      </c>
      <c r="D91" s="1" t="str">
        <f>Reporting_currency</f>
        <v>CNY</v>
      </c>
    </row>
    <row r="92" spans="2:6" x14ac:dyDescent="0.35">
      <c r="B92" s="47" t="s">
        <v>289</v>
      </c>
      <c r="C92" s="248">
        <f>C91*C28*Exchange_Rate/Common_Shares</f>
        <v>9.9720144581187835</v>
      </c>
      <c r="D92" s="1" t="str">
        <f>Market_currency</f>
        <v>HKD</v>
      </c>
    </row>
    <row r="94" spans="2:6" x14ac:dyDescent="0.35">
      <c r="B94" s="1" t="s">
        <v>258</v>
      </c>
    </row>
    <row r="95" spans="2:6" x14ac:dyDescent="0.35">
      <c r="B95" s="47" t="s">
        <v>259</v>
      </c>
      <c r="C95" s="188">
        <f>Valuation_Model!C9</f>
        <v>2755411575.5</v>
      </c>
      <c r="D95" s="1" t="str">
        <f>Reporting_currency</f>
        <v>CNY</v>
      </c>
    </row>
    <row r="96" spans="2:6" x14ac:dyDescent="0.35">
      <c r="B96" s="47" t="s">
        <v>290</v>
      </c>
      <c r="C96" s="248">
        <f>C95*C28*Exchange_Rate/Common_Shares</f>
        <v>2.1460042981772935</v>
      </c>
      <c r="D96" s="1" t="str">
        <f>Market_currency</f>
        <v>HKD</v>
      </c>
    </row>
    <row r="98" spans="1:6" ht="24.4" customHeight="1" x14ac:dyDescent="0.35">
      <c r="B98" s="336" t="s">
        <v>381</v>
      </c>
      <c r="C98" s="336"/>
      <c r="D98" s="336"/>
      <c r="E98" s="336"/>
      <c r="F98" s="336"/>
    </row>
    <row r="100" spans="1:6" x14ac:dyDescent="0.35">
      <c r="B100" s="47" t="s">
        <v>286</v>
      </c>
      <c r="C100" s="248">
        <f>Valuation_Model!C12</f>
        <v>39.920926895373249</v>
      </c>
      <c r="D100" s="1" t="str">
        <f>Market_currency</f>
        <v>HKD</v>
      </c>
    </row>
    <row r="102" spans="1:6" ht="13.9" x14ac:dyDescent="0.45">
      <c r="A102" s="247" t="s">
        <v>371</v>
      </c>
      <c r="B102" s="36"/>
      <c r="C102" s="36"/>
      <c r="D102" s="36"/>
      <c r="E102" s="36"/>
      <c r="F102" s="36"/>
    </row>
    <row r="104" spans="1:6" ht="24.4" customHeight="1" x14ac:dyDescent="0.35">
      <c r="B104" s="337" t="s">
        <v>382</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0.12</v>
      </c>
      <c r="D107" s="257">
        <f>Valuation_Model!D74</f>
        <v>30</v>
      </c>
      <c r="E107" s="258" t="str">
        <f>ROUND(Valuation_Model!E74,2)&amp;" "&amp;Market_currency</f>
        <v>139.15 HKD</v>
      </c>
      <c r="F107" s="259">
        <f>Valuation_Model!F74</f>
        <v>0.05</v>
      </c>
    </row>
    <row r="108" spans="1:6" x14ac:dyDescent="0.35">
      <c r="B108" s="242" t="str">
        <f>Valuation_Model!B75</f>
        <v>Optimistic</v>
      </c>
      <c r="C108" s="243">
        <f>Valuation_Model!C75</f>
        <v>0.1</v>
      </c>
      <c r="D108" s="244">
        <f>Valuation_Model!D75</f>
        <v>30</v>
      </c>
      <c r="E108" s="245" t="str">
        <f>ROUND(Valuation_Model!E75,2)&amp;" "&amp;Market_currency</f>
        <v>105.48 HKD</v>
      </c>
      <c r="F108" s="246">
        <f>Valuation_Model!F75</f>
        <v>0.17</v>
      </c>
    </row>
    <row r="109" spans="1:6" x14ac:dyDescent="0.35">
      <c r="B109" s="242" t="str">
        <f>Valuation_Model!B76</f>
        <v>Base</v>
      </c>
      <c r="C109" s="243">
        <f>Valuation_Model!C76</f>
        <v>0.08</v>
      </c>
      <c r="D109" s="244">
        <f>Valuation_Model!D76</f>
        <v>30</v>
      </c>
      <c r="E109" s="245" t="str">
        <f>ROUND(Valuation_Model!E76,2)&amp;" "&amp;Market_currency</f>
        <v>82.16 HKD</v>
      </c>
      <c r="F109" s="246">
        <f>Valuation_Model!F76</f>
        <v>0.42499999999999999</v>
      </c>
    </row>
    <row r="110" spans="1:6" x14ac:dyDescent="0.35">
      <c r="B110" s="242" t="str">
        <f>Valuation_Model!B77</f>
        <v>Pessimistic</v>
      </c>
      <c r="C110" s="243">
        <f>Valuation_Model!C77</f>
        <v>0.04</v>
      </c>
      <c r="D110" s="244">
        <f>Valuation_Model!D77</f>
        <v>30</v>
      </c>
      <c r="E110" s="245" t="str">
        <f>ROUND(Valuation_Model!E77,2)&amp;" "&amp;Market_currency</f>
        <v>54.3 HKD</v>
      </c>
      <c r="F110" s="246">
        <f>Valuation_Model!F77</f>
        <v>0.255</v>
      </c>
    </row>
    <row r="111" spans="1:6" x14ac:dyDescent="0.35">
      <c r="B111" s="242" t="str">
        <f>Valuation_Model!B78</f>
        <v>Devil's advocate</v>
      </c>
      <c r="C111" s="243">
        <f>Valuation_Model!C78</f>
        <v>0.02</v>
      </c>
      <c r="D111" s="244">
        <f>Valuation_Model!D78</f>
        <v>30</v>
      </c>
      <c r="E111" s="245" t="str">
        <f>ROUND(Valuation_Model!E78,2)&amp;" "&amp;Market_currency</f>
        <v>45.99 HKD</v>
      </c>
      <c r="F111" s="246">
        <f>Valuation_Model!F78</f>
        <v>0.1</v>
      </c>
    </row>
    <row r="113" spans="1:6" x14ac:dyDescent="0.35">
      <c r="B113" s="235" t="s">
        <v>260</v>
      </c>
      <c r="C113" s="241">
        <f>Scenarios!C60</f>
        <v>78.252775679635405</v>
      </c>
      <c r="D113" s="236" t="str">
        <f>Market_currency</f>
        <v>HKD</v>
      </c>
    </row>
    <row r="115" spans="1:6" ht="24.4" customHeight="1" x14ac:dyDescent="0.35">
      <c r="B115" s="341" t="s">
        <v>385</v>
      </c>
      <c r="C115" s="341"/>
      <c r="D115" s="341"/>
      <c r="E115" s="341"/>
      <c r="F115" s="341"/>
    </row>
    <row r="117" spans="1:6" ht="13.9" x14ac:dyDescent="0.45">
      <c r="A117" s="247" t="s">
        <v>372</v>
      </c>
      <c r="B117" s="36"/>
      <c r="C117" s="36"/>
      <c r="D117" s="36"/>
      <c r="E117" s="36"/>
      <c r="F117" s="36"/>
    </row>
    <row r="119" spans="1:6" x14ac:dyDescent="0.35">
      <c r="B119" s="339" t="s">
        <v>383</v>
      </c>
      <c r="C119" s="339"/>
      <c r="D119" s="339"/>
      <c r="E119" s="339"/>
      <c r="F119" s="339"/>
    </row>
    <row r="120" spans="1:6" ht="24.4" customHeight="1" x14ac:dyDescent="0.35">
      <c r="B120" s="336" t="s">
        <v>384</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2.0706254578317598</v>
      </c>
      <c r="D124" s="236" t="str">
        <f>Market_currency</f>
        <v>HKD</v>
      </c>
    </row>
    <row r="126" spans="1:6" x14ac:dyDescent="0.35">
      <c r="B126" s="234" t="s">
        <v>265</v>
      </c>
    </row>
    <row r="127" spans="1:6" x14ac:dyDescent="0.35">
      <c r="B127" s="236" t="str">
        <f>"PV("&amp;C122&amp;" yrs of Dividends)"</f>
        <v>PV(3 yrs of Dividends)</v>
      </c>
      <c r="C127" s="240">
        <f>Scenarios!C81</f>
        <v>4.0418608936875957</v>
      </c>
    </row>
    <row r="128" spans="1:6" x14ac:dyDescent="0.35">
      <c r="B128" s="236" t="str">
        <f>"+ PV(Equity Value realized at year "&amp;C122&amp;")"</f>
        <v>+ PV(Equity Value realized at year 3)</v>
      </c>
      <c r="C128" s="240">
        <f>Scenarios!C82</f>
        <v>40.065421147973325</v>
      </c>
    </row>
    <row r="129" spans="1:6" x14ac:dyDescent="0.35">
      <c r="B129" s="80" t="s">
        <v>262</v>
      </c>
      <c r="C129" s="239">
        <f>Scenarios!C83</f>
        <v>44.107282041660923</v>
      </c>
      <c r="D129" s="47" t="str">
        <f>Reporting_currency</f>
        <v>CNY</v>
      </c>
    </row>
    <row r="130" spans="1:6" x14ac:dyDescent="0.35">
      <c r="B130" s="238" t="s">
        <v>264</v>
      </c>
      <c r="C130" s="92">
        <f>Scenarios!F83</f>
        <v>0.43634865781330423</v>
      </c>
    </row>
    <row r="132" spans="1:6" ht="13.9" x14ac:dyDescent="0.45">
      <c r="A132" s="247" t="s">
        <v>389</v>
      </c>
      <c r="B132" s="36"/>
      <c r="C132" s="36"/>
      <c r="D132" s="36"/>
      <c r="E132" s="36"/>
      <c r="F132" s="36"/>
    </row>
    <row r="134" spans="1:6" x14ac:dyDescent="0.35">
      <c r="B134" s="343" t="s">
        <v>391</v>
      </c>
      <c r="C134" s="336"/>
      <c r="D134" s="336"/>
      <c r="E134" s="336"/>
      <c r="F134" s="336"/>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7" t="s">
        <v>396</v>
      </c>
      <c r="C143" s="337"/>
      <c r="D143" s="337"/>
      <c r="E143" s="337"/>
      <c r="F143" s="337"/>
    </row>
    <row r="145" spans="2:6" x14ac:dyDescent="0.35">
      <c r="B145" s="1" t="s">
        <v>400</v>
      </c>
    </row>
    <row r="146" spans="2:6" ht="24.4" customHeight="1" x14ac:dyDescent="0.35">
      <c r="B146" s="342" t="s">
        <v>397</v>
      </c>
      <c r="C146" s="342"/>
      <c r="D146" s="342"/>
      <c r="E146" s="342"/>
      <c r="F146" s="342"/>
    </row>
    <row r="147" spans="2:6" ht="24.4" customHeight="1" x14ac:dyDescent="0.35">
      <c r="B147" s="342" t="s">
        <v>398</v>
      </c>
      <c r="C147" s="342"/>
      <c r="D147" s="342"/>
      <c r="E147" s="342"/>
      <c r="F147" s="342"/>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v>33936522741</v>
      </c>
      <c r="E4" s="181">
        <v>32171565624</v>
      </c>
      <c r="F4" s="181">
        <v>30166805377</v>
      </c>
      <c r="G4" s="181">
        <v>27759710926</v>
      </c>
      <c r="H4" s="181"/>
      <c r="I4" s="181"/>
      <c r="J4" s="181"/>
      <c r="K4" s="181"/>
      <c r="L4" s="181"/>
      <c r="M4" s="181"/>
    </row>
    <row r="5" spans="2:13" x14ac:dyDescent="0.35">
      <c r="B5" s="40" t="s">
        <v>44</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x14ac:dyDescent="0.35">
      <c r="B6" s="40" t="s">
        <v>55</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x14ac:dyDescent="0.35">
      <c r="B7" s="69" t="s">
        <v>62</v>
      </c>
      <c r="C7" s="189">
        <v>4602519864</v>
      </c>
      <c r="D7" s="189">
        <v>4708402798</v>
      </c>
      <c r="E7" s="189">
        <v>4199502747</v>
      </c>
      <c r="F7" s="189">
        <v>4096874125</v>
      </c>
      <c r="G7" s="189">
        <v>4984549837</v>
      </c>
      <c r="H7" s="189"/>
      <c r="I7" s="189"/>
      <c r="J7" s="189"/>
      <c r="K7" s="189"/>
      <c r="L7" s="189"/>
      <c r="M7" s="189"/>
    </row>
    <row r="8" spans="2:13" x14ac:dyDescent="0.35">
      <c r="B8" s="40" t="s">
        <v>50</v>
      </c>
      <c r="C8" s="181">
        <v>102766675</v>
      </c>
      <c r="D8" s="181">
        <v>100637006</v>
      </c>
      <c r="E8" s="181">
        <v>62954899</v>
      </c>
      <c r="F8" s="181">
        <v>30890245</v>
      </c>
      <c r="G8" s="181">
        <v>21467092</v>
      </c>
      <c r="H8" s="181"/>
      <c r="I8" s="181"/>
      <c r="J8" s="181"/>
      <c r="K8" s="181"/>
      <c r="L8" s="181"/>
      <c r="M8" s="181"/>
    </row>
    <row r="9" spans="2:13" x14ac:dyDescent="0.35">
      <c r="B9" s="40" t="s">
        <v>161</v>
      </c>
      <c r="C9" s="181">
        <v>48272283</v>
      </c>
      <c r="D9" s="181">
        <v>15798284</v>
      </c>
      <c r="E9" s="181">
        <v>19873379</v>
      </c>
      <c r="F9" s="181">
        <v>20561728</v>
      </c>
      <c r="G9" s="181">
        <v>18098320</v>
      </c>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v>16430590</v>
      </c>
      <c r="E12" s="181">
        <v>9237800</v>
      </c>
      <c r="F12" s="181">
        <v>22685367</v>
      </c>
      <c r="G12" s="181">
        <v>13662682</v>
      </c>
      <c r="H12" s="181"/>
      <c r="I12" s="181"/>
      <c r="J12" s="181"/>
      <c r="K12" s="181"/>
      <c r="L12" s="181"/>
      <c r="M12" s="181"/>
    </row>
    <row r="13" spans="2:13" x14ac:dyDescent="0.35">
      <c r="B13" s="40" t="s">
        <v>68</v>
      </c>
      <c r="C13" s="181">
        <v>616771200</v>
      </c>
      <c r="D13" s="181">
        <v>506376003</v>
      </c>
      <c r="E13" s="181">
        <v>459661656</v>
      </c>
      <c r="F13" s="181">
        <v>315648307</v>
      </c>
      <c r="G13" s="181">
        <v>524029340</v>
      </c>
      <c r="H13" s="181"/>
      <c r="I13" s="181"/>
      <c r="J13" s="181"/>
      <c r="K13" s="181"/>
      <c r="L13" s="181"/>
      <c r="M13" s="181"/>
    </row>
    <row r="14" spans="2:13" x14ac:dyDescent="0.35">
      <c r="B14" s="40" t="s">
        <v>51</v>
      </c>
      <c r="C14" s="181">
        <v>1389716314</v>
      </c>
      <c r="D14" s="181">
        <v>1398208378</v>
      </c>
      <c r="E14" s="181">
        <v>1201419808</v>
      </c>
      <c r="F14" s="181">
        <v>1222731595</v>
      </c>
      <c r="G14" s="181">
        <v>912580519</v>
      </c>
      <c r="H14" s="181"/>
      <c r="I14" s="181"/>
      <c r="J14" s="181"/>
      <c r="K14" s="181"/>
      <c r="L14" s="181"/>
      <c r="M14" s="181"/>
    </row>
    <row r="15" spans="2:13" x14ac:dyDescent="0.35">
      <c r="B15" s="43" t="s">
        <v>43</v>
      </c>
      <c r="C15" s="182">
        <v>4491776686</v>
      </c>
      <c r="D15" s="182">
        <v>4348198924</v>
      </c>
      <c r="E15" s="182">
        <v>3804721478</v>
      </c>
      <c r="F15" s="182">
        <v>3256243870</v>
      </c>
      <c r="G15" s="182">
        <v>2326968805</v>
      </c>
      <c r="H15" s="182"/>
      <c r="I15" s="182"/>
      <c r="J15" s="182"/>
      <c r="K15" s="182"/>
      <c r="L15" s="182"/>
      <c r="M15" s="182"/>
    </row>
    <row r="16" spans="2:13" x14ac:dyDescent="0.35">
      <c r="B16" s="28" t="s">
        <v>45</v>
      </c>
      <c r="C16" s="181">
        <v>146792828</v>
      </c>
      <c r="D16" s="181">
        <v>80347518</v>
      </c>
      <c r="E16" s="181">
        <v>94092885</v>
      </c>
      <c r="F16" s="181">
        <v>100788060</v>
      </c>
      <c r="G16" s="181">
        <v>125645249</v>
      </c>
      <c r="H16" s="181"/>
      <c r="I16" s="181"/>
      <c r="J16" s="181"/>
      <c r="K16" s="181"/>
      <c r="L16" s="181"/>
      <c r="M16" s="181"/>
    </row>
    <row r="18" spans="2:13" x14ac:dyDescent="0.35">
      <c r="B18" s="16" t="s">
        <v>52</v>
      </c>
      <c r="C18" s="9"/>
    </row>
    <row r="19" spans="2:13" x14ac:dyDescent="0.35">
      <c r="B19" s="27" t="s">
        <v>48</v>
      </c>
      <c r="C19" s="181">
        <v>1191305772</v>
      </c>
      <c r="D19" s="181">
        <v>1140399624</v>
      </c>
      <c r="E19" s="181">
        <v>1083856796</v>
      </c>
      <c r="F19" s="181">
        <v>1109733268</v>
      </c>
      <c r="G19" s="181"/>
      <c r="H19" s="181"/>
      <c r="I19" s="181"/>
      <c r="J19" s="181"/>
      <c r="K19" s="181"/>
      <c r="L19" s="181"/>
      <c r="M19" s="181"/>
    </row>
    <row r="20" spans="2:13" x14ac:dyDescent="0.35">
      <c r="B20" s="27" t="s">
        <v>54</v>
      </c>
      <c r="C20" s="181">
        <f>C19</f>
        <v>1191305772</v>
      </c>
      <c r="D20" s="181">
        <f>D19</f>
        <v>1140399624</v>
      </c>
      <c r="E20" s="181">
        <f>E19</f>
        <v>1083856796</v>
      </c>
      <c r="F20" s="181">
        <f>F19</f>
        <v>1109733268</v>
      </c>
      <c r="G20" s="181"/>
      <c r="H20" s="181"/>
      <c r="I20" s="181"/>
      <c r="J20" s="181"/>
      <c r="K20" s="181"/>
      <c r="L20" s="181"/>
      <c r="M20" s="181"/>
    </row>
    <row r="21" spans="2:13" x14ac:dyDescent="0.35">
      <c r="B21" s="27" t="s">
        <v>53</v>
      </c>
      <c r="C21" s="181">
        <v>583532518</v>
      </c>
      <c r="D21" s="181">
        <v>1575918543</v>
      </c>
      <c r="E21" s="181">
        <v>878667968</v>
      </c>
      <c r="F21" s="181">
        <v>2804548241</v>
      </c>
      <c r="G21" s="181"/>
      <c r="H21" s="181"/>
      <c r="I21" s="181"/>
      <c r="J21" s="181"/>
      <c r="K21" s="181"/>
      <c r="L21" s="181"/>
      <c r="M21" s="181"/>
    </row>
    <row r="22" spans="2:13" x14ac:dyDescent="0.35">
      <c r="B22" s="27" t="s">
        <v>386</v>
      </c>
      <c r="C22" s="181">
        <v>5154661132</v>
      </c>
      <c r="D22" s="181">
        <v>2777567140</v>
      </c>
      <c r="E22" s="181">
        <v>4878771322</v>
      </c>
      <c r="F22" s="181">
        <v>6043111455</v>
      </c>
      <c r="G22" s="181">
        <v>4953422362</v>
      </c>
      <c r="H22" s="181"/>
      <c r="I22" s="181"/>
      <c r="J22" s="181"/>
      <c r="K22" s="181"/>
      <c r="L22" s="181"/>
      <c r="M22" s="181"/>
    </row>
    <row r="23" spans="2:13" x14ac:dyDescent="0.35">
      <c r="B23" s="27" t="s">
        <v>388</v>
      </c>
      <c r="C23" s="181">
        <v>-7421783375</v>
      </c>
      <c r="D23" s="181">
        <v>-3462971412</v>
      </c>
      <c r="E23" s="181">
        <v>-2199108158</v>
      </c>
      <c r="F23" s="181">
        <v>-10249763562</v>
      </c>
      <c r="G23" s="181">
        <v>-1487738165</v>
      </c>
      <c r="H23" s="181"/>
      <c r="I23" s="181"/>
      <c r="J23" s="181"/>
      <c r="K23" s="181"/>
      <c r="L23" s="181"/>
      <c r="M23" s="181"/>
    </row>
    <row r="24" spans="2:13" x14ac:dyDescent="0.35">
      <c r="B24" s="27" t="s">
        <v>387</v>
      </c>
      <c r="C24" s="181">
        <v>-2983143705</v>
      </c>
      <c r="D24" s="181">
        <v>-2868065880</v>
      </c>
      <c r="E24" s="181">
        <v>-1675712527</v>
      </c>
      <c r="F24" s="181">
        <v>-1613622636</v>
      </c>
      <c r="G24" s="181">
        <v>-356090851</v>
      </c>
      <c r="H24" s="181"/>
      <c r="I24" s="181"/>
      <c r="J24" s="181"/>
      <c r="K24" s="181"/>
      <c r="L24" s="181"/>
      <c r="M24" s="181"/>
    </row>
    <row r="25" spans="2:13" x14ac:dyDescent="0.35">
      <c r="B25" s="24" t="str">
        <f>"Dividend per share ("&amp;Market_currency&amp;")"</f>
        <v>Dividend per share (HKD)</v>
      </c>
      <c r="C25" s="39">
        <f>2.2/Exchange_Rate</f>
        <v>2.0706254578317598</v>
      </c>
      <c r="D25" s="39">
        <f>2/Exchange_Rate</f>
        <v>1.8823867798470544</v>
      </c>
      <c r="E25" s="39">
        <f>1.3/Exchange_Rate</f>
        <v>1.2235514069005853</v>
      </c>
      <c r="F25" s="39">
        <f>1.1/Exchange_Rate</f>
        <v>1.0353127289158799</v>
      </c>
      <c r="G25" s="39">
        <f>0.75/Exchange_Rate</f>
        <v>0.70589504244264534</v>
      </c>
      <c r="H25" s="39"/>
      <c r="I25" s="39"/>
      <c r="J25" s="39"/>
      <c r="K25" s="39"/>
      <c r="L25" s="39"/>
      <c r="M25" s="39"/>
    </row>
    <row r="27" spans="2:13" x14ac:dyDescent="0.35">
      <c r="B27" s="16" t="s">
        <v>28</v>
      </c>
      <c r="C27" s="97" t="s">
        <v>415</v>
      </c>
    </row>
    <row r="28" spans="2:13" x14ac:dyDescent="0.35">
      <c r="B28" s="26" t="s">
        <v>24</v>
      </c>
      <c r="C28" s="183">
        <f>BS!C4</f>
        <v>185704725</v>
      </c>
      <c r="D28" s="181">
        <v>100391321</v>
      </c>
      <c r="E28" s="181">
        <v>124099728</v>
      </c>
      <c r="F28" s="181">
        <v>124929816</v>
      </c>
      <c r="G28" s="181">
        <v>125155008</v>
      </c>
      <c r="H28" s="181"/>
      <c r="I28" s="181"/>
      <c r="J28" s="181"/>
      <c r="K28" s="181"/>
      <c r="L28" s="181"/>
      <c r="M28" s="181"/>
    </row>
    <row r="29" spans="2:13" x14ac:dyDescent="0.35">
      <c r="B29" s="26" t="s">
        <v>32</v>
      </c>
      <c r="C29" s="183">
        <f>BS!C6</f>
        <v>3576387537</v>
      </c>
      <c r="D29" s="181">
        <v>3539828305</v>
      </c>
      <c r="E29" s="181">
        <v>4152187132</v>
      </c>
      <c r="F29" s="181">
        <v>3492997857</v>
      </c>
      <c r="G29" s="181">
        <v>3281033526</v>
      </c>
      <c r="H29" s="181"/>
      <c r="I29" s="181"/>
      <c r="J29" s="181"/>
      <c r="K29" s="181"/>
      <c r="L29" s="181"/>
      <c r="M29" s="181"/>
    </row>
    <row r="30" spans="2:13" x14ac:dyDescent="0.35">
      <c r="B30" s="29" t="s">
        <v>40</v>
      </c>
      <c r="C30" s="186">
        <f>BS!C33+BS!C42</f>
        <v>21560843821</v>
      </c>
      <c r="D30" s="182">
        <v>21001264174</v>
      </c>
      <c r="E30" s="182">
        <v>24039387261</v>
      </c>
      <c r="F30" s="182">
        <v>22769313149</v>
      </c>
      <c r="G30" s="182">
        <v>20146133669</v>
      </c>
      <c r="H30" s="182"/>
      <c r="I30" s="182"/>
      <c r="J30" s="182"/>
      <c r="K30" s="182"/>
      <c r="L30" s="182"/>
      <c r="M30" s="182"/>
    </row>
    <row r="31" spans="2:13" x14ac:dyDescent="0.35">
      <c r="B31" s="29" t="s">
        <v>30</v>
      </c>
      <c r="C31" s="186">
        <f>BS!G27</f>
        <v>29859542011</v>
      </c>
      <c r="D31" s="182">
        <v>28254747175</v>
      </c>
      <c r="E31" s="182">
        <v>26272312535</v>
      </c>
      <c r="F31" s="182">
        <v>23793691342</v>
      </c>
      <c r="G31" s="182">
        <v>21368052166</v>
      </c>
      <c r="H31" s="182"/>
      <c r="I31" s="182"/>
      <c r="J31" s="182"/>
      <c r="K31" s="182"/>
      <c r="L31" s="182"/>
      <c r="M31" s="182"/>
    </row>
    <row r="32" spans="2:13" x14ac:dyDescent="0.35">
      <c r="B32" s="26" t="s">
        <v>174</v>
      </c>
      <c r="C32" s="183">
        <f>BS!G28</f>
        <v>799157484</v>
      </c>
      <c r="D32" s="181">
        <v>805268959</v>
      </c>
      <c r="E32" s="181">
        <v>777490832</v>
      </c>
      <c r="F32" s="181">
        <v>791846744</v>
      </c>
      <c r="G32" s="182">
        <v>746091651</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409</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2.0706254578317598</v>
      </c>
      <c r="D65" s="73">
        <f t="shared" ref="D65:M65" si="33">IF(D$4="","",D25)</f>
        <v>1.8823867798470544</v>
      </c>
      <c r="E65" s="73">
        <f t="shared" si="33"/>
        <v>1.2235514069005853</v>
      </c>
      <c r="F65" s="73">
        <f t="shared" si="33"/>
        <v>1.0353127289158799</v>
      </c>
      <c r="G65" s="73">
        <f t="shared" si="33"/>
        <v>0.70589504244264534</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x14ac:dyDescent="0.35">
      <c r="B78" s="93" t="s">
        <v>88</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x14ac:dyDescent="0.35">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Normalized_FCF!G1</f>
        <v>45657</v>
      </c>
      <c r="F1" s="86" t="str">
        <f>IF(MONTH(C1)=MONTH(Normalized_FCF!G1),"FY","Quarter")&amp;" Report"</f>
        <v>FY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29060384527</v>
      </c>
      <c r="D46" s="188">
        <f>H29</f>
        <v>1695561271.1999969</v>
      </c>
      <c r="F46" s="283"/>
    </row>
    <row r="47" spans="2:8" ht="15" customHeight="1" x14ac:dyDescent="0.35">
      <c r="B47" s="1" t="str">
        <f>"Equity per share ("&amp;Market_currency&amp;")"</f>
        <v>Equity per share (HKD)</v>
      </c>
      <c r="C47" s="148">
        <f>C46*H1/Common_Shares*Exchange_Rate</f>
        <v>22.633174171198114</v>
      </c>
      <c r="D47" s="148">
        <f>D46*H1/Common_Shares*Exchange_Rate</f>
        <v>1.3205583543931616</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7.3592411949940734E-2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0.1361278920921285</v>
      </c>
      <c r="D54" s="92">
        <f>Normalized_FCF!G8/G35</f>
        <v>0.15753043334415495</v>
      </c>
      <c r="F54" s="283"/>
    </row>
    <row r="55" spans="2:8" ht="15" customHeight="1" x14ac:dyDescent="0.35">
      <c r="B55" s="1" t="s">
        <v>143</v>
      </c>
      <c r="C55" s="92">
        <f>Normalized_FCF!C11/G40</f>
        <v>0</v>
      </c>
      <c r="D55" s="92">
        <f>Normalized_FCF!G11/G40</f>
        <v>2.1050212495974641E-3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2.749989365273205E-2</v>
      </c>
      <c r="D62" s="92">
        <f>G28/G29</f>
        <v>2.749989365273205E-2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17978772896</v>
      </c>
      <c r="D66" s="188">
        <f>C66-D75</f>
        <v>12803797314.055439</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-2539564844.3937597</v>
      </c>
      <c r="D73" s="188">
        <f>(Normalized_FCF!C25+Normalized_FCF!C35-Normalized_FCF!C91)/12</f>
        <v>-2587487790.97228</v>
      </c>
      <c r="F73" s="1" t="s">
        <v>363</v>
      </c>
    </row>
    <row r="74" spans="2:6" ht="15" customHeight="1" x14ac:dyDescent="0.35">
      <c r="B74" s="288" t="s">
        <v>333</v>
      </c>
      <c r="C74" s="289">
        <f>-$C$66/C73</f>
        <v>7.0794699082755104</v>
      </c>
      <c r="D74" s="289">
        <f>-$C$66/D73</f>
        <v>6.948350812988477</v>
      </c>
      <c r="F74" s="283" t="s">
        <v>330</v>
      </c>
    </row>
    <row r="75" spans="2:6" ht="15" customHeight="1" x14ac:dyDescent="0.35">
      <c r="B75" s="80" t="s">
        <v>331</v>
      </c>
      <c r="C75" s="293"/>
      <c r="D75" s="292">
        <f>MAX(-D73*D76,G5)</f>
        <v>5174975581.9445601</v>
      </c>
      <c r="F75" s="283" t="s">
        <v>364</v>
      </c>
    </row>
    <row r="76" spans="2:6" ht="15" customHeight="1" x14ac:dyDescent="0.35">
      <c r="B76" s="290" t="s">
        <v>334</v>
      </c>
      <c r="C76" s="291"/>
      <c r="D76" s="327">
        <f>IF(D74&lt;=3,1,IF(D74&gt;18,6,2))</f>
        <v>2</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-303228205.86658466</v>
      </c>
      <c r="D86" s="248">
        <f>C86*$H$1/Common_Shares</f>
        <v>-0.22227600045235163</v>
      </c>
      <c r="E86" s="269" t="str">
        <f>Market_currency</f>
        <v>HKD</v>
      </c>
    </row>
    <row r="87" spans="2:8" ht="15" customHeight="1" x14ac:dyDescent="0.35">
      <c r="B87" s="267" t="s">
        <v>297</v>
      </c>
      <c r="C87" s="188">
        <f>Valuation_Model!C8*Exchange_Rate</f>
        <v>13603790093.655205</v>
      </c>
      <c r="D87" s="248">
        <f>C87*$H$1/Common_Shares</f>
        <v>9.9720144581187835</v>
      </c>
      <c r="E87" s="269" t="str">
        <f>Market_currency</f>
        <v>HKD</v>
      </c>
    </row>
    <row r="88" spans="2:8" ht="15" customHeight="1" x14ac:dyDescent="0.35">
      <c r="B88" s="268" t="s">
        <v>191</v>
      </c>
      <c r="C88" s="188">
        <f>Valuation_Model!C9*Exchange_Rate</f>
        <v>2927572170.6076579</v>
      </c>
      <c r="D88" s="248">
        <f>C88*$H$1/Common_Shares</f>
        <v>2.1460042981772935</v>
      </c>
      <c r="E88" s="269" t="str">
        <f>Market_currency</f>
        <v>HKD</v>
      </c>
    </row>
    <row r="89" spans="2:8" ht="15" customHeight="1" x14ac:dyDescent="0.35">
      <c r="B89" s="80" t="s">
        <v>301</v>
      </c>
      <c r="C89" s="187">
        <f>SUM(C86:C88)</f>
        <v>16228134058.396278</v>
      </c>
      <c r="D89" s="271">
        <f>SUM(D86:D88)</f>
        <v>11.895742755843726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155693187.80848101</v>
      </c>
      <c r="E12" s="302"/>
      <c r="G12" s="191">
        <f>G50</f>
        <v>155693187.80848101</v>
      </c>
      <c r="H12" s="191">
        <f t="shared" ref="H12:Q12" si="6">H50</f>
        <v>129323709.58240932</v>
      </c>
      <c r="I12" s="191">
        <f t="shared" si="6"/>
        <v>123070331.34557323</v>
      </c>
      <c r="J12" s="191">
        <f t="shared" si="6"/>
        <v>68170237.587483406</v>
      </c>
      <c r="K12" s="191">
        <f t="shared" si="6"/>
        <v>137172920.3188805</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4033761258.1162357</v>
      </c>
      <c r="E13" s="302"/>
      <c r="G13" s="184">
        <f>IF(G$4="","",SUM(G8:G12))</f>
        <v>4691758047.8084812</v>
      </c>
      <c r="H13" s="184">
        <f t="shared" ref="H13:Q13" si="7">IF(H$4="","",SUM(H8:H12))</f>
        <v>4549991501.5824089</v>
      </c>
      <c r="I13" s="184">
        <f t="shared" si="7"/>
        <v>3870023539.3455734</v>
      </c>
      <c r="J13" s="184">
        <f t="shared" si="7"/>
        <v>3025261237.5874834</v>
      </c>
      <c r="K13" s="184">
        <f t="shared" si="7"/>
        <v>2471232792.3188806</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-1008440314.5290589</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2878686379.1155</v>
      </c>
      <c r="D16" s="61"/>
      <c r="E16" s="310"/>
      <c r="F16" s="61"/>
      <c r="G16" s="184">
        <f>IF(G$4="","",SUM(G13:G15))</f>
        <v>3155248905.8084812</v>
      </c>
      <c r="H16" s="184">
        <f t="shared" ref="H16:Q16" si="8">IF(H$4="","",SUM(H13:H15))</f>
        <v>3071435605.5824089</v>
      </c>
      <c r="I16" s="184">
        <f t="shared" si="8"/>
        <v>2574510846.3455734</v>
      </c>
      <c r="J16" s="184">
        <f t="shared" si="8"/>
        <v>1701741582.5874834</v>
      </c>
      <c r="K16" s="184">
        <f t="shared" si="8"/>
        <v>1433007024.3188806</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2878686379.1155</v>
      </c>
      <c r="D19" s="27"/>
      <c r="E19" s="299"/>
      <c r="F19" s="27"/>
      <c r="G19" s="186">
        <f>IF(G$4="","",G16+G17)</f>
        <v>3155248905.8084812</v>
      </c>
      <c r="H19" s="186">
        <f t="shared" ref="H19:Q19" si="9">IF(H$4="","",H16+H17)</f>
        <v>3071435605.5824089</v>
      </c>
      <c r="I19" s="186">
        <f t="shared" si="9"/>
        <v>2574510846.3455734</v>
      </c>
      <c r="J19" s="186">
        <f t="shared" si="9"/>
        <v>1701741582.5874834</v>
      </c>
      <c r="K19" s="186">
        <f t="shared" si="9"/>
        <v>1433007024.3188806</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0.69237393830888427</v>
      </c>
      <c r="D28" s="26"/>
      <c r="E28" s="300" t="s">
        <v>345</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0.13707383351548572</v>
      </c>
      <c r="D29" s="26"/>
      <c r="E29" s="300" t="s">
        <v>345</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-1522888768.25</v>
      </c>
      <c r="E33" s="300" t="s">
        <v>345</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-74312206.25</v>
      </c>
      <c r="D34" s="58"/>
      <c r="E34" s="300" t="s">
        <v>345</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0.29620374704725794</v>
      </c>
      <c r="H43" s="6">
        <f t="shared" si="18"/>
        <v>0.30729911858378794</v>
      </c>
      <c r="I43" s="6">
        <f t="shared" si="18"/>
        <v>0.31044250655983396</v>
      </c>
      <c r="J43" s="6">
        <f t="shared" si="18"/>
        <v>0.40417388746734356</v>
      </c>
      <c r="K43" s="6">
        <f t="shared" si="18"/>
        <v>0.36928148648581194</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177530241.80848101</v>
      </c>
      <c r="E48" s="302"/>
      <c r="G48" s="328">
        <f>IFERROR(IF(G$4="","",($C$48/$C$49)*G49),0)</f>
        <v>177530241.80848101</v>
      </c>
      <c r="H48" s="328">
        <f t="shared" ref="H48:Q48" si="19">IFERROR(IF(H$4="","",($C$48/$C$49)*H49),0)</f>
        <v>145754299.58240932</v>
      </c>
      <c r="I48" s="328">
        <f t="shared" si="19"/>
        <v>132308131.34557323</v>
      </c>
      <c r="J48" s="328">
        <f t="shared" si="19"/>
        <v>90855604.587483406</v>
      </c>
      <c r="K48" s="328">
        <f t="shared" si="19"/>
        <v>150835602.3188805</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155693187.80848101</v>
      </c>
      <c r="E50" s="302"/>
      <c r="G50" s="184">
        <f>IF(G$4="","",(G47+G48))</f>
        <v>155693187.80848101</v>
      </c>
      <c r="H50" s="184">
        <f t="shared" ref="H50:Q50" si="20">IF(H$4="","",(H47+H48))</f>
        <v>129323709.58240932</v>
      </c>
      <c r="I50" s="184">
        <f t="shared" si="20"/>
        <v>123070331.34557323</v>
      </c>
      <c r="J50" s="184">
        <f t="shared" si="20"/>
        <v>68170237.587483406</v>
      </c>
      <c r="K50" s="184">
        <f t="shared" si="20"/>
        <v>137172920.3188805</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347</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348</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2.684959828973636E-3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3.7108652048024243E-2</v>
      </c>
      <c r="D78" s="27"/>
      <c r="E78" s="300" t="s">
        <v>366</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4.8497744814356624E-3</v>
      </c>
      <c r="D80" s="27"/>
      <c r="E80" s="299"/>
      <c r="F80" s="27"/>
      <c r="G80" s="6">
        <f t="shared" ref="G80:Q80" si="31">IF(G$4="","",ABS(G12/G$4))</f>
        <v>4.8445457353759238E-3</v>
      </c>
      <c r="H80" s="6">
        <f t="shared" si="31"/>
        <v>3.8107531101343049E-3</v>
      </c>
      <c r="I80" s="6">
        <f t="shared" si="31"/>
        <v>3.8254380524696228E-3</v>
      </c>
      <c r="J80" s="6">
        <f t="shared" si="31"/>
        <v>2.2597764906010986E-3</v>
      </c>
      <c r="K80" s="6">
        <f t="shared" si="31"/>
        <v>4.941439076384729E-3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0.12564989315961772</v>
      </c>
      <c r="D81" s="27"/>
      <c r="E81" s="299"/>
      <c r="F81" s="27"/>
      <c r="G81" s="65">
        <f t="shared" ref="G81:Q81" si="32">IF(G$4="","",G13/G$4)</f>
        <v>0.14598863805066312</v>
      </c>
      <c r="H81" s="65">
        <f t="shared" si="32"/>
        <v>0.13407359193242835</v>
      </c>
      <c r="I81" s="65">
        <f t="shared" si="32"/>
        <v>0.12029329205099469</v>
      </c>
      <c r="J81" s="65">
        <f t="shared" si="32"/>
        <v>0.10028444178229179</v>
      </c>
      <c r="K81" s="65">
        <f t="shared" si="32"/>
        <v>8.9022281208422135E-2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3.141247328990443E-2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8.9669817530258628E-2</v>
      </c>
      <c r="D84" s="27"/>
      <c r="E84" s="299"/>
      <c r="F84" s="27"/>
      <c r="G84" s="65">
        <f t="shared" ref="G84:Q84" si="35">IF(G$4="","",ABS(G16/G$4))</f>
        <v>9.8178654094276147E-2</v>
      </c>
      <c r="H84" s="65">
        <f t="shared" si="35"/>
        <v>9.0505312787149253E-2</v>
      </c>
      <c r="I84" s="65">
        <f t="shared" si="35"/>
        <v>8.0024418967816327E-2</v>
      </c>
      <c r="J84" s="65">
        <f t="shared" si="35"/>
        <v>5.6411063794144338E-2</v>
      </c>
      <c r="K84" s="65">
        <f t="shared" si="35"/>
        <v>5.1621828056455481E-2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8.9669817530258628E-2</v>
      </c>
      <c r="D87" s="75"/>
      <c r="E87" s="299"/>
      <c r="F87" s="75"/>
      <c r="G87" s="65">
        <f t="shared" ref="G87:Q87" si="36">IF(G$4="","",ABS(G19/G$4))</f>
        <v>9.8178654094276147E-2</v>
      </c>
      <c r="H87" s="65">
        <f t="shared" si="36"/>
        <v>9.0505312787149253E-2</v>
      </c>
      <c r="I87" s="65">
        <f t="shared" si="36"/>
        <v>8.0024418967816327E-2</v>
      </c>
      <c r="J87" s="65">
        <f t="shared" si="36"/>
        <v>5.6411063794144338E-2</v>
      </c>
      <c r="K87" s="65">
        <f t="shared" si="36"/>
        <v>5.1621828056455481E-2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2.0706254578317598</v>
      </c>
      <c r="E90" s="302"/>
      <c r="G90" s="113">
        <f>Data!C65</f>
        <v>2.0706254578317598</v>
      </c>
      <c r="H90" s="113">
        <f>Data!D65</f>
        <v>1.8823867798470544</v>
      </c>
      <c r="I90" s="113">
        <f>Data!E65</f>
        <v>1.2235514069005853</v>
      </c>
      <c r="J90" s="113">
        <f>Data!F65</f>
        <v>1.0353127289158799</v>
      </c>
      <c r="K90" s="113">
        <f>Data!G65</f>
        <v>0.70589504244264534</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2824740598.7251163</v>
      </c>
      <c r="E91" s="302"/>
      <c r="G91" s="74">
        <f t="shared" ref="G91:Q91" si="37">IF(G$4="","",G90*Common_Shares/$C$3)</f>
        <v>2824740598.7251163</v>
      </c>
      <c r="H91" s="74">
        <f t="shared" si="37"/>
        <v>2567945998.8410149</v>
      </c>
      <c r="I91" s="74">
        <f t="shared" si="37"/>
        <v>1669164899.2466595</v>
      </c>
      <c r="J91" s="74">
        <f t="shared" si="37"/>
        <v>1412370299.3625581</v>
      </c>
      <c r="K91" s="74">
        <f t="shared" si="37"/>
        <v>962979749.56538045</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0.98126027872235277</v>
      </c>
      <c r="E92" s="302"/>
      <c r="G92" s="171">
        <f t="shared" ref="G92:Q92" si="38">IF(G$4="","",G90/(G19*$C$3/Common_Shares))</f>
        <v>0.89525127273638105</v>
      </c>
      <c r="H92" s="171">
        <f t="shared" si="38"/>
        <v>0.83607352671620738</v>
      </c>
      <c r="I92" s="171">
        <f t="shared" si="38"/>
        <v>0.64834253917243334</v>
      </c>
      <c r="J92" s="171">
        <f t="shared" si="38"/>
        <v>0.82995580164119942</v>
      </c>
      <c r="K92" s="171">
        <f t="shared" si="38"/>
        <v>0.67199932255956119</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3.456803769335158E-2</v>
      </c>
      <c r="E93" s="302"/>
      <c r="G93" s="23">
        <f t="shared" ref="G93:Q93" si="39">IF(G$4="","",G90/Market_Price)</f>
        <v>3.456803769335158E-2</v>
      </c>
      <c r="H93" s="23">
        <f t="shared" si="39"/>
        <v>3.1425488812137803E-2</v>
      </c>
      <c r="I93" s="23">
        <f t="shared" si="39"/>
        <v>2.0426567727889571E-2</v>
      </c>
      <c r="J93" s="23">
        <f t="shared" si="39"/>
        <v>1.728401884667579E-2</v>
      </c>
      <c r="K93" s="23">
        <f t="shared" si="39"/>
        <v>1.1784558304551676E-2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-0.14024525199026316</v>
      </c>
      <c r="D97" s="27"/>
      <c r="E97" s="299"/>
      <c r="F97" s="27"/>
      <c r="G97" s="6">
        <f t="shared" ref="G97:Q97" si="41">IF(H5="","",G13/H13-1)</f>
        <v>3.1157540882607915E-2</v>
      </c>
      <c r="H97" s="6">
        <f t="shared" si="41"/>
        <v>0.17570124711743196</v>
      </c>
      <c r="I97" s="6">
        <f t="shared" si="41"/>
        <v>0.27923615034044191</v>
      </c>
      <c r="J97" s="6">
        <f t="shared" si="41"/>
        <v>0.22419111910081546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408</v>
      </c>
      <c r="C114" s="170"/>
      <c r="E114" s="302"/>
      <c r="G114" s="334">
        <f>IF(G$4="","",Data!C$22/G19)</f>
        <v>1.6336781299601471</v>
      </c>
      <c r="H114" s="334">
        <f>IF(H$4="","",Data!D$22/H19)</f>
        <v>0.90432211404715901</v>
      </c>
      <c r="I114" s="334">
        <f>IF(I$4="","",Data!E$22/I19)</f>
        <v>1.8950284590664057</v>
      </c>
      <c r="J114" s="334">
        <f>IF(J$4="","",Data!F$22/J19)</f>
        <v>3.5511334487175787</v>
      </c>
      <c r="K114" s="334">
        <f>IF(K$4="","",Data!G$22/K19)</f>
        <v>3.4566630016028013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0.12564989315961772</v>
      </c>
      <c r="E117" s="302"/>
      <c r="G117" s="23">
        <f t="shared" ref="G117:Q117" si="45">G81</f>
        <v>0.14598863805066312</v>
      </c>
      <c r="H117" s="23">
        <f t="shared" si="45"/>
        <v>0.13407359193242835</v>
      </c>
      <c r="I117" s="23">
        <f t="shared" si="45"/>
        <v>0.12029329205099469</v>
      </c>
      <c r="J117" s="23">
        <f t="shared" si="45"/>
        <v>0.10028444178229179</v>
      </c>
      <c r="K117" s="23">
        <f t="shared" si="45"/>
        <v>8.9022281208422135E-2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2.2420147311623619</v>
      </c>
      <c r="D124" s="27"/>
      <c r="E124" s="299"/>
      <c r="F124" s="27"/>
      <c r="G124" s="178">
        <f t="shared" ref="G124:Q124" si="49">IF(G$4="","",G16*$C$3/Common_Shares*Exchange_Rate)</f>
        <v>2.4574106365418373</v>
      </c>
      <c r="H124" s="178">
        <f t="shared" si="49"/>
        <v>2.3921341079357847</v>
      </c>
      <c r="I124" s="178">
        <f t="shared" si="49"/>
        <v>2.0051129170999094</v>
      </c>
      <c r="J124" s="178">
        <f t="shared" si="49"/>
        <v>1.3253717822380429</v>
      </c>
      <c r="K124" s="178">
        <f t="shared" si="49"/>
        <v>1.1160725536795841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3.7429294343278158E-2</v>
      </c>
      <c r="D125" s="27"/>
      <c r="E125" s="299"/>
      <c r="F125" s="27"/>
      <c r="G125" s="77">
        <f t="shared" ref="G125" si="50">IF(G$4="","",G124/Market_Price)</f>
        <v>4.1025219307877087E-2</v>
      </c>
      <c r="H125" s="77">
        <f t="shared" ref="H125" si="51">IF(H$4="","",H124/Market_Price)</f>
        <v>3.9935460900430465E-2</v>
      </c>
      <c r="I125" s="77">
        <f t="shared" ref="I125" si="52">IF(I$4="","",I124/Market_Price)</f>
        <v>3.3474339183637888E-2</v>
      </c>
      <c r="J125" s="77">
        <f t="shared" ref="J125" si="53">IF(J$4="","",J124/Market_Price)</f>
        <v>2.212640704904913E-2</v>
      </c>
      <c r="K125" s="77">
        <f t="shared" ref="K125" si="54">IF(K$4="","",K124/Market_Price)</f>
        <v>1.8632262999659168E-2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412</v>
      </c>
      <c r="C126" s="170"/>
      <c r="G126" s="23">
        <f>IF(G$4="","",(Data!C47*$C$3)/(Market_Price*Common_Shares))</f>
        <v>5.496855387777709E-2</v>
      </c>
      <c r="H126" s="23">
        <f>IF(H$4="","",(Data!D47*$C$3)/(Market_Price*Common_Shares))</f>
        <v>5.3211507056917469E-2</v>
      </c>
      <c r="I126" s="23">
        <f>IF(I$4="","",(Data!E47*$C$3)/(Market_Price*Common_Shares))</f>
        <v>4.6560648975544079E-2</v>
      </c>
      <c r="J126" s="23">
        <f>IF(J$4="","",(Data!F47*$C$3)/(Market_Price*Common_Shares))</f>
        <v>3.9848600925588486E-2</v>
      </c>
      <c r="K126" s="23">
        <f>IF(K$4="","",(Data!G47*$C$3)/(Market_Price*Common_Shares))</f>
        <v>2.8476506975117478E-2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2878686379.1155</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35983579738.943748</v>
      </c>
      <c r="D6" t="str">
        <f>Reporting_currency</f>
        <v>CNY</v>
      </c>
      <c r="E6" s="344" t="s">
        <v>251</v>
      </c>
      <c r="F6" s="344"/>
      <c r="H6" s="121"/>
    </row>
    <row r="7" spans="2:8" x14ac:dyDescent="0.35">
      <c r="B7" s="149" t="s">
        <v>226</v>
      </c>
      <c r="C7" s="226">
        <f>BS!G31</f>
        <v>285396383</v>
      </c>
      <c r="D7" t="str">
        <f>Reporting_currency</f>
        <v>CNY</v>
      </c>
      <c r="E7" s="344"/>
      <c r="F7" s="344"/>
      <c r="H7" s="121"/>
    </row>
    <row r="8" spans="2:8" x14ac:dyDescent="0.35">
      <c r="B8" s="149" t="s">
        <v>227</v>
      </c>
      <c r="C8" s="201">
        <f>BS!D66</f>
        <v>12803797314.055439</v>
      </c>
      <c r="D8" t="str">
        <f>Reporting_currency</f>
        <v>CNY</v>
      </c>
      <c r="E8" s="344"/>
      <c r="F8" s="344"/>
      <c r="H8" s="121"/>
    </row>
    <row r="9" spans="2:8" x14ac:dyDescent="0.35">
      <c r="B9" s="227" t="s">
        <v>192</v>
      </c>
      <c r="C9" s="229">
        <f>BS!H42</f>
        <v>2755411575.5</v>
      </c>
      <c r="D9" t="str">
        <f>Reporting_currency</f>
        <v>CNY</v>
      </c>
      <c r="E9" s="344"/>
      <c r="F9" s="344"/>
      <c r="H9" s="121"/>
    </row>
    <row r="10" spans="2:8" ht="13.15" x14ac:dyDescent="0.4">
      <c r="B10" s="150" t="s">
        <v>229</v>
      </c>
      <c r="C10" s="232">
        <f>C6-C7+C8+C9</f>
        <v>51257392245.499191</v>
      </c>
      <c r="D10" t="str">
        <f>Reporting_currency</f>
        <v>CNY</v>
      </c>
      <c r="H10" s="121"/>
    </row>
    <row r="11" spans="2:8" ht="13.15" thickBot="1" x14ac:dyDescent="0.4">
      <c r="B11" s="230" t="s">
        <v>168</v>
      </c>
      <c r="C11" s="231">
        <f>Exchange_Rate</f>
        <v>1.0624809</v>
      </c>
      <c r="D11" t="str">
        <f>Thesis!D17</f>
        <v>CNY/HKD</v>
      </c>
      <c r="H11" s="121"/>
    </row>
    <row r="12" spans="2:8" ht="13.5" thickTop="1" x14ac:dyDescent="0.4">
      <c r="B12" s="150" t="s">
        <v>104</v>
      </c>
      <c r="C12" s="112">
        <f>(C10*C3)/Common_Shares*C11</f>
        <v>39.920926895373249</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7.5812443125109999E-2</v>
      </c>
      <c r="H16" s="121"/>
    </row>
    <row r="17" spans="2:8" ht="13.25" customHeight="1" x14ac:dyDescent="0.35">
      <c r="B17" s="119" t="s">
        <v>136</v>
      </c>
      <c r="C17" s="163">
        <f>Scenarios!C64</f>
        <v>30</v>
      </c>
      <c r="H17" s="121"/>
    </row>
    <row r="18" spans="2:8" ht="13.25" customHeight="1" x14ac:dyDescent="0.4">
      <c r="B18" s="154" t="s">
        <v>108</v>
      </c>
      <c r="C18" s="141">
        <f>(F52-C7+C8+C9)*Exchange_Rate/Common_Shares*C3</f>
        <v>78.25757979312236</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3096926626.5072227</v>
      </c>
      <c r="D21" s="139">
        <f>IF($C$17&lt;B21,0,Valuation_Model!$C$16)</f>
        <v>7.5812443125109999E-2</v>
      </c>
      <c r="E21" s="125">
        <f t="shared" ref="E21:E50" si="0">IF($C$17&lt;B21,0,1/(1+Equity_Cost)^B21)</f>
        <v>0.92592592592592582</v>
      </c>
      <c r="F21" s="126">
        <f t="shared" ref="F21:F51" si="1">C21*E21</f>
        <v>2867524654.1733541</v>
      </c>
      <c r="H21" s="121"/>
    </row>
    <row r="22" spans="2:8" x14ac:dyDescent="0.35">
      <c r="B22" s="123">
        <v>2</v>
      </c>
      <c r="C22" s="124">
        <f t="shared" ref="C22:C50" si="2">IF(ROW()-ROW($C$21)&lt;$C$17, $C$21*(1+D22)^(ROW()-ROW($C$21)), 0)</f>
        <v>3331712200.24194</v>
      </c>
      <c r="D22" s="139">
        <f>IF($C$17&lt;B22,0,Valuation_Model!$C$16)</f>
        <v>7.5812443125109999E-2</v>
      </c>
      <c r="E22" s="125">
        <f t="shared" si="0"/>
        <v>0.85733882030178321</v>
      </c>
      <c r="F22" s="126">
        <f t="shared" si="1"/>
        <v>2856406207.3404832</v>
      </c>
      <c r="H22" s="121"/>
    </row>
    <row r="23" spans="2:8" x14ac:dyDescent="0.35">
      <c r="B23" s="123">
        <v>3</v>
      </c>
      <c r="C23" s="124">
        <f t="shared" si="2"/>
        <v>3584297441.9320173</v>
      </c>
      <c r="D23" s="139">
        <f>IF($C$17&lt;B23,0,Valuation_Model!$C$16)</f>
        <v>7.5812443125109999E-2</v>
      </c>
      <c r="E23" s="125">
        <f t="shared" si="0"/>
        <v>0.79383224102016958</v>
      </c>
      <c r="F23" s="126">
        <f t="shared" si="1"/>
        <v>2845330870.8117547</v>
      </c>
      <c r="H23" s="121"/>
    </row>
    <row r="24" spans="2:8" x14ac:dyDescent="0.35">
      <c r="B24" s="123">
        <v>4</v>
      </c>
      <c r="C24" s="124">
        <f t="shared" si="2"/>
        <v>3856031787.8919654</v>
      </c>
      <c r="D24" s="139">
        <f>IF($C$17&lt;B24,0,Valuation_Model!$C$16)</f>
        <v>7.5812443125109999E-2</v>
      </c>
      <c r="E24" s="125">
        <f t="shared" si="0"/>
        <v>0.73502985279645328</v>
      </c>
      <c r="F24" s="126">
        <f t="shared" si="1"/>
        <v>2834298477.4326758</v>
      </c>
      <c r="H24" s="121"/>
    </row>
    <row r="25" spans="2:8" x14ac:dyDescent="0.35">
      <c r="B25" s="123">
        <v>5</v>
      </c>
      <c r="C25" s="124">
        <f t="shared" si="2"/>
        <v>4148366978.5001411</v>
      </c>
      <c r="D25" s="139">
        <f>IF($C$17&lt;B25,0,Valuation_Model!$C$16)</f>
        <v>7.5812443125109999E-2</v>
      </c>
      <c r="E25" s="125">
        <f t="shared" si="0"/>
        <v>0.68058319703375303</v>
      </c>
      <c r="F25" s="126">
        <f t="shared" si="1"/>
        <v>2823308860.696876</v>
      </c>
      <c r="H25" s="121"/>
    </row>
    <row r="26" spans="2:8" x14ac:dyDescent="0.35">
      <c r="B26" s="123">
        <v>6</v>
      </c>
      <c r="C26" s="124">
        <f t="shared" si="2"/>
        <v>4462864814.1197672</v>
      </c>
      <c r="D26" s="139">
        <f>IF($C$17&lt;B26,0,Valuation_Model!$C$16)</f>
        <v>7.5812443125109999E-2</v>
      </c>
      <c r="E26" s="125">
        <f t="shared" si="0"/>
        <v>0.63016962688310452</v>
      </c>
      <c r="F26" s="126">
        <f t="shared" si="1"/>
        <v>2812361854.7435894</v>
      </c>
      <c r="H26" s="121"/>
    </row>
    <row r="27" spans="2:8" x14ac:dyDescent="0.35">
      <c r="B27" s="123">
        <v>7</v>
      </c>
      <c r="C27" s="124">
        <f t="shared" si="2"/>
        <v>4801205499.0152769</v>
      </c>
      <c r="D27" s="139">
        <f>IF($C$17&lt;B27,0,Valuation_Model!$C$16)</f>
        <v>7.5812443125109999E-2</v>
      </c>
      <c r="E27" s="125">
        <f t="shared" si="0"/>
        <v>0.58349039526213387</v>
      </c>
      <c r="F27" s="126">
        <f t="shared" si="1"/>
        <v>2801457294.3551545</v>
      </c>
      <c r="H27" s="121"/>
    </row>
    <row r="28" spans="2:8" x14ac:dyDescent="0.35">
      <c r="B28" s="123">
        <v>8</v>
      </c>
      <c r="C28" s="124">
        <f t="shared" si="2"/>
        <v>5165196617.8413382</v>
      </c>
      <c r="D28" s="139">
        <f>IF($C$17&lt;B28,0,Valuation_Model!$C$16)</f>
        <v>7.5812443125109999E-2</v>
      </c>
      <c r="E28" s="125">
        <f t="shared" si="0"/>
        <v>0.54026888450197574</v>
      </c>
      <c r="F28" s="126">
        <f t="shared" si="1"/>
        <v>2790595014.9545178</v>
      </c>
      <c r="H28" s="121"/>
    </row>
    <row r="29" spans="2:8" x14ac:dyDescent="0.35">
      <c r="B29" s="123">
        <v>9</v>
      </c>
      <c r="C29" s="124">
        <f t="shared" si="2"/>
        <v>5556782792.6614447</v>
      </c>
      <c r="D29" s="139">
        <f>IF($C$17&lt;B29,0,Valuation_Model!$C$16)</f>
        <v>7.5812443125109999E-2</v>
      </c>
      <c r="E29" s="125">
        <f t="shared" si="0"/>
        <v>0.50024896713145905</v>
      </c>
      <c r="F29" s="126">
        <f t="shared" si="1"/>
        <v>2779774852.6027522</v>
      </c>
      <c r="H29" s="121"/>
    </row>
    <row r="30" spans="2:8" x14ac:dyDescent="0.35">
      <c r="B30" s="123">
        <v>10</v>
      </c>
      <c r="C30" s="124">
        <f t="shared" si="2"/>
        <v>5978056072.0886803</v>
      </c>
      <c r="D30" s="139">
        <f>IF($C$17&lt;B30,0,Valuation_Model!$C$16)</f>
        <v>7.5812443125109999E-2</v>
      </c>
      <c r="E30" s="125">
        <f t="shared" si="0"/>
        <v>0.46319348808468425</v>
      </c>
      <c r="F30" s="126">
        <f t="shared" si="1"/>
        <v>2768996643.9965825</v>
      </c>
      <c r="H30" s="121"/>
    </row>
    <row r="31" spans="2:8" x14ac:dyDescent="0.35">
      <c r="B31" s="123">
        <v>11</v>
      </c>
      <c r="C31" s="124">
        <f t="shared" si="2"/>
        <v>6431267108.0526218</v>
      </c>
      <c r="D31" s="139">
        <f>IF($C$17&lt;B31,0,Valuation_Model!$C$16)</f>
        <v>7.5812443125109999E-2</v>
      </c>
      <c r="E31" s="125">
        <f t="shared" si="0"/>
        <v>0.42888285933767062</v>
      </c>
      <c r="F31" s="126">
        <f t="shared" si="1"/>
        <v>2758260226.4659204</v>
      </c>
      <c r="H31" s="121"/>
    </row>
    <row r="32" spans="2:8" x14ac:dyDescent="0.35">
      <c r="B32" s="123">
        <v>12</v>
      </c>
      <c r="C32" s="124">
        <f t="shared" si="2"/>
        <v>6918837179.9042521</v>
      </c>
      <c r="D32" s="139">
        <f>IF($C$17&lt;B32,0,Valuation_Model!$C$16)</f>
        <v>7.5812443125109999E-2</v>
      </c>
      <c r="E32" s="125">
        <f t="shared" si="0"/>
        <v>0.39711375864599124</v>
      </c>
      <c r="F32" s="126">
        <f t="shared" si="1"/>
        <v>2747565437.9714079</v>
      </c>
      <c r="H32" s="121"/>
    </row>
    <row r="33" spans="2:8" x14ac:dyDescent="0.35">
      <c r="B33" s="123">
        <v>13</v>
      </c>
      <c r="C33" s="124">
        <f t="shared" si="2"/>
        <v>7443371130.09764</v>
      </c>
      <c r="D33" s="139">
        <f>IF($C$17&lt;B33,0,Valuation_Model!$C$16)</f>
        <v>7.5812443125109999E-2</v>
      </c>
      <c r="E33" s="125">
        <f t="shared" si="0"/>
        <v>0.36769792467221413</v>
      </c>
      <c r="F33" s="126">
        <f t="shared" si="1"/>
        <v>2736912117.1019754</v>
      </c>
      <c r="H33" s="121"/>
    </row>
    <row r="34" spans="2:8" x14ac:dyDescent="0.35">
      <c r="B34" s="123">
        <v>14</v>
      </c>
      <c r="C34" s="124">
        <f t="shared" si="2"/>
        <v>8007671280.557251</v>
      </c>
      <c r="D34" s="139">
        <f>IF($C$17&lt;B34,0,Valuation_Model!$C$16)</f>
        <v>7.5812443125109999E-2</v>
      </c>
      <c r="E34" s="125">
        <f t="shared" si="0"/>
        <v>0.34046104136316119</v>
      </c>
      <c r="F34" s="126">
        <f t="shared" si="1"/>
        <v>2726300103.0724001</v>
      </c>
      <c r="H34" s="121"/>
    </row>
    <row r="35" spans="2:8" x14ac:dyDescent="0.35">
      <c r="B35" s="123">
        <v>15</v>
      </c>
      <c r="C35" s="124">
        <f t="shared" si="2"/>
        <v>8614752404.0790749</v>
      </c>
      <c r="D35" s="139">
        <f>IF($C$17&lt;B35,0,Valuation_Model!$C$16)</f>
        <v>7.5812443125109999E-2</v>
      </c>
      <c r="E35" s="125">
        <f t="shared" si="0"/>
        <v>0.31524170496588994</v>
      </c>
      <c r="F35" s="126">
        <f t="shared" si="1"/>
        <v>2715729235.7208867</v>
      </c>
      <c r="H35" s="121"/>
    </row>
    <row r="36" spans="2:8" x14ac:dyDescent="0.35">
      <c r="B36" s="123">
        <v>16</v>
      </c>
      <c r="C36" s="124">
        <f t="shared" si="2"/>
        <v>9267857830.7502251</v>
      </c>
      <c r="D36" s="139">
        <f>IF($C$17&lt;B36,0,Valuation_Model!$C$16)</f>
        <v>7.5812443125109999E-2</v>
      </c>
      <c r="E36" s="125">
        <f t="shared" si="0"/>
        <v>0.29189046756100923</v>
      </c>
      <c r="F36" s="126">
        <f t="shared" si="1"/>
        <v>2705199355.5066438</v>
      </c>
      <c r="H36" s="121"/>
    </row>
    <row r="37" spans="2:8" x14ac:dyDescent="0.35">
      <c r="B37" s="123">
        <v>17</v>
      </c>
      <c r="C37" s="124">
        <f t="shared" si="2"/>
        <v>9970476775.4355812</v>
      </c>
      <c r="D37" s="139">
        <f>IF($C$17&lt;B37,0,Valuation_Model!$C$16)</f>
        <v>7.5812443125109999E-2</v>
      </c>
      <c r="E37" s="125">
        <f t="shared" si="0"/>
        <v>0.27026895144537894</v>
      </c>
      <c r="F37" s="126">
        <f t="shared" si="1"/>
        <v>2694710303.5074773</v>
      </c>
      <c r="H37" s="121"/>
    </row>
    <row r="38" spans="2:8" x14ac:dyDescent="0.35">
      <c r="B38" s="123">
        <v>18</v>
      </c>
      <c r="C38" s="124">
        <f t="shared" si="2"/>
        <v>10726362978.903521</v>
      </c>
      <c r="D38" s="139">
        <f>IF($C$17&lt;B38,0,Valuation_Model!$C$16)</f>
        <v>7.5812443125109999E-2</v>
      </c>
      <c r="E38" s="125">
        <f t="shared" si="0"/>
        <v>0.25024902911609154</v>
      </c>
      <c r="F38" s="126">
        <f t="shared" si="1"/>
        <v>2684261921.4173937</v>
      </c>
      <c r="H38" s="121"/>
    </row>
    <row r="39" spans="2:8" x14ac:dyDescent="0.35">
      <c r="B39" s="123">
        <v>19</v>
      </c>
      <c r="C39" s="124">
        <f t="shared" si="2"/>
        <v>11539554762.180931</v>
      </c>
      <c r="D39" s="139">
        <f>IF($C$17&lt;B39,0,Valuation_Model!$C$16)</f>
        <v>7.5812443125109999E-2</v>
      </c>
      <c r="E39" s="125">
        <f t="shared" si="0"/>
        <v>0.23171206399638106</v>
      </c>
      <c r="F39" s="126">
        <f t="shared" si="1"/>
        <v>2673854051.5442119</v>
      </c>
      <c r="H39" s="121"/>
    </row>
    <row r="40" spans="2:8" x14ac:dyDescent="0.35">
      <c r="B40" s="123">
        <v>20</v>
      </c>
      <c r="C40" s="124">
        <f t="shared" si="2"/>
        <v>12414396601.277864</v>
      </c>
      <c r="D40" s="139">
        <f>IF($C$17&lt;B40,0,Valuation_Model!$C$16)</f>
        <v>7.5812443125109999E-2</v>
      </c>
      <c r="E40" s="125">
        <f t="shared" si="0"/>
        <v>0.21454820740405653</v>
      </c>
      <c r="F40" s="126">
        <f t="shared" si="1"/>
        <v>2663486536.8071775</v>
      </c>
      <c r="H40" s="121"/>
    </row>
    <row r="41" spans="2:8" x14ac:dyDescent="0.35">
      <c r="B41" s="123">
        <v>21</v>
      </c>
      <c r="C41" s="124">
        <f t="shared" si="2"/>
        <v>13355562337.544802</v>
      </c>
      <c r="D41" s="139">
        <f>IF($C$17&lt;B41,0,Valuation_Model!$C$16)</f>
        <v>7.5812443125109999E-2</v>
      </c>
      <c r="E41" s="125">
        <f t="shared" si="0"/>
        <v>0.19865574759634863</v>
      </c>
      <c r="F41" s="126">
        <f t="shared" si="1"/>
        <v>2653159220.7346001</v>
      </c>
      <c r="H41" s="121"/>
    </row>
    <row r="42" spans="2:8" x14ac:dyDescent="0.35">
      <c r="B42" s="123">
        <v>22</v>
      </c>
      <c r="C42" s="124">
        <f t="shared" si="2"/>
        <v>14368080147.663776</v>
      </c>
      <c r="D42" s="139">
        <f>IF($C$17&lt;B42,0,Valuation_Model!$C$16)</f>
        <v>7.5812443125109999E-2</v>
      </c>
      <c r="E42" s="125">
        <f t="shared" si="0"/>
        <v>0.18394050703365611</v>
      </c>
      <c r="F42" s="126">
        <f t="shared" si="1"/>
        <v>2642871947.4614835</v>
      </c>
      <c r="H42" s="121"/>
    </row>
    <row r="43" spans="2:8" x14ac:dyDescent="0.35">
      <c r="B43" s="123">
        <v>23</v>
      </c>
      <c r="C43" s="124">
        <f t="shared" si="2"/>
        <v>15457359406.675558</v>
      </c>
      <c r="D43" s="139">
        <f>IF($C$17&lt;B43,0,Valuation_Model!$C$16)</f>
        <v>7.5812443125109999E-2</v>
      </c>
      <c r="E43" s="125">
        <f t="shared" si="0"/>
        <v>0.17031528429042234</v>
      </c>
      <c r="F43" s="126">
        <f t="shared" si="1"/>
        <v>2632624561.7271814</v>
      </c>
      <c r="H43" s="121"/>
    </row>
    <row r="44" spans="2:8" x14ac:dyDescent="0.35">
      <c r="B44" s="123">
        <v>24</v>
      </c>
      <c r="C44" s="124">
        <f t="shared" si="2"/>
        <v>16629219587.558533</v>
      </c>
      <c r="D44" s="139">
        <f>IF($C$17&lt;B44,0,Valuation_Model!$C$16)</f>
        <v>7.5812443125109999E-2</v>
      </c>
      <c r="E44" s="125">
        <f t="shared" si="0"/>
        <v>0.1576993373059466</v>
      </c>
      <c r="F44" s="126">
        <f t="shared" si="1"/>
        <v>2622416908.8730474</v>
      </c>
      <c r="H44" s="121"/>
    </row>
    <row r="45" spans="2:8" x14ac:dyDescent="0.35">
      <c r="B45" s="123">
        <v>25</v>
      </c>
      <c r="C45" s="124">
        <f t="shared" si="2"/>
        <v>17889921351.75528</v>
      </c>
      <c r="D45" s="139">
        <f>IF($C$17&lt;B45,0,Valuation_Model!$C$16)</f>
        <v>7.5812443125109999E-2</v>
      </c>
      <c r="E45" s="125">
        <f t="shared" si="0"/>
        <v>0.1460179049129135</v>
      </c>
      <c r="F45" s="126">
        <f t="shared" si="1"/>
        <v>2612248834.8401031</v>
      </c>
      <c r="H45" s="121"/>
    </row>
    <row r="46" spans="2:8" x14ac:dyDescent="0.35">
      <c r="B46" s="123">
        <v>26</v>
      </c>
      <c r="C46" s="124">
        <f t="shared" si="2"/>
        <v>19246199996.747917</v>
      </c>
      <c r="D46" s="139">
        <f>IF($C$17&lt;B46,0,Valuation_Model!$C$16)</f>
        <v>7.5812443125109999E-2</v>
      </c>
      <c r="E46" s="125">
        <f t="shared" si="0"/>
        <v>0.13520176380825324</v>
      </c>
      <c r="F46" s="126">
        <f t="shared" si="1"/>
        <v>2602120186.1667161</v>
      </c>
      <c r="H46" s="121"/>
    </row>
    <row r="47" spans="2:8" x14ac:dyDescent="0.35">
      <c r="B47" s="123">
        <v>27</v>
      </c>
      <c r="C47" s="124">
        <f t="shared" si="2"/>
        <v>20705301439.375858</v>
      </c>
      <c r="D47" s="139">
        <f>IF($C$17&lt;B47,0,Valuation_Model!$C$16)</f>
        <v>7.5812443125109999E-2</v>
      </c>
      <c r="E47" s="125">
        <f t="shared" si="0"/>
        <v>0.12518681834097523</v>
      </c>
      <c r="F47" s="126">
        <f t="shared" si="1"/>
        <v>2592030809.9862785</v>
      </c>
      <c r="H47" s="121"/>
    </row>
    <row r="48" spans="2:8" x14ac:dyDescent="0.35">
      <c r="B48" s="123">
        <v>28</v>
      </c>
      <c r="C48" s="124">
        <f t="shared" si="2"/>
        <v>22275020927.136803</v>
      </c>
      <c r="D48" s="139">
        <f>IF($C$17&lt;B48,0,Valuation_Model!$C$16)</f>
        <v>7.5812443125109999E-2</v>
      </c>
      <c r="E48" s="125">
        <f t="shared" si="0"/>
        <v>0.11591372068608817</v>
      </c>
      <c r="F48" s="126">
        <f t="shared" si="1"/>
        <v>2581980554.0249043</v>
      </c>
      <c r="H48" s="121"/>
    </row>
    <row r="49" spans="1:8" x14ac:dyDescent="0.35">
      <c r="B49" s="123">
        <v>29</v>
      </c>
      <c r="C49" s="124">
        <f t="shared" si="2"/>
        <v>23963744684.285995</v>
      </c>
      <c r="D49" s="139">
        <f>IF($C$17&lt;B49,0,Valuation_Model!$C$16)</f>
        <v>7.5812443125109999E-2</v>
      </c>
      <c r="E49" s="125">
        <f t="shared" si="0"/>
        <v>0.10732751915378534</v>
      </c>
      <c r="F49" s="126">
        <f t="shared" si="1"/>
        <v>2571969266.5991268</v>
      </c>
      <c r="H49" s="121"/>
    </row>
    <row r="50" spans="1:8" x14ac:dyDescent="0.35">
      <c r="B50" s="123">
        <v>30</v>
      </c>
      <c r="C50" s="124">
        <f t="shared" si="2"/>
        <v>25780494715.228077</v>
      </c>
      <c r="D50" s="139">
        <f>IF($C$17&lt;B50,0,Valuation_Model!$C$16)</f>
        <v>7.5812443125109999E-2</v>
      </c>
      <c r="E50" s="125">
        <f t="shared" si="0"/>
        <v>9.9377332549801231E-2</v>
      </c>
      <c r="F50" s="126">
        <f t="shared" si="1"/>
        <v>2561996796.6136136</v>
      </c>
      <c r="H50" s="121"/>
    </row>
    <row r="51" spans="1:8" x14ac:dyDescent="0.35">
      <c r="B51" s="127" t="s">
        <v>133</v>
      </c>
      <c r="C51" s="124">
        <f>C$21*(1+Terminal_Growth)^$C$17/Equity_Cost</f>
        <v>38711582831.340279</v>
      </c>
      <c r="D51" s="140">
        <f>Terminal_Growth</f>
        <v>0</v>
      </c>
      <c r="E51" s="125">
        <f>1/(1+Equity_Cost)^C17</f>
        <v>9.9377332549801231E-2</v>
      </c>
      <c r="F51" s="126">
        <f t="shared" si="1"/>
        <v>3847053840.559279</v>
      </c>
      <c r="H51" s="121"/>
    </row>
    <row r="52" spans="1:8" x14ac:dyDescent="0.35">
      <c r="C52" s="115"/>
      <c r="E52" s="128" t="s">
        <v>102</v>
      </c>
      <c r="F52" s="138">
        <f>SUM(F21:F51)</f>
        <v>85206806947.80957</v>
      </c>
      <c r="H52" s="121"/>
    </row>
    <row r="53" spans="1:8" x14ac:dyDescent="0.35">
      <c r="C53" s="115"/>
      <c r="H53" s="121"/>
    </row>
    <row r="54" spans="1:8" ht="13.15" x14ac:dyDescent="0.35">
      <c r="B54" s="120" t="s">
        <v>131</v>
      </c>
      <c r="C54" s="137"/>
      <c r="D54" s="137"/>
      <c r="E54" s="118"/>
      <c r="F54" s="118"/>
      <c r="H54" s="121"/>
    </row>
    <row r="55" spans="1:8" ht="13.15" x14ac:dyDescent="0.4">
      <c r="A55" s="134">
        <f>F52</f>
        <v>85206806947.80957</v>
      </c>
      <c r="B55" s="132">
        <f>C78</f>
        <v>0.02</v>
      </c>
      <c r="C55" s="132">
        <f>C77</f>
        <v>0.04</v>
      </c>
      <c r="D55" s="132">
        <f>C76</f>
        <v>0.08</v>
      </c>
      <c r="E55" s="132">
        <f>C75</f>
        <v>0.1</v>
      </c>
      <c r="F55" s="132">
        <f>C74</f>
        <v>0.12</v>
      </c>
      <c r="H55" s="121"/>
    </row>
    <row r="56" spans="1:8" ht="13.15" x14ac:dyDescent="0.4">
      <c r="A56" s="144">
        <v>5</v>
      </c>
      <c r="B56" s="124">
        <f t="dataTable" ref="B56:F61" dt2D="1" dtr="1" r1="C16" r2="C17"/>
        <v>37144598385.711792</v>
      </c>
      <c r="C56" s="124">
        <v>38340389034.302322</v>
      </c>
      <c r="D56" s="124">
        <v>40842437214.182762</v>
      </c>
      <c r="E56" s="124">
        <v>42151889051.796074</v>
      </c>
      <c r="F56" s="124">
        <v>43502503008.533218</v>
      </c>
      <c r="H56" s="121"/>
    </row>
    <row r="57" spans="1:8" ht="13.15" x14ac:dyDescent="0.4">
      <c r="A57" s="144">
        <v>10</v>
      </c>
      <c r="B57" s="124">
        <v>38306686147.183655</v>
      </c>
      <c r="C57" s="124">
        <v>40862630718.039856</v>
      </c>
      <c r="D57" s="124">
        <v>46787612389.254112</v>
      </c>
      <c r="E57" s="124">
        <v>50222035860.499359</v>
      </c>
      <c r="F57" s="124">
        <v>54020713108.964981</v>
      </c>
      <c r="H57" s="121"/>
    </row>
    <row r="58" spans="1:8" ht="13.15" x14ac:dyDescent="0.4">
      <c r="A58" s="144">
        <v>15</v>
      </c>
      <c r="B58" s="124">
        <v>39745091968.747597</v>
      </c>
      <c r="C58" s="124">
        <v>44150692611.224976</v>
      </c>
      <c r="D58" s="124">
        <v>55431302716.627647</v>
      </c>
      <c r="E58" s="124">
        <v>62642890968.13533</v>
      </c>
      <c r="F58" s="124">
        <v>71182077020.7341</v>
      </c>
      <c r="H58" s="121"/>
    </row>
    <row r="59" spans="1:8" ht="13.15" x14ac:dyDescent="0.4">
      <c r="A59" s="145">
        <v>20</v>
      </c>
      <c r="B59" s="124">
        <v>41210596827.313049</v>
      </c>
      <c r="C59" s="124">
        <v>47689719297.092667</v>
      </c>
      <c r="D59" s="124">
        <v>65911557113.599037</v>
      </c>
      <c r="E59" s="124">
        <v>78690492279.240524</v>
      </c>
      <c r="F59" s="124">
        <v>94859428882.114502</v>
      </c>
      <c r="H59" s="121"/>
    </row>
    <row r="60" spans="1:8" ht="13.15" x14ac:dyDescent="0.4">
      <c r="A60" s="145">
        <v>25</v>
      </c>
      <c r="B60" s="124">
        <v>42573597666.657608</v>
      </c>
      <c r="C60" s="124">
        <v>51175780977.817421</v>
      </c>
      <c r="D60" s="124">
        <v>77641746156.614624</v>
      </c>
      <c r="E60" s="124">
        <v>97936090453.665756</v>
      </c>
      <c r="F60" s="124">
        <v>125364018869.68709</v>
      </c>
      <c r="H60" s="121"/>
    </row>
    <row r="61" spans="1:8" ht="13.15" x14ac:dyDescent="0.4">
      <c r="A61" s="145">
        <v>30</v>
      </c>
      <c r="B61" s="124">
        <v>43775954011.524841</v>
      </c>
      <c r="C61" s="124">
        <v>54440508636.078033</v>
      </c>
      <c r="D61" s="124">
        <v>90222619717.118225</v>
      </c>
      <c r="E61" s="124">
        <v>120157999337.44751</v>
      </c>
      <c r="F61" s="124">
        <v>163384804506.24893</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0.02</v>
      </c>
      <c r="C64" s="133">
        <f>C55</f>
        <v>0.04</v>
      </c>
      <c r="D64" s="133">
        <f>D55</f>
        <v>0.08</v>
      </c>
      <c r="E64" s="133">
        <f>E55</f>
        <v>0.1</v>
      </c>
      <c r="F64" s="133">
        <f>F55</f>
        <v>0.12</v>
      </c>
      <c r="H64" s="121"/>
    </row>
    <row r="65" spans="1:8" ht="13.15" x14ac:dyDescent="0.4">
      <c r="A65" s="144">
        <v>0</v>
      </c>
      <c r="B65" s="125">
        <f>C12</f>
        <v>39.920926895373249</v>
      </c>
      <c r="C65" s="125">
        <f>C12</f>
        <v>39.920926895373249</v>
      </c>
      <c r="D65" s="125">
        <f>C12</f>
        <v>39.920926895373249</v>
      </c>
      <c r="E65" s="142">
        <f>C12</f>
        <v>39.920926895373249</v>
      </c>
      <c r="F65" s="125">
        <f>C12</f>
        <v>39.920926895373249</v>
      </c>
      <c r="H65" s="121"/>
    </row>
    <row r="66" spans="1:8" ht="13.15" x14ac:dyDescent="0.4">
      <c r="A66" s="144">
        <f t="shared" ref="A66:A71" si="3">A56</f>
        <v>5</v>
      </c>
      <c r="B66" s="125">
        <f t="shared" ref="B66:F71" si="4">(B56-$C$7+$C$8+$C$9)/Common_Shares*$C$3*Exchange_Rate</f>
        <v>40.82516604003753</v>
      </c>
      <c r="C66" s="125">
        <f t="shared" si="4"/>
        <v>41.756486752490382</v>
      </c>
      <c r="D66" s="125">
        <f t="shared" si="4"/>
        <v>43.70516338432742</v>
      </c>
      <c r="E66" s="125">
        <f t="shared" si="4"/>
        <v>44.725007133537339</v>
      </c>
      <c r="F66" s="125">
        <f t="shared" si="4"/>
        <v>45.776909282061254</v>
      </c>
      <c r="H66" s="121"/>
    </row>
    <row r="67" spans="1:8" ht="13.15" x14ac:dyDescent="0.4">
      <c r="A67" s="144">
        <f t="shared" si="3"/>
        <v>10</v>
      </c>
      <c r="B67" s="125">
        <f t="shared" si="4"/>
        <v>41.730237846061762</v>
      </c>
      <c r="C67" s="125">
        <f t="shared" si="4"/>
        <v>43.720890742976081</v>
      </c>
      <c r="D67" s="125">
        <f t="shared" si="4"/>
        <v>48.335459486935939</v>
      </c>
      <c r="E67" s="125">
        <f t="shared" si="4"/>
        <v>51.010300369723417</v>
      </c>
      <c r="F67" s="125">
        <f t="shared" si="4"/>
        <v>53.968833960523284</v>
      </c>
      <c r="H67" s="121"/>
    </row>
    <row r="68" spans="1:8" ht="13.15" x14ac:dyDescent="0.4">
      <c r="A68" s="144">
        <f t="shared" si="3"/>
        <v>15</v>
      </c>
      <c r="B68" s="125">
        <f t="shared" si="4"/>
        <v>42.850515158912692</v>
      </c>
      <c r="C68" s="125">
        <f t="shared" si="4"/>
        <v>46.281740460742036</v>
      </c>
      <c r="D68" s="125">
        <f t="shared" si="4"/>
        <v>55.067447099817734</v>
      </c>
      <c r="E68" s="125">
        <f t="shared" si="4"/>
        <v>60.684066962355708</v>
      </c>
      <c r="F68" s="125">
        <f t="shared" si="4"/>
        <v>67.33466324160203</v>
      </c>
      <c r="H68" s="121"/>
    </row>
    <row r="69" spans="1:8" ht="13.15" x14ac:dyDescent="0.4">
      <c r="A69" s="145">
        <f t="shared" si="3"/>
        <v>20</v>
      </c>
      <c r="B69" s="125">
        <f t="shared" si="4"/>
        <v>43.991898084587035</v>
      </c>
      <c r="C69" s="125">
        <f t="shared" si="4"/>
        <v>49.038049734741534</v>
      </c>
      <c r="D69" s="125">
        <f t="shared" si="4"/>
        <v>63.229810639940013</v>
      </c>
      <c r="E69" s="125">
        <f t="shared" si="4"/>
        <v>73.182461646938577</v>
      </c>
      <c r="F69" s="125">
        <f t="shared" si="4"/>
        <v>85.775356209496707</v>
      </c>
      <c r="H69" s="121"/>
    </row>
    <row r="70" spans="1:8" ht="13.15" x14ac:dyDescent="0.4">
      <c r="A70" s="145">
        <f t="shared" si="3"/>
        <v>25</v>
      </c>
      <c r="B70" s="125">
        <f t="shared" si="4"/>
        <v>45.053447540813693</v>
      </c>
      <c r="C70" s="125">
        <f t="shared" si="4"/>
        <v>51.753108137292152</v>
      </c>
      <c r="D70" s="125">
        <f t="shared" si="4"/>
        <v>72.36566400158371</v>
      </c>
      <c r="E70" s="125">
        <f t="shared" si="4"/>
        <v>88.171560469975589</v>
      </c>
      <c r="F70" s="125">
        <f t="shared" si="4"/>
        <v>109.53332464134081</v>
      </c>
    </row>
    <row r="71" spans="1:8" ht="13.15" x14ac:dyDescent="0.4">
      <c r="A71" s="145">
        <f t="shared" si="3"/>
        <v>30</v>
      </c>
      <c r="B71" s="125">
        <f t="shared" si="4"/>
        <v>45.989881831417854</v>
      </c>
      <c r="C71" s="125">
        <f t="shared" si="4"/>
        <v>54.295784392738383</v>
      </c>
      <c r="D71" s="125">
        <f t="shared" si="4"/>
        <v>82.164058178238278</v>
      </c>
      <c r="E71" s="125">
        <f t="shared" si="4"/>
        <v>105.47870703287926</v>
      </c>
      <c r="F71" s="125">
        <f t="shared" si="4"/>
        <v>139.14515110009165</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0.12</v>
      </c>
      <c r="D74" s="146">
        <f>Scenarios!C55</f>
        <v>30</v>
      </c>
      <c r="E74" s="136">
        <f>INDEX(B$65:F$71, MATCH(D74, A$65:A$71, 0), MATCH(C74, B$64:F$64, 0))</f>
        <v>139.14515110009165</v>
      </c>
      <c r="F74" s="143">
        <f>Scenarios!C58</f>
        <v>0.05</v>
      </c>
    </row>
    <row r="75" spans="1:8" x14ac:dyDescent="0.35">
      <c r="B75" s="128" t="str">
        <f>Scenarios!B36</f>
        <v>Optimistic</v>
      </c>
      <c r="C75" s="143">
        <f>Scenarios!C38</f>
        <v>0.1</v>
      </c>
      <c r="D75" s="146">
        <f>Scenarios!C37</f>
        <v>30</v>
      </c>
      <c r="E75" s="136">
        <f>INDEX(B$65:F$71, MATCH(D75, A$65:A$71, 0), MATCH(C75, B$64:F$64, 0))</f>
        <v>105.47870703287926</v>
      </c>
      <c r="F75" s="143">
        <f>Scenarios!C40*(1-F$74-F$78)</f>
        <v>0.17</v>
      </c>
      <c r="H75" s="121"/>
    </row>
    <row r="76" spans="1:8" x14ac:dyDescent="0.35">
      <c r="B76" s="128" t="str">
        <f>Scenarios!B24</f>
        <v>Base</v>
      </c>
      <c r="C76" s="143">
        <f>Scenarios!C26</f>
        <v>0.08</v>
      </c>
      <c r="D76" s="146">
        <f>Scenarios!C25</f>
        <v>30</v>
      </c>
      <c r="E76" s="136">
        <f>INDEX(B$65:F$71, MATCH(D76, A$65:A$71, 0), MATCH(C76, B$64:F$64, 0))</f>
        <v>82.164058178238278</v>
      </c>
      <c r="F76" s="143">
        <f>Scenarios!C28*(1-F$74-F$78)</f>
        <v>0.42499999999999999</v>
      </c>
      <c r="H76" s="121"/>
    </row>
    <row r="77" spans="1:8" x14ac:dyDescent="0.35">
      <c r="B77" s="128" t="str">
        <f>Scenarios!B30</f>
        <v>Pessimistic</v>
      </c>
      <c r="C77" s="143">
        <f>Scenarios!C32</f>
        <v>0.04</v>
      </c>
      <c r="D77" s="146">
        <f>Scenarios!C31</f>
        <v>30</v>
      </c>
      <c r="E77" s="136">
        <f>INDEX(B$65:F$71, MATCH(D77, A$65:A$71, 0), MATCH(C77, B$64:F$64, 0))</f>
        <v>54.295784392738383</v>
      </c>
      <c r="F77" s="143">
        <f>Scenarios!C34*(1-F$74-F$78)</f>
        <v>0.255</v>
      </c>
      <c r="H77" s="121"/>
    </row>
    <row r="78" spans="1:8" x14ac:dyDescent="0.35">
      <c r="B78" s="128" t="str">
        <f>Scenarios!B48</f>
        <v>Devil's advocate</v>
      </c>
      <c r="C78" s="143">
        <f>Scenarios!C50</f>
        <v>0.02</v>
      </c>
      <c r="D78" s="146">
        <f>Scenarios!C49</f>
        <v>30</v>
      </c>
      <c r="E78" s="136">
        <f>INDEX(B$65:F$71, MATCH(D78, A$65:A$71, 0), MATCH(C78, B$64:F$64, 0))</f>
        <v>45.989881831417854</v>
      </c>
      <c r="F78" s="143">
        <f>Scenarios!C52</f>
        <v>0.1</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-59.9</v>
      </c>
    </row>
    <row r="4" spans="2:9" x14ac:dyDescent="0.35">
      <c r="B4" s="153" t="s">
        <v>148</v>
      </c>
      <c r="C4" s="121">
        <v>3</v>
      </c>
      <c r="D4" s="121"/>
      <c r="E4" s="156" t="s">
        <v>152</v>
      </c>
      <c r="F4" s="156"/>
      <c r="H4" s="276">
        <v>1</v>
      </c>
      <c r="I4" s="264">
        <f t="shared" ref="I4:I13" si="0">IF(ROW()-3 &lt; $C$76, $C$77, IF(ROW()-3 = $C$76, $C$77 + $C$60, ""))</f>
        <v>2.0706254578317598</v>
      </c>
    </row>
    <row r="5" spans="2:9" x14ac:dyDescent="0.35">
      <c r="H5" s="276">
        <v>2</v>
      </c>
      <c r="I5" s="264">
        <f t="shared" si="0"/>
        <v>2.0706254578317598</v>
      </c>
    </row>
    <row r="6" spans="2:9" ht="13.15" x14ac:dyDescent="0.4">
      <c r="B6" s="160" t="s">
        <v>97</v>
      </c>
      <c r="C6" s="107">
        <f>Valuation_Model!C3</f>
        <v>1</v>
      </c>
      <c r="E6" s="100" t="s">
        <v>285</v>
      </c>
      <c r="F6" s="100"/>
      <c r="H6" s="276">
        <v>3</v>
      </c>
      <c r="I6" s="264">
        <f t="shared" si="0"/>
        <v>80.323401137467158</v>
      </c>
    </row>
    <row r="7" spans="2:9" ht="12.75" customHeight="1" x14ac:dyDescent="0.35">
      <c r="B7" s="100" t="s">
        <v>279</v>
      </c>
      <c r="C7" s="115">
        <f>Normalized_FCF!G8</f>
        <v>4487792577</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46"/>
      <c r="H7" s="276">
        <v>4</v>
      </c>
      <c r="I7" s="264" t="str">
        <f t="shared" si="0"/>
        <v/>
      </c>
    </row>
    <row r="8" spans="2:9" x14ac:dyDescent="0.35">
      <c r="B8" s="100" t="s">
        <v>67</v>
      </c>
      <c r="C8" s="115">
        <f>Normalized_FCF!G19</f>
        <v>3155248905.8084812</v>
      </c>
      <c r="D8" t="str">
        <f>Reporting_currency</f>
        <v>CNY</v>
      </c>
      <c r="E8" s="346"/>
      <c r="F8" s="346"/>
      <c r="H8" s="276">
        <v>5</v>
      </c>
      <c r="I8" s="264" t="str">
        <f t="shared" si="0"/>
        <v/>
      </c>
    </row>
    <row r="9" spans="2:9" x14ac:dyDescent="0.35">
      <c r="B9" s="100" t="s">
        <v>58</v>
      </c>
      <c r="C9" s="201">
        <f>Normalized_FCF!C19</f>
        <v>2878686379.1155</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2.1321347914251776E-2</v>
      </c>
      <c r="D12" s="159"/>
      <c r="E12" s="346"/>
      <c r="F12" s="346"/>
      <c r="H12" s="276">
        <v>9</v>
      </c>
      <c r="I12" s="264" t="str">
        <f t="shared" si="0"/>
        <v/>
      </c>
    </row>
    <row r="13" spans="2:9" x14ac:dyDescent="0.35">
      <c r="B13" s="149" t="s">
        <v>154</v>
      </c>
      <c r="C13" s="159">
        <f ca="1">(Normalized_FCF!G8/OFFSET(Normalized_FCF!G8, 0, $C$4))^(1/$C$4) - 1</f>
        <v>0.15185942572632172</v>
      </c>
      <c r="E13" s="346"/>
      <c r="F13" s="346"/>
      <c r="H13" s="276">
        <v>10</v>
      </c>
      <c r="I13" s="264" t="str">
        <f t="shared" si="0"/>
        <v/>
      </c>
    </row>
    <row r="14" spans="2:9" x14ac:dyDescent="0.35">
      <c r="B14" s="100" t="s">
        <v>67</v>
      </c>
      <c r="C14" s="159">
        <f ca="1">(Normalized_FCF!G19/OFFSET(Normalized_FCF!G19, 0, $C$4))^(1/$C$4) - 1</f>
        <v>0.2285137017123664</v>
      </c>
      <c r="E14" s="346"/>
      <c r="F14" s="346"/>
    </row>
    <row r="16" spans="2:9" ht="13.9" x14ac:dyDescent="0.45">
      <c r="B16" s="36" t="s">
        <v>164</v>
      </c>
      <c r="C16" s="37"/>
      <c r="D16" s="37"/>
      <c r="E16" s="37"/>
      <c r="F16" s="37"/>
    </row>
    <row r="17" spans="2:6" ht="13.15" x14ac:dyDescent="0.4">
      <c r="B17" s="109" t="s">
        <v>153</v>
      </c>
      <c r="E17" s="160" t="s">
        <v>341</v>
      </c>
    </row>
    <row r="18" spans="2:6" x14ac:dyDescent="0.35">
      <c r="B18" s="153" t="s">
        <v>135</v>
      </c>
      <c r="C18" s="151">
        <v>30</v>
      </c>
      <c r="E18" s="346" t="s">
        <v>342</v>
      </c>
      <c r="F18" s="347"/>
    </row>
    <row r="19" spans="2:6" x14ac:dyDescent="0.35">
      <c r="E19" s="347"/>
      <c r="F19" s="347"/>
    </row>
    <row r="20" spans="2:6" ht="13.15" x14ac:dyDescent="0.4">
      <c r="B20" s="160" t="s">
        <v>313</v>
      </c>
      <c r="E20" s="347"/>
      <c r="F20" s="347"/>
    </row>
    <row r="21" spans="2:6" x14ac:dyDescent="0.35">
      <c r="B21" s="100" t="s">
        <v>283</v>
      </c>
      <c r="C21" s="161">
        <f>Market_Price</f>
        <v>59.9</v>
      </c>
      <c r="D21" t="str">
        <f>Market_currency</f>
        <v>HKD</v>
      </c>
      <c r="E21" s="347"/>
      <c r="F21" s="347"/>
    </row>
    <row r="22" spans="2:6" x14ac:dyDescent="0.35">
      <c r="B22" s="100" t="s">
        <v>284</v>
      </c>
      <c r="C22" s="161">
        <f>Valuation_Model!C12</f>
        <v>39.920926895373249</v>
      </c>
      <c r="D22" t="str">
        <f>Market_currency</f>
        <v>HKD</v>
      </c>
      <c r="E22" s="347"/>
      <c r="F22" s="347"/>
    </row>
    <row r="24" spans="2:6" ht="13.15" x14ac:dyDescent="0.4">
      <c r="B24" s="160" t="s">
        <v>117</v>
      </c>
      <c r="E24" s="160" t="s">
        <v>151</v>
      </c>
      <c r="F24" s="160"/>
    </row>
    <row r="25" spans="2:6" x14ac:dyDescent="0.35">
      <c r="B25" s="153" t="s">
        <v>135</v>
      </c>
      <c r="C25" s="167">
        <f>C18</f>
        <v>30</v>
      </c>
      <c r="D25" s="164"/>
      <c r="E25" s="345"/>
      <c r="F25" s="345"/>
    </row>
    <row r="26" spans="2:6" x14ac:dyDescent="0.35">
      <c r="B26" s="119" t="s">
        <v>136</v>
      </c>
      <c r="C26" s="165">
        <v>0.08</v>
      </c>
      <c r="D26" s="165"/>
      <c r="E26" s="345"/>
      <c r="F26" s="345"/>
    </row>
    <row r="27" spans="2:6" x14ac:dyDescent="0.35">
      <c r="B27" s="100" t="s">
        <v>115</v>
      </c>
      <c r="C27" s="161">
        <f>Valuation_Model!E76</f>
        <v>82.164058178238278</v>
      </c>
      <c r="D27" s="161" t="str">
        <f>Market_currency</f>
        <v>HKD</v>
      </c>
      <c r="E27" s="345"/>
      <c r="F27" s="345"/>
    </row>
    <row r="28" spans="2:6" x14ac:dyDescent="0.35">
      <c r="B28" s="100" t="s">
        <v>149</v>
      </c>
      <c r="C28" s="166">
        <v>0.5</v>
      </c>
      <c r="D28" s="166"/>
      <c r="E28" s="345"/>
      <c r="F28" s="345"/>
    </row>
    <row r="30" spans="2:6" ht="13.15" x14ac:dyDescent="0.4">
      <c r="B30" s="160" t="s">
        <v>118</v>
      </c>
      <c r="E30" s="160" t="s">
        <v>151</v>
      </c>
      <c r="F30" s="160"/>
    </row>
    <row r="31" spans="2:6" x14ac:dyDescent="0.35">
      <c r="B31" s="153" t="s">
        <v>135</v>
      </c>
      <c r="C31" s="167">
        <f>C18</f>
        <v>30</v>
      </c>
      <c r="D31" s="164"/>
      <c r="E31" s="345"/>
      <c r="F31" s="345"/>
    </row>
    <row r="32" spans="2:6" x14ac:dyDescent="0.35">
      <c r="B32" s="119" t="s">
        <v>136</v>
      </c>
      <c r="C32" s="165">
        <v>0.04</v>
      </c>
      <c r="D32" s="165"/>
      <c r="E32" s="345"/>
      <c r="F32" s="345"/>
    </row>
    <row r="33" spans="2:6" x14ac:dyDescent="0.35">
      <c r="B33" s="100" t="s">
        <v>115</v>
      </c>
      <c r="C33" s="161">
        <f>Valuation_Model!E77</f>
        <v>54.295784392738383</v>
      </c>
      <c r="D33" t="str">
        <f>Market_currency</f>
        <v>HKD</v>
      </c>
      <c r="E33" s="345"/>
      <c r="F33" s="345"/>
    </row>
    <row r="34" spans="2:6" x14ac:dyDescent="0.35">
      <c r="B34" s="100" t="s">
        <v>149</v>
      </c>
      <c r="C34" s="166">
        <v>0.3</v>
      </c>
      <c r="D34" s="166"/>
      <c r="E34" s="345"/>
      <c r="F34" s="345"/>
    </row>
    <row r="36" spans="2:6" ht="13.15" x14ac:dyDescent="0.4">
      <c r="B36" s="160" t="s">
        <v>116</v>
      </c>
      <c r="E36" s="160" t="s">
        <v>151</v>
      </c>
      <c r="F36" s="160"/>
    </row>
    <row r="37" spans="2:6" x14ac:dyDescent="0.35">
      <c r="B37" s="153" t="s">
        <v>135</v>
      </c>
      <c r="C37" s="167">
        <f>C18</f>
        <v>30</v>
      </c>
      <c r="D37" s="164"/>
      <c r="E37" s="345"/>
      <c r="F37" s="345"/>
    </row>
    <row r="38" spans="2:6" x14ac:dyDescent="0.35">
      <c r="B38" s="119" t="s">
        <v>136</v>
      </c>
      <c r="C38" s="165">
        <v>0.1</v>
      </c>
      <c r="D38" s="165"/>
      <c r="E38" s="345"/>
      <c r="F38" s="345"/>
    </row>
    <row r="39" spans="2:6" x14ac:dyDescent="0.35">
      <c r="B39" s="100" t="s">
        <v>115</v>
      </c>
      <c r="C39" s="161">
        <f>Valuation_Model!E75</f>
        <v>105.47870703287926</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78.466505813516505</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30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30</v>
      </c>
      <c r="D49" s="164"/>
      <c r="E49" s="345"/>
      <c r="F49" s="345"/>
    </row>
    <row r="50" spans="2:6" x14ac:dyDescent="0.35">
      <c r="B50" s="119" t="s">
        <v>136</v>
      </c>
      <c r="C50" s="165">
        <v>0.02</v>
      </c>
      <c r="D50" s="165"/>
      <c r="E50" s="345"/>
      <c r="F50" s="345"/>
    </row>
    <row r="51" spans="2:6" x14ac:dyDescent="0.35">
      <c r="B51" s="100" t="s">
        <v>115</v>
      </c>
      <c r="C51" s="161">
        <f>Valuation_Model!E78</f>
        <v>45.989881831417854</v>
      </c>
      <c r="D51" t="str">
        <f>Market_currency</f>
        <v>HKD</v>
      </c>
      <c r="E51" s="345"/>
      <c r="F51" s="345"/>
    </row>
    <row r="52" spans="2:6" x14ac:dyDescent="0.35">
      <c r="B52" s="100" t="s">
        <v>149</v>
      </c>
      <c r="C52" s="166">
        <v>0.1</v>
      </c>
      <c r="D52" s="166"/>
      <c r="E52" s="345"/>
      <c r="F52" s="345"/>
    </row>
    <row r="54" spans="2:6" ht="13.15" x14ac:dyDescent="0.4">
      <c r="B54" s="160" t="s">
        <v>327</v>
      </c>
      <c r="E54" s="160" t="s">
        <v>151</v>
      </c>
      <c r="F54" s="160"/>
    </row>
    <row r="55" spans="2:6" x14ac:dyDescent="0.35">
      <c r="B55" s="153" t="s">
        <v>135</v>
      </c>
      <c r="C55" s="167">
        <f>C46</f>
        <v>30</v>
      </c>
      <c r="D55" s="164"/>
      <c r="E55" s="345"/>
      <c r="F55" s="345"/>
    </row>
    <row r="56" spans="2:6" x14ac:dyDescent="0.35">
      <c r="B56" s="119" t="s">
        <v>136</v>
      </c>
      <c r="C56" s="165">
        <v>0.12</v>
      </c>
      <c r="D56" s="165"/>
      <c r="E56" s="345"/>
      <c r="F56" s="345"/>
    </row>
    <row r="57" spans="2:6" x14ac:dyDescent="0.35">
      <c r="B57" s="100" t="s">
        <v>115</v>
      </c>
      <c r="C57" s="161">
        <f>Valuation_Model!E74</f>
        <v>139.14515110009165</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78.252775679635405</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30</v>
      </c>
      <c r="D64" s="151"/>
      <c r="E64" s="281" t="s">
        <v>413</v>
      </c>
    </row>
    <row r="65" spans="2:6" x14ac:dyDescent="0.35">
      <c r="B65" s="119" t="s">
        <v>136</v>
      </c>
      <c r="C65" s="152">
        <v>7.5812443125109999E-2</v>
      </c>
      <c r="D65" s="152"/>
      <c r="E65" s="281" t="s">
        <v>323</v>
      </c>
    </row>
    <row r="66" spans="2:6" x14ac:dyDescent="0.35">
      <c r="B66" s="100" t="s">
        <v>104</v>
      </c>
      <c r="C66" s="161">
        <f>Valuation_Model!C18</f>
        <v>78.25757979312236</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0.15201687930591179</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2.0706254578317598</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4.0418608936875957</v>
      </c>
      <c r="D81" s="117"/>
      <c r="E81" s="100"/>
      <c r="F81" s="100"/>
    </row>
    <row r="82" spans="2:8" x14ac:dyDescent="0.35">
      <c r="B82" s="100" t="s">
        <v>124</v>
      </c>
      <c r="C82" s="117">
        <f>C60/(1+C80)^C76</f>
        <v>40.065421147973325</v>
      </c>
      <c r="D82" s="117"/>
    </row>
    <row r="83" spans="2:8" ht="13.15" x14ac:dyDescent="0.4">
      <c r="B83" s="111" t="s">
        <v>103</v>
      </c>
      <c r="C83" s="112">
        <f>C81+C82</f>
        <v>44.107282041660923</v>
      </c>
      <c r="D83" t="str">
        <f>Market_currency</f>
        <v>HKD</v>
      </c>
      <c r="E83" s="147" t="s">
        <v>128</v>
      </c>
      <c r="F83" s="329">
        <f>(1-C83/C60)</f>
        <v>0.43634865781330423</v>
      </c>
    </row>
    <row r="84" spans="2:8" x14ac:dyDescent="0.35">
      <c r="E84" s="121"/>
    </row>
    <row r="85" spans="2:8" ht="13.15" x14ac:dyDescent="0.4">
      <c r="B85" s="109" t="s">
        <v>312</v>
      </c>
    </row>
    <row r="86" spans="2:8" x14ac:dyDescent="0.35">
      <c r="B86" s="149" t="s">
        <v>310</v>
      </c>
      <c r="C86" s="266">
        <f>Market_Price</f>
        <v>59.9</v>
      </c>
      <c r="D86" t="str">
        <f>Market_currency</f>
        <v>HKD</v>
      </c>
    </row>
    <row r="87" spans="2:8" ht="13.15" x14ac:dyDescent="0.4">
      <c r="B87" s="100" t="s">
        <v>308</v>
      </c>
      <c r="C87" s="265">
        <f ca="1">IRR(OFFSET($I$3, 0, 0, $C$76 + 1, 1))</f>
        <v>0.12493740306462042</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2025-04-17T07:22:20Z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