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4B19B3F-FE9A-4331-9A22-A7967B6DA8F8}" xr6:coauthVersionLast="47" xr6:coauthVersionMax="47" xr10:uidLastSave="{00000000-0000-0000-0000-000000000000}"/>
  <bookViews>
    <workbookView xWindow="2205" yWindow="2205" windowWidth="12690" windowHeight="7642"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9" i="3"/>
  <c r="C23" i="3"/>
  <c r="C4" i="3"/>
  <c r="C11" i="3"/>
  <c r="C1" i="3"/>
  <c r="C5" i="4"/>
  <c r="D5" i="4"/>
  <c r="E5" i="4"/>
  <c r="F5" i="4"/>
  <c r="G5" i="4"/>
  <c r="C6" i="4"/>
  <c r="D6" i="4"/>
  <c r="E6" i="4"/>
  <c r="F6" i="4"/>
  <c r="G6" i="4"/>
  <c r="C20" i="4"/>
  <c r="D20" i="4"/>
  <c r="E20" i="4"/>
  <c r="F20" i="4"/>
  <c r="C25" i="4"/>
  <c r="D25" i="4"/>
  <c r="E25" i="4"/>
  <c r="F25" i="4"/>
  <c r="G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<sst xmlns="http://schemas.openxmlformats.org/spreadsheetml/2006/main" count="686" uniqueCount="465">
  <si>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</si>
  <si>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</si>
  <si>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</si>
  <si>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</si>
  <si>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</si>
  <si>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</si>
  <si>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</si>
  <si>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</si>
  <si>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</si>
  <si>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</si>
  <si>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</si>
  <si>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</si>
  <si>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</si>
  <si>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</si>
  <si>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</si>
  <si>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</si>
  <si>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</si>
  <si>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</si>
  <si>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</si>
  <si>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</si>
  <si>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</si>
  <si>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</si>
  <si>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</si>
  <si>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</si>
  <si>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</si>
  <si>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</si>
  <si>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</si>
  <si>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</si>
  <si>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</si>
  <si>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</si>
  <si>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</si>
  <si>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</si>
  <si>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</si>
  <si>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</si>
  <si>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</si>
  <si>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</si>
  <si>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</si>
  <si>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</si>
  <si>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</si>
  <si>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</si>
  <si>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</si>
  <si>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</si>
  <si>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</si>
  <si>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</si>
  <si>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</si>
  <si>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</si>
  <si>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</si>
  <si>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</si>
  <si>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</si>
  <si>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</si>
  <si>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</si>
  <si>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</si>
  <si>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</si>
  <si>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</si>
  <si>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</si>
  <si>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</si>
  <si>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</si>
  <si>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</si>
  <si>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</si>
  <si>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</si>
  <si>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</si>
  <si>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</si>
  <si>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</si>
  <si>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</si>
  <si>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</si>
  <si>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</si>
  <si>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</si>
  <si>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</si>
  <si>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</si>
  <si>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</si>
  <si>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</si>
  <si>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</si>
  <si>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</si>
  <si>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</si>
  <si>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</si>
  <si>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</si>
  <si>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</si>
  <si>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</si>
  <si>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</si>
  <si>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</si>
  <si>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</si>
  <si>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</si>
  <si>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</si>
  <si>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</si>
  <si>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</si>
  <si>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</si>
  <si>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</si>
  <si>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</si>
  <si>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</si>
  <si>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</si>
  <si>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</si>
  <si>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</si>
  <si>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</si>
  <si>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</si>
  <si>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</si>
  <si>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</si>
  <si>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</si>
  <si>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</si>
  <si>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</si>
  <si>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</si>
  <si>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</si>
  <si>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</si>
  <si>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</si>
  <si>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</si>
  <si>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</si>
  <si>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</si>
  <si>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</si>
  <si>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</si>
  <si>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</si>
  <si>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</si>
  <si>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</si>
  <si>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</si>
  <si>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</si>
  <si>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</si>
  <si>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</si>
  <si>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</si>
  <si>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</si>
  <si>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</si>
  <si>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</si>
  <si>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</si>
  <si>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</si>
  <si>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</si>
  <si>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</si>
  <si>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</si>
  <si>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</si>
  <si>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</si>
  <si>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</si>
  <si>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</si>
  <si>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</si>
  <si>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</si>
  <si>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</si>
  <si>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</si>
  <si>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</si>
  <si>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</si>
  <si>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</si>
  <si>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</si>
  <si>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</si>
  <si>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</si>
  <si>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</si>
  <si>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</si>
  <si>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</si>
  <si>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</si>
  <si>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</si>
  <si>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</si>
  <si>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</si>
  <si>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</si>
  <si>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</si>
  <si>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</si>
  <si>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</si>
  <si>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</si>
  <si>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</si>
  <si>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</si>
  <si>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</si>
  <si>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</si>
  <si>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</si>
  <si>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</si>
  <si>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</si>
  <si>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</si>
  <si>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</si>
  <si>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</si>
  <si>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</si>
  <si>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</si>
  <si>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</si>
  <si>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</si>
  <si>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</si>
  <si>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</si>
  <si>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</si>
  <si>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</si>
  <si>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</si>
  <si>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</si>
  <si>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</si>
  <si>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</si>
  <si>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</si>
  <si>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</si>
  <si>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</si>
  <si>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</si>
  <si>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</si>
  <si>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</si>
  <si>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</si>
  <si>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</si>
  <si>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</si>
  <si>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</si>
  <si>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</si>
  <si>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</si>
  <si>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</si>
  <si>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</si>
  <si>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</si>
  <si>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</si>
  <si>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</si>
  <si>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</si>
  <si>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</si>
  <si>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</si>
  <si>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</si>
  <si>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</si>
  <si>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</si>
  <si>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</si>
  <si>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</si>
  <si>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</si>
  <si>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</si>
  <si>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</si>
  <si>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</si>
  <si>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</si>
  <si>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</si>
  <si>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</si>
  <si>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</si>
  <si>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</si>
  <si>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</si>
  <si>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</si>
  <si>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</si>
  <si>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</si>
  <si>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</si>
  <si>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</si>
  <si>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</si>
  <si>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</si>
  <si>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</si>
  <si>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</si>
  <si>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</si>
  <si>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</si>
  <si>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</si>
  <si>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</si>
  <si>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</si>
  <si>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</si>
  <si>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</si>
  <si>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</si>
  <si>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</si>
  <si>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</si>
  <si>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</si>
  <si>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</si>
  <si>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</si>
  <si>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</si>
  <si>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</si>
  <si>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</si>
  <si>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</si>
  <si>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</si>
  <si>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</si>
  <si>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</si>
  <si>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</si>
  <si>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</si>
  <si>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</si>
  <si>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</si>
  <si>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</si>
  <si>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</si>
  <si>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</si>
  <si>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</si>
  <si>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</si>
  <si>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</si>
  <si>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</si>
  <si>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</si>
  <si>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</si>
  <si>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</si>
  <si>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</si>
  <si>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</si>
  <si>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</si>
  <si>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</si>
  <si>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</si>
  <si>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</si>
  <si>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</si>
  <si>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</si>
  <si>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</si>
  <si>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</si>
  <si>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</si>
  <si>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</si>
  <si>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</si>
  <si>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</si>
  <si>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</si>
  <si>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</si>
  <si>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</si>
  <si>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</si>
  <si>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</si>
  <si>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</si>
  <si>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</si>
  <si>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</si>
  <si>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</si>
  <si>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</si>
  <si>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</si>
  <si>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</si>
  <si>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</si>
  <si>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</si>
  <si>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</si>
  <si>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</si>
  <si>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</si>
  <si>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</si>
  <si>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</si>
  <si>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</si>
  <si>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</si>
  <si>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</si>
  <si>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</si>
  <si>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</si>
  <si>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</si>
  <si>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</si>
  <si>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</si>
  <si>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</si>
  <si>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</si>
  <si>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</si>
  <si>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</si>
  <si>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</si>
  <si>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</si>
  <si>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</si>
  <si>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</si>
  <si>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</si>
  <si>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</si>
  <si>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</si>
  <si>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</si>
  <si>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</si>
  <si>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</si>
  <si>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</si>
  <si>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</si>
  <si>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</si>
  <si>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</si>
  <si>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</si>
  <si>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</si>
  <si>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</si>
  <si>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</si>
  <si>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</si>
  <si>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</si>
  <si>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</si>
  <si>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</si>
  <si>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</si>
  <si>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</si>
  <si>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</si>
  <si>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</si>
  <si>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</si>
  <si>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</si>
  <si>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</si>
  <si>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</si>
  <si>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</si>
  <si>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</si>
  <si>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</si>
  <si>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</si>
  <si>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</si>
  <si>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</si>
  <si>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</si>
  <si>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</si>
  <si>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</si>
  <si>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</si>
  <si>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</si>
  <si>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</si>
  <si>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</si>
  <si>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</si>
  <si>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</si>
  <si>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</si>
  <si>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</si>
  <si>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</si>
  <si>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</si>
  <si>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</si>
  <si>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</si>
  <si>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</si>
  <si>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</si>
  <si>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</si>
  <si>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</si>
  <si>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</si>
  <si>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</si>
  <si>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</si>
  <si>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</si>
  <si>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</si>
  <si>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</si>
  <si>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</si>
  <si>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</si>
  <si>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</si>
  <si>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</si>
  <si>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</si>
  <si>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</si>
  <si>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</si>
  <si>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</si>
  <si>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</si>
  <si>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</si>
  <si>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</si>
  <si>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</si>
  <si>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</si>
  <si>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</si>
  <si>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</si>
  <si>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</si>
  <si>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</si>
  <si>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</si>
  <si>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</si>
  <si>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</si>
  <si>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</si>
  <si>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</si>
  <si>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</si>
  <si>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</si>
  <si>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</si>
  <si>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</si>
  <si>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</si>
  <si>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</si>
  <si>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</si>
  <si>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</si>
  <si>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</si>
  <si>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</si>
  <si>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</si>
  <si>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</si>
  <si>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</si>
  <si>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</si>
  <si>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</si>
  <si>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</si>
  <si>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</si>
  <si>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</si>
  <si>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</si>
  <si>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</si>
  <si>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</si>
  <si>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</si>
  <si>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</si>
  <si>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</si>
  <si>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</si>
  <si>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</si>
  <si>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</si>
  <si>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</si>
  <si>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</si>
  <si>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</si>
  <si>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</si>
  <si>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</si>
  <si>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</si>
  <si>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</si>
  <si>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</si>
  <si>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</si>
  <si>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</si>
  <si>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</si>
  <si>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</si>
  <si>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</si>
  <si>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</si>
  <si>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</si>
  <si>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</si>
  <si>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</si>
  <si>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</si>
  <si>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</si>
  <si>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</si>
  <si>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</si>
  <si>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</si>
  <si>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</si>
  <si>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</si>
  <si>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</si>
  <si>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</si>
  <si>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</si>
  <si>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</si>
  <si>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</si>
  <si>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</si>
  <si>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</si>
  <si>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</si>
  <si>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</si>
  <si>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</si>
  <si>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</si>
  <si>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</si>
  <si>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</si>
  <si>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</si>
  <si>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</si>
  <si>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</si>
  <si>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</si>
  <si>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</si>
  <si>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</si>
  <si>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</si>
  <si>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</si>
  <si>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</si>
  <si>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</si>
  <si>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</si>
  <si>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</si>
  <si>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</si>
  <si>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</si>
  <si>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</si>
  <si>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</si>
  <si>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青島啤酒股份</t>
  </si>
  <si>
    <t>0168.HK</t>
  </si>
  <si>
    <t/>
  </si>
  <si>
    <t>CNS_02</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</si>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</sst>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1364196788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50.65</v>
      </c>
      <c r="D12" s="50"/>
      <c r="E12" s="48"/>
    </row>
    <row r="13" spans="1:10">
      <c r="B13" s="1" t="s">
        <v>413</v>
      </c>
      <c r="C13" s="48" t="s">
        <v>393</v>
      </c>
      <c r="D13" s="48"/>
      <c r="E13" s="5"/>
    </row>
    <row r="14" spans="1:10">
      <c r="B14" s="4" t="s">
        <v>417</v>
      </c>
      <c r="C14" s="35">
        <f>Thesis!C12*Common_Shares/1000000</f>
        <v>69096.567312200001</v>
      </c>
      <c r="D14" s="35" t="str">
        <f>IF(D11="","",Thesis!D12*Common_Shares/1000000)</f>
        <v/>
      </c>
      <c r="E14" s="5"/>
    </row>
    <row r="15" spans="1:10">
      <c r="B15" s="4" t="s">
        <v>416</v>
      </c>
      <c r="C15" s="32" t="str">
        <f>IF(C25=C13,C13,C25&amp;"/"&amp;C13)</f>
        <v>CNY/HKD</v>
      </c>
      <c r="D15" s="32" t="str">
        <f>IF(D11="","",IF(C25=D13,D13,C25&amp;"/"&amp;D13))</f>
        <v/>
      </c>
      <c r="E15" s="5"/>
    </row>
    <row r="16" spans="1:10">
      <c r="B16" s="4" t="s">
        <v>1</v>
      </c>
      <c r="C16" s="50">
        <v>1.0933657000000001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(HKD) :</v>
      </c>
      <c r="C26" s="304">
        <f>C132</f>
        <v>72.989037726323929</v>
      </c>
      <c r="D26" s="1" t="s">
        <v>396</v>
      </c>
      <c r="E26" s="301">
        <f ca="1">Scenarios!C87</f>
        <v>0.16139924149762863</v>
      </c>
    </row>
    <row r="27" spans="2:6">
      <c r="D27" s="5"/>
      <c r="E27" s="5"/>
    </row>
    <row r="28" spans="2:6">
      <c r="B28" s="45" t="s">
        <v>430</v>
      </c>
      <c r="C28" s="309" t="str">
        <f>C145&amp;" ("&amp;Market_currency&amp;")"</f>
        <v>0168.HK (HKD)</v>
      </c>
      <c r="D28" s="309" t="str">
        <f>IF(D11="","",D145&amp;" ("&amp;D13&amp;")")</f>
        <v/>
      </c>
      <c r="E28" s="305" t="s">
        <v>426</v>
      </c>
      <c r="F28" s="303">
        <v>3</v>
      </c>
    </row>
    <row r="29" spans="2:6">
      <c r="B29" s="1" t="s">
        <v>422</v>
      </c>
      <c r="C29" s="310">
        <f>C149</f>
        <v>31.548853367091088</v>
      </c>
      <c r="D29" s="310" t="str">
        <f>D149</f>
        <v/>
      </c>
      <c r="E29" s="306" t="s">
        <v>421</v>
      </c>
      <c r="F29" s="302">
        <v>0.3674</v>
      </c>
    </row>
    <row r="30" spans="2:6">
      <c r="B30" s="1" t="s">
        <v>423</v>
      </c>
      <c r="C30" s="311">
        <f>C157</f>
        <v>44.16676904360078</v>
      </c>
      <c r="D30" s="311" t="str">
        <f>D157</f>
        <v/>
      </c>
      <c r="E30" s="307" t="s">
        <v>434</v>
      </c>
      <c r="F30" s="312">
        <v>0.21740000000000001</v>
      </c>
    </row>
    <row r="31" spans="2:6">
      <c r="B31" s="1" t="s">
        <v>424</v>
      </c>
      <c r="C31" s="311">
        <f>C165</f>
        <v>63.46264664962284</v>
      </c>
      <c r="D31" s="311" t="str">
        <f>D165</f>
        <v/>
      </c>
      <c r="E31" s="307" t="s">
        <v>433</v>
      </c>
      <c r="F31" s="312">
        <v>7.4999999999999997E-2</v>
      </c>
    </row>
    <row r="32" spans="2:6">
      <c r="B32" s="1" t="s">
        <v>425</v>
      </c>
      <c r="C32" s="311">
        <f>C173</f>
        <v>56.684687444136223</v>
      </c>
      <c r="D32" s="311" t="str">
        <f>D173</f>
        <v/>
      </c>
      <c r="E32" s="307" t="s">
        <v>435</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3878068070.3077545</v>
      </c>
      <c r="D41" s="1" t="str">
        <f>Reporting_currency</f>
        <v>CNY</v>
      </c>
    </row>
    <row r="42" spans="1:6">
      <c r="B42" s="47"/>
      <c r="C42" s="76"/>
    </row>
    <row r="43" spans="1:6" ht="24.6" customHeight="1">
      <c r="B43" s="361" t="s">
        <v>232</v>
      </c>
      <c r="C43" s="361"/>
      <c r="D43" s="361"/>
      <c r="E43" s="361"/>
      <c r="F43" s="361"/>
    </row>
    <row r="44" spans="1:6">
      <c r="B44" s="47" t="s">
        <v>233</v>
      </c>
      <c r="C44" s="349">
        <f>Normalized_FCF!C9</f>
        <v>1191305772</v>
      </c>
      <c r="D44" s="1" t="str">
        <f>Reporting_currency</f>
        <v>CNY</v>
      </c>
    </row>
    <row r="45" spans="1:6">
      <c r="B45" s="52" t="s">
        <v>234</v>
      </c>
      <c r="C45" s="349">
        <f>Normalized_FCF!C10</f>
        <v>-1191305772</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177074025.60191604</v>
      </c>
      <c r="D51" s="1" t="str">
        <f>Reporting_currency</f>
        <v>CNY</v>
      </c>
      <c r="E51" s="286"/>
      <c r="F51" s="286"/>
    </row>
    <row r="52" spans="2:6">
      <c r="B52" s="47" t="s">
        <v>338</v>
      </c>
      <c r="C52" s="350">
        <f>Normalized_FCF!C47</f>
        <v>-21837054</v>
      </c>
      <c r="D52" s="1" t="str">
        <f>Reporting_currency</f>
        <v>CNY</v>
      </c>
      <c r="E52" s="286"/>
      <c r="F52" s="286"/>
    </row>
    <row r="53" spans="2:6">
      <c r="B53" s="47" t="s">
        <v>237</v>
      </c>
      <c r="C53" s="349">
        <f>Normalized_FCF!C12</f>
        <v>155236971.60191604</v>
      </c>
      <c r="D53" s="1" t="str">
        <f>Reporting_currency</f>
        <v>CNY</v>
      </c>
    </row>
    <row r="55" spans="2:6">
      <c r="B55" s="1" t="s">
        <v>245</v>
      </c>
    </row>
    <row r="56" spans="2:6">
      <c r="B56" s="47" t="s">
        <v>264</v>
      </c>
      <c r="C56" s="349">
        <f>Normalized_FCF!C15</f>
        <v>-146634564.47167698</v>
      </c>
      <c r="D56" s="1" t="str">
        <f>Reporting_currency</f>
        <v>CNY</v>
      </c>
    </row>
    <row r="58" spans="2:6">
      <c r="B58" s="361" t="s">
        <v>240</v>
      </c>
      <c r="C58" s="361"/>
      <c r="D58" s="361"/>
      <c r="E58" s="361"/>
      <c r="F58" s="361"/>
    </row>
    <row r="59" spans="2:6">
      <c r="B59" s="47" t="s">
        <v>238</v>
      </c>
      <c r="C59" s="349">
        <f>Normalized_FCF!C14</f>
        <v>-1008326260.4774176</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3154792689.6019163</v>
      </c>
      <c r="D67" s="1" t="str">
        <f>Reporting_currency</f>
        <v>CNY</v>
      </c>
    </row>
    <row r="68" spans="1:6">
      <c r="B68" s="47" t="s">
        <v>247</v>
      </c>
      <c r="C68" s="349">
        <f>Normalized_FCF!C19</f>
        <v>2878344216.9605761</v>
      </c>
      <c r="D68" s="1" t="str">
        <f>Reporting_currency</f>
        <v>CNY</v>
      </c>
    </row>
    <row r="69" spans="1:6">
      <c r="B69" s="227" t="s">
        <v>387</v>
      </c>
      <c r="C69" s="92">
        <f>Normalized_FCF!C126</f>
        <v>4.5546153188747329E-2</v>
      </c>
      <c r="F69" s="314"/>
    </row>
    <row r="70" spans="1:6">
      <c r="B70" s="227" t="s">
        <v>455</v>
      </c>
      <c r="C70" s="92">
        <f>Normalized_FCF!C94</f>
        <v>3.5753642642439847E-2</v>
      </c>
      <c r="E70" s="47" t="s">
        <v>445</v>
      </c>
      <c r="F70" s="315">
        <f>Normalized_FCF!C92</f>
        <v>0.95365552371803675</v>
      </c>
    </row>
    <row r="72" spans="1:6">
      <c r="B72" s="210" t="s">
        <v>448</v>
      </c>
      <c r="C72" s="323" t="s">
        <v>450</v>
      </c>
      <c r="D72" s="323" t="s">
        <v>451</v>
      </c>
    </row>
    <row r="73" spans="1:6">
      <c r="B73" s="47" t="s">
        <v>449</v>
      </c>
      <c r="C73" s="92">
        <f>Normalized_FCF!C121</f>
        <v>0.13507591778949038</v>
      </c>
      <c r="D73" s="92">
        <f>Normalized_FCF!G121</f>
        <v>0.15711231705676132</v>
      </c>
    </row>
    <row r="74" spans="1:6">
      <c r="B74" s="259" t="str">
        <f>Normalized_FCF!B118</f>
        <v>Pre-tax Profit/Sales</v>
      </c>
      <c r="C74" s="322">
        <f>Normalized_FCF!C118</f>
        <v>0.12563568222497271</v>
      </c>
      <c r="D74" s="322">
        <f>Normalized_FCF!G118</f>
        <v>0.14597444243742508</v>
      </c>
    </row>
    <row r="75" spans="1:6">
      <c r="B75" s="259" t="str">
        <f>Normalized_FCF!B119</f>
        <v>Sales/Total Assets</v>
      </c>
      <c r="C75" s="324">
        <f>Normalized_FCF!C119</f>
        <v>0.62432788948992113</v>
      </c>
      <c r="D75" s="324">
        <f>Normalized_FCF!G119</f>
        <v>0.62500173016982585</v>
      </c>
    </row>
    <row r="76" spans="1:6">
      <c r="B76" s="259" t="str">
        <f>Normalized_FCF!B120</f>
        <v>Total Assets/Equity</v>
      </c>
      <c r="C76" s="324">
        <f>Normalized_FCF!C120</f>
        <v>1.7220755031358876</v>
      </c>
      <c r="D76" s="324">
        <f>Normalized_FCF!G120</f>
        <v>1.7220755031358876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30.75883545346737</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285396383</v>
      </c>
      <c r="D102" s="1" t="str">
        <f>Reporting_currency</f>
        <v>CNY</v>
      </c>
    </row>
    <row r="103" spans="2:6">
      <c r="B103" s="47" t="s">
        <v>280</v>
      </c>
      <c r="C103" s="223">
        <f>C102*scaling_factor*Exchange_Rate/Common_Shares</f>
        <v>0.22873724584393548</v>
      </c>
      <c r="D103" s="1" t="str">
        <f>Market_currency</f>
        <v>HKD</v>
      </c>
    </row>
    <row r="104" spans="2:6">
      <c r="B104" s="296" t="s">
        <v>401</v>
      </c>
      <c r="C104" s="325">
        <f>IF(BS!G31/BS!G27&gt;300%,"nm",BS!G31/BS!G27)</f>
        <v>9.5579625064196368E-3</v>
      </c>
    </row>
    <row r="105" spans="2:6">
      <c r="B105" s="296" t="s">
        <v>403</v>
      </c>
      <c r="C105" s="326">
        <f>IF(BS!C50&gt;30,"nm",BS!C50)</f>
        <v>7.3592411949940734E-2</v>
      </c>
    </row>
    <row r="107" spans="2:6">
      <c r="B107" s="1" t="s">
        <v>253</v>
      </c>
    </row>
    <row r="108" spans="2:6">
      <c r="B108" s="47" t="s">
        <v>263</v>
      </c>
      <c r="C108" s="349">
        <f>BS!C66</f>
        <v>17978772896</v>
      </c>
      <c r="D108" s="1" t="str">
        <f>Reporting_currency</f>
        <v>CNY</v>
      </c>
    </row>
    <row r="109" spans="2:6">
      <c r="B109" s="47" t="s">
        <v>265</v>
      </c>
      <c r="C109" s="349">
        <f>DCF!C8</f>
        <v>12817095936.898571</v>
      </c>
      <c r="D109" s="1" t="str">
        <f>Reporting_currency</f>
        <v>CNY</v>
      </c>
    </row>
    <row r="110" spans="2:6">
      <c r="B110" s="47" t="s">
        <v>281</v>
      </c>
      <c r="C110" s="223">
        <f>C109*scaling_factor*Exchange_Rate/Common_Shares</f>
        <v>10.272545130061003</v>
      </c>
      <c r="D110" s="1" t="str">
        <f>Market_currency</f>
        <v>HKD</v>
      </c>
    </row>
    <row r="112" spans="2:6">
      <c r="B112" s="1" t="s">
        <v>255</v>
      </c>
    </row>
    <row r="113" spans="1:6">
      <c r="B113" s="47" t="s">
        <v>256</v>
      </c>
      <c r="C113" s="349">
        <f>DCF!C9</f>
        <v>2755411575.5</v>
      </c>
      <c r="D113" s="1" t="str">
        <f>Reporting_currency</f>
        <v>CNY</v>
      </c>
    </row>
    <row r="114" spans="1:6">
      <c r="B114" s="47" t="s">
        <v>282</v>
      </c>
      <c r="C114" s="223">
        <f>C113*scaling_factor*Exchange_Rate/Common_Shares</f>
        <v>2.2083855735003102</v>
      </c>
      <c r="D114" s="1" t="str">
        <f>Market_currency</f>
        <v>HKD</v>
      </c>
    </row>
    <row r="116" spans="1:6" ht="24.6" customHeight="1">
      <c r="B116" s="360" t="s">
        <v>363</v>
      </c>
      <c r="C116" s="360"/>
      <c r="D116" s="360"/>
      <c r="E116" s="360"/>
      <c r="F116" s="360"/>
    </row>
    <row r="118" spans="1:6">
      <c r="B118" s="47" t="s">
        <v>446</v>
      </c>
      <c r="C118" s="223">
        <f>IF(valuation_method="DCF",DCF!C12,DDM!C7)</f>
        <v>43.011028911184745</v>
      </c>
      <c r="D118" s="1" t="str">
        <f>Market_currency</f>
        <v>HKD</v>
      </c>
    </row>
    <row r="119" spans="1:6">
      <c r="B119" s="296" t="s">
        <v>402</v>
      </c>
      <c r="C119" s="223">
        <f>BS!D47</f>
        <v>1.3589450968407313</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30</v>
      </c>
      <c r="E126" s="231" t="str">
        <f>ROUND(IF(valuation_method="DCF",DCF!E74,DDM!E69),2)&amp;" "&amp;Market_currency</f>
        <v>116.92 HKD</v>
      </c>
      <c r="F126" s="232">
        <f>DCF!F74</f>
        <v>0.05</v>
      </c>
    </row>
    <row r="127" spans="1:6">
      <c r="B127" s="218" t="str">
        <f>DCF!B75</f>
        <v>Optimistic</v>
      </c>
      <c r="C127" s="219">
        <f>DCF!C75</f>
        <v>0.08</v>
      </c>
      <c r="D127" s="220">
        <f>DCF!D75</f>
        <v>30</v>
      </c>
      <c r="E127" s="231" t="str">
        <f>ROUND(IF(valuation_method="DCF",DCF!E75,DDM!E70),2)&amp;" "&amp;Market_currency</f>
        <v>90.48 HKD</v>
      </c>
      <c r="F127" s="221">
        <f>DCF!F75</f>
        <v>0.18</v>
      </c>
    </row>
    <row r="128" spans="1:6">
      <c r="B128" s="218" t="str">
        <f>DCF!B76</f>
        <v>Base</v>
      </c>
      <c r="C128" s="219">
        <f>DCF!C76</f>
        <v>0.06</v>
      </c>
      <c r="D128" s="220">
        <f>DCF!D76</f>
        <v>30</v>
      </c>
      <c r="E128" s="231" t="str">
        <f>ROUND(IF(valuation_method="DCF",DCF!E76,DDM!E71),2)&amp;" "&amp;Market_currency</f>
        <v>72.05 HKD</v>
      </c>
      <c r="F128" s="221">
        <f>DCF!F76</f>
        <v>0.44999999999999996</v>
      </c>
    </row>
    <row r="129" spans="1:6">
      <c r="B129" s="218" t="str">
        <f>DCF!B77</f>
        <v>Pessimistic</v>
      </c>
      <c r="C129" s="219">
        <f>DCF!C77</f>
        <v>0.04</v>
      </c>
      <c r="D129" s="220">
        <f>DCF!D77</f>
        <v>30</v>
      </c>
      <c r="E129" s="231" t="str">
        <f>ROUND(IF(valuation_method="DCF",DCF!E77,DDM!E72),2)&amp;" "&amp;Market_currency</f>
        <v>59.06 HKD</v>
      </c>
      <c r="F129" s="221">
        <f>DCF!F77</f>
        <v>0.26999999999999996</v>
      </c>
    </row>
    <row r="130" spans="1:6">
      <c r="B130" s="218" t="str">
        <f>DCF!B78</f>
        <v>Devil's advocate</v>
      </c>
      <c r="C130" s="219">
        <f>DCF!C78</f>
        <v>0.02</v>
      </c>
      <c r="D130" s="220">
        <f>DCF!D78</f>
        <v>30</v>
      </c>
      <c r="E130" s="231" t="str">
        <f>ROUND(IF(valuation_method="DCF",DCF!E78,DDM!E73),2)&amp;" "&amp;Market_currency</f>
        <v>49.77 HKD</v>
      </c>
      <c r="F130" s="221">
        <f>DCF!F78</f>
        <v>0.05</v>
      </c>
    </row>
    <row r="132" spans="1:6">
      <c r="B132" s="211" t="s">
        <v>257</v>
      </c>
      <c r="C132" s="217">
        <f>Scenarios!C60</f>
        <v>72.989037726323929</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1.810921999839578</v>
      </c>
      <c r="D143" s="212" t="str">
        <f>Market_currency</f>
        <v>HKD</v>
      </c>
    </row>
    <row r="145" spans="2:4">
      <c r="B145" s="210" t="s">
        <v>405</v>
      </c>
      <c r="C145" s="241" t="str">
        <f>C11</f>
        <v>0168.HK</v>
      </c>
      <c r="D145" s="241" t="str">
        <f>IF(D11="","",D11)</f>
        <v/>
      </c>
    </row>
    <row r="146" spans="2:4">
      <c r="B146" s="1" t="s">
        <v>404</v>
      </c>
      <c r="C146" s="297">
        <f>F29</f>
        <v>0.3674</v>
      </c>
    </row>
    <row r="147" spans="2:4">
      <c r="B147" s="212" t="str">
        <f>"PV("&amp;C141&amp;" yrs of Dividends)"</f>
        <v>PV(3 yrs of Dividends)</v>
      </c>
      <c r="C147" s="216">
        <f>Scenarios!C81</f>
        <v>3.001167360876988</v>
      </c>
    </row>
    <row r="148" spans="2:4">
      <c r="B148" s="212" t="str">
        <f>"+ PV(Equity Value realized at year "&amp;C141&amp;")"</f>
        <v>+ PV(Equity Value realized at year 3)</v>
      </c>
      <c r="C148" s="216">
        <f>Scenarios!C82</f>
        <v>28.5476860062141</v>
      </c>
    </row>
    <row r="149" spans="2:4">
      <c r="B149" s="80" t="s">
        <v>259</v>
      </c>
      <c r="C149" s="215">
        <f>Scenarios!C83</f>
        <v>31.548853367091088</v>
      </c>
      <c r="D149" s="300" t="str">
        <f>IF($D$11="","",C149*$E$25)</f>
        <v/>
      </c>
    </row>
    <row r="150" spans="2:4">
      <c r="B150" s="259" t="s">
        <v>413</v>
      </c>
      <c r="C150" s="298" t="str">
        <f>Market_currency</f>
        <v>HKD</v>
      </c>
      <c r="D150" s="298" t="str">
        <f>IF($D$11="","",D$13)</f>
        <v/>
      </c>
    </row>
    <row r="151" spans="2:4">
      <c r="B151" s="214" t="s">
        <v>261</v>
      </c>
      <c r="C151" s="92">
        <f>Scenarios!F83</f>
        <v>0.5677590176570747</v>
      </c>
    </row>
    <row r="153" spans="2:4">
      <c r="B153" s="210" t="s">
        <v>408</v>
      </c>
    </row>
    <row r="154" spans="2:4">
      <c r="B154" s="1" t="s">
        <v>407</v>
      </c>
      <c r="C154" s="297">
        <f>Scenarios!C90</f>
        <v>0.21740000000000001</v>
      </c>
    </row>
    <row r="155" spans="2:4">
      <c r="B155" s="212" t="str">
        <f>"PV("&amp;C141&amp;" yrs of Dividends)"</f>
        <v>PV(3 yrs of Dividends)</v>
      </c>
      <c r="C155" s="216">
        <f>Scenarios!C91</f>
        <v>3.7131159604262098</v>
      </c>
    </row>
    <row r="156" spans="2:4">
      <c r="B156" s="212" t="str">
        <f>"+ PV(Equity Value realized at year "&amp;C141&amp;")"</f>
        <v>+ PV(Equity Value realized at year 3)</v>
      </c>
      <c r="C156" s="216">
        <f>Scenarios!C92</f>
        <v>40.453653083174572</v>
      </c>
    </row>
    <row r="157" spans="2:4">
      <c r="B157" s="80" t="s">
        <v>259</v>
      </c>
      <c r="C157" s="215">
        <f>Scenarios!C93</f>
        <v>44.16676904360078</v>
      </c>
      <c r="D157" s="300" t="str">
        <f>IF($D$11="","",C157*$E$25)</f>
        <v/>
      </c>
    </row>
    <row r="158" spans="2:4">
      <c r="B158" s="259" t="s">
        <v>413</v>
      </c>
      <c r="C158" s="298" t="str">
        <f>Market_currency</f>
        <v>HKD</v>
      </c>
      <c r="D158" s="298" t="str">
        <f>IF($D$11="","",D$13)</f>
        <v/>
      </c>
    </row>
    <row r="159" spans="2:4">
      <c r="B159" s="214" t="s">
        <v>261</v>
      </c>
      <c r="C159" s="92">
        <f>Scenarios!F93</f>
        <v>0.39488489752110034</v>
      </c>
    </row>
    <row r="161" spans="2:4">
      <c r="B161" s="210" t="s">
        <v>397</v>
      </c>
    </row>
    <row r="162" spans="2:4">
      <c r="B162" s="1" t="s">
        <v>406</v>
      </c>
      <c r="C162" s="92">
        <f>Scenarios!C96</f>
        <v>7.4999999999999997E-2</v>
      </c>
    </row>
    <row r="163" spans="2:4">
      <c r="B163" s="212" t="str">
        <f>"PV("&amp;C141&amp;" yrs of Dividends)"</f>
        <v>PV(3 yrs of Dividends)</v>
      </c>
      <c r="C163" s="216">
        <f>Scenarios!C97</f>
        <v>4.7093492734832276</v>
      </c>
    </row>
    <row r="164" spans="2:4">
      <c r="B164" s="212" t="str">
        <f>"+ PV(Equity Value realized at year "&amp;C141&amp;")"</f>
        <v>+ PV(Equity Value realized at year 3)</v>
      </c>
      <c r="C164" s="216">
        <f>Scenarios!C98</f>
        <v>58.753297376139614</v>
      </c>
    </row>
    <row r="165" spans="2:4">
      <c r="B165" s="80" t="s">
        <v>398</v>
      </c>
      <c r="C165" s="215">
        <f>Scenarios!C99</f>
        <v>63.46264664962284</v>
      </c>
      <c r="D165" s="300" t="str">
        <f>IF($D$11="","",C165*$E$25)</f>
        <v/>
      </c>
    </row>
    <row r="166" spans="2:4">
      <c r="B166" s="259" t="s">
        <v>413</v>
      </c>
      <c r="C166" s="298" t="str">
        <f>Market_currency</f>
        <v>HKD</v>
      </c>
      <c r="D166" s="298" t="str">
        <f>IF($D$11="","",D$13)</f>
        <v/>
      </c>
    </row>
    <row r="167" spans="2:4">
      <c r="B167" s="214" t="s">
        <v>261</v>
      </c>
      <c r="C167" s="92">
        <f>Scenarios!F99</f>
        <v>0.13051810756049109</v>
      </c>
    </row>
    <row r="169" spans="2:4">
      <c r="B169" s="210" t="s">
        <v>429</v>
      </c>
    </row>
    <row r="170" spans="2:4">
      <c r="B170" s="1" t="s">
        <v>420</v>
      </c>
      <c r="C170" s="92">
        <f>F32</f>
        <v>0.1174</v>
      </c>
    </row>
    <row r="171" spans="2:4">
      <c r="B171" s="212" t="str">
        <f>"PV("&amp;C141&amp;" yrs of Dividends)"</f>
        <v>PV(3 yrs of Dividends)</v>
      </c>
      <c r="C171" s="216">
        <f>Scenarios!C103</f>
        <v>4.3690360776440356</v>
      </c>
    </row>
    <row r="172" spans="2:4">
      <c r="B172" s="212" t="str">
        <f>"+ PV(Equity Value realized at year "&amp;C141&amp;")"</f>
        <v>+ PV(Equity Value realized at year 3)</v>
      </c>
      <c r="C172" s="216">
        <f>Scenarios!C104</f>
        <v>52.31565136649219</v>
      </c>
    </row>
    <row r="173" spans="2:4">
      <c r="B173" s="80" t="s">
        <v>398</v>
      </c>
      <c r="C173" s="215">
        <f>Scenarios!C105</f>
        <v>56.684687444136223</v>
      </c>
      <c r="D173" s="300" t="str">
        <f>IF($D$11="","",C173*$E$25)</f>
        <v/>
      </c>
    </row>
    <row r="174" spans="2:4">
      <c r="B174" s="259" t="s">
        <v>413</v>
      </c>
      <c r="C174" s="298" t="str">
        <f>Market_currency</f>
        <v>HKD</v>
      </c>
      <c r="D174" s="298" t="str">
        <f>IF($D$11="","",D$13)</f>
        <v/>
      </c>
    </row>
    <row r="175" spans="2:4">
      <c r="B175" s="214" t="s">
        <v>261</v>
      </c>
      <c r="C175" s="92">
        <f>Scenarios!F105</f>
        <v>0.22302724114911543</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32137830111</v>
      </c>
      <c r="D4" s="351">
        <v>33936522741</v>
      </c>
      <c r="E4" s="351">
        <v>32171565624</v>
      </c>
      <c r="F4" s="351">
        <v>30166805377</v>
      </c>
      <c r="G4" s="351">
        <v>27759710926</v>
      </c>
      <c r="H4" s="351"/>
      <c r="I4" s="351"/>
      <c r="J4" s="351"/>
      <c r="K4" s="351"/>
      <c r="L4" s="351"/>
      <c r="M4" s="351"/>
    </row>
    <row r="5" spans="2:13">
      <c r="B5" s="40" t="s">
        <v>43</v>
      </c>
      <c r="C5" s="351">
        <f>19209915823+2328256391</f>
        <v>21538172214</v>
      </c>
      <c r="D5" s="351">
        <f>20816889655+2386660732</f>
        <v>23203550387</v>
      </c>
      <c r="E5" s="351">
        <f>20317934822+2390725323</f>
        <v>22708660145</v>
      </c>
      <c r="F5" s="351">
        <f>19091130744+2318835745</f>
        <v>21409966489</v>
      </c>
      <c r="G5" s="351">
        <f>16540609624+2219072099</f>
        <v>18759681723</v>
      </c>
      <c r="H5" s="351"/>
      <c r="I5" s="351"/>
      <c r="J5" s="351"/>
      <c r="K5" s="351"/>
      <c r="L5" s="351"/>
      <c r="M5" s="351"/>
    </row>
    <row r="6" spans="2:13">
      <c r="B6" s="40" t="s">
        <v>54</v>
      </c>
      <c r="C6" s="351">
        <f>1406578781+C7</f>
        <v>6009098645</v>
      </c>
      <c r="D6" s="351">
        <f>1519063042+D7</f>
        <v>6227465840</v>
      </c>
      <c r="E6" s="351">
        <f>1473368004+E7</f>
        <v>5672870751</v>
      </c>
      <c r="F6" s="351">
        <f>1692545246+F7</f>
        <v>5789419371</v>
      </c>
      <c r="G6" s="351">
        <f>1678050722+G7</f>
        <v>6662600559</v>
      </c>
      <c r="H6" s="351"/>
      <c r="I6" s="351"/>
      <c r="J6" s="351"/>
      <c r="K6" s="351"/>
      <c r="L6" s="351"/>
      <c r="M6" s="351"/>
    </row>
    <row r="7" spans="2:13">
      <c r="B7" s="69" t="s">
        <v>61</v>
      </c>
      <c r="C7" s="352">
        <v>4602519864</v>
      </c>
      <c r="D7" s="352">
        <v>4708402798</v>
      </c>
      <c r="E7" s="352">
        <v>4199502747</v>
      </c>
      <c r="F7" s="352">
        <v>4096874125</v>
      </c>
      <c r="G7" s="352">
        <v>4984549837</v>
      </c>
      <c r="H7" s="352"/>
      <c r="I7" s="352"/>
      <c r="J7" s="352"/>
      <c r="K7" s="352"/>
      <c r="L7" s="352"/>
      <c r="M7" s="352"/>
    </row>
    <row r="8" spans="2:13">
      <c r="B8" s="40" t="s">
        <v>49</v>
      </c>
      <c r="C8" s="351">
        <v>102766675</v>
      </c>
      <c r="D8" s="351">
        <v>100637006</v>
      </c>
      <c r="E8" s="351">
        <v>62954899</v>
      </c>
      <c r="F8" s="351">
        <v>30890245</v>
      </c>
      <c r="G8" s="351">
        <v>21467092</v>
      </c>
      <c r="H8" s="351"/>
      <c r="I8" s="351"/>
      <c r="J8" s="351"/>
      <c r="K8" s="351"/>
      <c r="L8" s="351"/>
      <c r="M8" s="351"/>
    </row>
    <row r="9" spans="2:13">
      <c r="B9" s="40" t="s">
        <v>158</v>
      </c>
      <c r="C9" s="351">
        <v>48272283</v>
      </c>
      <c r="D9" s="351">
        <v>15798284</v>
      </c>
      <c r="E9" s="351">
        <v>19873379</v>
      </c>
      <c r="F9" s="351">
        <v>20561728</v>
      </c>
      <c r="G9" s="351">
        <v>18098320</v>
      </c>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21837054</v>
      </c>
      <c r="D12" s="351">
        <v>16430590</v>
      </c>
      <c r="E12" s="351">
        <v>9237800</v>
      </c>
      <c r="F12" s="351">
        <v>22685367</v>
      </c>
      <c r="G12" s="351">
        <v>13662682</v>
      </c>
      <c r="H12" s="351"/>
      <c r="I12" s="351"/>
      <c r="J12" s="351"/>
      <c r="K12" s="351"/>
      <c r="L12" s="351"/>
      <c r="M12" s="351"/>
    </row>
    <row r="13" spans="2:13">
      <c r="B13" s="40" t="s">
        <v>67</v>
      </c>
      <c r="C13" s="351">
        <v>616771200</v>
      </c>
      <c r="D13" s="351">
        <v>506376003</v>
      </c>
      <c r="E13" s="351">
        <v>459661656</v>
      </c>
      <c r="F13" s="351">
        <v>315648307</v>
      </c>
      <c r="G13" s="351">
        <v>524029340</v>
      </c>
      <c r="H13" s="351"/>
      <c r="I13" s="351"/>
      <c r="J13" s="351"/>
      <c r="K13" s="351"/>
      <c r="L13" s="351"/>
      <c r="M13" s="351"/>
    </row>
    <row r="14" spans="2:13">
      <c r="B14" s="40" t="s">
        <v>50</v>
      </c>
      <c r="C14" s="351">
        <v>1389716314</v>
      </c>
      <c r="D14" s="351">
        <v>1398208378</v>
      </c>
      <c r="E14" s="351">
        <v>1201419808</v>
      </c>
      <c r="F14" s="351">
        <v>1222731595</v>
      </c>
      <c r="G14" s="351">
        <v>912580519</v>
      </c>
      <c r="H14" s="351"/>
      <c r="I14" s="351"/>
      <c r="J14" s="351"/>
      <c r="K14" s="351"/>
      <c r="L14" s="351"/>
      <c r="M14" s="351"/>
    </row>
    <row r="15" spans="2:13">
      <c r="B15" s="43" t="s">
        <v>42</v>
      </c>
      <c r="C15" s="353">
        <v>4491776686</v>
      </c>
      <c r="D15" s="353">
        <v>4348198924</v>
      </c>
      <c r="E15" s="353">
        <v>3804721478</v>
      </c>
      <c r="F15" s="353">
        <v>3256243870</v>
      </c>
      <c r="G15" s="353">
        <v>2326968805</v>
      </c>
      <c r="H15" s="353"/>
      <c r="I15" s="353"/>
      <c r="J15" s="353"/>
      <c r="K15" s="353"/>
      <c r="L15" s="353"/>
      <c r="M15" s="353"/>
    </row>
    <row r="16" spans="2:13">
      <c r="B16" s="28" t="s">
        <v>44</v>
      </c>
      <c r="C16" s="351">
        <v>146792828</v>
      </c>
      <c r="D16" s="351">
        <v>80347518</v>
      </c>
      <c r="E16" s="351">
        <v>94092885</v>
      </c>
      <c r="F16" s="351">
        <v>100788060</v>
      </c>
      <c r="G16" s="351">
        <v>125645249</v>
      </c>
      <c r="H16" s="351"/>
      <c r="I16" s="351"/>
      <c r="J16" s="351"/>
      <c r="K16" s="351"/>
      <c r="L16" s="351"/>
      <c r="M16" s="351"/>
    </row>
    <row r="18" spans="2:13">
      <c r="B18" s="16" t="s">
        <v>51</v>
      </c>
      <c r="C18" s="9"/>
    </row>
    <row r="19" spans="2:13">
      <c r="B19" s="27" t="s">
        <v>47</v>
      </c>
      <c r="C19" s="351">
        <v>1191305772</v>
      </c>
      <c r="D19" s="351">
        <v>1140399624</v>
      </c>
      <c r="E19" s="351">
        <v>1083856796</v>
      </c>
      <c r="F19" s="351">
        <v>1109733268</v>
      </c>
      <c r="G19" s="351"/>
      <c r="H19" s="351"/>
      <c r="I19" s="351"/>
      <c r="J19" s="351"/>
      <c r="K19" s="351"/>
      <c r="L19" s="351"/>
      <c r="M19" s="351"/>
    </row>
    <row r="20" spans="2:13">
      <c r="B20" s="27" t="s">
        <v>53</v>
      </c>
      <c r="C20" s="351">
        <f>C19</f>
        <v>1191305772</v>
      </c>
      <c r="D20" s="351">
        <f>D19</f>
        <v>1140399624</v>
      </c>
      <c r="E20" s="351">
        <f>E19</f>
        <v>1083856796</v>
      </c>
      <c r="F20" s="351">
        <f>F19</f>
        <v>1109733268</v>
      </c>
      <c r="G20" s="351"/>
      <c r="H20" s="351"/>
      <c r="I20" s="351"/>
      <c r="J20" s="351"/>
      <c r="K20" s="351"/>
      <c r="L20" s="351"/>
      <c r="M20" s="351"/>
    </row>
    <row r="21" spans="2:13">
      <c r="B21" s="27" t="s">
        <v>52</v>
      </c>
      <c r="C21" s="351">
        <v>583532518</v>
      </c>
      <c r="D21" s="351">
        <v>1575918543</v>
      </c>
      <c r="E21" s="351">
        <v>878667968</v>
      </c>
      <c r="F21" s="351">
        <v>2804548241</v>
      </c>
      <c r="G21" s="351"/>
      <c r="H21" s="351"/>
      <c r="I21" s="351"/>
      <c r="J21" s="351"/>
      <c r="K21" s="351"/>
      <c r="L21" s="351"/>
      <c r="M21" s="351"/>
    </row>
    <row r="22" spans="2:13">
      <c r="B22" s="27" t="s">
        <v>368</v>
      </c>
      <c r="C22" s="351">
        <v>5154661132</v>
      </c>
      <c r="D22" s="351">
        <v>2777567140</v>
      </c>
      <c r="E22" s="351">
        <v>4878771322</v>
      </c>
      <c r="F22" s="351">
        <v>6043111455</v>
      </c>
      <c r="G22" s="351">
        <v>4953422362</v>
      </c>
      <c r="H22" s="351"/>
      <c r="I22" s="351"/>
      <c r="J22" s="351"/>
      <c r="K22" s="351"/>
      <c r="L22" s="351"/>
      <c r="M22" s="351"/>
    </row>
    <row r="23" spans="2:13">
      <c r="B23" s="27" t="s">
        <v>370</v>
      </c>
      <c r="C23" s="351">
        <v>-7421783375</v>
      </c>
      <c r="D23" s="351">
        <v>-3462971412</v>
      </c>
      <c r="E23" s="351">
        <v>-2199108158</v>
      </c>
      <c r="F23" s="351">
        <v>-10249763562</v>
      </c>
      <c r="G23" s="351">
        <v>-1487738165</v>
      </c>
      <c r="H23" s="351"/>
      <c r="I23" s="351"/>
      <c r="J23" s="351"/>
      <c r="K23" s="351"/>
      <c r="L23" s="351"/>
      <c r="M23" s="351"/>
    </row>
    <row r="24" spans="2:13">
      <c r="B24" s="27" t="s">
        <v>369</v>
      </c>
      <c r="C24" s="351">
        <v>-2983143705</v>
      </c>
      <c r="D24" s="351">
        <v>-2868065880</v>
      </c>
      <c r="E24" s="351">
        <v>-1675712527</v>
      </c>
      <c r="F24" s="351">
        <v>-1613622636</v>
      </c>
      <c r="G24" s="351">
        <v>-356090851</v>
      </c>
      <c r="H24" s="351"/>
      <c r="I24" s="351"/>
      <c r="J24" s="351"/>
      <c r="K24" s="351"/>
      <c r="L24" s="351"/>
      <c r="M24" s="351"/>
    </row>
    <row r="25" spans="2:13">
      <c r="B25" s="24" t="str">
        <f>"Dividend per share ("&amp;Market_currency&amp;")"</f>
        <v>Dividend per share (HKD)</v>
      </c>
      <c r="C25" s="39">
        <f>2.2/Exchange_Rate</f>
        <v>2.0121355553773088</v>
      </c>
      <c r="D25" s="39">
        <f>2/Exchange_Rate</f>
        <v>1.8292141412520988</v>
      </c>
      <c r="E25" s="39">
        <f>1.3/Exchange_Rate</f>
        <v>1.1889891918138642</v>
      </c>
      <c r="F25" s="39">
        <f>1.1/Exchange_Rate</f>
        <v>1.0060677776886544</v>
      </c>
      <c r="G25" s="39">
        <f>0.75/Exchange_Rate</f>
        <v>0.685955302969537</v>
      </c>
      <c r="H25" s="39"/>
      <c r="I25" s="39"/>
      <c r="J25" s="39"/>
      <c r="K25" s="39"/>
      <c r="L25" s="39"/>
      <c r="M25" s="39"/>
    </row>
    <row r="27" spans="2:13">
      <c r="B27" s="16" t="s">
        <v>28</v>
      </c>
      <c r="C27" s="97" t="s">
        <v>463</v>
      </c>
    </row>
    <row r="28" spans="2:13">
      <c r="B28" s="26" t="s">
        <v>24</v>
      </c>
      <c r="C28" s="333">
        <f>BS!C4</f>
        <v>185704725</v>
      </c>
      <c r="D28" s="351">
        <v>100391321</v>
      </c>
      <c r="E28" s="351">
        <v>124099728</v>
      </c>
      <c r="F28" s="351">
        <v>124929816</v>
      </c>
      <c r="G28" s="351">
        <v>125155008</v>
      </c>
      <c r="H28" s="351"/>
      <c r="I28" s="351"/>
      <c r="J28" s="351"/>
      <c r="K28" s="351"/>
      <c r="L28" s="351"/>
      <c r="M28" s="351"/>
    </row>
    <row r="29" spans="2:13">
      <c r="B29" s="26" t="s">
        <v>32</v>
      </c>
      <c r="C29" s="333">
        <f>BS!C6</f>
        <v>3576387537</v>
      </c>
      <c r="D29" s="351">
        <v>3539828305</v>
      </c>
      <c r="E29" s="351">
        <v>4152187132</v>
      </c>
      <c r="F29" s="351">
        <v>3492997857</v>
      </c>
      <c r="G29" s="351">
        <v>3281033526</v>
      </c>
      <c r="H29" s="351"/>
      <c r="I29" s="351"/>
      <c r="J29" s="351"/>
      <c r="K29" s="351"/>
      <c r="L29" s="351"/>
      <c r="M29" s="351"/>
    </row>
    <row r="30" spans="2:13">
      <c r="B30" s="29" t="s">
        <v>40</v>
      </c>
      <c r="C30" s="334">
        <f>BS!C33+BS!C42</f>
        <v>21560843821</v>
      </c>
      <c r="D30" s="353">
        <v>21001264174</v>
      </c>
      <c r="E30" s="353">
        <v>24039387261</v>
      </c>
      <c r="F30" s="353">
        <v>22769313149</v>
      </c>
      <c r="G30" s="353">
        <v>20146133669</v>
      </c>
      <c r="H30" s="353"/>
      <c r="I30" s="353"/>
      <c r="J30" s="353"/>
      <c r="K30" s="353"/>
      <c r="L30" s="353"/>
      <c r="M30" s="353"/>
    </row>
    <row r="31" spans="2:13">
      <c r="B31" s="29" t="s">
        <v>30</v>
      </c>
      <c r="C31" s="334">
        <f>BS!G27</f>
        <v>29859542011</v>
      </c>
      <c r="D31" s="353">
        <v>28254747175</v>
      </c>
      <c r="E31" s="353">
        <v>26272312535</v>
      </c>
      <c r="F31" s="353">
        <v>23793691342</v>
      </c>
      <c r="G31" s="353">
        <v>21368052166</v>
      </c>
      <c r="H31" s="353"/>
      <c r="I31" s="353"/>
      <c r="J31" s="353"/>
      <c r="K31" s="353"/>
      <c r="L31" s="353"/>
      <c r="M31" s="353"/>
    </row>
    <row r="32" spans="2:13">
      <c r="B32" s="26" t="s">
        <v>171</v>
      </c>
      <c r="C32" s="333">
        <f>BS!G28</f>
        <v>799157484</v>
      </c>
      <c r="D32" s="351">
        <v>805268959</v>
      </c>
      <c r="E32" s="351">
        <v>777490832</v>
      </c>
      <c r="F32" s="351">
        <v>791846744</v>
      </c>
      <c r="G32" s="351">
        <v>746091651</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32137830111</v>
      </c>
      <c r="D36" s="333">
        <f t="shared" si="1"/>
        <v>33936522741</v>
      </c>
      <c r="E36" s="333">
        <f t="shared" si="1"/>
        <v>32171565624</v>
      </c>
      <c r="F36" s="333">
        <f t="shared" si="1"/>
        <v>30166805377</v>
      </c>
      <c r="G36" s="333">
        <f t="shared" si="1"/>
        <v>27759710926</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-21538172214</v>
      </c>
      <c r="D37" s="333">
        <f t="shared" si="2"/>
        <v>-23203550387</v>
      </c>
      <c r="E37" s="333">
        <f t="shared" si="2"/>
        <v>-22708660145</v>
      </c>
      <c r="F37" s="333">
        <f t="shared" si="2"/>
        <v>-21409966489</v>
      </c>
      <c r="G37" s="333">
        <f t="shared" si="2"/>
        <v>-18759681723</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10599657897</v>
      </c>
      <c r="D38" s="329">
        <f t="shared" ref="D38" si="3">IF(D36="","",D36+D37)</f>
        <v>10732972354</v>
      </c>
      <c r="E38" s="329">
        <f t="shared" ref="E38" si="4">IF(E36="","",E36+E37)</f>
        <v>9462905479</v>
      </c>
      <c r="F38" s="329">
        <f t="shared" ref="F38" si="5">IF(F36="","",F36+F37)</f>
        <v>8756838888</v>
      </c>
      <c r="G38" s="329">
        <f t="shared" ref="G38" si="6">IF(G36="","",G36+G37)</f>
        <v>9000029203</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-6009098645</v>
      </c>
      <c r="D39" s="333">
        <f t="shared" si="13"/>
        <v>-6227465840</v>
      </c>
      <c r="E39" s="333">
        <f t="shared" si="13"/>
        <v>-5672870751</v>
      </c>
      <c r="F39" s="333">
        <f t="shared" si="13"/>
        <v>-5789419371</v>
      </c>
      <c r="G39" s="333">
        <f t="shared" si="13"/>
        <v>-6662600559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-4602519864</v>
      </c>
      <c r="D40" s="346">
        <f t="shared" si="14"/>
        <v>-4708402798</v>
      </c>
      <c r="E40" s="346">
        <f t="shared" si="14"/>
        <v>-4199502747</v>
      </c>
      <c r="F40" s="346">
        <f t="shared" si="14"/>
        <v>-4096874125</v>
      </c>
      <c r="G40" s="346">
        <f t="shared" si="14"/>
        <v>-4984549837</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-1406578781</v>
      </c>
      <c r="D41" s="346">
        <f t="shared" ref="D41:M41" si="15">IF(D$4="","",D39-D40)</f>
        <v>-1519063042</v>
      </c>
      <c r="E41" s="346">
        <f t="shared" si="15"/>
        <v>-1473368004</v>
      </c>
      <c r="F41" s="346">
        <f t="shared" si="15"/>
        <v>-1692545246</v>
      </c>
      <c r="G41" s="346">
        <f t="shared" si="15"/>
        <v>-1678050722</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-102766675</v>
      </c>
      <c r="D42" s="333">
        <f t="shared" si="16"/>
        <v>-100637006</v>
      </c>
      <c r="E42" s="333">
        <f t="shared" si="16"/>
        <v>-62954899</v>
      </c>
      <c r="F42" s="333">
        <f t="shared" si="16"/>
        <v>-30890245</v>
      </c>
      <c r="G42" s="333">
        <f t="shared" si="16"/>
        <v>-21467092</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4487792577</v>
      </c>
      <c r="D43" s="334">
        <f t="shared" ref="D43:M43" si="17">IF(D$4="","",D38+D39+D42)</f>
        <v>4404869508</v>
      </c>
      <c r="E43" s="334">
        <f t="shared" si="17"/>
        <v>3727079829</v>
      </c>
      <c r="F43" s="334">
        <f t="shared" si="17"/>
        <v>2936529272</v>
      </c>
      <c r="G43" s="334">
        <f t="shared" si="17"/>
        <v>2315961552</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798766277</v>
      </c>
      <c r="D44" s="354">
        <f t="shared" si="18"/>
        <v>851592381</v>
      </c>
      <c r="E44" s="354">
        <f t="shared" si="18"/>
        <v>828637601</v>
      </c>
      <c r="F44" s="354">
        <f t="shared" si="18"/>
        <v>1249483253</v>
      </c>
      <c r="G44" s="354">
        <f t="shared" si="18"/>
        <v>413221114</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594934146</v>
      </c>
      <c r="D45" s="349">
        <f t="shared" si="19"/>
        <v>489945413</v>
      </c>
      <c r="E45" s="349">
        <f t="shared" si="19"/>
        <v>450423856</v>
      </c>
      <c r="F45" s="349">
        <f t="shared" si="19"/>
        <v>292962940</v>
      </c>
      <c r="G45" s="349">
        <f t="shared" si="19"/>
        <v>510366658</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-1389716314</v>
      </c>
      <c r="D46" s="333">
        <f t="shared" si="20"/>
        <v>-1398208378</v>
      </c>
      <c r="E46" s="333">
        <f t="shared" si="20"/>
        <v>-1201419808</v>
      </c>
      <c r="F46" s="333">
        <f t="shared" si="20"/>
        <v>-1222731595</v>
      </c>
      <c r="G46" s="333">
        <f t="shared" si="20"/>
        <v>-912580519</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4491776686</v>
      </c>
      <c r="D47" s="334">
        <f t="shared" si="21"/>
        <v>4348198924</v>
      </c>
      <c r="E47" s="334">
        <f t="shared" si="21"/>
        <v>3804721478</v>
      </c>
      <c r="F47" s="334">
        <f t="shared" si="21"/>
        <v>3256243870</v>
      </c>
      <c r="G47" s="334">
        <f t="shared" si="21"/>
        <v>2326968805</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-146792828</v>
      </c>
      <c r="D48" s="333">
        <f t="shared" si="22"/>
        <v>-80347518</v>
      </c>
      <c r="E48" s="333">
        <f t="shared" si="22"/>
        <v>-94092885</v>
      </c>
      <c r="F48" s="333">
        <f t="shared" si="22"/>
        <v>-100788060</v>
      </c>
      <c r="G48" s="333">
        <f t="shared" si="22"/>
        <v>-125645249</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-21837054</v>
      </c>
      <c r="D51" s="333">
        <f t="shared" si="23"/>
        <v>-16430590</v>
      </c>
      <c r="E51" s="333">
        <f t="shared" si="23"/>
        <v>-9237800</v>
      </c>
      <c r="F51" s="333">
        <f t="shared" si="23"/>
        <v>-22685367</v>
      </c>
      <c r="G51" s="333">
        <f t="shared" si="23"/>
        <v>-13662682</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616771200</v>
      </c>
      <c r="D52" s="333">
        <f t="shared" si="24"/>
        <v>506376003</v>
      </c>
      <c r="E52" s="333">
        <f t="shared" si="24"/>
        <v>459661656</v>
      </c>
      <c r="F52" s="333">
        <f t="shared" si="24"/>
        <v>315648307</v>
      </c>
      <c r="G52" s="333">
        <f t="shared" si="24"/>
        <v>524029340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48272283</v>
      </c>
      <c r="D55" s="349">
        <f t="shared" si="25"/>
        <v>15798284</v>
      </c>
      <c r="E55" s="349">
        <f t="shared" si="25"/>
        <v>19873379</v>
      </c>
      <c r="F55" s="349">
        <f t="shared" si="25"/>
        <v>20561728</v>
      </c>
      <c r="G55" s="349">
        <f t="shared" si="25"/>
        <v>18098320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750493994</v>
      </c>
      <c r="D58" s="349">
        <f t="shared" ref="D58:M58" si="28">IF(D$4="","",D44-D55-D56-D57)</f>
        <v>835794097</v>
      </c>
      <c r="E58" s="349">
        <f t="shared" si="28"/>
        <v>808764222</v>
      </c>
      <c r="F58" s="349">
        <f t="shared" si="28"/>
        <v>1228921525</v>
      </c>
      <c r="G58" s="349">
        <f t="shared" si="28"/>
        <v>395122794</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-1191305772</v>
      </c>
      <c r="D61" s="333">
        <f t="shared" ref="D61:M61" si="29">IF(D$4="","",-D19)</f>
        <v>-1140399624</v>
      </c>
      <c r="E61" s="333">
        <f t="shared" si="29"/>
        <v>-1083856796</v>
      </c>
      <c r="F61" s="333">
        <f t="shared" si="29"/>
        <v>-1109733268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-1191305772</v>
      </c>
      <c r="D62" s="333">
        <f t="shared" ref="D62:M62" si="30">IF(D$4="","",IF(D20=0,D61,-D20))</f>
        <v>-1140399624</v>
      </c>
      <c r="E62" s="333">
        <f t="shared" si="30"/>
        <v>-1083856796</v>
      </c>
      <c r="F62" s="333">
        <f t="shared" si="30"/>
        <v>-1109733268</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-583532518</v>
      </c>
      <c r="D63" s="333">
        <f t="shared" ref="D63:M63" si="31">IF(D$4="","",-D21)</f>
        <v>-1575918543</v>
      </c>
      <c r="E63" s="333">
        <f t="shared" si="31"/>
        <v>-878667968</v>
      </c>
      <c r="F63" s="333">
        <f t="shared" si="31"/>
        <v>-2804548241</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-5250265948</v>
      </c>
      <c r="D64" s="333">
        <f t="shared" ref="D64:M64" si="32">IF(D$4="","",D22+D23+D24)</f>
        <v>-3553470152</v>
      </c>
      <c r="E64" s="333">
        <f t="shared" si="32"/>
        <v>1003950637</v>
      </c>
      <c r="F64" s="333">
        <f t="shared" si="32"/>
        <v>-5820274743</v>
      </c>
      <c r="G64" s="333">
        <f t="shared" si="32"/>
        <v>3109593346</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2.0121355553773088</v>
      </c>
      <c r="D65" s="73">
        <f t="shared" ref="D65:M65" si="33">IF(D$4="","",D25)</f>
        <v>1.8292141412520988</v>
      </c>
      <c r="E65" s="73">
        <f t="shared" si="33"/>
        <v>1.1889891918138642</v>
      </c>
      <c r="F65" s="73">
        <f t="shared" si="33"/>
        <v>1.0060677776886544</v>
      </c>
      <c r="G65" s="73">
        <f t="shared" si="33"/>
        <v>0.685955302969537</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-5.3001677388323953E-2</v>
      </c>
      <c r="D68" s="92">
        <f t="shared" si="34"/>
        <v>5.48607779188508E-2</v>
      </c>
      <c r="E68" s="92">
        <f t="shared" si="34"/>
        <v>6.6455835211788328E-2</v>
      </c>
      <c r="F68" s="92">
        <f t="shared" si="34"/>
        <v>8.6711798167375509E-2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-1.2421019322789495E-2</v>
      </c>
      <c r="D69" s="92">
        <f t="shared" ref="D69:M69" si="35">IF(E$36="","",D38/E38-1)</f>
        <v>0.13421531873255232</v>
      </c>
      <c r="E69" s="92">
        <f t="shared" si="35"/>
        <v>8.0630305071338393E-2</v>
      </c>
      <c r="F69" s="92">
        <f t="shared" si="35"/>
        <v>-2.702105843378122E-2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1.8825317946285836E-2</v>
      </c>
      <c r="D70" s="101">
        <f t="shared" ref="D70:M70" si="36">IF(E$36="","",D43/E43-1)</f>
        <v>0.18185542303821678</v>
      </c>
      <c r="E70" s="101">
        <f t="shared" si="36"/>
        <v>0.26921255801464383</v>
      </c>
      <c r="F70" s="101">
        <f t="shared" si="36"/>
        <v>0.26795251391979935</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-6.2032147279157068E-2</v>
      </c>
      <c r="D71" s="101">
        <f t="shared" ref="D71:M71" si="37">IF(E$36="","",D44/E44-1)</f>
        <v>2.7701832468497889E-2</v>
      </c>
      <c r="E71" s="101">
        <f t="shared" si="37"/>
        <v>-0.33681576042700268</v>
      </c>
      <c r="F71" s="101">
        <f t="shared" si="37"/>
        <v>2.0237643011629847</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3.3020053707184083E-2</v>
      </c>
      <c r="D72" s="101">
        <f t="shared" ref="D72:M72" si="38">IF(E$36="","",D47/E47-1)</f>
        <v>0.14284289905122982</v>
      </c>
      <c r="E72" s="101">
        <f t="shared" si="38"/>
        <v>0.16843873797449938</v>
      </c>
      <c r="F72" s="101">
        <f t="shared" si="38"/>
        <v>0.3993500312523528</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51420385832</v>
      </c>
      <c r="D76" s="349">
        <f t="shared" ref="D76:M76" si="39">IF(D$4="","",D79+D80)</f>
        <v>49256011349</v>
      </c>
      <c r="E76" s="349">
        <f t="shared" si="39"/>
        <v>50311699796</v>
      </c>
      <c r="F76" s="349">
        <f t="shared" si="39"/>
        <v>46563004491</v>
      </c>
      <c r="G76" s="349">
        <f t="shared" si="39"/>
        <v>41514185835</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185704725</v>
      </c>
      <c r="D77" s="346">
        <f t="shared" si="40"/>
        <v>100391321</v>
      </c>
      <c r="E77" s="346">
        <f t="shared" si="40"/>
        <v>124099728</v>
      </c>
      <c r="F77" s="346">
        <f t="shared" si="40"/>
        <v>124929816</v>
      </c>
      <c r="G77" s="346">
        <f t="shared" si="40"/>
        <v>125155008</v>
      </c>
      <c r="H77" s="346" t="str">
        <f t="shared" si="40"/>
        <v/>
      </c>
      <c r="I77" s="355"/>
      <c r="J77" s="355"/>
      <c r="K77" s="355"/>
      <c r="L77" s="355"/>
      <c r="M77" s="355"/>
    </row>
    <row r="78" spans="2:13">
      <c r="B78" s="93" t="s">
        <v>86</v>
      </c>
      <c r="C78" s="318">
        <f t="shared" si="40"/>
        <v>3576387537</v>
      </c>
      <c r="D78" s="346">
        <f t="shared" si="40"/>
        <v>3539828305</v>
      </c>
      <c r="E78" s="346">
        <f t="shared" si="40"/>
        <v>4152187132</v>
      </c>
      <c r="F78" s="346">
        <f t="shared" si="40"/>
        <v>3492997857</v>
      </c>
      <c r="G78" s="346">
        <f t="shared" si="40"/>
        <v>3281033526</v>
      </c>
      <c r="H78" s="346" t="str">
        <f t="shared" si="40"/>
        <v/>
      </c>
      <c r="I78" s="355"/>
      <c r="J78" s="355"/>
      <c r="K78" s="355"/>
      <c r="L78" s="355"/>
      <c r="M78" s="355"/>
    </row>
    <row r="79" spans="2:13">
      <c r="B79" s="26" t="s">
        <v>40</v>
      </c>
      <c r="C79" s="317">
        <f t="shared" ref="C79:M79" si="41">IF(C$4="","",C30)</f>
        <v>21560843821</v>
      </c>
      <c r="D79" s="333">
        <f t="shared" si="41"/>
        <v>21001264174</v>
      </c>
      <c r="E79" s="333">
        <f t="shared" si="41"/>
        <v>24039387261</v>
      </c>
      <c r="F79" s="333">
        <f t="shared" si="41"/>
        <v>22769313149</v>
      </c>
      <c r="G79" s="333">
        <f t="shared" si="41"/>
        <v>20146133669</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29859542011</v>
      </c>
      <c r="D80" s="333">
        <f t="shared" si="42"/>
        <v>28254747175</v>
      </c>
      <c r="E80" s="333">
        <f t="shared" si="42"/>
        <v>26272312535</v>
      </c>
      <c r="F80" s="333">
        <f t="shared" si="42"/>
        <v>23793691342</v>
      </c>
      <c r="G80" s="333">
        <f t="shared" si="42"/>
        <v>21368052166</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f>Normalized_FCF!G1</f>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102420347+83284378</f>
        <v>185704725</v>
      </c>
      <c r="D4" s="261">
        <v>0.6</v>
      </c>
      <c r="E4" s="25"/>
      <c r="F4" s="4" t="s">
        <v>77</v>
      </c>
      <c r="G4" s="19">
        <v>17978772896</v>
      </c>
      <c r="H4" s="261">
        <v>0.9</v>
      </c>
    </row>
    <row r="5" spans="2:8" ht="15" customHeight="1">
      <c r="B5" s="1" t="s">
        <v>33</v>
      </c>
      <c r="C5" s="19">
        <v>0</v>
      </c>
      <c r="D5" s="261">
        <v>0.6</v>
      </c>
      <c r="E5" s="25"/>
      <c r="F5" s="1" t="s">
        <v>29</v>
      </c>
      <c r="G5" s="19">
        <v>0</v>
      </c>
      <c r="H5" s="261">
        <v>0.7</v>
      </c>
    </row>
    <row r="6" spans="2:8" ht="15" customHeight="1">
      <c r="B6" s="4" t="s">
        <v>10</v>
      </c>
      <c r="C6" s="19">
        <v>3576387537</v>
      </c>
      <c r="D6" s="261">
        <v>0.5</v>
      </c>
      <c r="E6" s="25"/>
      <c r="F6" s="4" t="s">
        <v>176</v>
      </c>
      <c r="G6" s="19">
        <v>0</v>
      </c>
      <c r="H6" s="261">
        <v>0.6</v>
      </c>
    </row>
    <row r="7" spans="2:8" ht="15" customHeight="1">
      <c r="B7" s="1" t="s">
        <v>69</v>
      </c>
      <c r="C7" s="19">
        <v>0</v>
      </c>
      <c r="D7" s="261">
        <v>0.6</v>
      </c>
      <c r="E7" s="25"/>
      <c r="F7" s="4" t="s">
        <v>177</v>
      </c>
      <c r="G7" s="19">
        <v>2021804089</v>
      </c>
      <c r="H7" s="261">
        <v>0.6</v>
      </c>
    </row>
    <row r="8" spans="2:8" ht="15" customHeight="1">
      <c r="B8" s="1" t="s">
        <v>172</v>
      </c>
      <c r="C8" s="19">
        <v>0</v>
      </c>
      <c r="D8" s="261">
        <v>0.6</v>
      </c>
      <c r="E8" s="25"/>
      <c r="F8" s="1" t="s">
        <v>178</v>
      </c>
      <c r="G8" s="19">
        <v>0</v>
      </c>
      <c r="H8" s="261">
        <v>0.6</v>
      </c>
    </row>
    <row r="9" spans="2:8" ht="15" customHeight="1">
      <c r="B9" s="4" t="s">
        <v>25</v>
      </c>
      <c r="C9" s="19">
        <v>241896760</v>
      </c>
      <c r="D9" s="261">
        <v>0.1</v>
      </c>
      <c r="E9" s="25"/>
      <c r="F9" s="4" t="s">
        <v>179</v>
      </c>
      <c r="G9" s="19">
        <v>0</v>
      </c>
      <c r="H9" s="261">
        <v>0.6</v>
      </c>
    </row>
    <row r="10" spans="2:8" ht="15" customHeight="1">
      <c r="B10" s="4" t="s">
        <v>11</v>
      </c>
      <c r="C10" s="19">
        <v>0</v>
      </c>
      <c r="D10" s="261">
        <v>0.9</v>
      </c>
      <c r="H10" s="262"/>
    </row>
    <row r="11" spans="2:8" ht="15" customHeight="1">
      <c r="B11" s="4" t="s">
        <v>12</v>
      </c>
      <c r="C11" s="19">
        <f>51713930+1132635624</f>
        <v>1184349554</v>
      </c>
      <c r="D11" s="261">
        <v>0.05</v>
      </c>
      <c r="H11" s="262"/>
    </row>
    <row r="12" spans="2:8" ht="15" customHeight="1">
      <c r="B12" s="80" t="s">
        <v>72</v>
      </c>
      <c r="C12" s="81">
        <f>SUM(C4:C11)</f>
        <v>5188338576</v>
      </c>
      <c r="D12" s="20">
        <f>C4*D4+C5*D5+C9*D9+C6*D6+C8*D8+C7*D7+C10*D10+C11*D11</f>
        <v>1983023757.2</v>
      </c>
      <c r="F12" s="80" t="s">
        <v>70</v>
      </c>
      <c r="G12" s="81">
        <f>SUM(G4:G9)</f>
        <v>20000576985</v>
      </c>
      <c r="H12" s="20">
        <f>G4*H4+G5*H5+G6*H6+G7*H7+G8*H8+G9*H9</f>
        <v>17393978059.799999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2498379750</v>
      </c>
      <c r="H17" s="261">
        <v>0.6</v>
      </c>
    </row>
    <row r="18" spans="2:8" ht="15" customHeight="1">
      <c r="B18" s="4" t="s">
        <v>172</v>
      </c>
      <c r="C18" s="19">
        <v>0</v>
      </c>
      <c r="D18" s="261">
        <v>0.6</v>
      </c>
      <c r="F18" s="4" t="s">
        <v>180</v>
      </c>
      <c r="G18" s="19">
        <v>0</v>
      </c>
      <c r="H18" s="261">
        <v>0.1</v>
      </c>
    </row>
    <row r="19" spans="2:8" ht="15" customHeight="1">
      <c r="B19" s="4" t="s">
        <v>26</v>
      </c>
      <c r="C19" s="19">
        <f>11817650634+630874619+115672625+85702449</f>
        <v>12649900327</v>
      </c>
      <c r="D19" s="261">
        <v>0.1</v>
      </c>
      <c r="F19" s="4" t="s">
        <v>181</v>
      </c>
      <c r="G19" s="19">
        <v>391873803</v>
      </c>
      <c r="H19" s="261">
        <v>0.1</v>
      </c>
    </row>
    <row r="20" spans="2:8" ht="15" customHeight="1">
      <c r="B20" s="4" t="s">
        <v>18</v>
      </c>
      <c r="C20" s="19">
        <v>0</v>
      </c>
      <c r="D20" s="261">
        <v>0.05</v>
      </c>
      <c r="F20" s="4" t="s">
        <v>178</v>
      </c>
      <c r="G20" s="19">
        <v>0</v>
      </c>
      <c r="H20" s="261">
        <v>0.2</v>
      </c>
    </row>
    <row r="21" spans="2:8" ht="15" customHeight="1">
      <c r="B21" s="4" t="s">
        <v>19</v>
      </c>
      <c r="C21" s="19">
        <v>2684120584</v>
      </c>
      <c r="D21" s="261">
        <v>0.05</v>
      </c>
      <c r="F21" s="1" t="s">
        <v>179</v>
      </c>
      <c r="G21" s="19">
        <v>41138918</v>
      </c>
      <c r="H21" s="261">
        <v>0.1</v>
      </c>
    </row>
    <row r="22" spans="2:8" ht="15" customHeight="1">
      <c r="B22" s="4" t="s">
        <v>20</v>
      </c>
      <c r="C22" s="19">
        <v>1930039528</v>
      </c>
      <c r="D22" s="261">
        <v>0.9</v>
      </c>
      <c r="H22" s="262"/>
    </row>
    <row r="23" spans="2:8" ht="15" customHeight="1">
      <c r="B23" s="4" t="s">
        <v>21</v>
      </c>
      <c r="C23" s="19">
        <f>1307103982+4728913379</f>
        <v>6036017361</v>
      </c>
      <c r="D23" s="261">
        <v>0</v>
      </c>
      <c r="H23" s="262"/>
    </row>
    <row r="24" spans="2:8" ht="15" customHeight="1">
      <c r="B24" s="80" t="s">
        <v>73</v>
      </c>
      <c r="C24" s="81">
        <f>SUM(C15:C23)</f>
        <v>23300077800</v>
      </c>
      <c r="D24" s="20">
        <f>C15*D15+C16*D16+C18*D18+C17*D17+C19*D19+C20*D20+C21*D21+C22*D22+C23*D23</f>
        <v>3136231637.1000004</v>
      </c>
      <c r="F24" s="80" t="s">
        <v>71</v>
      </c>
      <c r="G24" s="81">
        <f>SUM(G15:G21)</f>
        <v>2931392471</v>
      </c>
      <c r="H24" s="20">
        <f>G15*H15+G16*H16+G17*H17+G18*H18+G19*H19+G20*H20+G21*H21</f>
        <v>1542329122.0999999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29859542011</v>
      </c>
      <c r="H27" s="188">
        <f>H32-G30</f>
        <v>2494718755.1999969</v>
      </c>
    </row>
    <row r="28" spans="2:8" ht="15" customHeight="1">
      <c r="B28" s="4" t="s">
        <v>6</v>
      </c>
      <c r="C28" s="19">
        <v>0</v>
      </c>
      <c r="F28" s="189" t="s">
        <v>243</v>
      </c>
      <c r="G28" s="12">
        <v>799157484</v>
      </c>
      <c r="H28" s="188"/>
    </row>
    <row r="29" spans="2:8" ht="15" customHeight="1">
      <c r="B29" s="4" t="s">
        <v>7</v>
      </c>
      <c r="C29" s="19">
        <v>0</v>
      </c>
      <c r="F29" s="190" t="s">
        <v>75</v>
      </c>
      <c r="G29" s="14">
        <f>G27-G28</f>
        <v>29060384527</v>
      </c>
      <c r="H29" s="188">
        <f>H27-G28</f>
        <v>1695561271.1999969</v>
      </c>
    </row>
    <row r="30" spans="2:8" ht="15" customHeight="1">
      <c r="B30" s="2" t="s">
        <v>8</v>
      </c>
      <c r="C30" s="19">
        <v>217159673</v>
      </c>
      <c r="F30" s="187" t="s">
        <v>23</v>
      </c>
      <c r="G30" s="85">
        <f>C33+C42</f>
        <v>21560843821</v>
      </c>
      <c r="H30" s="188"/>
    </row>
    <row r="31" spans="2:8" ht="15" customHeight="1">
      <c r="B31" s="80" t="s">
        <v>202</v>
      </c>
      <c r="C31" s="81">
        <f>SUM(C27:C30)</f>
        <v>217159673</v>
      </c>
      <c r="F31" s="190" t="s">
        <v>76</v>
      </c>
      <c r="G31" s="191">
        <f>C31+C40</f>
        <v>285396383</v>
      </c>
      <c r="H31" s="188"/>
    </row>
    <row r="32" spans="2:8" ht="15" customHeight="1">
      <c r="B32" s="4" t="s">
        <v>9</v>
      </c>
      <c r="C32" s="21">
        <f>C33-C31</f>
        <v>17305171626</v>
      </c>
      <c r="F32" s="192" t="s">
        <v>74</v>
      </c>
      <c r="G32" s="193">
        <f>G35+G40</f>
        <v>51420385832</v>
      </c>
      <c r="H32" s="188">
        <f>H35+H40</f>
        <v>24055562576.199997</v>
      </c>
    </row>
    <row r="33" spans="2:8" ht="15" customHeight="1">
      <c r="B33" s="83" t="s">
        <v>4</v>
      </c>
      <c r="C33" s="84">
        <v>17522331299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28488416376</v>
      </c>
      <c r="H35" s="200">
        <f>D12+D24</f>
        <v>5119255394.3000002</v>
      </c>
    </row>
    <row r="36" spans="2:8" ht="15" customHeight="1">
      <c r="B36" s="4" t="s">
        <v>13</v>
      </c>
      <c r="C36" s="19">
        <v>0</v>
      </c>
      <c r="F36" s="190" t="s">
        <v>196</v>
      </c>
      <c r="G36" s="191">
        <f>C4+C15</f>
        <v>185704725</v>
      </c>
      <c r="H36" s="195"/>
    </row>
    <row r="37" spans="2:8" ht="15" customHeight="1">
      <c r="B37" s="4" t="s">
        <v>14</v>
      </c>
      <c r="C37" s="19">
        <v>68236710</v>
      </c>
      <c r="F37" s="190" t="s">
        <v>197</v>
      </c>
      <c r="G37" s="191">
        <f>C6</f>
        <v>3576387537</v>
      </c>
      <c r="H37" s="195"/>
    </row>
    <row r="38" spans="2:8" ht="15" customHeight="1">
      <c r="B38" s="4" t="s">
        <v>15</v>
      </c>
      <c r="C38" s="19">
        <v>0</v>
      </c>
      <c r="F38" s="190" t="s">
        <v>198</v>
      </c>
      <c r="G38" s="191">
        <f>C7+C17</f>
        <v>0</v>
      </c>
      <c r="H38" s="195"/>
    </row>
    <row r="39" spans="2:8" ht="15" customHeight="1">
      <c r="B39" s="2" t="s">
        <v>16</v>
      </c>
      <c r="C39" s="19">
        <v>0</v>
      </c>
      <c r="F39" s="190" t="s">
        <v>79</v>
      </c>
      <c r="G39" s="191">
        <f>C7+C17+C19+C20</f>
        <v>12649900327</v>
      </c>
      <c r="H39" s="188">
        <f>C7*D7+C17*D17+C19*D19+C20*D20</f>
        <v>1264990032.7</v>
      </c>
    </row>
    <row r="40" spans="2:8" ht="15" customHeight="1">
      <c r="B40" s="80" t="s">
        <v>203</v>
      </c>
      <c r="C40" s="81">
        <f>SUM(C36:C39)</f>
        <v>68236710</v>
      </c>
      <c r="F40" s="199" t="s">
        <v>137</v>
      </c>
      <c r="G40" s="193">
        <f>G12+G24</f>
        <v>22931969456</v>
      </c>
      <c r="H40" s="200">
        <f>H12+H24</f>
        <v>18936307181.899998</v>
      </c>
    </row>
    <row r="41" spans="2:8" ht="15" customHeight="1">
      <c r="B41" s="4" t="s">
        <v>17</v>
      </c>
      <c r="C41" s="21">
        <f>C42-C40</f>
        <v>3970275812</v>
      </c>
      <c r="F41" s="190" t="s">
        <v>190</v>
      </c>
      <c r="G41" s="191">
        <f>C70</f>
        <v>17978772896</v>
      </c>
      <c r="H41" s="200">
        <f>H40-H42</f>
        <v>16180895606.399998</v>
      </c>
    </row>
    <row r="42" spans="2:8" ht="15" customHeight="1">
      <c r="B42" s="83" t="s">
        <v>22</v>
      </c>
      <c r="C42" s="84">
        <v>4038512522</v>
      </c>
      <c r="F42" s="201" t="s">
        <v>191</v>
      </c>
      <c r="G42" s="202">
        <f>C82</f>
        <v>4953196560</v>
      </c>
      <c r="H42" s="203">
        <f>D82</f>
        <v>2755411575.5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29060384527</v>
      </c>
      <c r="D46" s="76">
        <f>H29</f>
        <v>1695561271.1999969</v>
      </c>
      <c r="F46" s="253"/>
    </row>
    <row r="47" spans="2:8" ht="15" customHeight="1">
      <c r="B47" s="1" t="str">
        <f>"Equity per share ("&amp;Market_currency&amp;")"</f>
        <v>Equity per share (HKD)</v>
      </c>
      <c r="C47" s="147">
        <f>C46*H1/Common_Shares*Exchange_Rate</f>
        <v>23.291088170068704</v>
      </c>
      <c r="D47" s="147">
        <f>D46*H1/Common_Shares*Exchange_Rate</f>
        <v>1.3589450968407313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7.3592411949940734E-2</v>
      </c>
      <c r="D50" s="95">
        <f>G31/Normalized_FCF!G8</f>
        <v>6.3593933566061064E-2</v>
      </c>
      <c r="F50" s="253"/>
    </row>
    <row r="51" spans="2:8" ht="15" customHeight="1">
      <c r="B51" s="1" t="s">
        <v>175</v>
      </c>
      <c r="C51" s="181"/>
      <c r="D51" s="92">
        <f>G29/G32</f>
        <v>0.56515298469260233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0.1361278920921285</v>
      </c>
      <c r="D54" s="92">
        <f>Normalized_FCF!G8/G35</f>
        <v>0.15753043334415495</v>
      </c>
      <c r="F54" s="253"/>
    </row>
    <row r="55" spans="2:8" ht="15" customHeight="1">
      <c r="B55" s="1" t="s">
        <v>140</v>
      </c>
      <c r="C55" s="92">
        <f>Normalized_FCF!C11/G40</f>
        <v>0</v>
      </c>
      <c r="D55" s="92">
        <f>Normalized_FCF!G11/G40</f>
        <v>2.1050212495974641E-3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9.4175111360938715E-2</v>
      </c>
      <c r="F58" s="5"/>
    </row>
    <row r="59" spans="2:8" ht="15" customHeight="1">
      <c r="B59" s="1" t="s">
        <v>92</v>
      </c>
      <c r="C59" s="98"/>
      <c r="D59" s="92">
        <f>G39/G32</f>
        <v>0.24600944007556819</v>
      </c>
      <c r="F59" s="253"/>
    </row>
    <row r="60" spans="2:8" ht="15" customHeight="1">
      <c r="F60" s="253"/>
    </row>
    <row r="61" spans="2:8" ht="15" customHeight="1">
      <c r="B61" s="157" t="s">
        <v>273</v>
      </c>
      <c r="C61" s="235" t="s">
        <v>136</v>
      </c>
      <c r="D61" s="197" t="s">
        <v>95</v>
      </c>
      <c r="F61" s="253"/>
    </row>
    <row r="62" spans="2:8" ht="15" customHeight="1">
      <c r="B62" s="1" t="s">
        <v>244</v>
      </c>
      <c r="C62" s="92">
        <f>IF(G28&lt;=0,0,G28/G29)</f>
        <v>2.749989365273205E-2</v>
      </c>
      <c r="D62" s="92">
        <f>G28/G29</f>
        <v>2.749989365273205E-2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17978772896</v>
      </c>
      <c r="D66" s="76">
        <f>C66-D75</f>
        <v>12817095936.898571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17978772896</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-2532915532.9721932</v>
      </c>
      <c r="D73" s="349">
        <f>(Normalized_FCF!C25+Normalized_FCF!C35-Normalized_FCF!C91)/12</f>
        <v>-2580838479.550714</v>
      </c>
      <c r="F73" s="1" t="s">
        <v>348</v>
      </c>
    </row>
    <row r="74" spans="2:6" ht="15" customHeight="1">
      <c r="B74" s="257" t="s">
        <v>318</v>
      </c>
      <c r="C74" s="258">
        <f>-$C$66/C73</f>
        <v>7.0980546575523622</v>
      </c>
      <c r="D74" s="258">
        <f>-$C$66/D73</f>
        <v>6.9662526494605892</v>
      </c>
      <c r="F74" s="253" t="s">
        <v>316</v>
      </c>
    </row>
    <row r="75" spans="2:6" ht="15" customHeight="1">
      <c r="B75" s="80" t="s">
        <v>317</v>
      </c>
      <c r="C75" s="320"/>
      <c r="D75" s="321">
        <f>MAX(-D73*D76,G5)</f>
        <v>5161676959.101428</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4520183839</v>
      </c>
      <c r="D79" s="76">
        <f>G7*H7+G17*H17</f>
        <v>2712110303.3999996</v>
      </c>
      <c r="F79" s="253"/>
    </row>
    <row r="80" spans="2:6" ht="15" customHeight="1">
      <c r="B80" s="105" t="s">
        <v>181</v>
      </c>
      <c r="C80" s="20">
        <f>G19</f>
        <v>391873803</v>
      </c>
      <c r="D80" s="76">
        <f>G19*H19</f>
        <v>39187380.300000004</v>
      </c>
      <c r="F80" s="253"/>
    </row>
    <row r="81" spans="2:8" ht="15" customHeight="1">
      <c r="B81" s="105" t="s">
        <v>179</v>
      </c>
      <c r="C81" s="20">
        <f>G9+G21</f>
        <v>41138918</v>
      </c>
      <c r="D81" s="76">
        <f>G9*H9+G21*H21</f>
        <v>4113891.8000000003</v>
      </c>
      <c r="F81" s="253"/>
    </row>
    <row r="82" spans="2:8" ht="15" customHeight="1">
      <c r="B82" s="80" t="s">
        <v>188</v>
      </c>
      <c r="C82" s="81">
        <f>SUM(C79:C81)</f>
        <v>4953196560</v>
      </c>
      <c r="D82" s="81">
        <f>SUM(D79:D81)</f>
        <v>2755411575.5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-312042616.07626313</v>
      </c>
      <c r="D86" s="223">
        <f>C86*scaling_factor/Common_Shares</f>
        <v>-0.22873724584393548</v>
      </c>
      <c r="E86" s="240" t="str">
        <f>Market_currency</f>
        <v>HKD</v>
      </c>
    </row>
    <row r="87" spans="2:8" ht="15" customHeight="1">
      <c r="B87" s="238" t="s">
        <v>286</v>
      </c>
      <c r="C87" s="76">
        <f>DCF!C8*Exchange_Rate</f>
        <v>14013773071.014263</v>
      </c>
      <c r="D87" s="223">
        <f>C87*scaling_factor/Common_Shares</f>
        <v>10.272545130061003</v>
      </c>
      <c r="E87" s="240" t="str">
        <f>Market_currency</f>
        <v>HKD</v>
      </c>
    </row>
    <row r="88" spans="2:8" ht="15" customHeight="1">
      <c r="B88" s="239" t="s">
        <v>188</v>
      </c>
      <c r="C88" s="76">
        <f>DCF!C9*Exchange_Rate</f>
        <v>3012672506.0346608</v>
      </c>
      <c r="D88" s="223">
        <f>C88*scaling_factor/Common_Shares</f>
        <v>2.2083855735003102</v>
      </c>
      <c r="E88" s="240" t="str">
        <f>Market_currency</f>
        <v>HKD</v>
      </c>
    </row>
    <row r="89" spans="2:8" ht="15" customHeight="1">
      <c r="B89" s="80" t="s">
        <v>290</v>
      </c>
      <c r="C89" s="180">
        <f>SUM(C86:C88)</f>
        <v>16714402960.97266</v>
      </c>
      <c r="D89" s="242">
        <f>SUM(D86:D88)</f>
        <v>12.252193457717377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32103180963.25</v>
      </c>
      <c r="D4" s="57"/>
      <c r="E4" s="266"/>
      <c r="F4" s="57"/>
      <c r="G4" s="333">
        <f>Data!C36</f>
        <v>32137830111</v>
      </c>
      <c r="H4" s="333">
        <f>Data!D36</f>
        <v>33936522741</v>
      </c>
      <c r="I4" s="333">
        <f>Data!E36</f>
        <v>32171565624</v>
      </c>
      <c r="J4" s="333">
        <f>Data!F36</f>
        <v>30166805377</v>
      </c>
      <c r="K4" s="333">
        <f>Data!G36</f>
        <v>27759710926</v>
      </c>
      <c r="L4" s="333" t="str">
        <f>Data!H36</f>
        <v/>
      </c>
      <c r="M4" s="333" t="str">
        <f>Data!I36</f>
        <v/>
      </c>
      <c r="N4" s="333" t="str">
        <f>Data!J36</f>
        <v/>
      </c>
      <c r="O4" s="333" t="str">
        <f>Data!K36</f>
        <v/>
      </c>
      <c r="P4" s="333" t="str">
        <f>Data!L36</f>
        <v/>
      </c>
      <c r="Q4" s="333" t="str">
        <f>Data!M36</f>
        <v/>
      </c>
    </row>
    <row r="5" spans="1:17" ht="15.75" customHeight="1">
      <c r="A5" s="10"/>
      <c r="B5" s="2" t="s">
        <v>46</v>
      </c>
      <c r="C5" s="328">
        <f>C25</f>
        <v>-26627911918.442245</v>
      </c>
      <c r="E5" s="268"/>
      <c r="G5" s="333">
        <f t="shared" ref="G5:Q5" si="1">G25</f>
        <v>-26140692078</v>
      </c>
      <c r="H5" s="333">
        <f t="shared" si="1"/>
        <v>-27911953185</v>
      </c>
      <c r="I5" s="333">
        <f t="shared" si="1"/>
        <v>-26908162892</v>
      </c>
      <c r="J5" s="333">
        <f t="shared" si="1"/>
        <v>-25506840614</v>
      </c>
      <c r="K5" s="333">
        <f t="shared" si="1"/>
        <v>-23744231560</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5475269044.8077545</v>
      </c>
      <c r="E6" s="268"/>
      <c r="G6" s="329">
        <f>IF(G4="","",G4+G5)</f>
        <v>5997138033</v>
      </c>
      <c r="H6" s="329">
        <f t="shared" ref="H6:Q6" si="2">IF(H4="","",H4+H5)</f>
        <v>6024569556</v>
      </c>
      <c r="I6" s="329">
        <f t="shared" si="2"/>
        <v>5263402732</v>
      </c>
      <c r="J6" s="329">
        <f t="shared" si="2"/>
        <v>4659964763</v>
      </c>
      <c r="K6" s="329">
        <f t="shared" si="2"/>
        <v>4015479366</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-1597200974.5</v>
      </c>
      <c r="E7" s="268"/>
      <c r="G7" s="328">
        <f t="shared" ref="G7:Q7" si="3">G35</f>
        <v>-1509345456</v>
      </c>
      <c r="H7" s="328">
        <f t="shared" si="3"/>
        <v>-1619700048</v>
      </c>
      <c r="I7" s="328">
        <f t="shared" si="3"/>
        <v>-1536322903</v>
      </c>
      <c r="J7" s="328">
        <f t="shared" si="3"/>
        <v>-1723435491</v>
      </c>
      <c r="K7" s="328">
        <f t="shared" si="3"/>
        <v>-1699517814</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3878068070.3077545</v>
      </c>
      <c r="D8" s="59"/>
      <c r="E8" s="274"/>
      <c r="F8" s="59"/>
      <c r="G8" s="329">
        <f>IF(G$4="","",G6+G7)</f>
        <v>4487792577</v>
      </c>
      <c r="H8" s="329">
        <f t="shared" ref="H8:Q8" si="4">IF(H$4="","",H6+H7)</f>
        <v>4404869508</v>
      </c>
      <c r="I8" s="329">
        <f t="shared" si="4"/>
        <v>3727079829</v>
      </c>
      <c r="J8" s="329">
        <f t="shared" si="4"/>
        <v>2936529272</v>
      </c>
      <c r="K8" s="329">
        <f t="shared" si="4"/>
        <v>2315961552</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1191305772</v>
      </c>
      <c r="E9" s="268"/>
      <c r="G9" s="328">
        <f>IF(Data!C61="","",-Data!C61)</f>
        <v>1191305772</v>
      </c>
      <c r="H9" s="328">
        <f>IF(Data!D61="","",-Data!D61)</f>
        <v>1140399624</v>
      </c>
      <c r="I9" s="328">
        <f>IF(Data!E61="","",-Data!E61)</f>
        <v>1083856796</v>
      </c>
      <c r="J9" s="328">
        <f>IF(Data!F61="","",-Data!F61)</f>
        <v>1109733268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-1191305772</v>
      </c>
      <c r="E10" s="268"/>
      <c r="G10" s="328">
        <f>Data!C62</f>
        <v>-1191305772</v>
      </c>
      <c r="H10" s="328">
        <f>Data!D62</f>
        <v>-1140399624</v>
      </c>
      <c r="I10" s="328">
        <f>Data!E62</f>
        <v>-1083856796</v>
      </c>
      <c r="J10" s="328">
        <f>Data!F62</f>
        <v>-1109733268</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48272283</v>
      </c>
      <c r="H11" s="334">
        <f t="shared" ref="H11:Q11" si="5">H61</f>
        <v>15798284</v>
      </c>
      <c r="I11" s="334">
        <f t="shared" si="5"/>
        <v>19873379</v>
      </c>
      <c r="J11" s="334">
        <f t="shared" si="5"/>
        <v>20561728</v>
      </c>
      <c r="K11" s="334">
        <f t="shared" si="5"/>
        <v>18098320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155236971.60191604</v>
      </c>
      <c r="E12" s="268"/>
      <c r="G12" s="328">
        <f>G50</f>
        <v>155236971.60191602</v>
      </c>
      <c r="H12" s="328">
        <f t="shared" ref="H12:Q12" si="6">H50</f>
        <v>128949151.01160675</v>
      </c>
      <c r="I12" s="328">
        <f t="shared" si="6"/>
        <v>122730326.66149639</v>
      </c>
      <c r="J12" s="328">
        <f t="shared" si="6"/>
        <v>67936757.371111125</v>
      </c>
      <c r="K12" s="328">
        <f t="shared" si="6"/>
        <v>136785303.84518078</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4033305041.9096704</v>
      </c>
      <c r="E13" s="268"/>
      <c r="G13" s="329">
        <f>IF(G$4="","",SUM(G8:G12))</f>
        <v>4691301831.6019163</v>
      </c>
      <c r="H13" s="329">
        <f t="shared" ref="H13:Q13" si="7">IF(H$4="","",SUM(H8:H12))</f>
        <v>4549616943.0116072</v>
      </c>
      <c r="I13" s="329">
        <f t="shared" si="7"/>
        <v>3869683534.6614962</v>
      </c>
      <c r="J13" s="329">
        <f t="shared" si="7"/>
        <v>3025027757.3711109</v>
      </c>
      <c r="K13" s="329">
        <f t="shared" si="7"/>
        <v>2470845175.845181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-1008326260.4774176</v>
      </c>
      <c r="E14" s="268"/>
      <c r="G14" s="328">
        <f>Data!C46</f>
        <v>-1389716314</v>
      </c>
      <c r="H14" s="328">
        <f>Data!D46</f>
        <v>-1398208378</v>
      </c>
      <c r="I14" s="328">
        <f>Data!E46</f>
        <v>-1201419808</v>
      </c>
      <c r="J14" s="328">
        <f>Data!F46</f>
        <v>-1222731595</v>
      </c>
      <c r="K14" s="328">
        <f>Data!G46</f>
        <v>-912580519</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-146634564.47167698</v>
      </c>
      <c r="D15" s="60"/>
      <c r="E15" s="275"/>
      <c r="F15" s="60"/>
      <c r="G15" s="333">
        <f>Data!C48</f>
        <v>-146792828</v>
      </c>
      <c r="H15" s="333">
        <f>Data!D48</f>
        <v>-80347518</v>
      </c>
      <c r="I15" s="333">
        <f>Data!E48</f>
        <v>-94092885</v>
      </c>
      <c r="J15" s="333">
        <f>Data!F48</f>
        <v>-100788060</v>
      </c>
      <c r="K15" s="333">
        <f>Data!G48</f>
        <v>-125645249</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2878344216.9605761</v>
      </c>
      <c r="D16" s="61"/>
      <c r="E16" s="276"/>
      <c r="F16" s="61"/>
      <c r="G16" s="329">
        <f>IF(G$4="","",SUM(G13:G15))</f>
        <v>3154792689.6019163</v>
      </c>
      <c r="H16" s="329">
        <f t="shared" ref="H16:Q16" si="8">IF(H$4="","",SUM(H13:H15))</f>
        <v>3071061047.0116072</v>
      </c>
      <c r="I16" s="329">
        <f t="shared" si="8"/>
        <v>2574170841.6614962</v>
      </c>
      <c r="J16" s="329">
        <f t="shared" si="8"/>
        <v>1701508102.3711109</v>
      </c>
      <c r="K16" s="329">
        <f t="shared" si="8"/>
        <v>1432619407.845181</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2878344216.9605761</v>
      </c>
      <c r="D19" s="27"/>
      <c r="E19" s="265"/>
      <c r="F19" s="27"/>
      <c r="G19" s="334">
        <f>IF(G$4="","",G16+G17)</f>
        <v>3154792689.6019163</v>
      </c>
      <c r="H19" s="334">
        <f t="shared" ref="H19:Q19" si="9">IF(H$4="","",H16+H17)</f>
        <v>3071061047.0116072</v>
      </c>
      <c r="I19" s="334">
        <f t="shared" si="9"/>
        <v>2574170841.6614962</v>
      </c>
      <c r="J19" s="334">
        <f t="shared" si="9"/>
        <v>1701508102.3711109</v>
      </c>
      <c r="K19" s="334">
        <f t="shared" si="9"/>
        <v>1432619407.845181</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-22227405835.768204</v>
      </c>
      <c r="D23" s="58"/>
      <c r="E23" s="267"/>
      <c r="F23" s="58"/>
      <c r="G23" s="333">
        <f>Data!C37</f>
        <v>-21538172214</v>
      </c>
      <c r="H23" s="333">
        <f>Data!D37</f>
        <v>-23203550387</v>
      </c>
      <c r="I23" s="333">
        <f>Data!E37</f>
        <v>-22708660145</v>
      </c>
      <c r="J23" s="333">
        <f>Data!F37</f>
        <v>-21409966489</v>
      </c>
      <c r="K23" s="333">
        <f>Data!G37</f>
        <v>-18759681723</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-4400506082.6740408</v>
      </c>
      <c r="D24" s="27"/>
      <c r="E24" s="265"/>
      <c r="F24" s="27"/>
      <c r="G24" s="333">
        <f>Data!C40</f>
        <v>-4602519864</v>
      </c>
      <c r="H24" s="333">
        <f>Data!D40</f>
        <v>-4708402798</v>
      </c>
      <c r="I24" s="333">
        <f>Data!E40</f>
        <v>-4199502747</v>
      </c>
      <c r="J24" s="333">
        <f>Data!F40</f>
        <v>-4096874125</v>
      </c>
      <c r="K24" s="333">
        <f>Data!G40</f>
        <v>-4984549837</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-26627911918.442245</v>
      </c>
      <c r="D25" s="9"/>
      <c r="E25" s="273"/>
      <c r="F25" s="9"/>
      <c r="G25" s="329">
        <f t="shared" ref="G25:Q25" si="10">IF(G$4="","",G23+G24)</f>
        <v>-26140692078</v>
      </c>
      <c r="H25" s="329">
        <f t="shared" si="10"/>
        <v>-27911953185</v>
      </c>
      <c r="I25" s="329">
        <f t="shared" si="10"/>
        <v>-26908162892</v>
      </c>
      <c r="J25" s="329">
        <f t="shared" si="10"/>
        <v>-25506840614</v>
      </c>
      <c r="K25" s="329">
        <f t="shared" si="10"/>
        <v>-23744231560</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0.69237393830888427</v>
      </c>
      <c r="D28" s="26"/>
      <c r="E28" s="266" t="s">
        <v>330</v>
      </c>
      <c r="F28" s="26"/>
      <c r="G28" s="13">
        <f t="shared" ref="G28:Q28" si="11">IF(G$4="","",ABS(G23/G$4))</f>
        <v>0.67018128291828905</v>
      </c>
      <c r="H28" s="13">
        <f t="shared" si="11"/>
        <v>0.68373388057719042</v>
      </c>
      <c r="I28" s="13">
        <f t="shared" si="11"/>
        <v>0.70586120707968691</v>
      </c>
      <c r="J28" s="13">
        <f t="shared" si="11"/>
        <v>0.70971938266037093</v>
      </c>
      <c r="K28" s="13">
        <f t="shared" si="11"/>
        <v>0.67578807909809713</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0.13707383351548572</v>
      </c>
      <c r="D29" s="26"/>
      <c r="E29" s="266" t="s">
        <v>330</v>
      </c>
      <c r="F29" s="26"/>
      <c r="G29" s="13">
        <f t="shared" ref="G29:Q29" si="12">IF(G$4="","",ABS(G24/G$4))</f>
        <v>0.14321190472734091</v>
      </c>
      <c r="H29" s="13">
        <f t="shared" si="12"/>
        <v>0.13874146252207509</v>
      </c>
      <c r="I29" s="13">
        <f t="shared" si="12"/>
        <v>0.13053460922856577</v>
      </c>
      <c r="J29" s="13">
        <f t="shared" si="12"/>
        <v>0.13580735758396112</v>
      </c>
      <c r="K29" s="13">
        <f t="shared" si="12"/>
        <v>0.17956058153081936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0.82944777182437002</v>
      </c>
      <c r="E30" s="268"/>
      <c r="G30" s="30">
        <f t="shared" ref="G30:Q30" si="13">IF(G$4="","",ABS(G25/G$4))</f>
        <v>0.81339318764562996</v>
      </c>
      <c r="H30" s="30">
        <f t="shared" si="13"/>
        <v>0.82247534309926551</v>
      </c>
      <c r="I30" s="30">
        <f t="shared" si="13"/>
        <v>0.83639581630825266</v>
      </c>
      <c r="J30" s="30">
        <f t="shared" si="13"/>
        <v>0.84552674024433205</v>
      </c>
      <c r="K30" s="30">
        <f t="shared" si="13"/>
        <v>0.85534866062891657</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-1522888768.25</v>
      </c>
      <c r="E33" s="266" t="s">
        <v>330</v>
      </c>
      <c r="G33" s="328">
        <f>Data!C41</f>
        <v>-1406578781</v>
      </c>
      <c r="H33" s="328">
        <f>Data!D41</f>
        <v>-1519063042</v>
      </c>
      <c r="I33" s="328">
        <f>Data!E41</f>
        <v>-1473368004</v>
      </c>
      <c r="J33" s="328">
        <f>Data!F41</f>
        <v>-1692545246</v>
      </c>
      <c r="K33" s="328">
        <f>Data!G41</f>
        <v>-1678050722</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-74312206.25</v>
      </c>
      <c r="D34" s="58"/>
      <c r="E34" s="266" t="s">
        <v>330</v>
      </c>
      <c r="F34" s="58"/>
      <c r="G34" s="333">
        <f>Data!C42</f>
        <v>-102766675</v>
      </c>
      <c r="H34" s="333">
        <f>Data!D42</f>
        <v>-100637006</v>
      </c>
      <c r="I34" s="333">
        <f>Data!E42</f>
        <v>-62954899</v>
      </c>
      <c r="J34" s="333">
        <f>Data!F42</f>
        <v>-30890245</v>
      </c>
      <c r="K34" s="333">
        <f>Data!G42</f>
        <v>-21467092</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-1597200974.5</v>
      </c>
      <c r="D35" s="58"/>
      <c r="E35" s="267"/>
      <c r="F35" s="58"/>
      <c r="G35" s="329">
        <f t="shared" ref="G35:Q35" si="14">IF(G4="","",G33+G34)</f>
        <v>-1509345456</v>
      </c>
      <c r="H35" s="329">
        <f t="shared" si="14"/>
        <v>-1619700048</v>
      </c>
      <c r="I35" s="329">
        <f t="shared" si="14"/>
        <v>-1536322903</v>
      </c>
      <c r="J35" s="329">
        <f t="shared" si="14"/>
        <v>-1723435491</v>
      </c>
      <c r="K35" s="329">
        <f t="shared" si="14"/>
        <v>-1699517814</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4.7437316881256138E-2</v>
      </c>
      <c r="D38" s="27"/>
      <c r="E38" s="265"/>
      <c r="F38" s="27"/>
      <c r="G38" s="13">
        <f t="shared" ref="G38:Q38" si="15">IF(G$4="","",ABS(G33/G$4))</f>
        <v>4.3767073761416211E-2</v>
      </c>
      <c r="H38" s="13">
        <f t="shared" si="15"/>
        <v>4.4761894245716645E-2</v>
      </c>
      <c r="I38" s="13">
        <f t="shared" si="15"/>
        <v>4.5797211774513916E-2</v>
      </c>
      <c r="J38" s="13">
        <f t="shared" si="15"/>
        <v>5.6106214259281258E-2</v>
      </c>
      <c r="K38" s="13">
        <f t="shared" si="15"/>
        <v>6.0449142517126221E-2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2.314792616191792E-3</v>
      </c>
      <c r="D39" s="27"/>
      <c r="E39" s="265"/>
      <c r="F39" s="27"/>
      <c r="G39" s="13">
        <f t="shared" ref="G39:Q39" si="16">IF(G$4="","",ABS(G34/G$4))</f>
        <v>3.1976855514220127E-3</v>
      </c>
      <c r="H39" s="13">
        <f t="shared" si="16"/>
        <v>2.9654483686514122E-3</v>
      </c>
      <c r="I39" s="13">
        <f t="shared" si="16"/>
        <v>1.9568490926358778E-3</v>
      </c>
      <c r="J39" s="13">
        <f t="shared" si="16"/>
        <v>1.0239813136975907E-3</v>
      </c>
      <c r="K39" s="13">
        <f t="shared" si="16"/>
        <v>7.7331828336489356E-4</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4.9752109497447933E-2</v>
      </c>
      <c r="E40" s="268"/>
      <c r="G40" s="30">
        <f t="shared" ref="G40:Q40" si="17">IF(G$4="","",ABS(G35/G$4))</f>
        <v>4.6964759312838222E-2</v>
      </c>
      <c r="H40" s="30">
        <f t="shared" si="17"/>
        <v>4.7727342614368055E-2</v>
      </c>
      <c r="I40" s="30">
        <f t="shared" si="17"/>
        <v>4.7754060867149797E-2</v>
      </c>
      <c r="J40" s="30">
        <f t="shared" si="17"/>
        <v>5.7130195572978854E-2</v>
      </c>
      <c r="K40" s="30">
        <f t="shared" si="17"/>
        <v>6.1222460800491117E-2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0.29623255204738347</v>
      </c>
      <c r="H43" s="6">
        <f t="shared" si="18"/>
        <v>0.30732441775075237</v>
      </c>
      <c r="I43" s="6">
        <f t="shared" si="18"/>
        <v>0.31046978318476248</v>
      </c>
      <c r="J43" s="6">
        <f t="shared" si="18"/>
        <v>0.40420508275355804</v>
      </c>
      <c r="K43" s="6">
        <f t="shared" si="18"/>
        <v>0.36933941791307962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-21837054</v>
      </c>
      <c r="E47" s="268"/>
      <c r="G47" s="328">
        <f>Data!C51</f>
        <v>-21837054</v>
      </c>
      <c r="H47" s="328">
        <f>Data!D51</f>
        <v>-16430590</v>
      </c>
      <c r="I47" s="328">
        <f>Data!E51</f>
        <v>-9237800</v>
      </c>
      <c r="J47" s="328">
        <f>Data!F51</f>
        <v>-22685367</v>
      </c>
      <c r="K47" s="328">
        <f>Data!G51</f>
        <v>-13662682</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177074025.60191604</v>
      </c>
      <c r="E48" s="268"/>
      <c r="G48" s="337">
        <f>IFERROR(IF(G$4="","",($C$48/$C$49)*G49),0)</f>
        <v>177074025.60191602</v>
      </c>
      <c r="H48" s="337">
        <f t="shared" ref="H48:Q48" si="19">IFERROR(IF(H$4="","",($C$48/$C$49)*H49),0)</f>
        <v>145379741.01160675</v>
      </c>
      <c r="I48" s="337">
        <f t="shared" si="19"/>
        <v>131968126.66149639</v>
      </c>
      <c r="J48" s="337">
        <f t="shared" si="19"/>
        <v>90622124.371111125</v>
      </c>
      <c r="K48" s="337">
        <f t="shared" si="19"/>
        <v>150447985.84518078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616771200</v>
      </c>
      <c r="D49" s="288"/>
      <c r="E49" s="289"/>
      <c r="F49" s="288"/>
      <c r="G49" s="342">
        <f>Data!C52</f>
        <v>616771200</v>
      </c>
      <c r="H49" s="342">
        <f>Data!D52</f>
        <v>506376003</v>
      </c>
      <c r="I49" s="342">
        <f>Data!E52</f>
        <v>459661656</v>
      </c>
      <c r="J49" s="342">
        <f>Data!F52</f>
        <v>315648307</v>
      </c>
      <c r="K49" s="342">
        <f>Data!G52</f>
        <v>524029340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155236971.60191604</v>
      </c>
      <c r="E50" s="268"/>
      <c r="G50" s="329">
        <f>IF(G$4="","",(G47+G48))</f>
        <v>155236971.60191602</v>
      </c>
      <c r="H50" s="329">
        <f t="shared" ref="H50:Q50" si="20">IF(H$4="","",(H47+H48))</f>
        <v>128949151.01160675</v>
      </c>
      <c r="I50" s="329">
        <f t="shared" si="20"/>
        <v>122730326.66149639</v>
      </c>
      <c r="J50" s="329">
        <f t="shared" si="20"/>
        <v>67936757.371111125</v>
      </c>
      <c r="K50" s="329">
        <f t="shared" si="20"/>
        <v>136785303.84518078</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3.430552260533988E-2</v>
      </c>
      <c r="E53" s="265" t="s">
        <v>332</v>
      </c>
      <c r="G53" s="6">
        <f>IF(Normalized_FCF!G4="","",Normalized_FCF!G49/BS!$C$66)</f>
        <v>3.430552260533988E-2</v>
      </c>
      <c r="H53" s="169"/>
      <c r="I53" s="169"/>
      <c r="J53" s="169"/>
      <c r="K53" s="169"/>
      <c r="L53" s="169"/>
      <c r="M53" s="169"/>
      <c r="N53" s="169"/>
      <c r="O53" s="169"/>
      <c r="P53" s="169"/>
      <c r="Q53" s="169"/>
    </row>
    <row r="54" spans="1:17" ht="15.75" customHeight="1">
      <c r="A54" s="10"/>
      <c r="B54" s="8" t="s">
        <v>87</v>
      </c>
      <c r="C54" s="82">
        <f>G54</f>
        <v>7.6514823945754068E-2</v>
      </c>
      <c r="E54" s="265" t="s">
        <v>333</v>
      </c>
      <c r="G54" s="23">
        <f>IFERROR(ABS(Normalized_FCF!G47/BS!$G$31),0)</f>
        <v>7.6514823945754068E-2</v>
      </c>
      <c r="H54" s="169"/>
      <c r="I54" s="169"/>
      <c r="J54" s="169"/>
      <c r="K54" s="169"/>
      <c r="L54" s="169"/>
      <c r="M54" s="169"/>
      <c r="N54" s="169"/>
      <c r="O54" s="169"/>
      <c r="P54" s="169"/>
      <c r="Q54" s="169"/>
    </row>
    <row r="55" spans="1:17" ht="15.75" customHeight="1">
      <c r="A55" s="10"/>
      <c r="B55" s="26" t="s">
        <v>90</v>
      </c>
      <c r="C55" s="42">
        <f>-C8/C47</f>
        <v>177.59117462949692</v>
      </c>
      <c r="E55" s="268"/>
      <c r="G55" s="42">
        <f t="shared" ref="G55:Q55" si="21">IF(G4="","",-G8/G47)</f>
        <v>205.51272973909391</v>
      </c>
      <c r="H55" s="42">
        <f t="shared" si="21"/>
        <v>268.08955174464216</v>
      </c>
      <c r="I55" s="42">
        <f t="shared" si="21"/>
        <v>403.45967968563946</v>
      </c>
      <c r="J55" s="42">
        <f t="shared" si="21"/>
        <v>129.44596717346474</v>
      </c>
      <c r="K55" s="42">
        <f t="shared" si="21"/>
        <v>169.51002387378995</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48272283</v>
      </c>
      <c r="H59" s="328">
        <f>Data!D55</f>
        <v>15798284</v>
      </c>
      <c r="I59" s="328">
        <f>Data!E55</f>
        <v>19873379</v>
      </c>
      <c r="J59" s="328">
        <f>Data!F55</f>
        <v>20561728</v>
      </c>
      <c r="K59" s="328">
        <f>Data!G55</f>
        <v>18098320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48272283</v>
      </c>
      <c r="H61" s="329">
        <f t="shared" si="22"/>
        <v>15798284</v>
      </c>
      <c r="I61" s="329">
        <f t="shared" si="22"/>
        <v>19873379</v>
      </c>
      <c r="J61" s="329">
        <f t="shared" si="22"/>
        <v>20561728</v>
      </c>
      <c r="K61" s="329">
        <f t="shared" si="22"/>
        <v>18098320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750493994</v>
      </c>
      <c r="H62" s="328">
        <f>Data!D58</f>
        <v>835794097</v>
      </c>
      <c r="I62" s="328">
        <f>Data!E58</f>
        <v>808764222</v>
      </c>
      <c r="J62" s="328">
        <f>Data!F58</f>
        <v>1228921525</v>
      </c>
      <c r="K62" s="328">
        <f>Data!G58</f>
        <v>395122794</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798766277</v>
      </c>
      <c r="H63" s="329">
        <f t="shared" si="23"/>
        <v>851592381</v>
      </c>
      <c r="I63" s="329">
        <f t="shared" si="23"/>
        <v>828637601</v>
      </c>
      <c r="J63" s="329">
        <f t="shared" si="23"/>
        <v>1249483253</v>
      </c>
      <c r="K63" s="329">
        <f t="shared" si="23"/>
        <v>413221114</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2.684959828973636E-3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0.82944777182437002</v>
      </c>
      <c r="D73" s="27"/>
      <c r="E73" s="265"/>
      <c r="F73" s="27"/>
      <c r="G73" s="6">
        <f t="shared" ref="G73:Q73" si="24">IF(G$4="","",ABS(G5/G$4))</f>
        <v>0.81339318764562996</v>
      </c>
      <c r="H73" s="6">
        <f t="shared" si="24"/>
        <v>0.82247534309926551</v>
      </c>
      <c r="I73" s="6">
        <f t="shared" si="24"/>
        <v>0.83639581630825266</v>
      </c>
      <c r="J73" s="6">
        <f t="shared" si="24"/>
        <v>0.84552674024433205</v>
      </c>
      <c r="K73" s="6">
        <f t="shared" si="24"/>
        <v>0.85534866062891657</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0.17055222817562998</v>
      </c>
      <c r="D74" s="27"/>
      <c r="E74" s="265"/>
      <c r="F74" s="27"/>
      <c r="G74" s="65">
        <f t="shared" ref="G74:Q74" si="25">IF(G$4="","",ABS(G6/G$4))</f>
        <v>0.18660681235437004</v>
      </c>
      <c r="H74" s="65">
        <f t="shared" si="25"/>
        <v>0.17752465690073452</v>
      </c>
      <c r="I74" s="65">
        <f t="shared" si="25"/>
        <v>0.16360418369174734</v>
      </c>
      <c r="J74" s="65">
        <f t="shared" si="25"/>
        <v>0.15447325975566789</v>
      </c>
      <c r="K74" s="65">
        <f t="shared" si="25"/>
        <v>0.14465133937108349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4.9752109497447933E-2</v>
      </c>
      <c r="D75" s="27"/>
      <c r="E75" s="265"/>
      <c r="F75" s="27"/>
      <c r="G75" s="6">
        <f t="shared" ref="G75:Q75" si="26">IF(G$4="","",ABS(G7/G$4))</f>
        <v>4.6964759312838222E-2</v>
      </c>
      <c r="H75" s="6">
        <f t="shared" si="26"/>
        <v>4.7727342614368055E-2</v>
      </c>
      <c r="I75" s="6">
        <f t="shared" si="26"/>
        <v>4.7754060867149797E-2</v>
      </c>
      <c r="J75" s="6">
        <f t="shared" si="26"/>
        <v>5.7130195572978854E-2</v>
      </c>
      <c r="K75" s="6">
        <f t="shared" si="26"/>
        <v>6.1222460800491117E-2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0.12080011867818204</v>
      </c>
      <c r="D76" s="27"/>
      <c r="E76" s="265"/>
      <c r="F76" s="27"/>
      <c r="G76" s="65">
        <f t="shared" ref="G76:Q76" si="27">IF(G$4="","",ABS(G8/G$4))</f>
        <v>0.13964205304153179</v>
      </c>
      <c r="H76" s="65">
        <f t="shared" si="27"/>
        <v>0.12979731428636648</v>
      </c>
      <c r="I76" s="65">
        <f t="shared" si="27"/>
        <v>0.11585012282459754</v>
      </c>
      <c r="J76" s="65">
        <f t="shared" si="27"/>
        <v>9.7343064182689051E-2</v>
      </c>
      <c r="K76" s="65">
        <f t="shared" si="27"/>
        <v>8.3428878570592363E-2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3.7108652048024243E-2</v>
      </c>
      <c r="D77" s="27"/>
      <c r="E77" s="265"/>
      <c r="F77" s="27"/>
      <c r="G77" s="6">
        <f t="shared" ref="G77:Q77" si="28">IF(G$4="","",G9/G$4)</f>
        <v>3.7068643647856142E-2</v>
      </c>
      <c r="H77" s="6">
        <f t="shared" si="28"/>
        <v>3.3603903166609349E-2</v>
      </c>
      <c r="I77" s="6">
        <f t="shared" si="28"/>
        <v>3.3689898983077234E-2</v>
      </c>
      <c r="J77" s="6">
        <f t="shared" si="28"/>
        <v>3.6786569016223743E-2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3.7108652048024243E-2</v>
      </c>
      <c r="D78" s="27"/>
      <c r="E78" s="266" t="s">
        <v>464</v>
      </c>
      <c r="F78" s="27"/>
      <c r="G78" s="6">
        <f t="shared" ref="G78:Q78" si="29">IF(G$4="","",-G10/G$4)</f>
        <v>3.7068643647856142E-2</v>
      </c>
      <c r="H78" s="6">
        <f t="shared" si="29"/>
        <v>3.3603903166609349E-2</v>
      </c>
      <c r="I78" s="6">
        <f t="shared" si="29"/>
        <v>3.3689898983077234E-2</v>
      </c>
      <c r="J78" s="6">
        <f t="shared" si="29"/>
        <v>3.6786569016223743E-2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1.5020392737553731E-3</v>
      </c>
      <c r="H79" s="65">
        <f t="shared" si="30"/>
        <v>4.655245359275862E-4</v>
      </c>
      <c r="I79" s="65">
        <f t="shared" si="30"/>
        <v>6.1773117392752727E-4</v>
      </c>
      <c r="J79" s="65">
        <f t="shared" si="30"/>
        <v>6.8160110900164538E-4</v>
      </c>
      <c r="K79" s="65">
        <f t="shared" si="30"/>
        <v>6.5196356144504907E-4</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4.8355635467906746E-3</v>
      </c>
      <c r="D80" s="27"/>
      <c r="E80" s="265"/>
      <c r="F80" s="27"/>
      <c r="G80" s="6">
        <f t="shared" ref="G80:Q80" si="31">IF(G$4="","",ABS(G12/G$4))</f>
        <v>4.8303501221379028E-3</v>
      </c>
      <c r="H80" s="6">
        <f t="shared" si="31"/>
        <v>3.799716075678502E-3</v>
      </c>
      <c r="I80" s="6">
        <f t="shared" si="31"/>
        <v>3.8148695682357317E-3</v>
      </c>
      <c r="J80" s="6">
        <f t="shared" si="31"/>
        <v>2.2520368505081407E-3</v>
      </c>
      <c r="K80" s="6">
        <f t="shared" si="31"/>
        <v>4.9274758015245184E-3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0.12563568222497271</v>
      </c>
      <c r="D81" s="27"/>
      <c r="E81" s="265"/>
      <c r="F81" s="27"/>
      <c r="G81" s="65">
        <f t="shared" ref="G81:Q81" si="32">IF(G$4="","",G13/G$4)</f>
        <v>0.14597444243742508</v>
      </c>
      <c r="H81" s="65">
        <f t="shared" si="32"/>
        <v>0.13406255489797259</v>
      </c>
      <c r="I81" s="65">
        <f t="shared" si="32"/>
        <v>0.12028272356676079</v>
      </c>
      <c r="J81" s="65">
        <f t="shared" si="32"/>
        <v>0.10027670214219883</v>
      </c>
      <c r="K81" s="65">
        <f t="shared" si="32"/>
        <v>8.900831793356194E-2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3.1408920556243176E-2</v>
      </c>
      <c r="D82" s="27"/>
      <c r="E82" s="265"/>
      <c r="F82" s="27"/>
      <c r="G82" s="6">
        <f t="shared" ref="G82:Q82" si="33">IF(G$4="","",ABS(G14/G$4))</f>
        <v>4.3242381616932307E-2</v>
      </c>
      <c r="H82" s="6">
        <f t="shared" si="33"/>
        <v>4.1200696626197693E-2</v>
      </c>
      <c r="I82" s="6">
        <f t="shared" si="33"/>
        <v>3.7344151106644942E-2</v>
      </c>
      <c r="J82" s="6">
        <f t="shared" si="33"/>
        <v>4.0532352687641368E-2</v>
      </c>
      <c r="K82" s="6">
        <f t="shared" si="33"/>
        <v>3.2874280335004093E-2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4.5676023394546593E-3</v>
      </c>
      <c r="D83" s="27"/>
      <c r="E83" s="265"/>
      <c r="F83" s="27"/>
      <c r="G83" s="6">
        <f t="shared" ref="G83:Q83" si="34">IF(G$4="","",-G15/G$4)</f>
        <v>4.5676023394546593E-3</v>
      </c>
      <c r="H83" s="6">
        <f t="shared" si="34"/>
        <v>2.3675825190814003E-3</v>
      </c>
      <c r="I83" s="6">
        <f t="shared" si="34"/>
        <v>2.9247219765334226E-3</v>
      </c>
      <c r="J83" s="6">
        <f t="shared" si="34"/>
        <v>3.3410253005060849E-3</v>
      </c>
      <c r="K83" s="6">
        <f t="shared" si="34"/>
        <v>4.5261728169625681E-3</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8.9659159329274887E-2</v>
      </c>
      <c r="D84" s="27"/>
      <c r="E84" s="265"/>
      <c r="F84" s="27"/>
      <c r="G84" s="65">
        <f t="shared" ref="G84:Q84" si="35">IF(G$4="","",ABS(G16/G$4))</f>
        <v>9.8164458481038122E-2</v>
      </c>
      <c r="H84" s="65">
        <f t="shared" si="35"/>
        <v>9.0494275752693476E-2</v>
      </c>
      <c r="I84" s="65">
        <f t="shared" si="35"/>
        <v>8.0013850483582422E-2</v>
      </c>
      <c r="J84" s="65">
        <f t="shared" si="35"/>
        <v>5.6403324154051374E-2</v>
      </c>
      <c r="K84" s="65">
        <f t="shared" si="35"/>
        <v>5.1607864781595278E-2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8.9659159329274887E-2</v>
      </c>
      <c r="D87" s="75"/>
      <c r="E87" s="265"/>
      <c r="F87" s="75"/>
      <c r="G87" s="65">
        <f t="shared" ref="G87:Q87" si="36">IF(G$4="","",ABS(G19/G$4))</f>
        <v>9.8164458481038122E-2</v>
      </c>
      <c r="H87" s="65">
        <f t="shared" si="36"/>
        <v>9.0494275752693476E-2</v>
      </c>
      <c r="I87" s="65">
        <f t="shared" si="36"/>
        <v>8.0013850483582422E-2</v>
      </c>
      <c r="J87" s="65">
        <f t="shared" si="36"/>
        <v>5.6403324154051374E-2</v>
      </c>
      <c r="K87" s="65">
        <f t="shared" si="36"/>
        <v>5.1607864781595278E-2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2.0121355553773088</v>
      </c>
      <c r="E90" s="268"/>
      <c r="G90" s="112">
        <f>Data!C65</f>
        <v>2.0121355553773088</v>
      </c>
      <c r="H90" s="112">
        <f>Data!D65</f>
        <v>1.8292141412520988</v>
      </c>
      <c r="I90" s="112">
        <f>Data!E65</f>
        <v>1.1889891918138642</v>
      </c>
      <c r="J90" s="112">
        <f>Data!F65</f>
        <v>1.0060677776886544</v>
      </c>
      <c r="K90" s="112">
        <f>Data!G65</f>
        <v>0.685955302969537</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2744948861.6663208</v>
      </c>
      <c r="E91" s="268"/>
      <c r="G91" s="74">
        <f t="shared" ref="G91:Q91" si="37">IF(G$4="","",G90*Common_Shares/scaling_factor)</f>
        <v>2744948861.6663208</v>
      </c>
      <c r="H91" s="74">
        <f t="shared" si="37"/>
        <v>2495408056.0602913</v>
      </c>
      <c r="I91" s="74">
        <f t="shared" si="37"/>
        <v>1622015236.4391894</v>
      </c>
      <c r="J91" s="74">
        <f t="shared" si="37"/>
        <v>1372474430.8331604</v>
      </c>
      <c r="K91" s="74">
        <f t="shared" si="37"/>
        <v>935778021.02260923</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0.95365552371803675</v>
      </c>
      <c r="E92" s="268"/>
      <c r="G92" s="170">
        <f t="shared" ref="G92:Q92" si="38">IF(G$4="","",G90/(G19*scaling_factor/Common_Shares))</f>
        <v>0.87008850715090524</v>
      </c>
      <c r="H92" s="170">
        <f t="shared" si="38"/>
        <v>0.81255566654675493</v>
      </c>
      <c r="I92" s="170">
        <f t="shared" si="38"/>
        <v>0.63011172770190382</v>
      </c>
      <c r="J92" s="170">
        <f t="shared" si="38"/>
        <v>0.80662233046117704</v>
      </c>
      <c r="K92" s="170">
        <f t="shared" si="38"/>
        <v>0.65319373442673334</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3.5753642642439847E-2</v>
      </c>
      <c r="E94" s="268"/>
      <c r="G94" s="23">
        <f t="shared" ref="G94:Q94" si="39">IF(G$4="","",(G90*(1-dividend_tax_rate))/Market_Price)</f>
        <v>3.5753642642439847E-2</v>
      </c>
      <c r="H94" s="23">
        <f t="shared" si="39"/>
        <v>3.2503311493127129E-2</v>
      </c>
      <c r="I94" s="23">
        <f t="shared" si="39"/>
        <v>2.1127152470532633E-2</v>
      </c>
      <c r="J94" s="23">
        <f t="shared" si="39"/>
        <v>1.7876821321219923E-2</v>
      </c>
      <c r="K94" s="23">
        <f t="shared" si="39"/>
        <v>1.2188741809922672E-2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-1.0781421032572958E-3</v>
      </c>
      <c r="D97" s="27"/>
      <c r="E97" s="265"/>
      <c r="F97" s="27"/>
      <c r="G97" s="6">
        <f t="shared" ref="G97:Q97" si="40">IF(H4="","",G4/H4-1)</f>
        <v>-5.3001677388323953E-2</v>
      </c>
      <c r="H97" s="6">
        <f t="shared" si="40"/>
        <v>5.48607779188508E-2</v>
      </c>
      <c r="I97" s="6">
        <f t="shared" si="40"/>
        <v>6.6455835211788328E-2</v>
      </c>
      <c r="J97" s="6">
        <f t="shared" si="40"/>
        <v>8.6711798167375509E-2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-0.14025889045548001</v>
      </c>
      <c r="D98" s="27"/>
      <c r="E98" s="265"/>
      <c r="F98" s="27"/>
      <c r="G98" s="6">
        <f t="shared" ref="G98:Q98" si="41">IF(H5="","",G13/H13-1)</f>
        <v>3.1142157760763345E-2</v>
      </c>
      <c r="H98" s="6">
        <f t="shared" si="41"/>
        <v>0.17570775549468509</v>
      </c>
      <c r="I98" s="6">
        <f t="shared" si="41"/>
        <v>0.27922248820104389</v>
      </c>
      <c r="J98" s="6">
        <f t="shared" si="41"/>
        <v>0.22428867131926444</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51420385832</v>
      </c>
      <c r="D102" s="26"/>
      <c r="E102" s="269"/>
      <c r="F102" s="26"/>
      <c r="G102" s="333">
        <f t="shared" ref="G102:Q102" si="42">IF(G$4="","",G106+G105)</f>
        <v>51420385832</v>
      </c>
      <c r="H102" s="333">
        <f t="shared" si="42"/>
        <v>49256011349</v>
      </c>
      <c r="I102" s="333">
        <f t="shared" si="42"/>
        <v>50311699796</v>
      </c>
      <c r="J102" s="333">
        <f t="shared" si="42"/>
        <v>46563004491</v>
      </c>
      <c r="K102" s="333">
        <f t="shared" si="42"/>
        <v>41514185835</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185704725</v>
      </c>
      <c r="D103" s="89"/>
      <c r="E103" s="270"/>
      <c r="F103" s="89"/>
      <c r="G103" s="346">
        <f>IF(G$4="","",Data!D77)</f>
        <v>100391321</v>
      </c>
      <c r="H103" s="346">
        <f>IF(H$4="","",Data!E77)</f>
        <v>124099728</v>
      </c>
      <c r="I103" s="346">
        <f>IF(I$4="","",Data!F77)</f>
        <v>124929816</v>
      </c>
      <c r="J103" s="346">
        <f>IF(J$4="","",Data!G77)</f>
        <v>125155008</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3576387537</v>
      </c>
      <c r="D104" s="89"/>
      <c r="E104" s="270"/>
      <c r="F104" s="89"/>
      <c r="G104" s="346">
        <f>IF(G$4="","",Data!D78)</f>
        <v>3539828305</v>
      </c>
      <c r="H104" s="346">
        <f>IF(H$4="","",Data!E78)</f>
        <v>4152187132</v>
      </c>
      <c r="I104" s="346">
        <f>IF(I$4="","",Data!F78)</f>
        <v>3492997857</v>
      </c>
      <c r="J104" s="346">
        <f>IF(J$4="","",Data!G78)</f>
        <v>3281033526</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21560843821</v>
      </c>
      <c r="D105" s="26"/>
      <c r="E105" s="269"/>
      <c r="F105" s="26"/>
      <c r="G105" s="333">
        <f>Data!C79</f>
        <v>21560843821</v>
      </c>
      <c r="H105" s="333">
        <f>Data!D79</f>
        <v>21001264174</v>
      </c>
      <c r="I105" s="333">
        <f>Data!E79</f>
        <v>24039387261</v>
      </c>
      <c r="J105" s="333">
        <f>Data!F79</f>
        <v>22769313149</v>
      </c>
      <c r="K105" s="333">
        <f>Data!G79</f>
        <v>20146133669</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29859542011</v>
      </c>
      <c r="D106" s="26"/>
      <c r="E106" s="269"/>
      <c r="F106" s="26"/>
      <c r="G106" s="333">
        <f>Data!C80</f>
        <v>29859542011</v>
      </c>
      <c r="H106" s="333">
        <f>Data!D80</f>
        <v>28254747175</v>
      </c>
      <c r="I106" s="333">
        <f>Data!E80</f>
        <v>26272312535</v>
      </c>
      <c r="J106" s="333">
        <f>Data!F80</f>
        <v>23793691342</v>
      </c>
      <c r="K106" s="333">
        <f>Data!G80</f>
        <v>21368052166</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5.7846206957679613E-3</v>
      </c>
      <c r="D109" s="26"/>
      <c r="E109" s="269"/>
      <c r="F109" s="26"/>
      <c r="G109" s="94">
        <f t="shared" ref="G109:Q109" si="43">IF(G$4="","",G103/G$4)</f>
        <v>3.1237740897024184E-3</v>
      </c>
      <c r="H109" s="94">
        <f t="shared" si="43"/>
        <v>3.6568192017525239E-3</v>
      </c>
      <c r="I109" s="94">
        <f t="shared" si="43"/>
        <v>3.8832370628180527E-3</v>
      </c>
      <c r="J109" s="94">
        <f t="shared" si="43"/>
        <v>4.1487657190052221E-3</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0.11140290244427979</v>
      </c>
      <c r="D110" s="26"/>
      <c r="E110" s="269"/>
      <c r="F110" s="26"/>
      <c r="G110" s="94">
        <f t="shared" ref="G110:Q110" si="44">IF(G$4="","",G104/G$4)</f>
        <v>0.11014521804284486</v>
      </c>
      <c r="H110" s="94">
        <f t="shared" si="44"/>
        <v>0.12235157867201242</v>
      </c>
      <c r="I110" s="94">
        <f t="shared" si="44"/>
        <v>0.10857407121008193</v>
      </c>
      <c r="J110" s="94">
        <f t="shared" si="44"/>
        <v>0.10876304219145293</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1.1475773379531717</v>
      </c>
      <c r="H114" s="295">
        <f>IF(H$4="","",Data!D$22/Data!D15)</f>
        <v>0.63878566471951048</v>
      </c>
      <c r="I114" s="295">
        <f>IF(I$4="","",Data!E$22/Data!E15)</f>
        <v>1.2822939471944179</v>
      </c>
      <c r="J114" s="295">
        <f>IF(J$4="","",Data!F$22/Data!F15)</f>
        <v>1.8558534606930408</v>
      </c>
      <c r="K114" s="295">
        <f>IF(K$4="","",Data!G$22/Data!G15)</f>
        <v>2.1287016617311294</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1.6339143770015629</v>
      </c>
      <c r="H115" s="295">
        <f>IF(H$4="","",Data!D$22/H19)</f>
        <v>0.9044324086956198</v>
      </c>
      <c r="I115" s="295">
        <f>IF(I$4="","",Data!E$22/I19)</f>
        <v>1.8952787604613692</v>
      </c>
      <c r="J115" s="295">
        <f>IF(J$4="","",Data!F$22/J19)</f>
        <v>3.5516207337353922</v>
      </c>
      <c r="K115" s="295">
        <f>IF(K$4="","",Data!G$22/K19)</f>
        <v>3.4575982531539893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0.12563568222497271</v>
      </c>
      <c r="E118" s="268"/>
      <c r="G118" s="23">
        <f t="shared" ref="G118:Q118" si="45">IF(G4="","",IF(valuation_method="DDM",G13/(G4+G12),G81))</f>
        <v>0.14597444243742508</v>
      </c>
      <c r="H118" s="23">
        <f t="shared" si="45"/>
        <v>0.13406255489797259</v>
      </c>
      <c r="I118" s="23">
        <f t="shared" si="45"/>
        <v>0.12028272356676079</v>
      </c>
      <c r="J118" s="23">
        <f t="shared" si="45"/>
        <v>0.10027670214219883</v>
      </c>
      <c r="K118" s="23">
        <f t="shared" si="45"/>
        <v>8.900831793356194E-2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0.62432788948992113</v>
      </c>
      <c r="E119" s="268"/>
      <c r="G119" s="42">
        <f t="shared" ref="G119:Q119" si="46">IF(G4="","",IF(valuation_method="DDM",(G4+G12)/G102,G4/G102))</f>
        <v>0.62500173016982585</v>
      </c>
      <c r="H119" s="42">
        <f t="shared" si="46"/>
        <v>0.68898235589043455</v>
      </c>
      <c r="I119" s="42">
        <f t="shared" si="46"/>
        <v>0.63944501486625938</v>
      </c>
      <c r="J119" s="42">
        <f t="shared" si="46"/>
        <v>0.64787067988344349</v>
      </c>
      <c r="K119" s="42">
        <f t="shared" si="46"/>
        <v>0.66868012385771503</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1.7220755031358876</v>
      </c>
      <c r="D120" s="11"/>
      <c r="E120" s="272"/>
      <c r="F120" s="11"/>
      <c r="G120" s="15">
        <f t="shared" ref="G120:Q120" si="47">IF(G$4="","",G102/G106)</f>
        <v>1.7220755031358876</v>
      </c>
      <c r="H120" s="15">
        <f t="shared" si="47"/>
        <v>1.7432826789751659</v>
      </c>
      <c r="I120" s="15">
        <f t="shared" si="47"/>
        <v>1.9150084229918742</v>
      </c>
      <c r="J120" s="15">
        <f t="shared" si="47"/>
        <v>1.9569474875387749</v>
      </c>
      <c r="K120" s="15">
        <f t="shared" si="47"/>
        <v>1.9428156348783037</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0.13507591778949038</v>
      </c>
      <c r="D121" s="103"/>
      <c r="E121" s="271"/>
      <c r="F121" s="103"/>
      <c r="G121" s="102">
        <f t="shared" ref="G121:Q121" si="48">IF(G$4="","",G13/G106)</f>
        <v>0.15711231705676132</v>
      </c>
      <c r="H121" s="102">
        <f t="shared" si="48"/>
        <v>0.16102132908260955</v>
      </c>
      <c r="I121" s="102">
        <f t="shared" si="48"/>
        <v>0.14729131778964261</v>
      </c>
      <c r="J121" s="102">
        <f t="shared" si="48"/>
        <v>0.12713570643120059</v>
      </c>
      <c r="K121" s="102">
        <f t="shared" si="48"/>
        <v>0.11563268175546165</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2.3069126590100524</v>
      </c>
      <c r="D125" s="27"/>
      <c r="E125" s="265"/>
      <c r="F125" s="27"/>
      <c r="G125" s="177">
        <f t="shared" ref="G125:Q125" si="49">IF(G$4="","",G16*$C$3/Common_Shares*Exchange_Rate)</f>
        <v>2.5284784041153179</v>
      </c>
      <c r="H125" s="177">
        <f t="shared" si="49"/>
        <v>2.4613698265125801</v>
      </c>
      <c r="I125" s="177">
        <f t="shared" si="49"/>
        <v>2.0631261772277472</v>
      </c>
      <c r="J125" s="177">
        <f t="shared" si="49"/>
        <v>1.3637113162625782</v>
      </c>
      <c r="K125" s="177">
        <f t="shared" si="49"/>
        <v>1.1482045225957767</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4.5546153188747329E-2</v>
      </c>
      <c r="D126" s="27"/>
      <c r="E126" s="265"/>
      <c r="F126" s="27"/>
      <c r="G126" s="77">
        <f t="shared" ref="G126" si="50">IF(G$4="","",G125/Market_Price)</f>
        <v>4.9920600278683475E-2</v>
      </c>
      <c r="H126" s="77">
        <f t="shared" ref="H126" si="51">IF(H$4="","",H125/Market_Price)</f>
        <v>4.8595653040722213E-2</v>
      </c>
      <c r="I126" s="77">
        <f t="shared" ref="I126" si="52">IF(I$4="","",I125/Market_Price)</f>
        <v>4.0732994614565594E-2</v>
      </c>
      <c r="J126" s="77">
        <f t="shared" ref="J126" si="53">IF(J$4="","",J125/Market_Price)</f>
        <v>2.6924211574779432E-2</v>
      </c>
      <c r="K126" s="77">
        <f t="shared" ref="K126" si="54">IF(K$4="","",K125/Market_Price)</f>
        <v>2.2669388402680686E-2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6.5007233509947637E-2</v>
      </c>
      <c r="H127" s="23">
        <f>IF(H$4="","",(Data!D47*$C$3)/(Market_Price*Common_Shares))</f>
        <v>6.292930449574248E-2</v>
      </c>
      <c r="I127" s="23">
        <f>IF(I$4="","",(Data!E47*$C$3)/(Market_Price*Common_Shares))</f>
        <v>5.5063827712440089E-2</v>
      </c>
      <c r="J127" s="23">
        <f>IF(J$4="","",(Data!F47*$C$3)/(Market_Price*Common_Shares))</f>
        <v>4.712598608968905E-2</v>
      </c>
      <c r="K127" s="23">
        <f>IF(K$4="","",(Data!G47*$C$3)/(Market_Price*Common_Shares))</f>
        <v>3.3677053658628567E-2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2878344216.9605761</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38377922892.807686</v>
      </c>
      <c r="D6" t="str">
        <f>Reporting_currency</f>
        <v>CNY</v>
      </c>
      <c r="E6" s="366" t="s">
        <v>248</v>
      </c>
      <c r="F6" s="366"/>
      <c r="H6" s="120"/>
    </row>
    <row r="7" spans="2:8">
      <c r="B7" s="148" t="s">
        <v>223</v>
      </c>
      <c r="C7" s="338">
        <f>BS!G31</f>
        <v>285396383</v>
      </c>
      <c r="D7" t="str">
        <f>Reporting_currency</f>
        <v>CNY</v>
      </c>
      <c r="E7" s="366"/>
      <c r="F7" s="366"/>
      <c r="H7" s="120"/>
    </row>
    <row r="8" spans="2:8">
      <c r="B8" s="148" t="s">
        <v>224</v>
      </c>
      <c r="C8" s="338">
        <f>BS!D66</f>
        <v>12817095936.898571</v>
      </c>
      <c r="D8" t="str">
        <f>Reporting_currency</f>
        <v>CNY</v>
      </c>
      <c r="E8" s="366"/>
      <c r="F8" s="366"/>
      <c r="H8" s="120"/>
    </row>
    <row r="9" spans="2:8">
      <c r="B9" s="205" t="s">
        <v>189</v>
      </c>
      <c r="C9" s="348">
        <f>BS!H42</f>
        <v>2755411575.5</v>
      </c>
      <c r="D9" t="str">
        <f>Reporting_currency</f>
        <v>CNY</v>
      </c>
      <c r="E9" s="366"/>
      <c r="F9" s="366"/>
      <c r="H9" s="120"/>
    </row>
    <row r="10" spans="2:8" ht="13.15">
      <c r="B10" s="149" t="s">
        <v>226</v>
      </c>
      <c r="C10" s="347">
        <f>C6-C7+C8+C9</f>
        <v>53665034022.206253</v>
      </c>
      <c r="D10" t="str">
        <f>Reporting_currency</f>
        <v>CNY</v>
      </c>
      <c r="H10" s="120"/>
    </row>
    <row r="11" spans="2:8" ht="13.15" thickBot="1">
      <c r="B11" s="207" t="s">
        <v>165</v>
      </c>
      <c r="C11" s="208">
        <f>Exchange_Rate</f>
        <v>1.0933657000000001</v>
      </c>
      <c r="D11" t="str">
        <f>Thesis!C15</f>
        <v>CNY/HKD</v>
      </c>
      <c r="H11" s="120"/>
    </row>
    <row r="12" spans="2:8" ht="13.5" thickTop="1">
      <c r="B12" s="149" t="s">
        <v>102</v>
      </c>
      <c r="C12" s="111">
        <f>(C10*scaling_factor)/Common_Shares*Exchange_Rate</f>
        <v>43.011028911184745</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6.1165848114484E-2</v>
      </c>
      <c r="H16" s="120"/>
    </row>
    <row r="17" spans="2:17" ht="13.35" customHeight="1">
      <c r="B17" s="118" t="s">
        <v>133</v>
      </c>
      <c r="C17" s="162">
        <f>Scenarios!C64</f>
        <v>30</v>
      </c>
      <c r="H17" s="120"/>
    </row>
    <row r="18" spans="2:17" ht="13.35" customHeight="1">
      <c r="B18" s="153" t="s">
        <v>106</v>
      </c>
      <c r="C18" s="140">
        <f>(F52-C7+C8+C9)*Exchange_Rate/Common_Shares*scaling_factor</f>
        <v>72.955823480826908</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3054400582.1563897</v>
      </c>
      <c r="D21" s="138">
        <f>IF($C$17&lt;B21,0,DCF!$C$16)</f>
        <v>6.1165848114484E-2</v>
      </c>
      <c r="E21" s="124">
        <f t="shared" ref="E21:E50" si="0">IF($C$17&lt;B21,0,1/(1+Equity_Cost)^B21)</f>
        <v>0.93023255813953487</v>
      </c>
      <c r="F21" s="125">
        <f t="shared" ref="F21:F51" si="1">C21*E21</f>
        <v>2841302867.1222229</v>
      </c>
      <c r="H21" s="120"/>
    </row>
    <row r="22" spans="2:17">
      <c r="B22" s="122">
        <v>2</v>
      </c>
      <c r="C22" s="123">
        <f t="shared" ref="C22:C50" si="2">IF(ROW()-ROW($C$21)&lt;$C$17, $C$21*(1+D22)^(ROW()-ROW($C$21)), 0)</f>
        <v>3241225584.2453585</v>
      </c>
      <c r="D22" s="138">
        <f>IF($C$17&lt;B22,0,DCF!$C$16)</f>
        <v>6.1165848114484E-2</v>
      </c>
      <c r="E22" s="124">
        <f t="shared" si="0"/>
        <v>0.86533261222282321</v>
      </c>
      <c r="F22" s="125">
        <f t="shared" si="1"/>
        <v>2804738201.6184826</v>
      </c>
      <c r="H22" s="120"/>
    </row>
    <row r="23" spans="2:17">
      <c r="B23" s="122">
        <v>3</v>
      </c>
      <c r="C23" s="123">
        <f t="shared" si="2"/>
        <v>3439477896.0360894</v>
      </c>
      <c r="D23" s="138">
        <f>IF($C$17&lt;B23,0,DCF!$C$16)</f>
        <v>6.1165848114484E-2</v>
      </c>
      <c r="E23" s="124">
        <f t="shared" si="0"/>
        <v>0.80496056950960304</v>
      </c>
      <c r="F23" s="125">
        <f t="shared" si="1"/>
        <v>2768644086.0089016</v>
      </c>
      <c r="G23" s="338"/>
      <c r="H23" s="339"/>
      <c r="I23" s="338"/>
      <c r="J23" s="338"/>
      <c r="K23" s="338"/>
      <c r="L23" s="338"/>
      <c r="M23" s="338"/>
      <c r="N23" s="338"/>
      <c r="O23" s="338"/>
      <c r="P23" s="338"/>
      <c r="Q23" s="338"/>
    </row>
    <row r="24" spans="2:17">
      <c r="B24" s="122">
        <v>4</v>
      </c>
      <c r="C24" s="123">
        <f t="shared" si="2"/>
        <v>3649856478.6181574</v>
      </c>
      <c r="D24" s="138">
        <f>IF($C$17&lt;B24,0,DCF!$C$16)</f>
        <v>6.1165848114484E-2</v>
      </c>
      <c r="E24" s="124">
        <f t="shared" si="0"/>
        <v>0.7488005297763749</v>
      </c>
      <c r="F24" s="125">
        <f t="shared" si="1"/>
        <v>2733014464.7970104</v>
      </c>
      <c r="G24" s="338"/>
      <c r="H24" s="339"/>
      <c r="I24" s="338"/>
      <c r="J24" s="338"/>
      <c r="K24" s="338"/>
      <c r="L24" s="338"/>
      <c r="M24" s="338"/>
      <c r="N24" s="338"/>
      <c r="O24" s="338"/>
      <c r="P24" s="338"/>
      <c r="Q24" s="338"/>
    </row>
    <row r="25" spans="2:17">
      <c r="B25" s="122">
        <v>5</v>
      </c>
      <c r="C25" s="123">
        <f t="shared" si="2"/>
        <v>3873103045.6289806</v>
      </c>
      <c r="D25" s="138">
        <f>IF($C$17&lt;B25,0,DCF!$C$16)</f>
        <v>6.1165848114484E-2</v>
      </c>
      <c r="E25" s="124">
        <f t="shared" si="0"/>
        <v>0.69655863235011617</v>
      </c>
      <c r="F25" s="125">
        <f t="shared" si="1"/>
        <v>2697843360.4143925</v>
      </c>
      <c r="G25" s="338"/>
      <c r="H25" s="339"/>
      <c r="I25" s="338"/>
      <c r="J25" s="338"/>
      <c r="K25" s="338"/>
      <c r="L25" s="338"/>
      <c r="M25" s="338"/>
      <c r="N25" s="338"/>
      <c r="O25" s="338"/>
      <c r="P25" s="338"/>
      <c r="Q25" s="338"/>
    </row>
    <row r="26" spans="2:17">
      <c r="B26" s="122">
        <v>6</v>
      </c>
      <c r="C26" s="123">
        <f t="shared" si="2"/>
        <v>4110004678.2496676</v>
      </c>
      <c r="D26" s="138">
        <f>IF($C$17&lt;B26,0,DCF!$C$16)</f>
        <v>6.1165848114484E-2</v>
      </c>
      <c r="E26" s="124">
        <f t="shared" si="0"/>
        <v>0.64796151846522443</v>
      </c>
      <c r="F26" s="125">
        <f t="shared" si="1"/>
        <v>2663124872.2178307</v>
      </c>
      <c r="H26" s="120"/>
    </row>
    <row r="27" spans="2:17">
      <c r="B27" s="122">
        <v>7</v>
      </c>
      <c r="C27" s="123">
        <f t="shared" si="2"/>
        <v>4361396600.1493044</v>
      </c>
      <c r="D27" s="138">
        <f>IF($C$17&lt;B27,0,DCF!$C$16)</f>
        <v>6.1165848114484E-2</v>
      </c>
      <c r="E27" s="124">
        <f t="shared" si="0"/>
        <v>0.60275490089788319</v>
      </c>
      <c r="F27" s="125">
        <f t="shared" si="1"/>
        <v>2628853175.4993587</v>
      </c>
      <c r="H27" s="120"/>
    </row>
    <row r="28" spans="2:17">
      <c r="B28" s="122">
        <v>8</v>
      </c>
      <c r="C28" s="123">
        <f t="shared" si="2"/>
        <v>4628165122.1610632</v>
      </c>
      <c r="D28" s="138">
        <f>IF($C$17&lt;B28,0,DCF!$C$16)</f>
        <v>6.1165848114484E-2</v>
      </c>
      <c r="E28" s="124">
        <f t="shared" si="0"/>
        <v>0.56070223339337966</v>
      </c>
      <c r="F28" s="125">
        <f t="shared" si="1"/>
        <v>2595022520.5090518</v>
      </c>
      <c r="H28" s="120"/>
    </row>
    <row r="29" spans="2:17">
      <c r="B29" s="122">
        <v>9</v>
      </c>
      <c r="C29" s="123">
        <f t="shared" si="2"/>
        <v>4911250767.0719194</v>
      </c>
      <c r="D29" s="138">
        <f>IF($C$17&lt;B29,0,DCF!$C$16)</f>
        <v>6.1165848114484E-2</v>
      </c>
      <c r="E29" s="124">
        <f t="shared" si="0"/>
        <v>0.52158347292407414</v>
      </c>
      <c r="F29" s="125">
        <f t="shared" si="1"/>
        <v>2561627231.4903951</v>
      </c>
      <c r="H29" s="120"/>
    </row>
    <row r="30" spans="2:17">
      <c r="B30" s="122">
        <v>10</v>
      </c>
      <c r="C30" s="123">
        <f t="shared" si="2"/>
        <v>5211651585.5427828</v>
      </c>
      <c r="D30" s="138">
        <f>IF($C$17&lt;B30,0,DCF!$C$16)</f>
        <v>6.1165848114484E-2</v>
      </c>
      <c r="E30" s="124">
        <f t="shared" si="0"/>
        <v>0.48519392830146441</v>
      </c>
      <c r="F30" s="125">
        <f t="shared" si="1"/>
        <v>2528661705.7280583</v>
      </c>
      <c r="H30" s="120"/>
    </row>
    <row r="31" spans="2:17">
      <c r="B31" s="122">
        <v>11</v>
      </c>
      <c r="C31" s="123">
        <f t="shared" si="2"/>
        <v>5530426674.8497009</v>
      </c>
      <c r="D31" s="138">
        <f>IF($C$17&lt;B31,0,DCF!$C$16)</f>
        <v>6.1165848114484E-2</v>
      </c>
      <c r="E31" s="124">
        <f t="shared" si="0"/>
        <v>0.45134318911764126</v>
      </c>
      <c r="F31" s="125">
        <f t="shared" si="1"/>
        <v>2496120412.6079364</v>
      </c>
      <c r="H31" s="120"/>
    </row>
    <row r="32" spans="2:17">
      <c r="B32" s="122">
        <v>12</v>
      </c>
      <c r="C32" s="123">
        <f t="shared" si="2"/>
        <v>5868699912.8518486</v>
      </c>
      <c r="D32" s="138">
        <f>IF($C$17&lt;B32,0,DCF!$C$16)</f>
        <v>6.1165848114484E-2</v>
      </c>
      <c r="E32" s="124">
        <f t="shared" si="0"/>
        <v>0.41985412941175931</v>
      </c>
      <c r="F32" s="125">
        <f t="shared" si="1"/>
        <v>2463997892.6892805</v>
      </c>
      <c r="H32" s="120"/>
    </row>
    <row r="33" spans="2:17">
      <c r="B33" s="122">
        <v>13</v>
      </c>
      <c r="C33" s="341">
        <f t="shared" si="2"/>
        <v>6227663920.3508291</v>
      </c>
      <c r="D33" s="138">
        <f>IF($C$17&lt;B33,0,DCF!$C$16)</f>
        <v>6.1165848114484E-2</v>
      </c>
      <c r="E33" s="124">
        <f t="shared" si="0"/>
        <v>0.39056198084814819</v>
      </c>
      <c r="F33" s="125">
        <f t="shared" si="1"/>
        <v>2432288756.788764</v>
      </c>
      <c r="G33" s="338"/>
      <c r="H33" s="339"/>
      <c r="I33" s="338"/>
      <c r="J33" s="338"/>
      <c r="K33" s="338"/>
      <c r="L33" s="338"/>
      <c r="M33" s="338"/>
      <c r="N33" s="338"/>
      <c r="O33" s="338"/>
      <c r="P33" s="338"/>
      <c r="Q33" s="338"/>
    </row>
    <row r="34" spans="2:17">
      <c r="B34" s="122">
        <v>14</v>
      </c>
      <c r="C34" s="341">
        <f t="shared" si="2"/>
        <v>6608584265.81106</v>
      </c>
      <c r="D34" s="138">
        <f>IF($C$17&lt;B34,0,DCF!$C$16)</f>
        <v>6.1165848114484E-2</v>
      </c>
      <c r="E34" s="124">
        <f t="shared" si="0"/>
        <v>0.36331347055641694</v>
      </c>
      <c r="F34" s="125">
        <f t="shared" si="1"/>
        <v>2400987685.0763469</v>
      </c>
      <c r="G34" s="338"/>
      <c r="H34" s="339"/>
      <c r="I34" s="338"/>
      <c r="J34" s="338"/>
      <c r="K34" s="338"/>
      <c r="L34" s="338"/>
      <c r="M34" s="338"/>
      <c r="N34" s="338"/>
      <c r="O34" s="338"/>
      <c r="P34" s="338"/>
      <c r="Q34" s="338"/>
    </row>
    <row r="35" spans="2:17">
      <c r="B35" s="122">
        <v>15</v>
      </c>
      <c r="C35" s="341">
        <f t="shared" si="2"/>
        <v>7012803927.2654257</v>
      </c>
      <c r="D35" s="138">
        <f>IF($C$17&lt;B35,0,DCF!$C$16)</f>
        <v>6.1165848114484E-2</v>
      </c>
      <c r="E35" s="124">
        <f t="shared" si="0"/>
        <v>0.33796601912224833</v>
      </c>
      <c r="F35" s="125">
        <f t="shared" si="1"/>
        <v>2370089426.182765</v>
      </c>
      <c r="G35" s="338"/>
      <c r="H35" s="339"/>
      <c r="I35" s="338"/>
      <c r="J35" s="338"/>
      <c r="K35" s="338"/>
      <c r="L35" s="338"/>
      <c r="M35" s="338"/>
      <c r="N35" s="338"/>
      <c r="O35" s="338"/>
      <c r="P35" s="338"/>
      <c r="Q35" s="338"/>
    </row>
    <row r="36" spans="2:17">
      <c r="B36" s="122">
        <v>16</v>
      </c>
      <c r="C36" s="123">
        <f t="shared" si="2"/>
        <v>7441748027.1371984</v>
      </c>
      <c r="D36" s="138">
        <f>IF($C$17&lt;B36,0,DCF!$C$16)</f>
        <v>6.1165848114484E-2</v>
      </c>
      <c r="E36" s="124">
        <f t="shared" si="0"/>
        <v>0.31438699453232405</v>
      </c>
      <c r="F36" s="125">
        <f t="shared" si="1"/>
        <v>2339588796.3185158</v>
      </c>
      <c r="H36" s="120"/>
    </row>
    <row r="37" spans="2:17">
      <c r="B37" s="122">
        <v>17</v>
      </c>
      <c r="C37" s="123">
        <f t="shared" si="2"/>
        <v>7896928856.6713333</v>
      </c>
      <c r="D37" s="138">
        <f>IF($C$17&lt;B37,0,DCF!$C$16)</f>
        <v>6.1165848114484E-2</v>
      </c>
      <c r="E37" s="124">
        <f t="shared" si="0"/>
        <v>0.29245301816960378</v>
      </c>
      <c r="F37" s="125">
        <f t="shared" si="1"/>
        <v>2309480678.40417</v>
      </c>
      <c r="H37" s="120"/>
    </row>
    <row r="38" spans="2:17">
      <c r="B38" s="122">
        <v>18</v>
      </c>
      <c r="C38" s="123">
        <f t="shared" si="2"/>
        <v>8379951207.6893778</v>
      </c>
      <c r="D38" s="138">
        <f>IF($C$17&lt;B38,0,DCF!$C$16)</f>
        <v>6.1165848114484E-2</v>
      </c>
      <c r="E38" s="124">
        <f t="shared" si="0"/>
        <v>0.27204931922753844</v>
      </c>
      <c r="F38" s="125">
        <f t="shared" si="1"/>
        <v>2279760021.211884</v>
      </c>
      <c r="H38" s="120"/>
    </row>
    <row r="39" spans="2:17">
      <c r="B39" s="122">
        <v>19</v>
      </c>
      <c r="C39" s="123">
        <f t="shared" si="2"/>
        <v>8892518030.4656906</v>
      </c>
      <c r="D39" s="138">
        <f>IF($C$17&lt;B39,0,DCF!$C$16)</f>
        <v>6.1165848114484E-2</v>
      </c>
      <c r="E39" s="124">
        <f t="shared" si="0"/>
        <v>0.25306913416515198</v>
      </c>
      <c r="F39" s="125">
        <f t="shared" si="1"/>
        <v>2250421838.5179548</v>
      </c>
      <c r="H39" s="120"/>
    </row>
    <row r="40" spans="2:17">
      <c r="B40" s="122">
        <v>20</v>
      </c>
      <c r="C40" s="123">
        <f t="shared" si="2"/>
        <v>9436436437.6724644</v>
      </c>
      <c r="D40" s="138">
        <f>IF($C$17&lt;B40,0,DCF!$C$16)</f>
        <v>6.1165848114484E-2</v>
      </c>
      <c r="E40" s="124">
        <f t="shared" si="0"/>
        <v>0.23541314806060654</v>
      </c>
      <c r="F40" s="125">
        <f t="shared" si="1"/>
        <v>2221461208.2662902</v>
      </c>
      <c r="H40" s="120"/>
    </row>
    <row r="41" spans="2:17">
      <c r="B41" s="122">
        <v>21</v>
      </c>
      <c r="C41" s="123">
        <f t="shared" si="2"/>
        <v>10013624075.561121</v>
      </c>
      <c r="D41" s="138">
        <f>IF($C$17&lt;B41,0,DCF!$C$16)</f>
        <v>6.1165848114484E-2</v>
      </c>
      <c r="E41" s="124">
        <f t="shared" si="0"/>
        <v>0.21898897494009908</v>
      </c>
      <c r="F41" s="125">
        <f t="shared" si="1"/>
        <v>2192873271.7426271</v>
      </c>
      <c r="H41" s="120"/>
    </row>
    <row r="42" spans="2:17">
      <c r="B42" s="122">
        <v>22</v>
      </c>
      <c r="C42" s="123">
        <f t="shared" si="2"/>
        <v>10626115884.842432</v>
      </c>
      <c r="D42" s="138">
        <f>IF($C$17&lt;B42,0,DCF!$C$16)</f>
        <v>6.1165848114484E-2</v>
      </c>
      <c r="E42" s="124">
        <f t="shared" si="0"/>
        <v>0.20371067436288287</v>
      </c>
      <c r="F42" s="125">
        <f t="shared" si="1"/>
        <v>2164653232.7593937</v>
      </c>
      <c r="H42" s="120"/>
    </row>
    <row r="43" spans="2:17">
      <c r="B43" s="122">
        <v>23</v>
      </c>
      <c r="C43" s="123">
        <f t="shared" si="2"/>
        <v>11276071275.101606</v>
      </c>
      <c r="D43" s="138">
        <f>IF($C$17&lt;B43,0,DCF!$C$16)</f>
        <v>6.1165848114484E-2</v>
      </c>
      <c r="E43" s="124">
        <f t="shared" si="0"/>
        <v>0.18949830173291429</v>
      </c>
      <c r="F43" s="125">
        <f t="shared" si="1"/>
        <v>2136796356.8510518</v>
      </c>
      <c r="H43" s="120"/>
    </row>
    <row r="44" spans="2:17">
      <c r="B44" s="122">
        <v>24</v>
      </c>
      <c r="C44" s="123">
        <f t="shared" si="2"/>
        <v>11965781738.042566</v>
      </c>
      <c r="D44" s="138">
        <f>IF($C$17&lt;B44,0,DCF!$C$16)</f>
        <v>6.1165848114484E-2</v>
      </c>
      <c r="E44" s="124">
        <f t="shared" si="0"/>
        <v>0.17627748998410636</v>
      </c>
      <c r="F44" s="125">
        <f t="shared" si="1"/>
        <v>2109297970.4798012</v>
      </c>
      <c r="H44" s="120"/>
    </row>
    <row r="45" spans="2:17">
      <c r="B45" s="122">
        <v>25</v>
      </c>
      <c r="C45" s="123">
        <f t="shared" si="2"/>
        <v>12697678926.402744</v>
      </c>
      <c r="D45" s="138">
        <f>IF($C$17&lt;B45,0,DCF!$C$16)</f>
        <v>6.1165848114484E-2</v>
      </c>
      <c r="E45" s="124">
        <f t="shared" si="0"/>
        <v>0.16397906045033148</v>
      </c>
      <c r="F45" s="125">
        <f t="shared" si="1"/>
        <v>2082153460.2514956</v>
      </c>
      <c r="H45" s="120"/>
    </row>
    <row r="46" spans="2:17">
      <c r="B46" s="122">
        <v>26</v>
      </c>
      <c r="C46" s="123">
        <f t="shared" si="2"/>
        <v>13474343227.021576</v>
      </c>
      <c r="D46" s="138">
        <f>IF($C$17&lt;B46,0,DCF!$C$16)</f>
        <v>6.1165848114484E-2</v>
      </c>
      <c r="E46" s="124">
        <f t="shared" si="0"/>
        <v>0.15253866088402931</v>
      </c>
      <c r="F46" s="125">
        <f t="shared" si="1"/>
        <v>2055358272.1416614</v>
      </c>
      <c r="H46" s="120"/>
    </row>
    <row r="47" spans="2:17">
      <c r="B47" s="122">
        <v>27</v>
      </c>
      <c r="C47" s="341">
        <f t="shared" si="2"/>
        <v>14298512858.288002</v>
      </c>
      <c r="D47" s="138">
        <f>IF($C$17&lt;B47,0,DCF!$C$16)</f>
        <v>6.1165848114484E-2</v>
      </c>
      <c r="E47" s="124">
        <f t="shared" si="0"/>
        <v>0.14189642872932959</v>
      </c>
      <c r="F47" s="125">
        <f t="shared" si="1"/>
        <v>2028907910.7314661</v>
      </c>
      <c r="G47" s="338"/>
      <c r="H47" s="339"/>
      <c r="I47" s="338"/>
      <c r="J47" s="338"/>
      <c r="K47" s="338"/>
      <c r="L47" s="338"/>
      <c r="M47" s="338"/>
      <c r="N47" s="338"/>
      <c r="O47" s="338"/>
      <c r="P47" s="338"/>
      <c r="Q47" s="338"/>
    </row>
    <row r="48" spans="2:17">
      <c r="B48" s="122">
        <v>28</v>
      </c>
      <c r="C48" s="341">
        <f t="shared" si="2"/>
        <v>15173093524.041039</v>
      </c>
      <c r="D48" s="138">
        <f>IF($C$17&lt;B48,0,DCF!$C$16)</f>
        <v>6.1165848114484E-2</v>
      </c>
      <c r="E48" s="124">
        <f t="shared" si="0"/>
        <v>0.13199667788774846</v>
      </c>
      <c r="F48" s="125">
        <f t="shared" si="1"/>
        <v>2002797938.4535272</v>
      </c>
      <c r="G48" s="338"/>
      <c r="H48" s="339"/>
      <c r="I48" s="338"/>
      <c r="J48" s="338"/>
      <c r="K48" s="338"/>
      <c r="L48" s="338"/>
      <c r="M48" s="338"/>
      <c r="N48" s="338"/>
      <c r="O48" s="338"/>
      <c r="P48" s="338"/>
      <c r="Q48" s="338"/>
    </row>
    <row r="49" spans="1:17">
      <c r="B49" s="122">
        <v>29</v>
      </c>
      <c r="C49" s="341">
        <f t="shared" si="2"/>
        <v>16101168657.959394</v>
      </c>
      <c r="D49" s="138">
        <f>IF($C$17&lt;B49,0,DCF!$C$16)</f>
        <v>6.1165848114484E-2</v>
      </c>
      <c r="E49" s="124">
        <f t="shared" si="0"/>
        <v>0.1227876073374404</v>
      </c>
      <c r="F49" s="125">
        <f t="shared" si="1"/>
        <v>1977023974.8474205</v>
      </c>
      <c r="G49" s="338"/>
      <c r="H49" s="339"/>
      <c r="I49" s="338"/>
      <c r="J49" s="338"/>
      <c r="K49" s="338"/>
      <c r="L49" s="338"/>
      <c r="M49" s="338"/>
      <c r="N49" s="338"/>
      <c r="O49" s="338"/>
      <c r="P49" s="338"/>
      <c r="Q49" s="338"/>
    </row>
    <row r="50" spans="1:17">
      <c r="B50" s="122">
        <v>30</v>
      </c>
      <c r="C50" s="341">
        <f t="shared" si="2"/>
        <v>17086010294.557827</v>
      </c>
      <c r="D50" s="138">
        <f>IF($C$17&lt;B50,0,DCF!$C$16)</f>
        <v>6.1165848114484E-2</v>
      </c>
      <c r="E50" s="124">
        <f t="shared" si="0"/>
        <v>0.11422103008133992</v>
      </c>
      <c r="F50" s="125">
        <f t="shared" si="1"/>
        <v>1951581695.8247731</v>
      </c>
      <c r="G50" s="338"/>
      <c r="H50" s="339"/>
      <c r="I50" s="338"/>
      <c r="J50" s="338"/>
      <c r="K50" s="338"/>
      <c r="L50" s="338"/>
      <c r="M50" s="338"/>
      <c r="N50" s="338"/>
      <c r="O50" s="338"/>
      <c r="P50" s="338"/>
      <c r="Q50" s="338"/>
    </row>
    <row r="51" spans="1:17">
      <c r="B51" s="126" t="s">
        <v>130</v>
      </c>
      <c r="C51" s="123">
        <f>C$21*(1+Terminal_Growth)^$C$17/Equity_Cost</f>
        <v>40725341095.418533</v>
      </c>
      <c r="D51" s="139">
        <f>Terminal_Growth</f>
        <v>0</v>
      </c>
      <c r="E51" s="124">
        <f>1/(1+Equity_Cost)^C17</f>
        <v>0.11422103008133992</v>
      </c>
      <c r="F51" s="125">
        <f t="shared" si="1"/>
        <v>4651690410.3326292</v>
      </c>
      <c r="H51" s="120"/>
    </row>
    <row r="52" spans="1:17">
      <c r="C52" s="114"/>
      <c r="E52" s="127" t="s">
        <v>100</v>
      </c>
      <c r="F52" s="137">
        <f>SUM(F21:F51)</f>
        <v>75740163695.885452</v>
      </c>
      <c r="H52" s="120"/>
    </row>
    <row r="53" spans="1:17">
      <c r="C53" s="114"/>
      <c r="H53" s="120"/>
    </row>
    <row r="54" spans="1:17" ht="13.15">
      <c r="B54" s="119" t="s">
        <v>128</v>
      </c>
      <c r="C54" s="136"/>
      <c r="D54" s="136"/>
      <c r="E54" s="117"/>
      <c r="F54" s="117"/>
      <c r="H54" s="120"/>
    </row>
    <row r="55" spans="1:17" ht="13.15">
      <c r="A55" s="133">
        <f>F52</f>
        <v>75740163695.885452</v>
      </c>
      <c r="B55" s="131">
        <f>C78</f>
        <v>0.02</v>
      </c>
      <c r="C55" s="131">
        <f>C77</f>
        <v>0.04</v>
      </c>
      <c r="D55" s="131">
        <f>C76</f>
        <v>0.06</v>
      </c>
      <c r="E55" s="131">
        <f>C75</f>
        <v>0.08</v>
      </c>
      <c r="F55" s="131">
        <f>C74</f>
        <v>0.1</v>
      </c>
      <c r="H55" s="120"/>
    </row>
    <row r="56" spans="1:17" ht="13.15">
      <c r="A56" s="143">
        <v>5</v>
      </c>
      <c r="B56" s="123">
        <f t="dataTable" ref="B56:F61" dt2D="1" dtr="1" r1="C16" r2="C17"/>
        <v>39594906143.936325</v>
      </c>
      <c r="C56" s="123">
        <v>40847342492.272705</v>
      </c>
      <c r="D56" s="123">
        <v>42136790458.396973</v>
      </c>
      <c r="E56" s="123">
        <v>43464856873.815338</v>
      </c>
      <c r="F56" s="123">
        <v>44833197650.855362</v>
      </c>
      <c r="H56" s="120"/>
    </row>
    <row r="57" spans="1:17" ht="13.15">
      <c r="A57" s="143">
        <v>10</v>
      </c>
      <c r="B57" s="123">
        <v>40801701197.470566</v>
      </c>
      <c r="C57" s="123">
        <v>43466864979.304047</v>
      </c>
      <c r="D57" s="123">
        <v>46402396983.685799</v>
      </c>
      <c r="E57" s="123">
        <v>49640527205.837234</v>
      </c>
      <c r="F57" s="123">
        <v>53217054906.127228</v>
      </c>
      <c r="H57" s="120"/>
    </row>
    <row r="58" spans="1:17" ht="13.15">
      <c r="A58" s="143">
        <v>15</v>
      </c>
      <c r="B58" s="123">
        <v>42329645058.668526</v>
      </c>
      <c r="C58" s="341">
        <v>46959952269.03067</v>
      </c>
      <c r="D58" s="123">
        <v>52404334126.032654</v>
      </c>
      <c r="E58" s="123">
        <v>58825152678.061241</v>
      </c>
      <c r="F58" s="123">
        <v>66416710762.118515</v>
      </c>
      <c r="G58" s="338"/>
      <c r="H58" s="339"/>
      <c r="I58" s="338"/>
      <c r="J58" s="338"/>
      <c r="K58" s="338"/>
      <c r="L58" s="338"/>
      <c r="M58" s="338"/>
      <c r="N58" s="338"/>
      <c r="O58" s="338"/>
      <c r="P58" s="338"/>
      <c r="Q58" s="338"/>
    </row>
    <row r="59" spans="1:17" ht="13.15">
      <c r="A59" s="144">
        <v>20</v>
      </c>
      <c r="B59" s="123">
        <v>43922551461.668556</v>
      </c>
      <c r="C59" s="341">
        <v>50807042212.24781</v>
      </c>
      <c r="D59" s="123">
        <v>59410102703.117447</v>
      </c>
      <c r="E59" s="123">
        <v>70220309110.336319</v>
      </c>
      <c r="F59" s="123">
        <v>83867385054.038452</v>
      </c>
      <c r="G59" s="338"/>
      <c r="H59" s="339"/>
      <c r="I59" s="338"/>
      <c r="J59" s="338"/>
      <c r="K59" s="338"/>
      <c r="L59" s="338"/>
      <c r="M59" s="338"/>
      <c r="N59" s="338"/>
      <c r="O59" s="338"/>
      <c r="P59" s="338"/>
      <c r="Q59" s="338"/>
    </row>
    <row r="60" spans="1:17" ht="13.15">
      <c r="A60" s="144">
        <v>25</v>
      </c>
      <c r="B60" s="123">
        <v>45438630717.1464</v>
      </c>
      <c r="C60" s="341">
        <v>54685046106.414658</v>
      </c>
      <c r="D60" s="123">
        <v>66923425188.358917</v>
      </c>
      <c r="E60" s="123">
        <v>83272537677.020203</v>
      </c>
      <c r="F60" s="123">
        <v>105284886050.73334</v>
      </c>
      <c r="G60" s="338"/>
      <c r="H60" s="339"/>
      <c r="I60" s="338"/>
      <c r="J60" s="338"/>
      <c r="K60" s="338"/>
      <c r="L60" s="338"/>
      <c r="M60" s="338"/>
      <c r="N60" s="338"/>
      <c r="O60" s="338"/>
      <c r="P60" s="338"/>
      <c r="Q60" s="338"/>
    </row>
    <row r="61" spans="1:17" ht="13.15">
      <c r="A61" s="144">
        <v>30</v>
      </c>
      <c r="B61" s="123">
        <v>46807310904.601089</v>
      </c>
      <c r="C61" s="341">
        <v>58401809801.337379</v>
      </c>
      <c r="D61" s="123">
        <v>74611619742.32196</v>
      </c>
      <c r="E61" s="123">
        <v>97599075437.646622</v>
      </c>
      <c r="F61" s="123">
        <v>130593771787.35254</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0.02</v>
      </c>
      <c r="C64" s="132">
        <f>C55</f>
        <v>0.04</v>
      </c>
      <c r="D64" s="132">
        <f>D55</f>
        <v>0.06</v>
      </c>
      <c r="E64" s="132">
        <f>E55</f>
        <v>0.08</v>
      </c>
      <c r="F64" s="132">
        <f>F55</f>
        <v>0.1</v>
      </c>
      <c r="H64" s="120"/>
    </row>
    <row r="65" spans="1:8" ht="13.15">
      <c r="A65" s="143">
        <v>0</v>
      </c>
      <c r="B65" s="124">
        <f>C12</f>
        <v>43.011028911184745</v>
      </c>
      <c r="C65" s="124">
        <f>C12</f>
        <v>43.011028911184745</v>
      </c>
      <c r="D65" s="124">
        <f>C12</f>
        <v>43.011028911184745</v>
      </c>
      <c r="E65" s="141">
        <f>C12</f>
        <v>43.011028911184745</v>
      </c>
      <c r="F65" s="124">
        <f>C12</f>
        <v>43.011028911184745</v>
      </c>
      <c r="H65" s="120"/>
    </row>
    <row r="66" spans="1:8" ht="13.15">
      <c r="A66" s="143">
        <f t="shared" ref="A66:A71" si="3">A56</f>
        <v>5</v>
      </c>
      <c r="B66" s="124">
        <f t="shared" ref="B66:F71" si="4">(B56-$C$7+$C$8+$C$9)/Common_Shares*$C$3*Exchange_Rate</f>
        <v>43.98640706480824</v>
      </c>
      <c r="C66" s="124">
        <f t="shared" si="4"/>
        <v>44.990199887625131</v>
      </c>
      <c r="D66" s="124">
        <f t="shared" si="4"/>
        <v>46.023656490438235</v>
      </c>
      <c r="E66" s="124">
        <f t="shared" si="4"/>
        <v>47.088064703911023</v>
      </c>
      <c r="F66" s="124">
        <f t="shared" si="4"/>
        <v>48.184751695617173</v>
      </c>
      <c r="H66" s="120"/>
    </row>
    <row r="67" spans="1:8" ht="13.15">
      <c r="A67" s="143">
        <f t="shared" si="3"/>
        <v>10</v>
      </c>
      <c r="B67" s="124">
        <f t="shared" si="4"/>
        <v>44.953619662045355</v>
      </c>
      <c r="C67" s="124">
        <f t="shared" si="4"/>
        <v>47.089674144486352</v>
      </c>
      <c r="D67" s="124">
        <f t="shared" si="4"/>
        <v>49.442421221063725</v>
      </c>
      <c r="E67" s="124">
        <f t="shared" si="4"/>
        <v>52.037692334569506</v>
      </c>
      <c r="F67" s="124">
        <f t="shared" si="4"/>
        <v>54.904179594321768</v>
      </c>
      <c r="H67" s="120"/>
    </row>
    <row r="68" spans="1:8" ht="13.15">
      <c r="A68" s="143">
        <f t="shared" si="3"/>
        <v>15</v>
      </c>
      <c r="B68" s="124">
        <f t="shared" si="4"/>
        <v>46.178224076932302</v>
      </c>
      <c r="C68" s="124">
        <f t="shared" si="4"/>
        <v>49.889286240987673</v>
      </c>
      <c r="D68" s="124">
        <f t="shared" si="4"/>
        <v>54.2528065428316</v>
      </c>
      <c r="E68" s="124">
        <f t="shared" si="4"/>
        <v>59.39891363857101</v>
      </c>
      <c r="F68" s="124">
        <f t="shared" si="4"/>
        <v>65.483335836071419</v>
      </c>
      <c r="H68" s="120"/>
    </row>
    <row r="69" spans="1:8" ht="13.15">
      <c r="A69" s="144">
        <f t="shared" si="3"/>
        <v>20</v>
      </c>
      <c r="B69" s="124">
        <f t="shared" si="4"/>
        <v>47.454894158309607</v>
      </c>
      <c r="C69" s="124">
        <f t="shared" si="4"/>
        <v>52.972621596801872</v>
      </c>
      <c r="D69" s="124">
        <f t="shared" si="4"/>
        <v>59.867734778773404</v>
      </c>
      <c r="E69" s="124">
        <f t="shared" si="4"/>
        <v>68.531813890777116</v>
      </c>
      <c r="F69" s="124">
        <f t="shared" si="4"/>
        <v>79.469564861452355</v>
      </c>
      <c r="H69" s="120"/>
    </row>
    <row r="70" spans="1:8" ht="13.15">
      <c r="A70" s="144">
        <f t="shared" si="3"/>
        <v>25</v>
      </c>
      <c r="B70" s="124">
        <f t="shared" si="4"/>
        <v>48.669989422425573</v>
      </c>
      <c r="C70" s="124">
        <f t="shared" si="4"/>
        <v>56.080733622607681</v>
      </c>
      <c r="D70" s="124">
        <f t="shared" si="4"/>
        <v>65.889453324559767</v>
      </c>
      <c r="E70" s="124">
        <f t="shared" si="4"/>
        <v>78.99281126953089</v>
      </c>
      <c r="F70" s="124">
        <f t="shared" si="4"/>
        <v>96.635094919497035</v>
      </c>
    </row>
    <row r="71" spans="1:8" ht="13.15">
      <c r="A71" s="144">
        <f t="shared" si="3"/>
        <v>30</v>
      </c>
      <c r="B71" s="124">
        <f t="shared" si="4"/>
        <v>49.766948442118363</v>
      </c>
      <c r="C71" s="124">
        <f t="shared" si="4"/>
        <v>59.059616123123995</v>
      </c>
      <c r="D71" s="124">
        <f t="shared" si="4"/>
        <v>72.051326959047458</v>
      </c>
      <c r="E71" s="124">
        <f t="shared" si="4"/>
        <v>90.475131947171818</v>
      </c>
      <c r="F71" s="124">
        <f t="shared" si="4"/>
        <v>116.9194613782448</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30</v>
      </c>
      <c r="E74" s="135">
        <f>INDEX(B$65:F$71, MATCH(D74, A$65:A$71, 0), MATCH(C74, B$64:F$64, 0))</f>
        <v>116.9194613782448</v>
      </c>
      <c r="F74" s="142">
        <f>Scenarios!C58</f>
        <v>0.05</v>
      </c>
    </row>
    <row r="75" spans="1:8">
      <c r="B75" s="127" t="str">
        <f>Scenarios!B36</f>
        <v>Optimistic</v>
      </c>
      <c r="C75" s="142">
        <f>Scenarios!C38</f>
        <v>0.08</v>
      </c>
      <c r="D75" s="145">
        <f>Scenarios!C37</f>
        <v>30</v>
      </c>
      <c r="E75" s="135">
        <f>INDEX(B$65:F$71, MATCH(D75, A$65:A$71, 0), MATCH(C75, B$64:F$64, 0))</f>
        <v>90.475131947171818</v>
      </c>
      <c r="F75" s="142">
        <f>Scenarios!C40*(1-F$74-F$78)</f>
        <v>0.18</v>
      </c>
      <c r="H75" s="120"/>
    </row>
    <row r="76" spans="1:8">
      <c r="B76" s="127" t="str">
        <f>Scenarios!B24</f>
        <v>Base</v>
      </c>
      <c r="C76" s="142">
        <f>Scenarios!C26</f>
        <v>0.06</v>
      </c>
      <c r="D76" s="145">
        <f>Scenarios!C25</f>
        <v>30</v>
      </c>
      <c r="E76" s="135">
        <f>INDEX(B$65:F$71, MATCH(D76, A$65:A$71, 0), MATCH(C76, B$64:F$64, 0))</f>
        <v>72.051326959047458</v>
      </c>
      <c r="F76" s="142">
        <f>Scenarios!C28*(1-F$74-F$78)</f>
        <v>0.44999999999999996</v>
      </c>
      <c r="H76" s="120"/>
    </row>
    <row r="77" spans="1:8">
      <c r="B77" s="127" t="str">
        <f>Scenarios!B30</f>
        <v>Pessimistic</v>
      </c>
      <c r="C77" s="142">
        <f>Scenarios!C32</f>
        <v>0.04</v>
      </c>
      <c r="D77" s="145">
        <f>Scenarios!C31</f>
        <v>30</v>
      </c>
      <c r="E77" s="135">
        <f>INDEX(B$65:F$71, MATCH(D77, A$65:A$71, 0), MATCH(C77, B$64:F$64, 0))</f>
        <v>59.059616123123995</v>
      </c>
      <c r="F77" s="142">
        <f>Scenarios!C34*(1-F$74-F$78)</f>
        <v>0.26999999999999996</v>
      </c>
      <c r="H77" s="120"/>
    </row>
    <row r="78" spans="1:8">
      <c r="B78" s="127" t="str">
        <f>Scenarios!B48</f>
        <v>Devil's advocate</v>
      </c>
      <c r="C78" s="142">
        <f>Scenarios!C50</f>
        <v>0.02</v>
      </c>
      <c r="D78" s="145">
        <f>Scenarios!C49</f>
        <v>30</v>
      </c>
      <c r="E78" s="135">
        <f>INDEX(B$65:F$71, MATCH(D78, A$65:A$71, 0), MATCH(C78, B$64:F$64, 0))</f>
        <v>49.766948442118363</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2470453975.4996886</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32939386339.99585</v>
      </c>
      <c r="D6" t="str">
        <f>Reporting_currency</f>
        <v>CNY</v>
      </c>
      <c r="E6" s="366"/>
      <c r="F6" s="366"/>
      <c r="H6" s="120"/>
    </row>
    <row r="7" spans="2:8" ht="13.15">
      <c r="B7" s="149" t="s">
        <v>441</v>
      </c>
      <c r="C7" s="111">
        <f>(C6*scaling_factor)/Common_Shares*Exchange_Rate</f>
        <v>26.400000000000002</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6.1165848114484E-2</v>
      </c>
      <c r="H11" s="120"/>
    </row>
    <row r="12" spans="2:8" ht="13.35" customHeight="1">
      <c r="B12" s="118" t="s">
        <v>133</v>
      </c>
      <c r="C12" s="162">
        <f>Scenarios!C64</f>
        <v>30</v>
      </c>
      <c r="H12" s="120"/>
    </row>
    <row r="13" spans="2:8" ht="13.35" customHeight="1">
      <c r="B13" s="153" t="s">
        <v>106</v>
      </c>
      <c r="C13" s="140">
        <f>F47/Common_Shares*scaling_factor</f>
        <v>47.652232801108561</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2621561388.1389256</v>
      </c>
      <c r="D16" s="138">
        <f>IF($C$12&lt;B16,0,DDM!$C$11)</f>
        <v>6.1165848114484E-2</v>
      </c>
      <c r="E16" s="124">
        <f t="shared" ref="E16:E45" si="0">IF($C$12&lt;B16,0,1/(1+Equity_Cost)^B16)</f>
        <v>0.93023255813953487</v>
      </c>
      <c r="F16" s="125">
        <f t="shared" ref="F16:F46" si="1">C16*E16</f>
        <v>2438661756.4083028</v>
      </c>
      <c r="H16" s="120"/>
    </row>
    <row r="17" spans="2:8">
      <c r="B17" s="122">
        <v>2</v>
      </c>
      <c r="C17" s="123">
        <f t="shared" ref="C17:C45" si="2">IF(ROW()-ROW($C$16)&lt;$C$12, $C$16*(1+D17)^(ROW()-ROW($C$16)), 0)</f>
        <v>2781911413.8286266</v>
      </c>
      <c r="D17" s="138">
        <f>IF($C$12&lt;B17,0,DDM!$C$11)</f>
        <v>6.1165848114484E-2</v>
      </c>
      <c r="E17" s="124">
        <f t="shared" si="0"/>
        <v>0.86533261222282321</v>
      </c>
      <c r="F17" s="125">
        <f t="shared" si="1"/>
        <v>2407278670.7008128</v>
      </c>
      <c r="H17" s="120"/>
    </row>
    <row r="18" spans="2:8">
      <c r="B18" s="122">
        <v>3</v>
      </c>
      <c r="C18" s="123">
        <f t="shared" si="2"/>
        <v>2952069384.8348174</v>
      </c>
      <c r="D18" s="138">
        <f>IF($C$12&lt;B18,0,DDM!$C$11)</f>
        <v>6.1165848114484E-2</v>
      </c>
      <c r="E18" s="124">
        <f t="shared" si="0"/>
        <v>0.80496056950960304</v>
      </c>
      <c r="F18" s="125">
        <f t="shared" si="1"/>
        <v>2376299453.248498</v>
      </c>
      <c r="H18" s="120"/>
    </row>
    <row r="19" spans="2:8">
      <c r="B19" s="122">
        <v>4</v>
      </c>
      <c r="C19" s="123">
        <f t="shared" si="2"/>
        <v>3132635212.4510417</v>
      </c>
      <c r="D19" s="138">
        <f>IF($C$12&lt;B19,0,DDM!$C$11)</f>
        <v>6.1165848114484E-2</v>
      </c>
      <c r="E19" s="124">
        <f t="shared" si="0"/>
        <v>0.7488005297763749</v>
      </c>
      <c r="F19" s="125">
        <f t="shared" si="1"/>
        <v>2345718906.6794667</v>
      </c>
      <c r="H19" s="120"/>
    </row>
    <row r="20" spans="2:8">
      <c r="B20" s="122">
        <v>5</v>
      </c>
      <c r="C20" s="123">
        <f t="shared" si="2"/>
        <v>3324245502.053906</v>
      </c>
      <c r="D20" s="138">
        <f>IF($C$12&lt;B20,0,DDM!$C$11)</f>
        <v>6.1165848114484E-2</v>
      </c>
      <c r="E20" s="124">
        <f t="shared" si="0"/>
        <v>0.69655863235011617</v>
      </c>
      <c r="F20" s="125">
        <f t="shared" si="1"/>
        <v>2315531900.5066938</v>
      </c>
      <c r="H20" s="120"/>
    </row>
    <row r="21" spans="2:8">
      <c r="B21" s="122">
        <v>6</v>
      </c>
      <c r="C21" s="123">
        <f t="shared" si="2"/>
        <v>3527575797.5277915</v>
      </c>
      <c r="D21" s="138">
        <f>IF($C$12&lt;B21,0,DDM!$C$11)</f>
        <v>6.1165848114484E-2</v>
      </c>
      <c r="E21" s="124">
        <f t="shared" si="0"/>
        <v>0.64796151846522443</v>
      </c>
      <c r="F21" s="125">
        <f t="shared" si="1"/>
        <v>2285733370.267283</v>
      </c>
      <c r="H21" s="120"/>
    </row>
    <row r="22" spans="2:8">
      <c r="B22" s="122">
        <v>7</v>
      </c>
      <c r="C22" s="123">
        <f t="shared" si="2"/>
        <v>3743342962.9717054</v>
      </c>
      <c r="D22" s="138">
        <f>IF($C$12&lt;B22,0,DDM!$C$11)</f>
        <v>6.1165848114484E-2</v>
      </c>
      <c r="E22" s="124">
        <f t="shared" si="0"/>
        <v>0.60275490089788319</v>
      </c>
      <c r="F22" s="125">
        <f t="shared" si="1"/>
        <v>2256318316.6727986</v>
      </c>
      <c r="H22" s="120"/>
    </row>
    <row r="23" spans="2:8">
      <c r="B23" s="122">
        <v>8</v>
      </c>
      <c r="C23" s="123">
        <f t="shared" si="2"/>
        <v>3972307710.0852547</v>
      </c>
      <c r="D23" s="138">
        <f>IF($C$12&lt;B23,0,DDM!$C$11)</f>
        <v>6.1165848114484E-2</v>
      </c>
      <c r="E23" s="124">
        <f t="shared" si="0"/>
        <v>0.56070223339337966</v>
      </c>
      <c r="F23" s="125">
        <f t="shared" si="1"/>
        <v>2227281804.7705441</v>
      </c>
      <c r="H23" s="120"/>
    </row>
    <row r="24" spans="2:8">
      <c r="B24" s="122">
        <v>9</v>
      </c>
      <c r="C24" s="123">
        <f t="shared" si="2"/>
        <v>4215277280.1443229</v>
      </c>
      <c r="D24" s="138">
        <f>IF($C$12&lt;B24,0,DDM!$C$11)</f>
        <v>6.1165848114484E-2</v>
      </c>
      <c r="E24" s="124">
        <f t="shared" si="0"/>
        <v>0.52158347292407414</v>
      </c>
      <c r="F24" s="125">
        <f t="shared" si="1"/>
        <v>2198618963.1156211</v>
      </c>
      <c r="H24" s="120"/>
    </row>
    <row r="25" spans="2:8">
      <c r="B25" s="122">
        <v>10</v>
      </c>
      <c r="C25" s="123">
        <f t="shared" si="2"/>
        <v>4473108290.0220652</v>
      </c>
      <c r="D25" s="138">
        <f>IF($C$12&lt;B25,0,DDM!$C$11)</f>
        <v>6.1165848114484E-2</v>
      </c>
      <c r="E25" s="124">
        <f t="shared" si="0"/>
        <v>0.48519392830146441</v>
      </c>
      <c r="F25" s="125">
        <f t="shared" si="1"/>
        <v>2170324982.9536519</v>
      </c>
      <c r="H25" s="120"/>
    </row>
    <row r="26" spans="2:8">
      <c r="B26" s="122">
        <v>11</v>
      </c>
      <c r="C26" s="123">
        <f t="shared" si="2"/>
        <v>4746709752.2891932</v>
      </c>
      <c r="D26" s="138">
        <f>IF($C$12&lt;B26,0,DDM!$C$11)</f>
        <v>6.1165848114484E-2</v>
      </c>
      <c r="E26" s="124">
        <f t="shared" si="0"/>
        <v>0.45134318911764126</v>
      </c>
      <c r="F26" s="125">
        <f t="shared" si="1"/>
        <v>2142395117.4140134</v>
      </c>
      <c r="H26" s="120"/>
    </row>
    <row r="27" spans="2:8">
      <c r="B27" s="122">
        <v>12</v>
      </c>
      <c r="C27" s="123">
        <f t="shared" si="2"/>
        <v>5037046280.041254</v>
      </c>
      <c r="D27" s="138">
        <f>IF($C$12&lt;B27,0,DDM!$C$11)</f>
        <v>6.1165848114484E-2</v>
      </c>
      <c r="E27" s="124">
        <f t="shared" si="0"/>
        <v>0.41985412941175931</v>
      </c>
      <c r="F27" s="125">
        <f t="shared" si="1"/>
        <v>2114824680.7134616</v>
      </c>
      <c r="H27" s="120"/>
    </row>
    <row r="28" spans="2:8">
      <c r="B28" s="122">
        <v>13</v>
      </c>
      <c r="C28" s="123">
        <f t="shared" si="2"/>
        <v>5345141487.7518826</v>
      </c>
      <c r="D28" s="138">
        <f>IF($C$12&lt;B28,0,DDM!$C$11)</f>
        <v>6.1165848114484E-2</v>
      </c>
      <c r="E28" s="124">
        <f t="shared" si="0"/>
        <v>0.39056198084814819</v>
      </c>
      <c r="F28" s="125">
        <f t="shared" si="1"/>
        <v>2087609047.3699932</v>
      </c>
      <c r="H28" s="120"/>
    </row>
    <row r="29" spans="2:8">
      <c r="B29" s="122">
        <v>14</v>
      </c>
      <c r="C29" s="123">
        <f t="shared" si="2"/>
        <v>5672081600.1421413</v>
      </c>
      <c r="D29" s="138">
        <f>IF($C$12&lt;B29,0,DDM!$C$11)</f>
        <v>6.1165848114484E-2</v>
      </c>
      <c r="E29" s="124">
        <f t="shared" si="0"/>
        <v>0.36331347055641694</v>
      </c>
      <c r="F29" s="125">
        <f t="shared" si="1"/>
        <v>2060743651.4268363</v>
      </c>
      <c r="H29" s="120"/>
    </row>
    <row r="30" spans="2:8">
      <c r="B30" s="122">
        <v>15</v>
      </c>
      <c r="C30" s="123">
        <f t="shared" si="2"/>
        <v>6019019281.7893934</v>
      </c>
      <c r="D30" s="138">
        <f>IF($C$12&lt;B30,0,DDM!$C$11)</f>
        <v>6.1165848114484E-2</v>
      </c>
      <c r="E30" s="124">
        <f t="shared" si="0"/>
        <v>0.33796601912224833</v>
      </c>
      <c r="F30" s="125">
        <f t="shared" si="1"/>
        <v>2034223985.6864154</v>
      </c>
      <c r="H30" s="120"/>
    </row>
    <row r="31" spans="2:8">
      <c r="B31" s="122">
        <v>16</v>
      </c>
      <c r="C31" s="123">
        <f t="shared" si="2"/>
        <v>6387177700.9774733</v>
      </c>
      <c r="D31" s="138">
        <f>IF($C$12&lt;B31,0,DDM!$C$11)</f>
        <v>6.1165848114484E-2</v>
      </c>
      <c r="E31" s="124">
        <f t="shared" si="0"/>
        <v>0.31438699453232405</v>
      </c>
      <c r="F31" s="125">
        <f t="shared" si="1"/>
        <v>2008045600.9541869</v>
      </c>
      <c r="H31" s="120"/>
    </row>
    <row r="32" spans="2:8">
      <c r="B32" s="122">
        <v>17</v>
      </c>
      <c r="C32" s="123">
        <f t="shared" si="2"/>
        <v>6777854842.1156807</v>
      </c>
      <c r="D32" s="138">
        <f>IF($C$12&lt;B32,0,DDM!$C$11)</f>
        <v>6.1165848114484E-2</v>
      </c>
      <c r="E32" s="124">
        <f t="shared" si="0"/>
        <v>0.29245301816960378</v>
      </c>
      <c r="F32" s="125">
        <f t="shared" si="1"/>
        <v>1982204105.2921941</v>
      </c>
      <c r="H32" s="120"/>
    </row>
    <row r="33" spans="2:8">
      <c r="B33" s="122">
        <v>18</v>
      </c>
      <c r="C33" s="123">
        <f t="shared" si="2"/>
        <v>7192428081.9305477</v>
      </c>
      <c r="D33" s="138">
        <f>IF($C$12&lt;B33,0,DDM!$C$11)</f>
        <v>6.1165848114484E-2</v>
      </c>
      <c r="E33" s="124">
        <f t="shared" si="0"/>
        <v>0.27204931922753844</v>
      </c>
      <c r="F33" s="125">
        <f t="shared" si="1"/>
        <v>1956695163.2822356</v>
      </c>
      <c r="H33" s="120"/>
    </row>
    <row r="34" spans="2:8">
      <c r="B34" s="122">
        <v>19</v>
      </c>
      <c r="C34" s="123">
        <f t="shared" si="2"/>
        <v>7632359045.5642595</v>
      </c>
      <c r="D34" s="138">
        <f>IF($C$12&lt;B34,0,DDM!$C$11)</f>
        <v>6.1165848114484E-2</v>
      </c>
      <c r="E34" s="124">
        <f t="shared" si="0"/>
        <v>0.25306913416515198</v>
      </c>
      <c r="F34" s="125">
        <f t="shared" si="1"/>
        <v>1931514495.2985129</v>
      </c>
      <c r="H34" s="120"/>
    </row>
    <row r="35" spans="2:8">
      <c r="B35" s="122">
        <v>20</v>
      </c>
      <c r="C35" s="123">
        <f t="shared" si="2"/>
        <v>8099198759.7004499</v>
      </c>
      <c r="D35" s="138">
        <f>IF($C$12&lt;B35,0,DDM!$C$11)</f>
        <v>6.1165848114484E-2</v>
      </c>
      <c r="E35" s="124">
        <f t="shared" si="0"/>
        <v>0.23541314806060654</v>
      </c>
      <c r="F35" s="125">
        <f t="shared" si="1"/>
        <v>1906657876.7896428</v>
      </c>
      <c r="H35" s="120"/>
    </row>
    <row r="36" spans="2:8">
      <c r="B36" s="122">
        <v>21</v>
      </c>
      <c r="C36" s="123">
        <f t="shared" si="2"/>
        <v>8594593120.8853054</v>
      </c>
      <c r="D36" s="138">
        <f>IF($C$12&lt;B36,0,DDM!$C$11)</f>
        <v>6.1165848114484E-2</v>
      </c>
      <c r="E36" s="124">
        <f t="shared" si="0"/>
        <v>0.21898897494009908</v>
      </c>
      <c r="F36" s="125">
        <f t="shared" si="1"/>
        <v>1882121137.5699</v>
      </c>
      <c r="H36" s="120"/>
    </row>
    <row r="37" spans="2:8">
      <c r="B37" s="122">
        <v>22</v>
      </c>
      <c r="C37" s="123">
        <f t="shared" si="2"/>
        <v>9120288698.323164</v>
      </c>
      <c r="D37" s="138">
        <f>IF($C$12&lt;B37,0,DDM!$C$11)</f>
        <v>6.1165848114484E-2</v>
      </c>
      <c r="E37" s="124">
        <f t="shared" si="0"/>
        <v>0.20371067436288287</v>
      </c>
      <c r="F37" s="125">
        <f t="shared" si="1"/>
        <v>1857900161.119591</v>
      </c>
      <c r="H37" s="120"/>
    </row>
    <row r="38" spans="2:8">
      <c r="B38" s="122">
        <v>23</v>
      </c>
      <c r="C38" s="123">
        <f t="shared" si="2"/>
        <v>9678138891.6050415</v>
      </c>
      <c r="D38" s="138">
        <f>IF($C$12&lt;B38,0,DDM!$C$11)</f>
        <v>6.1165848114484E-2</v>
      </c>
      <c r="E38" s="124">
        <f t="shared" si="0"/>
        <v>0.18949830173291429</v>
      </c>
      <c r="F38" s="125">
        <f t="shared" si="1"/>
        <v>1833990883.8944249</v>
      </c>
      <c r="H38" s="120"/>
    </row>
    <row r="39" spans="2:8">
      <c r="B39" s="122">
        <v>24</v>
      </c>
      <c r="C39" s="123">
        <f t="shared" si="2"/>
        <v>10270110465.079834</v>
      </c>
      <c r="D39" s="138">
        <f>IF($C$12&lt;B39,0,DDM!$C$11)</f>
        <v>6.1165848114484E-2</v>
      </c>
      <c r="E39" s="124">
        <f t="shared" si="0"/>
        <v>0.17627748998410636</v>
      </c>
      <c r="F39" s="125">
        <f t="shared" si="1"/>
        <v>1810389294.6437764</v>
      </c>
      <c r="H39" s="120"/>
    </row>
    <row r="40" spans="2:8">
      <c r="B40" s="122">
        <v>25</v>
      </c>
      <c r="C40" s="123">
        <f t="shared" si="2"/>
        <v>10898290481.90588</v>
      </c>
      <c r="D40" s="138">
        <f>IF($C$12&lt;B40,0,DDM!$C$11)</f>
        <v>6.1165848114484E-2</v>
      </c>
      <c r="E40" s="124">
        <f t="shared" si="0"/>
        <v>0.16397906045033148</v>
      </c>
      <c r="F40" s="125">
        <f t="shared" si="1"/>
        <v>1787091433.7377164</v>
      </c>
      <c r="H40" s="120"/>
    </row>
    <row r="41" spans="2:8">
      <c r="B41" s="122">
        <v>26</v>
      </c>
      <c r="C41" s="123">
        <f t="shared" si="2"/>
        <v>11564893662.22966</v>
      </c>
      <c r="D41" s="138">
        <f>IF($C$12&lt;B41,0,DDM!$C$11)</f>
        <v>6.1165848114484E-2</v>
      </c>
      <c r="E41" s="124">
        <f t="shared" si="0"/>
        <v>0.15253866088402931</v>
      </c>
      <c r="F41" s="125">
        <f t="shared" si="1"/>
        <v>1764093392.5027099</v>
      </c>
      <c r="H41" s="120"/>
    </row>
    <row r="42" spans="2:8">
      <c r="B42" s="122">
        <v>27</v>
      </c>
      <c r="C42" s="123">
        <f t="shared" si="2"/>
        <v>12272270191.433756</v>
      </c>
      <c r="D42" s="138">
        <f>IF($C$12&lt;B42,0,DDM!$C$11)</f>
        <v>6.1165848114484E-2</v>
      </c>
      <c r="E42" s="124">
        <f t="shared" si="0"/>
        <v>0.14189642872932959</v>
      </c>
      <c r="F42" s="125">
        <f t="shared" si="1"/>
        <v>1741391312.565856</v>
      </c>
      <c r="H42" s="120"/>
    </row>
    <row r="43" spans="2:8">
      <c r="B43" s="122">
        <v>28</v>
      </c>
      <c r="C43" s="123">
        <f t="shared" si="2"/>
        <v>13022914005.982899</v>
      </c>
      <c r="D43" s="138">
        <f>IF($C$12&lt;B43,0,DDM!$C$11)</f>
        <v>6.1165848114484E-2</v>
      </c>
      <c r="E43" s="124">
        <f t="shared" si="0"/>
        <v>0.13199667788774846</v>
      </c>
      <c r="F43" s="125">
        <f t="shared" si="1"/>
        <v>1718981385.2075727</v>
      </c>
      <c r="H43" s="120"/>
    </row>
    <row r="44" spans="2:8">
      <c r="B44" s="122">
        <v>29</v>
      </c>
      <c r="C44" s="123">
        <f t="shared" si="2"/>
        <v>13819471586.080835</v>
      </c>
      <c r="D44" s="138">
        <f>IF($C$12&lt;B44,0,DDM!$C$11)</f>
        <v>6.1165848114484E-2</v>
      </c>
      <c r="E44" s="124">
        <f t="shared" si="0"/>
        <v>0.1227876073374404</v>
      </c>
      <c r="F44" s="125">
        <f t="shared" si="1"/>
        <v>1696859850.7226083</v>
      </c>
      <c r="H44" s="120"/>
    </row>
    <row r="45" spans="2:8">
      <c r="B45" s="122">
        <v>30</v>
      </c>
      <c r="C45" s="123">
        <f t="shared" si="2"/>
        <v>14664751286.137482</v>
      </c>
      <c r="D45" s="138">
        <f>IF($C$12&lt;B45,0,DDM!$C$11)</f>
        <v>6.1165848114484E-2</v>
      </c>
      <c r="E45" s="124">
        <f t="shared" si="0"/>
        <v>0.11422103008133992</v>
      </c>
      <c r="F45" s="125">
        <f t="shared" si="1"/>
        <v>1675022997.7892776</v>
      </c>
      <c r="H45" s="120"/>
    </row>
    <row r="46" spans="2:8">
      <c r="B46" s="126" t="s">
        <v>130</v>
      </c>
      <c r="C46" s="123">
        <f>C$16*(1+F4)^$C$12/Equity_Cost</f>
        <v>34954151841.852341</v>
      </c>
      <c r="D46" s="139">
        <f>Terminal_Growth</f>
        <v>0</v>
      </c>
      <c r="E46" s="124">
        <f>1/(1+Equity_Cost)^C12</f>
        <v>0.11422103008133992</v>
      </c>
      <c r="F46" s="125">
        <f t="shared" si="1"/>
        <v>3992499228.9959393</v>
      </c>
      <c r="H46" s="120"/>
    </row>
    <row r="47" spans="2:8">
      <c r="C47" s="114"/>
      <c r="E47" s="127" t="s">
        <v>100</v>
      </c>
      <c r="F47" s="137">
        <f>SUM(F16:F46)</f>
        <v>65007022928.300537</v>
      </c>
      <c r="H47" s="120"/>
    </row>
    <row r="48" spans="2:8">
      <c r="C48" s="114"/>
      <c r="H48" s="120"/>
    </row>
    <row r="49" spans="1:8" ht="13.15">
      <c r="B49" s="119" t="s">
        <v>128</v>
      </c>
      <c r="C49" s="136"/>
      <c r="D49" s="136"/>
      <c r="E49" s="117"/>
      <c r="F49" s="117"/>
      <c r="H49" s="120"/>
    </row>
    <row r="50" spans="1:8" ht="13.15">
      <c r="A50" s="133">
        <f>F47</f>
        <v>65007022928.300537</v>
      </c>
      <c r="B50" s="131">
        <f>C73</f>
        <v>0.02</v>
      </c>
      <c r="C50" s="131">
        <f>C72</f>
        <v>0.04</v>
      </c>
      <c r="D50" s="131">
        <f>C71</f>
        <v>0.06</v>
      </c>
      <c r="E50" s="131">
        <f>C70</f>
        <v>0.08</v>
      </c>
      <c r="F50" s="131">
        <f>C69</f>
        <v>0.1</v>
      </c>
      <c r="H50" s="120"/>
    </row>
    <row r="51" spans="1:8" ht="13.15">
      <c r="A51" s="143">
        <v>5</v>
      </c>
      <c r="B51" s="123">
        <f t="dataTable" ref="B51:F56" dt2D="1" dtr="1" r1="C11" r2="C12"/>
        <v>33983910859.735901</v>
      </c>
      <c r="C51" s="123">
        <v>35058864417.262512</v>
      </c>
      <c r="D51" s="123">
        <v>36165584675.159767</v>
      </c>
      <c r="E51" s="123">
        <v>37305450760.79509</v>
      </c>
      <c r="F51" s="123">
        <v>38479883927.112656</v>
      </c>
      <c r="H51" s="120"/>
    </row>
    <row r="52" spans="1:8" ht="13.15">
      <c r="A52" s="143">
        <v>10</v>
      </c>
      <c r="B52" s="123">
        <v>35019690951.654572</v>
      </c>
      <c r="C52" s="123">
        <v>37307174297.597458</v>
      </c>
      <c r="D52" s="123">
        <v>39826711977.524216</v>
      </c>
      <c r="E52" s="123">
        <v>42605966673.10994</v>
      </c>
      <c r="F52" s="123">
        <v>45675664530.510849</v>
      </c>
      <c r="H52" s="120"/>
    </row>
    <row r="53" spans="1:8" ht="13.15">
      <c r="A53" s="143">
        <v>15</v>
      </c>
      <c r="B53" s="123">
        <v>36331109844.500824</v>
      </c>
      <c r="C53" s="123">
        <v>40305256087.406807</v>
      </c>
      <c r="D53" s="123">
        <v>44978114435.450996</v>
      </c>
      <c r="E53" s="123">
        <v>50489038606.490967</v>
      </c>
      <c r="F53" s="123">
        <v>57004796776.929756</v>
      </c>
      <c r="H53" s="120"/>
    </row>
    <row r="54" spans="1:8" ht="13.15">
      <c r="A54" s="144">
        <v>20</v>
      </c>
      <c r="B54" s="123">
        <v>37698285435.488953</v>
      </c>
      <c r="C54" s="123">
        <v>43607174804.537033</v>
      </c>
      <c r="D54" s="123">
        <v>50991095346.735435</v>
      </c>
      <c r="E54" s="123">
        <v>60269387094.234177</v>
      </c>
      <c r="F54" s="123">
        <v>71982535514.914154</v>
      </c>
      <c r="H54" s="120"/>
    </row>
    <row r="55" spans="1:8" ht="13.15">
      <c r="A55" s="144">
        <v>25</v>
      </c>
      <c r="B55" s="123">
        <v>38999521056.231651</v>
      </c>
      <c r="C55" s="123">
        <v>46935626655.742073</v>
      </c>
      <c r="D55" s="123">
        <v>57439704687.308357</v>
      </c>
      <c r="E55" s="123">
        <v>71471983976.737778</v>
      </c>
      <c r="F55" s="123">
        <v>90364961831.675354</v>
      </c>
      <c r="H55" s="120"/>
    </row>
    <row r="56" spans="1:8" ht="13.15">
      <c r="A56" s="144">
        <v>30</v>
      </c>
      <c r="B56" s="123">
        <v>40174245535.104301</v>
      </c>
      <c r="C56" s="123">
        <v>50125687660.958008</v>
      </c>
      <c r="D56" s="123">
        <v>64038404970.733551</v>
      </c>
      <c r="E56" s="123">
        <v>83768307660.796555</v>
      </c>
      <c r="F56" s="123">
        <v>112087324645.36333</v>
      </c>
      <c r="H56" s="120"/>
    </row>
    <row r="57" spans="1:8">
      <c r="C57" s="114"/>
      <c r="D57" s="114"/>
      <c r="E57" s="114"/>
      <c r="F57" s="114"/>
      <c r="H57" s="120"/>
    </row>
    <row r="58" spans="1:8" ht="13.15">
      <c r="B58" s="119" t="s">
        <v>129</v>
      </c>
      <c r="C58" s="114"/>
      <c r="D58" s="114"/>
      <c r="E58" s="114"/>
      <c r="F58" s="114"/>
      <c r="H58" s="120"/>
    </row>
    <row r="59" spans="1:8" ht="13.15">
      <c r="B59" s="132">
        <f>B50</f>
        <v>0.02</v>
      </c>
      <c r="C59" s="132">
        <f>C50</f>
        <v>0.04</v>
      </c>
      <c r="D59" s="132">
        <f>D50</f>
        <v>0.06</v>
      </c>
      <c r="E59" s="132">
        <f>E50</f>
        <v>0.08</v>
      </c>
      <c r="F59" s="132">
        <f>F50</f>
        <v>0.1</v>
      </c>
      <c r="H59" s="120"/>
    </row>
    <row r="60" spans="1:8" ht="13.15">
      <c r="A60" s="143">
        <v>0</v>
      </c>
      <c r="B60" s="124">
        <f>C7</f>
        <v>26.400000000000002</v>
      </c>
      <c r="C60" s="124">
        <f>C7</f>
        <v>26.400000000000002</v>
      </c>
      <c r="D60" s="124">
        <f>C7</f>
        <v>26.400000000000002</v>
      </c>
      <c r="E60" s="141">
        <f>C7</f>
        <v>26.400000000000002</v>
      </c>
      <c r="F60" s="124">
        <f>C7</f>
        <v>26.400000000000002</v>
      </c>
      <c r="H60" s="120"/>
    </row>
    <row r="61" spans="1:8" ht="13.15">
      <c r="A61" s="143">
        <f t="shared" ref="A61:A66" si="3">A51</f>
        <v>5</v>
      </c>
      <c r="B61" s="124">
        <f t="shared" ref="B61:F66" si="4">B51/Common_Shares*$C$3*Exchange_Rate</f>
        <v>27.23715728752526</v>
      </c>
      <c r="C61" s="124">
        <f t="shared" si="4"/>
        <v>28.098702600658317</v>
      </c>
      <c r="D61" s="124">
        <f t="shared" si="4"/>
        <v>28.985708038674353</v>
      </c>
      <c r="E61" s="124">
        <f t="shared" si="4"/>
        <v>29.899278933716605</v>
      </c>
      <c r="F61" s="124">
        <f t="shared" si="4"/>
        <v>30.840554380403866</v>
      </c>
      <c r="H61" s="120"/>
    </row>
    <row r="62" spans="1:8" ht="13.15">
      <c r="A62" s="143">
        <f t="shared" si="3"/>
        <v>10</v>
      </c>
      <c r="B62" s="124">
        <f t="shared" si="4"/>
        <v>28.067306159893608</v>
      </c>
      <c r="C62" s="124">
        <f t="shared" si="4"/>
        <v>29.90066030042189</v>
      </c>
      <c r="D62" s="124">
        <f t="shared" si="4"/>
        <v>31.919999521362424</v>
      </c>
      <c r="E62" s="124">
        <f t="shared" si="4"/>
        <v>34.147494691009001</v>
      </c>
      <c r="F62" s="124">
        <f t="shared" si="4"/>
        <v>36.607771959046111</v>
      </c>
      <c r="H62" s="120"/>
    </row>
    <row r="63" spans="1:8" ht="13.15">
      <c r="A63" s="143">
        <f t="shared" si="3"/>
        <v>15</v>
      </c>
      <c r="B63" s="124">
        <f t="shared" si="4"/>
        <v>29.118371848057407</v>
      </c>
      <c r="C63" s="124">
        <f t="shared" si="4"/>
        <v>32.303539286508574</v>
      </c>
      <c r="D63" s="124">
        <f t="shared" si="4"/>
        <v>36.048705001346903</v>
      </c>
      <c r="E63" s="124">
        <f t="shared" si="4"/>
        <v>40.465557113093737</v>
      </c>
      <c r="F63" s="124">
        <f t="shared" si="4"/>
        <v>45.68775566664474</v>
      </c>
      <c r="H63" s="120"/>
    </row>
    <row r="64" spans="1:8" ht="13.15">
      <c r="A64" s="144">
        <f t="shared" si="3"/>
        <v>20</v>
      </c>
      <c r="B64" s="124">
        <f t="shared" si="4"/>
        <v>30.214124975621324</v>
      </c>
      <c r="C64" s="124">
        <f t="shared" si="4"/>
        <v>34.949935100701175</v>
      </c>
      <c r="D64" s="124">
        <f t="shared" si="4"/>
        <v>40.867941596084549</v>
      </c>
      <c r="E64" s="124">
        <f t="shared" si="4"/>
        <v>48.3042338088677</v>
      </c>
      <c r="F64" s="124">
        <f t="shared" si="4"/>
        <v>57.691995776080788</v>
      </c>
      <c r="H64" s="120"/>
    </row>
    <row r="65" spans="1:8" ht="13.15">
      <c r="A65" s="144">
        <f t="shared" si="3"/>
        <v>25</v>
      </c>
      <c r="B65" s="124">
        <f t="shared" si="4"/>
        <v>31.257029055042359</v>
      </c>
      <c r="C65" s="124">
        <f t="shared" si="4"/>
        <v>37.617596482270926</v>
      </c>
      <c r="D65" s="124">
        <f t="shared" si="4"/>
        <v>46.036322234202615</v>
      </c>
      <c r="E65" s="124">
        <f t="shared" si="4"/>
        <v>57.282802949331298</v>
      </c>
      <c r="F65" s="124">
        <f t="shared" si="4"/>
        <v>72.424998077742885</v>
      </c>
    </row>
    <row r="66" spans="1:8" ht="13.15">
      <c r="A66" s="144">
        <f t="shared" si="3"/>
        <v>30</v>
      </c>
      <c r="B66" s="124">
        <f t="shared" si="4"/>
        <v>32.198537980622476</v>
      </c>
      <c r="C66" s="124">
        <f t="shared" si="4"/>
        <v>40.174341458282861</v>
      </c>
      <c r="D66" s="124">
        <f t="shared" si="4"/>
        <v>51.324996579386152</v>
      </c>
      <c r="E66" s="124">
        <f t="shared" si="4"/>
        <v>67.137963634732003</v>
      </c>
      <c r="F66" s="124">
        <f t="shared" si="4"/>
        <v>89.834866384398012</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30</v>
      </c>
      <c r="E69" s="135">
        <f>INDEX(B$60:F$66, MATCH(D69, A$60:A$66, 0), MATCH(C69, B$59:F$59, 0))</f>
        <v>89.834866384398012</v>
      </c>
      <c r="F69" s="142">
        <f>Scenarios!C58</f>
        <v>0.05</v>
      </c>
    </row>
    <row r="70" spans="1:8">
      <c r="B70" s="127" t="str">
        <f>Scenarios!B36</f>
        <v>Optimistic</v>
      </c>
      <c r="C70" s="142">
        <f>Scenarios!C38</f>
        <v>0.08</v>
      </c>
      <c r="D70" s="145">
        <f>Scenarios!C37</f>
        <v>30</v>
      </c>
      <c r="E70" s="135">
        <f>INDEX(B$60:F$66, MATCH(D70, A$60:A$66, 0), MATCH(C70, B$59:F$59, 0))</f>
        <v>67.137963634732003</v>
      </c>
      <c r="F70" s="142">
        <f>Scenarios!C40*(1-F$69-F$73)</f>
        <v>0.18</v>
      </c>
      <c r="H70" s="120"/>
    </row>
    <row r="71" spans="1:8">
      <c r="B71" s="127" t="str">
        <f>Scenarios!B24</f>
        <v>Base</v>
      </c>
      <c r="C71" s="142">
        <f>Scenarios!C26</f>
        <v>0.06</v>
      </c>
      <c r="D71" s="145">
        <f>Scenarios!C25</f>
        <v>30</v>
      </c>
      <c r="E71" s="135">
        <f>INDEX(B$60:F$66, MATCH(D71, A$60:A$66, 0), MATCH(C71, B$59:F$59, 0))</f>
        <v>51.324996579386152</v>
      </c>
      <c r="F71" s="142">
        <f>Scenarios!C28*(1-F$69-F$73)</f>
        <v>0.44999999999999996</v>
      </c>
      <c r="H71" s="120"/>
    </row>
    <row r="72" spans="1:8">
      <c r="B72" s="127" t="str">
        <f>Scenarios!B30</f>
        <v>Pessimistic</v>
      </c>
      <c r="C72" s="142">
        <f>Scenarios!C32</f>
        <v>0.04</v>
      </c>
      <c r="D72" s="145">
        <f>Scenarios!C31</f>
        <v>30</v>
      </c>
      <c r="E72" s="135">
        <f>INDEX(B$60:F$66, MATCH(D72, A$60:A$66, 0), MATCH(C72, B$59:F$59, 0))</f>
        <v>40.174341458282861</v>
      </c>
      <c r="F72" s="142">
        <f>Scenarios!C34*(1-F$69-F$73)</f>
        <v>0.26999999999999996</v>
      </c>
      <c r="H72" s="120"/>
    </row>
    <row r="73" spans="1:8">
      <c r="B73" s="127" t="str">
        <f>Scenarios!B48</f>
        <v>Devil's advocate</v>
      </c>
      <c r="C73" s="142">
        <f>Scenarios!C50</f>
        <v>0.02</v>
      </c>
      <c r="D73" s="145">
        <f>Scenarios!C49</f>
        <v>30</v>
      </c>
      <c r="E73" s="135">
        <f>INDEX(B$60:F$66, MATCH(D73, A$60:A$66, 0), MATCH(C73, B$59:F$59, 0))</f>
        <v>32.198537980622476</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-50.65</v>
      </c>
    </row>
    <row r="4" spans="2:9">
      <c r="B4" s="152" t="s">
        <v>145</v>
      </c>
      <c r="C4" s="120">
        <v>3</v>
      </c>
      <c r="D4" s="120"/>
      <c r="E4" s="155" t="s">
        <v>149</v>
      </c>
      <c r="F4" s="155"/>
      <c r="H4" s="247">
        <v>1</v>
      </c>
      <c r="I4" s="124">
        <f t="shared" ref="I4:I13" si="0">IF(ROW()-3 &lt; $C$76, $C$77, IF(ROW()-3 = $C$76, $C$77 + $C$60, ""))</f>
        <v>1.810921999839578</v>
      </c>
    </row>
    <row r="5" spans="2:9">
      <c r="H5" s="247">
        <v>2</v>
      </c>
      <c r="I5" s="124">
        <f t="shared" si="0"/>
        <v>1.810921999839578</v>
      </c>
    </row>
    <row r="6" spans="2:9" ht="13.15">
      <c r="B6" s="159" t="s">
        <v>95</v>
      </c>
      <c r="C6" s="107">
        <f>DCF!C3</f>
        <v>1</v>
      </c>
      <c r="E6" s="100" t="s">
        <v>278</v>
      </c>
      <c r="F6" s="100"/>
      <c r="H6" s="247">
        <v>3</v>
      </c>
      <c r="I6" s="124">
        <f t="shared" si="0"/>
        <v>74.799959726163507</v>
      </c>
    </row>
    <row r="7" spans="2:9" ht="12.75" customHeight="1">
      <c r="B7" s="100" t="s">
        <v>274</v>
      </c>
      <c r="C7" s="338">
        <f>Normalized_FCF!G8</f>
        <v>4487792577</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青島啤酒股份(0168.HK). Each scenario should include the Compound Growth Rate, the Probability Assessment, and the Business Narrative.</v>
      </c>
      <c r="F7" s="368"/>
      <c r="H7" s="247">
        <v>4</v>
      </c>
      <c r="I7" s="124" t="str">
        <f t="shared" si="0"/>
        <v/>
      </c>
    </row>
    <row r="8" spans="2:9">
      <c r="B8" s="100" t="s">
        <v>66</v>
      </c>
      <c r="C8" s="338">
        <f>Normalized_FCF!G19</f>
        <v>3154792689.6019163</v>
      </c>
      <c r="D8" t="str">
        <f>Reporting_currency</f>
        <v>CNY</v>
      </c>
      <c r="E8" s="368"/>
      <c r="F8" s="368"/>
      <c r="H8" s="247">
        <v>5</v>
      </c>
      <c r="I8" s="124" t="str">
        <f t="shared" si="0"/>
        <v/>
      </c>
    </row>
    <row r="9" spans="2:9">
      <c r="B9" s="100" t="s">
        <v>57</v>
      </c>
      <c r="C9" s="338">
        <f>Normalized_FCF!C19</f>
        <v>2878344216.9605761</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2.1321347914251776E-2</v>
      </c>
      <c r="D12" s="158"/>
      <c r="E12" s="368"/>
      <c r="F12" s="368"/>
      <c r="H12" s="247">
        <v>9</v>
      </c>
      <c r="I12" s="124" t="str">
        <f t="shared" si="0"/>
        <v/>
      </c>
    </row>
    <row r="13" spans="2:9">
      <c r="B13" s="148" t="s">
        <v>151</v>
      </c>
      <c r="C13" s="158">
        <f ca="1">(Normalized_FCF!G8/OFFSET(Normalized_FCF!G8, 0, $C$4))^(1/$C$4) - 1</f>
        <v>0.15185942572632172</v>
      </c>
      <c r="E13" s="368"/>
      <c r="F13" s="368"/>
      <c r="H13" s="247">
        <v>10</v>
      </c>
      <c r="I13" s="124" t="str">
        <f t="shared" si="0"/>
        <v/>
      </c>
    </row>
    <row r="14" spans="2:9">
      <c r="B14" s="100" t="s">
        <v>66</v>
      </c>
      <c r="C14" s="158">
        <f ca="1">(Normalized_FCF!G19/OFFSET(Normalized_FCF!G19, 0, $C$4))^(1/$C$4) - 1</f>
        <v>0.22851067551686421</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50.65</v>
      </c>
      <c r="D21" t="str">
        <f>Market_currency</f>
        <v>HKD</v>
      </c>
      <c r="E21" s="369"/>
      <c r="F21" s="369"/>
    </row>
    <row r="22" spans="2:6">
      <c r="B22" s="100" t="s">
        <v>277</v>
      </c>
      <c r="C22" s="160">
        <f>IF(valuation_method="DCF",DCF!C12,DDM!C7)</f>
        <v>43.011028911184745</v>
      </c>
      <c r="D22" t="str">
        <f>Market_currency</f>
        <v>HKD</v>
      </c>
      <c r="E22" s="369"/>
      <c r="F22" s="369"/>
    </row>
    <row r="24" spans="2:6" ht="13.15">
      <c r="B24" s="159" t="s">
        <v>114</v>
      </c>
      <c r="E24" s="159" t="s">
        <v>148</v>
      </c>
      <c r="F24" s="159"/>
    </row>
    <row r="25" spans="2:6">
      <c r="B25" s="152" t="s">
        <v>132</v>
      </c>
      <c r="C25" s="166">
        <f>C18</f>
        <v>30</v>
      </c>
      <c r="D25" s="163"/>
      <c r="E25" s="367"/>
      <c r="F25" s="367"/>
    </row>
    <row r="26" spans="2:6">
      <c r="B26" s="118" t="s">
        <v>133</v>
      </c>
      <c r="C26" s="164">
        <v>0.06</v>
      </c>
      <c r="D26" s="164"/>
      <c r="E26" s="367"/>
      <c r="F26" s="367"/>
    </row>
    <row r="27" spans="2:6">
      <c r="B27" s="100" t="s">
        <v>112</v>
      </c>
      <c r="C27" s="160">
        <f>IF(valuation_method="DCF",DCF!E76,DDM!E71)</f>
        <v>72.051326959047458</v>
      </c>
      <c r="D27" s="160" t="str">
        <f>Market_currency</f>
        <v>HKD</v>
      </c>
      <c r="E27" s="367"/>
      <c r="F27" s="367"/>
    </row>
    <row r="28" spans="2:6">
      <c r="B28" s="100" t="s">
        <v>146</v>
      </c>
      <c r="C28" s="165">
        <v>0.5</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0.04</v>
      </c>
      <c r="D32" s="164"/>
      <c r="E32" s="367"/>
      <c r="F32" s="367"/>
    </row>
    <row r="33" spans="2:6">
      <c r="B33" s="100" t="s">
        <v>112</v>
      </c>
      <c r="C33" s="160">
        <f>IF(valuation_method="DCF",DCF!E77,DDM!E72)</f>
        <v>59.059616123123995</v>
      </c>
      <c r="D33" t="str">
        <f>Market_currency</f>
        <v>HKD</v>
      </c>
      <c r="E33" s="367"/>
      <c r="F33" s="367"/>
    </row>
    <row r="34" spans="2:6">
      <c r="B34" s="100" t="s">
        <v>146</v>
      </c>
      <c r="C34" s="165">
        <v>0.3</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0.08</v>
      </c>
      <c r="D38" s="164"/>
      <c r="E38" s="367"/>
      <c r="F38" s="367"/>
    </row>
    <row r="39" spans="2:6">
      <c r="B39" s="100" t="s">
        <v>112</v>
      </c>
      <c r="C39" s="160">
        <f>IF(valuation_method="DCF",DCF!E75,DDM!E70)</f>
        <v>90.475131947171818</v>
      </c>
      <c r="D39" t="str">
        <f>Market_currency</f>
        <v>HKD</v>
      </c>
      <c r="E39" s="367"/>
      <c r="F39" s="367"/>
    </row>
    <row r="40" spans="2:6">
      <c r="B40" s="100" t="s">
        <v>146</v>
      </c>
      <c r="C40" s="167">
        <f>1-C28-C34</f>
        <v>0.2</v>
      </c>
      <c r="D40" s="165"/>
      <c r="E40" s="367"/>
      <c r="F40" s="367"/>
    </row>
    <row r="42" spans="2:6" ht="13.15">
      <c r="B42" s="100" t="s">
        <v>119</v>
      </c>
      <c r="C42" s="154">
        <f>C27*C28+C33*C34+C39*C40</f>
        <v>71.838574705895297</v>
      </c>
      <c r="D42" t="str">
        <f>Market_currency</f>
        <v>HKD</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0.02</v>
      </c>
      <c r="D50" s="164"/>
      <c r="E50" s="367"/>
      <c r="F50" s="367"/>
    </row>
    <row r="51" spans="2:6">
      <c r="B51" s="100" t="s">
        <v>112</v>
      </c>
      <c r="C51" s="160">
        <f>IF(valuation_method="DCF",DCF!E78,DDM!E73)</f>
        <v>49.766948442118363</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0.1</v>
      </c>
      <c r="D56" s="164"/>
      <c r="E56" s="367"/>
      <c r="F56" s="367"/>
    </row>
    <row r="57" spans="2:6">
      <c r="B57" s="100" t="s">
        <v>112</v>
      </c>
      <c r="C57" s="160">
        <f>IF(valuation_method="DCF",DCF!E74,DDM!E69)</f>
        <v>116.9194613782448</v>
      </c>
      <c r="D57" t="str">
        <f>Market_currency</f>
        <v>HKD</v>
      </c>
      <c r="E57" s="367"/>
      <c r="F57" s="367"/>
    </row>
    <row r="58" spans="2:6">
      <c r="B58" s="100" t="s">
        <v>146</v>
      </c>
      <c r="C58" s="165">
        <v>0.05</v>
      </c>
      <c r="D58" s="165"/>
      <c r="E58" s="367"/>
      <c r="F58" s="367"/>
    </row>
    <row r="60" spans="2:6" ht="13.15">
      <c r="B60" s="100" t="s">
        <v>119</v>
      </c>
      <c r="C60" s="154">
        <f>C51*C52+C57*C58+C42*(1-C52-C58)</f>
        <v>72.989037726323929</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6.1165848114484E-2</v>
      </c>
      <c r="D65" s="151"/>
      <c r="E65" s="251" t="s">
        <v>309</v>
      </c>
    </row>
    <row r="66" spans="2:6">
      <c r="B66" s="100" t="s">
        <v>102</v>
      </c>
      <c r="C66" s="160">
        <f>IF(valuation_method="DCF",DCF!C18,DDM!C13)</f>
        <v>72.955823480826908</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0.16786347428853074</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1.810921999839578</v>
      </c>
      <c r="D77" t="str">
        <f>Market_currency</f>
        <v>HKD</v>
      </c>
    </row>
    <row r="79" spans="2:6" ht="13.15">
      <c r="B79" s="109" t="s">
        <v>300</v>
      </c>
    </row>
    <row r="80" spans="2:6">
      <c r="B80" s="148" t="s">
        <v>298</v>
      </c>
      <c r="C80" s="167">
        <f>Thesis!F29</f>
        <v>0.3674</v>
      </c>
    </row>
    <row r="81" spans="2:8">
      <c r="B81" s="100" t="s">
        <v>120</v>
      </c>
      <c r="C81" s="116">
        <f>PV(C80, C76, -C77, 0)</f>
        <v>3.001167360876988</v>
      </c>
      <c r="D81" s="116"/>
      <c r="E81" s="100"/>
      <c r="F81" s="100"/>
    </row>
    <row r="82" spans="2:8">
      <c r="B82" s="100" t="s">
        <v>121</v>
      </c>
      <c r="C82" s="116">
        <f>C60/(1+C80)^C76</f>
        <v>28.5476860062141</v>
      </c>
      <c r="D82" s="116"/>
    </row>
    <row r="83" spans="2:8" ht="13.15">
      <c r="B83" s="110" t="s">
        <v>101</v>
      </c>
      <c r="C83" s="111">
        <f>C81+C82</f>
        <v>31.548853367091088</v>
      </c>
      <c r="D83" t="str">
        <f>Market_currency</f>
        <v>HKD</v>
      </c>
      <c r="E83" s="146" t="s">
        <v>125</v>
      </c>
      <c r="F83" s="291">
        <f>(1-C83/C60)</f>
        <v>0.5677590176570747</v>
      </c>
    </row>
    <row r="84" spans="2:8">
      <c r="E84" s="120"/>
    </row>
    <row r="85" spans="2:8" ht="13.15">
      <c r="B85" s="109" t="s">
        <v>301</v>
      </c>
    </row>
    <row r="86" spans="2:8">
      <c r="B86" s="148" t="s">
        <v>299</v>
      </c>
      <c r="C86" s="116">
        <f>Market_Price</f>
        <v>50.65</v>
      </c>
      <c r="D86" t="str">
        <f>Market_currency</f>
        <v>HKD</v>
      </c>
    </row>
    <row r="87" spans="2:8" ht="13.15">
      <c r="B87" s="100" t="s">
        <v>297</v>
      </c>
      <c r="C87" s="237">
        <f ca="1">IRR(OFFSET($I$3, 0, 0, $C$76 + 1, 1))</f>
        <v>0.16139924149762863</v>
      </c>
    </row>
    <row r="88" spans="2:8">
      <c r="B88" s="100"/>
    </row>
    <row r="89" spans="2:8" ht="13.15">
      <c r="B89" s="109" t="s">
        <v>409</v>
      </c>
    </row>
    <row r="90" spans="2:8">
      <c r="B90" s="148" t="s">
        <v>410</v>
      </c>
      <c r="C90" s="167">
        <f>Thesis!F30</f>
        <v>0.21740000000000001</v>
      </c>
    </row>
    <row r="91" spans="2:8">
      <c r="B91" s="100" t="s">
        <v>120</v>
      </c>
      <c r="C91" s="116">
        <f>PV(C90, C76, -C77, 0)</f>
        <v>3.7131159604262098</v>
      </c>
      <c r="D91" s="116"/>
      <c r="E91" s="100"/>
      <c r="F91" s="100"/>
    </row>
    <row r="92" spans="2:8">
      <c r="B92" s="100" t="s">
        <v>121</v>
      </c>
      <c r="C92" s="116">
        <f>C60/(1+C90)^C76</f>
        <v>40.453653083174572</v>
      </c>
      <c r="D92" s="116"/>
    </row>
    <row r="93" spans="2:8" ht="13.15">
      <c r="B93" s="110" t="s">
        <v>101</v>
      </c>
      <c r="C93" s="111">
        <f>C91+C92</f>
        <v>44.16676904360078</v>
      </c>
      <c r="D93" t="str">
        <f>Market_currency</f>
        <v>HKD</v>
      </c>
      <c r="E93" s="146" t="s">
        <v>125</v>
      </c>
      <c r="F93" s="291">
        <f>(1-C93/C60)</f>
        <v>0.39488489752110034</v>
      </c>
    </row>
    <row r="95" spans="2:8" ht="13.15">
      <c r="B95" s="109" t="s">
        <v>394</v>
      </c>
      <c r="G95" s="2"/>
      <c r="H95" s="281"/>
    </row>
    <row r="96" spans="2:8">
      <c r="B96" s="148" t="s">
        <v>400</v>
      </c>
      <c r="C96" s="134">
        <f>Thesis!F31</f>
        <v>7.4999999999999997E-2</v>
      </c>
      <c r="G96" s="2"/>
      <c r="H96" s="281"/>
    </row>
    <row r="97" spans="2:8">
      <c r="B97" s="100" t="s">
        <v>120</v>
      </c>
      <c r="C97" s="116">
        <f>PV(C96, C76, -C77, 0)</f>
        <v>4.7093492734832276</v>
      </c>
      <c r="D97" s="116"/>
      <c r="G97" s="2"/>
      <c r="H97" s="281"/>
    </row>
    <row r="98" spans="2:8">
      <c r="B98" s="100" t="s">
        <v>121</v>
      </c>
      <c r="C98" s="116">
        <f>C60/(1+C96)^C76</f>
        <v>58.753297376139614</v>
      </c>
      <c r="D98" s="116"/>
      <c r="G98" s="2"/>
      <c r="H98" s="281"/>
    </row>
    <row r="99" spans="2:8" ht="13.15">
      <c r="B99" s="110" t="s">
        <v>395</v>
      </c>
      <c r="C99" s="111">
        <f>C97+C98</f>
        <v>63.46264664962284</v>
      </c>
      <c r="D99" t="s">
        <v>393</v>
      </c>
      <c r="E99" s="146" t="s">
        <v>125</v>
      </c>
      <c r="F99" s="291">
        <f>(1-C99/C60)</f>
        <v>0.13051810756049109</v>
      </c>
    </row>
    <row r="100" spans="2:8">
      <c r="B100" s="100"/>
    </row>
    <row r="101" spans="2:8" ht="13.15">
      <c r="B101" s="109" t="s">
        <v>419</v>
      </c>
    </row>
    <row r="102" spans="2:8">
      <c r="B102" s="148" t="s">
        <v>418</v>
      </c>
      <c r="C102" s="134">
        <f>Thesis!F32</f>
        <v>0.1174</v>
      </c>
    </row>
    <row r="103" spans="2:8">
      <c r="B103" s="100" t="s">
        <v>120</v>
      </c>
      <c r="C103" s="116">
        <f>PV(C102, C76, -C77, 0)</f>
        <v>4.3690360776440356</v>
      </c>
      <c r="D103" s="116"/>
    </row>
    <row r="104" spans="2:8">
      <c r="B104" s="100" t="s">
        <v>121</v>
      </c>
      <c r="C104" s="116">
        <f>C60/(1+C102)^C76</f>
        <v>52.31565136649219</v>
      </c>
      <c r="D104" s="116"/>
    </row>
    <row r="105" spans="2:8" ht="13.15">
      <c r="B105" s="110" t="s">
        <v>395</v>
      </c>
      <c r="C105" s="111">
        <f>C103+C104</f>
        <v>56.684687444136223</v>
      </c>
      <c r="D105" t="s">
        <v>393</v>
      </c>
      <c r="E105" s="146" t="s">
        <v>125</v>
      </c>
      <c r="F105" s="291">
        <f>(1-C105/C66)</f>
        <v>0.22302724114911543</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2025-06-17T02:38:28Z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