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4FF3F0-173B-4DCA-8B46-98B948FCBFF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<sst xmlns="http://schemas.openxmlformats.org/spreadsheetml/2006/main" count="685" uniqueCount="465">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</sst>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54.45</v>
      </c>
      <c r="D12" s="50"/>
      <c r="E12" s="48"/>
    </row>
    <row r="13" spans="1:10">
      <c r="B13" s="1" t="s">
        <v>416</v>
      </c>
      <c r="C13" s="48" t="s">
        <v>396</v>
      </c>
      <c r="D13" s="48"/>
      <c r="E13" s="5"/>
    </row>
    <row r="14" spans="1:10">
      <c r="B14" s="4" t="s">
        <v>420</v>
      </c>
      <c r="C14" s="35">
        <f>Thesis!C12*Common_Shares/1000000</f>
        <v>74280.515106600011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1.0899407000000001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72.760026898811347</v>
      </c>
      <c r="D26" s="1" t="s">
        <v>399</v>
      </c>
      <c r="E26" s="301">
        <f ca="1">Scenarios!C87</f>
        <v>0.13527659689855276</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31.803223674072804</v>
      </c>
      <c r="D29" s="310" t="str">
        <f>D149</f>
        <v/>
      </c>
      <c r="E29" s="306" t="s">
        <v>424</v>
      </c>
      <c r="F29" s="302">
        <v>0.3674</v>
      </c>
    </row>
    <row r="30" spans="2:6">
      <c r="B30" s="1" t="s">
        <v>426</v>
      </c>
      <c r="C30" s="311">
        <f>C157</f>
        <v>44.465374305838637</v>
      </c>
      <c r="D30" s="311" t="str">
        <f>D157</f>
        <v/>
      </c>
      <c r="E30" s="307" t="s">
        <v>437</v>
      </c>
      <c r="F30" s="312">
        <v>0.21740000000000001</v>
      </c>
    </row>
    <row r="31" spans="2:6">
      <c r="B31" s="1" t="s">
        <v>427</v>
      </c>
      <c r="C31" s="311">
        <f>C165</f>
        <v>63.818005806118741</v>
      </c>
      <c r="D31" s="311" t="str">
        <f>D165</f>
        <v/>
      </c>
      <c r="E31" s="307" t="s">
        <v>436</v>
      </c>
      <c r="F31" s="312">
        <v>7.4999999999999997E-2</v>
      </c>
    </row>
    <row r="32" spans="2:6">
      <c r="B32" s="1" t="s">
        <v>428</v>
      </c>
      <c r="C32" s="311">
        <f>C173</f>
        <v>57.021244606581178</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5"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177123343.52205512</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155286289.52205512</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-1008338589.9574524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3154842007.5220547</v>
      </c>
      <c r="D67" s="1" t="str">
        <f>Reporting_currency</f>
        <v>CNY</v>
      </c>
    </row>
    <row r="68" spans="1:6">
      <c r="B68" s="47" t="s">
        <v>248</v>
      </c>
      <c r="C68" s="349">
        <f>Normalized_FCF!C19</f>
        <v>2878381205.4006805</v>
      </c>
      <c r="D68" s="1" t="str">
        <f>Reporting_currency</f>
        <v>CNY</v>
      </c>
    </row>
    <row r="69" spans="1:6">
      <c r="B69" s="227" t="s">
        <v>390</v>
      </c>
      <c r="C69" s="92">
        <f>Normalized_FCF!C125</f>
        <v>4.223536712661418E-2</v>
      </c>
      <c r="F69" s="314"/>
    </row>
    <row r="70" spans="1:6">
      <c r="B70" s="227" t="s">
        <v>308</v>
      </c>
      <c r="C70" s="92">
        <f>Normalized_FCF!C93</f>
        <v>3.7069943717158556E-2</v>
      </c>
      <c r="E70" s="47" t="s">
        <v>448</v>
      </c>
      <c r="F70" s="315">
        <f>Normalized_FCF!C92</f>
        <v>0.95663997149394298</v>
      </c>
    </row>
    <row r="72" spans="1:6">
      <c r="B72" s="210" t="s">
        <v>451</v>
      </c>
      <c r="C72" s="323" t="s">
        <v>453</v>
      </c>
      <c r="D72" s="323" t="s">
        <v>454</v>
      </c>
    </row>
    <row r="73" spans="1:6">
      <c r="B73" s="47" t="s">
        <v>452</v>
      </c>
      <c r="C73" s="92">
        <f>Normalized_FCF!C120</f>
        <v>0.13507756945314017</v>
      </c>
      <c r="D73" s="92">
        <f>Normalized_FCF!G120</f>
        <v>0.15711396872041108</v>
      </c>
    </row>
    <row r="74" spans="1:6">
      <c r="B74" s="259" t="str">
        <f>Normalized_FCF!B117</f>
        <v>Pre-tax Profit/Sales</v>
      </c>
      <c r="C74" s="322">
        <f>Normalized_FCF!C117</f>
        <v>0.12563721845654416</v>
      </c>
      <c r="D74" s="322">
        <f>Normalized_FCF!G117</f>
        <v>0.14597597701272055</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30.662876533921903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0.22802071973833746</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12815658328.129091</v>
      </c>
      <c r="D109" s="1" t="str">
        <f>Reporting_currency</f>
        <v>CNY</v>
      </c>
    </row>
    <row r="110" spans="2:6">
      <c r="B110" s="47" t="s">
        <v>282</v>
      </c>
      <c r="C110" s="223">
        <f>C109*scaling_factor*Exchange_Rate/Common_Shares</f>
        <v>10.23921748826303</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2.2014677411691523</v>
      </c>
      <c r="D114" s="1" t="str">
        <f>Market_currency</f>
        <v>HKD</v>
      </c>
    </row>
    <row r="116" spans="1:6" ht="24.5" customHeight="1">
      <c r="B116" s="358" t="s">
        <v>366</v>
      </c>
      <c r="C116" s="358"/>
      <c r="D116" s="358"/>
      <c r="E116" s="358"/>
      <c r="F116" s="358"/>
    </row>
    <row r="118" spans="1:6">
      <c r="B118" s="47" t="s">
        <v>449</v>
      </c>
      <c r="C118" s="223">
        <f>IF(valuation_method="DCF",DCF!C12,DDM!C7)</f>
        <v>42.875541043615748</v>
      </c>
      <c r="D118" s="1" t="str">
        <f>Market_currency</f>
        <v>HKD</v>
      </c>
    </row>
    <row r="119" spans="1:6">
      <c r="B119" s="296" t="s">
        <v>405</v>
      </c>
      <c r="C119" s="223">
        <f>BS!D47</f>
        <v>1.3546881616207227</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116.55 HKD</v>
      </c>
      <c r="F126" s="232">
        <f>DCF!F74</f>
        <v>0.05</v>
      </c>
    </row>
    <row r="127" spans="1:6">
      <c r="B127" s="218" t="str">
        <f>DCF!B75</f>
        <v>Optimistic</v>
      </c>
      <c r="C127" s="219">
        <f>DCF!C75</f>
        <v>0.08</v>
      </c>
      <c r="D127" s="220">
        <f>DCF!D75</f>
        <v>30</v>
      </c>
      <c r="E127" s="231" t="str">
        <f>ROUND(IF(valuation_method="DCF",DCF!E75,DDM!E70),2)&amp;" "&amp;Market_currency</f>
        <v>90.19 HKD</v>
      </c>
      <c r="F127" s="221">
        <f>DCF!F75</f>
        <v>0.18</v>
      </c>
    </row>
    <row r="128" spans="1:6">
      <c r="B128" s="218" t="str">
        <f>DCF!B76</f>
        <v>Base</v>
      </c>
      <c r="C128" s="219">
        <f>DCF!C76</f>
        <v>0.06</v>
      </c>
      <c r="D128" s="220">
        <f>DCF!D76</f>
        <v>30</v>
      </c>
      <c r="E128" s="231" t="str">
        <f>ROUND(IF(valuation_method="DCF",DCF!E76,DDM!E71),2)&amp;" "&amp;Market_currency</f>
        <v>71.83 HKD</v>
      </c>
      <c r="F128" s="221">
        <f>DCF!F76</f>
        <v>0.44999999999999996</v>
      </c>
    </row>
    <row r="129" spans="1:6">
      <c r="B129" s="218" t="str">
        <f>DCF!B77</f>
        <v>Pessimistic</v>
      </c>
      <c r="C129" s="219">
        <f>DCF!C77</f>
        <v>0.04</v>
      </c>
      <c r="D129" s="220">
        <f>DCF!D77</f>
        <v>30</v>
      </c>
      <c r="E129" s="231" t="str">
        <f>ROUND(IF(valuation_method="DCF",DCF!E77,DDM!E72),2)&amp;" "&amp;Market_currency</f>
        <v>58.87 HKD</v>
      </c>
      <c r="F129" s="221">
        <f>DCF!F77</f>
        <v>0.26999999999999996</v>
      </c>
    </row>
    <row r="130" spans="1:6">
      <c r="B130" s="218" t="str">
        <f>DCF!B78</f>
        <v>Devil's advocate</v>
      </c>
      <c r="C130" s="219">
        <f>DCF!C78</f>
        <v>0.02</v>
      </c>
      <c r="D130" s="220">
        <f>DCF!D78</f>
        <v>30</v>
      </c>
      <c r="E130" s="231" t="str">
        <f>ROUND(IF(valuation_method="DCF",DCF!E78,DDM!E73),2)&amp;" "&amp;Market_currency</f>
        <v>49.61 HKD</v>
      </c>
      <c r="F130" s="221">
        <f>DCF!F78</f>
        <v>0.05</v>
      </c>
    </row>
    <row r="132" spans="1:6">
      <c r="B132" s="211" t="s">
        <v>258</v>
      </c>
      <c r="C132" s="217">
        <f>Scenarios!C60</f>
        <v>72.760026898811347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2.0184584353992836</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3.345109052816075</v>
      </c>
    </row>
    <row r="148" spans="2:4">
      <c r="B148" s="212" t="str">
        <f>"+ PV(Equity Value realized at year "&amp;C141&amp;")"</f>
        <v>+ PV(Equity Value realized at year 3)</v>
      </c>
      <c r="C148" s="216">
        <f>Scenarios!C82</f>
        <v>28.45811462125673</v>
      </c>
    </row>
    <row r="149" spans="2:4">
      <c r="B149" s="80" t="s">
        <v>260</v>
      </c>
      <c r="C149" s="215">
        <f>Scenarios!C83</f>
        <v>31.803223674072804</v>
      </c>
      <c r="D149" s="300" t="str">
        <f>IF($D$11="","",C149*$E$25)</f>
        <v/>
      </c>
    </row>
    <row r="150" spans="2:4">
      <c r="B150" s="259" t="s">
        <v>416</v>
      </c>
      <c r="C150" s="298" t="str">
        <f>Market_currency</f>
        <v>HKD</v>
      </c>
      <c r="D150" s="298" t="str">
        <f>IF($D$11="","",D$13)</f>
        <v/>
      </c>
    </row>
    <row r="151" spans="2:4">
      <c r="B151" s="214" t="s">
        <v>262</v>
      </c>
      <c r="C151" s="92">
        <f>Scenarios!F83</f>
        <v>0.56290253000727852</v>
      </c>
    </row>
    <row r="153" spans="2:4">
      <c r="B153" s="210" t="s">
        <v>411</v>
      </c>
    </row>
    <row r="154" spans="2:4">
      <c r="B154" s="1" t="s">
        <v>410</v>
      </c>
      <c r="C154" s="297">
        <f>Scenarios!C90</f>
        <v>0.21740000000000001</v>
      </c>
    </row>
    <row r="155" spans="2:4">
      <c r="B155" s="212" t="str">
        <f>"PV("&amp;C141&amp;" yrs of Dividends)"</f>
        <v>PV(3 yrs of Dividends)</v>
      </c>
      <c r="C155" s="216">
        <f>Scenarios!C91</f>
        <v>4.1386488388798224</v>
      </c>
    </row>
    <row r="156" spans="2:4">
      <c r="B156" s="212" t="str">
        <f>"+ PV(Equity Value realized at year "&amp;C141&amp;")"</f>
        <v>+ PV(Equity Value realized at year 3)</v>
      </c>
      <c r="C156" s="216">
        <f>Scenarios!C92</f>
        <v>40.326725466958813</v>
      </c>
    </row>
    <row r="157" spans="2:4">
      <c r="B157" s="80" t="s">
        <v>260</v>
      </c>
      <c r="C157" s="215">
        <f>Scenarios!C93</f>
        <v>44.465374305838637</v>
      </c>
      <c r="D157" s="300" t="str">
        <f>IF($D$11="","",C157*$E$25)</f>
        <v/>
      </c>
    </row>
    <row r="158" spans="2:4">
      <c r="B158" s="259" t="s">
        <v>416</v>
      </c>
      <c r="C158" s="298" t="str">
        <f>Market_currency</f>
        <v>HKD</v>
      </c>
      <c r="D158" s="298" t="str">
        <f>IF($D$11="","",D$13)</f>
        <v/>
      </c>
    </row>
    <row r="159" spans="2:4">
      <c r="B159" s="214" t="s">
        <v>262</v>
      </c>
      <c r="C159" s="92">
        <f>Scenarios!F93</f>
        <v>0.38887633497335816</v>
      </c>
    </row>
    <row r="161" spans="2:4">
      <c r="B161" s="210" t="s">
        <v>400</v>
      </c>
    </row>
    <row r="162" spans="2:4">
      <c r="B162" s="1" t="s">
        <v>409</v>
      </c>
      <c r="C162" s="92">
        <f>Scenarios!C96</f>
        <v>7.4999999999999997E-2</v>
      </c>
    </row>
    <row r="163" spans="2:4">
      <c r="B163" s="212" t="str">
        <f>"PV("&amp;C141&amp;" yrs of Dividends)"</f>
        <v>PV(3 yrs of Dividends)</v>
      </c>
      <c r="C163" s="216">
        <f>Scenarios!C97</f>
        <v>5.2490531161175209</v>
      </c>
    </row>
    <row r="164" spans="2:4">
      <c r="B164" s="212" t="str">
        <f>"+ PV(Equity Value realized at year "&amp;C141&amp;")"</f>
        <v>+ PV(Equity Value realized at year 3)</v>
      </c>
      <c r="C164" s="216">
        <f>Scenarios!C98</f>
        <v>58.568952690001218</v>
      </c>
    </row>
    <row r="165" spans="2:4">
      <c r="B165" s="80" t="s">
        <v>401</v>
      </c>
      <c r="C165" s="215">
        <f>Scenarios!C99</f>
        <v>63.818005806118741</v>
      </c>
      <c r="D165" s="300" t="str">
        <f>IF($D$11="","",C165*$E$25)</f>
        <v/>
      </c>
    </row>
    <row r="166" spans="2:4">
      <c r="B166" s="259" t="s">
        <v>416</v>
      </c>
      <c r="C166" s="298" t="str">
        <f>Market_currency</f>
        <v>HKD</v>
      </c>
      <c r="D166" s="298" t="str">
        <f>IF($D$11="","",D$13)</f>
        <v/>
      </c>
    </row>
    <row r="167" spans="2:4">
      <c r="B167" s="214" t="s">
        <v>262</v>
      </c>
      <c r="C167" s="92">
        <f>Scenarios!F99</f>
        <v>0.12289744072151643</v>
      </c>
    </row>
    <row r="169" spans="2:4">
      <c r="B169" s="210" t="s">
        <v>432</v>
      </c>
    </row>
    <row r="170" spans="2:4">
      <c r="B170" s="1" t="s">
        <v>423</v>
      </c>
      <c r="C170" s="92">
        <f>F32</f>
        <v>0.1174</v>
      </c>
    </row>
    <row r="171" spans="2:4">
      <c r="B171" s="212" t="str">
        <f>"PV("&amp;C141&amp;" yrs of Dividends)"</f>
        <v>PV(3 yrs of Dividends)</v>
      </c>
      <c r="C171" s="216">
        <f>Scenarios!C103</f>
        <v>4.8697391308215465</v>
      </c>
    </row>
    <row r="172" spans="2:4">
      <c r="B172" s="212" t="str">
        <f>"+ PV(Equity Value realized at year "&amp;C141&amp;")"</f>
        <v>+ PV(Equity Value realized at year 3)</v>
      </c>
      <c r="C172" s="216">
        <f>Scenarios!C104</f>
        <v>52.151505475759627</v>
      </c>
    </row>
    <row r="173" spans="2:4">
      <c r="B173" s="80" t="s">
        <v>401</v>
      </c>
      <c r="C173" s="215">
        <f>Scenarios!C105</f>
        <v>57.021244606581178</v>
      </c>
      <c r="D173" s="300" t="str">
        <f>IF($D$11="","",C173*$E$25)</f>
        <v/>
      </c>
    </row>
    <row r="174" spans="2:4">
      <c r="B174" s="259" t="s">
        <v>416</v>
      </c>
      <c r="C174" s="298" t="str">
        <f>Market_currency</f>
        <v>HKD</v>
      </c>
      <c r="D174" s="298" t="str">
        <f>IF($D$11="","",D$13)</f>
        <v/>
      </c>
    </row>
    <row r="175" spans="2:4">
      <c r="B175" s="214" t="s">
        <v>262</v>
      </c>
      <c r="C175" s="92">
        <f>Scenarios!F105</f>
        <v>0.21595404385098549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2.0184584353992836</v>
      </c>
      <c r="D25" s="39">
        <f>2/Exchange_Rate</f>
        <v>1.8349622139993487</v>
      </c>
      <c r="E25" s="39">
        <f>1.3/Exchange_Rate</f>
        <v>1.1927254390995767</v>
      </c>
      <c r="F25" s="39">
        <f>1.1/Exchange_Rate</f>
        <v>1.0092292176996418</v>
      </c>
      <c r="G25" s="39">
        <f>0.75/Exchange_Rate</f>
        <v>0.68811083024975572</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2.0184584353992836</v>
      </c>
      <c r="D65" s="73">
        <f t="shared" ref="D65:M65" si="33">IF(D$4="","",D25)</f>
        <v>1.8349622139993487</v>
      </c>
      <c r="E65" s="73">
        <f t="shared" si="33"/>
        <v>1.1927254390995767</v>
      </c>
      <c r="F65" s="73">
        <f t="shared" si="33"/>
        <v>1.0092292176996418</v>
      </c>
      <c r="G65" s="73">
        <f t="shared" si="33"/>
        <v>0.68811083024975572</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23.218128155882706</v>
      </c>
      <c r="D47" s="147">
        <f>D46*H1/Common_Shares*Exchange_Rate</f>
        <v>1.3546881616207227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12815658328.129091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-2533634337.3569341</v>
      </c>
      <c r="D73" s="349">
        <f>(Normalized_FCF!C25+Normalized_FCF!C35-Normalized_FCF!C91)/12</f>
        <v>-2581557283.9354544</v>
      </c>
      <c r="F73" s="1" t="s">
        <v>351</v>
      </c>
    </row>
    <row r="74" spans="2:6" ht="15" customHeight="1">
      <c r="B74" s="257" t="s">
        <v>321</v>
      </c>
      <c r="C74" s="258">
        <f>-$C$66/C73</f>
        <v>7.0960409049220985</v>
      </c>
      <c r="D74" s="258">
        <f>-$C$66/D73</f>
        <v>6.9643129780146751</v>
      </c>
      <c r="F74" s="253" t="s">
        <v>319</v>
      </c>
    </row>
    <row r="75" spans="2:6" ht="15" customHeight="1">
      <c r="B75" s="80" t="s">
        <v>320</v>
      </c>
      <c r="C75" s="320"/>
      <c r="D75" s="321">
        <f>MAX(-D73*D76,G5)</f>
        <v>5163114567.8709087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-311065133.46448815</v>
      </c>
      <c r="D86" s="223">
        <f>C86*scaling_factor/Common_Shares</f>
        <v>-0.22802071973833746</v>
      </c>
      <c r="E86" s="240" t="str">
        <f>Market_currency</f>
        <v>HKD</v>
      </c>
    </row>
    <row r="87" spans="2:8" ht="15" customHeight="1">
      <c r="B87" s="238" t="s">
        <v>287</v>
      </c>
      <c r="C87" s="76">
        <f>DCF!C8*Exchange_Rate</f>
        <v>13968307609.121853</v>
      </c>
      <c r="D87" s="223">
        <f>C87*scaling_factor/Common_Shares</f>
        <v>10.23921748826303</v>
      </c>
      <c r="E87" s="240" t="str">
        <f>Market_currency</f>
        <v>HKD</v>
      </c>
    </row>
    <row r="88" spans="2:8" ht="15" customHeight="1">
      <c r="B88" s="239" t="s">
        <v>189</v>
      </c>
      <c r="C88" s="76">
        <f>DCF!C9*Exchange_Rate</f>
        <v>3003235221.3885732</v>
      </c>
      <c r="D88" s="223">
        <f>C88*scaling_factor/Common_Shares</f>
        <v>2.2014677411691523</v>
      </c>
      <c r="E88" s="240" t="str">
        <f>Market_currency</f>
        <v>HKD</v>
      </c>
    </row>
    <row r="89" spans="2:8" ht="15" customHeight="1">
      <c r="B89" s="80" t="s">
        <v>291</v>
      </c>
      <c r="C89" s="180">
        <f>SUM(C86:C88)</f>
        <v>16660477697.045937</v>
      </c>
      <c r="D89" s="242">
        <f>SUM(D86:D88)</f>
        <v>12.212664509693845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155286289.52205512</v>
      </c>
      <c r="E12" s="268"/>
      <c r="G12" s="328">
        <f>G50</f>
        <v>155286289.52205509</v>
      </c>
      <c r="H12" s="328">
        <f t="shared" ref="H12:Q12" si="6">H50</f>
        <v>128989641.57160094</v>
      </c>
      <c r="I12" s="328">
        <f t="shared" si="6"/>
        <v>122767081.87451801</v>
      </c>
      <c r="J12" s="328">
        <f t="shared" si="6"/>
        <v>67961997.067771181</v>
      </c>
      <c r="K12" s="328">
        <f t="shared" si="6"/>
        <v>136827205.99161798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4033354359.8298097</v>
      </c>
      <c r="E13" s="268"/>
      <c r="G13" s="329">
        <f>IF(G$4="","",SUM(G8:G12))</f>
        <v>4691351149.5220547</v>
      </c>
      <c r="H13" s="329">
        <f t="shared" ref="H13:Q13" si="7">IF(H$4="","",SUM(H8:H12))</f>
        <v>4549657433.5716009</v>
      </c>
      <c r="I13" s="329">
        <f t="shared" si="7"/>
        <v>3869720289.8745179</v>
      </c>
      <c r="J13" s="329">
        <f t="shared" si="7"/>
        <v>3025052997.067771</v>
      </c>
      <c r="K13" s="329">
        <f t="shared" si="7"/>
        <v>2470887077.9916182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-1008338589.9574524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2878381205.4006805</v>
      </c>
      <c r="D16" s="61"/>
      <c r="E16" s="276"/>
      <c r="F16" s="61"/>
      <c r="G16" s="329">
        <f>IF(G$4="","",SUM(G13:G15))</f>
        <v>3154842007.5220547</v>
      </c>
      <c r="H16" s="329">
        <f t="shared" ref="H16:Q16" si="8">IF(H$4="","",SUM(H13:H15))</f>
        <v>3071101537.5716009</v>
      </c>
      <c r="I16" s="329">
        <f t="shared" si="8"/>
        <v>2574207596.8745179</v>
      </c>
      <c r="J16" s="329">
        <f t="shared" si="8"/>
        <v>1701533342.067771</v>
      </c>
      <c r="K16" s="329">
        <f t="shared" si="8"/>
        <v>1432661309.9916182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2878381205.4006805</v>
      </c>
      <c r="D19" s="27"/>
      <c r="E19" s="265"/>
      <c r="F19" s="27"/>
      <c r="G19" s="334">
        <f>IF(G$4="","",G16+G17)</f>
        <v>3154842007.5220547</v>
      </c>
      <c r="H19" s="334">
        <f t="shared" ref="H19:Q19" si="9">IF(H$4="","",H16+H17)</f>
        <v>3071101537.5716009</v>
      </c>
      <c r="I19" s="334">
        <f t="shared" si="9"/>
        <v>2574207596.8745179</v>
      </c>
      <c r="J19" s="334">
        <f t="shared" si="9"/>
        <v>1701533342.067771</v>
      </c>
      <c r="K19" s="334">
        <f t="shared" si="9"/>
        <v>1432661309.9916182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0.29622943789692263</v>
      </c>
      <c r="H43" s="6">
        <f t="shared" si="18"/>
        <v>0.30732168265740606</v>
      </c>
      <c r="I43" s="6">
        <f t="shared" si="18"/>
        <v>0.31046683429384453</v>
      </c>
      <c r="J43" s="6">
        <f t="shared" si="18"/>
        <v>0.40420171024613849</v>
      </c>
      <c r="K43" s="6">
        <f t="shared" si="18"/>
        <v>0.36933315452916693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177123343.52205512</v>
      </c>
      <c r="E48" s="268"/>
      <c r="G48" s="337">
        <f>IFERROR(IF(G$4="","",($C$48/$C$49)*G49),0)</f>
        <v>177123343.52205509</v>
      </c>
      <c r="H48" s="337">
        <f t="shared" ref="H48:Q48" si="19">IFERROR(IF(H$4="","",($C$48/$C$49)*H49),0)</f>
        <v>145420231.57160094</v>
      </c>
      <c r="I48" s="337">
        <f t="shared" si="19"/>
        <v>132004881.87451801</v>
      </c>
      <c r="J48" s="337">
        <f t="shared" si="19"/>
        <v>90647364.067771181</v>
      </c>
      <c r="K48" s="337">
        <f t="shared" si="19"/>
        <v>150489887.99161798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155286289.52205512</v>
      </c>
      <c r="E50" s="268"/>
      <c r="G50" s="329">
        <f>IF(G$4="","",(G47+G48))</f>
        <v>155286289.52205509</v>
      </c>
      <c r="H50" s="329">
        <f t="shared" ref="H50:Q50" si="20">IF(H$4="","",(H47+H48))</f>
        <v>128989641.57160094</v>
      </c>
      <c r="I50" s="329">
        <f t="shared" si="20"/>
        <v>122767081.87451801</v>
      </c>
      <c r="J50" s="329">
        <f t="shared" si="20"/>
        <v>67961997.067771181</v>
      </c>
      <c r="K50" s="329">
        <f t="shared" si="20"/>
        <v>136827205.99161798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4.8370997783621049E-3</v>
      </c>
      <c r="D80" s="27"/>
      <c r="E80" s="265"/>
      <c r="F80" s="27"/>
      <c r="G80" s="6">
        <f t="shared" ref="G80:Q80" si="31">IF(G$4="","",ABS(G12/G$4))</f>
        <v>4.8318846974333947E-3</v>
      </c>
      <c r="H80" s="6">
        <f t="shared" si="31"/>
        <v>3.8009092020427795E-3</v>
      </c>
      <c r="I80" s="6">
        <f t="shared" si="31"/>
        <v>3.8160120433471762E-3</v>
      </c>
      <c r="J80" s="6">
        <f t="shared" si="31"/>
        <v>2.252873521688421E-3</v>
      </c>
      <c r="K80" s="6">
        <f t="shared" si="31"/>
        <v>4.9289852605584718E-3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0.12563721845654416</v>
      </c>
      <c r="D81" s="27"/>
      <c r="E81" s="265"/>
      <c r="F81" s="27"/>
      <c r="G81" s="65">
        <f t="shared" ref="G81:Q81" si="32">IF(G$4="","",G13/G$4)</f>
        <v>0.14597597701272055</v>
      </c>
      <c r="H81" s="65">
        <f t="shared" si="32"/>
        <v>0.13406374802433685</v>
      </c>
      <c r="I81" s="65">
        <f t="shared" si="32"/>
        <v>0.12028386604187224</v>
      </c>
      <c r="J81" s="65">
        <f t="shared" si="32"/>
        <v>0.1002775388133791</v>
      </c>
      <c r="K81" s="65">
        <f t="shared" si="32"/>
        <v>8.9009827392595886E-2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3.140930461413604E-2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8.9660311502953463E-2</v>
      </c>
      <c r="D84" s="27"/>
      <c r="E84" s="265"/>
      <c r="F84" s="27"/>
      <c r="G84" s="65">
        <f t="shared" ref="G84:Q84" si="35">IF(G$4="","",ABS(G16/G$4))</f>
        <v>9.8165993056333598E-2</v>
      </c>
      <c r="H84" s="65">
        <f t="shared" si="35"/>
        <v>9.0495468879057739E-2</v>
      </c>
      <c r="I84" s="65">
        <f t="shared" si="35"/>
        <v>8.0014992958693881E-2</v>
      </c>
      <c r="J84" s="65">
        <f t="shared" si="35"/>
        <v>5.6404160825231649E-2</v>
      </c>
      <c r="K84" s="65">
        <f t="shared" si="35"/>
        <v>5.1609374240629231E-2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8.9660311502953463E-2</v>
      </c>
      <c r="D87" s="75"/>
      <c r="E87" s="265"/>
      <c r="F87" s="75"/>
      <c r="G87" s="65">
        <f t="shared" ref="G87:Q87" si="36">IF(G$4="","",ABS(G19/G$4))</f>
        <v>9.8165993056333598E-2</v>
      </c>
      <c r="H87" s="65">
        <f t="shared" si="36"/>
        <v>9.0495468879057739E-2</v>
      </c>
      <c r="I87" s="65">
        <f t="shared" si="36"/>
        <v>8.0014992958693881E-2</v>
      </c>
      <c r="J87" s="65">
        <f t="shared" si="36"/>
        <v>5.6404160825231649E-2</v>
      </c>
      <c r="K87" s="65">
        <f t="shared" si="36"/>
        <v>5.1609374240629231E-2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2.0184584353992836</v>
      </c>
      <c r="E90" s="268"/>
      <c r="G90" s="112">
        <f>Data!C65</f>
        <v>2.0184584353992836</v>
      </c>
      <c r="H90" s="112">
        <f>Data!D65</f>
        <v>1.8349622139993487</v>
      </c>
      <c r="I90" s="112">
        <f>Data!E65</f>
        <v>1.1927254390995767</v>
      </c>
      <c r="J90" s="112">
        <f>Data!F65</f>
        <v>1.0092292176996418</v>
      </c>
      <c r="K90" s="112">
        <f>Data!G65</f>
        <v>0.68811083024975572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2753574514.2832084</v>
      </c>
      <c r="E91" s="268"/>
      <c r="G91" s="74">
        <f t="shared" ref="G91:Q91" si="37">IF(G$4="","",G90*Common_Shares/scaling_factor)</f>
        <v>2753574514.2832084</v>
      </c>
      <c r="H91" s="74">
        <f t="shared" si="37"/>
        <v>2503249558.43928</v>
      </c>
      <c r="I91" s="74">
        <f t="shared" si="37"/>
        <v>1627112212.9855323</v>
      </c>
      <c r="J91" s="74">
        <f t="shared" si="37"/>
        <v>1376787257.1416042</v>
      </c>
      <c r="K91" s="74">
        <f t="shared" si="37"/>
        <v>938718584.41472995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0.95663997149394298</v>
      </c>
      <c r="E92" s="268"/>
      <c r="G92" s="170">
        <f t="shared" ref="G92:Q92" si="38">IF(G$4="","",G90/(G19*scaling_factor/Common_Shares))</f>
        <v>0.87280900524270022</v>
      </c>
      <c r="H92" s="170">
        <f t="shared" si="38"/>
        <v>0.81509827266039014</v>
      </c>
      <c r="I92" s="170">
        <f t="shared" si="38"/>
        <v>0.63208274847805423</v>
      </c>
      <c r="J92" s="170">
        <f t="shared" si="38"/>
        <v>0.80914503589361197</v>
      </c>
      <c r="K92" s="170">
        <f t="shared" si="38"/>
        <v>0.65522714815284711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3.7069943717158556E-2</v>
      </c>
      <c r="E93" s="268"/>
      <c r="G93" s="23">
        <f t="shared" ref="G93:Q93" si="39">IF(G$4="","",G90/Market_Price)</f>
        <v>3.7069943717158556E-2</v>
      </c>
      <c r="H93" s="23">
        <f t="shared" si="39"/>
        <v>3.3699948833780503E-2</v>
      </c>
      <c r="I93" s="23">
        <f t="shared" si="39"/>
        <v>2.190496674195733E-2</v>
      </c>
      <c r="J93" s="23">
        <f t="shared" si="39"/>
        <v>1.8534971858579278E-2</v>
      </c>
      <c r="K93" s="23">
        <f t="shared" si="39"/>
        <v>1.263748081266769E-2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-0.14025741598116792</v>
      </c>
      <c r="D97" s="27"/>
      <c r="E97" s="265"/>
      <c r="F97" s="27"/>
      <c r="G97" s="6">
        <f t="shared" ref="G97:Q97" si="41">IF(H5="","",G13/H13-1)</f>
        <v>3.114382083031253E-2</v>
      </c>
      <c r="H97" s="6">
        <f t="shared" si="41"/>
        <v>0.17570705187044178</v>
      </c>
      <c r="I97" s="6">
        <f t="shared" si="41"/>
        <v>0.27922396520837678</v>
      </c>
      <c r="J97" s="6">
        <f t="shared" si="41"/>
        <v>0.22427812424620752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1.6338888349114786</v>
      </c>
      <c r="H114" s="295">
        <f>IF(H$4="","",Data!D$22/H19)</f>
        <v>0.90442048431791477</v>
      </c>
      <c r="I114" s="295">
        <f>IF(I$4="","",Data!E$22/I19)</f>
        <v>1.8952516991728154</v>
      </c>
      <c r="J114" s="295">
        <f>IF(J$4="","",Data!F$22/J19)</f>
        <v>3.5515680507654177</v>
      </c>
      <c r="K114" s="295">
        <f>IF(K$4="","",Data!G$22/K19)</f>
        <v>3.4574971261204648</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0.12563721845654416</v>
      </c>
      <c r="E117" s="268"/>
      <c r="G117" s="23">
        <f t="shared" ref="G117:Q117" si="45">IF(G4="","",IF(valuation_method="DDM",G13/(G4+G12),G81))</f>
        <v>0.14597597701272055</v>
      </c>
      <c r="H117" s="23">
        <f t="shared" si="45"/>
        <v>0.13406374802433685</v>
      </c>
      <c r="I117" s="23">
        <f t="shared" si="45"/>
        <v>0.12028386604187224</v>
      </c>
      <c r="J117" s="23">
        <f t="shared" si="45"/>
        <v>0.1002775388133791</v>
      </c>
      <c r="K117" s="23">
        <f t="shared" si="45"/>
        <v>8.9009827392595886E-2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0.13507756945314017</v>
      </c>
      <c r="D120" s="103"/>
      <c r="E120" s="271"/>
      <c r="F120" s="103"/>
      <c r="G120" s="102">
        <f>IF(G$4="","",G13/G105)</f>
        <v>0.15711396872041108</v>
      </c>
      <c r="H120" s="102">
        <f t="shared" ref="H120:Q120" si="48">IF(H$4="","",H13/H105)</f>
        <v>0.16102276213595604</v>
      </c>
      <c r="I120" s="102">
        <f t="shared" si="48"/>
        <v>0.14729271679907405</v>
      </c>
      <c r="J120" s="102">
        <f t="shared" si="48"/>
        <v>0.12713676720383552</v>
      </c>
      <c r="K120" s="102">
        <f t="shared" si="48"/>
        <v>0.11563464272720168</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2.2997157400441424</v>
      </c>
      <c r="D124" s="27"/>
      <c r="E124" s="265"/>
      <c r="F124" s="27"/>
      <c r="G124" s="177">
        <f t="shared" ref="G124:Q124" si="49">IF(G$4="","",G16*$C$3/Common_Shares*Exchange_Rate)</f>
        <v>2.5205972747591558</v>
      </c>
      <c r="H124" s="177">
        <f t="shared" si="49"/>
        <v>2.4536918640156387</v>
      </c>
      <c r="I124" s="177">
        <f t="shared" si="49"/>
        <v>2.0566927401992463</v>
      </c>
      <c r="J124" s="177">
        <f t="shared" si="49"/>
        <v>1.3594596162666568</v>
      </c>
      <c r="K124" s="177">
        <f t="shared" si="49"/>
        <v>1.1446412165831763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4.223536712661418E-2</v>
      </c>
      <c r="D125" s="27"/>
      <c r="E125" s="265"/>
      <c r="F125" s="27"/>
      <c r="G125" s="77">
        <f t="shared" ref="G125" si="50">IF(G$4="","",G124/Market_Price)</f>
        <v>4.6291960968946846E-2</v>
      </c>
      <c r="H125" s="77">
        <f t="shared" ref="H125" si="51">IF(H$4="","",H124/Market_Price)</f>
        <v>4.5063211460342305E-2</v>
      </c>
      <c r="I125" s="77">
        <f t="shared" ref="I125" si="52">IF(I$4="","",I124/Market_Price)</f>
        <v>3.7772134806230415E-2</v>
      </c>
      <c r="J125" s="77">
        <f t="shared" ref="J125" si="53">IF(J$4="","",J124/Market_Price)</f>
        <v>2.4967118756045119E-2</v>
      </c>
      <c r="K125" s="77">
        <f t="shared" ref="K125" si="54">IF(K$4="","",K124/Market_Price)</f>
        <v>2.102187725588937E-2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6.047045688299077E-2</v>
      </c>
      <c r="H126" s="23">
        <f>IF(H$4="","",(Data!D47*$C$3)/(Market_Price*Common_Shares))</f>
        <v>5.8537544035066225E-2</v>
      </c>
      <c r="I126" s="23">
        <f>IF(I$4="","",(Data!E47*$C$3)/(Market_Price*Common_Shares))</f>
        <v>5.122098941478586E-2</v>
      </c>
      <c r="J126" s="23">
        <f>IF(J$4="","",(Data!F47*$C$3)/(Market_Price*Common_Shares))</f>
        <v>4.3837120210151514E-2</v>
      </c>
      <c r="K126" s="23">
        <f>IF(K$4="","",(Data!G47*$C$3)/(Market_Price*Common_Shares))</f>
        <v>3.1326772595216469E-2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2878381205.4006805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38378416072.009079</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12815658328.129091</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53664089592.638168</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42.875541043615748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72.726916272422955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3054439833.0258036</v>
      </c>
      <c r="D21" s="138">
        <f>IF($C$17&lt;B21,0,DCF!$C$16)</f>
        <v>6.1165848114484E-2</v>
      </c>
      <c r="E21" s="124">
        <f t="shared" ref="E21:E50" si="0">IF($C$17&lt;B21,0,1/(1+Equity_Cost)^B21)</f>
        <v>0.93023255813953487</v>
      </c>
      <c r="F21" s="125">
        <f t="shared" ref="F21:F51" si="1">C21*E21</f>
        <v>2841339379.558887</v>
      </c>
      <c r="H21" s="120"/>
    </row>
    <row r="22" spans="2:17">
      <c r="B22" s="122">
        <v>2</v>
      </c>
      <c r="C22" s="123">
        <f t="shared" ref="C22:C50" si="2">IF(ROW()-ROW($C$21)&lt;$C$17, $C$21*(1+D22)^(ROW()-ROW($C$21)), 0)</f>
        <v>3241267235.9274893</v>
      </c>
      <c r="D22" s="138">
        <f>IF($C$17&lt;B22,0,DCF!$C$16)</f>
        <v>6.1165848114484E-2</v>
      </c>
      <c r="E22" s="124">
        <f t="shared" si="0"/>
        <v>0.86533261222282321</v>
      </c>
      <c r="F22" s="125">
        <f t="shared" si="1"/>
        <v>2804774244.1773839</v>
      </c>
      <c r="H22" s="120"/>
    </row>
    <row r="23" spans="2:17">
      <c r="B23" s="122">
        <v>3</v>
      </c>
      <c r="C23" s="123">
        <f t="shared" si="2"/>
        <v>3439522095.3786831</v>
      </c>
      <c r="D23" s="138">
        <f>IF($C$17&lt;B23,0,DCF!$C$16)</f>
        <v>6.1165848114484E-2</v>
      </c>
      <c r="E23" s="124">
        <f t="shared" si="0"/>
        <v>0.80496056950960304</v>
      </c>
      <c r="F23" s="125">
        <f t="shared" si="1"/>
        <v>2768679664.7368879</v>
      </c>
      <c r="G23" s="338"/>
      <c r="H23" s="339"/>
      <c r="I23" s="338"/>
      <c r="J23" s="338"/>
      <c r="K23" s="338"/>
      <c r="L23" s="338"/>
      <c r="M23" s="338"/>
      <c r="N23" s="338"/>
      <c r="O23" s="338"/>
      <c r="P23" s="338"/>
      <c r="Q23" s="338"/>
    </row>
    <row r="24" spans="2:17">
      <c r="B24" s="122">
        <v>4</v>
      </c>
      <c r="C24" s="123">
        <f t="shared" si="2"/>
        <v>3649903381.4510269</v>
      </c>
      <c r="D24" s="138">
        <f>IF($C$17&lt;B24,0,DCF!$C$16)</f>
        <v>6.1165848114484E-2</v>
      </c>
      <c r="E24" s="124">
        <f t="shared" si="0"/>
        <v>0.7488005297763749</v>
      </c>
      <c r="F24" s="125">
        <f t="shared" si="1"/>
        <v>2733049585.6631112</v>
      </c>
      <c r="G24" s="338"/>
      <c r="H24" s="339"/>
      <c r="I24" s="338"/>
      <c r="J24" s="338"/>
      <c r="K24" s="338"/>
      <c r="L24" s="338"/>
      <c r="M24" s="338"/>
      <c r="N24" s="338"/>
      <c r="O24" s="338"/>
      <c r="P24" s="338"/>
      <c r="Q24" s="338"/>
    </row>
    <row r="25" spans="2:17">
      <c r="B25" s="122">
        <v>5</v>
      </c>
      <c r="C25" s="123">
        <f t="shared" si="2"/>
        <v>3873152817.3134017</v>
      </c>
      <c r="D25" s="138">
        <f>IF($C$17&lt;B25,0,DCF!$C$16)</f>
        <v>6.1165848114484E-2</v>
      </c>
      <c r="E25" s="124">
        <f t="shared" si="0"/>
        <v>0.69655863235011617</v>
      </c>
      <c r="F25" s="125">
        <f t="shared" si="1"/>
        <v>2697878029.3108225</v>
      </c>
      <c r="G25" s="338"/>
      <c r="H25" s="339"/>
      <c r="I25" s="338"/>
      <c r="J25" s="338"/>
      <c r="K25" s="338"/>
      <c r="L25" s="338"/>
      <c r="M25" s="338"/>
      <c r="N25" s="338"/>
      <c r="O25" s="338"/>
      <c r="P25" s="338"/>
      <c r="Q25" s="338"/>
    </row>
    <row r="26" spans="2:17">
      <c r="B26" s="122">
        <v>6</v>
      </c>
      <c r="C26" s="123">
        <f t="shared" si="2"/>
        <v>4110057494.2613783</v>
      </c>
      <c r="D26" s="138">
        <f>IF($C$17&lt;B26,0,DCF!$C$16)</f>
        <v>6.1165848114484E-2</v>
      </c>
      <c r="E26" s="124">
        <f t="shared" si="0"/>
        <v>0.64796151846522443</v>
      </c>
      <c r="F26" s="125">
        <f t="shared" si="1"/>
        <v>2663159094.960978</v>
      </c>
      <c r="H26" s="120"/>
    </row>
    <row r="27" spans="2:17">
      <c r="B27" s="122">
        <v>7</v>
      </c>
      <c r="C27" s="123">
        <f t="shared" si="2"/>
        <v>4361452646.6971655</v>
      </c>
      <c r="D27" s="138">
        <f>IF($C$17&lt;B27,0,DCF!$C$16)</f>
        <v>6.1165848114484E-2</v>
      </c>
      <c r="E27" s="124">
        <f t="shared" si="0"/>
        <v>0.60275490089788319</v>
      </c>
      <c r="F27" s="125">
        <f t="shared" si="1"/>
        <v>2628886957.8307605</v>
      </c>
      <c r="H27" s="120"/>
    </row>
    <row r="28" spans="2:17">
      <c r="B28" s="122">
        <v>8</v>
      </c>
      <c r="C28" s="123">
        <f t="shared" si="2"/>
        <v>4628224596.8435583</v>
      </c>
      <c r="D28" s="138">
        <f>IF($C$17&lt;B28,0,DCF!$C$16)</f>
        <v>6.1165848114484E-2</v>
      </c>
      <c r="E28" s="124">
        <f t="shared" si="0"/>
        <v>0.56070223339337966</v>
      </c>
      <c r="F28" s="125">
        <f t="shared" si="1"/>
        <v>2595055868.0963573</v>
      </c>
      <c r="H28" s="120"/>
    </row>
    <row r="29" spans="2:17">
      <c r="B29" s="122">
        <v>9</v>
      </c>
      <c r="C29" s="123">
        <f t="shared" si="2"/>
        <v>4911313879.5738096</v>
      </c>
      <c r="D29" s="138">
        <f>IF($C$17&lt;B29,0,DCF!$C$16)</f>
        <v>6.1165848114484E-2</v>
      </c>
      <c r="E29" s="124">
        <f t="shared" si="0"/>
        <v>0.52158347292407414</v>
      </c>
      <c r="F29" s="125">
        <f t="shared" si="1"/>
        <v>2561660149.9283156</v>
      </c>
      <c r="H29" s="120"/>
    </row>
    <row r="30" spans="2:17">
      <c r="B30" s="122">
        <v>10</v>
      </c>
      <c r="C30" s="123">
        <f t="shared" si="2"/>
        <v>5211718558.3743782</v>
      </c>
      <c r="D30" s="138">
        <f>IF($C$17&lt;B30,0,DCF!$C$16)</f>
        <v>6.1165848114484E-2</v>
      </c>
      <c r="E30" s="124">
        <f t="shared" si="0"/>
        <v>0.48519392830146441</v>
      </c>
      <c r="F30" s="125">
        <f t="shared" si="1"/>
        <v>2528694200.5393095</v>
      </c>
      <c r="H30" s="120"/>
    </row>
    <row r="31" spans="2:17">
      <c r="B31" s="122">
        <v>11</v>
      </c>
      <c r="C31" s="123">
        <f t="shared" si="2"/>
        <v>5530497744.1313419</v>
      </c>
      <c r="D31" s="138">
        <f>IF($C$17&lt;B31,0,DCF!$C$16)</f>
        <v>6.1165848114484E-2</v>
      </c>
      <c r="E31" s="124">
        <f t="shared" si="0"/>
        <v>0.45134318911764126</v>
      </c>
      <c r="F31" s="125">
        <f t="shared" si="1"/>
        <v>2496152489.2441607</v>
      </c>
      <c r="H31" s="120"/>
    </row>
    <row r="32" spans="2:17">
      <c r="B32" s="122">
        <v>12</v>
      </c>
      <c r="C32" s="123">
        <f t="shared" si="2"/>
        <v>5868775329.1463757</v>
      </c>
      <c r="D32" s="138">
        <f>IF($C$17&lt;B32,0,DCF!$C$16)</f>
        <v>6.1165848114484E-2</v>
      </c>
      <c r="E32" s="124">
        <f t="shared" si="0"/>
        <v>0.41985412941175931</v>
      </c>
      <c r="F32" s="125">
        <f t="shared" si="1"/>
        <v>2464029556.5319629</v>
      </c>
      <c r="H32" s="120"/>
    </row>
    <row r="33" spans="2:17">
      <c r="B33" s="122">
        <v>13</v>
      </c>
      <c r="C33" s="341">
        <f t="shared" si="2"/>
        <v>6227743949.5469723</v>
      </c>
      <c r="D33" s="138">
        <f>IF($C$17&lt;B33,0,DCF!$C$16)</f>
        <v>6.1165848114484E-2</v>
      </c>
      <c r="E33" s="124">
        <f t="shared" si="0"/>
        <v>0.39056198084814819</v>
      </c>
      <c r="F33" s="125">
        <f t="shared" si="1"/>
        <v>2432320013.1501355</v>
      </c>
      <c r="G33" s="338"/>
      <c r="H33" s="339"/>
      <c r="I33" s="338"/>
      <c r="J33" s="338"/>
      <c r="K33" s="338"/>
      <c r="L33" s="338"/>
      <c r="M33" s="338"/>
      <c r="N33" s="338"/>
      <c r="O33" s="338"/>
      <c r="P33" s="338"/>
      <c r="Q33" s="338"/>
    </row>
    <row r="34" spans="2:17">
      <c r="B34" s="122">
        <v>14</v>
      </c>
      <c r="C34" s="341">
        <f t="shared" si="2"/>
        <v>6608669190.0608597</v>
      </c>
      <c r="D34" s="138">
        <f>IF($C$17&lt;B34,0,DCF!$C$16)</f>
        <v>6.1165848114484E-2</v>
      </c>
      <c r="E34" s="124">
        <f t="shared" si="0"/>
        <v>0.36331347055641694</v>
      </c>
      <c r="F34" s="125">
        <f t="shared" si="1"/>
        <v>2401018539.2002759</v>
      </c>
      <c r="G34" s="338"/>
      <c r="H34" s="339"/>
      <c r="I34" s="338"/>
      <c r="J34" s="338"/>
      <c r="K34" s="338"/>
      <c r="L34" s="338"/>
      <c r="M34" s="338"/>
      <c r="N34" s="338"/>
      <c r="O34" s="338"/>
      <c r="P34" s="338"/>
      <c r="Q34" s="338"/>
    </row>
    <row r="35" spans="2:17">
      <c r="B35" s="122">
        <v>15</v>
      </c>
      <c r="C35" s="341">
        <f t="shared" si="2"/>
        <v>7012894045.9789906</v>
      </c>
      <c r="D35" s="138">
        <f>IF($C$17&lt;B35,0,DCF!$C$16)</f>
        <v>6.1165848114484E-2</v>
      </c>
      <c r="E35" s="124">
        <f t="shared" si="0"/>
        <v>0.33796601912224833</v>
      </c>
      <c r="F35" s="125">
        <f t="shared" si="1"/>
        <v>2370119883.2456369</v>
      </c>
      <c r="G35" s="338"/>
      <c r="H35" s="339"/>
      <c r="I35" s="338"/>
      <c r="J35" s="338"/>
      <c r="K35" s="338"/>
      <c r="L35" s="338"/>
      <c r="M35" s="338"/>
      <c r="N35" s="338"/>
      <c r="O35" s="338"/>
      <c r="P35" s="338"/>
      <c r="Q35" s="338"/>
    </row>
    <row r="36" spans="2:17">
      <c r="B36" s="122">
        <v>16</v>
      </c>
      <c r="C36" s="123">
        <f t="shared" si="2"/>
        <v>7441843658.0383091</v>
      </c>
      <c r="D36" s="138">
        <f>IF($C$17&lt;B36,0,DCF!$C$16)</f>
        <v>6.1165848114484E-2</v>
      </c>
      <c r="E36" s="124">
        <f t="shared" si="0"/>
        <v>0.31438699453232405</v>
      </c>
      <c r="F36" s="125">
        <f t="shared" si="1"/>
        <v>2339618861.4301004</v>
      </c>
      <c r="H36" s="120"/>
    </row>
    <row r="37" spans="2:17">
      <c r="B37" s="122">
        <v>17</v>
      </c>
      <c r="C37" s="123">
        <f t="shared" si="2"/>
        <v>7897030336.9176168</v>
      </c>
      <c r="D37" s="138">
        <f>IF($C$17&lt;B37,0,DCF!$C$16)</f>
        <v>6.1165848114484E-2</v>
      </c>
      <c r="E37" s="124">
        <f t="shared" si="0"/>
        <v>0.29245301816960378</v>
      </c>
      <c r="F37" s="125">
        <f t="shared" si="1"/>
        <v>2309510356.60848</v>
      </c>
      <c r="H37" s="120"/>
    </row>
    <row r="38" spans="2:17">
      <c r="B38" s="122">
        <v>18</v>
      </c>
      <c r="C38" s="123">
        <f t="shared" si="2"/>
        <v>8380058895.0609913</v>
      </c>
      <c r="D38" s="138">
        <f>IF($C$17&lt;B38,0,DCF!$C$16)</f>
        <v>6.1165848114484E-2</v>
      </c>
      <c r="E38" s="124">
        <f t="shared" si="0"/>
        <v>0.27204931922753844</v>
      </c>
      <c r="F38" s="125">
        <f t="shared" si="1"/>
        <v>2279789317.4880209</v>
      </c>
      <c r="H38" s="120"/>
    </row>
    <row r="39" spans="2:17">
      <c r="B39" s="122">
        <v>19</v>
      </c>
      <c r="C39" s="123">
        <f t="shared" si="2"/>
        <v>8892632304.6267204</v>
      </c>
      <c r="D39" s="138">
        <f>IF($C$17&lt;B39,0,DCF!$C$16)</f>
        <v>6.1165848114484E-2</v>
      </c>
      <c r="E39" s="124">
        <f t="shared" si="0"/>
        <v>0.25306913416515198</v>
      </c>
      <c r="F39" s="125">
        <f t="shared" si="1"/>
        <v>2250450757.7809443</v>
      </c>
      <c r="H39" s="120"/>
    </row>
    <row r="40" spans="2:17">
      <c r="B40" s="122">
        <v>20</v>
      </c>
      <c r="C40" s="123">
        <f t="shared" si="2"/>
        <v>9436557701.5094719</v>
      </c>
      <c r="D40" s="138">
        <f>IF($C$17&lt;B40,0,DCF!$C$16)</f>
        <v>6.1165848114484E-2</v>
      </c>
      <c r="E40" s="124">
        <f t="shared" si="0"/>
        <v>0.23541314806060654</v>
      </c>
      <c r="F40" s="125">
        <f t="shared" si="1"/>
        <v>2221489755.3679061</v>
      </c>
      <c r="H40" s="120"/>
    </row>
    <row r="41" spans="2:17">
      <c r="B41" s="122">
        <v>21</v>
      </c>
      <c r="C41" s="123">
        <f t="shared" si="2"/>
        <v>10013752756.603563</v>
      </c>
      <c r="D41" s="138">
        <f>IF($C$17&lt;B41,0,DCF!$C$16)</f>
        <v>6.1165848114484E-2</v>
      </c>
      <c r="E41" s="124">
        <f t="shared" si="0"/>
        <v>0.21898897494009908</v>
      </c>
      <c r="F41" s="125">
        <f t="shared" si="1"/>
        <v>2192901451.4722056</v>
      </c>
      <c r="H41" s="120"/>
    </row>
    <row r="42" spans="2:17">
      <c r="B42" s="122">
        <v>22</v>
      </c>
      <c r="C42" s="123">
        <f t="shared" si="2"/>
        <v>10626252436.769972</v>
      </c>
      <c r="D42" s="138">
        <f>IF($C$17&lt;B42,0,DCF!$C$16)</f>
        <v>6.1165848114484E-2</v>
      </c>
      <c r="E42" s="124">
        <f t="shared" si="0"/>
        <v>0.20371067436288287</v>
      </c>
      <c r="F42" s="125">
        <f t="shared" si="1"/>
        <v>2164681049.8446383</v>
      </c>
      <c r="H42" s="120"/>
    </row>
    <row r="43" spans="2:17">
      <c r="B43" s="122">
        <v>23</v>
      </c>
      <c r="C43" s="123">
        <f t="shared" si="2"/>
        <v>11276216179.343607</v>
      </c>
      <c r="D43" s="138">
        <f>IF($C$17&lt;B43,0,DCF!$C$16)</f>
        <v>6.1165848114484E-2</v>
      </c>
      <c r="E43" s="124">
        <f t="shared" si="0"/>
        <v>0.18949830173291429</v>
      </c>
      <c r="F43" s="125">
        <f t="shared" si="1"/>
        <v>2136823815.9588249</v>
      </c>
      <c r="H43" s="120"/>
    </row>
    <row r="44" spans="2:17">
      <c r="B44" s="122">
        <v>24</v>
      </c>
      <c r="C44" s="123">
        <f t="shared" si="2"/>
        <v>11965935505.475422</v>
      </c>
      <c r="D44" s="138">
        <f>IF($C$17&lt;B44,0,DCF!$C$16)</f>
        <v>6.1165848114484E-2</v>
      </c>
      <c r="E44" s="124">
        <f t="shared" si="0"/>
        <v>0.17627748998410636</v>
      </c>
      <c r="F44" s="125">
        <f t="shared" si="1"/>
        <v>2109325076.2169063</v>
      </c>
      <c r="H44" s="120"/>
    </row>
    <row r="45" spans="2:17">
      <c r="B45" s="122">
        <v>25</v>
      </c>
      <c r="C45" s="123">
        <f t="shared" si="2"/>
        <v>12697842099.151043</v>
      </c>
      <c r="D45" s="138">
        <f>IF($C$17&lt;B45,0,DCF!$C$16)</f>
        <v>6.1165848114484E-2</v>
      </c>
      <c r="E45" s="124">
        <f t="shared" si="0"/>
        <v>0.16397906045033148</v>
      </c>
      <c r="F45" s="125">
        <f t="shared" si="1"/>
        <v>2082180217.1654527</v>
      </c>
      <c r="H45" s="120"/>
    </row>
    <row r="46" spans="2:17">
      <c r="B46" s="122">
        <v>26</v>
      </c>
      <c r="C46" s="123">
        <f t="shared" si="2"/>
        <v>13474516380.369415</v>
      </c>
      <c r="D46" s="138">
        <f>IF($C$17&lt;B46,0,DCF!$C$16)</f>
        <v>6.1165848114484E-2</v>
      </c>
      <c r="E46" s="124">
        <f t="shared" si="0"/>
        <v>0.15253866088402931</v>
      </c>
      <c r="F46" s="125">
        <f t="shared" si="1"/>
        <v>2055384684.7214684</v>
      </c>
      <c r="H46" s="120"/>
    </row>
    <row r="47" spans="2:17">
      <c r="B47" s="122">
        <v>27</v>
      </c>
      <c r="C47" s="341">
        <f t="shared" si="2"/>
        <v>14298696602.707216</v>
      </c>
      <c r="D47" s="138">
        <f>IF($C$17&lt;B47,0,DCF!$C$16)</f>
        <v>6.1165848114484E-2</v>
      </c>
      <c r="E47" s="124">
        <f t="shared" si="0"/>
        <v>0.14189642872932959</v>
      </c>
      <c r="F47" s="125">
        <f t="shared" si="1"/>
        <v>2028933983.4083517</v>
      </c>
      <c r="G47" s="338"/>
      <c r="H47" s="339"/>
      <c r="I47" s="338"/>
      <c r="J47" s="338"/>
      <c r="K47" s="338"/>
      <c r="L47" s="338"/>
      <c r="M47" s="338"/>
      <c r="N47" s="338"/>
      <c r="O47" s="338"/>
      <c r="P47" s="338"/>
      <c r="Q47" s="338"/>
    </row>
    <row r="48" spans="2:17">
      <c r="B48" s="122">
        <v>28</v>
      </c>
      <c r="C48" s="341">
        <f t="shared" si="2"/>
        <v>15173288507.343491</v>
      </c>
      <c r="D48" s="138">
        <f>IF($C$17&lt;B48,0,DCF!$C$16)</f>
        <v>6.1165848114484E-2</v>
      </c>
      <c r="E48" s="124">
        <f t="shared" si="0"/>
        <v>0.13199667788774846</v>
      </c>
      <c r="F48" s="125">
        <f t="shared" si="1"/>
        <v>2002823675.6016943</v>
      </c>
      <c r="G48" s="338"/>
      <c r="H48" s="339"/>
      <c r="I48" s="338"/>
      <c r="J48" s="338"/>
      <c r="K48" s="338"/>
      <c r="L48" s="338"/>
      <c r="M48" s="338"/>
      <c r="N48" s="338"/>
      <c r="O48" s="338"/>
      <c r="P48" s="338"/>
      <c r="Q48" s="338"/>
    </row>
    <row r="49" spans="1:17">
      <c r="B49" s="122">
        <v>29</v>
      </c>
      <c r="C49" s="341">
        <f t="shared" si="2"/>
        <v>16101375567.580908</v>
      </c>
      <c r="D49" s="138">
        <f>IF($C$17&lt;B49,0,DCF!$C$16)</f>
        <v>6.1165848114484E-2</v>
      </c>
      <c r="E49" s="124">
        <f t="shared" si="0"/>
        <v>0.1227876073374404</v>
      </c>
      <c r="F49" s="125">
        <f t="shared" si="1"/>
        <v>1977049380.784781</v>
      </c>
      <c r="G49" s="338"/>
      <c r="H49" s="339"/>
      <c r="I49" s="338"/>
      <c r="J49" s="338"/>
      <c r="K49" s="338"/>
      <c r="L49" s="338"/>
      <c r="M49" s="338"/>
      <c r="N49" s="338"/>
      <c r="O49" s="338"/>
      <c r="P49" s="338"/>
      <c r="Q49" s="338"/>
    </row>
    <row r="50" spans="1:17">
      <c r="B50" s="122">
        <v>30</v>
      </c>
      <c r="C50" s="341">
        <f t="shared" si="2"/>
        <v>17086229859.981823</v>
      </c>
      <c r="D50" s="138">
        <f>IF($C$17&lt;B50,0,DCF!$C$16)</f>
        <v>6.1165848114484E-2</v>
      </c>
      <c r="E50" s="124">
        <f t="shared" si="0"/>
        <v>0.11422103008133992</v>
      </c>
      <c r="F50" s="125">
        <f t="shared" si="1"/>
        <v>1951606774.8136723</v>
      </c>
      <c r="G50" s="338"/>
      <c r="H50" s="339"/>
      <c r="I50" s="338"/>
      <c r="J50" s="338"/>
      <c r="K50" s="338"/>
      <c r="L50" s="338"/>
      <c r="M50" s="338"/>
      <c r="N50" s="338"/>
      <c r="O50" s="338"/>
      <c r="P50" s="338"/>
      <c r="Q50" s="338"/>
    </row>
    <row r="51" spans="1:17">
      <c r="B51" s="126" t="s">
        <v>131</v>
      </c>
      <c r="C51" s="123">
        <f>C$21*(1+Terminal_Growth)^$C$17/Equity_Cost</f>
        <v>40725864440.344048</v>
      </c>
      <c r="D51" s="139">
        <f>Terminal_Growth</f>
        <v>0</v>
      </c>
      <c r="E51" s="124">
        <f>1/(1+Equity_Cost)^C17</f>
        <v>0.11422103008133992</v>
      </c>
      <c r="F51" s="125">
        <f t="shared" si="1"/>
        <v>4651750187.3291092</v>
      </c>
      <c r="H51" s="120"/>
    </row>
    <row r="52" spans="1:17">
      <c r="C52" s="114"/>
      <c r="E52" s="127" t="s">
        <v>100</v>
      </c>
      <c r="F52" s="137">
        <f>SUM(F21:F51)</f>
        <v>75741137002.167542</v>
      </c>
      <c r="H52" s="120"/>
    </row>
    <row r="53" spans="1:17">
      <c r="C53" s="114"/>
      <c r="H53" s="120"/>
    </row>
    <row r="54" spans="1:17" ht="13.15">
      <c r="B54" s="119" t="s">
        <v>129</v>
      </c>
      <c r="C54" s="136"/>
      <c r="D54" s="136"/>
      <c r="E54" s="117"/>
      <c r="F54" s="117"/>
      <c r="H54" s="120"/>
    </row>
    <row r="55" spans="1:17" ht="13.15">
      <c r="A55" s="133">
        <f>F52</f>
        <v>75741137002.167542</v>
      </c>
      <c r="B55" s="131">
        <f>C78</f>
        <v>0.02</v>
      </c>
      <c r="C55" s="131">
        <f>C77</f>
        <v>0.04</v>
      </c>
      <c r="D55" s="131">
        <f>C76</f>
        <v>0.06</v>
      </c>
      <c r="E55" s="131">
        <f>C75</f>
        <v>0.08</v>
      </c>
      <c r="F55" s="131">
        <f>C74</f>
        <v>0.1</v>
      </c>
      <c r="H55" s="120"/>
    </row>
    <row r="56" spans="1:17" ht="13.15">
      <c r="A56" s="143">
        <v>5</v>
      </c>
      <c r="B56" s="123">
        <f t="dataTable" ref="B56:F61" dt2D="1" dtr="1" r1="C16" r2="C17"/>
        <v>39595414962.098419</v>
      </c>
      <c r="C56" s="123">
        <v>40847867404.988953</v>
      </c>
      <c r="D56" s="123">
        <v>42137331941.288727</v>
      </c>
      <c r="E56" s="123">
        <v>43465415423.152718</v>
      </c>
      <c r="F56" s="123">
        <v>44833773784.187927</v>
      </c>
      <c r="H56" s="120"/>
    </row>
    <row r="57" spans="1:17" ht="13.15">
      <c r="A57" s="143">
        <v>10</v>
      </c>
      <c r="B57" s="123">
        <v>40802225523.668945</v>
      </c>
      <c r="C57" s="123">
        <v>43467423554.446777</v>
      </c>
      <c r="D57" s="123">
        <v>46402993282.165802</v>
      </c>
      <c r="E57" s="123">
        <v>49641165116.222137</v>
      </c>
      <c r="F57" s="123">
        <v>53217738777.026459</v>
      </c>
      <c r="H57" s="120"/>
    </row>
    <row r="58" spans="1:17" ht="13.15">
      <c r="A58" s="143">
        <v>15</v>
      </c>
      <c r="B58" s="123">
        <v>42330189019.856934</v>
      </c>
      <c r="C58" s="341">
        <v>46960555732.42868</v>
      </c>
      <c r="D58" s="123">
        <v>52405007552.985069</v>
      </c>
      <c r="E58" s="123">
        <v>58825908616.362038</v>
      </c>
      <c r="F58" s="123">
        <v>66417564256.469017</v>
      </c>
      <c r="G58" s="338"/>
      <c r="H58" s="339"/>
      <c r="I58" s="338"/>
      <c r="J58" s="338"/>
      <c r="K58" s="338"/>
      <c r="L58" s="338"/>
      <c r="M58" s="338"/>
      <c r="N58" s="338"/>
      <c r="O58" s="338"/>
      <c r="P58" s="338"/>
      <c r="Q58" s="338"/>
    </row>
    <row r="59" spans="1:17" ht="13.15">
      <c r="A59" s="144">
        <v>20</v>
      </c>
      <c r="B59" s="123">
        <v>43923115892.654404</v>
      </c>
      <c r="C59" s="341">
        <v>50807695113.046356</v>
      </c>
      <c r="D59" s="123">
        <v>59410866158.374985</v>
      </c>
      <c r="E59" s="123">
        <v>70221211483.194412</v>
      </c>
      <c r="F59" s="123">
        <v>83868462799.96283</v>
      </c>
      <c r="G59" s="338"/>
      <c r="H59" s="339"/>
      <c r="I59" s="338"/>
      <c r="J59" s="338"/>
      <c r="K59" s="338"/>
      <c r="L59" s="338"/>
      <c r="M59" s="338"/>
      <c r="N59" s="338"/>
      <c r="O59" s="338"/>
      <c r="P59" s="338"/>
      <c r="Q59" s="338"/>
    </row>
    <row r="60" spans="1:17" ht="13.15">
      <c r="A60" s="144">
        <v>25</v>
      </c>
      <c r="B60" s="123">
        <v>45439214630.655014</v>
      </c>
      <c r="C60" s="341">
        <v>54685748841.87645</v>
      </c>
      <c r="D60" s="123">
        <v>66924285194.292053</v>
      </c>
      <c r="E60" s="123">
        <v>83273607778.800949</v>
      </c>
      <c r="F60" s="123">
        <v>105286239024.32094</v>
      </c>
      <c r="G60" s="338"/>
      <c r="H60" s="339"/>
      <c r="I60" s="338"/>
      <c r="J60" s="338"/>
      <c r="K60" s="338"/>
      <c r="L60" s="338"/>
      <c r="M60" s="338"/>
      <c r="N60" s="338"/>
      <c r="O60" s="338"/>
      <c r="P60" s="338"/>
      <c r="Q60" s="338"/>
    </row>
    <row r="61" spans="1:17" ht="13.15">
      <c r="A61" s="144">
        <v>30</v>
      </c>
      <c r="B61" s="123">
        <v>46807912406.466522</v>
      </c>
      <c r="C61" s="341">
        <v>58402560299.429672</v>
      </c>
      <c r="D61" s="123">
        <v>74612578546.141083</v>
      </c>
      <c r="E61" s="123">
        <v>97600329643.983292</v>
      </c>
      <c r="F61" s="123">
        <v>130595449995.21849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42.875541043615748</v>
      </c>
      <c r="C65" s="124">
        <f>C12</f>
        <v>42.875541043615748</v>
      </c>
      <c r="D65" s="124">
        <f>C12</f>
        <v>42.875541043615748</v>
      </c>
      <c r="E65" s="141">
        <f>C12</f>
        <v>42.875541043615748</v>
      </c>
      <c r="F65" s="124">
        <f>C12</f>
        <v>42.875541043615748</v>
      </c>
      <c r="H65" s="120"/>
    </row>
    <row r="66" spans="1:8" ht="13.15">
      <c r="A66" s="143">
        <f t="shared" ref="A66:A71" si="3">A56</f>
        <v>5</v>
      </c>
      <c r="B66" s="124">
        <f t="shared" ref="B66:F71" si="4">(B56-$C$7+$C$8+$C$9)/Common_Shares*$C$3*Exchange_Rate</f>
        <v>43.847876291602851</v>
      </c>
      <c r="C66" s="124">
        <f t="shared" si="4"/>
        <v>44.848537563003546</v>
      </c>
      <c r="D66" s="124">
        <f t="shared" si="4"/>
        <v>45.878770071746075</v>
      </c>
      <c r="E66" s="124">
        <f t="shared" si="4"/>
        <v>46.939857630824307</v>
      </c>
      <c r="F66" s="124">
        <f t="shared" si="4"/>
        <v>48.033123267422162</v>
      </c>
      <c r="H66" s="120"/>
    </row>
    <row r="67" spans="1:8" ht="13.15">
      <c r="A67" s="143">
        <f t="shared" si="3"/>
        <v>10</v>
      </c>
      <c r="B67" s="124">
        <f t="shared" si="4"/>
        <v>44.812071457443963</v>
      </c>
      <c r="C67" s="124">
        <f t="shared" si="4"/>
        <v>46.94146205039749</v>
      </c>
      <c r="D67" s="124">
        <f t="shared" si="4"/>
        <v>49.286869217511331</v>
      </c>
      <c r="E67" s="124">
        <f t="shared" si="4"/>
        <v>51.874043814737881</v>
      </c>
      <c r="F67" s="124">
        <f t="shared" si="4"/>
        <v>54.731588440080174</v>
      </c>
      <c r="H67" s="120"/>
    </row>
    <row r="68" spans="1:8" ht="13.15">
      <c r="A68" s="143">
        <f t="shared" si="3"/>
        <v>15</v>
      </c>
      <c r="B68" s="124">
        <f t="shared" si="4"/>
        <v>46.032855450823064</v>
      </c>
      <c r="C68" s="124">
        <f t="shared" si="4"/>
        <v>49.732340144197927</v>
      </c>
      <c r="D68" s="124">
        <f t="shared" si="4"/>
        <v>54.082247489393573</v>
      </c>
      <c r="E68" s="124">
        <f t="shared" si="4"/>
        <v>59.212300177692264</v>
      </c>
      <c r="F68" s="124">
        <f t="shared" si="4"/>
        <v>65.277740688418021</v>
      </c>
      <c r="H68" s="120"/>
    </row>
    <row r="69" spans="1:8" ht="13.15">
      <c r="A69" s="144">
        <f t="shared" si="3"/>
        <v>20</v>
      </c>
      <c r="B69" s="124">
        <f t="shared" si="4"/>
        <v>47.305542680450003</v>
      </c>
      <c r="C69" s="124">
        <f t="shared" si="4"/>
        <v>52.806056360503803</v>
      </c>
      <c r="D69" s="124">
        <f t="shared" si="4"/>
        <v>59.679658727734434</v>
      </c>
      <c r="E69" s="124">
        <f t="shared" si="4"/>
        <v>68.316708348595597</v>
      </c>
      <c r="F69" s="124">
        <f t="shared" si="4"/>
        <v>79.220336611114632</v>
      </c>
      <c r="H69" s="120"/>
    </row>
    <row r="70" spans="1:8" ht="13.15">
      <c r="A70" s="144">
        <f t="shared" si="3"/>
        <v>25</v>
      </c>
      <c r="B70" s="124">
        <f t="shared" si="4"/>
        <v>48.516847188935259</v>
      </c>
      <c r="C70" s="124">
        <f t="shared" si="4"/>
        <v>55.904471950556264</v>
      </c>
      <c r="D70" s="124">
        <f t="shared" si="4"/>
        <v>65.682591204511951</v>
      </c>
      <c r="E70" s="124">
        <f t="shared" si="4"/>
        <v>78.745070356372736</v>
      </c>
      <c r="F70" s="124">
        <f t="shared" si="4"/>
        <v>96.33231504103324</v>
      </c>
    </row>
    <row r="71" spans="1:8" ht="13.15">
      <c r="A71" s="144">
        <f t="shared" si="3"/>
        <v>30</v>
      </c>
      <c r="B71" s="124">
        <f t="shared" si="4"/>
        <v>49.610384004868912</v>
      </c>
      <c r="C71" s="124">
        <f t="shared" si="4"/>
        <v>58.874061175108501</v>
      </c>
      <c r="D71" s="124">
        <f t="shared" si="4"/>
        <v>71.825241525515111</v>
      </c>
      <c r="E71" s="124">
        <f t="shared" si="4"/>
        <v>90.191569421463726</v>
      </c>
      <c r="F71" s="124">
        <f t="shared" si="4"/>
        <v>116.55339997886684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116.55339997886684</v>
      </c>
      <c r="F74" s="142">
        <f>Scenarios!C58</f>
        <v>0.05</v>
      </c>
    </row>
    <row r="75" spans="1:8">
      <c r="B75" s="127" t="str">
        <f>Scenarios!B36</f>
        <v>Optimistic</v>
      </c>
      <c r="C75" s="142">
        <f>Scenarios!C38</f>
        <v>0.08</v>
      </c>
      <c r="D75" s="145">
        <f>Scenarios!C37</f>
        <v>30</v>
      </c>
      <c r="E75" s="135">
        <f>INDEX(B$65:F$71, MATCH(D75, A$65:A$71, 0), MATCH(C75, B$64:F$64, 0))</f>
        <v>90.191569421463726</v>
      </c>
      <c r="F75" s="142">
        <f>Scenarios!C40*(1-F$74-F$78)</f>
        <v>0.18</v>
      </c>
      <c r="H75" s="120"/>
    </row>
    <row r="76" spans="1:8">
      <c r="B76" s="127" t="str">
        <f>Scenarios!B24</f>
        <v>Base</v>
      </c>
      <c r="C76" s="142">
        <f>Scenarios!C26</f>
        <v>0.06</v>
      </c>
      <c r="D76" s="145">
        <f>Scenarios!C25</f>
        <v>30</v>
      </c>
      <c r="E76" s="135">
        <f>INDEX(B$65:F$71, MATCH(D76, A$65:A$71, 0), MATCH(C76, B$64:F$64, 0))</f>
        <v>71.825241525515111</v>
      </c>
      <c r="F76" s="142">
        <f>Scenarios!C28*(1-F$74-F$78)</f>
        <v>0.44999999999999996</v>
      </c>
      <c r="H76" s="120"/>
    </row>
    <row r="77" spans="1:8">
      <c r="B77" s="127" t="str">
        <f>Scenarios!B30</f>
        <v>Pessimistic</v>
      </c>
      <c r="C77" s="142">
        <f>Scenarios!C32</f>
        <v>0.04</v>
      </c>
      <c r="D77" s="145">
        <f>Scenarios!C31</f>
        <v>30</v>
      </c>
      <c r="E77" s="135">
        <f>INDEX(B$65:F$71, MATCH(D77, A$65:A$71, 0), MATCH(C77, B$64:F$64, 0))</f>
        <v>58.874061175108501</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49.610384004868912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2753574514.2832084</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36714326857.109444</v>
      </c>
      <c r="D6" t="str">
        <f>Reporting_currency</f>
        <v>CNY</v>
      </c>
      <c r="E6" s="364"/>
      <c r="F6" s="364"/>
      <c r="H6" s="120"/>
    </row>
    <row r="7" spans="2:8" ht="13.15">
      <c r="B7" s="149" t="s">
        <v>444</v>
      </c>
      <c r="C7" s="111">
        <f>(C6*scaling_factor)/Common_Shares*Exchange_Rate</f>
        <v>29.333333333333336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53.113304312128605</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2921999234.7957687</v>
      </c>
      <c r="D16" s="138">
        <f>IF($C$12&lt;B16,0,DDM!$C$11)</f>
        <v>6.1165848114484E-2</v>
      </c>
      <c r="E16" s="124">
        <f t="shared" ref="E16:E45" si="0">IF($C$12&lt;B16,0,1/(1+Equity_Cost)^B16)</f>
        <v>0.93023255813953487</v>
      </c>
      <c r="F16" s="125">
        <f t="shared" ref="F16:F46" si="1">C16*E16</f>
        <v>2718138823.0658312</v>
      </c>
      <c r="H16" s="120"/>
    </row>
    <row r="17" spans="2:8">
      <c r="B17" s="122">
        <v>2</v>
      </c>
      <c r="C17" s="123">
        <f t="shared" ref="C17:C45" si="2">IF(ROW()-ROW($C$16)&lt;$C$12, $C$16*(1+D17)^(ROW()-ROW($C$16)), 0)</f>
        <v>3100725796.1819248</v>
      </c>
      <c r="D17" s="138">
        <f>IF($C$12&lt;B17,0,DDM!$C$11)</f>
        <v>6.1165848114484E-2</v>
      </c>
      <c r="E17" s="124">
        <f t="shared" si="0"/>
        <v>0.86533261222282321</v>
      </c>
      <c r="F17" s="125">
        <f t="shared" si="1"/>
        <v>2683159152.9967985</v>
      </c>
      <c r="H17" s="120"/>
    </row>
    <row r="18" spans="2:8">
      <c r="B18" s="122">
        <v>3</v>
      </c>
      <c r="C18" s="123">
        <f t="shared" si="2"/>
        <v>3290384319.2758503</v>
      </c>
      <c r="D18" s="138">
        <f>IF($C$12&lt;B18,0,DDM!$C$11)</f>
        <v>6.1165848114484E-2</v>
      </c>
      <c r="E18" s="124">
        <f t="shared" si="0"/>
        <v>0.80496056950960304</v>
      </c>
      <c r="F18" s="125">
        <f t="shared" si="1"/>
        <v>2648629635.5497561</v>
      </c>
      <c r="H18" s="120"/>
    </row>
    <row r="19" spans="2:8">
      <c r="B19" s="122">
        <v>4</v>
      </c>
      <c r="C19" s="123">
        <f t="shared" si="2"/>
        <v>3491643466.7869563</v>
      </c>
      <c r="D19" s="138">
        <f>IF($C$12&lt;B19,0,DDM!$C$11)</f>
        <v>6.1165848114484E-2</v>
      </c>
      <c r="E19" s="124">
        <f t="shared" si="0"/>
        <v>0.7488005297763749</v>
      </c>
      <c r="F19" s="125">
        <f t="shared" si="1"/>
        <v>2614544477.7202911</v>
      </c>
      <c r="H19" s="120"/>
    </row>
    <row r="20" spans="2:8">
      <c r="B20" s="122">
        <v>5</v>
      </c>
      <c r="C20" s="123">
        <f t="shared" si="2"/>
        <v>3705212800.7463775</v>
      </c>
      <c r="D20" s="138">
        <f>IF($C$12&lt;B20,0,DDM!$C$11)</f>
        <v>6.1165848114484E-2</v>
      </c>
      <c r="E20" s="124">
        <f t="shared" si="0"/>
        <v>0.69655863235011617</v>
      </c>
      <c r="F20" s="125">
        <f t="shared" si="1"/>
        <v>2580897961.05404</v>
      </c>
      <c r="H20" s="120"/>
    </row>
    <row r="21" spans="2:8">
      <c r="B21" s="122">
        <v>6</v>
      </c>
      <c r="C21" s="123">
        <f t="shared" si="2"/>
        <v>3931845284.1486721</v>
      </c>
      <c r="D21" s="138">
        <f>IF($C$12&lt;B21,0,DDM!$C$11)</f>
        <v>6.1165848114484E-2</v>
      </c>
      <c r="E21" s="124">
        <f t="shared" si="0"/>
        <v>0.64796151846522443</v>
      </c>
      <c r="F21" s="125">
        <f t="shared" si="1"/>
        <v>2547684440.6873055</v>
      </c>
      <c r="H21" s="120"/>
    </row>
    <row r="22" spans="2:8">
      <c r="B22" s="122">
        <v>7</v>
      </c>
      <c r="C22" s="123">
        <f t="shared" si="2"/>
        <v>4172339935.6085591</v>
      </c>
      <c r="D22" s="138">
        <f>IF($C$12&lt;B22,0,DDM!$C$11)</f>
        <v>6.1165848114484E-2</v>
      </c>
      <c r="E22" s="124">
        <f t="shared" si="0"/>
        <v>0.60275490089788319</v>
      </c>
      <c r="F22" s="125">
        <f t="shared" si="1"/>
        <v>2514898344.4000173</v>
      </c>
      <c r="H22" s="120"/>
    </row>
    <row r="23" spans="2:8">
      <c r="B23" s="122">
        <v>8</v>
      </c>
      <c r="C23" s="123">
        <f t="shared" si="2"/>
        <v>4427544646.3919868</v>
      </c>
      <c r="D23" s="138">
        <f>IF($C$12&lt;B23,0,DDM!$C$11)</f>
        <v>6.1165848114484E-2</v>
      </c>
      <c r="E23" s="124">
        <f t="shared" si="0"/>
        <v>0.56070223339337966</v>
      </c>
      <c r="F23" s="125">
        <f t="shared" si="1"/>
        <v>2482534171.6808882</v>
      </c>
      <c r="H23" s="120"/>
    </row>
    <row r="24" spans="2:8">
      <c r="B24" s="122">
        <v>9</v>
      </c>
      <c r="C24" s="123">
        <f t="shared" si="2"/>
        <v>4698359169.7532959</v>
      </c>
      <c r="D24" s="138">
        <f>IF($C$12&lt;B24,0,DDM!$C$11)</f>
        <v>6.1165848114484E-2</v>
      </c>
      <c r="E24" s="124">
        <f t="shared" si="0"/>
        <v>0.52158347292407414</v>
      </c>
      <c r="F24" s="125">
        <f t="shared" si="1"/>
        <v>2450586492.8045936</v>
      </c>
      <c r="H24" s="120"/>
    </row>
    <row r="25" spans="2:8">
      <c r="B25" s="122">
        <v>10</v>
      </c>
      <c r="C25" s="123">
        <f t="shared" si="2"/>
        <v>4985738293.1177187</v>
      </c>
      <c r="D25" s="138">
        <f>IF($C$12&lt;B25,0,DDM!$C$11)</f>
        <v>6.1165848114484E-2</v>
      </c>
      <c r="E25" s="124">
        <f t="shared" si="0"/>
        <v>0.48519392830146441</v>
      </c>
      <c r="F25" s="125">
        <f t="shared" si="1"/>
        <v>2419049947.9208241</v>
      </c>
      <c r="H25" s="120"/>
    </row>
    <row r="26" spans="2:8">
      <c r="B26" s="122">
        <v>11</v>
      </c>
      <c r="C26" s="123">
        <f t="shared" si="2"/>
        <v>5290695204.2931232</v>
      </c>
      <c r="D26" s="138">
        <f>IF($C$12&lt;B26,0,DDM!$C$11)</f>
        <v>6.1165848114484E-2</v>
      </c>
      <c r="E26" s="124">
        <f t="shared" si="0"/>
        <v>0.45134318911764126</v>
      </c>
      <c r="F26" s="125">
        <f t="shared" si="1"/>
        <v>2387919246.1550689</v>
      </c>
      <c r="H26" s="120"/>
    </row>
    <row r="27" spans="2:8">
      <c r="B27" s="122">
        <v>12</v>
      </c>
      <c r="C27" s="123">
        <f t="shared" si="2"/>
        <v>5614305063.5789442</v>
      </c>
      <c r="D27" s="138">
        <f>IF($C$12&lt;B27,0,DDM!$C$11)</f>
        <v>6.1165848114484E-2</v>
      </c>
      <c r="E27" s="124">
        <f t="shared" si="0"/>
        <v>0.41985412941175931</v>
      </c>
      <c r="F27" s="125">
        <f t="shared" si="1"/>
        <v>2357189164.7209697</v>
      </c>
      <c r="H27" s="120"/>
    </row>
    <row r="28" spans="2:8">
      <c r="B28" s="122">
        <v>13</v>
      </c>
      <c r="C28" s="123">
        <f t="shared" si="2"/>
        <v>5957708794.3661919</v>
      </c>
      <c r="D28" s="138">
        <f>IF($C$12&lt;B28,0,DDM!$C$11)</f>
        <v>6.1165848114484E-2</v>
      </c>
      <c r="E28" s="124">
        <f t="shared" si="0"/>
        <v>0.39056198084814819</v>
      </c>
      <c r="F28" s="125">
        <f t="shared" si="1"/>
        <v>2326854548.0440927</v>
      </c>
      <c r="H28" s="120"/>
    </row>
    <row r="29" spans="2:8">
      <c r="B29" s="122">
        <v>14</v>
      </c>
      <c r="C29" s="123">
        <f t="shared" si="2"/>
        <v>6322117105.59272</v>
      </c>
      <c r="D29" s="138">
        <f>IF($C$12&lt;B29,0,DDM!$C$11)</f>
        <v>6.1165848114484E-2</v>
      </c>
      <c r="E29" s="124">
        <f t="shared" si="0"/>
        <v>0.36331347055641694</v>
      </c>
      <c r="F29" s="125">
        <f t="shared" si="1"/>
        <v>2296910306.8969808</v>
      </c>
      <c r="H29" s="120"/>
    </row>
    <row r="30" spans="2:8">
      <c r="B30" s="122">
        <v>15</v>
      </c>
      <c r="C30" s="123">
        <f t="shared" si="2"/>
        <v>6708814760.235384</v>
      </c>
      <c r="D30" s="138">
        <f>IF($C$12&lt;B30,0,DDM!$C$11)</f>
        <v>6.1165848114484E-2</v>
      </c>
      <c r="E30" s="124">
        <f t="shared" si="0"/>
        <v>0.33796601912224833</v>
      </c>
      <c r="F30" s="125">
        <f t="shared" si="1"/>
        <v>2267351417.5453334</v>
      </c>
      <c r="H30" s="120"/>
    </row>
    <row r="31" spans="2:8">
      <c r="B31" s="122">
        <v>16</v>
      </c>
      <c r="C31" s="123">
        <f t="shared" si="2"/>
        <v>7119165104.8881483</v>
      </c>
      <c r="D31" s="138">
        <f>IF($C$12&lt;B31,0,DDM!$C$11)</f>
        <v>6.1165848114484E-2</v>
      </c>
      <c r="E31" s="124">
        <f t="shared" si="0"/>
        <v>0.31438699453232405</v>
      </c>
      <c r="F31" s="125">
        <f t="shared" si="1"/>
        <v>2238172920.9051824</v>
      </c>
      <c r="H31" s="120"/>
    </row>
    <row r="32" spans="2:8">
      <c r="B32" s="122">
        <v>17</v>
      </c>
      <c r="C32" s="123">
        <f t="shared" si="2"/>
        <v>7554614876.3956718</v>
      </c>
      <c r="D32" s="138">
        <f>IF($C$12&lt;B32,0,DDM!$C$11)</f>
        <v>6.1165848114484E-2</v>
      </c>
      <c r="E32" s="124">
        <f t="shared" si="0"/>
        <v>0.29245301816960378</v>
      </c>
      <c r="F32" s="125">
        <f t="shared" si="1"/>
        <v>2209369921.7109027</v>
      </c>
      <c r="H32" s="120"/>
    </row>
    <row r="33" spans="2:8">
      <c r="B33" s="122">
        <v>18</v>
      </c>
      <c r="C33" s="123">
        <f t="shared" si="2"/>
        <v>8016699302.4887104</v>
      </c>
      <c r="D33" s="138">
        <f>IF($C$12&lt;B33,0,DDM!$C$11)</f>
        <v>6.1165848114484E-2</v>
      </c>
      <c r="E33" s="124">
        <f t="shared" si="0"/>
        <v>0.27204931922753844</v>
      </c>
      <c r="F33" s="125">
        <f t="shared" si="1"/>
        <v>2180937587.6939359</v>
      </c>
      <c r="H33" s="120"/>
    </row>
    <row r="34" spans="2:8">
      <c r="B34" s="122">
        <v>19</v>
      </c>
      <c r="C34" s="123">
        <f t="shared" si="2"/>
        <v>8507047514.4042225</v>
      </c>
      <c r="D34" s="138">
        <f>IF($C$12&lt;B34,0,DDM!$C$11)</f>
        <v>6.1165848114484E-2</v>
      </c>
      <c r="E34" s="124">
        <f t="shared" si="0"/>
        <v>0.25306913416515198</v>
      </c>
      <c r="F34" s="125">
        <f t="shared" si="1"/>
        <v>2152871148.7720847</v>
      </c>
      <c r="H34" s="120"/>
    </row>
    <row r="35" spans="2:8">
      <c r="B35" s="122">
        <v>20</v>
      </c>
      <c r="C35" s="123">
        <f t="shared" si="2"/>
        <v>9027388290.5729694</v>
      </c>
      <c r="D35" s="138">
        <f>IF($C$12&lt;B35,0,DDM!$C$11)</f>
        <v>6.1165848114484E-2</v>
      </c>
      <c r="E35" s="124">
        <f t="shared" si="0"/>
        <v>0.23541314806060654</v>
      </c>
      <c r="F35" s="125">
        <f t="shared" si="1"/>
        <v>2125165896.2492402</v>
      </c>
      <c r="H35" s="120"/>
    </row>
    <row r="36" spans="2:8">
      <c r="B36" s="122">
        <v>21</v>
      </c>
      <c r="C36" s="123">
        <f t="shared" si="2"/>
        <v>9579556151.6246262</v>
      </c>
      <c r="D36" s="138">
        <f>IF($C$12&lt;B36,0,DDM!$C$11)</f>
        <v>6.1165848114484E-2</v>
      </c>
      <c r="E36" s="124">
        <f t="shared" si="0"/>
        <v>0.21898897494009908</v>
      </c>
      <c r="F36" s="125">
        <f t="shared" si="1"/>
        <v>2097817182.0253973</v>
      </c>
      <c r="H36" s="120"/>
    </row>
    <row r="37" spans="2:8">
      <c r="B37" s="122">
        <v>22</v>
      </c>
      <c r="C37" s="123">
        <f t="shared" si="2"/>
        <v>10165497828.199068</v>
      </c>
      <c r="D37" s="138">
        <f>IF($C$12&lt;B37,0,DDM!$C$11)</f>
        <v>6.1165848114484E-2</v>
      </c>
      <c r="E37" s="124">
        <f t="shared" si="0"/>
        <v>0.20371067436288287</v>
      </c>
      <c r="F37" s="125">
        <f t="shared" si="1"/>
        <v>2070820417.8168533</v>
      </c>
      <c r="H37" s="120"/>
    </row>
    <row r="38" spans="2:8">
      <c r="B38" s="122">
        <v>23</v>
      </c>
      <c r="C38" s="123">
        <f t="shared" si="2"/>
        <v>10787279124.366806</v>
      </c>
      <c r="D38" s="138">
        <f>IF($C$12&lt;B38,0,DDM!$C$11)</f>
        <v>6.1165848114484E-2</v>
      </c>
      <c r="E38" s="124">
        <f t="shared" si="0"/>
        <v>0.18949830173291429</v>
      </c>
      <c r="F38" s="125">
        <f t="shared" si="1"/>
        <v>2044171074.3864286</v>
      </c>
      <c r="H38" s="120"/>
    </row>
    <row r="39" spans="2:8">
      <c r="B39" s="122">
        <v>24</v>
      </c>
      <c r="C39" s="123">
        <f t="shared" si="2"/>
        <v>11447092200.856369</v>
      </c>
      <c r="D39" s="138">
        <f>IF($C$12&lt;B39,0,DDM!$C$11)</f>
        <v>6.1165848114484E-2</v>
      </c>
      <c r="E39" s="124">
        <f t="shared" si="0"/>
        <v>0.17627748998410636</v>
      </c>
      <c r="F39" s="125">
        <f t="shared" si="1"/>
        <v>2017864680.7836006</v>
      </c>
      <c r="H39" s="120"/>
    </row>
    <row r="40" spans="2:8">
      <c r="B40" s="122">
        <v>25</v>
      </c>
      <c r="C40" s="123">
        <f t="shared" si="2"/>
        <v>12147263303.766443</v>
      </c>
      <c r="D40" s="138">
        <f>IF($C$12&lt;B40,0,DDM!$C$11)</f>
        <v>6.1165848114484E-2</v>
      </c>
      <c r="E40" s="124">
        <f t="shared" si="0"/>
        <v>0.16397906045033148</v>
      </c>
      <c r="F40" s="125">
        <f t="shared" si="1"/>
        <v>1991896823.5944109</v>
      </c>
      <c r="H40" s="120"/>
    </row>
    <row r="41" spans="2:8">
      <c r="B41" s="122">
        <v>26</v>
      </c>
      <c r="C41" s="123">
        <f t="shared" si="2"/>
        <v>12890260966.011265</v>
      </c>
      <c r="D41" s="138">
        <f>IF($C$12&lt;B41,0,DDM!$C$11)</f>
        <v>6.1165848114484E-2</v>
      </c>
      <c r="E41" s="124">
        <f t="shared" si="0"/>
        <v>0.15253866088402931</v>
      </c>
      <c r="F41" s="125">
        <f t="shared" si="1"/>
        <v>1966263146.2010324</v>
      </c>
      <c r="H41" s="120"/>
    </row>
    <row r="42" spans="2:8">
      <c r="B42" s="122">
        <v>27</v>
      </c>
      <c r="C42" s="123">
        <f t="shared" si="2"/>
        <v>13678704710.414371</v>
      </c>
      <c r="D42" s="138">
        <f>IF($C$12&lt;B42,0,DDM!$C$11)</f>
        <v>6.1165848114484E-2</v>
      </c>
      <c r="E42" s="124">
        <f t="shared" si="0"/>
        <v>0.14189642872932959</v>
      </c>
      <c r="F42" s="125">
        <f t="shared" si="1"/>
        <v>1940959348.0508578</v>
      </c>
      <c r="H42" s="120"/>
    </row>
    <row r="43" spans="2:8">
      <c r="B43" s="122">
        <v>28</v>
      </c>
      <c r="C43" s="123">
        <f t="shared" si="2"/>
        <v>14515374285.134449</v>
      </c>
      <c r="D43" s="138">
        <f>IF($C$12&lt;B43,0,DDM!$C$11)</f>
        <v>6.1165848114484E-2</v>
      </c>
      <c r="E43" s="124">
        <f t="shared" si="0"/>
        <v>0.13199667788774846</v>
      </c>
      <c r="F43" s="125">
        <f t="shared" si="1"/>
        <v>1915981183.934999</v>
      </c>
      <c r="H43" s="120"/>
    </row>
    <row r="44" spans="2:8">
      <c r="B44" s="122">
        <v>29</v>
      </c>
      <c r="C44" s="123">
        <f t="shared" si="2"/>
        <v>15403219463.98387</v>
      </c>
      <c r="D44" s="138">
        <f>IF($C$12&lt;B44,0,DDM!$C$11)</f>
        <v>6.1165848114484E-2</v>
      </c>
      <c r="E44" s="124">
        <f t="shared" si="0"/>
        <v>0.1227876073374404</v>
      </c>
      <c r="F44" s="125">
        <f t="shared" si="1"/>
        <v>1891324463.2760706</v>
      </c>
      <c r="H44" s="120"/>
    </row>
    <row r="45" spans="2:8">
      <c r="B45" s="122">
        <v>30</v>
      </c>
      <c r="C45" s="123">
        <f t="shared" si="2"/>
        <v>16345370446.191969</v>
      </c>
      <c r="D45" s="138">
        <f>IF($C$12&lt;B45,0,DDM!$C$11)</f>
        <v>6.1165848114484E-2</v>
      </c>
      <c r="E45" s="124">
        <f t="shared" si="0"/>
        <v>0.11422103008133992</v>
      </c>
      <c r="F45" s="125">
        <f t="shared" si="1"/>
        <v>1866985049.4251375</v>
      </c>
      <c r="H45" s="120"/>
    </row>
    <row r="46" spans="2:8">
      <c r="B46" s="126" t="s">
        <v>131</v>
      </c>
      <c r="C46" s="123">
        <f>C$16*(1+F4)^$C$12/Equity_Cost</f>
        <v>38959989797.276917</v>
      </c>
      <c r="D46" s="139">
        <f>Terminal_Growth</f>
        <v>0</v>
      </c>
      <c r="E46" s="124">
        <f>1/(1+Equity_Cost)^C12</f>
        <v>0.11422103008133992</v>
      </c>
      <c r="F46" s="125">
        <f t="shared" si="1"/>
        <v>4450050166.6034632</v>
      </c>
      <c r="H46" s="120"/>
    </row>
    <row r="47" spans="2:8">
      <c r="C47" s="114"/>
      <c r="E47" s="127" t="s">
        <v>100</v>
      </c>
      <c r="F47" s="137">
        <f>SUM(F16:F46)</f>
        <v>72456999142.672394</v>
      </c>
      <c r="H47" s="120"/>
    </row>
    <row r="48" spans="2:8">
      <c r="C48" s="114"/>
      <c r="H48" s="120"/>
    </row>
    <row r="49" spans="1:8" ht="13.15">
      <c r="B49" s="119" t="s">
        <v>129</v>
      </c>
      <c r="C49" s="136"/>
      <c r="D49" s="136"/>
      <c r="E49" s="117"/>
      <c r="F49" s="117"/>
      <c r="H49" s="120"/>
    </row>
    <row r="50" spans="1:8" ht="13.15">
      <c r="A50" s="133">
        <f>F47</f>
        <v>72456999142.672394</v>
      </c>
      <c r="B50" s="131">
        <f>C73</f>
        <v>0.02</v>
      </c>
      <c r="C50" s="131">
        <f>C72</f>
        <v>0.04</v>
      </c>
      <c r="D50" s="131">
        <f>C71</f>
        <v>0.06</v>
      </c>
      <c r="E50" s="131">
        <f>C70</f>
        <v>0.08</v>
      </c>
      <c r="F50" s="131">
        <f>C69</f>
        <v>0.1</v>
      </c>
      <c r="H50" s="120"/>
    </row>
    <row r="51" spans="1:8" ht="13.15">
      <c r="A51" s="143">
        <v>5</v>
      </c>
      <c r="B51" s="123">
        <f t="dataTable" ref="B51:F56" dt2D="1" dtr="1" r1="C11" r2="C12"/>
        <v>37878556640.632675</v>
      </c>
      <c r="C51" s="123">
        <v>39076702709.896996</v>
      </c>
      <c r="D51" s="123">
        <v>40310256027.145264</v>
      </c>
      <c r="E51" s="123">
        <v>41580753771.377213</v>
      </c>
      <c r="F51" s="123">
        <v>42889780074.871429</v>
      </c>
      <c r="H51" s="120"/>
    </row>
    <row r="52" spans="1:8" ht="13.15">
      <c r="A52" s="143">
        <v>10</v>
      </c>
      <c r="B52" s="123">
        <v>39033039861.852081</v>
      </c>
      <c r="C52" s="123">
        <v>41582674830.041122</v>
      </c>
      <c r="D52" s="123">
        <v>44390958170.684723</v>
      </c>
      <c r="E52" s="123">
        <v>47488722781.708862</v>
      </c>
      <c r="F52" s="123">
        <v>50910216106.626694</v>
      </c>
      <c r="H52" s="120"/>
    </row>
    <row r="53" spans="1:8" ht="13.15">
      <c r="A53" s="143">
        <v>15</v>
      </c>
      <c r="B53" s="123">
        <v>40494750817.289146</v>
      </c>
      <c r="C53" s="123">
        <v>44924344697.210297</v>
      </c>
      <c r="D53" s="123">
        <v>50132724931.627502</v>
      </c>
      <c r="E53" s="123">
        <v>56275215541.86187</v>
      </c>
      <c r="F53" s="123">
        <v>63537696777.005638</v>
      </c>
      <c r="H53" s="120"/>
    </row>
    <row r="54" spans="1:8" ht="13.15">
      <c r="A54" s="144">
        <v>20</v>
      </c>
      <c r="B54" s="123">
        <v>42018608335.474052</v>
      </c>
      <c r="C54" s="123">
        <v>48604672004.61763</v>
      </c>
      <c r="D54" s="123">
        <v>56834809308.178299</v>
      </c>
      <c r="E54" s="123">
        <v>67176417751.553246</v>
      </c>
      <c r="F54" s="123">
        <v>80231923862.197266</v>
      </c>
      <c r="H54" s="120"/>
    </row>
    <row r="55" spans="1:8" ht="13.15">
      <c r="A55" s="144">
        <v>25</v>
      </c>
      <c r="B55" s="123">
        <v>43468968988.976959</v>
      </c>
      <c r="C55" s="123">
        <v>52314573213.217628</v>
      </c>
      <c r="D55" s="123">
        <v>64022446280.52005</v>
      </c>
      <c r="E55" s="123">
        <v>79662861771.709946</v>
      </c>
      <c r="F55" s="123">
        <v>100721024698.93086</v>
      </c>
      <c r="H55" s="120"/>
    </row>
    <row r="56" spans="1:8" ht="13.15">
      <c r="A56" s="144">
        <v>30</v>
      </c>
      <c r="B56" s="123">
        <v>44778319990.213112</v>
      </c>
      <c r="C56" s="123">
        <v>55870223620.019707</v>
      </c>
      <c r="D56" s="123">
        <v>71377375013.469971</v>
      </c>
      <c r="E56" s="123">
        <v>93368376568.419617</v>
      </c>
      <c r="F56" s="123">
        <v>124932827560.66447</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29.333333333333336</v>
      </c>
      <c r="C60" s="124">
        <f>C7</f>
        <v>29.333333333333336</v>
      </c>
      <c r="D60" s="124">
        <f>C7</f>
        <v>29.333333333333336</v>
      </c>
      <c r="E60" s="141">
        <f>C7</f>
        <v>29.333333333333336</v>
      </c>
      <c r="F60" s="124">
        <f>C7</f>
        <v>29.333333333333336</v>
      </c>
      <c r="H60" s="120"/>
    </row>
    <row r="61" spans="1:8" ht="13.15">
      <c r="A61" s="143">
        <f t="shared" ref="A61:A66" si="3">A51</f>
        <v>5</v>
      </c>
      <c r="B61" s="124">
        <f t="shared" ref="B61:F66" si="4">B51/Common_Shares*$C$3*Exchange_Rate</f>
        <v>30.263508097250284</v>
      </c>
      <c r="C61" s="124">
        <f t="shared" si="4"/>
        <v>31.220780667398135</v>
      </c>
      <c r="D61" s="124">
        <f t="shared" si="4"/>
        <v>32.206342265193726</v>
      </c>
      <c r="E61" s="124">
        <f t="shared" si="4"/>
        <v>33.221421037462903</v>
      </c>
      <c r="F61" s="124">
        <f t="shared" si="4"/>
        <v>34.267282644893179</v>
      </c>
      <c r="H61" s="120"/>
    </row>
    <row r="62" spans="1:8" ht="13.15">
      <c r="A62" s="143">
        <f t="shared" si="3"/>
        <v>10</v>
      </c>
      <c r="B62" s="124">
        <f t="shared" si="4"/>
        <v>31.185895733215112</v>
      </c>
      <c r="C62" s="124">
        <f t="shared" si="4"/>
        <v>33.222955889357664</v>
      </c>
      <c r="D62" s="124">
        <f t="shared" si="4"/>
        <v>35.466666134847131</v>
      </c>
      <c r="E62" s="124">
        <f t="shared" si="4"/>
        <v>37.941660767787781</v>
      </c>
      <c r="F62" s="124">
        <f t="shared" si="4"/>
        <v>40.675302176717906</v>
      </c>
      <c r="H62" s="120"/>
    </row>
    <row r="63" spans="1:8" ht="13.15">
      <c r="A63" s="143">
        <f t="shared" si="3"/>
        <v>15</v>
      </c>
      <c r="B63" s="124">
        <f t="shared" si="4"/>
        <v>32.353746497841563</v>
      </c>
      <c r="C63" s="124">
        <f t="shared" si="4"/>
        <v>35.892821429453974</v>
      </c>
      <c r="D63" s="124">
        <f t="shared" si="4"/>
        <v>40.054116668163225</v>
      </c>
      <c r="E63" s="124">
        <f t="shared" si="4"/>
        <v>44.961730125659706</v>
      </c>
      <c r="F63" s="124">
        <f t="shared" si="4"/>
        <v>50.764172962938595</v>
      </c>
      <c r="H63" s="120"/>
    </row>
    <row r="64" spans="1:8" ht="13.15">
      <c r="A64" s="144">
        <f t="shared" si="3"/>
        <v>20</v>
      </c>
      <c r="B64" s="124">
        <f t="shared" si="4"/>
        <v>33.571249972912582</v>
      </c>
      <c r="C64" s="124">
        <f t="shared" si="4"/>
        <v>38.833261223001315</v>
      </c>
      <c r="D64" s="124">
        <f t="shared" si="4"/>
        <v>45.408823995649506</v>
      </c>
      <c r="E64" s="124">
        <f t="shared" si="4"/>
        <v>53.671370898741898</v>
      </c>
      <c r="F64" s="124">
        <f t="shared" si="4"/>
        <v>64.10221752897867</v>
      </c>
      <c r="H64" s="120"/>
    </row>
    <row r="65" spans="1:8" ht="13.15">
      <c r="A65" s="144">
        <f t="shared" si="3"/>
        <v>25</v>
      </c>
      <c r="B65" s="124">
        <f t="shared" si="4"/>
        <v>34.730032283380396</v>
      </c>
      <c r="C65" s="124">
        <f t="shared" si="4"/>
        <v>41.797329424745485</v>
      </c>
      <c r="D65" s="124">
        <f t="shared" si="4"/>
        <v>51.151469149114014</v>
      </c>
      <c r="E65" s="124">
        <f t="shared" si="4"/>
        <v>63.647558832590349</v>
      </c>
      <c r="F65" s="124">
        <f t="shared" si="4"/>
        <v>80.472220086380972</v>
      </c>
    </row>
    <row r="66" spans="1:8" ht="13.15">
      <c r="A66" s="144">
        <f t="shared" si="3"/>
        <v>30</v>
      </c>
      <c r="B66" s="124">
        <f t="shared" si="4"/>
        <v>35.776153311802751</v>
      </c>
      <c r="C66" s="124">
        <f t="shared" si="4"/>
        <v>44.638157175869864</v>
      </c>
      <c r="D66" s="124">
        <f t="shared" si="4"/>
        <v>57.027773977095727</v>
      </c>
      <c r="E66" s="124">
        <f t="shared" si="4"/>
        <v>74.597737371924438</v>
      </c>
      <c r="F66" s="124">
        <f t="shared" si="4"/>
        <v>99.816518204886691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99.816518204886691</v>
      </c>
      <c r="F69" s="142">
        <f>Scenarios!C58</f>
        <v>0.05</v>
      </c>
    </row>
    <row r="70" spans="1:8">
      <c r="B70" s="127" t="str">
        <f>Scenarios!B36</f>
        <v>Optimistic</v>
      </c>
      <c r="C70" s="142">
        <f>Scenarios!C38</f>
        <v>0.08</v>
      </c>
      <c r="D70" s="145">
        <f>Scenarios!C37</f>
        <v>30</v>
      </c>
      <c r="E70" s="135">
        <f>INDEX(B$60:F$66, MATCH(D70, A$60:A$66, 0), MATCH(C70, B$59:F$59, 0))</f>
        <v>74.597737371924438</v>
      </c>
      <c r="F70" s="142">
        <f>Scenarios!C40*(1-F$69-F$73)</f>
        <v>0.18</v>
      </c>
      <c r="H70" s="120"/>
    </row>
    <row r="71" spans="1:8">
      <c r="B71" s="127" t="str">
        <f>Scenarios!B24</f>
        <v>Base</v>
      </c>
      <c r="C71" s="142">
        <f>Scenarios!C26</f>
        <v>0.06</v>
      </c>
      <c r="D71" s="145">
        <f>Scenarios!C25</f>
        <v>30</v>
      </c>
      <c r="E71" s="135">
        <f>INDEX(B$60:F$66, MATCH(D71, A$60:A$66, 0), MATCH(C71, B$59:F$59, 0))</f>
        <v>57.027773977095727</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44.638157175869864</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-54.45</v>
      </c>
    </row>
    <row r="4" spans="2:9">
      <c r="B4" s="152" t="s">
        <v>146</v>
      </c>
      <c r="C4" s="120">
        <v>3</v>
      </c>
      <c r="D4" s="120"/>
      <c r="E4" s="155" t="s">
        <v>150</v>
      </c>
      <c r="F4" s="155"/>
      <c r="H4" s="247">
        <v>1</v>
      </c>
      <c r="I4" s="124">
        <f t="shared" ref="I4:I13" si="0">IF(ROW()-3 &lt; $C$76, $C$77, IF(ROW()-3 = $C$76, $C$77 + $C$60, ""))</f>
        <v>2.0184584353992836</v>
      </c>
    </row>
    <row r="5" spans="2:9">
      <c r="H5" s="247">
        <v>2</v>
      </c>
      <c r="I5" s="124">
        <f t="shared" si="0"/>
        <v>2.0184584353992836</v>
      </c>
    </row>
    <row r="6" spans="2:9" ht="13.15">
      <c r="B6" s="159" t="s">
        <v>95</v>
      </c>
      <c r="C6" s="107">
        <f>DCF!C3</f>
        <v>1</v>
      </c>
      <c r="E6" s="100" t="s">
        <v>279</v>
      </c>
      <c r="F6" s="100"/>
      <c r="H6" s="247">
        <v>3</v>
      </c>
      <c r="I6" s="124">
        <f t="shared" si="0"/>
        <v>74.778485334210629</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3154842007.5220547</v>
      </c>
      <c r="D8" t="str">
        <f>Reporting_currency</f>
        <v>CNY</v>
      </c>
      <c r="E8" s="366"/>
      <c r="F8" s="366"/>
      <c r="H8" s="247">
        <v>5</v>
      </c>
      <c r="I8" s="124" t="str">
        <f t="shared" si="0"/>
        <v/>
      </c>
    </row>
    <row r="9" spans="2:9">
      <c r="B9" s="100" t="s">
        <v>57</v>
      </c>
      <c r="C9" s="338">
        <f>Normalized_FCF!C19</f>
        <v>2878381205.4006805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0.22851100269564273</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54.45</v>
      </c>
      <c r="D21" t="str">
        <f>Market_currency</f>
        <v>HKD</v>
      </c>
      <c r="E21" s="367"/>
      <c r="F21" s="367"/>
    </row>
    <row r="22" spans="2:6">
      <c r="B22" s="100" t="s">
        <v>278</v>
      </c>
      <c r="C22" s="160">
        <f>IF(valuation_method="DCF",DCF!C12,DDM!C7)</f>
        <v>42.875541043615748</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71.825241525515111</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58.874061175108501</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90.191569421463726</v>
      </c>
      <c r="D39" t="str">
        <f>Market_currency</f>
        <v>HKD</v>
      </c>
      <c r="E39" s="365"/>
      <c r="F39" s="365"/>
    </row>
    <row r="40" spans="2:6">
      <c r="B40" s="100" t="s">
        <v>147</v>
      </c>
      <c r="C40" s="167">
        <f>1-C28-C34</f>
        <v>0.2</v>
      </c>
      <c r="D40" s="165"/>
      <c r="E40" s="365"/>
      <c r="F40" s="365"/>
    </row>
    <row r="42" spans="2:6" ht="13.15">
      <c r="B42" s="100" t="s">
        <v>120</v>
      </c>
      <c r="C42" s="154">
        <f>C27*C28+C33*C34+C39*C40</f>
        <v>71.613152999582852</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49.610384004868912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116.55339997886684</v>
      </c>
      <c r="D57" t="str">
        <f>Market_currency</f>
        <v>HKD</v>
      </c>
      <c r="E57" s="365"/>
      <c r="F57" s="365"/>
    </row>
    <row r="58" spans="2:6">
      <c r="B58" s="100" t="s">
        <v>147</v>
      </c>
      <c r="C58" s="165">
        <v>0.05</v>
      </c>
      <c r="D58" s="165"/>
      <c r="E58" s="365"/>
      <c r="F58" s="365"/>
    </row>
    <row r="60" spans="2:6" ht="13.15">
      <c r="B60" s="100" t="s">
        <v>120</v>
      </c>
      <c r="C60" s="154">
        <f>C51*C52+C57*C58+C42*(1-C52-C58)</f>
        <v>72.760026898811347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72.726916272422955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0.16784854308366615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2.0184584353992836</v>
      </c>
      <c r="D77" t="str">
        <f>Market_currency</f>
        <v>HKD</v>
      </c>
    </row>
    <row r="79" spans="2:6" ht="13.15">
      <c r="B79" s="109" t="s">
        <v>301</v>
      </c>
    </row>
    <row r="80" spans="2:6">
      <c r="B80" s="148" t="s">
        <v>299</v>
      </c>
      <c r="C80" s="167">
        <f>Thesis!F29</f>
        <v>0.3674</v>
      </c>
    </row>
    <row r="81" spans="2:8">
      <c r="B81" s="100" t="s">
        <v>121</v>
      </c>
      <c r="C81" s="116">
        <f>PV(C80, C76, -C77, 0)</f>
        <v>3.345109052816075</v>
      </c>
      <c r="D81" s="116"/>
      <c r="E81" s="100"/>
      <c r="F81" s="100"/>
    </row>
    <row r="82" spans="2:8">
      <c r="B82" s="100" t="s">
        <v>122</v>
      </c>
      <c r="C82" s="116">
        <f>C60/(1+C80)^C76</f>
        <v>28.45811462125673</v>
      </c>
      <c r="D82" s="116"/>
    </row>
    <row r="83" spans="2:8" ht="13.15">
      <c r="B83" s="110" t="s">
        <v>101</v>
      </c>
      <c r="C83" s="111">
        <f>C81+C82</f>
        <v>31.803223674072804</v>
      </c>
      <c r="D83" t="str">
        <f>Market_currency</f>
        <v>HKD</v>
      </c>
      <c r="E83" s="146" t="s">
        <v>126</v>
      </c>
      <c r="F83" s="291">
        <f>(1-C83/C60)</f>
        <v>0.56290253000727852</v>
      </c>
    </row>
    <row r="84" spans="2:8">
      <c r="E84" s="120"/>
    </row>
    <row r="85" spans="2:8" ht="13.15">
      <c r="B85" s="109" t="s">
        <v>302</v>
      </c>
    </row>
    <row r="86" spans="2:8">
      <c r="B86" s="148" t="s">
        <v>300</v>
      </c>
      <c r="C86" s="116">
        <f>Market_Price</f>
        <v>54.45</v>
      </c>
      <c r="D86" t="str">
        <f>Market_currency</f>
        <v>HKD</v>
      </c>
    </row>
    <row r="87" spans="2:8" ht="13.15">
      <c r="B87" s="100" t="s">
        <v>298</v>
      </c>
      <c r="C87" s="237">
        <f ca="1">IRR(OFFSET($I$3, 0, 0, $C$76 + 1, 1))</f>
        <v>0.13527659689855276</v>
      </c>
    </row>
    <row r="88" spans="2:8">
      <c r="B88" s="100"/>
    </row>
    <row r="89" spans="2:8" ht="13.15">
      <c r="B89" s="109" t="s">
        <v>412</v>
      </c>
    </row>
    <row r="90" spans="2:8">
      <c r="B90" s="148" t="s">
        <v>413</v>
      </c>
      <c r="C90" s="167">
        <f>Thesis!F30</f>
        <v>0.21740000000000001</v>
      </c>
    </row>
    <row r="91" spans="2:8">
      <c r="B91" s="100" t="s">
        <v>121</v>
      </c>
      <c r="C91" s="116">
        <f>PV(C90, C76, -C77, 0)</f>
        <v>4.1386488388798224</v>
      </c>
      <c r="D91" s="116"/>
      <c r="E91" s="100"/>
      <c r="F91" s="100"/>
    </row>
    <row r="92" spans="2:8">
      <c r="B92" s="100" t="s">
        <v>122</v>
      </c>
      <c r="C92" s="116">
        <f>C60/(1+C90)^C76</f>
        <v>40.326725466958813</v>
      </c>
      <c r="D92" s="116"/>
    </row>
    <row r="93" spans="2:8" ht="13.15">
      <c r="B93" s="110" t="s">
        <v>101</v>
      </c>
      <c r="C93" s="111">
        <f>C91+C92</f>
        <v>44.465374305838637</v>
      </c>
      <c r="D93" t="str">
        <f>Market_currency</f>
        <v>HKD</v>
      </c>
      <c r="E93" s="146" t="s">
        <v>126</v>
      </c>
      <c r="F93" s="291">
        <f>(1-C93/C60)</f>
        <v>0.38887633497335816</v>
      </c>
    </row>
    <row r="95" spans="2:8" ht="13.15">
      <c r="B95" s="109" t="s">
        <v>397</v>
      </c>
      <c r="G95" s="2"/>
      <c r="H95" s="281"/>
    </row>
    <row r="96" spans="2:8">
      <c r="B96" s="148" t="s">
        <v>403</v>
      </c>
      <c r="C96" s="134">
        <f>Thesis!F31</f>
        <v>7.4999999999999997E-2</v>
      </c>
      <c r="G96" s="2"/>
      <c r="H96" s="281"/>
    </row>
    <row r="97" spans="2:8">
      <c r="B97" s="100" t="s">
        <v>121</v>
      </c>
      <c r="C97" s="116">
        <f>PV(C96, C76, -C77, 0)</f>
        <v>5.2490531161175209</v>
      </c>
      <c r="D97" s="116"/>
      <c r="G97" s="2"/>
      <c r="H97" s="281"/>
    </row>
    <row r="98" spans="2:8">
      <c r="B98" s="100" t="s">
        <v>122</v>
      </c>
      <c r="C98" s="116">
        <f>C60/(1+C96)^C76</f>
        <v>58.568952690001218</v>
      </c>
      <c r="D98" s="116"/>
      <c r="G98" s="2"/>
      <c r="H98" s="281"/>
    </row>
    <row r="99" spans="2:8" ht="13.15">
      <c r="B99" s="110" t="s">
        <v>398</v>
      </c>
      <c r="C99" s="111">
        <f>C97+C98</f>
        <v>63.818005806118741</v>
      </c>
      <c r="D99" t="s">
        <v>396</v>
      </c>
      <c r="E99" s="146" t="s">
        <v>126</v>
      </c>
      <c r="F99" s="291">
        <f>(1-C99/C60)</f>
        <v>0.12289744072151643</v>
      </c>
    </row>
    <row r="100" spans="2:8">
      <c r="B100" s="100"/>
    </row>
    <row r="101" spans="2:8" ht="13.15">
      <c r="B101" s="109" t="s">
        <v>422</v>
      </c>
    </row>
    <row r="102" spans="2:8">
      <c r="B102" s="148" t="s">
        <v>421</v>
      </c>
      <c r="C102" s="134">
        <f>Thesis!F32</f>
        <v>0.1174</v>
      </c>
    </row>
    <row r="103" spans="2:8">
      <c r="B103" s="100" t="s">
        <v>121</v>
      </c>
      <c r="C103" s="116">
        <f>PV(C102, C76, -C77, 0)</f>
        <v>4.8697391308215465</v>
      </c>
      <c r="D103" s="116"/>
    </row>
    <row r="104" spans="2:8">
      <c r="B104" s="100" t="s">
        <v>122</v>
      </c>
      <c r="C104" s="116">
        <f>C60/(1+C102)^C76</f>
        <v>52.151505475759627</v>
      </c>
      <c r="D104" s="116"/>
    </row>
    <row r="105" spans="2:8" ht="13.15">
      <c r="B105" s="110" t="s">
        <v>398</v>
      </c>
      <c r="C105" s="111">
        <f>C103+C104</f>
        <v>57.021244606581178</v>
      </c>
      <c r="D105" t="s">
        <v>396</v>
      </c>
      <c r="E105" s="146" t="s">
        <v>126</v>
      </c>
      <c r="F105" s="291">
        <f>(1-C105/C66)</f>
        <v>0.21595404385098549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