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4AFE98D-15D7-4FF0-B665-A2C70882F91E}"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F62" i="4" s="1"/>
  <c r="C25" i="4"/>
  <c r="D25" i="4"/>
  <c r="E25" i="4"/>
  <c r="F25" i="4"/>
  <c r="G25" i="4"/>
  <c r="C28" i="4"/>
  <c r="C29" i="4"/>
  <c r="C30" i="4"/>
  <c r="C32" i="4"/>
  <c r="B26" i="6"/>
  <c r="C80" i="9"/>
  <c r="C78" i="6"/>
  <c r="C79" i="6"/>
  <c r="C80" i="6" s="1"/>
  <c r="C165" i="6"/>
  <c r="D169" i="6"/>
  <c r="C169" i="6"/>
  <c r="C102" i="9"/>
  <c r="D62" i="4"/>
  <c r="E62" i="4"/>
  <c r="H62" i="4"/>
  <c r="I62" i="4"/>
  <c r="J62" i="4"/>
  <c r="K62" i="4"/>
  <c r="L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L10" i="2"/>
  <c r="M10" i="2"/>
  <c r="N10" i="2"/>
  <c r="O10" i="2"/>
  <c r="P10" i="2"/>
  <c r="Q10" i="2"/>
  <c r="D63" i="4"/>
  <c r="E63" i="4"/>
  <c r="F63" i="4"/>
  <c r="G63" i="4"/>
  <c r="H63" i="4"/>
  <c r="I63" i="4"/>
  <c r="J63" i="4"/>
  <c r="K63" i="4"/>
  <c r="L63" i="4"/>
  <c r="M63" i="4"/>
  <c r="C63" i="4"/>
  <c r="G10" i="2"/>
  <c r="D61" i="4"/>
  <c r="H9" i="2" s="1"/>
  <c r="E61" i="4"/>
  <c r="I9" i="2" s="1"/>
  <c r="F61" i="4"/>
  <c r="J9" i="2" s="1"/>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9" i="2" l="1"/>
  <c r="G62" i="4"/>
  <c r="K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8" i="8"/>
  <c r="D67" i="8"/>
  <c r="C67" i="8"/>
  <c r="C70" i="8"/>
  <c r="E66" i="8"/>
  <c r="D71" i="8"/>
  <c r="D70" i="8"/>
  <c r="D68" i="8"/>
  <c r="C68" i="8"/>
  <c r="F70" i="8"/>
  <c r="E67" i="8"/>
  <c r="B70" i="8"/>
  <c r="C66" i="8"/>
  <c r="E70" i="8"/>
  <c r="F71" i="8"/>
  <c r="E69" i="8"/>
  <c r="C69" i="8"/>
  <c r="B68" i="8"/>
  <c r="B67" i="8"/>
  <c r="D66" i="8"/>
  <c r="B66" i="8"/>
  <c r="G54" i="2"/>
  <c r="F69" i="8" l="1"/>
  <c r="F67" i="8"/>
  <c r="C71" i="8"/>
  <c r="E71"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9" i="8" l="1"/>
  <c r="F49" i="8" s="1"/>
  <c r="C37" i="8"/>
  <c r="F37" i="8" s="1"/>
  <c r="C47" i="8"/>
  <c r="F47" i="8" s="1"/>
  <c r="C48" i="8"/>
  <c r="F48" i="8" s="1"/>
  <c r="C39" i="8"/>
  <c r="F39" i="8" s="1"/>
  <c r="C40" i="8"/>
  <c r="F40" i="8" s="1"/>
  <c r="C46" i="8"/>
  <c r="F46" i="8" s="1"/>
  <c r="C50" i="8"/>
  <c r="F50" i="8" s="1"/>
  <c r="C43" i="8"/>
  <c r="F43" i="8" s="1"/>
  <c r="C44" i="8"/>
  <c r="F44" i="8" s="1"/>
  <c r="C45" i="8"/>
  <c r="F45" i="8" s="1"/>
  <c r="C41" i="8"/>
  <c r="F41" i="8" s="1"/>
  <c r="C36" i="8"/>
  <c r="F36" i="8" s="1"/>
  <c r="C38" i="8"/>
  <c r="F38" i="8" s="1"/>
  <c r="C42" i="8"/>
  <c r="F42"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<sst xmlns="http://schemas.openxmlformats.org/spreadsheetml/2006/main" count="648" uniqueCount="453">
  <si>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</si>
  <si>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</si>
  <si>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</si>
  <si>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</si>
  <si>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</si>
  <si>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</si>
  <si>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</si>
  <si>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</si>
  <si>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</si>
  <si>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</si>
  <si>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</si>
  <si>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</si>
  <si>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</si>
  <si>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</si>
  <si>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</si>
  <si>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</si>
  <si>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</si>
  <si>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</si>
  <si>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</si>
  <si>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</si>
  <si>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</si>
  <si>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</si>
  <si>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</si>
  <si>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</si>
  <si>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</si>
  <si>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</si>
  <si>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</si>
  <si>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</si>
  <si>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</si>
  <si>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</si>
  <si>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</si>
  <si>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</si>
  <si>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</si>
  <si>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</si>
  <si>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</si>
  <si>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</si>
  <si>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</si>
  <si>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</si>
  <si>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</si>
  <si>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</si>
  <si>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</si>
  <si>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</si>
  <si>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</si>
  <si>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</si>
  <si>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</si>
  <si>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</si>
  <si>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</si>
  <si>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</si>
  <si>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</si>
  <si>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</si>
  <si>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</si>
  <si>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</si>
  <si>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</si>
  <si>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</si>
  <si>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</si>
  <si>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</si>
  <si>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</si>
  <si>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</si>
  <si>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</si>
  <si>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</si>
  <si>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</si>
  <si>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</si>
  <si>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</si>
  <si>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</si>
  <si>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</si>
  <si>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</si>
  <si>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</si>
  <si>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</si>
  <si>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</si>
  <si>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</si>
  <si>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</si>
  <si>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</si>
  <si>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</si>
  <si>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</si>
  <si>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</si>
  <si>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</si>
  <si>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</si>
  <si>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</si>
  <si>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</si>
  <si>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</si>
  <si>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</si>
  <si>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</si>
  <si>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</si>
  <si>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</si>
  <si>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</si>
  <si>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</si>
  <si>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</si>
  <si>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</si>
  <si>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</si>
  <si>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</si>
  <si>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</si>
  <si>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</si>
  <si>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</si>
  <si>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</si>
  <si>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</si>
  <si>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</si>
  <si>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</si>
  <si>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</si>
  <si>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</si>
  <si>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</si>
  <si>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</si>
  <si>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</si>
  <si>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</si>
  <si>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</si>
  <si>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</si>
  <si>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</si>
  <si>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</si>
  <si>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</si>
  <si>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</si>
  <si>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</si>
  <si>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</si>
  <si>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</si>
  <si>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</si>
  <si>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</si>
  <si>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</si>
  <si>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</si>
  <si>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</si>
  <si>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</si>
  <si>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</si>
  <si>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</si>
  <si>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</si>
  <si>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</si>
  <si>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</si>
  <si>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</si>
  <si>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</si>
  <si>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</si>
  <si>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</si>
  <si>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</si>
  <si>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</si>
  <si>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</si>
  <si>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</si>
  <si>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</si>
  <si>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</si>
  <si>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</si>
  <si>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</si>
  <si>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</si>
  <si>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</si>
  <si>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</si>
  <si>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</si>
  <si>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</si>
  <si>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</si>
  <si>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</si>
  <si>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</si>
  <si>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</si>
  <si>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</si>
  <si>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</si>
  <si>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</si>
  <si>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</si>
  <si>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</si>
  <si>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</si>
  <si>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</si>
  <si>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</si>
  <si>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</si>
  <si>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</si>
  <si>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</si>
  <si>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</si>
  <si>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</si>
  <si>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</si>
  <si>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</si>
  <si>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</si>
  <si>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</si>
  <si>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</si>
  <si>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</si>
  <si>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</si>
  <si>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</si>
  <si>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</si>
  <si>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</si>
  <si>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</si>
  <si>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</si>
  <si>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</si>
  <si>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</si>
  <si>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</si>
  <si>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</si>
  <si>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</si>
  <si>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</si>
  <si>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</si>
  <si>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</si>
  <si>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</si>
  <si>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</si>
  <si>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</si>
  <si>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</si>
  <si>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</si>
  <si>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</si>
  <si>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</si>
  <si>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</si>
  <si>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</si>
  <si>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</si>
  <si>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</si>
  <si>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</si>
  <si>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</si>
  <si>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</si>
  <si>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</si>
  <si>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</si>
  <si>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</si>
  <si>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</si>
  <si>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</si>
  <si>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</si>
  <si>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</si>
  <si>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</si>
  <si>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</si>
  <si>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</si>
  <si>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</si>
  <si>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</si>
  <si>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</si>
  <si>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</si>
  <si>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</si>
  <si>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</si>
  <si>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</si>
  <si>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</si>
  <si>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</si>
  <si>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</si>
  <si>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</si>
  <si>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</si>
  <si>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</si>
  <si>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</si>
  <si>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</si>
  <si>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</si>
  <si>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</si>
  <si>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</si>
  <si>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</si>
  <si>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</si>
  <si>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</si>
  <si>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</si>
  <si>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</si>
  <si>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</si>
  <si>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</si>
  <si>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</si>
  <si>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</si>
  <si>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</si>
  <si>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</si>
  <si>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</si>
  <si>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</si>
  <si>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</si>
  <si>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</si>
  <si>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</si>
  <si>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</si>
  <si>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</si>
  <si>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</si>
  <si>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</si>
  <si>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</si>
  <si>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</si>
  <si>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</si>
  <si>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</si>
  <si>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</si>
  <si>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</si>
  <si>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</si>
  <si>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</si>
  <si>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</si>
  <si>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</si>
  <si>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</si>
  <si>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</si>
  <si>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</si>
  <si>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</si>
  <si>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</si>
  <si>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</si>
  <si>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</si>
  <si>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</si>
  <si>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</si>
  <si>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</si>
  <si>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</si>
  <si>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</si>
  <si>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</si>
  <si>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</si>
  <si>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</si>
  <si>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</si>
  <si>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</si>
  <si>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</si>
  <si>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</si>
  <si>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</si>
  <si>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</si>
  <si>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</si>
  <si>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</si>
  <si>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</si>
  <si>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</si>
  <si>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</si>
  <si>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</si>
  <si>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</si>
  <si>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</si>
  <si>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</si>
  <si>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</si>
  <si>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</si>
  <si>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</si>
  <si>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</si>
  <si>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</si>
  <si>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</si>
  <si>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</si>
  <si>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</si>
  <si>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</si>
  <si>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</si>
  <si>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</si>
  <si>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</si>
  <si>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</si>
  <si>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</si>
  <si>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</si>
  <si>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</si>
  <si>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</si>
  <si>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</si>
  <si>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</si>
  <si>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</si>
  <si>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</si>
  <si>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</si>
  <si>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</si>
  <si>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</si>
  <si>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</si>
  <si>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</si>
  <si>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</si>
  <si>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</si>
  <si>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</si>
  <si>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</si>
  <si>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</si>
  <si>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</si>
  <si>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</si>
  <si>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</si>
  <si>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</si>
  <si>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</si>
  <si>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</si>
  <si>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</si>
  <si>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</si>
  <si>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</si>
  <si>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</si>
  <si>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</si>
  <si>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</si>
  <si>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</si>
  <si>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</si>
  <si>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</si>
  <si>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</si>
  <si>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</si>
  <si>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</si>
  <si>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</si>
  <si>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</si>
  <si>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</si>
  <si>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</si>
  <si>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</si>
  <si>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</si>
  <si>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</si>
  <si>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</si>
  <si>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</si>
  <si>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</si>
  <si>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</si>
  <si>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</si>
  <si>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</si>
  <si>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</si>
  <si>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</si>
  <si>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</si>
  <si>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</si>
  <si>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</si>
  <si>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</si>
  <si>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</si>
  <si>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</si>
  <si>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</si>
  <si>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</si>
  <si>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</si>
  <si>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</si>
  <si>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</si>
  <si>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</si>
  <si>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</si>
  <si>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</si>
  <si>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</si>
  <si>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</si>
  <si>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</si>
  <si>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</si>
  <si>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</si>
  <si>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</si>
  <si>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</si>
  <si>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</si>
  <si>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</si>
  <si>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</si>
  <si>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</si>
  <si>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</si>
  <si>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</si>
  <si>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</si>
  <si>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</si>
  <si>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</si>
  <si>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</si>
  <si>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</si>
  <si>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</si>
  <si>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</si>
  <si>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</si>
  <si>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</si>
  <si>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</si>
  <si>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</si>
  <si>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</si>
  <si>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</si>
  <si>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</si>
  <si>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</si>
  <si>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</si>
  <si>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</si>
  <si>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</si>
  <si>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</si>
  <si>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</si>
  <si>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</si>
  <si>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</si>
  <si>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</si>
  <si>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</si>
  <si>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</si>
  <si>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</si>
  <si>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</si>
  <si>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</si>
  <si>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</si>
  <si>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</si>
  <si>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</si>
  <si>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</si>
  <si>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</si>
  <si>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</si>
  <si>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</si>
  <si>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</si>
  <si>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</si>
  <si>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</si>
  <si>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</si>
  <si>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</si>
  <si>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</si>
  <si>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</si>
  <si>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</si>
  <si>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</si>
  <si>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</si>
  <si>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</si>
  <si>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</si>
  <si>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</si>
  <si>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</si>
  <si>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</si>
  <si>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</si>
  <si>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</si>
  <si>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</si>
  <si>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</si>
  <si>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</si>
  <si>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</si>
  <si>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</si>
  <si>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</si>
  <si>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</si>
  <si>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</si>
  <si>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</si>
  <si>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</si>
  <si>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</si>
  <si>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</si>
  <si>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</si>
  <si>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</si>
  <si>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</si>
  <si>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</si>
  <si>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</si>
  <si>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</si>
  <si>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</si>
  <si>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</si>
  <si>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</si>
  <si>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</si>
  <si>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</si>
  <si>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</si>
  <si>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青島啤酒股份</t>
  </si>
  <si>
    <t>0168.HK</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</si>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</sst>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5"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7" t="s">
        <v>446</v>
      </c>
    </row>
    <row r="6" spans="1:10">
      <c r="B6" s="4" t="s">
        <v>0</v>
      </c>
      <c r="C6" s="51">
        <v>1364196788</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55.3</v>
      </c>
      <c r="D12" s="50"/>
      <c r="E12" s="48"/>
    </row>
    <row r="13" spans="1:10">
      <c r="B13" s="1" t="s">
        <v>420</v>
      </c>
      <c r="C13" s="48" t="s">
        <v>399</v>
      </c>
      <c r="D13" s="48"/>
      <c r="E13" s="5"/>
    </row>
    <row r="14" spans="1:10">
      <c r="B14" s="4" t="s">
        <v>424</v>
      </c>
      <c r="C14" s="35">
        <f>Thesis!C12*Common_Shares/1000000</f>
        <v>75440.082376399994</v>
      </c>
      <c r="D14" s="35" t="str">
        <f>IF(D11="","",Thesis!D12*Common_Shares/1000000)</f>
        <v/>
      </c>
      <c r="E14" s="5"/>
    </row>
    <row r="15" spans="1:10">
      <c r="B15" s="4" t="s">
        <v>423</v>
      </c>
      <c r="C15" s="32" t="str">
        <f>IF(C25=C13,C13,C25&amp;"/"&amp;C13)</f>
        <v>CNY/HKD</v>
      </c>
      <c r="D15" s="32" t="str">
        <f>IF(D11="","",IF(C25=D13,D13,C25&amp;"/"&amp;D13))</f>
        <v/>
      </c>
      <c r="E15" s="5"/>
    </row>
    <row r="16" spans="1:10">
      <c r="B16" s="4" t="s">
        <v>1</v>
      </c>
      <c r="C16" s="50">
        <v>1.0837740600000001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3" t="s">
        <v>443</v>
      </c>
    </row>
    <row r="23" spans="2:6">
      <c r="B23" s="1" t="s">
        <v>438</v>
      </c>
      <c r="C23" s="291" t="s">
        <v>445</v>
      </c>
    </row>
    <row r="24" spans="2:6">
      <c r="B24" s="1" t="s">
        <v>439</v>
      </c>
      <c r="C24" s="291" t="s">
        <v>445</v>
      </c>
    </row>
    <row r="25" spans="2:6">
      <c r="B25" s="4" t="s">
        <v>350</v>
      </c>
      <c r="C25" s="48" t="s">
        <v>418</v>
      </c>
      <c r="D25" s="32" t="str">
        <f>IF(D11="","",Market_currency&amp;"/"&amp;D13&amp;":")</f>
        <v/>
      </c>
      <c r="E25" s="334" t="str">
        <f>IF(D11="","",1/Exchange_Rate*D16)</f>
        <v/>
      </c>
    </row>
    <row r="26" spans="2:6">
      <c r="B26" s="1" t="str">
        <f>"Expected Equity Value ("&amp;C13&amp;") :"</f>
        <v>Expected Equity Value (HKD) :</v>
      </c>
      <c r="C26" s="339">
        <f>C127</f>
        <v>67.994623493205935</v>
      </c>
      <c r="D26" s="1" t="s">
        <v>402</v>
      </c>
      <c r="E26" s="336">
        <f ca="1">Scenarios!C87</f>
        <v>0.10568154188169632</v>
      </c>
    </row>
    <row r="27" spans="2:6">
      <c r="D27" s="5"/>
      <c r="E27" s="5"/>
    </row>
    <row r="28" spans="2:6">
      <c r="B28" s="45" t="s">
        <v>437</v>
      </c>
      <c r="C28" s="344" t="str">
        <f>C140&amp;" ("&amp;Market_currency&amp;")"</f>
        <v>0168.HK (HKD)</v>
      </c>
      <c r="D28" s="344" t="str">
        <f>IF(D11="","",D140&amp;" ("&amp;D13&amp;")")</f>
        <v/>
      </c>
      <c r="E28" s="340" t="s">
        <v>433</v>
      </c>
      <c r="F28" s="338">
        <v>3</v>
      </c>
    </row>
    <row r="29" spans="2:6">
      <c r="B29" s="1" t="s">
        <v>429</v>
      </c>
      <c r="C29" s="345">
        <f>C144</f>
        <v>28.004802010367644</v>
      </c>
      <c r="D29" s="345" t="str">
        <f>D144</f>
        <v/>
      </c>
      <c r="E29" s="341" t="s">
        <v>428</v>
      </c>
      <c r="F29" s="337">
        <v>0.4</v>
      </c>
    </row>
    <row r="30" spans="2:6">
      <c r="B30" s="1" t="s">
        <v>430</v>
      </c>
      <c r="C30" s="346">
        <f>C152</f>
        <v>41.84773226953584</v>
      </c>
      <c r="D30" s="346" t="str">
        <f>D152</f>
        <v/>
      </c>
      <c r="E30" s="342" t="s">
        <v>441</v>
      </c>
      <c r="F30" s="347">
        <v>0.21740000000000001</v>
      </c>
    </row>
    <row r="31" spans="2:6">
      <c r="B31" s="1" t="s">
        <v>431</v>
      </c>
      <c r="C31" s="346">
        <f>C160</f>
        <v>59.207685364910532</v>
      </c>
      <c r="D31" s="346" t="str">
        <f>D160</f>
        <v/>
      </c>
      <c r="E31" s="342" t="s">
        <v>440</v>
      </c>
      <c r="F31" s="347">
        <v>0.08</v>
      </c>
    </row>
    <row r="32" spans="2:6">
      <c r="B32" s="1" t="s">
        <v>432</v>
      </c>
      <c r="C32" s="346">
        <f>C168</f>
        <v>53.633300849783382</v>
      </c>
      <c r="D32" s="346" t="str">
        <f>D168</f>
        <v/>
      </c>
      <c r="E32" s="342" t="s">
        <v>442</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v>
      </c>
    </row>
    <row r="40" spans="1:6" ht="24.4" customHeight="1">
      <c r="B40" s="349" t="s">
        <v>232</v>
      </c>
      <c r="C40" s="349"/>
      <c r="D40" s="349"/>
      <c r="E40" s="349"/>
      <c r="F40" s="349"/>
    </row>
    <row r="41" spans="1:6">
      <c r="B41" s="47" t="s">
        <v>233</v>
      </c>
      <c r="C41" s="188">
        <f>Normalized_FCF!C8</f>
        <v>3878068070.3077545</v>
      </c>
      <c r="D41" s="1" t="str">
        <f>Reporting_currency</f>
        <v>CNY</v>
      </c>
    </row>
    <row r="42" spans="1:6">
      <c r="B42" s="47"/>
      <c r="C42" s="76"/>
    </row>
    <row r="43" spans="1:6" ht="24.4" customHeight="1">
      <c r="B43" s="349" t="s">
        <v>234</v>
      </c>
      <c r="C43" s="349"/>
      <c r="D43" s="349"/>
      <c r="E43" s="349"/>
      <c r="F43" s="349"/>
    </row>
    <row r="44" spans="1:6">
      <c r="B44" s="47" t="s">
        <v>235</v>
      </c>
      <c r="C44" s="188">
        <f>Normalized_FCF!C9</f>
        <v>1191305772</v>
      </c>
      <c r="D44" s="1" t="str">
        <f>Reporting_currency</f>
        <v>CNY</v>
      </c>
    </row>
    <row r="45" spans="1:6">
      <c r="B45" s="52" t="s">
        <v>236</v>
      </c>
      <c r="C45" s="188">
        <f>Normalized_FCF!C10</f>
        <v>-1191305772</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7">
        <f>Normalized_FCF!C48</f>
        <v>177212925.25639853</v>
      </c>
      <c r="D51" s="1" t="str">
        <f>Reporting_currency</f>
        <v>CNY</v>
      </c>
      <c r="E51" s="316"/>
      <c r="F51" s="316"/>
    </row>
    <row r="52" spans="2:6">
      <c r="B52" s="47" t="s">
        <v>344</v>
      </c>
      <c r="C52" s="317">
        <f>Normalized_FCF!C47</f>
        <v>-21837054</v>
      </c>
      <c r="D52" s="1" t="str">
        <f>Reporting_currency</f>
        <v>CNY</v>
      </c>
      <c r="E52" s="316"/>
      <c r="F52" s="316"/>
    </row>
    <row r="53" spans="2:6">
      <c r="B53" s="47" t="s">
        <v>239</v>
      </c>
      <c r="C53" s="188">
        <f>Normalized_FCF!C12</f>
        <v>155375871.25639853</v>
      </c>
      <c r="D53" s="1" t="str">
        <f>Reporting_currency</f>
        <v>CNY</v>
      </c>
    </row>
    <row r="55" spans="2:6">
      <c r="B55" s="1" t="s">
        <v>247</v>
      </c>
    </row>
    <row r="56" spans="2:6">
      <c r="B56" s="47" t="s">
        <v>266</v>
      </c>
      <c r="C56" s="188">
        <f>Normalized_FCF!C15</f>
        <v>-146634564.47167698</v>
      </c>
      <c r="D56" s="1" t="str">
        <f>Reporting_currency</f>
        <v>CNY</v>
      </c>
    </row>
    <row r="58" spans="2:6">
      <c r="B58" s="349" t="s">
        <v>242</v>
      </c>
      <c r="C58" s="349"/>
      <c r="D58" s="349"/>
      <c r="E58" s="349"/>
      <c r="F58" s="349"/>
    </row>
    <row r="59" spans="2:6">
      <c r="B59" s="47" t="s">
        <v>240</v>
      </c>
      <c r="C59" s="188">
        <f>Normalized_FCF!C14</f>
        <v>-1008360985.3910383</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3154931589.2563982</v>
      </c>
      <c r="D67" s="1" t="str">
        <f>Reporting_currency</f>
        <v>CNY</v>
      </c>
    </row>
    <row r="68" spans="1:6">
      <c r="B68" s="47" t="s">
        <v>249</v>
      </c>
      <c r="C68" s="188">
        <f>Normalized_FCF!C19</f>
        <v>2878448391.701438</v>
      </c>
      <c r="D68" s="1" t="str">
        <f>Reporting_currency</f>
        <v>CNY</v>
      </c>
    </row>
    <row r="69" spans="1:6">
      <c r="B69" s="252" t="s">
        <v>393</v>
      </c>
      <c r="C69" s="92">
        <f>Normalized_FCF!C125</f>
        <v>4.1351859670697315E-2</v>
      </c>
    </row>
    <row r="70" spans="1:6">
      <c r="B70" s="252" t="s">
        <v>311</v>
      </c>
      <c r="C70" s="92">
        <f>Normalized_FCF!C93</f>
        <v>3.6707837248215983E-2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28.584472997369517</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285396383</v>
      </c>
      <c r="D96" s="1" t="str">
        <f>Reporting_currency</f>
        <v>CNY</v>
      </c>
    </row>
    <row r="97" spans="2:6">
      <c r="B97" s="47" t="s">
        <v>284</v>
      </c>
      <c r="C97" s="248">
        <f>C96*scaling_factor*Exchange_Rate/Common_Shares</f>
        <v>0.22673062965254909</v>
      </c>
      <c r="D97" s="1" t="str">
        <f>Market_currency</f>
        <v>HKD</v>
      </c>
    </row>
    <row r="98" spans="2:6">
      <c r="B98" s="330" t="s">
        <v>407</v>
      </c>
      <c r="C98" s="331">
        <f>BS!G30/BS!G27</f>
        <v>0.72207550313588764</v>
      </c>
    </row>
    <row r="99" spans="2:6">
      <c r="B99" s="330" t="s">
        <v>408</v>
      </c>
      <c r="C99" s="331">
        <f>BS!G31/BS!G27</f>
        <v>9.5579625064196368E-3</v>
      </c>
    </row>
    <row r="100" spans="2:6">
      <c r="B100" s="330" t="s">
        <v>410</v>
      </c>
      <c r="C100" s="332">
        <f>BS!C50</f>
        <v>7.3592411949940734E-2</v>
      </c>
    </row>
    <row r="102" spans="2:6">
      <c r="B102" s="1" t="s">
        <v>255</v>
      </c>
    </row>
    <row r="103" spans="2:6">
      <c r="B103" s="47" t="s">
        <v>265</v>
      </c>
      <c r="C103" s="188">
        <f>BS!C66</f>
        <v>17978772896</v>
      </c>
      <c r="D103" s="1" t="str">
        <f>Reporting_currency</f>
        <v>CNY</v>
      </c>
    </row>
    <row r="104" spans="2:6">
      <c r="B104" s="47" t="s">
        <v>267</v>
      </c>
      <c r="C104" s="188">
        <f>DCF!C8</f>
        <v>12813047036.198811</v>
      </c>
      <c r="D104" s="1" t="str">
        <f>Reporting_currency</f>
        <v>CNY</v>
      </c>
    </row>
    <row r="105" spans="2:6">
      <c r="B105" s="47" t="s">
        <v>285</v>
      </c>
      <c r="C105" s="248">
        <f>C104*scaling_factor*Exchange_Rate/Common_Shares</f>
        <v>10.179211774681406</v>
      </c>
      <c r="D105" s="1" t="str">
        <f>Market_currency</f>
        <v>HKD</v>
      </c>
    </row>
    <row r="107" spans="2:6">
      <c r="B107" s="1" t="s">
        <v>257</v>
      </c>
    </row>
    <row r="108" spans="2:6">
      <c r="B108" s="47" t="s">
        <v>258</v>
      </c>
      <c r="C108" s="188">
        <f>DCF!C9</f>
        <v>2755411575.5</v>
      </c>
      <c r="D108" s="1" t="str">
        <f>Reporting_currency</f>
        <v>CNY</v>
      </c>
    </row>
    <row r="109" spans="2:6">
      <c r="B109" s="47" t="s">
        <v>286</v>
      </c>
      <c r="C109" s="248">
        <f>C108*scaling_factor*Exchange_Rate/Common_Shares</f>
        <v>2.1890123304927704</v>
      </c>
      <c r="D109" s="1" t="str">
        <f>Market_currency</f>
        <v>HKD</v>
      </c>
    </row>
    <row r="111" spans="2:6" ht="24.4" customHeight="1">
      <c r="B111" s="348" t="s">
        <v>369</v>
      </c>
      <c r="C111" s="348"/>
      <c r="D111" s="348"/>
      <c r="E111" s="348"/>
      <c r="F111" s="348"/>
    </row>
    <row r="113" spans="1:6">
      <c r="B113" s="47" t="s">
        <v>282</v>
      </c>
      <c r="C113" s="248">
        <f>DCF!C12</f>
        <v>40.725966472891137</v>
      </c>
      <c r="D113" s="1" t="str">
        <f>Market_currency</f>
        <v>HKD</v>
      </c>
    </row>
    <row r="114" spans="1:6">
      <c r="B114" s="330" t="s">
        <v>409</v>
      </c>
      <c r="C114" s="248">
        <f>BS!D47</f>
        <v>1.3470236398674045</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0.1</v>
      </c>
      <c r="D121" s="255">
        <f>DCF!D74</f>
        <v>30</v>
      </c>
      <c r="E121" s="256" t="str">
        <f>ROUND(DCF!E74,2)&amp;" "&amp;Market_currency</f>
        <v>107.59 HKD</v>
      </c>
      <c r="F121" s="257">
        <f>DCF!F74</f>
        <v>0.05</v>
      </c>
    </row>
    <row r="122" spans="1:6">
      <c r="B122" s="242" t="str">
        <f>DCF!B75</f>
        <v>Optimistic</v>
      </c>
      <c r="C122" s="243">
        <f>DCF!C75</f>
        <v>0.08</v>
      </c>
      <c r="D122" s="244">
        <f>DCF!D75</f>
        <v>30</v>
      </c>
      <c r="E122" s="245" t="str">
        <f>ROUND(DCF!E75,2)&amp;" "&amp;Market_currency</f>
        <v>83.81 HKD</v>
      </c>
      <c r="F122" s="246">
        <f>DCF!F75</f>
        <v>0.18</v>
      </c>
    </row>
    <row r="123" spans="1:6">
      <c r="B123" s="242" t="str">
        <f>DCF!B76</f>
        <v>Base</v>
      </c>
      <c r="C123" s="243">
        <f>DCF!C76</f>
        <v>0.06</v>
      </c>
      <c r="D123" s="244">
        <f>DCF!D76</f>
        <v>30</v>
      </c>
      <c r="E123" s="245" t="str">
        <f>ROUND(DCF!E76,2)&amp;" "&amp;Market_currency</f>
        <v>67.17 HKD</v>
      </c>
      <c r="F123" s="246">
        <f>DCF!F76</f>
        <v>0.44999999999999996</v>
      </c>
    </row>
    <row r="124" spans="1:6">
      <c r="B124" s="242" t="str">
        <f>DCF!B77</f>
        <v>Pessimistic</v>
      </c>
      <c r="C124" s="243">
        <f>DCF!C77</f>
        <v>0.04</v>
      </c>
      <c r="D124" s="244">
        <f>DCF!D77</f>
        <v>30</v>
      </c>
      <c r="E124" s="245" t="str">
        <f>ROUND(DCF!E77,2)&amp;" "&amp;Market_currency</f>
        <v>55.39 HKD</v>
      </c>
      <c r="F124" s="246">
        <f>DCF!F77</f>
        <v>0.26999999999999996</v>
      </c>
    </row>
    <row r="125" spans="1:6">
      <c r="B125" s="242" t="str">
        <f>DCF!B78</f>
        <v>Devil's advocate</v>
      </c>
      <c r="C125" s="243">
        <f>DCF!C78</f>
        <v>0.02</v>
      </c>
      <c r="D125" s="244">
        <f>DCF!D78</f>
        <v>30</v>
      </c>
      <c r="E125" s="245" t="str">
        <f>ROUND(DCF!E78,2)&amp;" "&amp;Market_currency</f>
        <v>46.92 HKD</v>
      </c>
      <c r="F125" s="246">
        <f>DCF!F78</f>
        <v>0.05</v>
      </c>
    </row>
    <row r="127" spans="1:6">
      <c r="B127" s="235" t="s">
        <v>259</v>
      </c>
      <c r="C127" s="241">
        <f>Scenarios!C60</f>
        <v>67.994623493205935</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2.0299433998263439</v>
      </c>
      <c r="D138" s="236" t="str">
        <f>Market_currency</f>
        <v>HKD</v>
      </c>
    </row>
    <row r="140" spans="1:6">
      <c r="B140" s="234" t="s">
        <v>412</v>
      </c>
      <c r="C140" s="268" t="str">
        <f>C11</f>
        <v>0168.HK</v>
      </c>
      <c r="D140" s="268" t="str">
        <f>IF(D11="","",D11)</f>
        <v/>
      </c>
    </row>
    <row r="141" spans="1:6">
      <c r="B141" s="1" t="s">
        <v>411</v>
      </c>
      <c r="C141" s="331">
        <f>F29</f>
        <v>0.4</v>
      </c>
    </row>
    <row r="142" spans="1:6">
      <c r="B142" s="236" t="str">
        <f>"PV("&amp;C136&amp;" yrs of Dividends)"</f>
        <v>PV(3 yrs of Dividends)</v>
      </c>
      <c r="C142" s="240">
        <f>Scenarios!C81</f>
        <v>3.2254202708610995</v>
      </c>
    </row>
    <row r="143" spans="1:6">
      <c r="B143" s="236" t="str">
        <f>"+ PV(Equity Value realized at year "&amp;C136&amp;")"</f>
        <v>+ PV(Equity Value realized at year 3)</v>
      </c>
      <c r="C143" s="240">
        <f>Scenarios!C82</f>
        <v>24.779381739506544</v>
      </c>
    </row>
    <row r="144" spans="1:6">
      <c r="B144" s="80" t="s">
        <v>261</v>
      </c>
      <c r="C144" s="239">
        <f>Scenarios!C83</f>
        <v>28.004802010367644</v>
      </c>
      <c r="D144" s="335" t="str">
        <f>IF($D$11="","",C144*$E$25)</f>
        <v/>
      </c>
    </row>
    <row r="145" spans="2:4">
      <c r="B145" s="286" t="s">
        <v>420</v>
      </c>
      <c r="C145" s="333" t="str">
        <f>Market_currency</f>
        <v>HKD</v>
      </c>
      <c r="D145" s="333" t="str">
        <f>IF($D$11="","",D$13)</f>
        <v/>
      </c>
    </row>
    <row r="146" spans="2:4">
      <c r="B146" s="238" t="s">
        <v>263</v>
      </c>
      <c r="C146" s="92">
        <f>Scenarios!F83</f>
        <v>0.58813211145781397</v>
      </c>
    </row>
    <row r="148" spans="2:4">
      <c r="B148" s="234" t="s">
        <v>415</v>
      </c>
    </row>
    <row r="149" spans="2:4">
      <c r="B149" s="1" t="s">
        <v>414</v>
      </c>
      <c r="C149" s="331">
        <f>Scenarios!C90</f>
        <v>0.21740000000000001</v>
      </c>
    </row>
    <row r="150" spans="2:4">
      <c r="B150" s="236" t="str">
        <f>"PV("&amp;C136&amp;" yrs of Dividends)"</f>
        <v>PV(3 yrs of Dividends)</v>
      </c>
      <c r="C150" s="240">
        <f>Scenarios!C91</f>
        <v>4.162197619403126</v>
      </c>
    </row>
    <row r="151" spans="2:4">
      <c r="B151" s="236" t="str">
        <f>"+ PV(Equity Value realized at year "&amp;C136&amp;")"</f>
        <v>+ PV(Equity Value realized at year 3)</v>
      </c>
      <c r="C151" s="240">
        <f>Scenarios!C92</f>
        <v>37.685534650132716</v>
      </c>
    </row>
    <row r="152" spans="2:4">
      <c r="B152" s="80" t="s">
        <v>261</v>
      </c>
      <c r="C152" s="239">
        <f>Scenarios!C93</f>
        <v>41.84773226953584</v>
      </c>
      <c r="D152" s="335" t="str">
        <f>IF($D$11="","",C152*$E$25)</f>
        <v/>
      </c>
    </row>
    <row r="153" spans="2:4">
      <c r="B153" s="286" t="s">
        <v>420</v>
      </c>
      <c r="C153" s="333" t="str">
        <f>Market_currency</f>
        <v>HKD</v>
      </c>
      <c r="D153" s="333" t="str">
        <f>IF($D$11="","",D$13)</f>
        <v/>
      </c>
    </row>
    <row r="154" spans="2:4">
      <c r="B154" s="238" t="s">
        <v>263</v>
      </c>
      <c r="C154" s="92">
        <f>Scenarios!F93</f>
        <v>0.38454351065393733</v>
      </c>
    </row>
    <row r="156" spans="2:4">
      <c r="B156" s="234" t="s">
        <v>403</v>
      </c>
    </row>
    <row r="157" spans="2:4">
      <c r="B157" s="1" t="s">
        <v>413</v>
      </c>
      <c r="C157" s="92">
        <f>Scenarios!C96</f>
        <v>0.08</v>
      </c>
    </row>
    <row r="158" spans="2:4">
      <c r="B158" s="236" t="str">
        <f>"PV("&amp;C136&amp;" yrs of Dividends)"</f>
        <v>PV(3 yrs of Dividends)</v>
      </c>
      <c r="C158" s="240">
        <f>Scenarios!C97</f>
        <v>5.2313610199761902</v>
      </c>
    </row>
    <row r="159" spans="2:4">
      <c r="B159" s="236" t="str">
        <f>"+ PV(Equity Value realized at year "&amp;C136&amp;")"</f>
        <v>+ PV(Equity Value realized at year 3)</v>
      </c>
      <c r="C159" s="240">
        <f>Scenarios!C98</f>
        <v>53.976324344934341</v>
      </c>
    </row>
    <row r="160" spans="2:4">
      <c r="B160" s="80" t="s">
        <v>404</v>
      </c>
      <c r="C160" s="239">
        <f>Scenarios!C99</f>
        <v>59.207685364910532</v>
      </c>
      <c r="D160" s="335" t="str">
        <f>IF($D$11="","",C160*$E$25)</f>
        <v/>
      </c>
    </row>
    <row r="161" spans="1:6">
      <c r="B161" s="286" t="s">
        <v>420</v>
      </c>
      <c r="C161" s="333" t="str">
        <f>Market_currency</f>
        <v>HKD</v>
      </c>
      <c r="D161" s="333" t="str">
        <f>IF($D$11="","",D$13)</f>
        <v/>
      </c>
    </row>
    <row r="162" spans="1:6">
      <c r="B162" s="238" t="s">
        <v>263</v>
      </c>
      <c r="C162" s="92">
        <f>Scenarios!F99</f>
        <v>0.12922989608396607</v>
      </c>
    </row>
    <row r="164" spans="1:6">
      <c r="B164" s="234" t="s">
        <v>436</v>
      </c>
    </row>
    <row r="165" spans="1:6">
      <c r="B165" s="1" t="s">
        <v>427</v>
      </c>
      <c r="C165" s="92">
        <f>F32</f>
        <v>0.1174</v>
      </c>
    </row>
    <row r="166" spans="1:6">
      <c r="B166" s="236" t="str">
        <f>"PV("&amp;C136&amp;" yrs of Dividends)"</f>
        <v>PV(3 yrs of Dividends)</v>
      </c>
      <c r="C166" s="240">
        <f>Scenarios!C103</f>
        <v>4.897447791899566</v>
      </c>
    </row>
    <row r="167" spans="1:6">
      <c r="B167" s="236" t="str">
        <f>"+ PV(Equity Value realized at year "&amp;C136&amp;")"</f>
        <v>+ PV(Equity Value realized at year 3)</v>
      </c>
      <c r="C167" s="240">
        <f>Scenarios!C104</f>
        <v>48.735853057883816</v>
      </c>
    </row>
    <row r="168" spans="1:6">
      <c r="B168" s="80" t="s">
        <v>404</v>
      </c>
      <c r="C168" s="239">
        <f>Scenarios!C105</f>
        <v>53.633300849783382</v>
      </c>
      <c r="D168" s="335" t="str">
        <f>IF($D$11="","",C168*$E$25)</f>
        <v/>
      </c>
    </row>
    <row r="169" spans="1:6">
      <c r="B169" s="286" t="s">
        <v>420</v>
      </c>
      <c r="C169" s="333" t="str">
        <f>Market_currency</f>
        <v>HKD</v>
      </c>
      <c r="D169" s="333" t="str">
        <f>IF($D$11="","",D$13)</f>
        <v/>
      </c>
    </row>
    <row r="170" spans="1:6">
      <c r="B170" s="238" t="s">
        <v>263</v>
      </c>
      <c r="C170" s="92">
        <f>Scenarios!F105</f>
        <v>0.21119127843863472</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9">
        <v>4602519864</v>
      </c>
      <c r="D7" s="189">
        <v>4708402798</v>
      </c>
      <c r="E7" s="189">
        <v>4199502747</v>
      </c>
      <c r="F7" s="189">
        <v>4096874125</v>
      </c>
      <c r="G7" s="189">
        <v>4984549837</v>
      </c>
      <c r="H7" s="189"/>
      <c r="I7" s="189"/>
      <c r="J7" s="189"/>
      <c r="K7" s="189"/>
      <c r="L7" s="189"/>
      <c r="M7" s="189"/>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374</v>
      </c>
      <c r="C22" s="181">
        <v>5154661132</v>
      </c>
      <c r="D22" s="181">
        <v>2777567140</v>
      </c>
      <c r="E22" s="181">
        <v>4878771322</v>
      </c>
      <c r="F22" s="181">
        <v>6043111455</v>
      </c>
      <c r="G22" s="181">
        <v>4953422362</v>
      </c>
      <c r="H22" s="181"/>
      <c r="I22" s="181"/>
      <c r="J22" s="181"/>
      <c r="K22" s="181"/>
      <c r="L22" s="181"/>
      <c r="M22" s="181"/>
    </row>
    <row r="23" spans="2:13">
      <c r="B23" s="27" t="s">
        <v>376</v>
      </c>
      <c r="C23" s="181">
        <v>-7421783375</v>
      </c>
      <c r="D23" s="181">
        <v>-3462971412</v>
      </c>
      <c r="E23" s="181">
        <v>-2199108158</v>
      </c>
      <c r="F23" s="181">
        <v>-10249763562</v>
      </c>
      <c r="G23" s="181">
        <v>-1487738165</v>
      </c>
      <c r="H23" s="181"/>
      <c r="I23" s="181"/>
      <c r="J23" s="181"/>
      <c r="K23" s="181"/>
      <c r="L23" s="181"/>
      <c r="M23" s="181"/>
    </row>
    <row r="24" spans="2:13">
      <c r="B24" s="27" t="s">
        <v>375</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2.0299433998263439</v>
      </c>
      <c r="D25" s="39">
        <f>2/Exchange_Rate</f>
        <v>1.8454030907512216</v>
      </c>
      <c r="E25" s="39">
        <f>1.3/Exchange_Rate</f>
        <v>1.199512008988294</v>
      </c>
      <c r="F25" s="39">
        <f>1.1/Exchange_Rate</f>
        <v>1.0149716999131719</v>
      </c>
      <c r="G25" s="39">
        <f>0.75/Exchange_Rate</f>
        <v>0.69202615903170805</v>
      </c>
      <c r="H25" s="39"/>
      <c r="I25" s="39"/>
      <c r="J25" s="39"/>
      <c r="K25" s="39"/>
      <c r="L25" s="39"/>
      <c r="M25" s="39"/>
    </row>
    <row r="27" spans="2:13">
      <c r="B27" s="16" t="s">
        <v>28</v>
      </c>
      <c r="C27" s="97" t="s">
        <v>450</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-1191305772</v>
      </c>
      <c r="D62" s="183">
        <f t="shared" ref="D62:M62" si="30">IF(D$4="","",IF(D20=0,D61,-D20))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2.0299433998263439</v>
      </c>
      <c r="D65" s="73">
        <f t="shared" ref="D65:M65" si="33">IF(D$4="","",D25)</f>
        <v>1.8454030907512216</v>
      </c>
      <c r="E65" s="73">
        <f t="shared" si="33"/>
        <v>1.199512008988294</v>
      </c>
      <c r="F65" s="73">
        <f t="shared" si="33"/>
        <v>1.0149716999131719</v>
      </c>
      <c r="G65" s="73">
        <f t="shared" si="33"/>
        <v>0.69202615903170805</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29"/>
      <c r="J77" s="329"/>
      <c r="K77" s="329"/>
      <c r="L77" s="329"/>
      <c r="M77" s="329"/>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29"/>
      <c r="J78" s="329"/>
      <c r="K78" s="329"/>
      <c r="L78" s="329"/>
      <c r="M78" s="329"/>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102420347+83284378</f>
        <v>185704725</v>
      </c>
      <c r="D4" s="290">
        <v>0.6</v>
      </c>
      <c r="E4" s="25"/>
      <c r="F4" s="4" t="s">
        <v>78</v>
      </c>
      <c r="G4" s="19">
        <v>17978772896</v>
      </c>
      <c r="H4" s="290">
        <v>0.9</v>
      </c>
    </row>
    <row r="5" spans="2:8" ht="15" customHeight="1">
      <c r="B5" s="1" t="s">
        <v>33</v>
      </c>
      <c r="C5" s="19">
        <v>0</v>
      </c>
      <c r="D5" s="290">
        <v>0.6</v>
      </c>
      <c r="E5" s="25"/>
      <c r="F5" s="1" t="s">
        <v>29</v>
      </c>
      <c r="G5" s="19">
        <v>0</v>
      </c>
      <c r="H5" s="290">
        <v>0.7</v>
      </c>
    </row>
    <row r="6" spans="2:8" ht="15" customHeight="1">
      <c r="B6" s="4" t="s">
        <v>10</v>
      </c>
      <c r="C6" s="19">
        <v>3576387537</v>
      </c>
      <c r="D6" s="290">
        <v>0.5</v>
      </c>
      <c r="E6" s="25"/>
      <c r="F6" s="4" t="s">
        <v>178</v>
      </c>
      <c r="G6" s="19">
        <v>0</v>
      </c>
      <c r="H6" s="290">
        <v>0.6</v>
      </c>
    </row>
    <row r="7" spans="2:8" ht="15" customHeight="1">
      <c r="B7" s="1" t="s">
        <v>69</v>
      </c>
      <c r="C7" s="19">
        <v>0</v>
      </c>
      <c r="D7" s="290">
        <v>0.6</v>
      </c>
      <c r="E7" s="25"/>
      <c r="F7" s="4" t="s">
        <v>179</v>
      </c>
      <c r="G7" s="19">
        <v>2021804089</v>
      </c>
      <c r="H7" s="290">
        <v>0.6</v>
      </c>
    </row>
    <row r="8" spans="2:8" ht="15" customHeight="1">
      <c r="B8" s="1" t="s">
        <v>174</v>
      </c>
      <c r="C8" s="19">
        <v>0</v>
      </c>
      <c r="D8" s="290">
        <v>0.6</v>
      </c>
      <c r="E8" s="25"/>
      <c r="F8" s="1" t="s">
        <v>180</v>
      </c>
      <c r="G8" s="19">
        <v>0</v>
      </c>
      <c r="H8" s="290">
        <v>0.6</v>
      </c>
    </row>
    <row r="9" spans="2:8" ht="15" customHeight="1">
      <c r="B9" s="4" t="s">
        <v>25</v>
      </c>
      <c r="C9" s="19">
        <v>241896760</v>
      </c>
      <c r="D9" s="290">
        <v>0.1</v>
      </c>
      <c r="E9" s="25"/>
      <c r="F9" s="4" t="s">
        <v>181</v>
      </c>
      <c r="G9" s="19">
        <v>0</v>
      </c>
      <c r="H9" s="290">
        <v>0.6</v>
      </c>
    </row>
    <row r="10" spans="2:8" ht="15" customHeight="1">
      <c r="B10" s="4" t="s">
        <v>11</v>
      </c>
      <c r="C10" s="19">
        <v>0</v>
      </c>
      <c r="D10" s="290">
        <v>0.9</v>
      </c>
      <c r="H10" s="291"/>
    </row>
    <row r="11" spans="2:8" ht="15" customHeight="1">
      <c r="B11" s="4" t="s">
        <v>12</v>
      </c>
      <c r="C11" s="19">
        <f>51713930+1132635624</f>
        <v>1184349554</v>
      </c>
      <c r="D11" s="290">
        <v>0.05</v>
      </c>
      <c r="H11" s="291"/>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2498379750</v>
      </c>
      <c r="H17" s="290">
        <v>0.6</v>
      </c>
    </row>
    <row r="18" spans="2:8" ht="15" customHeight="1">
      <c r="B18" s="4" t="s">
        <v>174</v>
      </c>
      <c r="C18" s="19">
        <v>0</v>
      </c>
      <c r="D18" s="290">
        <v>0.6</v>
      </c>
      <c r="F18" s="4" t="s">
        <v>182</v>
      </c>
      <c r="G18" s="19">
        <v>0</v>
      </c>
      <c r="H18" s="290">
        <v>0.1</v>
      </c>
    </row>
    <row r="19" spans="2:8" ht="15" customHeight="1">
      <c r="B19" s="4" t="s">
        <v>26</v>
      </c>
      <c r="C19" s="19">
        <f>11817650634+630874619+115672625+85702449</f>
        <v>12649900327</v>
      </c>
      <c r="D19" s="290">
        <v>0.1</v>
      </c>
      <c r="F19" s="4" t="s">
        <v>183</v>
      </c>
      <c r="G19" s="19">
        <v>391873803</v>
      </c>
      <c r="H19" s="290">
        <v>0.1</v>
      </c>
    </row>
    <row r="20" spans="2:8" ht="15" customHeight="1">
      <c r="B20" s="4" t="s">
        <v>18</v>
      </c>
      <c r="C20" s="19">
        <v>0</v>
      </c>
      <c r="D20" s="290">
        <v>0.05</v>
      </c>
      <c r="F20" s="4" t="s">
        <v>180</v>
      </c>
      <c r="G20" s="19">
        <v>0</v>
      </c>
      <c r="H20" s="290">
        <v>0.2</v>
      </c>
    </row>
    <row r="21" spans="2:8" ht="15" customHeight="1">
      <c r="B21" s="4" t="s">
        <v>19</v>
      </c>
      <c r="C21" s="19">
        <v>2684120584</v>
      </c>
      <c r="D21" s="290">
        <v>0.05</v>
      </c>
      <c r="F21" s="1" t="s">
        <v>181</v>
      </c>
      <c r="G21" s="19">
        <v>41138918</v>
      </c>
      <c r="H21" s="290">
        <v>0.1</v>
      </c>
    </row>
    <row r="22" spans="2:8" ht="15" customHeight="1">
      <c r="B22" s="4" t="s">
        <v>20</v>
      </c>
      <c r="C22" s="19">
        <v>1930039528</v>
      </c>
      <c r="D22" s="290">
        <v>0.9</v>
      </c>
      <c r="H22" s="291"/>
    </row>
    <row r="23" spans="2:8" ht="15" customHeight="1">
      <c r="B23" s="4" t="s">
        <v>21</v>
      </c>
      <c r="C23" s="19">
        <f>1307103982+4728913379</f>
        <v>6036017361</v>
      </c>
      <c r="D23" s="290">
        <v>0</v>
      </c>
      <c r="H23" s="291"/>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245</v>
      </c>
      <c r="G28" s="12">
        <v>799157484</v>
      </c>
      <c r="H28" s="209"/>
    </row>
    <row r="29" spans="2:8" ht="15" customHeight="1">
      <c r="B29" s="4" t="s">
        <v>7</v>
      </c>
      <c r="C29" s="19">
        <v>0</v>
      </c>
      <c r="F29" s="211" t="s">
        <v>76</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204</v>
      </c>
      <c r="C31" s="81">
        <f>SUM(C27:C30)</f>
        <v>217159673</v>
      </c>
      <c r="F31" s="211" t="s">
        <v>77</v>
      </c>
      <c r="G31" s="212">
        <f>C31+C40</f>
        <v>285396383</v>
      </c>
      <c r="H31" s="209"/>
    </row>
    <row r="32" spans="2:8" ht="15" customHeight="1">
      <c r="B32" s="4" t="s">
        <v>9</v>
      </c>
      <c r="C32" s="21">
        <f>C33-C31</f>
        <v>17305171626</v>
      </c>
      <c r="F32" s="213" t="s">
        <v>75</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28488416376</v>
      </c>
      <c r="H35" s="221">
        <f>D12+D24</f>
        <v>5119255394.3000002</v>
      </c>
    </row>
    <row r="36" spans="2:8" ht="15" customHeight="1">
      <c r="B36" s="4" t="s">
        <v>13</v>
      </c>
      <c r="C36" s="19">
        <v>0</v>
      </c>
      <c r="F36" s="211" t="s">
        <v>198</v>
      </c>
      <c r="G36" s="212">
        <f>C4+C15</f>
        <v>185704725</v>
      </c>
      <c r="H36" s="216"/>
    </row>
    <row r="37" spans="2:8" ht="15" customHeight="1">
      <c r="B37" s="4" t="s">
        <v>14</v>
      </c>
      <c r="C37" s="19">
        <v>68236710</v>
      </c>
      <c r="F37" s="211" t="s">
        <v>199</v>
      </c>
      <c r="G37" s="212">
        <f>C6</f>
        <v>3576387537</v>
      </c>
      <c r="H37" s="216"/>
    </row>
    <row r="38" spans="2:8" ht="15" customHeight="1">
      <c r="B38" s="4" t="s">
        <v>15</v>
      </c>
      <c r="C38" s="19">
        <v>0</v>
      </c>
      <c r="F38" s="211" t="s">
        <v>200</v>
      </c>
      <c r="G38" s="212">
        <f>C7+C17</f>
        <v>0</v>
      </c>
      <c r="H38" s="216"/>
    </row>
    <row r="39" spans="2:8" ht="15" customHeight="1">
      <c r="B39" s="2" t="s">
        <v>16</v>
      </c>
      <c r="C39" s="19">
        <v>0</v>
      </c>
      <c r="F39" s="211" t="s">
        <v>80</v>
      </c>
      <c r="G39" s="212">
        <f>C7+C17+C19+C20</f>
        <v>12649900327</v>
      </c>
      <c r="H39" s="209">
        <f>C7*D7+C17*D17+C19*D19+C20*D20</f>
        <v>1264990032.7</v>
      </c>
    </row>
    <row r="40" spans="2:8" ht="15" customHeight="1">
      <c r="B40" s="80" t="s">
        <v>205</v>
      </c>
      <c r="C40" s="81">
        <f>SUM(C36:C39)</f>
        <v>68236710</v>
      </c>
      <c r="F40" s="220" t="s">
        <v>139</v>
      </c>
      <c r="G40" s="214">
        <f>G12+G24</f>
        <v>22931969456</v>
      </c>
      <c r="H40" s="221">
        <f>H12+H24</f>
        <v>18936307181.899998</v>
      </c>
    </row>
    <row r="41" spans="2:8" ht="15" customHeight="1">
      <c r="B41" s="4" t="s">
        <v>17</v>
      </c>
      <c r="C41" s="21">
        <f>C42-C40</f>
        <v>3970275812</v>
      </c>
      <c r="F41" s="211" t="s">
        <v>192</v>
      </c>
      <c r="G41" s="212">
        <f>C70</f>
        <v>17978772896</v>
      </c>
      <c r="H41" s="221">
        <f>H40-H42</f>
        <v>16180895606.399998</v>
      </c>
    </row>
    <row r="42" spans="2:8" ht="15" customHeight="1">
      <c r="B42" s="83" t="s">
        <v>22</v>
      </c>
      <c r="C42" s="84">
        <v>4038512522</v>
      </c>
      <c r="F42" s="222" t="s">
        <v>193</v>
      </c>
      <c r="G42" s="223">
        <f>C82</f>
        <v>4953196560</v>
      </c>
      <c r="H42" s="224">
        <f>D82</f>
        <v>2755411575.5</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29060384527</v>
      </c>
      <c r="D46" s="188">
        <f>H29</f>
        <v>1695561271.1999969</v>
      </c>
      <c r="F46" s="280"/>
    </row>
    <row r="47" spans="2:8" ht="15" customHeight="1">
      <c r="B47" s="1" t="str">
        <f>"Equity per share ("&amp;Market_currency&amp;")"</f>
        <v>Equity per share (HKD)</v>
      </c>
      <c r="C47" s="148">
        <f>C46*H1/Common_Shares*Exchange_Rate</f>
        <v>23.086765194749873</v>
      </c>
      <c r="D47" s="148">
        <f>D46*H1/Common_Shares*Exchange_Rate</f>
        <v>1.3470236398674045</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7.3592411949940734E-2</v>
      </c>
      <c r="D50" s="95">
        <f>G31/Normalized_FCF!G8</f>
        <v>6.3593933566061064E-2</v>
      </c>
      <c r="F50" s="280"/>
    </row>
    <row r="51" spans="2:8" ht="15" customHeight="1">
      <c r="B51" s="1" t="s">
        <v>177</v>
      </c>
      <c r="C51" s="202"/>
      <c r="D51" s="92">
        <f>G29/G32</f>
        <v>0.56515298469260233</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0.1361278920921285</v>
      </c>
      <c r="D54" s="92">
        <f>Normalized_FCF!G8/G35</f>
        <v>0.15753043334415495</v>
      </c>
      <c r="F54" s="280"/>
    </row>
    <row r="55" spans="2:8" ht="15" customHeight="1">
      <c r="B55" s="1" t="s">
        <v>142</v>
      </c>
      <c r="C55" s="92">
        <f>Normalized_FCF!C11/G40</f>
        <v>0</v>
      </c>
      <c r="D55" s="92">
        <f>Normalized_FCF!G11/G40</f>
        <v>2.1050212495974641E-3</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9.4175111360938715E-2</v>
      </c>
      <c r="F58" s="5"/>
    </row>
    <row r="59" spans="2:8" ht="15" customHeight="1">
      <c r="B59" s="1" t="s">
        <v>93</v>
      </c>
      <c r="C59" s="98"/>
      <c r="D59" s="92">
        <f>G39/G32</f>
        <v>0.24600944007556819</v>
      </c>
      <c r="F59" s="280"/>
    </row>
    <row r="60" spans="2:8" ht="15" customHeight="1">
      <c r="F60" s="280"/>
    </row>
    <row r="61" spans="2:8" ht="15" customHeight="1">
      <c r="B61" s="158" t="s">
        <v>275</v>
      </c>
      <c r="C61" s="260" t="s">
        <v>138</v>
      </c>
      <c r="D61" s="218" t="s">
        <v>96</v>
      </c>
      <c r="F61" s="280"/>
    </row>
    <row r="62" spans="2:8" ht="15" customHeight="1">
      <c r="B62" s="1" t="s">
        <v>246</v>
      </c>
      <c r="C62" s="92">
        <f>IF(G28&lt;=0,0,G28/G29)</f>
        <v>2.749989365273205E-2</v>
      </c>
      <c r="D62" s="92">
        <f>G28/G29</f>
        <v>2.749989365273205E-2</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17978772896</v>
      </c>
      <c r="D66" s="188">
        <f>C66-D75</f>
        <v>12813047036.198811</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17978772896</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-2534939983.3220749</v>
      </c>
      <c r="D73" s="188">
        <f>(Normalized_FCF!C25+Normalized_FCF!C35-Normalized_FCF!C91)/12</f>
        <v>-2582862929.9005952</v>
      </c>
      <c r="F73" s="1" t="s">
        <v>354</v>
      </c>
    </row>
    <row r="74" spans="2:6" ht="15" customHeight="1">
      <c r="B74" s="284" t="s">
        <v>324</v>
      </c>
      <c r="C74" s="285">
        <f>-$C$66/C73</f>
        <v>7.0923860187169252</v>
      </c>
      <c r="D74" s="285">
        <f>-$C$66/D73</f>
        <v>6.9607924942001995</v>
      </c>
      <c r="F74" s="280" t="s">
        <v>322</v>
      </c>
    </row>
    <row r="75" spans="2:6" ht="15" customHeight="1">
      <c r="B75" s="80" t="s">
        <v>323</v>
      </c>
      <c r="C75" s="289"/>
      <c r="D75" s="288">
        <f>MAX(-D73*D76,G5)</f>
        <v>5165725859.8011904</v>
      </c>
      <c r="F75" s="280" t="s">
        <v>355</v>
      </c>
    </row>
    <row r="76" spans="2:6" ht="15" customHeight="1">
      <c r="B76" s="286" t="s">
        <v>325</v>
      </c>
      <c r="C76" s="287"/>
      <c r="D76" s="322">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4520183839</v>
      </c>
      <c r="D79" s="188">
        <f>G7*H7+G17*H17</f>
        <v>2712110303.3999996</v>
      </c>
      <c r="F79" s="280"/>
    </row>
    <row r="80" spans="2:6" ht="15" customHeight="1">
      <c r="B80" s="105" t="s">
        <v>183</v>
      </c>
      <c r="C80" s="20">
        <f>G19</f>
        <v>391873803</v>
      </c>
      <c r="D80" s="188">
        <f>G19*H19</f>
        <v>39187380.300000004</v>
      </c>
      <c r="F80" s="280"/>
    </row>
    <row r="81" spans="2:8" ht="15" customHeight="1">
      <c r="B81" s="105" t="s">
        <v>181</v>
      </c>
      <c r="C81" s="20">
        <f>G9+G21</f>
        <v>41138918</v>
      </c>
      <c r="D81" s="188">
        <f>G9*H9+G21*H21</f>
        <v>4113891.8000000003</v>
      </c>
      <c r="F81" s="280"/>
    </row>
    <row r="82" spans="2:8" ht="15" customHeight="1">
      <c r="B82" s="80" t="s">
        <v>190</v>
      </c>
      <c r="C82" s="81">
        <f>SUM(C79:C81)</f>
        <v>4953196560</v>
      </c>
      <c r="D82" s="81">
        <f>SUM(D79:D81)</f>
        <v>2755411575.5</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-309305196.71322501</v>
      </c>
      <c r="D86" s="248">
        <f>C86*scaling_factor/Common_Shares</f>
        <v>-0.22673062965254909</v>
      </c>
      <c r="E86" s="267" t="str">
        <f>Market_currency</f>
        <v>HKD</v>
      </c>
    </row>
    <row r="87" spans="2:8" ht="15" customHeight="1">
      <c r="B87" s="265" t="s">
        <v>290</v>
      </c>
      <c r="C87" s="188">
        <f>DCF!C8*Exchange_Rate</f>
        <v>13886448007.392153</v>
      </c>
      <c r="D87" s="248">
        <f>C87*scaling_factor/Common_Shares</f>
        <v>10.179211774681406</v>
      </c>
      <c r="E87" s="267" t="str">
        <f>Market_currency</f>
        <v>HKD</v>
      </c>
    </row>
    <row r="88" spans="2:8" ht="15" customHeight="1">
      <c r="B88" s="266" t="s">
        <v>190</v>
      </c>
      <c r="C88" s="188">
        <f>DCF!C9*Exchange_Rate</f>
        <v>2986243590.1506319</v>
      </c>
      <c r="D88" s="248">
        <f>C88*scaling_factor/Common_Shares</f>
        <v>2.1890123304927704</v>
      </c>
      <c r="E88" s="267" t="str">
        <f>Market_currency</f>
        <v>HKD</v>
      </c>
    </row>
    <row r="89" spans="2:8" ht="15" customHeight="1">
      <c r="B89" s="80" t="s">
        <v>294</v>
      </c>
      <c r="C89" s="187">
        <f>SUM(C86:C88)</f>
        <v>16563386400.829559</v>
      </c>
      <c r="D89" s="269">
        <f>SUM(D86:D88)</f>
        <v>12.141493475521628</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8"/>
      <c r="F3" s="9"/>
      <c r="G3" s="9"/>
    </row>
    <row r="4" spans="1:17" ht="15.75" customHeight="1">
      <c r="A4" s="10"/>
      <c r="B4" s="26" t="s">
        <v>2</v>
      </c>
      <c r="C4" s="190">
        <f>AVERAGE(G4:J4)</f>
        <v>32103180963.25</v>
      </c>
      <c r="D4" s="57"/>
      <c r="E4" s="296"/>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1">
        <f>C25</f>
        <v>-26627911918.442245</v>
      </c>
      <c r="E5" s="298"/>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298"/>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-1597200974.5</v>
      </c>
      <c r="E7" s="298"/>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3878068070.3077545</v>
      </c>
      <c r="D8" s="59"/>
      <c r="E8" s="304"/>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1191305772</v>
      </c>
      <c r="E9" s="298"/>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-1191305772</v>
      </c>
      <c r="E10" s="298"/>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155375871.25639853</v>
      </c>
      <c r="E12" s="298"/>
      <c r="G12" s="191">
        <f>G50</f>
        <v>155375871.25639853</v>
      </c>
      <c r="H12" s="191">
        <f t="shared" ref="H12:Q12" si="6">H50</f>
        <v>129063189.17009231</v>
      </c>
      <c r="I12" s="191">
        <f t="shared" si="6"/>
        <v>122833844.53846154</v>
      </c>
      <c r="J12" s="191">
        <f t="shared" si="6"/>
        <v>68007842.792707145</v>
      </c>
      <c r="K12" s="191">
        <f t="shared" si="6"/>
        <v>136903317.61473534</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4033443941.5641532</v>
      </c>
      <c r="E13" s="298"/>
      <c r="G13" s="184">
        <f>IF(G$4="","",SUM(G8:G12))</f>
        <v>4691440731.2563982</v>
      </c>
      <c r="H13" s="184">
        <f t="shared" ref="H13:Q13" si="7">IF(H$4="","",SUM(H8:H12))</f>
        <v>4549730981.1700926</v>
      </c>
      <c r="I13" s="184">
        <f t="shared" si="7"/>
        <v>3869787052.5384617</v>
      </c>
      <c r="J13" s="184">
        <f t="shared" si="7"/>
        <v>3025098842.792707</v>
      </c>
      <c r="K13" s="184">
        <f t="shared" si="7"/>
        <v>2470963189.6147351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-1008360985.3910383</v>
      </c>
      <c r="E14" s="298"/>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-146634564.47167698</v>
      </c>
      <c r="D15" s="60"/>
      <c r="E15" s="305"/>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2878448391.701438</v>
      </c>
      <c r="D16" s="61"/>
      <c r="E16" s="306"/>
      <c r="F16" s="61"/>
      <c r="G16" s="184">
        <f>IF(G$4="","",SUM(G13:G15))</f>
        <v>3154931589.2563982</v>
      </c>
      <c r="H16" s="184">
        <f t="shared" ref="H16:Q16" si="8">IF(H$4="","",SUM(H13:H15))</f>
        <v>3071175085.1700926</v>
      </c>
      <c r="I16" s="184">
        <f t="shared" si="8"/>
        <v>2574274359.5384617</v>
      </c>
      <c r="J16" s="184">
        <f t="shared" si="8"/>
        <v>1701579187.792707</v>
      </c>
      <c r="K16" s="184">
        <f t="shared" si="8"/>
        <v>1432737421.6147351</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2878448391.701438</v>
      </c>
      <c r="D19" s="27"/>
      <c r="E19" s="295"/>
      <c r="F19" s="27"/>
      <c r="G19" s="186">
        <f>IF(G$4="","",G16+G17)</f>
        <v>3154931589.2563982</v>
      </c>
      <c r="H19" s="186">
        <f t="shared" ref="H19:Q19" si="9">IF(H$4="","",H16+H17)</f>
        <v>3071175085.1700926</v>
      </c>
      <c r="I19" s="186">
        <f t="shared" si="9"/>
        <v>2574274359.5384617</v>
      </c>
      <c r="J19" s="186">
        <f t="shared" si="9"/>
        <v>1701579187.792707</v>
      </c>
      <c r="K19" s="186">
        <f t="shared" si="9"/>
        <v>1432737421.6147351</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-22227405835.768204</v>
      </c>
      <c r="D23" s="58"/>
      <c r="E23" s="297"/>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-4400506082.6740408</v>
      </c>
      <c r="D24" s="27"/>
      <c r="E24" s="295"/>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303"/>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0.69237393830888427</v>
      </c>
      <c r="D28" s="26"/>
      <c r="E28" s="296" t="s">
        <v>336</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96" t="s">
        <v>336</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9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-1522888768.25</v>
      </c>
      <c r="E33" s="296" t="s">
        <v>336</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-74312206.25</v>
      </c>
      <c r="D34" s="58"/>
      <c r="E34" s="296" t="s">
        <v>336</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297"/>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4.7437316881256138E-2</v>
      </c>
      <c r="D38" s="27"/>
      <c r="E38" s="29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9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0.29622378147955947</v>
      </c>
      <c r="H43" s="6">
        <f t="shared" si="18"/>
        <v>0.30731671472153965</v>
      </c>
      <c r="I43" s="6">
        <f t="shared" si="18"/>
        <v>0.31046147803195151</v>
      </c>
      <c r="J43" s="6">
        <f t="shared" si="18"/>
        <v>0.4041955845221904</v>
      </c>
      <c r="K43" s="6">
        <f t="shared" si="18"/>
        <v>0.36932177817763717</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-21837054</v>
      </c>
      <c r="E47" s="298"/>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177212925.25639853</v>
      </c>
      <c r="E48" s="298"/>
      <c r="G48" s="323">
        <f>IFERROR(IF(G$4="","",($C$48/$C$49)*G49),0)</f>
        <v>177212925.25639853</v>
      </c>
      <c r="H48" s="323">
        <f t="shared" ref="H48:Q48" si="19">IFERROR(IF(H$4="","",($C$48/$C$49)*H49),0)</f>
        <v>145493779.17009231</v>
      </c>
      <c r="I48" s="323">
        <f t="shared" si="19"/>
        <v>132071644.53846154</v>
      </c>
      <c r="J48" s="323">
        <f t="shared" si="19"/>
        <v>90693209.792707145</v>
      </c>
      <c r="K48" s="323">
        <f t="shared" si="19"/>
        <v>150565999.61473534</v>
      </c>
      <c r="L48" s="323" t="str">
        <f t="shared" si="19"/>
        <v/>
      </c>
      <c r="M48" s="323" t="str">
        <f t="shared" si="19"/>
        <v/>
      </c>
      <c r="N48" s="323" t="str">
        <f t="shared" si="19"/>
        <v/>
      </c>
      <c r="O48" s="323" t="str">
        <f t="shared" si="19"/>
        <v/>
      </c>
      <c r="P48" s="323" t="str">
        <f t="shared" si="19"/>
        <v/>
      </c>
      <c r="Q48" s="323" t="str">
        <f t="shared" si="19"/>
        <v/>
      </c>
    </row>
    <row r="49" spans="1:17" ht="15.75" customHeight="1">
      <c r="A49" s="10"/>
      <c r="B49" s="318" t="s">
        <v>345</v>
      </c>
      <c r="C49" s="319">
        <f>BS!$C$66*C53</f>
        <v>616771200</v>
      </c>
      <c r="D49" s="320"/>
      <c r="E49" s="321"/>
      <c r="F49" s="320"/>
      <c r="G49" s="319">
        <f>Data!C52</f>
        <v>616771200</v>
      </c>
      <c r="H49" s="319">
        <f>Data!D52</f>
        <v>506376003</v>
      </c>
      <c r="I49" s="319">
        <f>Data!E52</f>
        <v>459661656</v>
      </c>
      <c r="J49" s="319">
        <f>Data!F52</f>
        <v>315648307</v>
      </c>
      <c r="K49" s="319">
        <f>Data!G52</f>
        <v>524029340</v>
      </c>
      <c r="L49" s="319" t="str">
        <f>Data!H52</f>
        <v/>
      </c>
      <c r="M49" s="319" t="str">
        <f>Data!I52</f>
        <v/>
      </c>
      <c r="N49" s="319" t="str">
        <f>Data!J52</f>
        <v/>
      </c>
      <c r="O49" s="319" t="str">
        <f>Data!K52</f>
        <v/>
      </c>
      <c r="P49" s="319" t="str">
        <f>Data!L52</f>
        <v/>
      </c>
      <c r="Q49" s="319" t="str">
        <f>Data!M52</f>
        <v/>
      </c>
    </row>
    <row r="50" spans="1:17" ht="15.75" customHeight="1">
      <c r="A50" s="10"/>
      <c r="B50" s="70" t="s">
        <v>68</v>
      </c>
      <c r="C50" s="184">
        <f>C47+C48</f>
        <v>155375871.25639853</v>
      </c>
      <c r="E50" s="298"/>
      <c r="G50" s="184">
        <f>IF(G$4="","",(G47+G48))</f>
        <v>155375871.25639853</v>
      </c>
      <c r="H50" s="184">
        <f t="shared" ref="H50:Q50" si="20">IF(H$4="","",(H47+H48))</f>
        <v>129063189.17009231</v>
      </c>
      <c r="I50" s="184">
        <f t="shared" si="20"/>
        <v>122833844.53846154</v>
      </c>
      <c r="J50" s="184">
        <f t="shared" si="20"/>
        <v>68007842.792707145</v>
      </c>
      <c r="K50" s="184">
        <f t="shared" si="20"/>
        <v>136903317.61473534</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3.430552260533988E-2</v>
      </c>
      <c r="E53" s="295" t="s">
        <v>338</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5" t="s">
        <v>339</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29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8"/>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0.82944777182437002</v>
      </c>
      <c r="D73" s="27"/>
      <c r="E73" s="29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296" t="s">
        <v>452</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4.8398902100780759E-3</v>
      </c>
      <c r="D80" s="27"/>
      <c r="E80" s="295"/>
      <c r="F80" s="27"/>
      <c r="G80" s="6">
        <f t="shared" ref="G80:Q80" si="31">IF(G$4="","",ABS(G12/G$4))</f>
        <v>4.8346721206674482E-3</v>
      </c>
      <c r="H80" s="6">
        <f t="shared" si="31"/>
        <v>3.8030764128396156E-3</v>
      </c>
      <c r="I80" s="6">
        <f t="shared" si="31"/>
        <v>3.8180872505262052E-3</v>
      </c>
      <c r="J80" s="6">
        <f t="shared" si="31"/>
        <v>2.2543932624883838E-3</v>
      </c>
      <c r="K80" s="6">
        <f t="shared" si="31"/>
        <v>4.9317270622768064E-3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0.12564000888826013</v>
      </c>
      <c r="D81" s="27"/>
      <c r="E81" s="295"/>
      <c r="F81" s="27"/>
      <c r="G81" s="65">
        <f t="shared" ref="G81:Q81" si="32">IF(G$4="","",G13/G$4)</f>
        <v>0.14597876443595462</v>
      </c>
      <c r="H81" s="65">
        <f t="shared" si="32"/>
        <v>0.13406591523513367</v>
      </c>
      <c r="I81" s="65">
        <f t="shared" si="32"/>
        <v>0.12028594124905127</v>
      </c>
      <c r="J81" s="65">
        <f t="shared" si="32"/>
        <v>0.10027905855417907</v>
      </c>
      <c r="K81" s="65">
        <f t="shared" si="32"/>
        <v>8.9012569194314203E-2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3.1410002222065032E-2</v>
      </c>
      <c r="D82" s="27"/>
      <c r="E82" s="29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4.5676023394546593E-3</v>
      </c>
      <c r="D83" s="27"/>
      <c r="E83" s="29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8.9662404326740441E-2</v>
      </c>
      <c r="D84" s="27"/>
      <c r="E84" s="295"/>
      <c r="F84" s="27"/>
      <c r="G84" s="65">
        <f t="shared" ref="G84:Q84" si="35">IF(G$4="","",ABS(G16/G$4))</f>
        <v>9.8168780479567647E-2</v>
      </c>
      <c r="H84" s="65">
        <f t="shared" si="35"/>
        <v>9.0497636089854588E-2</v>
      </c>
      <c r="I84" s="65">
        <f t="shared" si="35"/>
        <v>8.0017068165872909E-2</v>
      </c>
      <c r="J84" s="65">
        <f t="shared" si="35"/>
        <v>5.6405680566031617E-2</v>
      </c>
      <c r="K84" s="65">
        <f t="shared" si="35"/>
        <v>5.1612116042347549E-2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8.9662404326740441E-2</v>
      </c>
      <c r="D87" s="75"/>
      <c r="E87" s="295"/>
      <c r="F87" s="75"/>
      <c r="G87" s="65">
        <f t="shared" ref="G87:Q87" si="36">IF(G$4="","",ABS(G19/G$4))</f>
        <v>9.8168780479567647E-2</v>
      </c>
      <c r="H87" s="65">
        <f t="shared" si="36"/>
        <v>9.0497636089854588E-2</v>
      </c>
      <c r="I87" s="65">
        <f t="shared" si="36"/>
        <v>8.0017068165872909E-2</v>
      </c>
      <c r="J87" s="65">
        <f t="shared" si="36"/>
        <v>5.6405680566031617E-2</v>
      </c>
      <c r="K87" s="65">
        <f t="shared" si="36"/>
        <v>5.1612116042347549E-2</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2.0299433998263439</v>
      </c>
      <c r="E90" s="298"/>
      <c r="G90" s="113">
        <f>Data!C65</f>
        <v>2.0299433998263439</v>
      </c>
      <c r="H90" s="113">
        <f>Data!D65</f>
        <v>1.8454030907512216</v>
      </c>
      <c r="I90" s="113">
        <f>Data!E65</f>
        <v>1.199512008988294</v>
      </c>
      <c r="J90" s="113">
        <f>Data!F65</f>
        <v>1.0149716999131719</v>
      </c>
      <c r="K90" s="113">
        <f>Data!G65</f>
        <v>0.69202615903170805</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2769242265.8648982</v>
      </c>
      <c r="E91" s="298"/>
      <c r="G91" s="74">
        <f t="shared" ref="G91:Q91" si="37">IF(G$4="","",G90*Common_Shares/scaling_factor)</f>
        <v>2769242265.8648982</v>
      </c>
      <c r="H91" s="74">
        <f t="shared" si="37"/>
        <v>2517492968.9680891</v>
      </c>
      <c r="I91" s="74">
        <f t="shared" si="37"/>
        <v>1636370429.8292577</v>
      </c>
      <c r="J91" s="74">
        <f t="shared" si="37"/>
        <v>1384621132.9324491</v>
      </c>
      <c r="K91" s="74">
        <f t="shared" si="37"/>
        <v>944059863.36303329</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0.96206076643535421</v>
      </c>
      <c r="E92" s="298"/>
      <c r="G92" s="171">
        <f t="shared" ref="G92:Q92" si="38">IF(G$4="","",G90/(G19*scaling_factor/Common_Shares))</f>
        <v>0.87775033705805161</v>
      </c>
      <c r="H92" s="171">
        <f t="shared" si="38"/>
        <v>0.81971652515820703</v>
      </c>
      <c r="I92" s="171">
        <f t="shared" si="38"/>
        <v>0.63566279319296815</v>
      </c>
      <c r="J92" s="171">
        <f t="shared" si="38"/>
        <v>0.81372712058648489</v>
      </c>
      <c r="K92" s="171">
        <f t="shared" si="38"/>
        <v>0.65892036399736909</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3.6707837248215983E-2</v>
      </c>
      <c r="E93" s="298"/>
      <c r="G93" s="23">
        <f t="shared" ref="G93:Q93" si="39">IF(G$4="","",G90/Market_Price)</f>
        <v>3.6707837248215983E-2</v>
      </c>
      <c r="H93" s="23">
        <f t="shared" si="39"/>
        <v>3.33707611347418E-2</v>
      </c>
      <c r="I93" s="23">
        <f t="shared" si="39"/>
        <v>2.1690994737582171E-2</v>
      </c>
      <c r="J93" s="23">
        <f t="shared" si="39"/>
        <v>1.8353918624107991E-2</v>
      </c>
      <c r="K93" s="23">
        <f t="shared" si="39"/>
        <v>1.2514035425528175E-2</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-1.0781421032572958E-3</v>
      </c>
      <c r="D96" s="27"/>
      <c r="E96" s="29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-0.14025473780546494</v>
      </c>
      <c r="D97" s="27"/>
      <c r="E97" s="295"/>
      <c r="F97" s="27"/>
      <c r="G97" s="6">
        <f t="shared" ref="G97:Q97" si="41">IF(H5="","",G13/H13-1)</f>
        <v>3.1146841576523476E-2</v>
      </c>
      <c r="H97" s="6">
        <f t="shared" si="41"/>
        <v>0.17570577383207908</v>
      </c>
      <c r="I97" s="6">
        <f t="shared" si="41"/>
        <v>0.27922664800134478</v>
      </c>
      <c r="J97" s="6">
        <f t="shared" si="41"/>
        <v>0.22425896731564454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51420385832</v>
      </c>
      <c r="D101" s="26"/>
      <c r="E101" s="299"/>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185704725</v>
      </c>
      <c r="D102" s="89"/>
      <c r="E102" s="300"/>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3576387537</v>
      </c>
      <c r="D103" s="89"/>
      <c r="E103" s="300"/>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299"/>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299"/>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299"/>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299"/>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1.1475773379531717</v>
      </c>
      <c r="H113" s="328">
        <f>IF(H$4="","",Data!D$22/Data!D15)</f>
        <v>0.63878566471951048</v>
      </c>
      <c r="I113" s="328">
        <f>IF(I$4="","",Data!E$22/Data!E15)</f>
        <v>1.2822939471944179</v>
      </c>
      <c r="J113" s="328">
        <f>IF(J$4="","",Data!F$22/Data!F15)</f>
        <v>1.8558534606930408</v>
      </c>
      <c r="K113" s="328">
        <f>IF(K$4="","",Data!G$22/Data!G15)</f>
        <v>2.1287016617311294</v>
      </c>
      <c r="L113" s="328" t="str">
        <f>IF(L$4="","",Data!H$22/Data!H15)</f>
        <v/>
      </c>
      <c r="M113" s="328" t="str">
        <f>IF(M$4="","",Data!I$22/Data!I15)</f>
        <v/>
      </c>
      <c r="N113" s="328" t="str">
        <f>IF(N$4="","",Data!J$22/Data!J15)</f>
        <v/>
      </c>
      <c r="O113" s="328" t="str">
        <f>IF(O$4="","",Data!K$22/Data!K15)</f>
        <v/>
      </c>
      <c r="P113" s="328" t="str">
        <f>IF(P$4="","",Data!L$22/Data!L15)</f>
        <v/>
      </c>
      <c r="Q113" s="328" t="str">
        <f>IF(Q$4="","",Data!M$22/Data!M15)</f>
        <v/>
      </c>
    </row>
    <row r="114" spans="1:17" ht="15.75" customHeight="1">
      <c r="A114" s="10"/>
      <c r="B114" s="2" t="s">
        <v>395</v>
      </c>
      <c r="C114" s="170"/>
      <c r="E114" s="298"/>
      <c r="G114" s="328">
        <f>IF(G$4="","",Data!C$22/G19)</f>
        <v>1.6338424419576489</v>
      </c>
      <c r="H114" s="328">
        <f>IF(H$4="","",Data!D$22/H19)</f>
        <v>0.90439882552191531</v>
      </c>
      <c r="I114" s="328">
        <f>IF(I$4="","",Data!E$22/I19)</f>
        <v>1.8952025466604534</v>
      </c>
      <c r="J114" s="328">
        <f>IF(J$4="","",Data!F$22/J19)</f>
        <v>3.551472360706962</v>
      </c>
      <c r="K114" s="328">
        <f>IF(K$4="","",Data!G$22/K19)</f>
        <v>3.4573134527451335</v>
      </c>
      <c r="L114" s="328" t="str">
        <f>IF(L$4="","",Data!H$22/L19)</f>
        <v/>
      </c>
      <c r="M114" s="328" t="str">
        <f>IF(M$4="","",Data!I$22/M19)</f>
        <v/>
      </c>
      <c r="N114" s="328" t="str">
        <f>IF(N$4="","",Data!J$22/N19)</f>
        <v/>
      </c>
      <c r="O114" s="328" t="str">
        <f>IF(O$4="","",Data!K$22/O19)</f>
        <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0.12564000888826013</v>
      </c>
      <c r="E117" s="298"/>
      <c r="G117" s="23">
        <f t="shared" ref="G117:Q117" si="45">G81</f>
        <v>0.14597876443595462</v>
      </c>
      <c r="H117" s="23">
        <f t="shared" si="45"/>
        <v>0.13406591523513367</v>
      </c>
      <c r="I117" s="23">
        <f t="shared" si="45"/>
        <v>0.12028594124905127</v>
      </c>
      <c r="J117" s="23">
        <f t="shared" si="45"/>
        <v>0.10027905855417907</v>
      </c>
      <c r="K117" s="23">
        <f t="shared" si="45"/>
        <v>8.9012569194314203E-2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298"/>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30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301"/>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2.2867578397895612</v>
      </c>
      <c r="D124" s="27"/>
      <c r="E124" s="295"/>
      <c r="F124" s="27"/>
      <c r="G124" s="178">
        <f t="shared" ref="G124:Q124" si="49">IF(G$4="","",G16*$C$3/Common_Shares*Exchange_Rate)</f>
        <v>2.5064074681802135</v>
      </c>
      <c r="H124" s="178">
        <f t="shared" si="49"/>
        <v>2.4398678550661104</v>
      </c>
      <c r="I124" s="178">
        <f t="shared" si="49"/>
        <v>2.0451094730116743</v>
      </c>
      <c r="J124" s="178">
        <f t="shared" si="49"/>
        <v>1.3518045204234892</v>
      </c>
      <c r="K124" s="178">
        <f t="shared" si="49"/>
        <v>1.1382255595351345</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4.1351859670697315E-2</v>
      </c>
      <c r="D125" s="27"/>
      <c r="E125" s="295"/>
      <c r="F125" s="27"/>
      <c r="G125" s="77">
        <f t="shared" ref="G125" si="50">IF(G$4="","",G124/Market_Price)</f>
        <v>4.5323824017725382E-2</v>
      </c>
      <c r="H125" s="77">
        <f t="shared" ref="H125" si="51">IF(H$4="","",H124/Market_Price)</f>
        <v>4.4120576040978493E-2</v>
      </c>
      <c r="I125" s="77">
        <f t="shared" ref="I125" si="52">IF(I$4="","",I124/Market_Price)</f>
        <v>3.6982088119560115E-2</v>
      </c>
      <c r="J125" s="77">
        <f t="shared" ref="J125" si="53">IF(J$4="","",J124/Market_Price)</f>
        <v>2.4444928036591127E-2</v>
      </c>
      <c r="K125" s="77">
        <f t="shared" ref="K125" si="54">IF(K$4="","",K124/Market_Price)</f>
        <v>2.0582740678754693E-2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5.9540983314264877E-2</v>
      </c>
      <c r="H126" s="23">
        <f>IF(H$4="","",(Data!D47*$C$3)/(Market_Price*Common_Shares))</f>
        <v>5.7637780699988365E-2</v>
      </c>
      <c r="I126" s="23">
        <f>IF(I$4="","",(Data!E47*$C$3)/(Market_Price*Common_Shares))</f>
        <v>5.0433686684178851E-2</v>
      </c>
      <c r="J126" s="23">
        <f>IF(J$4="","",(Data!F47*$C$3)/(Market_Price*Common_Shares))</f>
        <v>4.3163312756650099E-2</v>
      </c>
      <c r="K126" s="23">
        <f>IF(K$4="","",(Data!G47*$C$3)/(Market_Price*Common_Shares))</f>
        <v>3.0845258007405733E-2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2878448391.701438</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35980604896.267975</v>
      </c>
      <c r="D6" t="str">
        <f>Reporting_currency</f>
        <v>CNY</v>
      </c>
      <c r="E6" s="356" t="s">
        <v>250</v>
      </c>
      <c r="F6" s="356"/>
      <c r="H6" s="121"/>
    </row>
    <row r="7" spans="2:8">
      <c r="B7" s="149" t="s">
        <v>225</v>
      </c>
      <c r="C7" s="226">
        <f>BS!G31</f>
        <v>285396383</v>
      </c>
      <c r="D7" t="str">
        <f>Reporting_currency</f>
        <v>CNY</v>
      </c>
      <c r="E7" s="356"/>
      <c r="F7" s="356"/>
      <c r="H7" s="121"/>
    </row>
    <row r="8" spans="2:8">
      <c r="B8" s="149" t="s">
        <v>226</v>
      </c>
      <c r="C8" s="201">
        <f>BS!D66</f>
        <v>12813047036.198811</v>
      </c>
      <c r="D8" t="str">
        <f>Reporting_currency</f>
        <v>CNY</v>
      </c>
      <c r="E8" s="356"/>
      <c r="F8" s="356"/>
      <c r="H8" s="121"/>
    </row>
    <row r="9" spans="2:8">
      <c r="B9" s="227" t="s">
        <v>191</v>
      </c>
      <c r="C9" s="229">
        <f>BS!H42</f>
        <v>2755411575.5</v>
      </c>
      <c r="D9" t="str">
        <f>Reporting_currency</f>
        <v>CNY</v>
      </c>
      <c r="E9" s="356"/>
      <c r="F9" s="356"/>
      <c r="H9" s="121"/>
    </row>
    <row r="10" spans="2:8" ht="13.15">
      <c r="B10" s="150" t="s">
        <v>228</v>
      </c>
      <c r="C10" s="232">
        <f>C6-C7+C8+C9</f>
        <v>51263667124.966782</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40.725966472891137</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6.1165848114484E-2</v>
      </c>
      <c r="H16" s="121"/>
    </row>
    <row r="17" spans="2:8" ht="13.35" customHeight="1">
      <c r="B17" s="119" t="s">
        <v>135</v>
      </c>
      <c r="C17" s="163">
        <f>Scenarios!C64</f>
        <v>30</v>
      </c>
      <c r="H17" s="121"/>
    </row>
    <row r="18" spans="2:8" ht="13.35" customHeight="1">
      <c r="B18" s="154" t="s">
        <v>107</v>
      </c>
      <c r="C18" s="141">
        <f>(F52-C7+C8+C9)*Exchange_Rate/Common_Shares*scaling_factor</f>
        <v>67.992783781119726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3054511128.8336287</v>
      </c>
      <c r="D21" s="139">
        <f>IF($C$17&lt;B21,0,DCF!$C$16)</f>
        <v>6.1165848114484E-2</v>
      </c>
      <c r="E21" s="125">
        <f t="shared" ref="E21:E50" si="0">IF($C$17&lt;B21,0,1/(1+Equity_Cost)^B21)</f>
        <v>0.92592592592592582</v>
      </c>
      <c r="F21" s="126">
        <f t="shared" ref="F21:F51" si="1">C21*E21</f>
        <v>2828251045.2163224</v>
      </c>
      <c r="H21" s="121"/>
    </row>
    <row r="22" spans="2:8">
      <c r="B22" s="123">
        <v>2</v>
      </c>
      <c r="C22" s="124">
        <f t="shared" ref="C22:C50" si="2">IF(ROW()-ROW($C$21)&lt;$C$17, $C$21*(1+D22)^(ROW()-ROW($C$21)), 0)</f>
        <v>3241342892.6038671</v>
      </c>
      <c r="D22" s="139">
        <f>IF($C$17&lt;B22,0,DCF!$C$16)</f>
        <v>6.1165848114484E-2</v>
      </c>
      <c r="E22" s="125">
        <f t="shared" si="0"/>
        <v>0.85733882030178321</v>
      </c>
      <c r="F22" s="126">
        <f t="shared" si="1"/>
        <v>2778929091.7385688</v>
      </c>
      <c r="H22" s="121"/>
    </row>
    <row r="23" spans="2:8">
      <c r="B23" s="123">
        <v>3</v>
      </c>
      <c r="C23" s="124">
        <f t="shared" si="2"/>
        <v>3439602379.6598368</v>
      </c>
      <c r="D23" s="139">
        <f>IF($C$17&lt;B23,0,DCF!$C$16)</f>
        <v>6.1165848114484E-2</v>
      </c>
      <c r="E23" s="125">
        <f t="shared" si="0"/>
        <v>0.79383224102016958</v>
      </c>
      <c r="F23" s="126">
        <f t="shared" si="1"/>
        <v>2730467265.2636762</v>
      </c>
      <c r="H23" s="121"/>
    </row>
    <row r="24" spans="2:8">
      <c r="B24" s="123">
        <v>4</v>
      </c>
      <c r="C24" s="124">
        <f t="shared" si="2"/>
        <v>3649988576.3883276</v>
      </c>
      <c r="D24" s="139">
        <f>IF($C$17&lt;B24,0,DCF!$C$16)</f>
        <v>6.1165848114484E-2</v>
      </c>
      <c r="E24" s="125">
        <f t="shared" si="0"/>
        <v>0.73502985279645328</v>
      </c>
      <c r="F24" s="126">
        <f t="shared" si="1"/>
        <v>2682850566.0114484</v>
      </c>
      <c r="H24" s="121"/>
    </row>
    <row r="25" spans="2:8">
      <c r="B25" s="123">
        <v>5</v>
      </c>
      <c r="C25" s="124">
        <f t="shared" si="2"/>
        <v>3873243223.2712975</v>
      </c>
      <c r="D25" s="139">
        <f>IF($C$17&lt;B25,0,DCF!$C$16)</f>
        <v>6.1165848114484E-2</v>
      </c>
      <c r="E25" s="125">
        <f t="shared" si="0"/>
        <v>0.68058319703375303</v>
      </c>
      <c r="F25" s="126">
        <f t="shared" si="1"/>
        <v>2636064255.783298</v>
      </c>
      <c r="H25" s="121"/>
    </row>
    <row r="26" spans="2:8">
      <c r="B26" s="123">
        <v>6</v>
      </c>
      <c r="C26" s="124">
        <f t="shared" si="2"/>
        <v>4110153429.9763637</v>
      </c>
      <c r="D26" s="139">
        <f>IF($C$17&lt;B26,0,DCF!$C$16)</f>
        <v>6.1165848114484E-2</v>
      </c>
      <c r="E26" s="125">
        <f t="shared" si="0"/>
        <v>0.63016962688310452</v>
      </c>
      <c r="F26" s="126">
        <f t="shared" si="1"/>
        <v>2590093853.4005175</v>
      </c>
      <c r="H26" s="121"/>
    </row>
    <row r="27" spans="2:8">
      <c r="B27" s="123">
        <v>7</v>
      </c>
      <c r="C27" s="124">
        <f t="shared" si="2"/>
        <v>4361554450.4015226</v>
      </c>
      <c r="D27" s="139">
        <f>IF($C$17&lt;B27,0,DCF!$C$16)</f>
        <v>6.1165848114484E-2</v>
      </c>
      <c r="E27" s="125">
        <f t="shared" si="0"/>
        <v>0.58349039526213387</v>
      </c>
      <c r="F27" s="126">
        <f t="shared" si="1"/>
        <v>2544925130.2221036</v>
      </c>
      <c r="H27" s="121"/>
    </row>
    <row r="28" spans="2:8">
      <c r="B28" s="123">
        <v>8</v>
      </c>
      <c r="C28" s="124">
        <f t="shared" si="2"/>
        <v>4628332627.4578333</v>
      </c>
      <c r="D28" s="139">
        <f>IF($C$17&lt;B28,0,DCF!$C$16)</f>
        <v>6.1165848114484E-2</v>
      </c>
      <c r="E28" s="125">
        <f t="shared" si="0"/>
        <v>0.54026888450197574</v>
      </c>
      <c r="F28" s="126">
        <f t="shared" si="1"/>
        <v>2500544105.7407422</v>
      </c>
      <c r="H28" s="121"/>
    </row>
    <row r="29" spans="2:8">
      <c r="B29" s="123">
        <v>9</v>
      </c>
      <c r="C29" s="124">
        <f t="shared" si="2"/>
        <v>4911428517.97223</v>
      </c>
      <c r="D29" s="139">
        <f>IF($C$17&lt;B29,0,DCF!$C$16)</f>
        <v>6.1165848114484E-2</v>
      </c>
      <c r="E29" s="125">
        <f t="shared" si="0"/>
        <v>0.50024896713145905</v>
      </c>
      <c r="F29" s="126">
        <f t="shared" si="1"/>
        <v>2456937043.2556009</v>
      </c>
      <c r="H29" s="121"/>
    </row>
    <row r="30" spans="2:8">
      <c r="B30" s="123">
        <v>10</v>
      </c>
      <c r="C30" s="124">
        <f t="shared" si="2"/>
        <v>5211840208.727664</v>
      </c>
      <c r="D30" s="139">
        <f>IF($C$17&lt;B30,0,DCF!$C$16)</f>
        <v>6.1165848114484E-2</v>
      </c>
      <c r="E30" s="125">
        <f t="shared" si="0"/>
        <v>0.46319348808468425</v>
      </c>
      <c r="F30" s="126">
        <f t="shared" si="1"/>
        <v>2414090445.6205754</v>
      </c>
      <c r="H30" s="121"/>
    </row>
    <row r="31" spans="2:8">
      <c r="B31" s="123">
        <v>11</v>
      </c>
      <c r="C31" s="124">
        <f t="shared" si="2"/>
        <v>5530626835.3316593</v>
      </c>
      <c r="D31" s="139">
        <f>IF($C$17&lt;B31,0,DCF!$C$16)</f>
        <v>6.1165848114484E-2</v>
      </c>
      <c r="E31" s="125">
        <f t="shared" si="0"/>
        <v>0.42888285933767062</v>
      </c>
      <c r="F31" s="126">
        <f t="shared" si="1"/>
        <v>2371991051.0666943</v>
      </c>
      <c r="H31" s="121"/>
    </row>
    <row r="32" spans="2:8">
      <c r="B32" s="123">
        <v>12</v>
      </c>
      <c r="C32" s="124">
        <f t="shared" si="2"/>
        <v>5868912316.3194447</v>
      </c>
      <c r="D32" s="139">
        <f>IF($C$17&lt;B32,0,DCF!$C$16)</f>
        <v>6.1165848114484E-2</v>
      </c>
      <c r="E32" s="125">
        <f t="shared" si="0"/>
        <v>0.39711375864599124</v>
      </c>
      <c r="F32" s="126">
        <f t="shared" si="1"/>
        <v>2330625829.0973654</v>
      </c>
      <c r="H32" s="121"/>
    </row>
    <row r="33" spans="2:8">
      <c r="B33" s="123">
        <v>13</v>
      </c>
      <c r="C33" s="124">
        <f t="shared" si="2"/>
        <v>6227889315.6566629</v>
      </c>
      <c r="D33" s="139">
        <f>IF($C$17&lt;B33,0,DCF!$C$16)</f>
        <v>6.1165848114484E-2</v>
      </c>
      <c r="E33" s="125">
        <f t="shared" si="0"/>
        <v>0.36769792467221413</v>
      </c>
      <c r="F33" s="126">
        <f t="shared" si="1"/>
        <v>2289981976.4552107</v>
      </c>
      <c r="H33" s="121"/>
    </row>
    <row r="34" spans="2:8">
      <c r="B34" s="123">
        <v>14</v>
      </c>
      <c r="C34" s="124">
        <f t="shared" si="2"/>
        <v>6608823447.6119366</v>
      </c>
      <c r="D34" s="139">
        <f>IF($C$17&lt;B34,0,DCF!$C$16)</f>
        <v>6.1165848114484E-2</v>
      </c>
      <c r="E34" s="125">
        <f t="shared" si="0"/>
        <v>0.34046104136316119</v>
      </c>
      <c r="F34" s="126">
        <f t="shared" si="1"/>
        <v>2250046913.1592369</v>
      </c>
      <c r="H34" s="121"/>
    </row>
    <row r="35" spans="2:8">
      <c r="B35" s="123">
        <v>15</v>
      </c>
      <c r="C35" s="124">
        <f t="shared" si="2"/>
        <v>7013057738.824007</v>
      </c>
      <c r="D35" s="139">
        <f>IF($C$17&lt;B35,0,DCF!$C$16)</f>
        <v>6.1165848114484E-2</v>
      </c>
      <c r="E35" s="125">
        <f t="shared" si="0"/>
        <v>0.31524170496588994</v>
      </c>
      <c r="F35" s="126">
        <f t="shared" si="1"/>
        <v>2210808278.6111088</v>
      </c>
      <c r="H35" s="121"/>
    </row>
    <row r="36" spans="2:8">
      <c r="B36" s="123">
        <v>16</v>
      </c>
      <c r="C36" s="124">
        <f t="shared" si="2"/>
        <v>7442017363.2950211</v>
      </c>
      <c r="D36" s="139">
        <f>IF($C$17&lt;B36,0,DCF!$C$16)</f>
        <v>6.1165848114484E-2</v>
      </c>
      <c r="E36" s="125">
        <f t="shared" si="0"/>
        <v>0.29189046756100923</v>
      </c>
      <c r="F36" s="126">
        <f t="shared" si="1"/>
        <v>2172253927.7693329</v>
      </c>
      <c r="H36" s="121"/>
    </row>
    <row r="37" spans="2:8">
      <c r="B37" s="123">
        <v>17</v>
      </c>
      <c r="C37" s="124">
        <f t="shared" si="2"/>
        <v>7897214667.0036774</v>
      </c>
      <c r="D37" s="139">
        <f>IF($C$17&lt;B37,0,DCF!$C$16)</f>
        <v>6.1165848114484E-2</v>
      </c>
      <c r="E37" s="125">
        <f t="shared" si="0"/>
        <v>0.27026895144537894</v>
      </c>
      <c r="F37" s="126">
        <f t="shared" si="1"/>
        <v>2134371927.3901513</v>
      </c>
      <c r="H37" s="121"/>
    </row>
    <row r="38" spans="2:8">
      <c r="B38" s="123">
        <v>18</v>
      </c>
      <c r="C38" s="124">
        <f t="shared" si="2"/>
        <v>8380254499.8530998</v>
      </c>
      <c r="D38" s="139">
        <f>IF($C$17&lt;B38,0,DCF!$C$16)</f>
        <v>6.1165848114484E-2</v>
      </c>
      <c r="E38" s="125">
        <f t="shared" si="0"/>
        <v>0.25024902911609154</v>
      </c>
      <c r="F38" s="126">
        <f t="shared" si="1"/>
        <v>2097150552.3339956</v>
      </c>
      <c r="H38" s="121"/>
    </row>
    <row r="39" spans="2:8">
      <c r="B39" s="123">
        <v>19</v>
      </c>
      <c r="C39" s="124">
        <f t="shared" si="2"/>
        <v>8892839873.751833</v>
      </c>
      <c r="D39" s="139">
        <f>IF($C$17&lt;B39,0,DCF!$C$16)</f>
        <v>6.1165848114484E-2</v>
      </c>
      <c r="E39" s="125">
        <f t="shared" si="0"/>
        <v>0.23171206399638106</v>
      </c>
      <c r="F39" s="126">
        <f t="shared" si="1"/>
        <v>2060578281.9363539</v>
      </c>
      <c r="H39" s="121"/>
    </row>
    <row r="40" spans="2:8">
      <c r="B40" s="123">
        <v>20</v>
      </c>
      <c r="C40" s="124">
        <f t="shared" si="2"/>
        <v>9436777966.7761631</v>
      </c>
      <c r="D40" s="139">
        <f>IF($C$17&lt;B40,0,DCF!$C$16)</f>
        <v>6.1165848114484E-2</v>
      </c>
      <c r="E40" s="125">
        <f t="shared" si="0"/>
        <v>0.21454820740405653</v>
      </c>
      <c r="F40" s="126">
        <f t="shared" si="1"/>
        <v>2024643796.4419231</v>
      </c>
      <c r="H40" s="121"/>
    </row>
    <row r="41" spans="2:8">
      <c r="B41" s="123">
        <v>21</v>
      </c>
      <c r="C41" s="124">
        <f t="shared" si="2"/>
        <v>10013986494.582104</v>
      </c>
      <c r="D41" s="139">
        <f>IF($C$17&lt;B41,0,DCF!$C$16)</f>
        <v>6.1165848114484E-2</v>
      </c>
      <c r="E41" s="125">
        <f t="shared" si="0"/>
        <v>0.19865574759634863</v>
      </c>
      <c r="F41" s="126">
        <f t="shared" si="1"/>
        <v>1989335973.5009465</v>
      </c>
      <c r="H41" s="121"/>
    </row>
    <row r="42" spans="2:8">
      <c r="B42" s="123">
        <v>22</v>
      </c>
      <c r="C42" s="124">
        <f t="shared" si="2"/>
        <v>10626500471.530205</v>
      </c>
      <c r="D42" s="139">
        <f>IF($C$17&lt;B42,0,DCF!$C$16)</f>
        <v>6.1165848114484E-2</v>
      </c>
      <c r="E42" s="125">
        <f t="shared" si="0"/>
        <v>0.18394050703365611</v>
      </c>
      <c r="F42" s="126">
        <f t="shared" si="1"/>
        <v>1954643884.7266517</v>
      </c>
      <c r="H42" s="121"/>
    </row>
    <row r="43" spans="2:8">
      <c r="B43" s="123">
        <v>23</v>
      </c>
      <c r="C43" s="124">
        <f t="shared" si="2"/>
        <v>11276479385.360312</v>
      </c>
      <c r="D43" s="139">
        <f>IF($C$17&lt;B43,0,DCF!$C$16)</f>
        <v>6.1165848114484E-2</v>
      </c>
      <c r="E43" s="125">
        <f t="shared" si="0"/>
        <v>0.17031528429042234</v>
      </c>
      <c r="F43" s="126">
        <f t="shared" si="1"/>
        <v>1920556792.3127284</v>
      </c>
      <c r="H43" s="121"/>
    </row>
    <row r="44" spans="2:8">
      <c r="B44" s="123">
        <v>24</v>
      </c>
      <c r="C44" s="124">
        <f t="shared" si="2"/>
        <v>11966214810.711369</v>
      </c>
      <c r="D44" s="139">
        <f>IF($C$17&lt;B44,0,DCF!$C$16)</f>
        <v>6.1165848114484E-2</v>
      </c>
      <c r="E44" s="125">
        <f t="shared" si="0"/>
        <v>0.1576993373059466</v>
      </c>
      <c r="F44" s="126">
        <f t="shared" si="1"/>
        <v>1887064145.7097859</v>
      </c>
      <c r="H44" s="121"/>
    </row>
    <row r="45" spans="2:8">
      <c r="B45" s="123">
        <v>25</v>
      </c>
      <c r="C45" s="124">
        <f t="shared" si="2"/>
        <v>12698138488.328629</v>
      </c>
      <c r="D45" s="139">
        <f>IF($C$17&lt;B45,0,DCF!$C$16)</f>
        <v>6.1165848114484E-2</v>
      </c>
      <c r="E45" s="125">
        <f t="shared" si="0"/>
        <v>0.1460179049129135</v>
      </c>
      <c r="F45" s="126">
        <f t="shared" si="1"/>
        <v>1854155578.3597767</v>
      </c>
      <c r="H45" s="121"/>
    </row>
    <row r="46" spans="2:8">
      <c r="B46" s="123">
        <v>26</v>
      </c>
      <c r="C46" s="124">
        <f t="shared" si="2"/>
        <v>13474830898.442419</v>
      </c>
      <c r="D46" s="139">
        <f>IF($C$17&lt;B46,0,DCF!$C$16)</f>
        <v>6.1165848114484E-2</v>
      </c>
      <c r="E46" s="125">
        <f t="shared" si="0"/>
        <v>0.13520176380825324</v>
      </c>
      <c r="F46" s="126">
        <f t="shared" si="1"/>
        <v>1821820904.4873648</v>
      </c>
      <c r="H46" s="121"/>
    </row>
    <row r="47" spans="2:8">
      <c r="B47" s="123">
        <v>27</v>
      </c>
      <c r="C47" s="124">
        <f t="shared" si="2"/>
        <v>14299030358.544903</v>
      </c>
      <c r="D47" s="139">
        <f>IF($C$17&lt;B47,0,DCF!$C$16)</f>
        <v>6.1165848114484E-2</v>
      </c>
      <c r="E47" s="125">
        <f t="shared" si="0"/>
        <v>0.12518681834097523</v>
      </c>
      <c r="F47" s="126">
        <f t="shared" si="1"/>
        <v>1790050115.9472506</v>
      </c>
      <c r="H47" s="121"/>
    </row>
    <row r="48" spans="2:8">
      <c r="B48" s="123">
        <v>28</v>
      </c>
      <c r="C48" s="124">
        <f t="shared" si="2"/>
        <v>15173642677.640053</v>
      </c>
      <c r="D48" s="139">
        <f>IF($C$17&lt;B48,0,DCF!$C$16)</f>
        <v>6.1165848114484E-2</v>
      </c>
      <c r="E48" s="125">
        <f t="shared" si="0"/>
        <v>0.11591372068608817</v>
      </c>
      <c r="F48" s="126">
        <f t="shared" si="1"/>
        <v>1758833379.126476</v>
      </c>
      <c r="H48" s="121"/>
    </row>
    <row r="49" spans="1:8">
      <c r="B49" s="123">
        <v>29</v>
      </c>
      <c r="C49" s="124">
        <f t="shared" si="2"/>
        <v>16101751401.004036</v>
      </c>
      <c r="D49" s="139">
        <f>IF($C$17&lt;B49,0,DCF!$C$16)</f>
        <v>6.1165848114484E-2</v>
      </c>
      <c r="E49" s="125">
        <f t="shared" si="0"/>
        <v>0.10732751915378534</v>
      </c>
      <c r="F49" s="126">
        <f t="shared" si="1"/>
        <v>1728161031.9007506</v>
      </c>
      <c r="H49" s="121"/>
    </row>
    <row r="50" spans="1:8">
      <c r="B50" s="123">
        <v>30</v>
      </c>
      <c r="C50" s="124">
        <f t="shared" si="2"/>
        <v>17086628681.575027</v>
      </c>
      <c r="D50" s="139">
        <f>IF($C$17&lt;B50,0,DCF!$C$16)</f>
        <v>6.1165848114484E-2</v>
      </c>
      <c r="E50" s="125">
        <f t="shared" si="0"/>
        <v>9.9377332549801231E-2</v>
      </c>
      <c r="F50" s="126">
        <f t="shared" si="1"/>
        <v>1698023580.6438532</v>
      </c>
      <c r="H50" s="121"/>
    </row>
    <row r="51" spans="1:8">
      <c r="B51" s="127" t="s">
        <v>132</v>
      </c>
      <c r="C51" s="124">
        <f>C$21*(1+Terminal_Growth)^$C$17/Equity_Cost</f>
        <v>38181389110.420357</v>
      </c>
      <c r="D51" s="140">
        <f>Terminal_Growth</f>
        <v>0</v>
      </c>
      <c r="E51" s="125">
        <f>1/(1+Equity_Cost)^C17</f>
        <v>9.9377332549801231E-2</v>
      </c>
      <c r="F51" s="126">
        <f t="shared" si="1"/>
        <v>3794364602.8396034</v>
      </c>
      <c r="H51" s="121"/>
    </row>
    <row r="52" spans="1:8">
      <c r="C52" s="115"/>
      <c r="E52" s="128" t="s">
        <v>101</v>
      </c>
      <c r="F52" s="138">
        <f>SUM(F21:F51)</f>
        <v>70302615326.069412</v>
      </c>
      <c r="H52" s="121"/>
    </row>
    <row r="53" spans="1:8">
      <c r="C53" s="115"/>
      <c r="H53" s="121"/>
    </row>
    <row r="54" spans="1:8" ht="13.15">
      <c r="B54" s="120" t="s">
        <v>130</v>
      </c>
      <c r="C54" s="137"/>
      <c r="D54" s="137"/>
      <c r="E54" s="118"/>
      <c r="F54" s="118"/>
      <c r="H54" s="121"/>
    </row>
    <row r="55" spans="1:8" ht="13.15">
      <c r="A55" s="134">
        <f>F52</f>
        <v>70302615326.069412</v>
      </c>
      <c r="B55" s="132">
        <f>C78</f>
        <v>0.02</v>
      </c>
      <c r="C55" s="132">
        <f>C77</f>
        <v>0.04</v>
      </c>
      <c r="D55" s="132">
        <f>C76</f>
        <v>0.06</v>
      </c>
      <c r="E55" s="132">
        <f>C75</f>
        <v>0.08</v>
      </c>
      <c r="F55" s="132">
        <f>C74</f>
        <v>0.1</v>
      </c>
      <c r="H55" s="121"/>
    </row>
    <row r="56" spans="1:8" ht="13.15">
      <c r="A56" s="144">
        <v>5</v>
      </c>
      <c r="B56" s="124">
        <f t="dataTable" ref="B56:F61" dt2D="1" dtr="1" r1="C16" r2="C17"/>
        <v>37141527559.038788</v>
      </c>
      <c r="C56" s="124">
        <v>38337219348.95327</v>
      </c>
      <c r="D56" s="124">
        <v>39569206047.63118</v>
      </c>
      <c r="E56" s="124">
        <v>40839060678.938385</v>
      </c>
      <c r="F56" s="124">
        <v>42148404261.252014</v>
      </c>
      <c r="H56" s="121"/>
    </row>
    <row r="57" spans="1:8" ht="13.15">
      <c r="A57" s="144">
        <v>10</v>
      </c>
      <c r="B57" s="124">
        <v>38303519248.127327</v>
      </c>
      <c r="C57" s="124">
        <v>40859252513.353546</v>
      </c>
      <c r="D57" s="124">
        <v>43675668014.161987</v>
      </c>
      <c r="E57" s="124">
        <v>46783744353.137558</v>
      </c>
      <c r="F57" s="124">
        <v>50217883892.945656</v>
      </c>
      <c r="H57" s="121"/>
    </row>
    <row r="58" spans="1:8" ht="13.15">
      <c r="A58" s="144">
        <v>15</v>
      </c>
      <c r="B58" s="124">
        <v>39741806153.478546</v>
      </c>
      <c r="C58" s="124">
        <v>44147042575.139137</v>
      </c>
      <c r="D58" s="124">
        <v>49324264881.120461</v>
      </c>
      <c r="E58" s="124">
        <v>55426720087.381424</v>
      </c>
      <c r="F58" s="124">
        <v>62637712140.827469</v>
      </c>
      <c r="H58" s="121"/>
    </row>
    <row r="59" spans="1:8" ht="13.15">
      <c r="A59" s="145">
        <v>20</v>
      </c>
      <c r="B59" s="124">
        <v>41207189855.493523</v>
      </c>
      <c r="C59" s="124">
        <v>47685776681.788979</v>
      </c>
      <c r="D59" s="124">
        <v>55767778538.32354</v>
      </c>
      <c r="E59" s="124">
        <v>65906108058.381317</v>
      </c>
      <c r="F59" s="124">
        <v>78683986760.992813</v>
      </c>
      <c r="H59" s="121"/>
    </row>
    <row r="60" spans="1:8" ht="13.15">
      <c r="A60" s="145">
        <v>25</v>
      </c>
      <c r="B60" s="124">
        <v>42570078012.523155</v>
      </c>
      <c r="C60" s="124">
        <v>51171550162.0308</v>
      </c>
      <c r="D60" s="124">
        <v>62520384936.697662</v>
      </c>
      <c r="E60" s="124">
        <v>77635327340.54451</v>
      </c>
      <c r="F60" s="124">
        <v>97927993858.955231</v>
      </c>
      <c r="H60" s="121"/>
    </row>
    <row r="61" spans="1:8" ht="13.15">
      <c r="A61" s="145">
        <v>30</v>
      </c>
      <c r="B61" s="124">
        <v>43772334955.913589</v>
      </c>
      <c r="C61" s="124">
        <v>54436007917.985039</v>
      </c>
      <c r="D61" s="124">
        <v>69272133210.974701</v>
      </c>
      <c r="E61" s="124">
        <v>90215160812.212097</v>
      </c>
      <c r="F61" s="124">
        <v>120148065608.03931</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40.725966472891137</v>
      </c>
      <c r="C65" s="125">
        <f>C12</f>
        <v>40.725966472891137</v>
      </c>
      <c r="D65" s="125">
        <f>C12</f>
        <v>40.725966472891137</v>
      </c>
      <c r="E65" s="142">
        <f>C12</f>
        <v>40.725966472891137</v>
      </c>
      <c r="F65" s="125">
        <f>C12</f>
        <v>40.725966472891137</v>
      </c>
      <c r="H65" s="121"/>
    </row>
    <row r="66" spans="1:8" ht="13.15">
      <c r="A66" s="144">
        <f t="shared" ref="A66:A71" si="3">A56</f>
        <v>5</v>
      </c>
      <c r="B66" s="125">
        <f t="shared" ref="B66:F71" si="4">(B56-$C$7+$C$8+$C$9)/Common_Shares*$C$3*Exchange_Rate</f>
        <v>41.648251203836516</v>
      </c>
      <c r="C66" s="125">
        <f t="shared" si="4"/>
        <v>42.598157960004819</v>
      </c>
      <c r="D66" s="125">
        <f t="shared" si="4"/>
        <v>43.576898885094977</v>
      </c>
      <c r="E66" s="125">
        <f t="shared" si="4"/>
        <v>44.585723653990136</v>
      </c>
      <c r="F66" s="125">
        <f t="shared" si="4"/>
        <v>45.625920070387934</v>
      </c>
      <c r="H66" s="121"/>
    </row>
    <row r="67" spans="1:8" ht="13.15">
      <c r="A67" s="144">
        <f t="shared" si="3"/>
        <v>10</v>
      </c>
      <c r="B67" s="125">
        <f t="shared" si="4"/>
        <v>42.571385213275157</v>
      </c>
      <c r="C67" s="125">
        <f t="shared" si="4"/>
        <v>44.601764878068266</v>
      </c>
      <c r="D67" s="125">
        <f t="shared" si="4"/>
        <v>46.83924123691019</v>
      </c>
      <c r="E67" s="125">
        <f t="shared" si="4"/>
        <v>49.308424966348419</v>
      </c>
      <c r="F67" s="125">
        <f t="shared" si="4"/>
        <v>52.036646718813337</v>
      </c>
      <c r="H67" s="121"/>
    </row>
    <row r="68" spans="1:8" ht="13.15">
      <c r="A68" s="144">
        <f t="shared" si="3"/>
        <v>15</v>
      </c>
      <c r="B68" s="125">
        <f t="shared" si="4"/>
        <v>43.714019511031118</v>
      </c>
      <c r="C68" s="125">
        <f t="shared" si="4"/>
        <v>47.213720583456592</v>
      </c>
      <c r="D68" s="125">
        <f t="shared" si="4"/>
        <v>51.32671900672802</v>
      </c>
      <c r="E68" s="125">
        <f t="shared" si="4"/>
        <v>56.17476051586663</v>
      </c>
      <c r="F68" s="125">
        <f t="shared" si="4"/>
        <v>61.90346930856829</v>
      </c>
      <c r="H68" s="121"/>
    </row>
    <row r="69" spans="1:8" ht="13.15">
      <c r="A69" s="145">
        <f t="shared" si="3"/>
        <v>20</v>
      </c>
      <c r="B69" s="125">
        <f t="shared" si="4"/>
        <v>44.878180618988971</v>
      </c>
      <c r="C69" s="125">
        <f t="shared" si="4"/>
        <v>50.025036563497125</v>
      </c>
      <c r="D69" s="125">
        <f t="shared" si="4"/>
        <v>56.44571138257902</v>
      </c>
      <c r="E69" s="125">
        <f t="shared" si="4"/>
        <v>64.500017507782175</v>
      </c>
      <c r="F69" s="125">
        <f t="shared" si="4"/>
        <v>74.651290111215971</v>
      </c>
      <c r="H69" s="121"/>
    </row>
    <row r="70" spans="1:8" ht="13.15">
      <c r="A70" s="145">
        <f t="shared" si="3"/>
        <v>25</v>
      </c>
      <c r="B70" s="125">
        <f t="shared" si="4"/>
        <v>45.960915048700819</v>
      </c>
      <c r="C70" s="125">
        <f t="shared" si="4"/>
        <v>52.794278442786762</v>
      </c>
      <c r="D70" s="125">
        <f t="shared" si="4"/>
        <v>61.810259750030454</v>
      </c>
      <c r="E70" s="125">
        <f t="shared" si="4"/>
        <v>73.818191919185551</v>
      </c>
      <c r="F70" s="125">
        <f t="shared" si="4"/>
        <v>89.939521168997615</v>
      </c>
    </row>
    <row r="71" spans="1:8" ht="13.15">
      <c r="A71" s="145">
        <f t="shared" si="3"/>
        <v>30</v>
      </c>
      <c r="B71" s="125">
        <f t="shared" si="4"/>
        <v>46.916037432921996</v>
      </c>
      <c r="C71" s="125">
        <f t="shared" si="4"/>
        <v>55.38769800438525</v>
      </c>
      <c r="D71" s="125">
        <f t="shared" si="4"/>
        <v>67.174126388390562</v>
      </c>
      <c r="E71" s="125">
        <f t="shared" si="4"/>
        <v>83.812129242334478</v>
      </c>
      <c r="F71" s="125">
        <f t="shared" si="4"/>
        <v>107.59206043959743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107.59206043959743</v>
      </c>
      <c r="F74" s="143">
        <f>Scenarios!C58</f>
        <v>0.05</v>
      </c>
    </row>
    <row r="75" spans="1:8">
      <c r="B75" s="128" t="str">
        <f>Scenarios!B36</f>
        <v>Optimistic</v>
      </c>
      <c r="C75" s="143">
        <f>Scenarios!C38</f>
        <v>0.08</v>
      </c>
      <c r="D75" s="146">
        <f>Scenarios!C37</f>
        <v>30</v>
      </c>
      <c r="E75" s="136">
        <f>INDEX(B$65:F$71, MATCH(D75, A$65:A$71, 0), MATCH(C75, B$64:F$64, 0))</f>
        <v>83.812129242334478</v>
      </c>
      <c r="F75" s="143">
        <f>Scenarios!C40*(1-F$74-F$78)</f>
        <v>0.18</v>
      </c>
      <c r="H75" s="121"/>
    </row>
    <row r="76" spans="1:8">
      <c r="B76" s="128" t="str">
        <f>Scenarios!B24</f>
        <v>Base</v>
      </c>
      <c r="C76" s="143">
        <f>Scenarios!C26</f>
        <v>0.06</v>
      </c>
      <c r="D76" s="146">
        <f>Scenarios!C25</f>
        <v>30</v>
      </c>
      <c r="E76" s="136">
        <f>INDEX(B$65:F$71, MATCH(D76, A$65:A$71, 0), MATCH(C76, B$64:F$64, 0))</f>
        <v>67.174126388390562</v>
      </c>
      <c r="F76" s="143">
        <f>Scenarios!C28*(1-F$74-F$78)</f>
        <v>0.44999999999999996</v>
      </c>
      <c r="H76" s="121"/>
    </row>
    <row r="77" spans="1:8">
      <c r="B77" s="128" t="str">
        <f>Scenarios!B30</f>
        <v>Pessimistic</v>
      </c>
      <c r="C77" s="143">
        <f>Scenarios!C32</f>
        <v>0.04</v>
      </c>
      <c r="D77" s="146">
        <f>Scenarios!C31</f>
        <v>30</v>
      </c>
      <c r="E77" s="136">
        <f>INDEX(B$65:F$71, MATCH(D77, A$65:A$71, 0), MATCH(C77, B$64:F$64, 0))</f>
        <v>55.38769800438525</v>
      </c>
      <c r="F77" s="143">
        <f>Scenarios!C34*(1-F$74-F$78)</f>
        <v>0.26999999999999996</v>
      </c>
      <c r="H77" s="121"/>
    </row>
    <row r="78" spans="1:8">
      <c r="B78" s="128" t="str">
        <f>Scenarios!B48</f>
        <v>Devil's advocate</v>
      </c>
      <c r="C78" s="143">
        <f>Scenarios!C50</f>
        <v>0.02</v>
      </c>
      <c r="D78" s="146">
        <f>Scenarios!C49</f>
        <v>30</v>
      </c>
      <c r="E78" s="136">
        <f>INDEX(B$65:F$71, MATCH(D78, A$65:A$71, 0), MATCH(C78, B$64:F$64, 0))</f>
        <v>46.916037432921996</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-55.3</v>
      </c>
    </row>
    <row r="4" spans="2:9">
      <c r="B4" s="153" t="s">
        <v>147</v>
      </c>
      <c r="C4" s="121">
        <v>3</v>
      </c>
      <c r="D4" s="121"/>
      <c r="E4" s="156" t="s">
        <v>151</v>
      </c>
      <c r="F4" s="156"/>
      <c r="H4" s="274">
        <v>1</v>
      </c>
      <c r="I4" s="262">
        <f t="shared" ref="I4:I13" si="0">IF(ROW()-3 &lt; $C$76, $C$77, IF(ROW()-3 = $C$76, $C$77 + $C$60, ""))</f>
        <v>2.0299433998263439</v>
      </c>
    </row>
    <row r="5" spans="2:9">
      <c r="H5" s="274">
        <v>2</v>
      </c>
      <c r="I5" s="262">
        <f t="shared" si="0"/>
        <v>2.0299433998263439</v>
      </c>
    </row>
    <row r="6" spans="2:9" ht="13.15">
      <c r="B6" s="160" t="s">
        <v>96</v>
      </c>
      <c r="C6" s="107">
        <f>DCF!C3</f>
        <v>1</v>
      </c>
      <c r="E6" s="100" t="s">
        <v>281</v>
      </c>
      <c r="F6" s="100"/>
      <c r="H6" s="274">
        <v>3</v>
      </c>
      <c r="I6" s="262">
        <f t="shared" si="0"/>
        <v>70.024566893032272</v>
      </c>
    </row>
    <row r="7" spans="2:9" ht="12.75" customHeight="1">
      <c r="B7" s="100" t="s">
        <v>276</v>
      </c>
      <c r="C7" s="115">
        <f>Normalized_FCF!G8</f>
        <v>4487792577</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8"/>
      <c r="H7" s="274">
        <v>4</v>
      </c>
      <c r="I7" s="262" t="str">
        <f t="shared" si="0"/>
        <v/>
      </c>
    </row>
    <row r="8" spans="2:9">
      <c r="B8" s="100" t="s">
        <v>66</v>
      </c>
      <c r="C8" s="115">
        <f>Normalized_FCF!G19</f>
        <v>3154931589.2563982</v>
      </c>
      <c r="D8" t="str">
        <f>Reporting_currency</f>
        <v>CNY</v>
      </c>
      <c r="E8" s="358"/>
      <c r="F8" s="358"/>
      <c r="H8" s="274">
        <v>5</v>
      </c>
      <c r="I8" s="262" t="str">
        <f t="shared" si="0"/>
        <v/>
      </c>
    </row>
    <row r="9" spans="2:9">
      <c r="B9" s="100" t="s">
        <v>57</v>
      </c>
      <c r="C9" s="201">
        <f>Normalized_FCF!C19</f>
        <v>2878448391.701438</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2.1321347914251776E-2</v>
      </c>
      <c r="D12" s="159"/>
      <c r="E12" s="358"/>
      <c r="F12" s="358"/>
      <c r="H12" s="274">
        <v>9</v>
      </c>
      <c r="I12" s="262" t="str">
        <f t="shared" si="0"/>
        <v/>
      </c>
    </row>
    <row r="13" spans="2:9">
      <c r="B13" s="149" t="s">
        <v>153</v>
      </c>
      <c r="C13" s="159">
        <f ca="1">(Normalized_FCF!G8/OFFSET(Normalized_FCF!G8, 0, $C$4))^(1/$C$4) - 1</f>
        <v>0.15185942572632172</v>
      </c>
      <c r="E13" s="358"/>
      <c r="F13" s="358"/>
      <c r="H13" s="274">
        <v>10</v>
      </c>
      <c r="I13" s="262" t="str">
        <f t="shared" si="0"/>
        <v/>
      </c>
    </row>
    <row r="14" spans="2:9">
      <c r="B14" s="100" t="s">
        <v>66</v>
      </c>
      <c r="C14" s="159">
        <f ca="1">(Normalized_FCF!G19/OFFSET(Normalized_FCF!G19, 0, $C$4))^(1/$C$4) - 1</f>
        <v>0.22851159696230994</v>
      </c>
      <c r="E14" s="358"/>
      <c r="F14" s="358"/>
    </row>
    <row r="16" spans="2:9" ht="13.9">
      <c r="B16" s="36" t="s">
        <v>163</v>
      </c>
      <c r="C16" s="37"/>
      <c r="D16" s="37"/>
      <c r="E16" s="37"/>
      <c r="F16" s="37"/>
    </row>
    <row r="17" spans="2:6" ht="13.15">
      <c r="B17" s="109" t="s">
        <v>152</v>
      </c>
      <c r="E17" s="160" t="s">
        <v>332</v>
      </c>
    </row>
    <row r="18" spans="2:6">
      <c r="B18" s="153" t="s">
        <v>134</v>
      </c>
      <c r="C18" s="151">
        <v>30</v>
      </c>
      <c r="E18" s="358" t="s">
        <v>333</v>
      </c>
      <c r="F18" s="359"/>
    </row>
    <row r="19" spans="2:6">
      <c r="E19" s="359"/>
      <c r="F19" s="359"/>
    </row>
    <row r="20" spans="2:6" ht="13.15">
      <c r="B20" s="160" t="s">
        <v>306</v>
      </c>
      <c r="E20" s="359"/>
      <c r="F20" s="359"/>
    </row>
    <row r="21" spans="2:6">
      <c r="B21" s="100" t="s">
        <v>279</v>
      </c>
      <c r="C21" s="161">
        <f>Market_Price</f>
        <v>55.3</v>
      </c>
      <c r="D21" t="str">
        <f>Market_currency</f>
        <v>HKD</v>
      </c>
      <c r="E21" s="359"/>
      <c r="F21" s="359"/>
    </row>
    <row r="22" spans="2:6">
      <c r="B22" s="100" t="s">
        <v>280</v>
      </c>
      <c r="C22" s="161">
        <f>DCF!C12</f>
        <v>40.725966472891137</v>
      </c>
      <c r="D22" t="str">
        <f>Market_currency</f>
        <v>HKD</v>
      </c>
      <c r="E22" s="359"/>
      <c r="F22" s="359"/>
    </row>
    <row r="24" spans="2:6" ht="13.15">
      <c r="B24" s="160" t="s">
        <v>116</v>
      </c>
      <c r="E24" s="160" t="s">
        <v>150</v>
      </c>
      <c r="F24" s="160"/>
    </row>
    <row r="25" spans="2:6">
      <c r="B25" s="153" t="s">
        <v>134</v>
      </c>
      <c r="C25" s="167">
        <f>C18</f>
        <v>30</v>
      </c>
      <c r="D25" s="164"/>
      <c r="E25" s="357"/>
      <c r="F25" s="357"/>
    </row>
    <row r="26" spans="2:6">
      <c r="B26" s="119" t="s">
        <v>135</v>
      </c>
      <c r="C26" s="165">
        <v>0.06</v>
      </c>
      <c r="D26" s="165"/>
      <c r="E26" s="357"/>
      <c r="F26" s="357"/>
    </row>
    <row r="27" spans="2:6">
      <c r="B27" s="100" t="s">
        <v>114</v>
      </c>
      <c r="C27" s="161">
        <f>DCF!E76</f>
        <v>67.174126388390562</v>
      </c>
      <c r="D27" s="161" t="str">
        <f>Market_currency</f>
        <v>HKD</v>
      </c>
      <c r="E27" s="357"/>
      <c r="F27" s="357"/>
    </row>
    <row r="28" spans="2:6">
      <c r="B28" s="100" t="s">
        <v>148</v>
      </c>
      <c r="C28" s="166">
        <v>0.5</v>
      </c>
      <c r="D28" s="166"/>
      <c r="E28" s="357"/>
      <c r="F28" s="357"/>
    </row>
    <row r="30" spans="2:6" ht="13.15">
      <c r="B30" s="160" t="s">
        <v>117</v>
      </c>
      <c r="E30" s="160" t="s">
        <v>150</v>
      </c>
      <c r="F30" s="160"/>
    </row>
    <row r="31" spans="2:6">
      <c r="B31" s="153" t="s">
        <v>134</v>
      </c>
      <c r="C31" s="167">
        <f>C18</f>
        <v>30</v>
      </c>
      <c r="D31" s="164"/>
      <c r="E31" s="357"/>
      <c r="F31" s="357"/>
    </row>
    <row r="32" spans="2:6">
      <c r="B32" s="119" t="s">
        <v>135</v>
      </c>
      <c r="C32" s="165">
        <v>0.04</v>
      </c>
      <c r="D32" s="165"/>
      <c r="E32" s="357"/>
      <c r="F32" s="357"/>
    </row>
    <row r="33" spans="2:6">
      <c r="B33" s="100" t="s">
        <v>114</v>
      </c>
      <c r="C33" s="161">
        <f>DCF!E77</f>
        <v>55.38769800438525</v>
      </c>
      <c r="D33" t="str">
        <f>Market_currency</f>
        <v>HKD</v>
      </c>
      <c r="E33" s="357"/>
      <c r="F33" s="357"/>
    </row>
    <row r="34" spans="2:6">
      <c r="B34" s="100" t="s">
        <v>148</v>
      </c>
      <c r="C34" s="166">
        <v>0.3</v>
      </c>
      <c r="D34" s="166"/>
      <c r="E34" s="357"/>
      <c r="F34" s="357"/>
    </row>
    <row r="36" spans="2:6" ht="13.15">
      <c r="B36" s="160" t="s">
        <v>115</v>
      </c>
      <c r="E36" s="160" t="s">
        <v>150</v>
      </c>
      <c r="F36" s="160"/>
    </row>
    <row r="37" spans="2:6">
      <c r="B37" s="153" t="s">
        <v>134</v>
      </c>
      <c r="C37" s="167">
        <f>C18</f>
        <v>30</v>
      </c>
      <c r="D37" s="164"/>
      <c r="E37" s="357"/>
      <c r="F37" s="357"/>
    </row>
    <row r="38" spans="2:6">
      <c r="B38" s="119" t="s">
        <v>135</v>
      </c>
      <c r="C38" s="165">
        <v>0.08</v>
      </c>
      <c r="D38" s="165"/>
      <c r="E38" s="357"/>
      <c r="F38" s="357"/>
    </row>
    <row r="39" spans="2:6">
      <c r="B39" s="100" t="s">
        <v>114</v>
      </c>
      <c r="C39" s="161">
        <f>DCF!E75</f>
        <v>83.812129242334478</v>
      </c>
      <c r="D39" t="str">
        <f>Market_currency</f>
        <v>HKD</v>
      </c>
      <c r="E39" s="357"/>
      <c r="F39" s="357"/>
    </row>
    <row r="40" spans="2:6">
      <c r="B40" s="100" t="s">
        <v>148</v>
      </c>
      <c r="C40" s="168">
        <f>1-C28-C34</f>
        <v>0.2</v>
      </c>
      <c r="D40" s="166"/>
      <c r="E40" s="357"/>
      <c r="F40" s="357"/>
    </row>
    <row r="42" spans="2:6" ht="13.15">
      <c r="B42" s="100" t="s">
        <v>121</v>
      </c>
      <c r="C42" s="155">
        <f>C27*C28+C33*C34+C39*C40</f>
        <v>66.965798443977747</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7"/>
      <c r="F49" s="357"/>
    </row>
    <row r="50" spans="2:6">
      <c r="B50" s="119" t="s">
        <v>135</v>
      </c>
      <c r="C50" s="165">
        <v>0.02</v>
      </c>
      <c r="D50" s="165"/>
      <c r="E50" s="357"/>
      <c r="F50" s="357"/>
    </row>
    <row r="51" spans="2:6">
      <c r="B51" s="100" t="s">
        <v>114</v>
      </c>
      <c r="C51" s="161">
        <f>DCF!E78</f>
        <v>46.916037432921996</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30</v>
      </c>
      <c r="D55" s="164"/>
      <c r="E55" s="357"/>
      <c r="F55" s="357"/>
    </row>
    <row r="56" spans="2:6">
      <c r="B56" s="119" t="s">
        <v>135</v>
      </c>
      <c r="C56" s="165">
        <v>0.1</v>
      </c>
      <c r="D56" s="165"/>
      <c r="E56" s="357"/>
      <c r="F56" s="357"/>
    </row>
    <row r="57" spans="2:6">
      <c r="B57" s="100" t="s">
        <v>114</v>
      </c>
      <c r="C57" s="161">
        <f>DCF!E74</f>
        <v>107.59206043959743</v>
      </c>
      <c r="D57" t="str">
        <f>Market_currency</f>
        <v>HKD</v>
      </c>
      <c r="E57" s="357"/>
      <c r="F57" s="357"/>
    </row>
    <row r="58" spans="2:6">
      <c r="B58" s="100" t="s">
        <v>148</v>
      </c>
      <c r="C58" s="166">
        <v>0.05</v>
      </c>
      <c r="D58" s="166"/>
      <c r="E58" s="357"/>
      <c r="F58" s="357"/>
    </row>
    <row r="60" spans="2:6" ht="13.15">
      <c r="B60" s="100" t="s">
        <v>121</v>
      </c>
      <c r="C60" s="155">
        <f>C51*C52+C57*C58+C42*(1-C52-C58)</f>
        <v>67.994623493205935</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30</v>
      </c>
      <c r="D64" s="151"/>
      <c r="E64" s="278" t="s">
        <v>398</v>
      </c>
    </row>
    <row r="65" spans="2:6">
      <c r="B65" s="119" t="s">
        <v>135</v>
      </c>
      <c r="C65" s="152">
        <v>6.1165848114484E-2</v>
      </c>
      <c r="D65" s="152"/>
      <c r="E65" s="278" t="s">
        <v>315</v>
      </c>
    </row>
    <row r="66" spans="2:6">
      <c r="B66" s="100" t="s">
        <v>103</v>
      </c>
      <c r="C66" s="161">
        <f>DCF!C18</f>
        <v>67.992783781119726</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0.17856549314865774</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2.0299433998263439</v>
      </c>
      <c r="D77" t="str">
        <f>Market_currency</f>
        <v>HKD</v>
      </c>
    </row>
    <row r="79" spans="2:6" ht="13.15">
      <c r="B79" s="109" t="s">
        <v>304</v>
      </c>
    </row>
    <row r="80" spans="2:6">
      <c r="B80" s="149" t="s">
        <v>302</v>
      </c>
      <c r="C80" s="168">
        <f>Thesis!F29</f>
        <v>0.4</v>
      </c>
    </row>
    <row r="81" spans="2:8">
      <c r="B81" s="100" t="s">
        <v>122</v>
      </c>
      <c r="C81" s="117">
        <f>PV(C80, C76, -C77, 0)</f>
        <v>3.2254202708610995</v>
      </c>
      <c r="D81" s="117"/>
      <c r="E81" s="100"/>
      <c r="F81" s="100"/>
    </row>
    <row r="82" spans="2:8">
      <c r="B82" s="100" t="s">
        <v>123</v>
      </c>
      <c r="C82" s="117">
        <f>C60/(1+C80)^C76</f>
        <v>24.779381739506544</v>
      </c>
      <c r="D82" s="117"/>
    </row>
    <row r="83" spans="2:8" ht="13.15">
      <c r="B83" s="111" t="s">
        <v>102</v>
      </c>
      <c r="C83" s="112">
        <f>C81+C82</f>
        <v>28.004802010367644</v>
      </c>
      <c r="D83" t="str">
        <f>Market_currency</f>
        <v>HKD</v>
      </c>
      <c r="E83" s="147" t="s">
        <v>127</v>
      </c>
      <c r="F83" s="324">
        <f>(1-C83/C60)</f>
        <v>0.58813211145781397</v>
      </c>
    </row>
    <row r="84" spans="2:8">
      <c r="E84" s="121"/>
    </row>
    <row r="85" spans="2:8" ht="13.15">
      <c r="B85" s="109" t="s">
        <v>305</v>
      </c>
    </row>
    <row r="86" spans="2:8">
      <c r="B86" s="149" t="s">
        <v>303</v>
      </c>
      <c r="C86" s="264">
        <f>Market_Price</f>
        <v>55.3</v>
      </c>
      <c r="D86" t="str">
        <f>Market_currency</f>
        <v>HKD</v>
      </c>
    </row>
    <row r="87" spans="2:8" ht="13.15">
      <c r="B87" s="100" t="s">
        <v>301</v>
      </c>
      <c r="C87" s="263">
        <f ca="1">IRR(OFFSET($I$3, 0, 0, $C$76 + 1, 1))</f>
        <v>0.10568154188169632</v>
      </c>
    </row>
    <row r="88" spans="2:8">
      <c r="B88" s="100"/>
    </row>
    <row r="89" spans="2:8" ht="13.15">
      <c r="B89" s="109" t="s">
        <v>416</v>
      </c>
    </row>
    <row r="90" spans="2:8">
      <c r="B90" s="149" t="s">
        <v>417</v>
      </c>
      <c r="C90" s="168">
        <f>Thesis!F30</f>
        <v>0.21740000000000001</v>
      </c>
    </row>
    <row r="91" spans="2:8">
      <c r="B91" s="100" t="s">
        <v>122</v>
      </c>
      <c r="C91" s="117">
        <f>PV(C90, C76, -C77, 0)</f>
        <v>4.162197619403126</v>
      </c>
      <c r="D91" s="117"/>
      <c r="E91" s="100"/>
      <c r="F91" s="100"/>
    </row>
    <row r="92" spans="2:8">
      <c r="B92" s="100" t="s">
        <v>123</v>
      </c>
      <c r="C92" s="117">
        <f>C60/(1+C90)^C76</f>
        <v>37.685534650132716</v>
      </c>
      <c r="D92" s="117"/>
    </row>
    <row r="93" spans="2:8" ht="13.15">
      <c r="B93" s="111" t="s">
        <v>102</v>
      </c>
      <c r="C93" s="112">
        <f>C91+C92</f>
        <v>41.84773226953584</v>
      </c>
      <c r="D93" t="str">
        <f>Market_currency</f>
        <v>HKD</v>
      </c>
      <c r="E93" s="147" t="s">
        <v>127</v>
      </c>
      <c r="F93" s="324">
        <f>(1-C93/C60)</f>
        <v>0.38454351065393733</v>
      </c>
    </row>
    <row r="95" spans="2:8" ht="13.15">
      <c r="B95" s="109" t="s">
        <v>400</v>
      </c>
      <c r="G95" s="2"/>
      <c r="H95" s="311"/>
    </row>
    <row r="96" spans="2:8">
      <c r="B96" s="149" t="s">
        <v>406</v>
      </c>
      <c r="C96" s="135">
        <f>Thesis!F31</f>
        <v>0.08</v>
      </c>
      <c r="G96" s="2"/>
      <c r="H96" s="311"/>
    </row>
    <row r="97" spans="2:8">
      <c r="B97" s="100" t="s">
        <v>122</v>
      </c>
      <c r="C97" s="117">
        <f>PV(C96, C76, -C77, 0)</f>
        <v>5.2313610199761902</v>
      </c>
      <c r="D97" s="117"/>
      <c r="G97" s="2"/>
      <c r="H97" s="311"/>
    </row>
    <row r="98" spans="2:8">
      <c r="B98" s="100" t="s">
        <v>123</v>
      </c>
      <c r="C98" s="117">
        <f>C60/(1+C96)^C76</f>
        <v>53.976324344934341</v>
      </c>
      <c r="D98" s="117"/>
      <c r="G98" s="2"/>
      <c r="H98" s="311"/>
    </row>
    <row r="99" spans="2:8" ht="13.15">
      <c r="B99" s="111" t="s">
        <v>401</v>
      </c>
      <c r="C99" s="112">
        <f>C97+C98</f>
        <v>59.207685364910532</v>
      </c>
      <c r="D99" t="s">
        <v>399</v>
      </c>
      <c r="E99" s="147" t="s">
        <v>127</v>
      </c>
      <c r="F99" s="324">
        <f>(1-C99/C60)</f>
        <v>0.12922989608396607</v>
      </c>
    </row>
    <row r="100" spans="2:8">
      <c r="B100" s="100"/>
    </row>
    <row r="101" spans="2:8" ht="13.15">
      <c r="B101" s="109" t="s">
        <v>426</v>
      </c>
    </row>
    <row r="102" spans="2:8">
      <c r="B102" s="149" t="s">
        <v>425</v>
      </c>
      <c r="C102" s="135">
        <f>Thesis!F32</f>
        <v>0.1174</v>
      </c>
    </row>
    <row r="103" spans="2:8">
      <c r="B103" s="100" t="s">
        <v>122</v>
      </c>
      <c r="C103" s="117">
        <f>PV(C102, C76, -C77, 0)</f>
        <v>4.897447791899566</v>
      </c>
      <c r="D103" s="117"/>
    </row>
    <row r="104" spans="2:8">
      <c r="B104" s="100" t="s">
        <v>123</v>
      </c>
      <c r="C104" s="117">
        <f>C60/(1+C102)^C76</f>
        <v>48.735853057883816</v>
      </c>
      <c r="D104" s="117"/>
    </row>
    <row r="105" spans="2:8" ht="13.15">
      <c r="B105" s="111" t="s">
        <v>401</v>
      </c>
      <c r="C105" s="112">
        <f>C103+C104</f>
        <v>53.633300849783382</v>
      </c>
      <c r="D105" t="s">
        <v>399</v>
      </c>
      <c r="E105" s="147" t="s">
        <v>127</v>
      </c>
      <c r="F105" s="324">
        <f>(1-C105/C66)</f>
        <v>0.21119127843863472</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2025-05-18T07:20:26Z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