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DA999A6-7B1D-48F7-88B9-581660115AD7}"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<sst xmlns="http://schemas.openxmlformats.org/spreadsheetml/2006/main" count="685" uniqueCount="465">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</sst>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55.1</v>
      </c>
      <c r="D12" s="50"/>
      <c r="E12" s="48"/>
    </row>
    <row r="13" spans="1:10">
      <c r="B13" s="1" t="s">
        <v>416</v>
      </c>
      <c r="C13" s="48" t="s">
        <v>396</v>
      </c>
      <c r="D13" s="48"/>
      <c r="E13" s="5"/>
    </row>
    <row r="14" spans="1:10">
      <c r="B14" s="4" t="s">
        <v>420</v>
      </c>
      <c r="C14" s="35">
        <f>Thesis!C12*Common_Shares/1000000</f>
        <v>75167.2430188</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1.0911838599999999</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72.843150139783745</v>
      </c>
      <c r="D26" s="1" t="s">
        <v>399</v>
      </c>
      <c r="E26" s="301">
        <f ca="1">Scenarios!C87</f>
        <v>0.1310180274430941</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31.831924075567237</v>
      </c>
      <c r="D29" s="310" t="str">
        <f>D149</f>
        <v/>
      </c>
      <c r="E29" s="306" t="s">
        <v>424</v>
      </c>
      <c r="F29" s="302">
        <v>0.3674</v>
      </c>
    </row>
    <row r="30" spans="2:6">
      <c r="B30" s="1" t="s">
        <v>426</v>
      </c>
      <c r="C30" s="311">
        <f>C157</f>
        <v>44.506729703846688</v>
      </c>
      <c r="D30" s="311" t="str">
        <f>D157</f>
        <v/>
      </c>
      <c r="E30" s="307" t="s">
        <v>437</v>
      </c>
      <c r="F30" s="312">
        <v>0.21740000000000001</v>
      </c>
    </row>
    <row r="31" spans="2:6">
      <c r="B31" s="1" t="s">
        <v>427</v>
      </c>
      <c r="C31" s="311">
        <f>C165</f>
        <v>63.878936615268877</v>
      </c>
      <c r="D31" s="311" t="str">
        <f>D165</f>
        <v/>
      </c>
      <c r="E31" s="307" t="s">
        <v>436</v>
      </c>
      <c r="F31" s="312">
        <v>7.4999999999999997E-2</v>
      </c>
    </row>
    <row r="32" spans="2:6">
      <c r="B32" s="1" t="s">
        <v>428</v>
      </c>
      <c r="C32" s="311">
        <f>C173</f>
        <v>57.075276074671493</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3878068070.3077545</v>
      </c>
      <c r="D41" s="1" t="str">
        <f>Reporting_currency</f>
        <v>CNY</v>
      </c>
    </row>
    <row r="42" spans="1:6">
      <c r="B42" s="47"/>
      <c r="C42" s="76"/>
    </row>
    <row r="43" spans="1:6" ht="24.5" customHeight="1">
      <c r="B43" s="359" t="s">
        <v>233</v>
      </c>
      <c r="C43" s="359"/>
      <c r="D43" s="359"/>
      <c r="E43" s="359"/>
      <c r="F43" s="359"/>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177105406.98013383</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155268352.98013383</v>
      </c>
      <c r="D53" s="1" t="str">
        <f>Reporting_currency</f>
        <v>CNY</v>
      </c>
    </row>
    <row r="55" spans="2:6">
      <c r="B55" s="1" t="s">
        <v>246</v>
      </c>
    </row>
    <row r="56" spans="2:6">
      <c r="B56" s="47" t="s">
        <v>265</v>
      </c>
      <c r="C56" s="349">
        <f>Normalized_FCF!C15</f>
        <v>-146634564.47167698</v>
      </c>
      <c r="D56" s="1" t="str">
        <f>Reporting_currency</f>
        <v>CNY</v>
      </c>
    </row>
    <row r="58" spans="2:6">
      <c r="B58" s="359" t="s">
        <v>241</v>
      </c>
      <c r="C58" s="359"/>
      <c r="D58" s="359"/>
      <c r="E58" s="359"/>
      <c r="F58" s="359"/>
    </row>
    <row r="59" spans="2:6">
      <c r="B59" s="47" t="s">
        <v>239</v>
      </c>
      <c r="C59" s="349">
        <f>Normalized_FCF!C14</f>
        <v>-1008334105.8219721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3154824070.980134</v>
      </c>
      <c r="D67" s="1" t="str">
        <f>Reporting_currency</f>
        <v>CNY</v>
      </c>
    </row>
    <row r="68" spans="1:6">
      <c r="B68" s="47" t="s">
        <v>248</v>
      </c>
      <c r="C68" s="349">
        <f>Normalized_FCF!C19</f>
        <v>2878367752.9942398</v>
      </c>
      <c r="D68" s="1" t="str">
        <f>Reporting_currency</f>
        <v>CNY</v>
      </c>
    </row>
    <row r="69" spans="1:6">
      <c r="B69" s="227" t="s">
        <v>390</v>
      </c>
      <c r="C69" s="92">
        <f>Normalized_FCF!C125</f>
        <v>4.1784536841749424E-2</v>
      </c>
      <c r="F69" s="314"/>
    </row>
    <row r="70" spans="1:6">
      <c r="B70" s="227" t="s">
        <v>308</v>
      </c>
      <c r="C70" s="92">
        <f>Normalized_FCF!C93</f>
        <v>3.6590904779963747E-2</v>
      </c>
      <c r="E70" s="47" t="s">
        <v>448</v>
      </c>
      <c r="F70" s="315">
        <f>Normalized_FCF!C92</f>
        <v>0.95555456004957884</v>
      </c>
    </row>
    <row r="72" spans="1:6">
      <c r="B72" s="210" t="s">
        <v>451</v>
      </c>
      <c r="C72" s="323" t="s">
        <v>453</v>
      </c>
      <c r="D72" s="323" t="s">
        <v>454</v>
      </c>
    </row>
    <row r="73" spans="1:6">
      <c r="B73" s="47" t="s">
        <v>452</v>
      </c>
      <c r="C73" s="92">
        <f>Normalized_FCF!C120</f>
        <v>0.13507696875598568</v>
      </c>
      <c r="D73" s="92">
        <f>Normalized_FCF!G120</f>
        <v>0.15711336802325659</v>
      </c>
    </row>
    <row r="74" spans="1:6">
      <c r="B74" s="259" t="str">
        <f>Normalized_FCF!B117</f>
        <v>Pre-tax Profit/Sales</v>
      </c>
      <c r="C74" s="322">
        <f>Normalized_FCF!C117</f>
        <v>0.12563665974113394</v>
      </c>
      <c r="D74" s="322">
        <f>Normalized_FCF!G117</f>
        <v>0.14597541889968496</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30.697706399738582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285396383</v>
      </c>
      <c r="D102" s="1" t="str">
        <f>Reporting_currency</f>
        <v>CNY</v>
      </c>
    </row>
    <row r="103" spans="2:6">
      <c r="B103" s="47" t="s">
        <v>281</v>
      </c>
      <c r="C103" s="223">
        <f>C102*scaling_factor*Exchange_Rate/Common_Shares</f>
        <v>0.22828079465612869</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12816181175.197407</v>
      </c>
      <c r="D109" s="1" t="str">
        <f>Reporting_currency</f>
        <v>CNY</v>
      </c>
    </row>
    <row r="110" spans="2:6">
      <c r="B110" s="47" t="s">
        <v>282</v>
      </c>
      <c r="C110" s="223">
        <f>C109*scaling_factor*Exchange_Rate/Common_Shares</f>
        <v>10.251314303205383</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2.2039786820277802</v>
      </c>
      <c r="D114" s="1" t="str">
        <f>Market_currency</f>
        <v>HKD</v>
      </c>
    </row>
    <row r="116" spans="1:6" ht="24.5" customHeight="1">
      <c r="B116" s="358" t="s">
        <v>366</v>
      </c>
      <c r="C116" s="358"/>
      <c r="D116" s="358"/>
      <c r="E116" s="358"/>
      <c r="F116" s="358"/>
    </row>
    <row r="118" spans="1:6">
      <c r="B118" s="47" t="s">
        <v>449</v>
      </c>
      <c r="C118" s="223">
        <f>IF(valuation_method="DCF",DCF!C12,DDM!C7)</f>
        <v>42.924718590315614</v>
      </c>
      <c r="D118" s="1" t="str">
        <f>Market_currency</f>
        <v>HKD</v>
      </c>
    </row>
    <row r="119" spans="1:6">
      <c r="B119" s="296" t="s">
        <v>405</v>
      </c>
      <c r="C119" s="223">
        <f>BS!D47</f>
        <v>1.3562332861719941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116.69 HKD</v>
      </c>
      <c r="F126" s="232">
        <f>DCF!F74</f>
        <v>0.05</v>
      </c>
    </row>
    <row r="127" spans="1:6">
      <c r="B127" s="218" t="str">
        <f>DCF!B75</f>
        <v>Optimistic</v>
      </c>
      <c r="C127" s="219">
        <f>DCF!C75</f>
        <v>0.08</v>
      </c>
      <c r="D127" s="220">
        <f>DCF!D75</f>
        <v>30</v>
      </c>
      <c r="E127" s="231" t="str">
        <f>ROUND(IF(valuation_method="DCF",DCF!E75,DDM!E70),2)&amp;" "&amp;Market_currency</f>
        <v>90.29 HKD</v>
      </c>
      <c r="F127" s="221">
        <f>DCF!F75</f>
        <v>0.18</v>
      </c>
    </row>
    <row r="128" spans="1:6">
      <c r="B128" s="218" t="str">
        <f>DCF!B76</f>
        <v>Base</v>
      </c>
      <c r="C128" s="219">
        <f>DCF!C76</f>
        <v>0.06</v>
      </c>
      <c r="D128" s="220">
        <f>DCF!D76</f>
        <v>30</v>
      </c>
      <c r="E128" s="231" t="str">
        <f>ROUND(IF(valuation_method="DCF",DCF!E76,DDM!E71),2)&amp;" "&amp;Market_currency</f>
        <v>71.91 HKD</v>
      </c>
      <c r="F128" s="221">
        <f>DCF!F76</f>
        <v>0.44999999999999996</v>
      </c>
    </row>
    <row r="129" spans="1:6">
      <c r="B129" s="218" t="str">
        <f>DCF!B77</f>
        <v>Pessimistic</v>
      </c>
      <c r="C129" s="219">
        <f>DCF!C77</f>
        <v>0.04</v>
      </c>
      <c r="D129" s="220">
        <f>DCF!D77</f>
        <v>30</v>
      </c>
      <c r="E129" s="231" t="str">
        <f>ROUND(IF(valuation_method="DCF",DCF!E77,DDM!E72),2)&amp;" "&amp;Market_currency</f>
        <v>58.94 HKD</v>
      </c>
      <c r="F129" s="221">
        <f>DCF!F77</f>
        <v>0.26999999999999996</v>
      </c>
    </row>
    <row r="130" spans="1:6">
      <c r="B130" s="218" t="str">
        <f>DCF!B78</f>
        <v>Devil's advocate</v>
      </c>
      <c r="C130" s="219">
        <f>DCF!C78</f>
        <v>0.02</v>
      </c>
      <c r="D130" s="220">
        <f>DCF!D78</f>
        <v>30</v>
      </c>
      <c r="E130" s="231" t="str">
        <f>ROUND(IF(valuation_method="DCF",DCF!E78,DDM!E73),2)&amp;" "&amp;Market_currency</f>
        <v>49.67 HKD</v>
      </c>
      <c r="F130" s="221">
        <f>DCF!F78</f>
        <v>0.05</v>
      </c>
    </row>
    <row r="132" spans="1:6">
      <c r="B132" s="211" t="s">
        <v>258</v>
      </c>
      <c r="C132" s="217">
        <f>Scenarios!C60</f>
        <v>72.843150139783745</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2.0161588533760026</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3.3412980490773485</v>
      </c>
    </row>
    <row r="148" spans="2:4">
      <c r="B148" s="212" t="str">
        <f>"+ PV(Equity Value realized at year "&amp;C141&amp;")"</f>
        <v>+ PV(Equity Value realized at year 3)</v>
      </c>
      <c r="C148" s="216">
        <f>Scenarios!C82</f>
        <v>28.490626026489888</v>
      </c>
    </row>
    <row r="149" spans="2:4">
      <c r="B149" s="80" t="s">
        <v>260</v>
      </c>
      <c r="C149" s="215">
        <f>Scenarios!C83</f>
        <v>31.831924075567237</v>
      </c>
      <c r="D149" s="300" t="str">
        <f>IF($D$11="","",C149*$E$25)</f>
        <v/>
      </c>
    </row>
    <row r="150" spans="2:4">
      <c r="B150" s="259" t="s">
        <v>416</v>
      </c>
      <c r="C150" s="298" t="str">
        <f>Market_currency</f>
        <v>HKD</v>
      </c>
      <c r="D150" s="298" t="str">
        <f>IF($D$11="","",D$13)</f>
        <v/>
      </c>
    </row>
    <row r="151" spans="2:4">
      <c r="B151" s="214" t="s">
        <v>262</v>
      </c>
      <c r="C151" s="92">
        <f>Scenarios!F83</f>
        <v>0.56300731071510823</v>
      </c>
    </row>
    <row r="153" spans="2:4">
      <c r="B153" s="210" t="s">
        <v>411</v>
      </c>
    </row>
    <row r="154" spans="2:4">
      <c r="B154" s="1" t="s">
        <v>410</v>
      </c>
      <c r="C154" s="297">
        <f>Scenarios!C90</f>
        <v>0.21740000000000001</v>
      </c>
    </row>
    <row r="155" spans="2:4">
      <c r="B155" s="212" t="str">
        <f>"PV("&amp;C141&amp;" yrs of Dividends)"</f>
        <v>PV(3 yrs of Dividends)</v>
      </c>
      <c r="C155" s="216">
        <f>Scenarios!C91</f>
        <v>4.1339337740047419</v>
      </c>
    </row>
    <row r="156" spans="2:4">
      <c r="B156" s="212" t="str">
        <f>"+ PV(Equity Value realized at year "&amp;C141&amp;")"</f>
        <v>+ PV(Equity Value realized at year 3)</v>
      </c>
      <c r="C156" s="216">
        <f>Scenarios!C92</f>
        <v>40.372795929841949</v>
      </c>
    </row>
    <row r="157" spans="2:4">
      <c r="B157" s="80" t="s">
        <v>260</v>
      </c>
      <c r="C157" s="215">
        <f>Scenarios!C93</f>
        <v>44.506729703846688</v>
      </c>
      <c r="D157" s="300" t="str">
        <f>IF($D$11="","",C157*$E$25)</f>
        <v/>
      </c>
    </row>
    <row r="158" spans="2:4">
      <c r="B158" s="259" t="s">
        <v>416</v>
      </c>
      <c r="C158" s="298" t="str">
        <f>Market_currency</f>
        <v>HKD</v>
      </c>
      <c r="D158" s="298" t="str">
        <f>IF($D$11="","",D$13)</f>
        <v/>
      </c>
    </row>
    <row r="159" spans="2:4">
      <c r="B159" s="214" t="s">
        <v>262</v>
      </c>
      <c r="C159" s="92">
        <f>Scenarios!F93</f>
        <v>0.38900597216842414</v>
      </c>
    </row>
    <row r="161" spans="2:4">
      <c r="B161" s="210" t="s">
        <v>400</v>
      </c>
    </row>
    <row r="162" spans="2:4">
      <c r="B162" s="1" t="s">
        <v>409</v>
      </c>
      <c r="C162" s="92">
        <f>Scenarios!C96</f>
        <v>7.4999999999999997E-2</v>
      </c>
    </row>
    <row r="163" spans="2:4">
      <c r="B163" s="212" t="str">
        <f>"PV("&amp;C141&amp;" yrs of Dividends)"</f>
        <v>PV(3 yrs of Dividends)</v>
      </c>
      <c r="C163" s="216">
        <f>Scenarios!C97</f>
        <v>5.2430729938750309</v>
      </c>
    </row>
    <row r="164" spans="2:4">
      <c r="B164" s="212" t="str">
        <f>"+ PV(Equity Value realized at year "&amp;C141&amp;")"</f>
        <v>+ PV(Equity Value realized at year 3)</v>
      </c>
      <c r="C164" s="216">
        <f>Scenarios!C98</f>
        <v>58.635863621393845</v>
      </c>
    </row>
    <row r="165" spans="2:4">
      <c r="B165" s="80" t="s">
        <v>401</v>
      </c>
      <c r="C165" s="215">
        <f>Scenarios!C99</f>
        <v>63.878936615268877</v>
      </c>
      <c r="D165" s="300" t="str">
        <f>IF($D$11="","",C165*$E$25)</f>
        <v/>
      </c>
    </row>
    <row r="166" spans="2:4">
      <c r="B166" s="259" t="s">
        <v>416</v>
      </c>
      <c r="C166" s="298" t="str">
        <f>Market_currency</f>
        <v>HKD</v>
      </c>
      <c r="D166" s="298" t="str">
        <f>IF($D$11="","",D$13)</f>
        <v/>
      </c>
    </row>
    <row r="167" spans="2:4">
      <c r="B167" s="214" t="s">
        <v>262</v>
      </c>
      <c r="C167" s="92">
        <f>Scenarios!F99</f>
        <v>0.12306185972617634</v>
      </c>
    </row>
    <row r="169" spans="2:4">
      <c r="B169" s="210" t="s">
        <v>432</v>
      </c>
    </row>
    <row r="170" spans="2:4">
      <c r="B170" s="1" t="s">
        <v>423</v>
      </c>
      <c r="C170" s="92">
        <f>F32</f>
        <v>0.1174</v>
      </c>
    </row>
    <row r="171" spans="2:4">
      <c r="B171" s="212" t="str">
        <f>"PV("&amp;C141&amp;" yrs of Dividends)"</f>
        <v>PV(3 yrs of Dividends)</v>
      </c>
      <c r="C171" s="216">
        <f>Scenarios!C103</f>
        <v>4.8641911520438263</v>
      </c>
    </row>
    <row r="172" spans="2:4">
      <c r="B172" s="212" t="str">
        <f>"+ PV(Equity Value realized at year "&amp;C141&amp;")"</f>
        <v>+ PV(Equity Value realized at year 3)</v>
      </c>
      <c r="C172" s="216">
        <f>Scenarios!C104</f>
        <v>52.21108492262767</v>
      </c>
    </row>
    <row r="173" spans="2:4">
      <c r="B173" s="80" t="s">
        <v>401</v>
      </c>
      <c r="C173" s="215">
        <f>Scenarios!C105</f>
        <v>57.075276074671493</v>
      </c>
      <c r="D173" s="300" t="str">
        <f>IF($D$11="","",C173*$E$25)</f>
        <v/>
      </c>
    </row>
    <row r="174" spans="2:4">
      <c r="B174" s="259" t="s">
        <v>416</v>
      </c>
      <c r="C174" s="298" t="str">
        <f>Market_currency</f>
        <v>HKD</v>
      </c>
      <c r="D174" s="298" t="str">
        <f>IF($D$11="","",D$13)</f>
        <v/>
      </c>
    </row>
    <row r="175" spans="2:4">
      <c r="B175" s="214" t="s">
        <v>262</v>
      </c>
      <c r="C175" s="92">
        <f>Scenarios!F105</f>
        <v>0.21610665316832622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2.0161588533760026</v>
      </c>
      <c r="D25" s="39">
        <f>2/Exchange_Rate</f>
        <v>1.8328716848872748</v>
      </c>
      <c r="E25" s="39">
        <f>1.3/Exchange_Rate</f>
        <v>1.1913665951767287</v>
      </c>
      <c r="F25" s="39">
        <f>1.1/Exchange_Rate</f>
        <v>1.0080794266880013</v>
      </c>
      <c r="G25" s="39">
        <f>0.75/Exchange_Rate</f>
        <v>0.68732688183272805</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2.0161588533760026</v>
      </c>
      <c r="D65" s="73">
        <f t="shared" ref="D65:M65" si="33">IF(D$4="","",D25)</f>
        <v>1.8328716848872748</v>
      </c>
      <c r="E65" s="73">
        <f t="shared" si="33"/>
        <v>1.1913665951767287</v>
      </c>
      <c r="F65" s="73">
        <f t="shared" si="33"/>
        <v>1.0080794266880013</v>
      </c>
      <c r="G65" s="73">
        <f t="shared" si="33"/>
        <v>0.68732688183272805</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23.244610191279918</v>
      </c>
      <c r="D47" s="147">
        <f>D46*H1/Common_Shares*Exchange_Rate</f>
        <v>1.3562332861719941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12816181175.197407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-2533372913.8227754</v>
      </c>
      <c r="D73" s="349">
        <f>(Normalized_FCF!C25+Normalized_FCF!C35-Normalized_FCF!C91)/12</f>
        <v>-2581295860.4012961</v>
      </c>
      <c r="F73" s="1" t="s">
        <v>351</v>
      </c>
    </row>
    <row r="74" spans="2:6" ht="15" customHeight="1">
      <c r="B74" s="257" t="s">
        <v>321</v>
      </c>
      <c r="C74" s="258">
        <f>-$C$66/C73</f>
        <v>7.0967731587808878</v>
      </c>
      <c r="D74" s="258">
        <f>-$C$66/D73</f>
        <v>6.9650182963548257</v>
      </c>
      <c r="F74" s="253" t="s">
        <v>319</v>
      </c>
    </row>
    <row r="75" spans="2:6" ht="15" customHeight="1">
      <c r="B75" s="80" t="s">
        <v>320</v>
      </c>
      <c r="C75" s="320"/>
      <c r="D75" s="321">
        <f>MAX(-D73*D76,G5)</f>
        <v>5162591720.8025923</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-311419926.83197832</v>
      </c>
      <c r="D86" s="223">
        <f>C86*scaling_factor/Common_Shares</f>
        <v>-0.22828079465612869</v>
      </c>
      <c r="E86" s="240" t="str">
        <f>Market_currency</f>
        <v>HKD</v>
      </c>
    </row>
    <row r="87" spans="2:8" ht="15" customHeight="1">
      <c r="B87" s="238" t="s">
        <v>287</v>
      </c>
      <c r="C87" s="76">
        <f>DCF!C8*Exchange_Rate</f>
        <v>13984810045.211241</v>
      </c>
      <c r="D87" s="223">
        <f>C87*scaling_factor/Common_Shares</f>
        <v>10.251314303205383</v>
      </c>
      <c r="E87" s="240" t="str">
        <f>Market_currency</f>
        <v>HKD</v>
      </c>
    </row>
    <row r="88" spans="2:8" ht="15" customHeight="1">
      <c r="B88" s="239" t="s">
        <v>189</v>
      </c>
      <c r="C88" s="76">
        <f>DCF!C9*Exchange_Rate</f>
        <v>3006660638.8427711</v>
      </c>
      <c r="D88" s="223">
        <f>C88*scaling_factor/Common_Shares</f>
        <v>2.2039786820277802</v>
      </c>
      <c r="E88" s="240" t="str">
        <f>Market_currency</f>
        <v>HKD</v>
      </c>
    </row>
    <row r="89" spans="2:8" ht="15" customHeight="1">
      <c r="B89" s="80" t="s">
        <v>291</v>
      </c>
      <c r="C89" s="180">
        <f>SUM(C86:C88)</f>
        <v>16680050757.222034</v>
      </c>
      <c r="D89" s="242">
        <f>SUM(D86:D88)</f>
        <v>12.227012190577035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155268352.98013383</v>
      </c>
      <c r="E12" s="268"/>
      <c r="G12" s="328">
        <f>G50</f>
        <v>155268352.98013383</v>
      </c>
      <c r="H12" s="328">
        <f t="shared" ref="H12:Q12" si="6">H50</f>
        <v>128974915.4715403</v>
      </c>
      <c r="I12" s="328">
        <f t="shared" si="6"/>
        <v>122753714.29094334</v>
      </c>
      <c r="J12" s="328">
        <f t="shared" si="6"/>
        <v>67952817.587453544</v>
      </c>
      <c r="K12" s="328">
        <f t="shared" si="6"/>
        <v>136811966.50860566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4033336423.2878885</v>
      </c>
      <c r="E13" s="268"/>
      <c r="G13" s="329">
        <f>IF(G$4="","",SUM(G8:G12))</f>
        <v>4691333212.980134</v>
      </c>
      <c r="H13" s="329">
        <f t="shared" ref="H13:Q13" si="7">IF(H$4="","",SUM(H8:H12))</f>
        <v>4549642707.4715405</v>
      </c>
      <c r="I13" s="329">
        <f t="shared" si="7"/>
        <v>3869706922.2909431</v>
      </c>
      <c r="J13" s="329">
        <f t="shared" si="7"/>
        <v>3025043817.5874534</v>
      </c>
      <c r="K13" s="329">
        <f t="shared" si="7"/>
        <v>2470871838.5086055</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-1008334105.8219721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2878367752.9942398</v>
      </c>
      <c r="D16" s="61"/>
      <c r="E16" s="276"/>
      <c r="F16" s="61"/>
      <c r="G16" s="329">
        <f>IF(G$4="","",SUM(G13:G15))</f>
        <v>3154824070.980134</v>
      </c>
      <c r="H16" s="329">
        <f t="shared" ref="H16:Q16" si="8">IF(H$4="","",SUM(H13:H15))</f>
        <v>3071086811.4715405</v>
      </c>
      <c r="I16" s="329">
        <f t="shared" si="8"/>
        <v>2574194229.2909431</v>
      </c>
      <c r="J16" s="329">
        <f t="shared" si="8"/>
        <v>1701524162.5874534</v>
      </c>
      <c r="K16" s="329">
        <f t="shared" si="8"/>
        <v>1432646070.5086055</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2878367752.9942398</v>
      </c>
      <c r="D19" s="27"/>
      <c r="E19" s="265"/>
      <c r="F19" s="27"/>
      <c r="G19" s="334">
        <f>IF(G$4="","",G16+G17)</f>
        <v>3154824070.980134</v>
      </c>
      <c r="H19" s="334">
        <f t="shared" ref="H19:Q19" si="9">IF(H$4="","",H16+H17)</f>
        <v>3071086811.4715405</v>
      </c>
      <c r="I19" s="334">
        <f t="shared" si="9"/>
        <v>2574194229.2909431</v>
      </c>
      <c r="J19" s="334">
        <f t="shared" si="9"/>
        <v>1701524162.5874534</v>
      </c>
      <c r="K19" s="334">
        <f t="shared" si="9"/>
        <v>1432646070.5086055</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0.29623057048151846</v>
      </c>
      <c r="H43" s="6">
        <f t="shared" si="18"/>
        <v>0.30732267738383634</v>
      </c>
      <c r="I43" s="6">
        <f t="shared" si="18"/>
        <v>0.31046790677593117</v>
      </c>
      <c r="J43" s="6">
        <f t="shared" si="18"/>
        <v>0.40420293679420433</v>
      </c>
      <c r="K43" s="6">
        <f t="shared" si="18"/>
        <v>0.36933543244833972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177105406.98013383</v>
      </c>
      <c r="E48" s="268"/>
      <c r="G48" s="337">
        <f>IFERROR(IF(G$4="","",($C$48/$C$49)*G49),0)</f>
        <v>177105406.98013383</v>
      </c>
      <c r="H48" s="337">
        <f t="shared" ref="H48:Q48" si="19">IFERROR(IF(H$4="","",($C$48/$C$49)*H49),0)</f>
        <v>145405505.4715403</v>
      </c>
      <c r="I48" s="337">
        <f t="shared" si="19"/>
        <v>131991514.29094334</v>
      </c>
      <c r="J48" s="337">
        <f t="shared" si="19"/>
        <v>90638184.587453544</v>
      </c>
      <c r="K48" s="337">
        <f t="shared" si="19"/>
        <v>150474648.50860566</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155268352.98013383</v>
      </c>
      <c r="E50" s="268"/>
      <c r="G50" s="329">
        <f>IF(G$4="","",(G47+G48))</f>
        <v>155268352.98013383</v>
      </c>
      <c r="H50" s="329">
        <f t="shared" ref="H50:Q50" si="20">IF(H$4="","",(H47+H48))</f>
        <v>128974915.4715403</v>
      </c>
      <c r="I50" s="329">
        <f t="shared" si="20"/>
        <v>122753714.29094334</v>
      </c>
      <c r="J50" s="329">
        <f t="shared" si="20"/>
        <v>67952817.587453544</v>
      </c>
      <c r="K50" s="329">
        <f t="shared" si="20"/>
        <v>136811966.50860566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4.8365410629518839E-3</v>
      </c>
      <c r="D80" s="27"/>
      <c r="E80" s="265"/>
      <c r="F80" s="27"/>
      <c r="G80" s="6">
        <f t="shared" ref="G80:Q80" si="31">IF(G$4="","",ABS(G12/G$4))</f>
        <v>4.8313265843977823E-3</v>
      </c>
      <c r="H80" s="6">
        <f t="shared" si="31"/>
        <v>3.8004752713135461E-3</v>
      </c>
      <c r="I80" s="6">
        <f t="shared" si="31"/>
        <v>3.8155965340825383E-3</v>
      </c>
      <c r="J80" s="6">
        <f t="shared" si="31"/>
        <v>2.2525692309223648E-3</v>
      </c>
      <c r="K80" s="6">
        <f t="shared" si="31"/>
        <v>4.9284362821107883E-3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0.12563665974113394</v>
      </c>
      <c r="D81" s="27"/>
      <c r="E81" s="265"/>
      <c r="F81" s="27"/>
      <c r="G81" s="65">
        <f t="shared" ref="G81:Q81" si="32">IF(G$4="","",G13/G$4)</f>
        <v>0.14597541889968496</v>
      </c>
      <c r="H81" s="65">
        <f t="shared" si="32"/>
        <v>0.13406331409360761</v>
      </c>
      <c r="I81" s="65">
        <f t="shared" si="32"/>
        <v>0.1202834505326076</v>
      </c>
      <c r="J81" s="65">
        <f t="shared" si="32"/>
        <v>0.10027723452261304</v>
      </c>
      <c r="K81" s="65">
        <f t="shared" si="32"/>
        <v>8.9009278414148185E-2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3.1409164935283486E-2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8.9659892466395802E-2</v>
      </c>
      <c r="D84" s="27"/>
      <c r="E84" s="265"/>
      <c r="F84" s="27"/>
      <c r="G84" s="65">
        <f t="shared" ref="G84:Q84" si="35">IF(G$4="","",ABS(G16/G$4))</f>
        <v>9.8165434943298005E-2</v>
      </c>
      <c r="H84" s="65">
        <f t="shared" si="35"/>
        <v>9.0495034948328515E-2</v>
      </c>
      <c r="I84" s="65">
        <f t="shared" si="35"/>
        <v>8.0014577449429233E-2</v>
      </c>
      <c r="J84" s="65">
        <f t="shared" si="35"/>
        <v>5.6403856534465599E-2</v>
      </c>
      <c r="K84" s="65">
        <f t="shared" si="35"/>
        <v>5.160882526218153E-2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8.9659892466395802E-2</v>
      </c>
      <c r="D87" s="75"/>
      <c r="E87" s="265"/>
      <c r="F87" s="75"/>
      <c r="G87" s="65">
        <f t="shared" ref="G87:Q87" si="36">IF(G$4="","",ABS(G19/G$4))</f>
        <v>9.8165434943298005E-2</v>
      </c>
      <c r="H87" s="65">
        <f t="shared" si="36"/>
        <v>9.0495034948328515E-2</v>
      </c>
      <c r="I87" s="65">
        <f t="shared" si="36"/>
        <v>8.0014577449429233E-2</v>
      </c>
      <c r="J87" s="65">
        <f t="shared" si="36"/>
        <v>5.6403856534465599E-2</v>
      </c>
      <c r="K87" s="65">
        <f t="shared" si="36"/>
        <v>5.160882526218153E-2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2.0161588533760026</v>
      </c>
      <c r="E90" s="268"/>
      <c r="G90" s="112">
        <f>Data!C65</f>
        <v>2.0161588533760026</v>
      </c>
      <c r="H90" s="112">
        <f>Data!D65</f>
        <v>1.8328716848872748</v>
      </c>
      <c r="I90" s="112">
        <f>Data!E65</f>
        <v>1.1913665951767287</v>
      </c>
      <c r="J90" s="112">
        <f>Data!F65</f>
        <v>1.0080794266880013</v>
      </c>
      <c r="K90" s="112">
        <f>Data!G65</f>
        <v>0.68732688183272805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2750437431.8733058</v>
      </c>
      <c r="E91" s="268"/>
      <c r="G91" s="74">
        <f t="shared" ref="G91:Q91" si="37">IF(G$4="","",G90*Common_Shares/scaling_factor)</f>
        <v>2750437431.8733058</v>
      </c>
      <c r="H91" s="74">
        <f t="shared" si="37"/>
        <v>2500397665.3393683</v>
      </c>
      <c r="I91" s="74">
        <f t="shared" si="37"/>
        <v>1625258482.4705896</v>
      </c>
      <c r="J91" s="74">
        <f t="shared" si="37"/>
        <v>1375218715.9366529</v>
      </c>
      <c r="K91" s="74">
        <f t="shared" si="37"/>
        <v>937649124.50226319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0.95555456004957884</v>
      </c>
      <c r="E92" s="268"/>
      <c r="G92" s="170">
        <f t="shared" ref="G92:Q92" si="38">IF(G$4="","",G90/(G19*scaling_factor/Common_Shares))</f>
        <v>0.87181959120110475</v>
      </c>
      <c r="H92" s="170">
        <f t="shared" si="38"/>
        <v>0.81417355445620865</v>
      </c>
      <c r="I92" s="170">
        <f t="shared" si="38"/>
        <v>0.63136591014667298</v>
      </c>
      <c r="J92" s="170">
        <f t="shared" si="38"/>
        <v>0.80822755631362986</v>
      </c>
      <c r="K92" s="170">
        <f t="shared" si="38"/>
        <v>0.65448762524395654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3.6590904779963747E-2</v>
      </c>
      <c r="E93" s="268"/>
      <c r="G93" s="23">
        <f t="shared" ref="G93:Q93" si="39">IF(G$4="","",G90/Market_Price)</f>
        <v>3.6590904779963747E-2</v>
      </c>
      <c r="H93" s="23">
        <f t="shared" si="39"/>
        <v>3.3264458890876127E-2</v>
      </c>
      <c r="I93" s="23">
        <f t="shared" si="39"/>
        <v>2.1621898279069487E-2</v>
      </c>
      <c r="J93" s="23">
        <f t="shared" si="39"/>
        <v>1.8295452389981873E-2</v>
      </c>
      <c r="K93" s="23">
        <f t="shared" si="39"/>
        <v>1.2474172084078548E-2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-0.14025795223235871</v>
      </c>
      <c r="D97" s="27"/>
      <c r="E97" s="265"/>
      <c r="F97" s="27"/>
      <c r="G97" s="6">
        <f t="shared" ref="G97:Q97" si="41">IF(H5="","",G13/H13-1)</f>
        <v>3.1143215988346906E-2</v>
      </c>
      <c r="H97" s="6">
        <f t="shared" si="41"/>
        <v>0.17570730777153054</v>
      </c>
      <c r="I97" s="6">
        <f t="shared" si="41"/>
        <v>0.27922342803521083</v>
      </c>
      <c r="J97" s="6">
        <f t="shared" si="41"/>
        <v>0.2242819600928152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1.6338981242775166</v>
      </c>
      <c r="H114" s="295">
        <f>IF(H$4="","",Data!D$22/H19)</f>
        <v>0.90442482108446243</v>
      </c>
      <c r="I114" s="295">
        <f>IF(I$4="","",Data!E$22/I19)</f>
        <v>1.8952615410624427</v>
      </c>
      <c r="J114" s="295">
        <f>IF(J$4="","",Data!F$22/J19)</f>
        <v>3.551587210968802</v>
      </c>
      <c r="K114" s="295">
        <f>IF(K$4="","",Data!G$22/K19)</f>
        <v>3.4575339045473243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0.12563665974113394</v>
      </c>
      <c r="E117" s="268"/>
      <c r="G117" s="23">
        <f t="shared" ref="G117:Q117" si="45">IF(G4="","",IF(valuation_method="DDM",G13/(G4+G12),G81))</f>
        <v>0.14597541889968496</v>
      </c>
      <c r="H117" s="23">
        <f t="shared" si="45"/>
        <v>0.13406331409360761</v>
      </c>
      <c r="I117" s="23">
        <f t="shared" si="45"/>
        <v>0.1202834505326076</v>
      </c>
      <c r="J117" s="23">
        <f t="shared" si="45"/>
        <v>0.10027723452261304</v>
      </c>
      <c r="K117" s="23">
        <f t="shared" si="45"/>
        <v>8.9009278414148185E-2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0.13507696875598568</v>
      </c>
      <c r="D120" s="103"/>
      <c r="E120" s="271"/>
      <c r="F120" s="103"/>
      <c r="G120" s="102">
        <f>IF(G$4="","",G13/G105)</f>
        <v>0.15711336802325659</v>
      </c>
      <c r="H120" s="102">
        <f t="shared" ref="H120:Q120" si="48">IF(H$4="","",H13/H105)</f>
        <v>0.16102224094565945</v>
      </c>
      <c r="I120" s="102">
        <f t="shared" si="48"/>
        <v>0.14729220799028314</v>
      </c>
      <c r="J120" s="102">
        <f t="shared" si="48"/>
        <v>0.12713638140912273</v>
      </c>
      <c r="K120" s="102">
        <f t="shared" si="48"/>
        <v>0.11563392953711331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2.3023279799803933</v>
      </c>
      <c r="D124" s="27"/>
      <c r="E124" s="265"/>
      <c r="F124" s="27"/>
      <c r="G124" s="177">
        <f t="shared" ref="G124:Q124" si="49">IF(G$4="","",G16*$C$3/Common_Shares*Exchange_Rate)</f>
        <v>2.5234578600935809</v>
      </c>
      <c r="H124" s="177">
        <f t="shared" si="49"/>
        <v>2.4564787066018274</v>
      </c>
      <c r="I124" s="177">
        <f t="shared" si="49"/>
        <v>2.0590278618273774</v>
      </c>
      <c r="J124" s="177">
        <f t="shared" si="49"/>
        <v>1.361002840607366</v>
      </c>
      <c r="K124" s="177">
        <f t="shared" si="49"/>
        <v>1.1459345770218983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4.1784536841749424E-2</v>
      </c>
      <c r="D125" s="27"/>
      <c r="E125" s="265"/>
      <c r="F125" s="27"/>
      <c r="G125" s="77">
        <f t="shared" ref="G125" si="50">IF(G$4="","",G124/Market_Price)</f>
        <v>4.5797783304783679E-2</v>
      </c>
      <c r="H125" s="77">
        <f t="shared" ref="H125" si="51">IF(H$4="","",H124/Market_Price)</f>
        <v>4.4582190682428809E-2</v>
      </c>
      <c r="I125" s="77">
        <f t="shared" ref="I125" si="52">IF(I$4="","",I124/Market_Price)</f>
        <v>3.7368926711930622E-2</v>
      </c>
      <c r="J125" s="77">
        <f t="shared" ref="J125" si="53">IF(J$4="","",J124/Market_Price)</f>
        <v>2.4700596018282502E-2</v>
      </c>
      <c r="K125" s="77">
        <f t="shared" ref="K125" si="54">IF(K$4="","",K124/Market_Price)</f>
        <v>2.079736074449906E-2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5.9757103035913743E-2</v>
      </c>
      <c r="H126" s="23">
        <f>IF(H$4="","",(Data!D47*$C$3)/(Market_Price*Common_Shares))</f>
        <v>5.7846992245178877E-2</v>
      </c>
      <c r="I126" s="23">
        <f>IF(I$4="","",(Data!E47*$C$3)/(Market_Price*Common_Shares))</f>
        <v>5.061674906778748E-2</v>
      </c>
      <c r="J126" s="23">
        <f>IF(J$4="","",(Data!F47*$C$3)/(Market_Price*Common_Shares))</f>
        <v>4.3319985398235027E-2</v>
      </c>
      <c r="K126" s="23">
        <f>IF(K$4="","",(Data!G47*$C$3)/(Market_Price*Common_Shares))</f>
        <v>3.0957219016507019E-2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2878367752.9942398</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38378236706.589867</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12816181175.197407</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53664433074.287277</v>
      </c>
      <c r="D10" t="str">
        <f>Reporting_currency</f>
        <v>CNY</v>
      </c>
      <c r="H10" s="120"/>
    </row>
    <row r="11" spans="2:8" ht="13.15" thickBot="1">
      <c r="B11" s="207" t="s">
        <v>166</v>
      </c>
      <c r="C11" s="208">
        <f>Exchange_Rate</f>
        <v>1.0911838599999999</v>
      </c>
      <c r="D11" t="str">
        <f>Thesis!C15</f>
        <v>CNY/HKD</v>
      </c>
      <c r="H11" s="120"/>
    </row>
    <row r="12" spans="2:8" ht="13.5" thickTop="1">
      <c r="B12" s="149" t="s">
        <v>102</v>
      </c>
      <c r="C12" s="111">
        <f>(C10*scaling_factor)/Common_Shares*Exchange_Rate</f>
        <v>42.924718590315614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72.810001903138144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3054425557.7915139</v>
      </c>
      <c r="D21" s="138">
        <f>IF($C$17&lt;B21,0,DCF!$C$16)</f>
        <v>6.1165848114484E-2</v>
      </c>
      <c r="E21" s="124">
        <f t="shared" ref="E21:E50" si="0">IF($C$17&lt;B21,0,1/(1+Equity_Cost)^B21)</f>
        <v>0.93023255813953487</v>
      </c>
      <c r="F21" s="125">
        <f t="shared" ref="F21:F51" si="1">C21*E21</f>
        <v>2841326100.2711759</v>
      </c>
      <c r="H21" s="120"/>
    </row>
    <row r="22" spans="2:17">
      <c r="B22" s="122">
        <v>2</v>
      </c>
      <c r="C22" s="123">
        <f t="shared" ref="C22:C50" si="2">IF(ROW()-ROW($C$21)&lt;$C$17, $C$21*(1+D22)^(ROW()-ROW($C$21)), 0)</f>
        <v>3241252087.5363874</v>
      </c>
      <c r="D22" s="138">
        <f>IF($C$17&lt;B22,0,DCF!$C$16)</f>
        <v>6.1165848114484E-2</v>
      </c>
      <c r="E22" s="124">
        <f t="shared" si="0"/>
        <v>0.86533261222282321</v>
      </c>
      <c r="F22" s="125">
        <f t="shared" si="1"/>
        <v>2804761135.7805409</v>
      </c>
      <c r="H22" s="120"/>
    </row>
    <row r="23" spans="2:17">
      <c r="B23" s="122">
        <v>3</v>
      </c>
      <c r="C23" s="123">
        <f t="shared" si="2"/>
        <v>3439506020.4233918</v>
      </c>
      <c r="D23" s="138">
        <f>IF($C$17&lt;B23,0,DCF!$C$16)</f>
        <v>6.1165848114484E-2</v>
      </c>
      <c r="E23" s="124">
        <f t="shared" si="0"/>
        <v>0.80496056950960304</v>
      </c>
      <c r="F23" s="125">
        <f t="shared" si="1"/>
        <v>2768666725.0317216</v>
      </c>
      <c r="G23" s="338"/>
      <c r="H23" s="339"/>
      <c r="I23" s="338"/>
      <c r="J23" s="338"/>
      <c r="K23" s="338"/>
      <c r="L23" s="338"/>
      <c r="M23" s="338"/>
      <c r="N23" s="338"/>
      <c r="O23" s="338"/>
      <c r="P23" s="338"/>
      <c r="Q23" s="338"/>
    </row>
    <row r="24" spans="2:17">
      <c r="B24" s="122">
        <v>4</v>
      </c>
      <c r="C24" s="123">
        <f t="shared" si="2"/>
        <v>3649886323.2574615</v>
      </c>
      <c r="D24" s="138">
        <f>IF($C$17&lt;B24,0,DCF!$C$16)</f>
        <v>6.1165848114484E-2</v>
      </c>
      <c r="E24" s="124">
        <f t="shared" si="0"/>
        <v>0.7488005297763749</v>
      </c>
      <c r="F24" s="125">
        <f t="shared" si="1"/>
        <v>2733036812.4787321</v>
      </c>
      <c r="G24" s="338"/>
      <c r="H24" s="339"/>
      <c r="I24" s="338"/>
      <c r="J24" s="338"/>
      <c r="K24" s="338"/>
      <c r="L24" s="338"/>
      <c r="M24" s="338"/>
      <c r="N24" s="338"/>
      <c r="O24" s="338"/>
      <c r="P24" s="338"/>
      <c r="Q24" s="338"/>
    </row>
    <row r="25" spans="2:17">
      <c r="B25" s="122">
        <v>5</v>
      </c>
      <c r="C25" s="123">
        <f t="shared" si="2"/>
        <v>3873134715.7409596</v>
      </c>
      <c r="D25" s="138">
        <f>IF($C$17&lt;B25,0,DCF!$C$16)</f>
        <v>6.1165848114484E-2</v>
      </c>
      <c r="E25" s="124">
        <f t="shared" si="0"/>
        <v>0.69655863235011617</v>
      </c>
      <c r="F25" s="125">
        <f t="shared" si="1"/>
        <v>2697865420.5042787</v>
      </c>
      <c r="G25" s="338"/>
      <c r="H25" s="339"/>
      <c r="I25" s="338"/>
      <c r="J25" s="338"/>
      <c r="K25" s="338"/>
      <c r="L25" s="338"/>
      <c r="M25" s="338"/>
      <c r="N25" s="338"/>
      <c r="O25" s="338"/>
      <c r="P25" s="338"/>
      <c r="Q25" s="338"/>
    </row>
    <row r="26" spans="2:17">
      <c r="B26" s="122">
        <v>6</v>
      </c>
      <c r="C26" s="123">
        <f t="shared" si="2"/>
        <v>4110038285.4909062</v>
      </c>
      <c r="D26" s="138">
        <f>IF($C$17&lt;B26,0,DCF!$C$16)</f>
        <v>6.1165848114484E-2</v>
      </c>
      <c r="E26" s="124">
        <f t="shared" si="0"/>
        <v>0.64796151846522443</v>
      </c>
      <c r="F26" s="125">
        <f t="shared" si="1"/>
        <v>2663146648.4168954</v>
      </c>
      <c r="H26" s="120"/>
    </row>
    <row r="27" spans="2:17">
      <c r="B27" s="122">
        <v>7</v>
      </c>
      <c r="C27" s="123">
        <f t="shared" si="2"/>
        <v>4361432263.0059566</v>
      </c>
      <c r="D27" s="138">
        <f>IF($C$17&lt;B27,0,DCF!$C$16)</f>
        <v>6.1165848114484E-2</v>
      </c>
      <c r="E27" s="124">
        <f t="shared" si="0"/>
        <v>0.60275490089788319</v>
      </c>
      <c r="F27" s="125">
        <f t="shared" si="1"/>
        <v>2628874671.4609857</v>
      </c>
      <c r="H27" s="120"/>
    </row>
    <row r="28" spans="2:17">
      <c r="B28" s="122">
        <v>8</v>
      </c>
      <c r="C28" s="123">
        <f t="shared" si="2"/>
        <v>4628202966.3665876</v>
      </c>
      <c r="D28" s="138">
        <f>IF($C$17&lt;B28,0,DCF!$C$16)</f>
        <v>6.1165848114484E-2</v>
      </c>
      <c r="E28" s="124">
        <f t="shared" si="0"/>
        <v>0.56070223339337966</v>
      </c>
      <c r="F28" s="125">
        <f t="shared" si="1"/>
        <v>2595043739.8396106</v>
      </c>
      <c r="H28" s="120"/>
    </row>
    <row r="29" spans="2:17">
      <c r="B29" s="122">
        <v>9</v>
      </c>
      <c r="C29" s="123">
        <f t="shared" si="2"/>
        <v>4911290926.0503712</v>
      </c>
      <c r="D29" s="138">
        <f>IF($C$17&lt;B29,0,DCF!$C$16)</f>
        <v>6.1165848114484E-2</v>
      </c>
      <c r="E29" s="124">
        <f t="shared" si="0"/>
        <v>0.52158347292407414</v>
      </c>
      <c r="F29" s="125">
        <f t="shared" si="1"/>
        <v>2561648177.749845</v>
      </c>
      <c r="H29" s="120"/>
    </row>
    <row r="30" spans="2:17">
      <c r="B30" s="122">
        <v>10</v>
      </c>
      <c r="C30" s="123">
        <f t="shared" si="2"/>
        <v>5211694200.8792105</v>
      </c>
      <c r="D30" s="138">
        <f>IF($C$17&lt;B30,0,DCF!$C$16)</f>
        <v>6.1165848114484E-2</v>
      </c>
      <c r="E30" s="124">
        <f t="shared" si="0"/>
        <v>0.48519392830146441</v>
      </c>
      <c r="F30" s="125">
        <f t="shared" si="1"/>
        <v>2528682382.4305453</v>
      </c>
      <c r="H30" s="120"/>
    </row>
    <row r="31" spans="2:17">
      <c r="B31" s="122">
        <v>11</v>
      </c>
      <c r="C31" s="123">
        <f t="shared" si="2"/>
        <v>5530471896.7893248</v>
      </c>
      <c r="D31" s="138">
        <f>IF($C$17&lt;B31,0,DCF!$C$16)</f>
        <v>6.1165848114484E-2</v>
      </c>
      <c r="E31" s="124">
        <f t="shared" si="0"/>
        <v>0.45134318911764126</v>
      </c>
      <c r="F31" s="125">
        <f t="shared" si="1"/>
        <v>2496140823.2223845</v>
      </c>
      <c r="H31" s="120"/>
    </row>
    <row r="32" spans="2:17">
      <c r="B32" s="122">
        <v>12</v>
      </c>
      <c r="C32" s="123">
        <f t="shared" si="2"/>
        <v>5868747900.8297625</v>
      </c>
      <c r="D32" s="138">
        <f>IF($C$17&lt;B32,0,DCF!$C$16)</f>
        <v>6.1165848114484E-2</v>
      </c>
      <c r="E32" s="124">
        <f t="shared" si="0"/>
        <v>0.41985412941175931</v>
      </c>
      <c r="F32" s="125">
        <f t="shared" si="1"/>
        <v>2464018040.6399698</v>
      </c>
      <c r="H32" s="120"/>
    </row>
    <row r="33" spans="2:17">
      <c r="B33" s="122">
        <v>13</v>
      </c>
      <c r="C33" s="341">
        <f t="shared" si="2"/>
        <v>6227714843.5541115</v>
      </c>
      <c r="D33" s="138">
        <f>IF($C$17&lt;B33,0,DCF!$C$16)</f>
        <v>6.1165848114484E-2</v>
      </c>
      <c r="E33" s="124">
        <f t="shared" si="0"/>
        <v>0.39056198084814819</v>
      </c>
      <c r="F33" s="125">
        <f t="shared" si="1"/>
        <v>2432308645.4559093</v>
      </c>
      <c r="G33" s="338"/>
      <c r="H33" s="339"/>
      <c r="I33" s="338"/>
      <c r="J33" s="338"/>
      <c r="K33" s="338"/>
      <c r="L33" s="338"/>
      <c r="M33" s="338"/>
      <c r="N33" s="338"/>
      <c r="O33" s="338"/>
      <c r="P33" s="338"/>
      <c r="Q33" s="338"/>
    </row>
    <row r="34" spans="2:17">
      <c r="B34" s="122">
        <v>14</v>
      </c>
      <c r="C34" s="341">
        <f t="shared" si="2"/>
        <v>6608638303.775259</v>
      </c>
      <c r="D34" s="138">
        <f>IF($C$17&lt;B34,0,DCF!$C$16)</f>
        <v>6.1165848114484E-2</v>
      </c>
      <c r="E34" s="124">
        <f t="shared" si="0"/>
        <v>0.36331347055641694</v>
      </c>
      <c r="F34" s="125">
        <f t="shared" si="1"/>
        <v>2401007317.7966619</v>
      </c>
      <c r="G34" s="338"/>
      <c r="H34" s="339"/>
      <c r="I34" s="338"/>
      <c r="J34" s="338"/>
      <c r="K34" s="338"/>
      <c r="L34" s="338"/>
      <c r="M34" s="338"/>
      <c r="N34" s="338"/>
      <c r="O34" s="338"/>
      <c r="P34" s="338"/>
      <c r="Q34" s="338"/>
    </row>
    <row r="35" spans="2:17">
      <c r="B35" s="122">
        <v>15</v>
      </c>
      <c r="C35" s="341">
        <f t="shared" si="2"/>
        <v>7012861270.5075369</v>
      </c>
      <c r="D35" s="138">
        <f>IF($C$17&lt;B35,0,DCF!$C$16)</f>
        <v>6.1165848114484E-2</v>
      </c>
      <c r="E35" s="124">
        <f t="shared" si="0"/>
        <v>0.33796601912224833</v>
      </c>
      <c r="F35" s="125">
        <f t="shared" si="1"/>
        <v>2370108806.2500248</v>
      </c>
      <c r="G35" s="338"/>
      <c r="H35" s="339"/>
      <c r="I35" s="338"/>
      <c r="J35" s="338"/>
      <c r="K35" s="338"/>
      <c r="L35" s="338"/>
      <c r="M35" s="338"/>
      <c r="N35" s="338"/>
      <c r="O35" s="338"/>
      <c r="P35" s="338"/>
      <c r="Q35" s="338"/>
    </row>
    <row r="36" spans="2:17">
      <c r="B36" s="122">
        <v>16</v>
      </c>
      <c r="C36" s="123">
        <f t="shared" si="2"/>
        <v>7441808877.8273458</v>
      </c>
      <c r="D36" s="138">
        <f>IF($C$17&lt;B36,0,DCF!$C$16)</f>
        <v>6.1165848114484E-2</v>
      </c>
      <c r="E36" s="124">
        <f t="shared" si="0"/>
        <v>0.31438699453232405</v>
      </c>
      <c r="F36" s="125">
        <f t="shared" si="1"/>
        <v>2339607926.9841065</v>
      </c>
      <c r="H36" s="120"/>
    </row>
    <row r="37" spans="2:17">
      <c r="B37" s="122">
        <v>17</v>
      </c>
      <c r="C37" s="123">
        <f t="shared" si="2"/>
        <v>7896993429.3455524</v>
      </c>
      <c r="D37" s="138">
        <f>IF($C$17&lt;B37,0,DCF!$C$16)</f>
        <v>6.1165848114484E-2</v>
      </c>
      <c r="E37" s="124">
        <f t="shared" si="0"/>
        <v>0.29245301816960378</v>
      </c>
      <c r="F37" s="125">
        <f t="shared" si="1"/>
        <v>2309499562.8776364</v>
      </c>
      <c r="H37" s="120"/>
    </row>
    <row r="38" spans="2:17">
      <c r="B38" s="122">
        <v>18</v>
      </c>
      <c r="C38" s="123">
        <f t="shared" si="2"/>
        <v>8380019730.0059805</v>
      </c>
      <c r="D38" s="138">
        <f>IF($C$17&lt;B38,0,DCF!$C$16)</f>
        <v>6.1165848114484E-2</v>
      </c>
      <c r="E38" s="124">
        <f t="shared" si="0"/>
        <v>0.27204931922753844</v>
      </c>
      <c r="F38" s="125">
        <f t="shared" si="1"/>
        <v>2279778662.6614676</v>
      </c>
      <c r="H38" s="120"/>
    </row>
    <row r="39" spans="2:17">
      <c r="B39" s="122">
        <v>19</v>
      </c>
      <c r="C39" s="123">
        <f t="shared" si="2"/>
        <v>8892590744.0079041</v>
      </c>
      <c r="D39" s="138">
        <f>IF($C$17&lt;B39,0,DCF!$C$16)</f>
        <v>6.1165848114484E-2</v>
      </c>
      <c r="E39" s="124">
        <f t="shared" si="0"/>
        <v>0.25306913416515198</v>
      </c>
      <c r="F39" s="125">
        <f t="shared" si="1"/>
        <v>2250440240.071125</v>
      </c>
      <c r="H39" s="120"/>
    </row>
    <row r="40" spans="2:17">
      <c r="B40" s="122">
        <v>20</v>
      </c>
      <c r="C40" s="123">
        <f t="shared" si="2"/>
        <v>9436513598.8001556</v>
      </c>
      <c r="D40" s="138">
        <f>IF($C$17&lt;B40,0,DCF!$C$16)</f>
        <v>6.1165848114484E-2</v>
      </c>
      <c r="E40" s="124">
        <f t="shared" si="0"/>
        <v>0.23541314806060654</v>
      </c>
      <c r="F40" s="125">
        <f t="shared" si="1"/>
        <v>2221479373.0102682</v>
      </c>
      <c r="H40" s="120"/>
    </row>
    <row r="41" spans="2:17">
      <c r="B41" s="122">
        <v>21</v>
      </c>
      <c r="C41" s="123">
        <f t="shared" si="2"/>
        <v>10013705956.314629</v>
      </c>
      <c r="D41" s="138">
        <f>IF($C$17&lt;B41,0,DCF!$C$16)</f>
        <v>6.1165848114484E-2</v>
      </c>
      <c r="E41" s="124">
        <f t="shared" si="0"/>
        <v>0.21898897494009908</v>
      </c>
      <c r="F41" s="125">
        <f t="shared" si="1"/>
        <v>2192891202.724905</v>
      </c>
      <c r="H41" s="120"/>
    </row>
    <row r="42" spans="2:17">
      <c r="B42" s="122">
        <v>22</v>
      </c>
      <c r="C42" s="123">
        <f t="shared" si="2"/>
        <v>10626202773.901672</v>
      </c>
      <c r="D42" s="138">
        <f>IF($C$17&lt;B42,0,DCF!$C$16)</f>
        <v>6.1165848114484E-2</v>
      </c>
      <c r="E42" s="124">
        <f t="shared" si="0"/>
        <v>0.20371067436288287</v>
      </c>
      <c r="F42" s="125">
        <f t="shared" si="1"/>
        <v>2164670932.9882464</v>
      </c>
      <c r="H42" s="120"/>
    </row>
    <row r="43" spans="2:17">
      <c r="B43" s="122">
        <v>23</v>
      </c>
      <c r="C43" s="123">
        <f t="shared" si="2"/>
        <v>11276163478.803848</v>
      </c>
      <c r="D43" s="138">
        <f>IF($C$17&lt;B43,0,DCF!$C$16)</f>
        <v>6.1165848114484E-2</v>
      </c>
      <c r="E43" s="124">
        <f t="shared" si="0"/>
        <v>0.18949830173291429</v>
      </c>
      <c r="F43" s="125">
        <f t="shared" si="1"/>
        <v>2136813829.2960401</v>
      </c>
      <c r="H43" s="120"/>
    </row>
    <row r="44" spans="2:17">
      <c r="B44" s="122">
        <v>24</v>
      </c>
      <c r="C44" s="123">
        <f t="shared" si="2"/>
        <v>11965879581.462454</v>
      </c>
      <c r="D44" s="138">
        <f>IF($C$17&lt;B44,0,DCF!$C$16)</f>
        <v>6.1165848114484E-2</v>
      </c>
      <c r="E44" s="124">
        <f t="shared" si="0"/>
        <v>0.17627748998410636</v>
      </c>
      <c r="F44" s="125">
        <f t="shared" si="1"/>
        <v>2109315218.0722706</v>
      </c>
      <c r="H44" s="120"/>
    </row>
    <row r="45" spans="2:17">
      <c r="B45" s="122">
        <v>25</v>
      </c>
      <c r="C45" s="123">
        <f t="shared" si="2"/>
        <v>12697782754.49839</v>
      </c>
      <c r="D45" s="138">
        <f>IF($C$17&lt;B45,0,DCF!$C$16)</f>
        <v>6.1165848114484E-2</v>
      </c>
      <c r="E45" s="124">
        <f t="shared" si="0"/>
        <v>0.16397906045033148</v>
      </c>
      <c r="F45" s="125">
        <f t="shared" si="1"/>
        <v>2082170485.8850679</v>
      </c>
      <c r="H45" s="120"/>
    </row>
    <row r="46" spans="2:17">
      <c r="B46" s="122">
        <v>26</v>
      </c>
      <c r="C46" s="123">
        <f t="shared" si="2"/>
        <v>13474453405.850752</v>
      </c>
      <c r="D46" s="138">
        <f>IF($C$17&lt;B46,0,DCF!$C$16)</f>
        <v>6.1165848114484E-2</v>
      </c>
      <c r="E46" s="124">
        <f t="shared" si="0"/>
        <v>0.15253866088402931</v>
      </c>
      <c r="F46" s="125">
        <f t="shared" si="1"/>
        <v>2055375078.6727216</v>
      </c>
      <c r="H46" s="120"/>
    </row>
    <row r="47" spans="2:17">
      <c r="B47" s="122">
        <v>27</v>
      </c>
      <c r="C47" s="341">
        <f t="shared" si="2"/>
        <v>14298629776.29871</v>
      </c>
      <c r="D47" s="138">
        <f>IF($C$17&lt;B47,0,DCF!$C$16)</f>
        <v>6.1165848114484E-2</v>
      </c>
      <c r="E47" s="124">
        <f t="shared" si="0"/>
        <v>0.14189642872932959</v>
      </c>
      <c r="F47" s="125">
        <f t="shared" si="1"/>
        <v>2028924500.9796398</v>
      </c>
      <c r="G47" s="338"/>
      <c r="H47" s="339"/>
      <c r="I47" s="338"/>
      <c r="J47" s="338"/>
      <c r="K47" s="338"/>
      <c r="L47" s="338"/>
      <c r="M47" s="338"/>
      <c r="N47" s="338"/>
      <c r="O47" s="338"/>
      <c r="P47" s="338"/>
      <c r="Q47" s="338"/>
    </row>
    <row r="48" spans="2:17">
      <c r="B48" s="122">
        <v>28</v>
      </c>
      <c r="C48" s="341">
        <f t="shared" si="2"/>
        <v>15173217593.441031</v>
      </c>
      <c r="D48" s="138">
        <f>IF($C$17&lt;B48,0,DCF!$C$16)</f>
        <v>6.1165848114484E-2</v>
      </c>
      <c r="E48" s="124">
        <f t="shared" si="0"/>
        <v>0.13199667788774846</v>
      </c>
      <c r="F48" s="125">
        <f t="shared" si="1"/>
        <v>2002814315.2021537</v>
      </c>
      <c r="G48" s="338"/>
      <c r="H48" s="339"/>
      <c r="I48" s="338"/>
      <c r="J48" s="338"/>
      <c r="K48" s="338"/>
      <c r="L48" s="338"/>
      <c r="M48" s="338"/>
      <c r="N48" s="338"/>
      <c r="O48" s="338"/>
      <c r="P48" s="338"/>
      <c r="Q48" s="338"/>
    </row>
    <row r="49" spans="1:17">
      <c r="B49" s="122">
        <v>29</v>
      </c>
      <c r="C49" s="341">
        <f t="shared" si="2"/>
        <v>16101300316.16946</v>
      </c>
      <c r="D49" s="138">
        <f>IF($C$17&lt;B49,0,DCF!$C$16)</f>
        <v>6.1165848114484E-2</v>
      </c>
      <c r="E49" s="124">
        <f t="shared" si="0"/>
        <v>0.1227876073374404</v>
      </c>
      <c r="F49" s="125">
        <f t="shared" si="1"/>
        <v>1977040140.8440206</v>
      </c>
      <c r="G49" s="338"/>
      <c r="H49" s="339"/>
      <c r="I49" s="338"/>
      <c r="J49" s="338"/>
      <c r="K49" s="338"/>
      <c r="L49" s="338"/>
      <c r="M49" s="338"/>
      <c r="N49" s="338"/>
      <c r="O49" s="338"/>
      <c r="P49" s="338"/>
      <c r="Q49" s="338"/>
    </row>
    <row r="50" spans="1:17">
      <c r="B50" s="122">
        <v>30</v>
      </c>
      <c r="C50" s="341">
        <f t="shared" si="2"/>
        <v>17086150005.753975</v>
      </c>
      <c r="D50" s="138">
        <f>IF($C$17&lt;B50,0,DCF!$C$16)</f>
        <v>6.1165848114484E-2</v>
      </c>
      <c r="E50" s="124">
        <f t="shared" si="0"/>
        <v>0.11422103008133992</v>
      </c>
      <c r="F50" s="125">
        <f t="shared" si="1"/>
        <v>1951597653.7815111</v>
      </c>
      <c r="G50" s="338"/>
      <c r="H50" s="339"/>
      <c r="I50" s="338"/>
      <c r="J50" s="338"/>
      <c r="K50" s="338"/>
      <c r="L50" s="338"/>
      <c r="M50" s="338"/>
      <c r="N50" s="338"/>
      <c r="O50" s="338"/>
      <c r="P50" s="338"/>
      <c r="Q50" s="338"/>
    </row>
    <row r="51" spans="1:17">
      <c r="B51" s="126" t="s">
        <v>131</v>
      </c>
      <c r="C51" s="123">
        <f>C$21*(1+Terminal_Growth)^$C$17/Equity_Cost</f>
        <v>40725674103.886856</v>
      </c>
      <c r="D51" s="139">
        <f>Terminal_Growth</f>
        <v>0</v>
      </c>
      <c r="E51" s="124">
        <f>1/(1+Equity_Cost)^C17</f>
        <v>0.11422103008133992</v>
      </c>
      <c r="F51" s="125">
        <f t="shared" si="1"/>
        <v>4651728446.9029064</v>
      </c>
      <c r="H51" s="120"/>
    </row>
    <row r="52" spans="1:17">
      <c r="C52" s="114"/>
      <c r="E52" s="127" t="s">
        <v>100</v>
      </c>
      <c r="F52" s="137">
        <f>SUM(F21:F51)</f>
        <v>75740783018.283386</v>
      </c>
      <c r="H52" s="120"/>
    </row>
    <row r="53" spans="1:17">
      <c r="C53" s="114"/>
      <c r="H53" s="120"/>
    </row>
    <row r="54" spans="1:17" ht="13.15">
      <c r="B54" s="119" t="s">
        <v>129</v>
      </c>
      <c r="C54" s="136"/>
      <c r="D54" s="136"/>
      <c r="E54" s="117"/>
      <c r="F54" s="117"/>
      <c r="H54" s="120"/>
    </row>
    <row r="55" spans="1:17" ht="13.15">
      <c r="A55" s="133">
        <f>F52</f>
        <v>75740783018.283386</v>
      </c>
      <c r="B55" s="131">
        <f>C78</f>
        <v>0.02</v>
      </c>
      <c r="C55" s="131">
        <f>C77</f>
        <v>0.04</v>
      </c>
      <c r="D55" s="131">
        <f>C76</f>
        <v>0.06</v>
      </c>
      <c r="E55" s="131">
        <f>C75</f>
        <v>0.08</v>
      </c>
      <c r="F55" s="131">
        <f>C74</f>
        <v>0.1</v>
      </c>
      <c r="H55" s="120"/>
    </row>
    <row r="56" spans="1:17" ht="13.15">
      <c r="A56" s="143">
        <v>5</v>
      </c>
      <c r="B56" s="123">
        <f t="dataTable" ref="B56:F61" dt2D="1" dtr="1" r1="C16" r2="C17"/>
        <v>39595229908.911491</v>
      </c>
      <c r="C56" s="123">
        <v>40847676498.338524</v>
      </c>
      <c r="D56" s="123">
        <v>42137135008.195038</v>
      </c>
      <c r="E56" s="123">
        <v>43465212283.126205</v>
      </c>
      <c r="F56" s="123">
        <v>44833564248.999855</v>
      </c>
      <c r="H56" s="120"/>
    </row>
    <row r="57" spans="1:17" ht="13.15">
      <c r="A57" s="143">
        <v>10</v>
      </c>
      <c r="B57" s="123">
        <v>40802034830.330475</v>
      </c>
      <c r="C57" s="123">
        <v>43467220405.035065</v>
      </c>
      <c r="D57" s="123">
        <v>46402776413.071289</v>
      </c>
      <c r="E57" s="123">
        <v>49640933113.203186</v>
      </c>
      <c r="F57" s="123">
        <v>53217490058.527832</v>
      </c>
      <c r="H57" s="120"/>
    </row>
    <row r="58" spans="1:17" ht="13.15">
      <c r="A58" s="143">
        <v>15</v>
      </c>
      <c r="B58" s="123">
        <v>42329991185.426125</v>
      </c>
      <c r="C58" s="341">
        <v>46960336257.509514</v>
      </c>
      <c r="D58" s="123">
        <v>52404762632.868225</v>
      </c>
      <c r="E58" s="123">
        <v>58825633687.51297</v>
      </c>
      <c r="F58" s="123">
        <v>66417253847.247505</v>
      </c>
      <c r="G58" s="338"/>
      <c r="H58" s="339"/>
      <c r="I58" s="338"/>
      <c r="J58" s="338"/>
      <c r="K58" s="338"/>
      <c r="L58" s="338"/>
      <c r="M58" s="338"/>
      <c r="N58" s="338"/>
      <c r="O58" s="338"/>
      <c r="P58" s="338"/>
      <c r="Q58" s="338"/>
    </row>
    <row r="59" spans="1:17" ht="13.15">
      <c r="A59" s="144">
        <v>20</v>
      </c>
      <c r="B59" s="123">
        <v>43922910613.518326</v>
      </c>
      <c r="C59" s="341">
        <v>50807457658.131187</v>
      </c>
      <c r="D59" s="123">
        <v>59410588495.667534</v>
      </c>
      <c r="E59" s="123">
        <v>70220883297.241882</v>
      </c>
      <c r="F59" s="123">
        <v>83868070832.197388</v>
      </c>
      <c r="G59" s="338"/>
      <c r="H59" s="339"/>
      <c r="I59" s="338"/>
      <c r="J59" s="338"/>
      <c r="K59" s="338"/>
      <c r="L59" s="338"/>
      <c r="M59" s="338"/>
      <c r="N59" s="338"/>
      <c r="O59" s="338"/>
      <c r="P59" s="338"/>
      <c r="Q59" s="338"/>
    </row>
    <row r="60" spans="1:17" ht="13.15">
      <c r="A60" s="144">
        <v>25</v>
      </c>
      <c r="B60" s="123">
        <v>45439002265.877754</v>
      </c>
      <c r="C60" s="341">
        <v>54685493262.483932</v>
      </c>
      <c r="D60" s="123">
        <v>66923972416.858856</v>
      </c>
      <c r="E60" s="123">
        <v>83273218591.150757</v>
      </c>
      <c r="F60" s="123">
        <v>105285746958.40649</v>
      </c>
      <c r="G60" s="338"/>
      <c r="H60" s="339"/>
      <c r="I60" s="338"/>
      <c r="J60" s="338"/>
      <c r="K60" s="338"/>
      <c r="L60" s="338"/>
      <c r="M60" s="338"/>
      <c r="N60" s="338"/>
      <c r="O60" s="338"/>
      <c r="P60" s="338"/>
      <c r="Q60" s="338"/>
    </row>
    <row r="61" spans="1:17" ht="13.15">
      <c r="A61" s="144">
        <v>30</v>
      </c>
      <c r="B61" s="123">
        <v>46807693644.941437</v>
      </c>
      <c r="C61" s="341">
        <v>58402287349.141914</v>
      </c>
      <c r="D61" s="123">
        <v>74612229836.689285</v>
      </c>
      <c r="E61" s="123">
        <v>97599873498.945679</v>
      </c>
      <c r="F61" s="123">
        <v>130594839644.14011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42.924718590315614</v>
      </c>
      <c r="C65" s="124">
        <f>C12</f>
        <v>42.924718590315614</v>
      </c>
      <c r="D65" s="124">
        <f>C12</f>
        <v>42.924718590315614</v>
      </c>
      <c r="E65" s="141">
        <f>C12</f>
        <v>42.924718590315614</v>
      </c>
      <c r="F65" s="124">
        <f>C12</f>
        <v>42.924718590315614</v>
      </c>
      <c r="H65" s="120"/>
    </row>
    <row r="66" spans="1:8" ht="13.15">
      <c r="A66" s="143">
        <f t="shared" ref="A66:A71" si="3">A56</f>
        <v>5</v>
      </c>
      <c r="B66" s="124">
        <f t="shared" ref="B66:F71" si="4">(B56-$C$7+$C$8+$C$9)/Common_Shares*$C$3*Exchange_Rate</f>
        <v>43.898158310878181</v>
      </c>
      <c r="C66" s="124">
        <f t="shared" si="4"/>
        <v>44.89995623029597</v>
      </c>
      <c r="D66" s="124">
        <f t="shared" si="4"/>
        <v>45.931358976931868</v>
      </c>
      <c r="E66" s="124">
        <f t="shared" si="4"/>
        <v>46.993651822058894</v>
      </c>
      <c r="F66" s="124">
        <f t="shared" si="4"/>
        <v>48.088159295683447</v>
      </c>
      <c r="H66" s="120"/>
    </row>
    <row r="67" spans="1:8" ht="13.15">
      <c r="A67" s="143">
        <f t="shared" si="3"/>
        <v>10</v>
      </c>
      <c r="B67" s="124">
        <f t="shared" si="4"/>
        <v>44.863448703000813</v>
      </c>
      <c r="C67" s="124">
        <f t="shared" si="4"/>
        <v>46.995258064087267</v>
      </c>
      <c r="D67" s="124">
        <f t="shared" si="4"/>
        <v>49.34332937188686</v>
      </c>
      <c r="E67" s="124">
        <f t="shared" si="4"/>
        <v>51.933442732668929</v>
      </c>
      <c r="F67" s="124">
        <f t="shared" si="4"/>
        <v>54.794233234038408</v>
      </c>
      <c r="H67" s="120"/>
    </row>
    <row r="68" spans="1:8" ht="13.15">
      <c r="A68" s="143">
        <f t="shared" si="3"/>
        <v>15</v>
      </c>
      <c r="B68" s="124">
        <f t="shared" si="4"/>
        <v>46.085619381110348</v>
      </c>
      <c r="C68" s="124">
        <f t="shared" si="4"/>
        <v>49.78930630760965</v>
      </c>
      <c r="D68" s="124">
        <f t="shared" si="4"/>
        <v>54.144154698991223</v>
      </c>
      <c r="E68" s="124">
        <f t="shared" si="4"/>
        <v>59.280034598137803</v>
      </c>
      <c r="F68" s="124">
        <f t="shared" si="4"/>
        <v>65.352364823821446</v>
      </c>
      <c r="H68" s="120"/>
    </row>
    <row r="69" spans="1:8" ht="13.15">
      <c r="A69" s="144">
        <f t="shared" si="3"/>
        <v>20</v>
      </c>
      <c r="B69" s="124">
        <f t="shared" si="4"/>
        <v>47.359752252191868</v>
      </c>
      <c r="C69" s="124">
        <f t="shared" si="4"/>
        <v>52.866513948578643</v>
      </c>
      <c r="D69" s="124">
        <f t="shared" si="4"/>
        <v>59.747924019299276</v>
      </c>
      <c r="E69" s="124">
        <f t="shared" si="4"/>
        <v>68.394784437885619</v>
      </c>
      <c r="F69" s="124">
        <f t="shared" si="4"/>
        <v>79.310798097739379</v>
      </c>
      <c r="H69" s="120"/>
    </row>
    <row r="70" spans="1:8" ht="13.15">
      <c r="A70" s="144">
        <f t="shared" si="3"/>
        <v>25</v>
      </c>
      <c r="B70" s="124">
        <f t="shared" si="4"/>
        <v>48.572432677690244</v>
      </c>
      <c r="C70" s="124">
        <f t="shared" si="4"/>
        <v>55.968449019235806</v>
      </c>
      <c r="D70" s="124">
        <f t="shared" si="4"/>
        <v>65.757675208353888</v>
      </c>
      <c r="E70" s="124">
        <f t="shared" si="4"/>
        <v>78.834991989541081</v>
      </c>
      <c r="F70" s="124">
        <f t="shared" si="4"/>
        <v>96.442213970583907</v>
      </c>
    </row>
    <row r="71" spans="1:8" ht="13.15">
      <c r="A71" s="144">
        <f t="shared" si="3"/>
        <v>30</v>
      </c>
      <c r="B71" s="124">
        <f t="shared" si="4"/>
        <v>49.66721163868236</v>
      </c>
      <c r="C71" s="124">
        <f t="shared" si="4"/>
        <v>58.941411390926007</v>
      </c>
      <c r="D71" s="124">
        <f t="shared" si="4"/>
        <v>71.907302946697598</v>
      </c>
      <c r="E71" s="124">
        <f t="shared" si="4"/>
        <v>90.294493097218222</v>
      </c>
      <c r="F71" s="124">
        <f t="shared" si="4"/>
        <v>116.68626797572834</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116.68626797572834</v>
      </c>
      <c r="F74" s="142">
        <f>Scenarios!C58</f>
        <v>0.05</v>
      </c>
    </row>
    <row r="75" spans="1:8">
      <c r="B75" s="127" t="str">
        <f>Scenarios!B36</f>
        <v>Optimistic</v>
      </c>
      <c r="C75" s="142">
        <f>Scenarios!C38</f>
        <v>0.08</v>
      </c>
      <c r="D75" s="145">
        <f>Scenarios!C37</f>
        <v>30</v>
      </c>
      <c r="E75" s="135">
        <f>INDEX(B$65:F$71, MATCH(D75, A$65:A$71, 0), MATCH(C75, B$64:F$64, 0))</f>
        <v>90.294493097218222</v>
      </c>
      <c r="F75" s="142">
        <f>Scenarios!C40*(1-F$74-F$78)</f>
        <v>0.18</v>
      </c>
      <c r="H75" s="120"/>
    </row>
    <row r="76" spans="1:8">
      <c r="B76" s="127" t="str">
        <f>Scenarios!B24</f>
        <v>Base</v>
      </c>
      <c r="C76" s="142">
        <f>Scenarios!C26</f>
        <v>0.06</v>
      </c>
      <c r="D76" s="145">
        <f>Scenarios!C25</f>
        <v>30</v>
      </c>
      <c r="E76" s="135">
        <f>INDEX(B$65:F$71, MATCH(D76, A$65:A$71, 0), MATCH(C76, B$64:F$64, 0))</f>
        <v>71.907302946697598</v>
      </c>
      <c r="F76" s="142">
        <f>Scenarios!C28*(1-F$74-F$78)</f>
        <v>0.44999999999999996</v>
      </c>
      <c r="H76" s="120"/>
    </row>
    <row r="77" spans="1:8">
      <c r="B77" s="127" t="str">
        <f>Scenarios!B30</f>
        <v>Pessimistic</v>
      </c>
      <c r="C77" s="142">
        <f>Scenarios!C32</f>
        <v>0.04</v>
      </c>
      <c r="D77" s="145">
        <f>Scenarios!C31</f>
        <v>30</v>
      </c>
      <c r="E77" s="135">
        <f>INDEX(B$65:F$71, MATCH(D77, A$65:A$71, 0), MATCH(C77, B$64:F$64, 0))</f>
        <v>58.941411390926007</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49.66721163868236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2750437431.8733058</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36672499091.644081</v>
      </c>
      <c r="D6" t="str">
        <f>Reporting_currency</f>
        <v>CNY</v>
      </c>
      <c r="E6" s="364"/>
      <c r="F6" s="364"/>
      <c r="H6" s="120"/>
    </row>
    <row r="7" spans="2:8" ht="13.15">
      <c r="B7" s="149" t="s">
        <v>444</v>
      </c>
      <c r="C7" s="111">
        <f>(C6*scaling_factor)/Common_Shares*Exchange_Rate</f>
        <v>29.333333333333343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53.052793578961555</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2918670270.0796595</v>
      </c>
      <c r="D16" s="138">
        <f>IF($C$12&lt;B16,0,DDM!$C$11)</f>
        <v>6.1165848114484E-2</v>
      </c>
      <c r="E16" s="124">
        <f t="shared" ref="E16:E45" si="0">IF($C$12&lt;B16,0,1/(1+Equity_Cost)^B16)</f>
        <v>0.93023255813953487</v>
      </c>
      <c r="F16" s="125">
        <f t="shared" ref="F16:F46" si="1">C16*E16</f>
        <v>2715042111.7020087</v>
      </c>
      <c r="H16" s="120"/>
    </row>
    <row r="17" spans="2:8">
      <c r="B17" s="122">
        <v>2</v>
      </c>
      <c r="C17" s="123">
        <f t="shared" ref="C17:C45" si="2">IF(ROW()-ROW($C$16)&lt;$C$12, $C$16*(1+D17)^(ROW()-ROW($C$16)), 0)</f>
        <v>3097193212.5156116</v>
      </c>
      <c r="D17" s="138">
        <f>IF($C$12&lt;B17,0,DDM!$C$11)</f>
        <v>6.1165848114484E-2</v>
      </c>
      <c r="E17" s="124">
        <f t="shared" si="0"/>
        <v>0.86533261222282321</v>
      </c>
      <c r="F17" s="125">
        <f t="shared" si="1"/>
        <v>2680102293.1449318</v>
      </c>
      <c r="H17" s="120"/>
    </row>
    <row r="18" spans="2:8">
      <c r="B18" s="122">
        <v>3</v>
      </c>
      <c r="C18" s="123">
        <f t="shared" si="2"/>
        <v>3286635662.1335516</v>
      </c>
      <c r="D18" s="138">
        <f>IF($C$12&lt;B18,0,DDM!$C$11)</f>
        <v>6.1165848114484E-2</v>
      </c>
      <c r="E18" s="124">
        <f t="shared" si="0"/>
        <v>0.80496056950960304</v>
      </c>
      <c r="F18" s="125">
        <f t="shared" si="1"/>
        <v>2645612114.3615952</v>
      </c>
      <c r="H18" s="120"/>
    </row>
    <row r="19" spans="2:8">
      <c r="B19" s="122">
        <v>4</v>
      </c>
      <c r="C19" s="123">
        <f t="shared" si="2"/>
        <v>3487665519.8512588</v>
      </c>
      <c r="D19" s="138">
        <f>IF($C$12&lt;B19,0,DDM!$C$11)</f>
        <v>6.1165848114484E-2</v>
      </c>
      <c r="E19" s="124">
        <f t="shared" si="0"/>
        <v>0.7488005297763749</v>
      </c>
      <c r="F19" s="125">
        <f t="shared" si="1"/>
        <v>2611565788.9474187</v>
      </c>
      <c r="H19" s="120"/>
    </row>
    <row r="20" spans="2:8">
      <c r="B20" s="122">
        <v>5</v>
      </c>
      <c r="C20" s="123">
        <f t="shared" si="2"/>
        <v>3700991539.3126035</v>
      </c>
      <c r="D20" s="138">
        <f>IF($C$12&lt;B20,0,DDM!$C$11)</f>
        <v>6.1165848114484E-2</v>
      </c>
      <c r="E20" s="124">
        <f t="shared" si="0"/>
        <v>0.69655863235011617</v>
      </c>
      <c r="F20" s="125">
        <f t="shared" si="1"/>
        <v>2577957604.9629383</v>
      </c>
      <c r="H20" s="120"/>
    </row>
    <row r="21" spans="2:8">
      <c r="B21" s="122">
        <v>6</v>
      </c>
      <c r="C21" s="123">
        <f t="shared" si="2"/>
        <v>3927365825.6791878</v>
      </c>
      <c r="D21" s="138">
        <f>IF($C$12&lt;B21,0,DDM!$C$11)</f>
        <v>6.1165848114484E-2</v>
      </c>
      <c r="E21" s="124">
        <f t="shared" si="0"/>
        <v>0.64796151846522443</v>
      </c>
      <c r="F21" s="125">
        <f t="shared" si="1"/>
        <v>2544781923.9755163</v>
      </c>
      <c r="H21" s="120"/>
    </row>
    <row r="22" spans="2:8">
      <c r="B22" s="122">
        <v>7</v>
      </c>
      <c r="C22" s="123">
        <f t="shared" si="2"/>
        <v>4167586487.2626953</v>
      </c>
      <c r="D22" s="138">
        <f>IF($C$12&lt;B22,0,DDM!$C$11)</f>
        <v>6.1165848114484E-2</v>
      </c>
      <c r="E22" s="124">
        <f t="shared" si="0"/>
        <v>0.60275490089788319</v>
      </c>
      <c r="F22" s="125">
        <f t="shared" si="1"/>
        <v>2512033180.1133833</v>
      </c>
      <c r="H22" s="120"/>
    </row>
    <row r="23" spans="2:8">
      <c r="B23" s="122">
        <v>8</v>
      </c>
      <c r="C23" s="123">
        <f t="shared" si="2"/>
        <v>4422500449.3465805</v>
      </c>
      <c r="D23" s="138">
        <f>IF($C$12&lt;B23,0,DDM!$C$11)</f>
        <v>6.1165848114484E-2</v>
      </c>
      <c r="E23" s="124">
        <f t="shared" si="0"/>
        <v>0.56070223339337966</v>
      </c>
      <c r="F23" s="125">
        <f t="shared" si="1"/>
        <v>2479705879.1318526</v>
      </c>
      <c r="H23" s="120"/>
    </row>
    <row r="24" spans="2:8">
      <c r="B24" s="122">
        <v>9</v>
      </c>
      <c r="C24" s="123">
        <f t="shared" si="2"/>
        <v>4693006440.1175508</v>
      </c>
      <c r="D24" s="138">
        <f>IF($C$12&lt;B24,0,DDM!$C$11)</f>
        <v>6.1165848114484E-2</v>
      </c>
      <c r="E24" s="124">
        <f t="shared" si="0"/>
        <v>0.52158347292407414</v>
      </c>
      <c r="F24" s="125">
        <f t="shared" si="1"/>
        <v>2447794597.4915581</v>
      </c>
      <c r="H24" s="120"/>
    </row>
    <row r="25" spans="2:8">
      <c r="B25" s="122">
        <v>10</v>
      </c>
      <c r="C25" s="123">
        <f t="shared" si="2"/>
        <v>4980058159.2340755</v>
      </c>
      <c r="D25" s="138">
        <f>IF($C$12&lt;B25,0,DDM!$C$11)</f>
        <v>6.1165848114484E-2</v>
      </c>
      <c r="E25" s="124">
        <f t="shared" si="0"/>
        <v>0.48519392830146441</v>
      </c>
      <c r="F25" s="125">
        <f t="shared" si="1"/>
        <v>2416293981.4485407</v>
      </c>
      <c r="H25" s="120"/>
    </row>
    <row r="26" spans="2:8">
      <c r="B26" s="122">
        <v>11</v>
      </c>
      <c r="C26" s="123">
        <f t="shared" si="2"/>
        <v>5284667640.203083</v>
      </c>
      <c r="D26" s="138">
        <f>IF($C$12&lt;B26,0,DDM!$C$11)</f>
        <v>6.1165848114484E-2</v>
      </c>
      <c r="E26" s="124">
        <f t="shared" si="0"/>
        <v>0.45134318911764126</v>
      </c>
      <c r="F26" s="125">
        <f t="shared" si="1"/>
        <v>2385198746.1560593</v>
      </c>
      <c r="H26" s="120"/>
    </row>
    <row r="27" spans="2:8">
      <c r="B27" s="122">
        <v>12</v>
      </c>
      <c r="C27" s="123">
        <f t="shared" si="2"/>
        <v>5607908818.4192724</v>
      </c>
      <c r="D27" s="138">
        <f>IF($C$12&lt;B27,0,DDM!$C$11)</f>
        <v>6.1165848114484E-2</v>
      </c>
      <c r="E27" s="124">
        <f t="shared" si="0"/>
        <v>0.41985412941175931</v>
      </c>
      <c r="F27" s="125">
        <f t="shared" si="1"/>
        <v>2354503674.7779512</v>
      </c>
      <c r="H27" s="120"/>
    </row>
    <row r="28" spans="2:8">
      <c r="B28" s="122">
        <v>13</v>
      </c>
      <c r="C28" s="123">
        <f t="shared" si="2"/>
        <v>5950921317.4465799</v>
      </c>
      <c r="D28" s="138">
        <f>IF($C$12&lt;B28,0,DDM!$C$11)</f>
        <v>6.1165848114484E-2</v>
      </c>
      <c r="E28" s="124">
        <f t="shared" si="0"/>
        <v>0.39056198084814819</v>
      </c>
      <c r="F28" s="125">
        <f t="shared" si="1"/>
        <v>2324203617.6134081</v>
      </c>
      <c r="H28" s="120"/>
    </row>
    <row r="29" spans="2:8">
      <c r="B29" s="122">
        <v>14</v>
      </c>
      <c r="C29" s="123">
        <f t="shared" si="2"/>
        <v>6314914466.8907633</v>
      </c>
      <c r="D29" s="138">
        <f>IF($C$12&lt;B29,0,DDM!$C$11)</f>
        <v>6.1165848114484E-2</v>
      </c>
      <c r="E29" s="124">
        <f t="shared" si="0"/>
        <v>0.36331347055641694</v>
      </c>
      <c r="F29" s="125">
        <f t="shared" si="1"/>
        <v>2294293491.2330089</v>
      </c>
      <c r="H29" s="120"/>
    </row>
    <row r="30" spans="2:8">
      <c r="B30" s="122">
        <v>15</v>
      </c>
      <c r="C30" s="123">
        <f t="shared" si="2"/>
        <v>6701171566.0285597</v>
      </c>
      <c r="D30" s="138">
        <f>IF($C$12&lt;B30,0,DDM!$C$11)</f>
        <v>6.1165848114484E-2</v>
      </c>
      <c r="E30" s="124">
        <f t="shared" si="0"/>
        <v>0.33796601912224833</v>
      </c>
      <c r="F30" s="125">
        <f t="shared" si="1"/>
        <v>2264768277.625875</v>
      </c>
      <c r="H30" s="120"/>
    </row>
    <row r="31" spans="2:8">
      <c r="B31" s="122">
        <v>16</v>
      </c>
      <c r="C31" s="123">
        <f t="shared" si="2"/>
        <v>7111054408.2253599</v>
      </c>
      <c r="D31" s="138">
        <f>IF($C$12&lt;B31,0,DDM!$C$11)</f>
        <v>6.1165848114484E-2</v>
      </c>
      <c r="E31" s="124">
        <f t="shared" si="0"/>
        <v>0.31438699453232405</v>
      </c>
      <c r="F31" s="125">
        <f t="shared" si="1"/>
        <v>2235623023.3578053</v>
      </c>
      <c r="H31" s="120"/>
    </row>
    <row r="32" spans="2:8">
      <c r="B32" s="122">
        <v>17</v>
      </c>
      <c r="C32" s="123">
        <f t="shared" si="2"/>
        <v>7546008082.0927048</v>
      </c>
      <c r="D32" s="138">
        <f>IF($C$12&lt;B32,0,DDM!$C$11)</f>
        <v>6.1165848114484E-2</v>
      </c>
      <c r="E32" s="124">
        <f t="shared" si="0"/>
        <v>0.29245301816960378</v>
      </c>
      <c r="F32" s="125">
        <f t="shared" si="1"/>
        <v>2206852838.7402349</v>
      </c>
      <c r="H32" s="120"/>
    </row>
    <row r="33" spans="2:8">
      <c r="B33" s="122">
        <v>18</v>
      </c>
      <c r="C33" s="123">
        <f t="shared" si="2"/>
        <v>8007566066.3126554</v>
      </c>
      <c r="D33" s="138">
        <f>IF($C$12&lt;B33,0,DDM!$C$11)</f>
        <v>6.1165848114484E-2</v>
      </c>
      <c r="E33" s="124">
        <f t="shared" si="0"/>
        <v>0.27204931922753844</v>
      </c>
      <c r="F33" s="125">
        <f t="shared" si="1"/>
        <v>2178452897.0098958</v>
      </c>
      <c r="H33" s="120"/>
    </row>
    <row r="34" spans="2:8">
      <c r="B34" s="122">
        <v>19</v>
      </c>
      <c r="C34" s="123">
        <f t="shared" si="2"/>
        <v>8497355636.0914288</v>
      </c>
      <c r="D34" s="138">
        <f>IF($C$12&lt;B34,0,DDM!$C$11)</f>
        <v>6.1165848114484E-2</v>
      </c>
      <c r="E34" s="124">
        <f t="shared" si="0"/>
        <v>0.25306913416515198</v>
      </c>
      <c r="F34" s="125">
        <f t="shared" si="1"/>
        <v>2150418433.519032</v>
      </c>
      <c r="H34" s="120"/>
    </row>
    <row r="35" spans="2:8">
      <c r="B35" s="122">
        <v>20</v>
      </c>
      <c r="C35" s="123">
        <f t="shared" si="2"/>
        <v>9017103600.3033504</v>
      </c>
      <c r="D35" s="138">
        <f>IF($C$12&lt;B35,0,DDM!$C$11)</f>
        <v>6.1165848114484E-2</v>
      </c>
      <c r="E35" s="124">
        <f t="shared" si="0"/>
        <v>0.23541314806060654</v>
      </c>
      <c r="F35" s="125">
        <f t="shared" si="1"/>
        <v>2122744744.9360409</v>
      </c>
      <c r="H35" s="120"/>
    </row>
    <row r="36" spans="2:8">
      <c r="B36" s="122">
        <v>21</v>
      </c>
      <c r="C36" s="123">
        <f t="shared" si="2"/>
        <v>9568642389.5520725</v>
      </c>
      <c r="D36" s="138">
        <f>IF($C$12&lt;B36,0,DDM!$C$11)</f>
        <v>6.1165848114484E-2</v>
      </c>
      <c r="E36" s="124">
        <f t="shared" si="0"/>
        <v>0.21898897494009908</v>
      </c>
      <c r="F36" s="125">
        <f t="shared" si="1"/>
        <v>2095427188.4563887</v>
      </c>
      <c r="H36" s="120"/>
    </row>
    <row r="37" spans="2:8">
      <c r="B37" s="122">
        <v>22</v>
      </c>
      <c r="C37" s="123">
        <f t="shared" si="2"/>
        <v>10153916516.613226</v>
      </c>
      <c r="D37" s="138">
        <f>IF($C$12&lt;B37,0,DDM!$C$11)</f>
        <v>6.1165848114484E-2</v>
      </c>
      <c r="E37" s="124">
        <f t="shared" si="0"/>
        <v>0.20371067436288287</v>
      </c>
      <c r="F37" s="125">
        <f t="shared" si="1"/>
        <v>2068461181.0236948</v>
      </c>
      <c r="H37" s="120"/>
    </row>
    <row r="38" spans="2:8">
      <c r="B38" s="122">
        <v>23</v>
      </c>
      <c r="C38" s="123">
        <f t="shared" si="2"/>
        <v>10774989432.03554</v>
      </c>
      <c r="D38" s="138">
        <f>IF($C$12&lt;B38,0,DDM!$C$11)</f>
        <v>6.1165848114484E-2</v>
      </c>
      <c r="E38" s="124">
        <f t="shared" si="0"/>
        <v>0.18949830173291429</v>
      </c>
      <c r="F38" s="125">
        <f t="shared" si="1"/>
        <v>2041842198.5608335</v>
      </c>
      <c r="H38" s="120"/>
    </row>
    <row r="39" spans="2:8">
      <c r="B39" s="122">
        <v>24</v>
      </c>
      <c r="C39" s="123">
        <f t="shared" si="2"/>
        <v>11434050799.070593</v>
      </c>
      <c r="D39" s="138">
        <f>IF($C$12&lt;B39,0,DDM!$C$11)</f>
        <v>6.1165848114484E-2</v>
      </c>
      <c r="E39" s="124">
        <f t="shared" si="0"/>
        <v>0.17627748998410636</v>
      </c>
      <c r="F39" s="125">
        <f t="shared" si="1"/>
        <v>2015565775.2109299</v>
      </c>
      <c r="H39" s="120"/>
    </row>
    <row r="40" spans="2:8">
      <c r="B40" s="122">
        <v>25</v>
      </c>
      <c r="C40" s="123">
        <f t="shared" si="2"/>
        <v>12133424213.57984</v>
      </c>
      <c r="D40" s="138">
        <f>IF($C$12&lt;B40,0,DDM!$C$11)</f>
        <v>6.1165848114484E-2</v>
      </c>
      <c r="E40" s="124">
        <f t="shared" si="0"/>
        <v>0.16397906045033148</v>
      </c>
      <c r="F40" s="125">
        <f t="shared" si="1"/>
        <v>1989627502.5881243</v>
      </c>
      <c r="H40" s="120"/>
    </row>
    <row r="41" spans="2:8">
      <c r="B41" s="122">
        <v>26</v>
      </c>
      <c r="C41" s="123">
        <f t="shared" si="2"/>
        <v>12875575396.136265</v>
      </c>
      <c r="D41" s="138">
        <f>IF($C$12&lt;B41,0,DDM!$C$11)</f>
        <v>6.1165848114484E-2</v>
      </c>
      <c r="E41" s="124">
        <f t="shared" si="0"/>
        <v>0.15253866088402931</v>
      </c>
      <c r="F41" s="125">
        <f t="shared" si="1"/>
        <v>1964023029.037981</v>
      </c>
      <c r="H41" s="120"/>
    </row>
    <row r="42" spans="2:8">
      <c r="B42" s="122">
        <v>27</v>
      </c>
      <c r="C42" s="123">
        <f t="shared" si="2"/>
        <v>13663120885.202921</v>
      </c>
      <c r="D42" s="138">
        <f>IF($C$12&lt;B42,0,DDM!$C$11)</f>
        <v>6.1165848114484E-2</v>
      </c>
      <c r="E42" s="124">
        <f t="shared" si="0"/>
        <v>0.14189642872932959</v>
      </c>
      <c r="F42" s="125">
        <f t="shared" si="1"/>
        <v>1938748058.9074109</v>
      </c>
      <c r="H42" s="120"/>
    </row>
    <row r="43" spans="2:8">
      <c r="B43" s="122">
        <v>28</v>
      </c>
      <c r="C43" s="123">
        <f t="shared" si="2"/>
        <v>14498837262.037073</v>
      </c>
      <c r="D43" s="138">
        <f>IF($C$12&lt;B43,0,DDM!$C$11)</f>
        <v>6.1165848114484E-2</v>
      </c>
      <c r="E43" s="124">
        <f t="shared" si="0"/>
        <v>0.13199667788774846</v>
      </c>
      <c r="F43" s="125">
        <f t="shared" si="1"/>
        <v>1913798351.8239925</v>
      </c>
      <c r="H43" s="120"/>
    </row>
    <row r="44" spans="2:8">
      <c r="B44" s="122">
        <v>29</v>
      </c>
      <c r="C44" s="123">
        <f t="shared" si="2"/>
        <v>15385670939.843452</v>
      </c>
      <c r="D44" s="138">
        <f>IF($C$12&lt;B44,0,DDM!$C$11)</f>
        <v>6.1165848114484E-2</v>
      </c>
      <c r="E44" s="124">
        <f t="shared" si="0"/>
        <v>0.1227876073374404</v>
      </c>
      <c r="F44" s="125">
        <f t="shared" si="1"/>
        <v>1889169721.9845655</v>
      </c>
      <c r="H44" s="120"/>
    </row>
    <row r="45" spans="2:8">
      <c r="B45" s="122">
        <v>30</v>
      </c>
      <c r="C45" s="123">
        <f t="shared" si="2"/>
        <v>16326748551.689348</v>
      </c>
      <c r="D45" s="138">
        <f>IF($C$12&lt;B45,0,DDM!$C$11)</f>
        <v>6.1165848114484E-2</v>
      </c>
      <c r="E45" s="124">
        <f t="shared" si="0"/>
        <v>0.11422103008133992</v>
      </c>
      <c r="F45" s="125">
        <f t="shared" si="1"/>
        <v>1864858037.4529819</v>
      </c>
      <c r="H45" s="120"/>
    </row>
    <row r="46" spans="2:8">
      <c r="B46" s="126" t="s">
        <v>131</v>
      </c>
      <c r="C46" s="123">
        <f>C$16*(1+F4)^$C$12/Equity_Cost</f>
        <v>38915603601.062126</v>
      </c>
      <c r="D46" s="139">
        <f>Terminal_Growth</f>
        <v>0</v>
      </c>
      <c r="E46" s="124">
        <f>1/(1+Equity_Cost)^C12</f>
        <v>0.11422103008133992</v>
      </c>
      <c r="F46" s="125">
        <f t="shared" si="1"/>
        <v>4444980329.5504169</v>
      </c>
      <c r="H46" s="120"/>
    </row>
    <row r="47" spans="2:8">
      <c r="C47" s="114"/>
      <c r="E47" s="127" t="s">
        <v>100</v>
      </c>
      <c r="F47" s="137">
        <f>SUM(F16:F46)</f>
        <v>72374450594.846375</v>
      </c>
      <c r="H47" s="120"/>
    </row>
    <row r="48" spans="2:8">
      <c r="C48" s="114"/>
      <c r="H48" s="120"/>
    </row>
    <row r="49" spans="1:8" ht="13.15">
      <c r="B49" s="119" t="s">
        <v>129</v>
      </c>
      <c r="C49" s="136"/>
      <c r="D49" s="136"/>
      <c r="E49" s="117"/>
      <c r="F49" s="117"/>
      <c r="H49" s="120"/>
    </row>
    <row r="50" spans="1:8" ht="13.15">
      <c r="A50" s="133">
        <f>F47</f>
        <v>72374450594.846375</v>
      </c>
      <c r="B50" s="131">
        <f>C73</f>
        <v>0.02</v>
      </c>
      <c r="C50" s="131">
        <f>C72</f>
        <v>0.04</v>
      </c>
      <c r="D50" s="131">
        <f>C71</f>
        <v>0.06</v>
      </c>
      <c r="E50" s="131">
        <f>C70</f>
        <v>0.08</v>
      </c>
      <c r="F50" s="131">
        <f>C69</f>
        <v>0.1</v>
      </c>
      <c r="H50" s="120"/>
    </row>
    <row r="51" spans="1:8" ht="13.15">
      <c r="A51" s="143">
        <v>5</v>
      </c>
      <c r="B51" s="123">
        <f t="dataTable" ref="B51:F56" dt2D="1" dtr="1" r1="C11" r2="C12"/>
        <v>37835402495.671844</v>
      </c>
      <c r="C51" s="123">
        <v>39032183545.417389</v>
      </c>
      <c r="D51" s="123">
        <v>40264331504.505508</v>
      </c>
      <c r="E51" s="123">
        <v>41533381800.664215</v>
      </c>
      <c r="F51" s="123">
        <v>42840916761.407585</v>
      </c>
      <c r="H51" s="120"/>
    </row>
    <row r="52" spans="1:8" ht="13.15">
      <c r="A52" s="143">
        <v>10</v>
      </c>
      <c r="B52" s="123">
        <v>38988570441.424026</v>
      </c>
      <c r="C52" s="123">
        <v>41535300670.711357</v>
      </c>
      <c r="D52" s="123">
        <v>44340384600.471306</v>
      </c>
      <c r="E52" s="123">
        <v>47434620001.437439</v>
      </c>
      <c r="F52" s="123">
        <v>50852215299.819389</v>
      </c>
      <c r="H52" s="120"/>
    </row>
    <row r="53" spans="1:8" ht="13.15">
      <c r="A53" s="143">
        <v>15</v>
      </c>
      <c r="B53" s="123">
        <v>40448616104.092407</v>
      </c>
      <c r="C53" s="123">
        <v>44873163452.324791</v>
      </c>
      <c r="D53" s="123">
        <v>50075609902.153015</v>
      </c>
      <c r="E53" s="123">
        <v>56211102517.909142</v>
      </c>
      <c r="F53" s="123">
        <v>63465309779.707787</v>
      </c>
      <c r="H53" s="120"/>
    </row>
    <row r="54" spans="1:8" ht="13.15">
      <c r="A54" s="144">
        <v>20</v>
      </c>
      <c r="B54" s="123">
        <v>41970737527.397484</v>
      </c>
      <c r="C54" s="123">
        <v>48549297849.753151</v>
      </c>
      <c r="D54" s="123">
        <v>56770058752.264153</v>
      </c>
      <c r="E54" s="123">
        <v>67099885245.388779</v>
      </c>
      <c r="F54" s="123">
        <v>80140517526.267319</v>
      </c>
      <c r="H54" s="120"/>
    </row>
    <row r="55" spans="1:8" ht="13.15">
      <c r="A55" s="144">
        <v>25</v>
      </c>
      <c r="B55" s="123">
        <v>43419445819.262627</v>
      </c>
      <c r="C55" s="123">
        <v>52254972455.527031</v>
      </c>
      <c r="D55" s="123">
        <v>63949507019.561707</v>
      </c>
      <c r="E55" s="123">
        <v>79572103754.779495</v>
      </c>
      <c r="F55" s="123">
        <v>100606275614.33142</v>
      </c>
      <c r="H55" s="120"/>
    </row>
    <row r="56" spans="1:8" ht="13.15">
      <c r="A56" s="144">
        <v>30</v>
      </c>
      <c r="B56" s="123">
        <v>44727305107.827469</v>
      </c>
      <c r="C56" s="123">
        <v>55806571993.798386</v>
      </c>
      <c r="D56" s="123">
        <v>71296056455.915649</v>
      </c>
      <c r="E56" s="123">
        <v>93262004182.179596</v>
      </c>
      <c r="F56" s="123">
        <v>124790494540.90163</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29.333333333333343</v>
      </c>
      <c r="C60" s="124">
        <f>C7</f>
        <v>29.333333333333343</v>
      </c>
      <c r="D60" s="124">
        <f>C7</f>
        <v>29.333333333333343</v>
      </c>
      <c r="E60" s="141">
        <f>C7</f>
        <v>29.333333333333343</v>
      </c>
      <c r="F60" s="124">
        <f>C7</f>
        <v>29.333333333333343</v>
      </c>
      <c r="H60" s="120"/>
    </row>
    <row r="61" spans="1:8" ht="13.15">
      <c r="A61" s="143">
        <f t="shared" ref="A61:A66" si="3">A51</f>
        <v>5</v>
      </c>
      <c r="B61" s="124">
        <f t="shared" ref="B61:F66" si="4">B51/Common_Shares*$C$3*Exchange_Rate</f>
        <v>30.263508097250284</v>
      </c>
      <c r="C61" s="124">
        <f t="shared" si="4"/>
        <v>31.220780667398135</v>
      </c>
      <c r="D61" s="124">
        <f t="shared" si="4"/>
        <v>32.206342265193726</v>
      </c>
      <c r="E61" s="124">
        <f t="shared" si="4"/>
        <v>33.22142103746291</v>
      </c>
      <c r="F61" s="124">
        <f t="shared" si="4"/>
        <v>34.267282644893179</v>
      </c>
      <c r="H61" s="120"/>
    </row>
    <row r="62" spans="1:8" ht="13.15">
      <c r="A62" s="143">
        <f t="shared" si="3"/>
        <v>10</v>
      </c>
      <c r="B62" s="124">
        <f t="shared" si="4"/>
        <v>31.185895733215116</v>
      </c>
      <c r="C62" s="124">
        <f t="shared" si="4"/>
        <v>33.222955889357657</v>
      </c>
      <c r="D62" s="124">
        <f t="shared" si="4"/>
        <v>35.466666134847138</v>
      </c>
      <c r="E62" s="124">
        <f t="shared" si="4"/>
        <v>37.941660767787781</v>
      </c>
      <c r="F62" s="124">
        <f t="shared" si="4"/>
        <v>40.675302176717906</v>
      </c>
      <c r="H62" s="120"/>
    </row>
    <row r="63" spans="1:8" ht="13.15">
      <c r="A63" s="143">
        <f t="shared" si="3"/>
        <v>15</v>
      </c>
      <c r="B63" s="124">
        <f t="shared" si="4"/>
        <v>32.353746497841563</v>
      </c>
      <c r="C63" s="124">
        <f t="shared" si="4"/>
        <v>35.892821429453974</v>
      </c>
      <c r="D63" s="124">
        <f t="shared" si="4"/>
        <v>40.054116668163232</v>
      </c>
      <c r="E63" s="124">
        <f t="shared" si="4"/>
        <v>44.961730125659706</v>
      </c>
      <c r="F63" s="124">
        <f t="shared" si="4"/>
        <v>50.764172962938602</v>
      </c>
      <c r="H63" s="120"/>
    </row>
    <row r="64" spans="1:8" ht="13.15">
      <c r="A64" s="144">
        <f t="shared" si="3"/>
        <v>20</v>
      </c>
      <c r="B64" s="124">
        <f t="shared" si="4"/>
        <v>33.571249972912589</v>
      </c>
      <c r="C64" s="124">
        <f t="shared" si="4"/>
        <v>38.833261223001308</v>
      </c>
      <c r="D64" s="124">
        <f t="shared" si="4"/>
        <v>45.408823995649499</v>
      </c>
      <c r="E64" s="124">
        <f t="shared" si="4"/>
        <v>53.671370898741898</v>
      </c>
      <c r="F64" s="124">
        <f t="shared" si="4"/>
        <v>64.102217528978684</v>
      </c>
      <c r="H64" s="120"/>
    </row>
    <row r="65" spans="1:8" ht="13.15">
      <c r="A65" s="144">
        <f t="shared" si="3"/>
        <v>25</v>
      </c>
      <c r="B65" s="124">
        <f t="shared" si="4"/>
        <v>34.730032283380403</v>
      </c>
      <c r="C65" s="124">
        <f t="shared" si="4"/>
        <v>41.79732942474547</v>
      </c>
      <c r="D65" s="124">
        <f t="shared" si="4"/>
        <v>51.151469149114014</v>
      </c>
      <c r="E65" s="124">
        <f t="shared" si="4"/>
        <v>63.647558832590342</v>
      </c>
      <c r="F65" s="124">
        <f t="shared" si="4"/>
        <v>80.472220086380986</v>
      </c>
    </row>
    <row r="66" spans="1:8" ht="13.15">
      <c r="A66" s="144">
        <f t="shared" si="3"/>
        <v>30</v>
      </c>
      <c r="B66" s="124">
        <f t="shared" si="4"/>
        <v>35.776153311802759</v>
      </c>
      <c r="C66" s="124">
        <f t="shared" si="4"/>
        <v>44.638157175869864</v>
      </c>
      <c r="D66" s="124">
        <f t="shared" si="4"/>
        <v>57.027773977095706</v>
      </c>
      <c r="E66" s="124">
        <f t="shared" si="4"/>
        <v>74.597737371924424</v>
      </c>
      <c r="F66" s="124">
        <f t="shared" si="4"/>
        <v>99.816518204886705</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99.816518204886705</v>
      </c>
      <c r="F69" s="142">
        <f>Scenarios!C58</f>
        <v>0.05</v>
      </c>
    </row>
    <row r="70" spans="1:8">
      <c r="B70" s="127" t="str">
        <f>Scenarios!B36</f>
        <v>Optimistic</v>
      </c>
      <c r="C70" s="142">
        <f>Scenarios!C38</f>
        <v>0.08</v>
      </c>
      <c r="D70" s="145">
        <f>Scenarios!C37</f>
        <v>30</v>
      </c>
      <c r="E70" s="135">
        <f>INDEX(B$60:F$66, MATCH(D70, A$60:A$66, 0), MATCH(C70, B$59:F$59, 0))</f>
        <v>74.597737371924424</v>
      </c>
      <c r="F70" s="142">
        <f>Scenarios!C40*(1-F$69-F$73)</f>
        <v>0.18</v>
      </c>
      <c r="H70" s="120"/>
    </row>
    <row r="71" spans="1:8">
      <c r="B71" s="127" t="str">
        <f>Scenarios!B24</f>
        <v>Base</v>
      </c>
      <c r="C71" s="142">
        <f>Scenarios!C26</f>
        <v>0.06</v>
      </c>
      <c r="D71" s="145">
        <f>Scenarios!C25</f>
        <v>30</v>
      </c>
      <c r="E71" s="135">
        <f>INDEX(B$60:F$66, MATCH(D71, A$60:A$66, 0), MATCH(C71, B$59:F$59, 0))</f>
        <v>57.027773977095706</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44.638157175869864</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-55.1</v>
      </c>
    </row>
    <row r="4" spans="2:9">
      <c r="B4" s="152" t="s">
        <v>146</v>
      </c>
      <c r="C4" s="120">
        <v>3</v>
      </c>
      <c r="D4" s="120"/>
      <c r="E4" s="155" t="s">
        <v>150</v>
      </c>
      <c r="F4" s="155"/>
      <c r="H4" s="247">
        <v>1</v>
      </c>
      <c r="I4" s="124">
        <f t="shared" ref="I4:I13" si="0">IF(ROW()-3 &lt; $C$76, $C$77, IF(ROW()-3 = $C$76, $C$77 + $C$60, ""))</f>
        <v>2.0161588533760026</v>
      </c>
    </row>
    <row r="5" spans="2:9">
      <c r="H5" s="247">
        <v>2</v>
      </c>
      <c r="I5" s="124">
        <f t="shared" si="0"/>
        <v>2.0161588533760026</v>
      </c>
    </row>
    <row r="6" spans="2:9" ht="13.15">
      <c r="B6" s="159" t="s">
        <v>95</v>
      </c>
      <c r="C6" s="107">
        <f>DCF!C3</f>
        <v>1</v>
      </c>
      <c r="E6" s="100" t="s">
        <v>279</v>
      </c>
      <c r="F6" s="100"/>
      <c r="H6" s="247">
        <v>3</v>
      </c>
      <c r="I6" s="124">
        <f t="shared" si="0"/>
        <v>74.859308993159743</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3154824070.980134</v>
      </c>
      <c r="D8" t="str">
        <f>Reporting_currency</f>
        <v>CNY</v>
      </c>
      <c r="E8" s="366"/>
      <c r="F8" s="366"/>
      <c r="H8" s="247">
        <v>5</v>
      </c>
      <c r="I8" s="124" t="str">
        <f t="shared" si="0"/>
        <v/>
      </c>
    </row>
    <row r="9" spans="2:9">
      <c r="B9" s="100" t="s">
        <v>57</v>
      </c>
      <c r="C9" s="338">
        <f>Normalized_FCF!C19</f>
        <v>2878367752.9942398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0.22851088370442274</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55.1</v>
      </c>
      <c r="D21" t="str">
        <f>Market_currency</f>
        <v>HKD</v>
      </c>
      <c r="E21" s="367"/>
      <c r="F21" s="367"/>
    </row>
    <row r="22" spans="2:6">
      <c r="B22" s="100" t="s">
        <v>278</v>
      </c>
      <c r="C22" s="160">
        <f>IF(valuation_method="DCF",DCF!C12,DDM!C7)</f>
        <v>42.924718590315614</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71.907302946697598</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58.941411390926007</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90.294493097218222</v>
      </c>
      <c r="D39" t="str">
        <f>Market_currency</f>
        <v>HKD</v>
      </c>
      <c r="E39" s="365"/>
      <c r="F39" s="365"/>
    </row>
    <row r="40" spans="2:6">
      <c r="B40" s="100" t="s">
        <v>147</v>
      </c>
      <c r="C40" s="167">
        <f>1-C28-C34</f>
        <v>0.2</v>
      </c>
      <c r="D40" s="165"/>
      <c r="E40" s="365"/>
      <c r="F40" s="365"/>
    </row>
    <row r="42" spans="2:6" ht="13.15">
      <c r="B42" s="100" t="s">
        <v>120</v>
      </c>
      <c r="C42" s="154">
        <f>C27*C28+C33*C34+C39*C40</f>
        <v>71.694973510070241</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49.66721163868236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116.68626797572834</v>
      </c>
      <c r="D57" t="str">
        <f>Market_currency</f>
        <v>HKD</v>
      </c>
      <c r="E57" s="365"/>
      <c r="F57" s="365"/>
    </row>
    <row r="58" spans="2:6">
      <c r="B58" s="100" t="s">
        <v>147</v>
      </c>
      <c r="C58" s="165">
        <v>0.05</v>
      </c>
      <c r="D58" s="165"/>
      <c r="E58" s="365"/>
      <c r="F58" s="365"/>
    </row>
    <row r="60" spans="2:6" ht="13.15">
      <c r="B60" s="100" t="s">
        <v>120</v>
      </c>
      <c r="C60" s="154">
        <f>C51*C52+C57*C58+C42*(1-C52-C58)</f>
        <v>72.843150139783745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72.810001903138144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0.16785397346372002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2.0161588533760026</v>
      </c>
      <c r="D77" t="str">
        <f>Market_currency</f>
        <v>HKD</v>
      </c>
    </row>
    <row r="79" spans="2:6" ht="13.15">
      <c r="B79" s="109" t="s">
        <v>301</v>
      </c>
    </row>
    <row r="80" spans="2:6">
      <c r="B80" s="148" t="s">
        <v>299</v>
      </c>
      <c r="C80" s="167">
        <f>Thesis!F29</f>
        <v>0.3674</v>
      </c>
    </row>
    <row r="81" spans="2:8">
      <c r="B81" s="100" t="s">
        <v>121</v>
      </c>
      <c r="C81" s="116">
        <f>PV(C80, C76, -C77, 0)</f>
        <v>3.3412980490773485</v>
      </c>
      <c r="D81" s="116"/>
      <c r="E81" s="100"/>
      <c r="F81" s="100"/>
    </row>
    <row r="82" spans="2:8">
      <c r="B82" s="100" t="s">
        <v>122</v>
      </c>
      <c r="C82" s="116">
        <f>C60/(1+C80)^C76</f>
        <v>28.490626026489888</v>
      </c>
      <c r="D82" s="116"/>
    </row>
    <row r="83" spans="2:8" ht="13.15">
      <c r="B83" s="110" t="s">
        <v>101</v>
      </c>
      <c r="C83" s="111">
        <f>C81+C82</f>
        <v>31.831924075567237</v>
      </c>
      <c r="D83" t="str">
        <f>Market_currency</f>
        <v>HKD</v>
      </c>
      <c r="E83" s="146" t="s">
        <v>126</v>
      </c>
      <c r="F83" s="291">
        <f>(1-C83/C60)</f>
        <v>0.56300731071510823</v>
      </c>
    </row>
    <row r="84" spans="2:8">
      <c r="E84" s="120"/>
    </row>
    <row r="85" spans="2:8" ht="13.15">
      <c r="B85" s="109" t="s">
        <v>302</v>
      </c>
    </row>
    <row r="86" spans="2:8">
      <c r="B86" s="148" t="s">
        <v>300</v>
      </c>
      <c r="C86" s="116">
        <f>Market_Price</f>
        <v>55.1</v>
      </c>
      <c r="D86" t="str">
        <f>Market_currency</f>
        <v>HKD</v>
      </c>
    </row>
    <row r="87" spans="2:8" ht="13.15">
      <c r="B87" s="100" t="s">
        <v>298</v>
      </c>
      <c r="C87" s="237">
        <f ca="1">IRR(OFFSET($I$3, 0, 0, $C$76 + 1, 1))</f>
        <v>0.1310180274430941</v>
      </c>
    </row>
    <row r="88" spans="2:8">
      <c r="B88" s="100"/>
    </row>
    <row r="89" spans="2:8" ht="13.15">
      <c r="B89" s="109" t="s">
        <v>412</v>
      </c>
    </row>
    <row r="90" spans="2:8">
      <c r="B90" s="148" t="s">
        <v>413</v>
      </c>
      <c r="C90" s="167">
        <f>Thesis!F30</f>
        <v>0.21740000000000001</v>
      </c>
    </row>
    <row r="91" spans="2:8">
      <c r="B91" s="100" t="s">
        <v>121</v>
      </c>
      <c r="C91" s="116">
        <f>PV(C90, C76, -C77, 0)</f>
        <v>4.1339337740047419</v>
      </c>
      <c r="D91" s="116"/>
      <c r="E91" s="100"/>
      <c r="F91" s="100"/>
    </row>
    <row r="92" spans="2:8">
      <c r="B92" s="100" t="s">
        <v>122</v>
      </c>
      <c r="C92" s="116">
        <f>C60/(1+C90)^C76</f>
        <v>40.372795929841949</v>
      </c>
      <c r="D92" s="116"/>
    </row>
    <row r="93" spans="2:8" ht="13.15">
      <c r="B93" s="110" t="s">
        <v>101</v>
      </c>
      <c r="C93" s="111">
        <f>C91+C92</f>
        <v>44.506729703846688</v>
      </c>
      <c r="D93" t="str">
        <f>Market_currency</f>
        <v>HKD</v>
      </c>
      <c r="E93" s="146" t="s">
        <v>126</v>
      </c>
      <c r="F93" s="291">
        <f>(1-C93/C60)</f>
        <v>0.38900597216842414</v>
      </c>
    </row>
    <row r="95" spans="2:8" ht="13.15">
      <c r="B95" s="109" t="s">
        <v>397</v>
      </c>
      <c r="G95" s="2"/>
      <c r="H95" s="281"/>
    </row>
    <row r="96" spans="2:8">
      <c r="B96" s="148" t="s">
        <v>403</v>
      </c>
      <c r="C96" s="134">
        <f>Thesis!F31</f>
        <v>7.4999999999999997E-2</v>
      </c>
      <c r="G96" s="2"/>
      <c r="H96" s="281"/>
    </row>
    <row r="97" spans="2:8">
      <c r="B97" s="100" t="s">
        <v>121</v>
      </c>
      <c r="C97" s="116">
        <f>PV(C96, C76, -C77, 0)</f>
        <v>5.2430729938750309</v>
      </c>
      <c r="D97" s="116"/>
      <c r="G97" s="2"/>
      <c r="H97" s="281"/>
    </row>
    <row r="98" spans="2:8">
      <c r="B98" s="100" t="s">
        <v>122</v>
      </c>
      <c r="C98" s="116">
        <f>C60/(1+C96)^C76</f>
        <v>58.635863621393845</v>
      </c>
      <c r="D98" s="116"/>
      <c r="G98" s="2"/>
      <c r="H98" s="281"/>
    </row>
    <row r="99" spans="2:8" ht="13.15">
      <c r="B99" s="110" t="s">
        <v>398</v>
      </c>
      <c r="C99" s="111">
        <f>C97+C98</f>
        <v>63.878936615268877</v>
      </c>
      <c r="D99" t="s">
        <v>396</v>
      </c>
      <c r="E99" s="146" t="s">
        <v>126</v>
      </c>
      <c r="F99" s="291">
        <f>(1-C99/C60)</f>
        <v>0.12306185972617634</v>
      </c>
    </row>
    <row r="100" spans="2:8">
      <c r="B100" s="100"/>
    </row>
    <row r="101" spans="2:8" ht="13.15">
      <c r="B101" s="109" t="s">
        <v>422</v>
      </c>
    </row>
    <row r="102" spans="2:8">
      <c r="B102" s="148" t="s">
        <v>421</v>
      </c>
      <c r="C102" s="134">
        <f>Thesis!F32</f>
        <v>0.1174</v>
      </c>
    </row>
    <row r="103" spans="2:8">
      <c r="B103" s="100" t="s">
        <v>121</v>
      </c>
      <c r="C103" s="116">
        <f>PV(C102, C76, -C77, 0)</f>
        <v>4.8641911520438263</v>
      </c>
      <c r="D103" s="116"/>
    </row>
    <row r="104" spans="2:8">
      <c r="B104" s="100" t="s">
        <v>122</v>
      </c>
      <c r="C104" s="116">
        <f>C60/(1+C102)^C76</f>
        <v>52.21108492262767</v>
      </c>
      <c r="D104" s="116"/>
    </row>
    <row r="105" spans="2:8" ht="13.15">
      <c r="B105" s="110" t="s">
        <v>398</v>
      </c>
      <c r="C105" s="111">
        <f>C103+C104</f>
        <v>57.075276074671493</v>
      </c>
      <c r="D105" t="s">
        <v>396</v>
      </c>
      <c r="E105" s="146" t="s">
        <v>126</v>
      </c>
      <c r="F105" s="291">
        <f>(1-C105/C66)</f>
        <v>0.21610665316832622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