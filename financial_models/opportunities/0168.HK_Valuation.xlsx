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EC7509-2021-45B5-BE14-E7FF22A1291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C62" i="10"/>
  <c r="C64" i="10"/>
  <c r="C66" i="10"/>
  <c r="B66" i="10"/>
  <c r="D64" i="10"/>
  <c r="D66" i="10"/>
  <c r="F62" i="10"/>
  <c r="F66" i="10"/>
  <c r="E61" i="10"/>
  <c r="F63" i="10"/>
  <c r="D62" i="10"/>
  <c r="B61" i="10"/>
  <c r="D65" i="10"/>
  <c r="F65" i="10"/>
  <c r="E62" i="10"/>
  <c r="E64" i="10"/>
  <c r="E66" i="10"/>
  <c r="F64" i="10"/>
  <c r="D63" i="10"/>
  <c r="B64" i="10"/>
  <c r="F61" i="10"/>
  <c r="E65" i="10"/>
  <c r="C61" i="10"/>
  <c r="C63" i="10"/>
  <c r="C65" i="10"/>
  <c r="B62" i="10"/>
  <c r="D61" i="10"/>
  <c r="B63" i="10"/>
  <c r="E63" i="10"/>
  <c r="B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C66" i="8"/>
  <c r="E70" i="8"/>
  <c r="B66" i="8"/>
  <c r="G54" i="2"/>
  <c r="C54" i="2" s="1"/>
  <c r="D66" i="8" l="1"/>
  <c r="C67" i="8"/>
  <c r="F71" i="8"/>
  <c r="F66" i="8"/>
  <c r="D69"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98" i="9" l="1"/>
  <c r="C99" i="9" s="1"/>
  <c r="C127" i="6"/>
  <c r="C26" i="6" s="1"/>
  <c r="C82" i="9"/>
  <c r="C83" i="9" s="1"/>
  <c r="F83" i="9" s="1"/>
  <c r="I6" i="9"/>
  <c r="C87" i="9" s="1"/>
  <c r="F72" i="9"/>
  <c r="C72" i="9" s="1"/>
  <c r="C104" i="9"/>
  <c r="C105" i="9" s="1"/>
  <c r="C168" i="6" s="1"/>
  <c r="H76" i="2"/>
  <c r="H120" i="2"/>
  <c r="H116" i="2" s="1"/>
  <c r="H13" i="2"/>
  <c r="C159" i="6" l="1"/>
  <c r="C143" i="6"/>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<sst xmlns="http://schemas.openxmlformats.org/spreadsheetml/2006/main" count="682" uniqueCount="462">
  <si>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</si>
  <si>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</si>
  <si>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</si>
  <si>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</si>
  <si>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</si>
  <si>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</si>
  <si>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</si>
  <si>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</si>
  <si>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</si>
  <si>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</si>
  <si>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</si>
  <si>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</si>
  <si>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</si>
  <si>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</si>
  <si>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</si>
  <si>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</si>
  <si>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</si>
  <si>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</si>
  <si>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</si>
  <si>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</si>
  <si>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</si>
  <si>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</si>
  <si>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</si>
  <si>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</si>
  <si>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</si>
  <si>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</si>
  <si>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</si>
  <si>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</si>
  <si>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</si>
  <si>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</si>
  <si>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</si>
  <si>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</si>
  <si>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</si>
  <si>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</si>
  <si>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</si>
  <si>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</si>
  <si>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</si>
  <si>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</si>
  <si>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</si>
  <si>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</si>
  <si>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</si>
  <si>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</si>
  <si>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</si>
  <si>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</si>
  <si>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</si>
  <si>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</si>
  <si>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</si>
  <si>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</si>
  <si>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</si>
  <si>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</si>
  <si>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</si>
  <si>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</si>
  <si>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</si>
  <si>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</si>
  <si>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</si>
  <si>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</si>
  <si>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</si>
  <si>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</si>
  <si>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</si>
  <si>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</si>
  <si>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</si>
  <si>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</si>
  <si>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</si>
  <si>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</si>
  <si>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</si>
  <si>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</si>
  <si>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</si>
  <si>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</si>
  <si>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</si>
  <si>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</si>
  <si>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</si>
  <si>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</si>
  <si>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</si>
  <si>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</si>
  <si>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</si>
  <si>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</si>
  <si>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</si>
  <si>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</si>
  <si>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</si>
  <si>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</si>
  <si>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</si>
  <si>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</si>
  <si>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</si>
  <si>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</si>
  <si>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</si>
  <si>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</si>
  <si>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</si>
  <si>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</si>
  <si>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</si>
  <si>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</si>
  <si>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</si>
  <si>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</si>
  <si>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</si>
  <si>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</si>
  <si>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</si>
  <si>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</si>
  <si>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</si>
  <si>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</si>
  <si>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</si>
  <si>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</si>
  <si>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</si>
  <si>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</si>
  <si>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</si>
  <si>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</si>
  <si>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</si>
  <si>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</si>
  <si>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</si>
  <si>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</si>
  <si>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</si>
  <si>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</si>
  <si>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</si>
  <si>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</si>
  <si>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</si>
  <si>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</si>
  <si>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</si>
  <si>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</si>
  <si>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</si>
  <si>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</si>
  <si>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</si>
  <si>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</si>
  <si>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</si>
  <si>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</si>
  <si>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</si>
  <si>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</si>
  <si>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</si>
  <si>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</si>
  <si>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</si>
  <si>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</si>
  <si>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</si>
  <si>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</si>
  <si>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</si>
  <si>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</si>
  <si>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</si>
  <si>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</si>
  <si>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</si>
  <si>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</si>
  <si>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</si>
  <si>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</si>
  <si>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</si>
  <si>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</si>
  <si>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</si>
  <si>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</si>
  <si>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</si>
  <si>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</si>
  <si>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</si>
  <si>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</si>
  <si>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</si>
  <si>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</si>
  <si>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</si>
  <si>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</si>
  <si>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</si>
  <si>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</si>
  <si>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</si>
  <si>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</si>
  <si>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</si>
  <si>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</si>
  <si>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</si>
  <si>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</si>
  <si>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</si>
  <si>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</si>
  <si>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</si>
  <si>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</si>
  <si>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</si>
  <si>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</si>
  <si>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</si>
  <si>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</si>
  <si>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</si>
  <si>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</si>
  <si>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</si>
  <si>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</si>
  <si>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</si>
  <si>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</si>
  <si>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</si>
  <si>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</si>
  <si>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</si>
  <si>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</si>
  <si>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</si>
  <si>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</si>
  <si>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</si>
  <si>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</si>
  <si>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</si>
  <si>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</si>
  <si>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</si>
  <si>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</si>
  <si>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</si>
  <si>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</si>
  <si>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</si>
  <si>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</si>
  <si>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</si>
  <si>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</si>
  <si>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</si>
  <si>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</si>
  <si>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</si>
  <si>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</si>
  <si>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</si>
  <si>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</si>
  <si>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</si>
  <si>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</si>
  <si>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</si>
  <si>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</si>
  <si>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</si>
  <si>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</si>
  <si>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</si>
  <si>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</si>
  <si>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</si>
  <si>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</si>
  <si>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</si>
  <si>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</si>
  <si>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</si>
  <si>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</si>
  <si>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</si>
  <si>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</si>
  <si>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</si>
  <si>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</si>
  <si>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</si>
  <si>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</si>
  <si>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</si>
  <si>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</si>
  <si>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</si>
  <si>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</si>
  <si>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</si>
  <si>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</si>
  <si>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</si>
  <si>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</si>
  <si>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</si>
  <si>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</si>
  <si>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</si>
  <si>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</si>
  <si>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</si>
  <si>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</si>
  <si>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</si>
  <si>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</si>
  <si>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</si>
  <si>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</si>
  <si>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</si>
  <si>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</si>
  <si>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</si>
  <si>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</si>
  <si>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</si>
  <si>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</si>
  <si>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</si>
  <si>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</si>
  <si>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</si>
  <si>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</si>
  <si>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</si>
  <si>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</si>
  <si>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</si>
  <si>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</si>
  <si>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</si>
  <si>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</si>
  <si>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</si>
  <si>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</si>
  <si>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</si>
  <si>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</si>
  <si>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</si>
  <si>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</si>
  <si>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</si>
  <si>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</si>
  <si>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</si>
  <si>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</si>
  <si>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</si>
  <si>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</si>
  <si>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</si>
  <si>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</si>
  <si>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</si>
  <si>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</si>
  <si>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</si>
  <si>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</si>
  <si>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</si>
  <si>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</si>
  <si>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</si>
  <si>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</si>
  <si>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</si>
  <si>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</si>
  <si>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</si>
  <si>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</si>
  <si>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</si>
  <si>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</si>
  <si>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</si>
  <si>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</si>
  <si>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</si>
  <si>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</si>
  <si>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</si>
  <si>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</si>
  <si>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</si>
  <si>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</si>
  <si>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</si>
  <si>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</si>
  <si>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</si>
  <si>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</si>
  <si>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</si>
  <si>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</si>
  <si>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</si>
  <si>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</si>
  <si>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</si>
  <si>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</si>
  <si>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</si>
  <si>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</si>
  <si>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</si>
  <si>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</si>
  <si>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</si>
  <si>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</si>
  <si>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</si>
  <si>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</si>
  <si>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</si>
  <si>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</si>
  <si>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</si>
  <si>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</si>
  <si>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</si>
  <si>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</si>
  <si>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</si>
  <si>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</si>
  <si>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</si>
  <si>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</si>
  <si>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</si>
  <si>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</si>
  <si>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</si>
  <si>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</si>
  <si>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</si>
  <si>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</si>
  <si>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</si>
  <si>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</si>
  <si>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</si>
  <si>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</si>
  <si>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</si>
  <si>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</si>
  <si>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</si>
  <si>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</si>
  <si>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</si>
  <si>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</si>
  <si>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</si>
  <si>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</si>
  <si>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</si>
  <si>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</si>
  <si>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</si>
  <si>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</si>
  <si>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</si>
  <si>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</si>
  <si>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</si>
  <si>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</si>
  <si>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</si>
  <si>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</si>
  <si>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</si>
  <si>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</si>
  <si>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</si>
  <si>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</si>
  <si>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</si>
  <si>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</si>
  <si>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</si>
  <si>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</si>
  <si>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</si>
  <si>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</si>
  <si>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</si>
  <si>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</si>
  <si>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</si>
  <si>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</si>
  <si>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</si>
  <si>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</si>
  <si>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</si>
  <si>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</si>
  <si>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</si>
  <si>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</si>
  <si>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</si>
  <si>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</si>
  <si>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</si>
  <si>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</si>
  <si>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</si>
  <si>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</si>
  <si>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</si>
  <si>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</si>
  <si>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</si>
  <si>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</si>
  <si>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</si>
  <si>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</si>
  <si>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</si>
  <si>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</si>
  <si>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</si>
  <si>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</si>
  <si>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</si>
  <si>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</si>
  <si>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</si>
  <si>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</si>
  <si>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</si>
  <si>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</si>
  <si>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</si>
  <si>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</si>
  <si>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</si>
  <si>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</si>
  <si>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</si>
  <si>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</si>
  <si>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</si>
  <si>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</si>
  <si>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</si>
  <si>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</si>
  <si>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</si>
  <si>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</si>
  <si>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</si>
  <si>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</si>
  <si>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</si>
  <si>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</si>
  <si>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</si>
  <si>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</si>
  <si>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</si>
  <si>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</si>
  <si>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</si>
  <si>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</si>
  <si>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</si>
  <si>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</si>
  <si>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</si>
  <si>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</si>
  <si>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</si>
  <si>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</si>
  <si>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</si>
  <si>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</si>
  <si>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</si>
  <si>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</si>
  <si>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</si>
  <si>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</si>
  <si>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</si>
  <si>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</si>
  <si>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</si>
  <si>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</si>
  <si>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</si>
  <si>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</si>
  <si>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</si>
  <si>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</si>
  <si>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</si>
  <si>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</si>
  <si>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</si>
  <si>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</si>
  <si>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</si>
  <si>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</si>
  <si>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</si>
  <si>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</si>
  <si>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</si>
  <si>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</si>
  <si>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</si>
  <si>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</si>
  <si>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</si>
  <si>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</si>
  <si>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</si>
  <si>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</si>
  <si>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</si>
  <si>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</si>
  <si>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</si>
  <si>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</si>
  <si>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</si>
  <si>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</si>
  <si>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</si>
  <si>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</si>
  <si>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</si>
  <si>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</si>
  <si>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</si>
  <si>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青島啤酒股份</t>
  </si>
  <si>
    <t>0168.HK</t>
  </si>
  <si>
    <t/>
  </si>
  <si>
    <t>CNS_03</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</si>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</sst>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461</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1364196788</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55.3</v>
      </c>
      <c r="D12" s="50"/>
      <c r="E12" s="48"/>
    </row>
    <row r="13" spans="1:10">
      <c r="B13" s="1" t="s">
        <v>418</v>
      </c>
      <c r="C13" s="48" t="s">
        <v>397</v>
      </c>
      <c r="D13" s="48"/>
      <c r="E13" s="5"/>
    </row>
    <row r="14" spans="1:10">
      <c r="B14" s="4" t="s">
        <v>422</v>
      </c>
      <c r="C14" s="35">
        <f>Thesis!C12*Common_Shares/1000000</f>
        <v>75440.082376399994</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1.0837740599999999</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457</v>
      </c>
    </row>
    <row r="22" spans="2:6">
      <c r="B22" s="2" t="s">
        <v>56</v>
      </c>
      <c r="C22" s="48" t="s">
        <v>456</v>
      </c>
      <c r="D22" s="1" t="str">
        <f>IF(valuation_method="DDM","DDM Terminal Value","")</f>
        <v/>
      </c>
      <c r="E22" s="343"/>
    </row>
    <row r="23" spans="2:6">
      <c r="B23" s="1" t="s">
        <v>436</v>
      </c>
      <c r="C23" s="286" t="s">
        <v>452</v>
      </c>
    </row>
    <row r="24" spans="2:6">
      <c r="B24" s="1" t="s">
        <v>437</v>
      </c>
      <c r="C24" s="286" t="s">
        <v>452</v>
      </c>
    </row>
    <row r="25" spans="2:6">
      <c r="B25" s="4" t="s">
        <v>348</v>
      </c>
      <c r="C25" s="48" t="s">
        <v>416</v>
      </c>
      <c r="D25" s="32" t="str">
        <f>IF(D11="","",Market_currency&amp;"/"&amp;D13&amp;":")</f>
        <v/>
      </c>
      <c r="E25" s="329" t="str">
        <f>IF(D11="","",1/Exchange_Rate*D16)</f>
        <v/>
      </c>
    </row>
    <row r="26" spans="2:6">
      <c r="B26" s="1" t="str">
        <f>"Expected Equity Value ("&amp;C13&amp;") :"</f>
        <v>Expected Equity Value (HKD) :</v>
      </c>
      <c r="C26" s="334">
        <f>C127</f>
        <v>72.34769775154939</v>
      </c>
      <c r="D26" s="1" t="s">
        <v>400</v>
      </c>
      <c r="E26" s="331">
        <f ca="1">Scenarios!C87</f>
        <v>0.12741775912814202</v>
      </c>
    </row>
    <row r="27" spans="2:6">
      <c r="D27" s="5"/>
      <c r="E27" s="5"/>
    </row>
    <row r="28" spans="2:6">
      <c r="B28" s="45" t="s">
        <v>435</v>
      </c>
      <c r="C28" s="339" t="str">
        <f>C140&amp;" ("&amp;Market_currency&amp;")"</f>
        <v>0168.HK (HKD)</v>
      </c>
      <c r="D28" s="339" t="str">
        <f>IF(D11="","",D140&amp;" ("&amp;D13&amp;")")</f>
        <v/>
      </c>
      <c r="E28" s="335" t="s">
        <v>431</v>
      </c>
      <c r="F28" s="333">
        <v>3</v>
      </c>
    </row>
    <row r="29" spans="2:6">
      <c r="B29" s="1" t="s">
        <v>427</v>
      </c>
      <c r="C29" s="340">
        <f>C144</f>
        <v>31.660985855822997</v>
      </c>
      <c r="D29" s="340" t="str">
        <f>D144</f>
        <v/>
      </c>
      <c r="E29" s="336" t="s">
        <v>426</v>
      </c>
      <c r="F29" s="332">
        <v>0.3674</v>
      </c>
    </row>
    <row r="30" spans="2:6">
      <c r="B30" s="1" t="s">
        <v>428</v>
      </c>
      <c r="C30" s="341">
        <f>C152</f>
        <v>44.260392600154404</v>
      </c>
      <c r="D30" s="341" t="str">
        <f>D152</f>
        <v/>
      </c>
      <c r="E30" s="337" t="s">
        <v>439</v>
      </c>
      <c r="F30" s="342">
        <v>0.21740000000000001</v>
      </c>
    </row>
    <row r="31" spans="2:6">
      <c r="B31" s="1" t="s">
        <v>429</v>
      </c>
      <c r="C31" s="341">
        <f>C160</f>
        <v>63.515964046527429</v>
      </c>
      <c r="D31" s="341" t="str">
        <f>D160</f>
        <v/>
      </c>
      <c r="E31" s="337" t="s">
        <v>438</v>
      </c>
      <c r="F31" s="342">
        <v>7.4999999999999997E-2</v>
      </c>
    </row>
    <row r="32" spans="2:6">
      <c r="B32" s="1" t="s">
        <v>430</v>
      </c>
      <c r="C32" s="341">
        <f>C168</f>
        <v>56.75341206601626</v>
      </c>
      <c r="D32" s="341" t="str">
        <f>D168</f>
        <v/>
      </c>
      <c r="E32" s="337" t="s">
        <v>440</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v>
      </c>
    </row>
    <row r="40" spans="1:6" ht="24.5" customHeight="1">
      <c r="B40" s="348" t="s">
        <v>232</v>
      </c>
      <c r="C40" s="348"/>
      <c r="D40" s="348"/>
      <c r="E40" s="348"/>
      <c r="F40" s="348"/>
    </row>
    <row r="41" spans="1:6">
      <c r="B41" s="47" t="s">
        <v>233</v>
      </c>
      <c r="C41" s="76">
        <f>Normalized_FCF!C8</f>
        <v>3878068070.3077545</v>
      </c>
      <c r="D41" s="1" t="str">
        <f>Reporting_currency</f>
        <v>CNY</v>
      </c>
    </row>
    <row r="42" spans="1:6">
      <c r="B42" s="47"/>
      <c r="C42" s="76"/>
    </row>
    <row r="43" spans="1:6" ht="24.5" customHeight="1">
      <c r="B43" s="348" t="s">
        <v>234</v>
      </c>
      <c r="C43" s="348"/>
      <c r="D43" s="348"/>
      <c r="E43" s="348"/>
      <c r="F43" s="348"/>
    </row>
    <row r="44" spans="1:6">
      <c r="B44" s="47" t="s">
        <v>235</v>
      </c>
      <c r="C44" s="76">
        <f>Normalized_FCF!C9</f>
        <v>1191305772</v>
      </c>
      <c r="D44" s="1" t="str">
        <f>Reporting_currency</f>
        <v>CNY</v>
      </c>
    </row>
    <row r="45" spans="1:6">
      <c r="B45" s="52" t="s">
        <v>236</v>
      </c>
      <c r="C45" s="76">
        <f>Normalized_FCF!C10</f>
        <v>-1191305772</v>
      </c>
      <c r="D45" s="1" t="str">
        <f>Reporting_currency</f>
        <v>CNY</v>
      </c>
    </row>
    <row r="47" spans="1:6">
      <c r="B47" s="348" t="s">
        <v>237</v>
      </c>
      <c r="C47" s="348"/>
      <c r="D47" s="348"/>
      <c r="E47" s="348"/>
      <c r="F47" s="348"/>
    </row>
    <row r="48" spans="1:6">
      <c r="B48" s="47" t="s">
        <v>238</v>
      </c>
      <c r="C48" s="76">
        <f>Normalized_FCF!C11</f>
        <v>0</v>
      </c>
      <c r="D48" s="1" t="str">
        <f>Reporting_currency</f>
        <v>CNY</v>
      </c>
    </row>
    <row r="50" spans="2:6">
      <c r="B50" s="348" t="s">
        <v>241</v>
      </c>
      <c r="C50" s="348"/>
      <c r="D50" s="348"/>
      <c r="E50" s="348"/>
      <c r="F50" s="348"/>
    </row>
    <row r="51" spans="2:6">
      <c r="B51" s="47" t="s">
        <v>341</v>
      </c>
      <c r="C51" s="312">
        <f>Normalized_FCF!C48</f>
        <v>177212925.25639853</v>
      </c>
      <c r="D51" s="1" t="str">
        <f>Reporting_currency</f>
        <v>CNY</v>
      </c>
      <c r="E51" s="311"/>
      <c r="F51" s="311"/>
    </row>
    <row r="52" spans="2:6">
      <c r="B52" s="47" t="s">
        <v>342</v>
      </c>
      <c r="C52" s="312">
        <f>Normalized_FCF!C47</f>
        <v>-21837054</v>
      </c>
      <c r="D52" s="1" t="str">
        <f>Reporting_currency</f>
        <v>CNY</v>
      </c>
      <c r="E52" s="311"/>
      <c r="F52" s="311"/>
    </row>
    <row r="53" spans="2:6">
      <c r="B53" s="47" t="s">
        <v>239</v>
      </c>
      <c r="C53" s="76">
        <f>Normalized_FCF!C12</f>
        <v>155375871.25639853</v>
      </c>
      <c r="D53" s="1" t="str">
        <f>Reporting_currency</f>
        <v>CNY</v>
      </c>
    </row>
    <row r="55" spans="2:6">
      <c r="B55" s="1" t="s">
        <v>247</v>
      </c>
    </row>
    <row r="56" spans="2:6">
      <c r="B56" s="47" t="s">
        <v>266</v>
      </c>
      <c r="C56" s="76">
        <f>Normalized_FCF!C15</f>
        <v>-146634564.47167698</v>
      </c>
      <c r="D56" s="1" t="str">
        <f>Reporting_currency</f>
        <v>CNY</v>
      </c>
    </row>
    <row r="58" spans="2:6">
      <c r="B58" s="348" t="s">
        <v>242</v>
      </c>
      <c r="C58" s="348"/>
      <c r="D58" s="348"/>
      <c r="E58" s="348"/>
      <c r="F58" s="348"/>
    </row>
    <row r="59" spans="2:6">
      <c r="B59" s="47" t="s">
        <v>240</v>
      </c>
      <c r="C59" s="76">
        <f>Normalized_FCF!C14</f>
        <v>-1008360985.3910383</v>
      </c>
      <c r="D59" s="1" t="str">
        <f>Reporting_currency</f>
        <v>CNY</v>
      </c>
    </row>
    <row r="61" spans="2:6">
      <c r="B61" s="348" t="s">
        <v>339</v>
      </c>
      <c r="C61" s="351"/>
      <c r="D61" s="351"/>
      <c r="E61" s="351"/>
      <c r="F61" s="351"/>
    </row>
    <row r="62" spans="2:6">
      <c r="B62" s="47" t="s">
        <v>243</v>
      </c>
      <c r="C62" s="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3154931589.2563982</v>
      </c>
      <c r="D67" s="1" t="str">
        <f>Reporting_currency</f>
        <v>CNY</v>
      </c>
    </row>
    <row r="68" spans="1:6">
      <c r="B68" s="47" t="s">
        <v>249</v>
      </c>
      <c r="C68" s="76">
        <f>Normalized_FCF!C19</f>
        <v>2878448391.701438</v>
      </c>
      <c r="D68" s="1" t="str">
        <f>Reporting_currency</f>
        <v>CNY</v>
      </c>
    </row>
    <row r="69" spans="1:6">
      <c r="B69" s="249" t="s">
        <v>391</v>
      </c>
      <c r="C69" s="92">
        <f>Normalized_FCF!C125</f>
        <v>4.1351859670697301E-2</v>
      </c>
      <c r="F69" s="344"/>
    </row>
    <row r="70" spans="1:6">
      <c r="B70" s="249" t="s">
        <v>309</v>
      </c>
      <c r="C70" s="92">
        <f>Normalized_FCF!C93</f>
        <v>3.670783724821599E-2</v>
      </c>
      <c r="E70" s="47" t="s">
        <v>450</v>
      </c>
      <c r="F70" s="345">
        <f>Normalized_FCF!C92</f>
        <v>0.96206076643535443</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30.490104530527478</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285396383</v>
      </c>
      <c r="D96" s="1" t="str">
        <f>Reporting_currency</f>
        <v>CNY</v>
      </c>
    </row>
    <row r="97" spans="2:6">
      <c r="B97" s="47" t="s">
        <v>282</v>
      </c>
      <c r="C97" s="245">
        <f>C96*scaling_factor*Exchange_Rate/Common_Shares</f>
        <v>0.22673062965254903</v>
      </c>
      <c r="D97" s="1" t="str">
        <f>Market_currency</f>
        <v>HKD</v>
      </c>
    </row>
    <row r="98" spans="2:6">
      <c r="B98" s="325" t="s">
        <v>405</v>
      </c>
      <c r="C98" s="326">
        <f>BS!G30/BS!G27</f>
        <v>0.72207550313588764</v>
      </c>
    </row>
    <row r="99" spans="2:6">
      <c r="B99" s="325" t="s">
        <v>406</v>
      </c>
      <c r="C99" s="326">
        <f>BS!G31/BS!G27</f>
        <v>9.5579625064196368E-3</v>
      </c>
    </row>
    <row r="100" spans="2:6">
      <c r="B100" s="325" t="s">
        <v>408</v>
      </c>
      <c r="C100" s="327">
        <f>BS!C50</f>
        <v>7.3592411949940734E-2</v>
      </c>
    </row>
    <row r="102" spans="2:6">
      <c r="B102" s="1" t="s">
        <v>255</v>
      </c>
    </row>
    <row r="103" spans="2:6">
      <c r="B103" s="47" t="s">
        <v>265</v>
      </c>
      <c r="C103" s="76">
        <f>BS!C66</f>
        <v>17978772896</v>
      </c>
      <c r="D103" s="1" t="str">
        <f>Reporting_currency</f>
        <v>CNY</v>
      </c>
    </row>
    <row r="104" spans="2:6">
      <c r="B104" s="47" t="s">
        <v>267</v>
      </c>
      <c r="C104" s="76">
        <f>DCF!C8</f>
        <v>12813047036.198811</v>
      </c>
      <c r="D104" s="1" t="str">
        <f>Reporting_currency</f>
        <v>CNY</v>
      </c>
    </row>
    <row r="105" spans="2:6">
      <c r="B105" s="47" t="s">
        <v>283</v>
      </c>
      <c r="C105" s="245">
        <f>C104*scaling_factor*Exchange_Rate/Common_Shares</f>
        <v>10.179211774681404</v>
      </c>
      <c r="D105" s="1" t="str">
        <f>Market_currency</f>
        <v>HKD</v>
      </c>
    </row>
    <row r="107" spans="2:6">
      <c r="B107" s="1" t="s">
        <v>257</v>
      </c>
    </row>
    <row r="108" spans="2:6">
      <c r="B108" s="47" t="s">
        <v>258</v>
      </c>
      <c r="C108" s="76">
        <f>DCF!C9</f>
        <v>2755411575.5</v>
      </c>
      <c r="D108" s="1" t="str">
        <f>Reporting_currency</f>
        <v>CNY</v>
      </c>
    </row>
    <row r="109" spans="2:6">
      <c r="B109" s="47" t="s">
        <v>284</v>
      </c>
      <c r="C109" s="245">
        <f>C108*scaling_factor*Exchange_Rate/Common_Shares</f>
        <v>2.1890123304927696</v>
      </c>
      <c r="D109" s="1" t="str">
        <f>Market_currency</f>
        <v>HKD</v>
      </c>
    </row>
    <row r="111" spans="2:6" ht="24.5" customHeight="1">
      <c r="B111" s="347" t="s">
        <v>367</v>
      </c>
      <c r="C111" s="347"/>
      <c r="D111" s="347"/>
      <c r="E111" s="347"/>
      <c r="F111" s="347"/>
    </row>
    <row r="113" spans="1:6">
      <c r="B113" s="47" t="s">
        <v>451</v>
      </c>
      <c r="C113" s="245">
        <f>IF(valuation_method="DCF",DCF!C12,DDM!C7)</f>
        <v>42.631598006049096</v>
      </c>
      <c r="D113" s="1" t="str">
        <f>Market_currency</f>
        <v>HKD</v>
      </c>
    </row>
    <row r="114" spans="1:6">
      <c r="B114" s="325" t="s">
        <v>407</v>
      </c>
      <c r="C114" s="245">
        <f>BS!D47</f>
        <v>1.3470236398674043</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0.1</v>
      </c>
      <c r="D121" s="252">
        <f>DCF!D74</f>
        <v>30</v>
      </c>
      <c r="E121" s="253" t="str">
        <f>ROUND(IF(valuation_method="DCF",DCF!E74,DDM!E69),2)&amp;" "&amp;Market_currency</f>
        <v>115.89 HKD</v>
      </c>
      <c r="F121" s="254">
        <f>DCF!F74</f>
        <v>0.05</v>
      </c>
    </row>
    <row r="122" spans="1:6">
      <c r="B122" s="240" t="str">
        <f>DCF!B75</f>
        <v>Optimistic</v>
      </c>
      <c r="C122" s="241">
        <f>DCF!C75</f>
        <v>0.08</v>
      </c>
      <c r="D122" s="242">
        <f>DCF!D75</f>
        <v>30</v>
      </c>
      <c r="E122" s="253" t="str">
        <f>ROUND(IF(valuation_method="DCF",DCF!E75,DDM!E70),2)&amp;" "&amp;Market_currency</f>
        <v>89.68 HKD</v>
      </c>
      <c r="F122" s="243">
        <f>DCF!F75</f>
        <v>0.18</v>
      </c>
    </row>
    <row r="123" spans="1:6">
      <c r="B123" s="240" t="str">
        <f>DCF!B76</f>
        <v>Base</v>
      </c>
      <c r="C123" s="241">
        <f>DCF!C76</f>
        <v>0.06</v>
      </c>
      <c r="D123" s="242">
        <f>DCF!D76</f>
        <v>30</v>
      </c>
      <c r="E123" s="253" t="str">
        <f>ROUND(IF(valuation_method="DCF",DCF!E76,DDM!E71),2)&amp;" "&amp;Market_currency</f>
        <v>71.42 HKD</v>
      </c>
      <c r="F123" s="243">
        <f>DCF!F76</f>
        <v>0.44999999999999996</v>
      </c>
    </row>
    <row r="124" spans="1:6">
      <c r="B124" s="240" t="str">
        <f>DCF!B77</f>
        <v>Pessimistic</v>
      </c>
      <c r="C124" s="241">
        <f>DCF!C77</f>
        <v>0.04</v>
      </c>
      <c r="D124" s="242">
        <f>DCF!D77</f>
        <v>30</v>
      </c>
      <c r="E124" s="253" t="str">
        <f>ROUND(IF(valuation_method="DCF",DCF!E77,DDM!E72),2)&amp;" "&amp;Market_currency</f>
        <v>58.54 HKD</v>
      </c>
      <c r="F124" s="243">
        <f>DCF!F77</f>
        <v>0.26999999999999996</v>
      </c>
    </row>
    <row r="125" spans="1:6">
      <c r="B125" s="240" t="str">
        <f>DCF!B78</f>
        <v>Devil's advocate</v>
      </c>
      <c r="C125" s="241">
        <f>DCF!C78</f>
        <v>0.02</v>
      </c>
      <c r="D125" s="242">
        <f>DCF!D78</f>
        <v>30</v>
      </c>
      <c r="E125" s="253" t="str">
        <f>ROUND(IF(valuation_method="DCF",DCF!E78,DDM!E73),2)&amp;" "&amp;Market_currency</f>
        <v>49.33 HKD</v>
      </c>
      <c r="F125" s="243">
        <f>DCF!F78</f>
        <v>0.05</v>
      </c>
    </row>
    <row r="127" spans="1:6">
      <c r="B127" s="233" t="s">
        <v>259</v>
      </c>
      <c r="C127" s="239">
        <f>Scenarios!C60</f>
        <v>72.34769775154939</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2.0299433998263443</v>
      </c>
      <c r="D138" s="234" t="str">
        <f>Market_currency</f>
        <v>HKD</v>
      </c>
    </row>
    <row r="140" spans="1:6">
      <c r="B140" s="232" t="s">
        <v>410</v>
      </c>
      <c r="C140" s="263" t="str">
        <f>C11</f>
        <v>0168.HK</v>
      </c>
      <c r="D140" s="263" t="str">
        <f>IF(D11="","",D11)</f>
        <v/>
      </c>
    </row>
    <row r="141" spans="1:6">
      <c r="B141" s="1" t="s">
        <v>409</v>
      </c>
      <c r="C141" s="326">
        <f>F29</f>
        <v>0.3674</v>
      </c>
    </row>
    <row r="142" spans="1:6">
      <c r="B142" s="234" t="str">
        <f>"PV("&amp;C136&amp;" yrs of Dividends)"</f>
        <v>PV(3 yrs of Dividends)</v>
      </c>
      <c r="C142" s="238">
        <f>Scenarios!C81</f>
        <v>3.3641426171453945</v>
      </c>
    </row>
    <row r="143" spans="1:6">
      <c r="B143" s="234" t="str">
        <f>"+ PV(Equity Value realized at year "&amp;C136&amp;")"</f>
        <v>+ PV(Equity Value realized at year 3)</v>
      </c>
      <c r="C143" s="238">
        <f>Scenarios!C82</f>
        <v>28.296843238677603</v>
      </c>
    </row>
    <row r="144" spans="1:6">
      <c r="B144" s="80" t="s">
        <v>261</v>
      </c>
      <c r="C144" s="237">
        <f>Scenarios!C83</f>
        <v>31.660985855822997</v>
      </c>
      <c r="D144" s="330" t="str">
        <f>IF($D$11="","",C144*$E$25)</f>
        <v/>
      </c>
    </row>
    <row r="145" spans="2:4">
      <c r="B145" s="281" t="s">
        <v>418</v>
      </c>
      <c r="C145" s="328" t="str">
        <f>Market_currency</f>
        <v>HKD</v>
      </c>
      <c r="D145" s="328" t="str">
        <f>IF($D$11="","",D$13)</f>
        <v/>
      </c>
    </row>
    <row r="146" spans="2:4">
      <c r="B146" s="236" t="s">
        <v>263</v>
      </c>
      <c r="C146" s="92">
        <f>Scenarios!F83</f>
        <v>0.56237742402597812</v>
      </c>
    </row>
    <row r="148" spans="2:4">
      <c r="B148" s="232" t="s">
        <v>413</v>
      </c>
    </row>
    <row r="149" spans="2:4">
      <c r="B149" s="1" t="s">
        <v>412</v>
      </c>
      <c r="C149" s="326">
        <f>Scenarios!C90</f>
        <v>0.21740000000000001</v>
      </c>
    </row>
    <row r="150" spans="2:4">
      <c r="B150" s="234" t="str">
        <f>"PV("&amp;C136&amp;" yrs of Dividends)"</f>
        <v>PV(3 yrs of Dividends)</v>
      </c>
      <c r="C150" s="238">
        <f>Scenarios!C91</f>
        <v>4.1621976194031269</v>
      </c>
    </row>
    <row r="151" spans="2:4">
      <c r="B151" s="234" t="str">
        <f>"+ PV(Equity Value realized at year "&amp;C136&amp;")"</f>
        <v>+ PV(Equity Value realized at year 3)</v>
      </c>
      <c r="C151" s="238">
        <f>Scenarios!C92</f>
        <v>40.098194980751281</v>
      </c>
    </row>
    <row r="152" spans="2:4">
      <c r="B152" s="80" t="s">
        <v>261</v>
      </c>
      <c r="C152" s="237">
        <f>Scenarios!C93</f>
        <v>44.260392600154404</v>
      </c>
      <c r="D152" s="330" t="str">
        <f>IF($D$11="","",C152*$E$25)</f>
        <v/>
      </c>
    </row>
    <row r="153" spans="2:4">
      <c r="B153" s="281" t="s">
        <v>418</v>
      </c>
      <c r="C153" s="328" t="str">
        <f>Market_currency</f>
        <v>HKD</v>
      </c>
      <c r="D153" s="328" t="str">
        <f>IF($D$11="","",D$13)</f>
        <v/>
      </c>
    </row>
    <row r="154" spans="2:4">
      <c r="B154" s="236" t="s">
        <v>263</v>
      </c>
      <c r="C154" s="92">
        <f>Scenarios!F93</f>
        <v>0.38822666130787098</v>
      </c>
    </row>
    <row r="156" spans="2:4">
      <c r="B156" s="232" t="s">
        <v>401</v>
      </c>
    </row>
    <row r="157" spans="2:4">
      <c r="B157" s="1" t="s">
        <v>411</v>
      </c>
      <c r="C157" s="92">
        <f>Scenarios!C96</f>
        <v>7.4999999999999997E-2</v>
      </c>
    </row>
    <row r="158" spans="2:4">
      <c r="B158" s="234" t="str">
        <f>"PV("&amp;C136&amp;" yrs of Dividends)"</f>
        <v>PV(3 yrs of Dividends)</v>
      </c>
      <c r="C158" s="238">
        <f>Scenarios!C97</f>
        <v>5.2789200617316059</v>
      </c>
    </row>
    <row r="159" spans="2:4">
      <c r="B159" s="234" t="str">
        <f>"+ PV(Equity Value realized at year "&amp;C136&amp;")"</f>
        <v>+ PV(Equity Value realized at year 3)</v>
      </c>
      <c r="C159" s="238">
        <f>Scenarios!C98</f>
        <v>58.237043984795825</v>
      </c>
    </row>
    <row r="160" spans="2:4">
      <c r="B160" s="80" t="s">
        <v>402</v>
      </c>
      <c r="C160" s="237">
        <f>Scenarios!C99</f>
        <v>63.515964046527429</v>
      </c>
      <c r="D160" s="330" t="str">
        <f>IF($D$11="","",C160*$E$25)</f>
        <v/>
      </c>
    </row>
    <row r="161" spans="1:6">
      <c r="B161" s="281" t="s">
        <v>418</v>
      </c>
      <c r="C161" s="328" t="str">
        <f>Market_currency</f>
        <v>HKD</v>
      </c>
      <c r="D161" s="328" t="str">
        <f>IF($D$11="","",D$13)</f>
        <v/>
      </c>
    </row>
    <row r="162" spans="1:6">
      <c r="B162" s="236" t="s">
        <v>263</v>
      </c>
      <c r="C162" s="92">
        <f>Scenarios!F99</f>
        <v>0.12207345885906673</v>
      </c>
    </row>
    <row r="164" spans="1:6">
      <c r="B164" s="232" t="s">
        <v>434</v>
      </c>
    </row>
    <row r="165" spans="1:6">
      <c r="B165" s="1" t="s">
        <v>425</v>
      </c>
      <c r="C165" s="92">
        <f>F32</f>
        <v>0.1174</v>
      </c>
    </row>
    <row r="166" spans="1:6">
      <c r="B166" s="234" t="str">
        <f>"PV("&amp;C136&amp;" yrs of Dividends)"</f>
        <v>PV(3 yrs of Dividends)</v>
      </c>
      <c r="C166" s="238">
        <f>Scenarios!C103</f>
        <v>4.8974477918995669</v>
      </c>
    </row>
    <row r="167" spans="1:6">
      <c r="B167" s="234" t="str">
        <f>"+ PV(Equity Value realized at year "&amp;C136&amp;")"</f>
        <v>+ PV(Equity Value realized at year 3)</v>
      </c>
      <c r="C167" s="238">
        <f>Scenarios!C104</f>
        <v>51.855964274116694</v>
      </c>
    </row>
    <row r="168" spans="1:6">
      <c r="B168" s="80" t="s">
        <v>402</v>
      </c>
      <c r="C168" s="237">
        <f>Scenarios!C105</f>
        <v>56.75341206601626</v>
      </c>
      <c r="D168" s="330" t="str">
        <f>IF($D$11="","",C168*$E$25)</f>
        <v/>
      </c>
    </row>
    <row r="169" spans="1:6">
      <c r="B169" s="281" t="s">
        <v>418</v>
      </c>
      <c r="C169" s="328" t="str">
        <f>Market_currency</f>
        <v>HKD</v>
      </c>
      <c r="D169" s="328" t="str">
        <f>IF($D$11="","",D$13)</f>
        <v/>
      </c>
    </row>
    <row r="170" spans="1:6">
      <c r="B170" s="236" t="s">
        <v>263</v>
      </c>
      <c r="C170" s="92">
        <f>Scenarios!F105</f>
        <v>0.21518924597680567</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8">
        <v>4602519864</v>
      </c>
      <c r="D7" s="188">
        <v>4708402798</v>
      </c>
      <c r="E7" s="188">
        <v>4199502747</v>
      </c>
      <c r="F7" s="188">
        <v>4096874125</v>
      </c>
      <c r="G7" s="188">
        <v>4984549837</v>
      </c>
      <c r="H7" s="188"/>
      <c r="I7" s="188"/>
      <c r="J7" s="188"/>
      <c r="K7" s="188"/>
      <c r="L7" s="188"/>
      <c r="M7" s="188"/>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372</v>
      </c>
      <c r="C22" s="181">
        <v>5154661132</v>
      </c>
      <c r="D22" s="181">
        <v>2777567140</v>
      </c>
      <c r="E22" s="181">
        <v>4878771322</v>
      </c>
      <c r="F22" s="181">
        <v>6043111455</v>
      </c>
      <c r="G22" s="181">
        <v>4953422362</v>
      </c>
      <c r="H22" s="181"/>
      <c r="I22" s="181"/>
      <c r="J22" s="181"/>
      <c r="K22" s="181"/>
      <c r="L22" s="181"/>
      <c r="M22" s="181"/>
    </row>
    <row r="23" spans="2:13">
      <c r="B23" s="27" t="s">
        <v>374</v>
      </c>
      <c r="C23" s="181">
        <v>-7421783375</v>
      </c>
      <c r="D23" s="181">
        <v>-3462971412</v>
      </c>
      <c r="E23" s="181">
        <v>-2199108158</v>
      </c>
      <c r="F23" s="181">
        <v>-10249763562</v>
      </c>
      <c r="G23" s="181">
        <v>-1487738165</v>
      </c>
      <c r="H23" s="181"/>
      <c r="I23" s="181"/>
      <c r="J23" s="181"/>
      <c r="K23" s="181"/>
      <c r="L23" s="181"/>
      <c r="M23" s="181"/>
    </row>
    <row r="24" spans="2:13">
      <c r="B24" s="27" t="s">
        <v>373</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2.0299433998263443</v>
      </c>
      <c r="D25" s="39">
        <f>2/Exchange_Rate</f>
        <v>1.845403090751222</v>
      </c>
      <c r="E25" s="39">
        <f>1.3/Exchange_Rate</f>
        <v>1.1995120089882942</v>
      </c>
      <c r="F25" s="39">
        <f>1.1/Exchange_Rate</f>
        <v>1.0149716999131722</v>
      </c>
      <c r="G25" s="39">
        <f>0.75/Exchange_Rate</f>
        <v>0.69202615903170828</v>
      </c>
      <c r="H25" s="39"/>
      <c r="I25" s="39"/>
      <c r="J25" s="39"/>
      <c r="K25" s="39"/>
      <c r="L25" s="39"/>
      <c r="M25" s="39"/>
    </row>
    <row r="27" spans="2:13">
      <c r="B27" s="16" t="s">
        <v>28</v>
      </c>
      <c r="C27" s="97" t="s">
        <v>458</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594934146</v>
      </c>
      <c r="D45" s="76">
        <f t="shared" si="19"/>
        <v>489945413</v>
      </c>
      <c r="E45" s="76">
        <f t="shared" si="19"/>
        <v>450423856</v>
      </c>
      <c r="F45" s="76">
        <f t="shared" si="19"/>
        <v>292962940</v>
      </c>
      <c r="G45" s="76">
        <f t="shared" si="19"/>
        <v>510366658</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48272283</v>
      </c>
      <c r="D55" s="76">
        <f t="shared" si="25"/>
        <v>15798284</v>
      </c>
      <c r="E55" s="76">
        <f t="shared" si="25"/>
        <v>19873379</v>
      </c>
      <c r="F55" s="76">
        <f t="shared" si="25"/>
        <v>20561728</v>
      </c>
      <c r="G55" s="76">
        <f t="shared" si="25"/>
        <v>18098320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750493994</v>
      </c>
      <c r="D58" s="76">
        <f t="shared" ref="D58:M58" si="28">IF(D$4="","",D44-D55-D56-D57)</f>
        <v>835794097</v>
      </c>
      <c r="E58" s="76">
        <f t="shared" si="28"/>
        <v>808764222</v>
      </c>
      <c r="F58" s="76">
        <f t="shared" si="28"/>
        <v>1228921525</v>
      </c>
      <c r="G58" s="76">
        <f t="shared" si="28"/>
        <v>395122794</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2.0299433998263443</v>
      </c>
      <c r="D65" s="73">
        <f t="shared" ref="D65:M65" si="33">IF(D$4="","",D25)</f>
        <v>1.845403090751222</v>
      </c>
      <c r="E65" s="73">
        <f t="shared" si="33"/>
        <v>1.1995120089882942</v>
      </c>
      <c r="F65" s="73">
        <f t="shared" si="33"/>
        <v>1.0149716999131722</v>
      </c>
      <c r="G65" s="73">
        <f t="shared" si="33"/>
        <v>0.69202615903170828</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51420385832</v>
      </c>
      <c r="D76" s="76">
        <f t="shared" ref="D76:M76" si="39">IF(D$4="","",D79+D80)</f>
        <v>49256011349</v>
      </c>
      <c r="E76" s="76">
        <f t="shared" si="39"/>
        <v>50311699796</v>
      </c>
      <c r="F76" s="76">
        <f t="shared" si="39"/>
        <v>46563004491</v>
      </c>
      <c r="G76" s="76">
        <f t="shared" si="39"/>
        <v>41514185835</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24"/>
      <c r="J77" s="324"/>
      <c r="K77" s="324"/>
      <c r="L77" s="324"/>
      <c r="M77" s="324"/>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24"/>
      <c r="J78" s="324"/>
      <c r="K78" s="324"/>
      <c r="L78" s="324"/>
      <c r="M78" s="324"/>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102420347+83284378</f>
        <v>185704725</v>
      </c>
      <c r="D4" s="285">
        <v>0.6</v>
      </c>
      <c r="E4" s="25"/>
      <c r="F4" s="4" t="s">
        <v>78</v>
      </c>
      <c r="G4" s="19">
        <v>17978772896</v>
      </c>
      <c r="H4" s="285">
        <v>0.9</v>
      </c>
    </row>
    <row r="5" spans="2:8" ht="15" customHeight="1">
      <c r="B5" s="1" t="s">
        <v>33</v>
      </c>
      <c r="C5" s="19">
        <v>0</v>
      </c>
      <c r="D5" s="285">
        <v>0.6</v>
      </c>
      <c r="E5" s="25"/>
      <c r="F5" s="1" t="s">
        <v>29</v>
      </c>
      <c r="G5" s="19">
        <v>0</v>
      </c>
      <c r="H5" s="285">
        <v>0.7</v>
      </c>
    </row>
    <row r="6" spans="2:8" ht="15" customHeight="1">
      <c r="B6" s="4" t="s">
        <v>10</v>
      </c>
      <c r="C6" s="19">
        <v>3576387537</v>
      </c>
      <c r="D6" s="285">
        <v>0.5</v>
      </c>
      <c r="E6" s="25"/>
      <c r="F6" s="4" t="s">
        <v>178</v>
      </c>
      <c r="G6" s="19">
        <v>0</v>
      </c>
      <c r="H6" s="285">
        <v>0.6</v>
      </c>
    </row>
    <row r="7" spans="2:8" ht="15" customHeight="1">
      <c r="B7" s="1" t="s">
        <v>69</v>
      </c>
      <c r="C7" s="19">
        <v>0</v>
      </c>
      <c r="D7" s="285">
        <v>0.6</v>
      </c>
      <c r="E7" s="25"/>
      <c r="F7" s="4" t="s">
        <v>179</v>
      </c>
      <c r="G7" s="19">
        <v>2021804089</v>
      </c>
      <c r="H7" s="285">
        <v>0.6</v>
      </c>
    </row>
    <row r="8" spans="2:8" ht="15" customHeight="1">
      <c r="B8" s="1" t="s">
        <v>174</v>
      </c>
      <c r="C8" s="19">
        <v>0</v>
      </c>
      <c r="D8" s="285">
        <v>0.6</v>
      </c>
      <c r="E8" s="25"/>
      <c r="F8" s="1" t="s">
        <v>180</v>
      </c>
      <c r="G8" s="19">
        <v>0</v>
      </c>
      <c r="H8" s="285">
        <v>0.6</v>
      </c>
    </row>
    <row r="9" spans="2:8" ht="15" customHeight="1">
      <c r="B9" s="4" t="s">
        <v>25</v>
      </c>
      <c r="C9" s="19">
        <v>241896760</v>
      </c>
      <c r="D9" s="285">
        <v>0.1</v>
      </c>
      <c r="E9" s="25"/>
      <c r="F9" s="4" t="s">
        <v>181</v>
      </c>
      <c r="G9" s="19">
        <v>0</v>
      </c>
      <c r="H9" s="285">
        <v>0.6</v>
      </c>
    </row>
    <row r="10" spans="2:8" ht="15" customHeight="1">
      <c r="B10" s="4" t="s">
        <v>11</v>
      </c>
      <c r="C10" s="19">
        <v>0</v>
      </c>
      <c r="D10" s="285">
        <v>0.9</v>
      </c>
      <c r="H10" s="286"/>
    </row>
    <row r="11" spans="2:8" ht="15" customHeight="1">
      <c r="B11" s="4" t="s">
        <v>12</v>
      </c>
      <c r="C11" s="19">
        <f>51713930+1132635624</f>
        <v>1184349554</v>
      </c>
      <c r="D11" s="285">
        <v>0.05</v>
      </c>
      <c r="H11" s="286"/>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2498379750</v>
      </c>
      <c r="H17" s="285">
        <v>0.6</v>
      </c>
    </row>
    <row r="18" spans="2:8" ht="15" customHeight="1">
      <c r="B18" s="4" t="s">
        <v>174</v>
      </c>
      <c r="C18" s="19">
        <v>0</v>
      </c>
      <c r="D18" s="285">
        <v>0.6</v>
      </c>
      <c r="F18" s="4" t="s">
        <v>182</v>
      </c>
      <c r="G18" s="19">
        <v>0</v>
      </c>
      <c r="H18" s="285">
        <v>0.1</v>
      </c>
    </row>
    <row r="19" spans="2:8" ht="15" customHeight="1">
      <c r="B19" s="4" t="s">
        <v>26</v>
      </c>
      <c r="C19" s="19">
        <f>11817650634+630874619+115672625+85702449</f>
        <v>12649900327</v>
      </c>
      <c r="D19" s="285">
        <v>0.1</v>
      </c>
      <c r="F19" s="4" t="s">
        <v>183</v>
      </c>
      <c r="G19" s="19">
        <v>391873803</v>
      </c>
      <c r="H19" s="285">
        <v>0.1</v>
      </c>
    </row>
    <row r="20" spans="2:8" ht="15" customHeight="1">
      <c r="B20" s="4" t="s">
        <v>18</v>
      </c>
      <c r="C20" s="19">
        <v>0</v>
      </c>
      <c r="D20" s="285">
        <v>0.05</v>
      </c>
      <c r="F20" s="4" t="s">
        <v>180</v>
      </c>
      <c r="G20" s="19">
        <v>0</v>
      </c>
      <c r="H20" s="285">
        <v>0.2</v>
      </c>
    </row>
    <row r="21" spans="2:8" ht="15" customHeight="1">
      <c r="B21" s="4" t="s">
        <v>19</v>
      </c>
      <c r="C21" s="19">
        <v>2684120584</v>
      </c>
      <c r="D21" s="285">
        <v>0.05</v>
      </c>
      <c r="F21" s="1" t="s">
        <v>181</v>
      </c>
      <c r="G21" s="19">
        <v>41138918</v>
      </c>
      <c r="H21" s="285">
        <v>0.1</v>
      </c>
    </row>
    <row r="22" spans="2:8" ht="15" customHeight="1">
      <c r="B22" s="4" t="s">
        <v>20</v>
      </c>
      <c r="C22" s="19">
        <v>1930039528</v>
      </c>
      <c r="D22" s="285">
        <v>0.9</v>
      </c>
      <c r="H22" s="286"/>
    </row>
    <row r="23" spans="2:8" ht="15" customHeight="1">
      <c r="B23" s="4" t="s">
        <v>21</v>
      </c>
      <c r="C23" s="19">
        <f>1307103982+4728913379</f>
        <v>6036017361</v>
      </c>
      <c r="D23" s="285">
        <v>0</v>
      </c>
      <c r="H23" s="286"/>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1" t="s">
        <v>137</v>
      </c>
      <c r="F26" s="203" t="s">
        <v>197</v>
      </c>
      <c r="G26" s="204" t="s">
        <v>137</v>
      </c>
      <c r="H26" s="205" t="s">
        <v>35</v>
      </c>
    </row>
    <row r="27" spans="2:8" ht="15" customHeight="1">
      <c r="B27" s="4" t="s">
        <v>5</v>
      </c>
      <c r="C27" s="19">
        <v>0</v>
      </c>
      <c r="F27" s="206" t="s">
        <v>30</v>
      </c>
      <c r="G27" s="85">
        <f>G32-G30</f>
        <v>29859542011</v>
      </c>
      <c r="H27" s="207">
        <f>H32-G30</f>
        <v>2494718755.1999969</v>
      </c>
    </row>
    <row r="28" spans="2:8" ht="15" customHeight="1">
      <c r="B28" s="4" t="s">
        <v>6</v>
      </c>
      <c r="C28" s="19">
        <v>0</v>
      </c>
      <c r="F28" s="208" t="s">
        <v>245</v>
      </c>
      <c r="G28" s="12">
        <v>799157484</v>
      </c>
      <c r="H28" s="207"/>
    </row>
    <row r="29" spans="2:8" ht="15" customHeight="1">
      <c r="B29" s="4" t="s">
        <v>7</v>
      </c>
      <c r="C29" s="19">
        <v>0</v>
      </c>
      <c r="F29" s="209" t="s">
        <v>76</v>
      </c>
      <c r="G29" s="14">
        <f>G27-G28</f>
        <v>29060384527</v>
      </c>
      <c r="H29" s="207">
        <f>H27-G28</f>
        <v>1695561271.1999969</v>
      </c>
    </row>
    <row r="30" spans="2:8" ht="15" customHeight="1">
      <c r="B30" s="2" t="s">
        <v>8</v>
      </c>
      <c r="C30" s="19">
        <v>217159673</v>
      </c>
      <c r="F30" s="206" t="s">
        <v>23</v>
      </c>
      <c r="G30" s="85">
        <f>C33+C42</f>
        <v>21560843821</v>
      </c>
      <c r="H30" s="207"/>
    </row>
    <row r="31" spans="2:8" ht="15" customHeight="1">
      <c r="B31" s="80" t="s">
        <v>204</v>
      </c>
      <c r="C31" s="81">
        <f>SUM(C27:C30)</f>
        <v>217159673</v>
      </c>
      <c r="F31" s="209" t="s">
        <v>77</v>
      </c>
      <c r="G31" s="210">
        <f>C31+C40</f>
        <v>285396383</v>
      </c>
      <c r="H31" s="207"/>
    </row>
    <row r="32" spans="2:8" ht="15" customHeight="1">
      <c r="B32" s="4" t="s">
        <v>9</v>
      </c>
      <c r="C32" s="21">
        <f>C33-C31</f>
        <v>17305171626</v>
      </c>
      <c r="F32" s="211" t="s">
        <v>75</v>
      </c>
      <c r="G32" s="212">
        <f>G35+G40</f>
        <v>51420385832</v>
      </c>
      <c r="H32" s="207">
        <f>H35+H40</f>
        <v>24055562576.199997</v>
      </c>
    </row>
    <row r="33" spans="2:8" ht="15" customHeight="1">
      <c r="B33" s="83" t="s">
        <v>4</v>
      </c>
      <c r="C33" s="84">
        <v>17522331299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28488416376</v>
      </c>
      <c r="H35" s="219">
        <f>D12+D24</f>
        <v>5119255394.3000002</v>
      </c>
    </row>
    <row r="36" spans="2:8" ht="15" customHeight="1">
      <c r="B36" s="4" t="s">
        <v>13</v>
      </c>
      <c r="C36" s="19">
        <v>0</v>
      </c>
      <c r="F36" s="209" t="s">
        <v>198</v>
      </c>
      <c r="G36" s="210">
        <f>C4+C15</f>
        <v>185704725</v>
      </c>
      <c r="H36" s="214"/>
    </row>
    <row r="37" spans="2:8" ht="15" customHeight="1">
      <c r="B37" s="4" t="s">
        <v>14</v>
      </c>
      <c r="C37" s="19">
        <v>68236710</v>
      </c>
      <c r="F37" s="209" t="s">
        <v>199</v>
      </c>
      <c r="G37" s="210">
        <f>C6</f>
        <v>3576387537</v>
      </c>
      <c r="H37" s="214"/>
    </row>
    <row r="38" spans="2:8" ht="15" customHeight="1">
      <c r="B38" s="4" t="s">
        <v>15</v>
      </c>
      <c r="C38" s="19">
        <v>0</v>
      </c>
      <c r="F38" s="209" t="s">
        <v>200</v>
      </c>
      <c r="G38" s="210">
        <f>C7+C17</f>
        <v>0</v>
      </c>
      <c r="H38" s="214"/>
    </row>
    <row r="39" spans="2:8" ht="15" customHeight="1">
      <c r="B39" s="2" t="s">
        <v>16</v>
      </c>
      <c r="C39" s="19">
        <v>0</v>
      </c>
      <c r="F39" s="209" t="s">
        <v>80</v>
      </c>
      <c r="G39" s="210">
        <f>C7+C17+C19+C20</f>
        <v>12649900327</v>
      </c>
      <c r="H39" s="207">
        <f>C7*D7+C17*D17+C19*D19+C20*D20</f>
        <v>1264990032.7</v>
      </c>
    </row>
    <row r="40" spans="2:8" ht="15" customHeight="1">
      <c r="B40" s="80" t="s">
        <v>205</v>
      </c>
      <c r="C40" s="81">
        <f>SUM(C36:C39)</f>
        <v>68236710</v>
      </c>
      <c r="F40" s="218" t="s">
        <v>139</v>
      </c>
      <c r="G40" s="212">
        <f>G12+G24</f>
        <v>22931969456</v>
      </c>
      <c r="H40" s="219">
        <f>H12+H24</f>
        <v>18936307181.899998</v>
      </c>
    </row>
    <row r="41" spans="2:8" ht="15" customHeight="1">
      <c r="B41" s="4" t="s">
        <v>17</v>
      </c>
      <c r="C41" s="21">
        <f>C42-C40</f>
        <v>3970275812</v>
      </c>
      <c r="F41" s="209" t="s">
        <v>192</v>
      </c>
      <c r="G41" s="210">
        <f>C70</f>
        <v>17978772896</v>
      </c>
      <c r="H41" s="219">
        <f>H40-H42</f>
        <v>16180895606.399998</v>
      </c>
    </row>
    <row r="42" spans="2:8" ht="15" customHeight="1">
      <c r="B42" s="83" t="s">
        <v>22</v>
      </c>
      <c r="C42" s="84">
        <v>4038512522</v>
      </c>
      <c r="F42" s="220" t="s">
        <v>193</v>
      </c>
      <c r="G42" s="221">
        <f>C82</f>
        <v>4953196560</v>
      </c>
      <c r="H42" s="222">
        <f>D82</f>
        <v>2755411575.5</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29060384527</v>
      </c>
      <c r="D46" s="76">
        <f>H29</f>
        <v>1695561271.1999969</v>
      </c>
      <c r="F46" s="275"/>
    </row>
    <row r="47" spans="2:8" ht="15" customHeight="1">
      <c r="B47" s="1" t="str">
        <f>"Equity per share ("&amp;Market_currency&amp;")"</f>
        <v>Equity per share (HKD)</v>
      </c>
      <c r="C47" s="148">
        <f>C46*H1/Common_Shares*Exchange_Rate</f>
        <v>23.086765194749869</v>
      </c>
      <c r="D47" s="148">
        <f>D46*H1/Common_Shares*Exchange_Rate</f>
        <v>1.3470236398674043</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7.3592411949940734E-2</v>
      </c>
      <c r="D50" s="95">
        <f>G31/Normalized_FCF!G8</f>
        <v>6.3593933566061064E-2</v>
      </c>
      <c r="F50" s="275"/>
    </row>
    <row r="51" spans="2:8" ht="15" customHeight="1">
      <c r="B51" s="1" t="s">
        <v>177</v>
      </c>
      <c r="C51" s="200"/>
      <c r="D51" s="92">
        <f>G29/G32</f>
        <v>0.56515298469260233</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0.1361278920921285</v>
      </c>
      <c r="D54" s="92">
        <f>Normalized_FCF!G8/G35</f>
        <v>0.15753043334415495</v>
      </c>
      <c r="F54" s="275"/>
    </row>
    <row r="55" spans="2:8" ht="15" customHeight="1">
      <c r="B55" s="1" t="s">
        <v>142</v>
      </c>
      <c r="C55" s="92">
        <f>Normalized_FCF!C11/G40</f>
        <v>0</v>
      </c>
      <c r="D55" s="92">
        <f>Normalized_FCF!G11/G40</f>
        <v>2.1050212495974641E-3</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9.4175111360938715E-2</v>
      </c>
      <c r="F58" s="5"/>
    </row>
    <row r="59" spans="2:8" ht="15" customHeight="1">
      <c r="B59" s="1" t="s">
        <v>93</v>
      </c>
      <c r="C59" s="98"/>
      <c r="D59" s="92">
        <f>G39/G32</f>
        <v>0.24600944007556819</v>
      </c>
      <c r="F59" s="275"/>
    </row>
    <row r="60" spans="2:8" ht="15" customHeight="1">
      <c r="F60" s="275"/>
    </row>
    <row r="61" spans="2:8" ht="15" customHeight="1">
      <c r="B61" s="158" t="s">
        <v>275</v>
      </c>
      <c r="C61" s="257" t="s">
        <v>138</v>
      </c>
      <c r="D61" s="216" t="s">
        <v>96</v>
      </c>
      <c r="F61" s="275"/>
    </row>
    <row r="62" spans="2:8" ht="15" customHeight="1">
      <c r="B62" s="1" t="s">
        <v>246</v>
      </c>
      <c r="C62" s="92">
        <f>IF(G28&lt;=0,0,G28/G29)</f>
        <v>2.749989365273205E-2</v>
      </c>
      <c r="D62" s="92">
        <f>G28/G29</f>
        <v>2.749989365273205E-2</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17978772896</v>
      </c>
      <c r="D66" s="76">
        <f>C66-D75</f>
        <v>12813047036.198811</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17978772896</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-2534939983.3220749</v>
      </c>
      <c r="D73" s="76">
        <f>(Normalized_FCF!C25+Normalized_FCF!C35-Normalized_FCF!C91)/12</f>
        <v>-2582862929.9005952</v>
      </c>
      <c r="F73" s="1" t="s">
        <v>352</v>
      </c>
    </row>
    <row r="74" spans="2:6" ht="15" customHeight="1">
      <c r="B74" s="279" t="s">
        <v>322</v>
      </c>
      <c r="C74" s="280">
        <f>-$C$66/C73</f>
        <v>7.0923860187169252</v>
      </c>
      <c r="D74" s="280">
        <f>-$C$66/D73</f>
        <v>6.9607924942001995</v>
      </c>
      <c r="F74" s="275" t="s">
        <v>320</v>
      </c>
    </row>
    <row r="75" spans="2:6" ht="15" customHeight="1">
      <c r="B75" s="80" t="s">
        <v>321</v>
      </c>
      <c r="C75" s="284"/>
      <c r="D75" s="283">
        <f>MAX(-D73*D76,G5)</f>
        <v>5165725859.8011904</v>
      </c>
      <c r="F75" s="275" t="s">
        <v>353</v>
      </c>
    </row>
    <row r="76" spans="2:6" ht="15" customHeight="1">
      <c r="B76" s="281" t="s">
        <v>323</v>
      </c>
      <c r="C76" s="282"/>
      <c r="D76" s="317">
        <f>IF(D74&lt;=3,1,IF(D74&gt;18,6,2))</f>
        <v>2</v>
      </c>
      <c r="F76" s="275" t="s">
        <v>324</v>
      </c>
    </row>
    <row r="77" spans="2:6" ht="15" customHeight="1">
      <c r="F77" s="275"/>
    </row>
    <row r="78" spans="2:6" ht="15" customHeight="1">
      <c r="B78" s="16" t="s">
        <v>190</v>
      </c>
      <c r="C78" s="256" t="s">
        <v>137</v>
      </c>
      <c r="D78" s="202" t="s">
        <v>35</v>
      </c>
      <c r="F78" s="275"/>
    </row>
    <row r="79" spans="2:6" ht="15" customHeight="1">
      <c r="B79" s="105" t="s">
        <v>179</v>
      </c>
      <c r="C79" s="20">
        <f>G7+G17</f>
        <v>4520183839</v>
      </c>
      <c r="D79" s="76">
        <f>G7*H7+G17*H17</f>
        <v>2712110303.3999996</v>
      </c>
      <c r="F79" s="275"/>
    </row>
    <row r="80" spans="2:6" ht="15" customHeight="1">
      <c r="B80" s="105" t="s">
        <v>183</v>
      </c>
      <c r="C80" s="20">
        <f>G19</f>
        <v>391873803</v>
      </c>
      <c r="D80" s="76">
        <f>G19*H19</f>
        <v>39187380.300000004</v>
      </c>
      <c r="F80" s="275"/>
    </row>
    <row r="81" spans="2:8" ht="15" customHeight="1">
      <c r="B81" s="105" t="s">
        <v>181</v>
      </c>
      <c r="C81" s="20">
        <f>G9+G21</f>
        <v>41138918</v>
      </c>
      <c r="D81" s="76">
        <f>G9*H9+G21*H21</f>
        <v>4113891.8000000003</v>
      </c>
      <c r="F81" s="275"/>
    </row>
    <row r="82" spans="2:8" ht="15" customHeight="1">
      <c r="B82" s="80" t="s">
        <v>190</v>
      </c>
      <c r="C82" s="81">
        <f>SUM(C79:C81)</f>
        <v>4953196560</v>
      </c>
      <c r="D82" s="81">
        <f>SUM(D79:D81)</f>
        <v>2755411575.5</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-309305196.71322495</v>
      </c>
      <c r="D86" s="245">
        <f>C86*scaling_factor/Common_Shares</f>
        <v>-0.22673062965254903</v>
      </c>
      <c r="E86" s="262" t="str">
        <f>Market_currency</f>
        <v>HKD</v>
      </c>
    </row>
    <row r="87" spans="2:8" ht="15" customHeight="1">
      <c r="B87" s="260" t="s">
        <v>288</v>
      </c>
      <c r="C87" s="76">
        <f>DCF!C8*Exchange_Rate</f>
        <v>13886448007.392151</v>
      </c>
      <c r="D87" s="245">
        <f>C87*scaling_factor/Common_Shares</f>
        <v>10.179211774681404</v>
      </c>
      <c r="E87" s="262" t="str">
        <f>Market_currency</f>
        <v>HKD</v>
      </c>
    </row>
    <row r="88" spans="2:8" ht="15" customHeight="1">
      <c r="B88" s="261" t="s">
        <v>190</v>
      </c>
      <c r="C88" s="76">
        <f>DCF!C9*Exchange_Rate</f>
        <v>2986243590.150631</v>
      </c>
      <c r="D88" s="245">
        <f>C88*scaling_factor/Common_Shares</f>
        <v>2.1890123304927696</v>
      </c>
      <c r="E88" s="262" t="str">
        <f>Market_currency</f>
        <v>HKD</v>
      </c>
    </row>
    <row r="89" spans="2:8" ht="15" customHeight="1">
      <c r="B89" s="80" t="s">
        <v>292</v>
      </c>
      <c r="C89" s="187">
        <f>SUM(C86:C88)</f>
        <v>16563386400.829557</v>
      </c>
      <c r="D89" s="264">
        <f>SUM(D86:D88)</f>
        <v>12.141493475521624</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3"/>
      <c r="F3" s="9"/>
      <c r="G3" s="9"/>
    </row>
    <row r="4" spans="1:17" ht="15.75" customHeight="1">
      <c r="A4" s="10"/>
      <c r="B4" s="26" t="s">
        <v>2</v>
      </c>
      <c r="C4" s="189">
        <f>AVERAGE(G4:J4)</f>
        <v>32103180963.25</v>
      </c>
      <c r="D4" s="57"/>
      <c r="E4" s="291"/>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0">
        <f>C25</f>
        <v>-26627911918.442245</v>
      </c>
      <c r="E5" s="293"/>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293"/>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-1597200974.5</v>
      </c>
      <c r="E7" s="293"/>
      <c r="G7" s="190">
        <f t="shared" ref="G7:Q7" si="3">G35</f>
        <v>-1509345456</v>
      </c>
      <c r="H7" s="190">
        <f t="shared" si="3"/>
        <v>-1619700048</v>
      </c>
      <c r="I7" s="190">
        <f t="shared" si="3"/>
        <v>-1536322903</v>
      </c>
      <c r="J7" s="190">
        <f t="shared" si="3"/>
        <v>-1723435491</v>
      </c>
      <c r="K7" s="190">
        <f t="shared" si="3"/>
        <v>-1699517814</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3878068070.3077545</v>
      </c>
      <c r="D8" s="59"/>
      <c r="E8" s="299"/>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1191305772</v>
      </c>
      <c r="E9" s="293"/>
      <c r="G9" s="190">
        <f>IF(Data!C61="","",-Data!C61)</f>
        <v>1191305772</v>
      </c>
      <c r="H9" s="190">
        <f>IF(Data!D61="","",-Data!D61)</f>
        <v>1140399624</v>
      </c>
      <c r="I9" s="190">
        <f>IF(Data!E61="","",-Data!E61)</f>
        <v>1083856796</v>
      </c>
      <c r="J9" s="190">
        <f>IF(Data!F61="","",-Data!F61)</f>
        <v>1109733268</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-1191305772</v>
      </c>
      <c r="E10" s="293"/>
      <c r="G10" s="190">
        <f>Data!C62</f>
        <v>-1191305772</v>
      </c>
      <c r="H10" s="190">
        <f>Data!D62</f>
        <v>-1140399624</v>
      </c>
      <c r="I10" s="190">
        <f>Data!E62</f>
        <v>-1083856796</v>
      </c>
      <c r="J10" s="190">
        <f>Data!F62</f>
        <v>-1109733268</v>
      </c>
      <c r="K10" s="190">
        <f>Data!G62</f>
        <v>0</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0</v>
      </c>
      <c r="D11" s="169"/>
      <c r="E11" s="292"/>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155375871.25639853</v>
      </c>
      <c r="E12" s="293"/>
      <c r="G12" s="190">
        <f>G50</f>
        <v>155375871.25639853</v>
      </c>
      <c r="H12" s="190">
        <f t="shared" ref="H12:Q12" si="6">H50</f>
        <v>129063189.17009231</v>
      </c>
      <c r="I12" s="190">
        <f t="shared" si="6"/>
        <v>122833844.53846154</v>
      </c>
      <c r="J12" s="190">
        <f t="shared" si="6"/>
        <v>68007842.792707145</v>
      </c>
      <c r="K12" s="190">
        <f t="shared" si="6"/>
        <v>136903317.61473534</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4033443941.5641532</v>
      </c>
      <c r="E13" s="293"/>
      <c r="G13" s="184">
        <f>IF(G$4="","",SUM(G8:G12))</f>
        <v>4691440731.2563982</v>
      </c>
      <c r="H13" s="184">
        <f t="shared" ref="H13:Q13" si="7">IF(H$4="","",SUM(H8:H12))</f>
        <v>4549730981.1700926</v>
      </c>
      <c r="I13" s="184">
        <f t="shared" si="7"/>
        <v>3869787052.5384617</v>
      </c>
      <c r="J13" s="184">
        <f t="shared" si="7"/>
        <v>3025098842.792707</v>
      </c>
      <c r="K13" s="184">
        <f t="shared" si="7"/>
        <v>2470963189.6147351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-1008360985.3910383</v>
      </c>
      <c r="E14" s="293"/>
      <c r="G14" s="190">
        <f>Data!C46</f>
        <v>-1389716314</v>
      </c>
      <c r="H14" s="190">
        <f>Data!D46</f>
        <v>-1398208378</v>
      </c>
      <c r="I14" s="190">
        <f>Data!E46</f>
        <v>-1201419808</v>
      </c>
      <c r="J14" s="190">
        <f>Data!F46</f>
        <v>-1222731595</v>
      </c>
      <c r="K14" s="190">
        <f>Data!G46</f>
        <v>-912580519</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-146634564.47167698</v>
      </c>
      <c r="D15" s="60"/>
      <c r="E15" s="300"/>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2878448391.701438</v>
      </c>
      <c r="D16" s="61"/>
      <c r="E16" s="301"/>
      <c r="F16" s="61"/>
      <c r="G16" s="184">
        <f>IF(G$4="","",SUM(G13:G15))</f>
        <v>3154931589.2563982</v>
      </c>
      <c r="H16" s="184">
        <f t="shared" ref="H16:Q16" si="8">IF(H$4="","",SUM(H13:H15))</f>
        <v>3071175085.1700926</v>
      </c>
      <c r="I16" s="184">
        <f t="shared" si="8"/>
        <v>2574274359.5384617</v>
      </c>
      <c r="J16" s="184">
        <f t="shared" si="8"/>
        <v>1701579187.792707</v>
      </c>
      <c r="K16" s="184">
        <f t="shared" si="8"/>
        <v>1432737421.6147351</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2878448391.701438</v>
      </c>
      <c r="D19" s="27"/>
      <c r="E19" s="290"/>
      <c r="F19" s="27"/>
      <c r="G19" s="186">
        <f>IF(G$4="","",G16+G17)</f>
        <v>3154931589.2563982</v>
      </c>
      <c r="H19" s="186">
        <f t="shared" ref="H19:Q19" si="9">IF(H$4="","",H16+H17)</f>
        <v>3071175085.1700926</v>
      </c>
      <c r="I19" s="186">
        <f t="shared" si="9"/>
        <v>2574274359.5384617</v>
      </c>
      <c r="J19" s="186">
        <f t="shared" si="9"/>
        <v>1701579187.792707</v>
      </c>
      <c r="K19" s="186">
        <f t="shared" si="9"/>
        <v>1432737421.6147351</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-22227405835.768204</v>
      </c>
      <c r="D23" s="58"/>
      <c r="E23" s="292"/>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-4400506082.6740408</v>
      </c>
      <c r="D24" s="27"/>
      <c r="E24" s="290"/>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298"/>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0.69237393830888427</v>
      </c>
      <c r="D28" s="26"/>
      <c r="E28" s="291"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91"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93"/>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-1522888768.25</v>
      </c>
      <c r="E33" s="291" t="s">
        <v>334</v>
      </c>
      <c r="G33" s="190">
        <f>Data!C41</f>
        <v>-1406578781</v>
      </c>
      <c r="H33" s="190">
        <f>Data!D41</f>
        <v>-1519063042</v>
      </c>
      <c r="I33" s="190">
        <f>Data!E41</f>
        <v>-1473368004</v>
      </c>
      <c r="J33" s="190">
        <f>Data!F41</f>
        <v>-1692545246</v>
      </c>
      <c r="K33" s="190">
        <f>Data!G41</f>
        <v>-1678050722</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-74312206.25</v>
      </c>
      <c r="D34" s="58"/>
      <c r="E34" s="291" t="s">
        <v>334</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292"/>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4.7437316881256138E-2</v>
      </c>
      <c r="D38" s="27"/>
      <c r="E38" s="290"/>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0"/>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93"/>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0.29622378147955947</v>
      </c>
      <c r="H43" s="6">
        <f t="shared" si="18"/>
        <v>0.30731671472153965</v>
      </c>
      <c r="I43" s="6">
        <f t="shared" si="18"/>
        <v>0.31046147803195151</v>
      </c>
      <c r="J43" s="6">
        <f t="shared" si="18"/>
        <v>0.4041955845221904</v>
      </c>
      <c r="K43" s="6">
        <f t="shared" si="18"/>
        <v>0.36932177817763717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-21837054</v>
      </c>
      <c r="E47" s="293"/>
      <c r="G47" s="190">
        <f>Data!C51</f>
        <v>-21837054</v>
      </c>
      <c r="H47" s="190">
        <f>Data!D51</f>
        <v>-16430590</v>
      </c>
      <c r="I47" s="190">
        <f>Data!E51</f>
        <v>-9237800</v>
      </c>
      <c r="J47" s="190">
        <f>Data!F51</f>
        <v>-22685367</v>
      </c>
      <c r="K47" s="190">
        <f>Data!G51</f>
        <v>-13662682</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177212925.25639853</v>
      </c>
      <c r="E48" s="293"/>
      <c r="G48" s="318">
        <f>IFERROR(IF(G$4="","",($C$48/$C$49)*G49),0)</f>
        <v>177212925.25639853</v>
      </c>
      <c r="H48" s="318">
        <f t="shared" ref="H48:Q48" si="19">IFERROR(IF(H$4="","",($C$48/$C$49)*H49),0)</f>
        <v>145493779.17009231</v>
      </c>
      <c r="I48" s="318">
        <f t="shared" si="19"/>
        <v>132071644.53846154</v>
      </c>
      <c r="J48" s="318">
        <f t="shared" si="19"/>
        <v>90693209.792707145</v>
      </c>
      <c r="K48" s="318">
        <f t="shared" si="19"/>
        <v>150565999.61473534</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616771200</v>
      </c>
      <c r="D49" s="315"/>
      <c r="E49" s="316"/>
      <c r="F49" s="315"/>
      <c r="G49" s="314">
        <f>Data!C52</f>
        <v>616771200</v>
      </c>
      <c r="H49" s="314">
        <f>Data!D52</f>
        <v>506376003</v>
      </c>
      <c r="I49" s="314">
        <f>Data!E52</f>
        <v>459661656</v>
      </c>
      <c r="J49" s="314">
        <f>Data!F52</f>
        <v>315648307</v>
      </c>
      <c r="K49" s="314">
        <f>Data!G52</f>
        <v>524029340</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155375871.25639853</v>
      </c>
      <c r="E50" s="293"/>
      <c r="G50" s="184">
        <f>IF(G$4="","",(G47+G48))</f>
        <v>155375871.25639853</v>
      </c>
      <c r="H50" s="184">
        <f t="shared" ref="H50:Q50" si="20">IF(H$4="","",(H47+H48))</f>
        <v>129063189.17009231</v>
      </c>
      <c r="I50" s="184">
        <f t="shared" si="20"/>
        <v>122833844.53846154</v>
      </c>
      <c r="J50" s="184">
        <f t="shared" si="20"/>
        <v>68007842.792707145</v>
      </c>
      <c r="K50" s="184">
        <f t="shared" si="20"/>
        <v>136903317.61473534</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3.430552260533988E-2</v>
      </c>
      <c r="E53" s="290" t="s">
        <v>336</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0" t="s">
        <v>337</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293"/>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0</v>
      </c>
      <c r="E59" s="293"/>
      <c r="G59" s="190">
        <f>Data!C55</f>
        <v>48272283</v>
      </c>
      <c r="H59" s="190">
        <f>Data!D55</f>
        <v>15798284</v>
      </c>
      <c r="I59" s="190">
        <f>Data!E55</f>
        <v>19873379</v>
      </c>
      <c r="J59" s="190">
        <f>Data!F55</f>
        <v>20561728</v>
      </c>
      <c r="K59" s="190">
        <f>Data!G55</f>
        <v>18098320</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0</v>
      </c>
      <c r="E61" s="293"/>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750493994</v>
      </c>
      <c r="H62" s="190">
        <f>Data!D58</f>
        <v>835794097</v>
      </c>
      <c r="I62" s="190">
        <f>Data!E58</f>
        <v>808764222</v>
      </c>
      <c r="J62" s="190">
        <f>Data!F58</f>
        <v>1228921525</v>
      </c>
      <c r="K62" s="190">
        <f>Data!G58</f>
        <v>395122794</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0</v>
      </c>
      <c r="E63" s="293"/>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0.82944777182437002</v>
      </c>
      <c r="D73" s="27"/>
      <c r="E73" s="290"/>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0"/>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0"/>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0"/>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0"/>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91" t="s">
        <v>460</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0"/>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4.8398902100780759E-3</v>
      </c>
      <c r="D80" s="27"/>
      <c r="E80" s="290"/>
      <c r="F80" s="27"/>
      <c r="G80" s="6">
        <f t="shared" ref="G80:Q80" si="31">IF(G$4="","",ABS(G12/G$4))</f>
        <v>4.8346721206674482E-3</v>
      </c>
      <c r="H80" s="6">
        <f t="shared" si="31"/>
        <v>3.8030764128396156E-3</v>
      </c>
      <c r="I80" s="6">
        <f t="shared" si="31"/>
        <v>3.8180872505262052E-3</v>
      </c>
      <c r="J80" s="6">
        <f t="shared" si="31"/>
        <v>2.2543932624883838E-3</v>
      </c>
      <c r="K80" s="6">
        <f t="shared" si="31"/>
        <v>4.9317270622768064E-3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0.12564000888826013</v>
      </c>
      <c r="D81" s="27"/>
      <c r="E81" s="290"/>
      <c r="F81" s="27"/>
      <c r="G81" s="65">
        <f t="shared" ref="G81:Q81" si="32">IF(G$4="","",G13/G$4)</f>
        <v>0.14597876443595462</v>
      </c>
      <c r="H81" s="65">
        <f t="shared" si="32"/>
        <v>0.13406591523513367</v>
      </c>
      <c r="I81" s="65">
        <f t="shared" si="32"/>
        <v>0.12028594124905127</v>
      </c>
      <c r="J81" s="65">
        <f t="shared" si="32"/>
        <v>0.10027905855417907</v>
      </c>
      <c r="K81" s="65">
        <f t="shared" si="32"/>
        <v>8.9012569194314203E-2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3.1410002222065032E-2</v>
      </c>
      <c r="D82" s="27"/>
      <c r="E82" s="290"/>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4.5676023394546593E-3</v>
      </c>
      <c r="D83" s="27"/>
      <c r="E83" s="290"/>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8.9662404326740441E-2</v>
      </c>
      <c r="D84" s="27"/>
      <c r="E84" s="290"/>
      <c r="F84" s="27"/>
      <c r="G84" s="65">
        <f t="shared" ref="G84:Q84" si="35">IF(G$4="","",ABS(G16/G$4))</f>
        <v>9.8168780479567647E-2</v>
      </c>
      <c r="H84" s="65">
        <f t="shared" si="35"/>
        <v>9.0497636089854588E-2</v>
      </c>
      <c r="I84" s="65">
        <f t="shared" si="35"/>
        <v>8.0017068165872909E-2</v>
      </c>
      <c r="J84" s="65">
        <f t="shared" si="35"/>
        <v>5.6405680566031617E-2</v>
      </c>
      <c r="K84" s="65">
        <f t="shared" si="35"/>
        <v>5.1612116042347549E-2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8.9662404326740441E-2</v>
      </c>
      <c r="D87" s="75"/>
      <c r="E87" s="290"/>
      <c r="F87" s="75"/>
      <c r="G87" s="65">
        <f t="shared" ref="G87:Q87" si="36">IF(G$4="","",ABS(G19/G$4))</f>
        <v>9.8168780479567647E-2</v>
      </c>
      <c r="H87" s="65">
        <f t="shared" si="36"/>
        <v>9.0497636089854588E-2</v>
      </c>
      <c r="I87" s="65">
        <f t="shared" si="36"/>
        <v>8.0017068165872909E-2</v>
      </c>
      <c r="J87" s="65">
        <f t="shared" si="36"/>
        <v>5.6405680566031617E-2</v>
      </c>
      <c r="K87" s="65">
        <f t="shared" si="36"/>
        <v>5.1612116042347549E-2</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2.0299433998263443</v>
      </c>
      <c r="E90" s="293"/>
      <c r="G90" s="113">
        <f>Data!C65</f>
        <v>2.0299433998263443</v>
      </c>
      <c r="H90" s="113">
        <f>Data!D65</f>
        <v>1.845403090751222</v>
      </c>
      <c r="I90" s="113">
        <f>Data!E65</f>
        <v>1.1995120089882942</v>
      </c>
      <c r="J90" s="113">
        <f>Data!F65</f>
        <v>1.0149716999131722</v>
      </c>
      <c r="K90" s="113">
        <f>Data!G65</f>
        <v>0.69202615903170828</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2769242265.8648987</v>
      </c>
      <c r="E91" s="293"/>
      <c r="G91" s="74">
        <f t="shared" ref="G91:Q91" si="37">IF(G$4="","",G90*Common_Shares/scaling_factor)</f>
        <v>2769242265.8648987</v>
      </c>
      <c r="H91" s="74">
        <f t="shared" si="37"/>
        <v>2517492968.9680896</v>
      </c>
      <c r="I91" s="74">
        <f t="shared" si="37"/>
        <v>1636370429.8292582</v>
      </c>
      <c r="J91" s="74">
        <f t="shared" si="37"/>
        <v>1384621132.9324493</v>
      </c>
      <c r="K91" s="74">
        <f t="shared" si="37"/>
        <v>944059863.36303365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0.96206076643535443</v>
      </c>
      <c r="E92" s="293"/>
      <c r="G92" s="171">
        <f t="shared" ref="G92:Q92" si="38">IF(G$4="","",G90/(G19*scaling_factor/Common_Shares))</f>
        <v>0.87775033705805172</v>
      </c>
      <c r="H92" s="171">
        <f t="shared" si="38"/>
        <v>0.81971652515820725</v>
      </c>
      <c r="I92" s="171">
        <f t="shared" si="38"/>
        <v>0.63566279319296826</v>
      </c>
      <c r="J92" s="171">
        <f t="shared" si="38"/>
        <v>0.81372712058648511</v>
      </c>
      <c r="K92" s="171">
        <f t="shared" si="38"/>
        <v>0.65892036399736931</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3.670783724821599E-2</v>
      </c>
      <c r="E93" s="293"/>
      <c r="G93" s="23">
        <f t="shared" ref="G93:Q93" si="39">IF(G$4="","",G90/Market_Price)</f>
        <v>3.670783724821599E-2</v>
      </c>
      <c r="H93" s="23">
        <f t="shared" si="39"/>
        <v>3.3370761134741807E-2</v>
      </c>
      <c r="I93" s="23">
        <f t="shared" si="39"/>
        <v>2.1690994737582174E-2</v>
      </c>
      <c r="J93" s="23">
        <f t="shared" si="39"/>
        <v>1.8353918624107995E-2</v>
      </c>
      <c r="K93" s="23">
        <f t="shared" si="39"/>
        <v>1.2514035425528178E-2</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-1.0781421032572958E-3</v>
      </c>
      <c r="D96" s="27"/>
      <c r="E96" s="290"/>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-0.14025473780546494</v>
      </c>
      <c r="D97" s="27"/>
      <c r="E97" s="290"/>
      <c r="F97" s="27"/>
      <c r="G97" s="6">
        <f t="shared" ref="G97:Q97" si="41">IF(H5="","",G13/H13-1)</f>
        <v>3.1146841576523476E-2</v>
      </c>
      <c r="H97" s="6">
        <f t="shared" si="41"/>
        <v>0.17570577383207908</v>
      </c>
      <c r="I97" s="6">
        <f t="shared" si="41"/>
        <v>0.27922664800134478</v>
      </c>
      <c r="J97" s="6">
        <f t="shared" si="41"/>
        <v>0.22425896731564454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51420385832</v>
      </c>
      <c r="D101" s="26"/>
      <c r="E101" s="294"/>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185704725</v>
      </c>
      <c r="D102" s="89"/>
      <c r="E102" s="295"/>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3576387537</v>
      </c>
      <c r="D103" s="89"/>
      <c r="E103" s="295"/>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21560843821</v>
      </c>
      <c r="D104" s="26"/>
      <c r="E104" s="294"/>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29859542011</v>
      </c>
      <c r="D105" s="26"/>
      <c r="E105" s="294"/>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94"/>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94"/>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1.1475773379531717</v>
      </c>
      <c r="H113" s="323">
        <f>IF(H$4="","",Data!D$22/Data!D15)</f>
        <v>0.63878566471951048</v>
      </c>
      <c r="I113" s="323">
        <f>IF(I$4="","",Data!E$22/Data!E15)</f>
        <v>1.2822939471944179</v>
      </c>
      <c r="J113" s="323">
        <f>IF(J$4="","",Data!F$22/Data!F15)</f>
        <v>1.8558534606930408</v>
      </c>
      <c r="K113" s="323">
        <f>IF(K$4="","",Data!G$22/Data!G15)</f>
        <v>2.1287016617311294</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1.6338424419576489</v>
      </c>
      <c r="H114" s="323">
        <f>IF(H$4="","",Data!D$22/H19)</f>
        <v>0.90439882552191531</v>
      </c>
      <c r="I114" s="323">
        <f>IF(I$4="","",Data!E$22/I19)</f>
        <v>1.8952025466604534</v>
      </c>
      <c r="J114" s="323">
        <f>IF(J$4="","",Data!F$22/J19)</f>
        <v>3.551472360706962</v>
      </c>
      <c r="K114" s="323">
        <f>IF(K$4="","",Data!G$22/K19)</f>
        <v>3.4573134527451335</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0.12564000888826013</v>
      </c>
      <c r="E117" s="293"/>
      <c r="G117" s="23">
        <f t="shared" ref="G117:Q117" si="45">G81</f>
        <v>0.14597876443595462</v>
      </c>
      <c r="H117" s="23">
        <f t="shared" si="45"/>
        <v>0.13406591523513367</v>
      </c>
      <c r="I117" s="23">
        <f t="shared" si="45"/>
        <v>0.12028594124905127</v>
      </c>
      <c r="J117" s="23">
        <f t="shared" si="45"/>
        <v>0.10027905855417907</v>
      </c>
      <c r="K117" s="23">
        <f t="shared" si="45"/>
        <v>8.9012569194314203E-2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293"/>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297"/>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296"/>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2.2867578397895607</v>
      </c>
      <c r="D124" s="27"/>
      <c r="E124" s="290"/>
      <c r="F124" s="27"/>
      <c r="G124" s="178">
        <f t="shared" ref="G124:Q124" si="49">IF(G$4="","",G16*$C$3/Common_Shares*Exchange_Rate)</f>
        <v>2.5064074681802131</v>
      </c>
      <c r="H124" s="178">
        <f t="shared" si="49"/>
        <v>2.4398678550661099</v>
      </c>
      <c r="I124" s="178">
        <f t="shared" si="49"/>
        <v>2.0451094730116739</v>
      </c>
      <c r="J124" s="178">
        <f t="shared" si="49"/>
        <v>1.351804520423489</v>
      </c>
      <c r="K124" s="178">
        <f t="shared" si="49"/>
        <v>1.1382255595351343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4.1351859670697301E-2</v>
      </c>
      <c r="D125" s="27"/>
      <c r="E125" s="290"/>
      <c r="F125" s="27"/>
      <c r="G125" s="77">
        <f t="shared" ref="G125" si="50">IF(G$4="","",G124/Market_Price)</f>
        <v>4.5323824017725375E-2</v>
      </c>
      <c r="H125" s="77">
        <f t="shared" ref="H125" si="51">IF(H$4="","",H124/Market_Price)</f>
        <v>4.4120576040978479E-2</v>
      </c>
      <c r="I125" s="77">
        <f t="shared" ref="I125" si="52">IF(I$4="","",I124/Market_Price)</f>
        <v>3.6982088119560108E-2</v>
      </c>
      <c r="J125" s="77">
        <f t="shared" ref="J125" si="53">IF(J$4="","",J124/Market_Price)</f>
        <v>2.4444928036591124E-2</v>
      </c>
      <c r="K125" s="77">
        <f t="shared" ref="K125" si="54">IF(K$4="","",K124/Market_Price)</f>
        <v>2.058274067875469E-2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5.9540983314264877E-2</v>
      </c>
      <c r="H126" s="23">
        <f>IF(H$4="","",(Data!D47*$C$3)/(Market_Price*Common_Shares))</f>
        <v>5.7637780699988365E-2</v>
      </c>
      <c r="I126" s="23">
        <f>IF(I$4="","",(Data!E47*$C$3)/(Market_Price*Common_Shares))</f>
        <v>5.0433686684178851E-2</v>
      </c>
      <c r="J126" s="23">
        <f>IF(J$4="","",(Data!F47*$C$3)/(Market_Price*Common_Shares))</f>
        <v>4.3163312756650099E-2</v>
      </c>
      <c r="K126" s="23">
        <f>IF(K$4="","",(Data!G47*$C$3)/(Market_Price*Common_Shares))</f>
        <v>3.0845258007405733E-2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2878448391.701438</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38379311889.352509</v>
      </c>
      <c r="D6" t="str">
        <f>Reporting_currency</f>
        <v>CNY</v>
      </c>
      <c r="E6" s="355" t="s">
        <v>250</v>
      </c>
      <c r="F6" s="355"/>
      <c r="H6" s="121"/>
    </row>
    <row r="7" spans="2:8">
      <c r="B7" s="149" t="s">
        <v>225</v>
      </c>
      <c r="C7" s="224">
        <f>BS!G31</f>
        <v>285396383</v>
      </c>
      <c r="D7" t="str">
        <f>Reporting_currency</f>
        <v>CNY</v>
      </c>
      <c r="E7" s="355"/>
      <c r="F7" s="355"/>
      <c r="H7" s="121"/>
    </row>
    <row r="8" spans="2:8">
      <c r="B8" s="149" t="s">
        <v>226</v>
      </c>
      <c r="C8" s="115">
        <f>BS!D66</f>
        <v>12813047036.198811</v>
      </c>
      <c r="D8" t="str">
        <f>Reporting_currency</f>
        <v>CNY</v>
      </c>
      <c r="E8" s="355"/>
      <c r="F8" s="355"/>
      <c r="H8" s="121"/>
    </row>
    <row r="9" spans="2:8">
      <c r="B9" s="225" t="s">
        <v>191</v>
      </c>
      <c r="C9" s="227">
        <f>BS!H42</f>
        <v>2755411575.5</v>
      </c>
      <c r="D9" t="str">
        <f>Reporting_currency</f>
        <v>CNY</v>
      </c>
      <c r="E9" s="355"/>
      <c r="F9" s="355"/>
      <c r="H9" s="121"/>
    </row>
    <row r="10" spans="2:8" ht="13.15">
      <c r="B10" s="150" t="s">
        <v>228</v>
      </c>
      <c r="C10" s="230">
        <f>C6-C7+C8+C9</f>
        <v>53662374118.051315</v>
      </c>
      <c r="D10" t="str">
        <f>Reporting_currency</f>
        <v>CNY</v>
      </c>
      <c r="H10" s="121"/>
    </row>
    <row r="11" spans="2:8" ht="13.15" thickBot="1">
      <c r="B11" s="228" t="s">
        <v>167</v>
      </c>
      <c r="C11" s="229">
        <f>Exchange_Rate</f>
        <v>1.0837740599999999</v>
      </c>
      <c r="D11" t="str">
        <f>Thesis!C15</f>
        <v>CNY/HKD</v>
      </c>
      <c r="H11" s="121"/>
    </row>
    <row r="12" spans="2:8" ht="13.5" thickTop="1">
      <c r="B12" s="150" t="s">
        <v>103</v>
      </c>
      <c r="C12" s="112">
        <f>(C10*scaling_factor)/Common_Shares*Exchange_Rate</f>
        <v>42.631598006049096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72.314773689172668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3054511128.8336287</v>
      </c>
      <c r="D21" s="139">
        <f>IF($C$17&lt;B21,0,DCF!$C$16)</f>
        <v>6.1165848114484E-2</v>
      </c>
      <c r="E21" s="125">
        <f t="shared" ref="E21:E50" si="0">IF($C$17&lt;B21,0,1/(1+Equity_Cost)^B21)</f>
        <v>0.93023255813953487</v>
      </c>
      <c r="F21" s="126">
        <f t="shared" ref="F21:F51" si="1">C21*E21</f>
        <v>2841405701.2405849</v>
      </c>
      <c r="H21" s="121"/>
    </row>
    <row r="22" spans="2:8">
      <c r="B22" s="123">
        <v>2</v>
      </c>
      <c r="C22" s="124">
        <f t="shared" ref="C22:C50" si="2">IF(ROW()-ROW($C$21)&lt;$C$17, $C$21*(1+D22)^(ROW()-ROW($C$21)), 0)</f>
        <v>3241342892.6038671</v>
      </c>
      <c r="D22" s="139">
        <f>IF($C$17&lt;B22,0,DCF!$C$16)</f>
        <v>6.1165848114484E-2</v>
      </c>
      <c r="E22" s="125">
        <f t="shared" si="0"/>
        <v>0.86533261222282321</v>
      </c>
      <c r="F22" s="126">
        <f t="shared" si="1"/>
        <v>2804839712.366786</v>
      </c>
      <c r="H22" s="121"/>
    </row>
    <row r="23" spans="2:8">
      <c r="B23" s="123">
        <v>3</v>
      </c>
      <c r="C23" s="124">
        <f t="shared" si="2"/>
        <v>3439602379.6598368</v>
      </c>
      <c r="D23" s="139">
        <f>IF($C$17&lt;B23,0,DCF!$C$16)</f>
        <v>6.1165848114484E-2</v>
      </c>
      <c r="E23" s="125">
        <f t="shared" si="0"/>
        <v>0.80496056950960304</v>
      </c>
      <c r="F23" s="126">
        <f t="shared" si="1"/>
        <v>2768744290.4175682</v>
      </c>
      <c r="H23" s="121"/>
    </row>
    <row r="24" spans="2:8">
      <c r="B24" s="123">
        <v>4</v>
      </c>
      <c r="C24" s="124">
        <f t="shared" si="2"/>
        <v>3649988576.3883276</v>
      </c>
      <c r="D24" s="139">
        <f>IF($C$17&lt;B24,0,DCF!$C$16)</f>
        <v>6.1165848114484E-2</v>
      </c>
      <c r="E24" s="125">
        <f t="shared" si="0"/>
        <v>0.7488005297763749</v>
      </c>
      <c r="F24" s="126">
        <f t="shared" si="1"/>
        <v>2733113379.6772962</v>
      </c>
      <c r="H24" s="121"/>
    </row>
    <row r="25" spans="2:8">
      <c r="B25" s="123">
        <v>5</v>
      </c>
      <c r="C25" s="124">
        <f t="shared" si="2"/>
        <v>3873243223.2712975</v>
      </c>
      <c r="D25" s="139">
        <f>IF($C$17&lt;B25,0,DCF!$C$16)</f>
        <v>6.1165848114484E-2</v>
      </c>
      <c r="E25" s="125">
        <f t="shared" si="0"/>
        <v>0.69655863235011617</v>
      </c>
      <c r="F25" s="126">
        <f t="shared" si="1"/>
        <v>2697941002.3612108</v>
      </c>
      <c r="H25" s="121"/>
    </row>
    <row r="26" spans="2:8">
      <c r="B26" s="123">
        <v>6</v>
      </c>
      <c r="C26" s="124">
        <f t="shared" si="2"/>
        <v>4110153429.9763637</v>
      </c>
      <c r="D26" s="139">
        <f>IF($C$17&lt;B26,0,DCF!$C$16)</f>
        <v>6.1165848114484E-2</v>
      </c>
      <c r="E26" s="125">
        <f t="shared" si="0"/>
        <v>0.64796151846522443</v>
      </c>
      <c r="F26" s="126">
        <f t="shared" si="1"/>
        <v>2663221257.612535</v>
      </c>
      <c r="H26" s="121"/>
    </row>
    <row r="27" spans="2:8">
      <c r="B27" s="123">
        <v>7</v>
      </c>
      <c r="C27" s="124">
        <f t="shared" si="2"/>
        <v>4361554450.4015226</v>
      </c>
      <c r="D27" s="139">
        <f>IF($C$17&lt;B27,0,DCF!$C$16)</f>
        <v>6.1165848114484E-2</v>
      </c>
      <c r="E27" s="125">
        <f t="shared" si="0"/>
        <v>0.60275490089788319</v>
      </c>
      <c r="F27" s="126">
        <f t="shared" si="1"/>
        <v>2628948320.5124912</v>
      </c>
      <c r="H27" s="121"/>
    </row>
    <row r="28" spans="2:8">
      <c r="B28" s="123">
        <v>8</v>
      </c>
      <c r="C28" s="124">
        <f t="shared" si="2"/>
        <v>4628332627.4578333</v>
      </c>
      <c r="D28" s="139">
        <f>IF($C$17&lt;B28,0,DCF!$C$16)</f>
        <v>6.1165848114484E-2</v>
      </c>
      <c r="E28" s="125">
        <f t="shared" si="0"/>
        <v>0.56070223339337966</v>
      </c>
      <c r="F28" s="126">
        <f t="shared" si="1"/>
        <v>2595116441.103056</v>
      </c>
      <c r="H28" s="121"/>
    </row>
    <row r="29" spans="2:8">
      <c r="B29" s="123">
        <v>9</v>
      </c>
      <c r="C29" s="124">
        <f t="shared" si="2"/>
        <v>4911428517.97223</v>
      </c>
      <c r="D29" s="139">
        <f>IF($C$17&lt;B29,0,DCF!$C$16)</f>
        <v>6.1165848114484E-2</v>
      </c>
      <c r="E29" s="125">
        <f t="shared" si="0"/>
        <v>0.52158347292407414</v>
      </c>
      <c r="F29" s="126">
        <f t="shared" si="1"/>
        <v>2561719943.4222941</v>
      </c>
      <c r="H29" s="121"/>
    </row>
    <row r="30" spans="2:8">
      <c r="B30" s="123">
        <v>10</v>
      </c>
      <c r="C30" s="124">
        <f t="shared" si="2"/>
        <v>5211840208.727664</v>
      </c>
      <c r="D30" s="139">
        <f>IF($C$17&lt;B30,0,DCF!$C$16)</f>
        <v>6.1165848114484E-2</v>
      </c>
      <c r="E30" s="125">
        <f t="shared" si="0"/>
        <v>0.48519392830146441</v>
      </c>
      <c r="F30" s="126">
        <f t="shared" si="1"/>
        <v>2528753224.5520997</v>
      </c>
      <c r="H30" s="121"/>
    </row>
    <row r="31" spans="2:8">
      <c r="B31" s="123">
        <v>11</v>
      </c>
      <c r="C31" s="124">
        <f t="shared" si="2"/>
        <v>5530626835.3316593</v>
      </c>
      <c r="D31" s="139">
        <f>IF($C$17&lt;B31,0,DCF!$C$16)</f>
        <v>6.1165848114484E-2</v>
      </c>
      <c r="E31" s="125">
        <f t="shared" si="0"/>
        <v>0.45134318911764126</v>
      </c>
      <c r="F31" s="126">
        <f t="shared" si="1"/>
        <v>2496210753.6781988</v>
      </c>
      <c r="H31" s="121"/>
    </row>
    <row r="32" spans="2:8">
      <c r="B32" s="123">
        <v>12</v>
      </c>
      <c r="C32" s="124">
        <f t="shared" si="2"/>
        <v>5868912316.3194447</v>
      </c>
      <c r="D32" s="139">
        <f>IF($C$17&lt;B32,0,DCF!$C$16)</f>
        <v>6.1165848114484E-2</v>
      </c>
      <c r="E32" s="125">
        <f t="shared" si="0"/>
        <v>0.41985412941175931</v>
      </c>
      <c r="F32" s="126">
        <f t="shared" si="1"/>
        <v>2464087071.1622524</v>
      </c>
      <c r="H32" s="121"/>
    </row>
    <row r="33" spans="2:8">
      <c r="B33" s="123">
        <v>13</v>
      </c>
      <c r="C33" s="124">
        <f t="shared" si="2"/>
        <v>6227889315.6566629</v>
      </c>
      <c r="D33" s="139">
        <f>IF($C$17&lt;B33,0,DCF!$C$16)</f>
        <v>6.1165848114484E-2</v>
      </c>
      <c r="E33" s="125">
        <f t="shared" si="0"/>
        <v>0.39056198084814819</v>
      </c>
      <c r="F33" s="126">
        <f t="shared" si="1"/>
        <v>2432376787.6258845</v>
      </c>
      <c r="H33" s="121"/>
    </row>
    <row r="34" spans="2:8">
      <c r="B34" s="123">
        <v>14</v>
      </c>
      <c r="C34" s="124">
        <f t="shared" si="2"/>
        <v>6608823447.6119366</v>
      </c>
      <c r="D34" s="139">
        <f>IF($C$17&lt;B34,0,DCF!$C$16)</f>
        <v>6.1165848114484E-2</v>
      </c>
      <c r="E34" s="125">
        <f t="shared" si="0"/>
        <v>0.36331347055641694</v>
      </c>
      <c r="F34" s="126">
        <f t="shared" si="1"/>
        <v>2401074583.0465174</v>
      </c>
      <c r="H34" s="121"/>
    </row>
    <row r="35" spans="2:8">
      <c r="B35" s="123">
        <v>15</v>
      </c>
      <c r="C35" s="124">
        <f t="shared" si="2"/>
        <v>7013057738.824007</v>
      </c>
      <c r="D35" s="139">
        <f>IF($C$17&lt;B35,0,DCF!$C$16)</f>
        <v>6.1165848114484E-2</v>
      </c>
      <c r="E35" s="125">
        <f t="shared" si="0"/>
        <v>0.33796601912224833</v>
      </c>
      <c r="F35" s="126">
        <f t="shared" si="1"/>
        <v>2370175205.8648262</v>
      </c>
      <c r="H35" s="121"/>
    </row>
    <row r="36" spans="2:8">
      <c r="B36" s="123">
        <v>16</v>
      </c>
      <c r="C36" s="124">
        <f t="shared" si="2"/>
        <v>7442017363.2950211</v>
      </c>
      <c r="D36" s="139">
        <f>IF($C$17&lt;B36,0,DCF!$C$16)</f>
        <v>6.1165848114484E-2</v>
      </c>
      <c r="E36" s="125">
        <f t="shared" si="0"/>
        <v>0.31438699453232405</v>
      </c>
      <c r="F36" s="126">
        <f t="shared" si="1"/>
        <v>2339673472.1036925</v>
      </c>
      <c r="H36" s="121"/>
    </row>
    <row r="37" spans="2:8">
      <c r="B37" s="123">
        <v>17</v>
      </c>
      <c r="C37" s="124">
        <f t="shared" si="2"/>
        <v>7897214667.0036774</v>
      </c>
      <c r="D37" s="139">
        <f>IF($C$17&lt;B37,0,DCF!$C$16)</f>
        <v>6.1165848114484E-2</v>
      </c>
      <c r="E37" s="125">
        <f t="shared" si="0"/>
        <v>0.29245301816960378</v>
      </c>
      <c r="F37" s="126">
        <f t="shared" si="1"/>
        <v>2309564264.4984879</v>
      </c>
      <c r="H37" s="121"/>
    </row>
    <row r="38" spans="2:8">
      <c r="B38" s="123">
        <v>18</v>
      </c>
      <c r="C38" s="124">
        <f t="shared" si="2"/>
        <v>8380254499.8530998</v>
      </c>
      <c r="D38" s="139">
        <f>IF($C$17&lt;B38,0,DCF!$C$16)</f>
        <v>6.1165848114484E-2</v>
      </c>
      <c r="E38" s="125">
        <f t="shared" si="0"/>
        <v>0.27204931922753844</v>
      </c>
      <c r="F38" s="126">
        <f t="shared" si="1"/>
        <v>2279842531.6385517</v>
      </c>
      <c r="H38" s="121"/>
    </row>
    <row r="39" spans="2:8">
      <c r="B39" s="123">
        <v>19</v>
      </c>
      <c r="C39" s="124">
        <f t="shared" si="2"/>
        <v>8892839873.751833</v>
      </c>
      <c r="D39" s="139">
        <f>IF($C$17&lt;B39,0,DCF!$C$16)</f>
        <v>6.1165848114484E-2</v>
      </c>
      <c r="E39" s="125">
        <f t="shared" si="0"/>
        <v>0.25306913416515198</v>
      </c>
      <c r="F39" s="126">
        <f t="shared" si="1"/>
        <v>2250503287.1197157</v>
      </c>
      <c r="H39" s="121"/>
    </row>
    <row r="40" spans="2:8">
      <c r="B40" s="123">
        <v>20</v>
      </c>
      <c r="C40" s="124">
        <f t="shared" si="2"/>
        <v>9436777966.7761631</v>
      </c>
      <c r="D40" s="139">
        <f>IF($C$17&lt;B40,0,DCF!$C$16)</f>
        <v>6.1165848114484E-2</v>
      </c>
      <c r="E40" s="125">
        <f t="shared" si="0"/>
        <v>0.23541314806060654</v>
      </c>
      <c r="F40" s="126">
        <f t="shared" si="1"/>
        <v>2221541608.7077465</v>
      </c>
      <c r="H40" s="121"/>
    </row>
    <row r="41" spans="2:8">
      <c r="B41" s="123">
        <v>21</v>
      </c>
      <c r="C41" s="124">
        <f t="shared" si="2"/>
        <v>10013986494.582104</v>
      </c>
      <c r="D41" s="139">
        <f>IF($C$17&lt;B41,0,DCF!$C$16)</f>
        <v>6.1165848114484E-2</v>
      </c>
      <c r="E41" s="125">
        <f t="shared" si="0"/>
        <v>0.21898897494009908</v>
      </c>
      <c r="F41" s="126">
        <f t="shared" si="1"/>
        <v>2192952637.5125308</v>
      </c>
      <c r="H41" s="121"/>
    </row>
    <row r="42" spans="2:8">
      <c r="B42" s="123">
        <v>22</v>
      </c>
      <c r="C42" s="124">
        <f t="shared" si="2"/>
        <v>10626500471.530205</v>
      </c>
      <c r="D42" s="139">
        <f>IF($C$17&lt;B42,0,DCF!$C$16)</f>
        <v>6.1165848114484E-2</v>
      </c>
      <c r="E42" s="125">
        <f t="shared" si="0"/>
        <v>0.20371067436288287</v>
      </c>
      <c r="F42" s="126">
        <f t="shared" si="1"/>
        <v>2164731577.1729107</v>
      </c>
      <c r="H42" s="121"/>
    </row>
    <row r="43" spans="2:8">
      <c r="B43" s="123">
        <v>23</v>
      </c>
      <c r="C43" s="124">
        <f t="shared" si="2"/>
        <v>11276479385.360312</v>
      </c>
      <c r="D43" s="139">
        <f>IF($C$17&lt;B43,0,DCF!$C$16)</f>
        <v>6.1165848114484E-2</v>
      </c>
      <c r="E43" s="125">
        <f t="shared" si="0"/>
        <v>0.18949830173291429</v>
      </c>
      <c r="F43" s="126">
        <f t="shared" si="1"/>
        <v>2136873693.0519962</v>
      </c>
      <c r="H43" s="121"/>
    </row>
    <row r="44" spans="2:8">
      <c r="B44" s="123">
        <v>24</v>
      </c>
      <c r="C44" s="124">
        <f t="shared" si="2"/>
        <v>11966214810.711369</v>
      </c>
      <c r="D44" s="139">
        <f>IF($C$17&lt;B44,0,DCF!$C$16)</f>
        <v>6.1165848114484E-2</v>
      </c>
      <c r="E44" s="125">
        <f t="shared" si="0"/>
        <v>0.17627748998410636</v>
      </c>
      <c r="F44" s="126">
        <f t="shared" si="1"/>
        <v>2109374311.4428384</v>
      </c>
      <c r="H44" s="121"/>
    </row>
    <row r="45" spans="2:8">
      <c r="B45" s="123">
        <v>25</v>
      </c>
      <c r="C45" s="124">
        <f t="shared" si="2"/>
        <v>12698138488.328629</v>
      </c>
      <c r="D45" s="139">
        <f>IF($C$17&lt;B45,0,DCF!$C$16)</f>
        <v>6.1165848114484E-2</v>
      </c>
      <c r="E45" s="125">
        <f t="shared" si="0"/>
        <v>0.16397906045033148</v>
      </c>
      <c r="F45" s="126">
        <f t="shared" si="1"/>
        <v>2082228818.7843208</v>
      </c>
      <c r="H45" s="121"/>
    </row>
    <row r="46" spans="2:8">
      <c r="B46" s="123">
        <v>26</v>
      </c>
      <c r="C46" s="124">
        <f t="shared" si="2"/>
        <v>13474830898.442419</v>
      </c>
      <c r="D46" s="139">
        <f>IF($C$17&lt;B46,0,DCF!$C$16)</f>
        <v>6.1165848114484E-2</v>
      </c>
      <c r="E46" s="125">
        <f t="shared" si="0"/>
        <v>0.15253866088402931</v>
      </c>
      <c r="F46" s="126">
        <f t="shared" si="1"/>
        <v>2055432660.8871481</v>
      </c>
      <c r="H46" s="121"/>
    </row>
    <row r="47" spans="2:8">
      <c r="B47" s="123">
        <v>27</v>
      </c>
      <c r="C47" s="124">
        <f t="shared" si="2"/>
        <v>14299030358.544903</v>
      </c>
      <c r="D47" s="139">
        <f>IF($C$17&lt;B47,0,DCF!$C$16)</f>
        <v>6.1165848114484E-2</v>
      </c>
      <c r="E47" s="125">
        <f t="shared" si="0"/>
        <v>0.14189642872932959</v>
      </c>
      <c r="F47" s="126">
        <f t="shared" si="1"/>
        <v>2028981342.1697869</v>
      </c>
      <c r="H47" s="121"/>
    </row>
    <row r="48" spans="2:8">
      <c r="B48" s="123">
        <v>28</v>
      </c>
      <c r="C48" s="124">
        <f t="shared" si="2"/>
        <v>15173642677.640053</v>
      </c>
      <c r="D48" s="139">
        <f>IF($C$17&lt;B48,0,DCF!$C$16)</f>
        <v>6.1165848114484E-2</v>
      </c>
      <c r="E48" s="125">
        <f t="shared" si="0"/>
        <v>0.13199667788774846</v>
      </c>
      <c r="F48" s="126">
        <f t="shared" si="1"/>
        <v>2002870424.904247</v>
      </c>
      <c r="H48" s="121"/>
    </row>
    <row r="49" spans="1:8">
      <c r="B49" s="123">
        <v>29</v>
      </c>
      <c r="C49" s="124">
        <f t="shared" si="2"/>
        <v>16101751401.004036</v>
      </c>
      <c r="D49" s="139">
        <f>IF($C$17&lt;B49,0,DCF!$C$16)</f>
        <v>6.1165848114484E-2</v>
      </c>
      <c r="E49" s="125">
        <f t="shared" si="0"/>
        <v>0.1227876073374404</v>
      </c>
      <c r="F49" s="126">
        <f t="shared" si="1"/>
        <v>1977095528.4715645</v>
      </c>
      <c r="H49" s="121"/>
    </row>
    <row r="50" spans="1:8">
      <c r="B50" s="123">
        <v>30</v>
      </c>
      <c r="C50" s="124">
        <f t="shared" si="2"/>
        <v>17086628681.575027</v>
      </c>
      <c r="D50" s="139">
        <f>IF($C$17&lt;B50,0,DCF!$C$16)</f>
        <v>6.1165848114484E-2</v>
      </c>
      <c r="E50" s="125">
        <f t="shared" si="0"/>
        <v>0.11422103008133992</v>
      </c>
      <c r="F50" s="126">
        <f t="shared" si="1"/>
        <v>1951652328.6268668</v>
      </c>
      <c r="H50" s="121"/>
    </row>
    <row r="51" spans="1:8">
      <c r="B51" s="127" t="s">
        <v>132</v>
      </c>
      <c r="C51" s="124">
        <f>C$21*(1+Terminal_Growth)^$C$17/Equity_Cost</f>
        <v>40726815051.115051</v>
      </c>
      <c r="D51" s="140">
        <f>Terminal_Growth</f>
        <v>0</v>
      </c>
      <c r="E51" s="125">
        <f>1/(1+Equity_Cost)^C17</f>
        <v>0.11422103008133992</v>
      </c>
      <c r="F51" s="126">
        <f t="shared" si="1"/>
        <v>4651858767.0705795</v>
      </c>
      <c r="H51" s="121"/>
    </row>
    <row r="52" spans="1:8">
      <c r="C52" s="115"/>
      <c r="E52" s="128" t="s">
        <v>101</v>
      </c>
      <c r="F52" s="138">
        <f>SUM(F21:F51)</f>
        <v>75742904928.80658</v>
      </c>
      <c r="H52" s="121"/>
    </row>
    <row r="53" spans="1:8">
      <c r="C53" s="115"/>
      <c r="H53" s="121"/>
    </row>
    <row r="54" spans="1:8" ht="13.15">
      <c r="B54" s="120" t="s">
        <v>130</v>
      </c>
      <c r="C54" s="137"/>
      <c r="D54" s="137"/>
      <c r="E54" s="118"/>
      <c r="F54" s="118"/>
      <c r="H54" s="121"/>
    </row>
    <row r="55" spans="1:8" ht="13.15">
      <c r="A55" s="134">
        <f>F52</f>
        <v>75742904928.80658</v>
      </c>
      <c r="B55" s="132">
        <f>C78</f>
        <v>0.02</v>
      </c>
      <c r="C55" s="132">
        <f>C77</f>
        <v>0.04</v>
      </c>
      <c r="D55" s="132">
        <f>C76</f>
        <v>0.06</v>
      </c>
      <c r="E55" s="132">
        <f>C75</f>
        <v>0.08</v>
      </c>
      <c r="F55" s="132">
        <f>C74</f>
        <v>0.1</v>
      </c>
      <c r="H55" s="121"/>
    </row>
    <row r="56" spans="1:8" ht="13.15">
      <c r="A56" s="144">
        <v>5</v>
      </c>
      <c r="B56" s="124">
        <f t="dataTable" ref="B56:F61" dt2D="1" dtr="1" r1="C16" r2="C17"/>
        <v>39596339186.260689</v>
      </c>
      <c r="C56" s="124">
        <v>40848820863.516129</v>
      </c>
      <c r="D56" s="124">
        <v>42138315498.105873</v>
      </c>
      <c r="E56" s="124">
        <v>43466429979.691544</v>
      </c>
      <c r="F56" s="124">
        <v>44834820280.53244</v>
      </c>
      <c r="H56" s="121"/>
    </row>
    <row r="57" spans="1:8" ht="13.15">
      <c r="A57" s="144">
        <v>10</v>
      </c>
      <c r="B57" s="124">
        <v>40803177916.837173</v>
      </c>
      <c r="C57" s="124">
        <v>43468438157.858795</v>
      </c>
      <c r="D57" s="124">
        <v>46404076406.755714</v>
      </c>
      <c r="E57" s="124">
        <v>49642323825.236481</v>
      </c>
      <c r="F57" s="124">
        <v>53218980969.338028</v>
      </c>
      <c r="H57" s="121"/>
    </row>
    <row r="58" spans="1:8" ht="13.15">
      <c r="A58" s="144">
        <v>15</v>
      </c>
      <c r="B58" s="124">
        <v>42331177078.285492</v>
      </c>
      <c r="C58" s="124">
        <v>46961651871.472122</v>
      </c>
      <c r="D58" s="124">
        <v>52406230774.770988</v>
      </c>
      <c r="E58" s="124">
        <v>58827281712.872398</v>
      </c>
      <c r="F58" s="124">
        <v>66419114555.101921</v>
      </c>
      <c r="H58" s="121"/>
    </row>
    <row r="59" spans="1:8" ht="13.15">
      <c r="A59" s="145">
        <v>20</v>
      </c>
      <c r="B59" s="124">
        <v>43924141132.698708</v>
      </c>
      <c r="C59" s="124">
        <v>50808881050.849945</v>
      </c>
      <c r="D59" s="124">
        <v>59412252908.786789</v>
      </c>
      <c r="E59" s="124">
        <v>70222850565.406799</v>
      </c>
      <c r="F59" s="124">
        <v>83870420432.174713</v>
      </c>
      <c r="H59" s="121"/>
    </row>
    <row r="60" spans="1:8" ht="13.15">
      <c r="A60" s="145">
        <v>25</v>
      </c>
      <c r="B60" s="124">
        <v>45440275259.016052</v>
      </c>
      <c r="C60" s="124">
        <v>54687025300.033524</v>
      </c>
      <c r="D60" s="124">
        <v>66925847320.651321</v>
      </c>
      <c r="E60" s="124">
        <v>83275551526.087418</v>
      </c>
      <c r="F60" s="124">
        <v>105288696583.767</v>
      </c>
      <c r="H60" s="121"/>
    </row>
    <row r="61" spans="1:8" ht="13.15">
      <c r="A61" s="145">
        <v>30</v>
      </c>
      <c r="B61" s="124">
        <v>46809004982.555786</v>
      </c>
      <c r="C61" s="124">
        <v>58403923514.272064</v>
      </c>
      <c r="D61" s="124">
        <v>74614320130.31102</v>
      </c>
      <c r="E61" s="124">
        <v>97602607801.264603</v>
      </c>
      <c r="F61" s="124">
        <v>130598498314.58786</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42.631598006049096</v>
      </c>
      <c r="C65" s="125">
        <f>C12</f>
        <v>42.631598006049096</v>
      </c>
      <c r="D65" s="125">
        <f>C12</f>
        <v>42.631598006049096</v>
      </c>
      <c r="E65" s="142">
        <f>C12</f>
        <v>42.631598006049096</v>
      </c>
      <c r="F65" s="125">
        <f>C12</f>
        <v>42.631598006049096</v>
      </c>
      <c r="H65" s="121"/>
    </row>
    <row r="66" spans="1:8" ht="13.15">
      <c r="A66" s="144">
        <f t="shared" ref="A66:A71" si="3">A56</f>
        <v>5</v>
      </c>
      <c r="B66" s="125">
        <f t="shared" ref="B66:F71" si="4">(B56-$C$7+$C$8+$C$9)/Common_Shares*$C$3*Exchange_Rate</f>
        <v>43.598454566849774</v>
      </c>
      <c r="C66" s="125">
        <f t="shared" si="4"/>
        <v>44.593477546213904</v>
      </c>
      <c r="D66" s="125">
        <f t="shared" si="4"/>
        <v>45.617905141829638</v>
      </c>
      <c r="E66" s="125">
        <f t="shared" si="4"/>
        <v>46.67301393296168</v>
      </c>
      <c r="F66" s="125">
        <f t="shared" si="4"/>
        <v>47.760119492109908</v>
      </c>
      <c r="H66" s="121"/>
    </row>
    <row r="67" spans="1:8" ht="13.15">
      <c r="A67" s="144">
        <f t="shared" si="3"/>
        <v>10</v>
      </c>
      <c r="B67" s="125">
        <f t="shared" si="4"/>
        <v>44.557216911335018</v>
      </c>
      <c r="C67" s="125">
        <f t="shared" si="4"/>
        <v>46.674609312326787</v>
      </c>
      <c r="D67" s="125">
        <f t="shared" si="4"/>
        <v>49.006801127821895</v>
      </c>
      <c r="E67" s="125">
        <f t="shared" si="4"/>
        <v>51.579398118873748</v>
      </c>
      <c r="F67" s="125">
        <f t="shared" si="4"/>
        <v>54.420841720257563</v>
      </c>
      <c r="H67" s="121"/>
    </row>
    <row r="68" spans="1:8" ht="13.15">
      <c r="A68" s="144">
        <f t="shared" si="3"/>
        <v>15</v>
      </c>
      <c r="B68" s="125">
        <f t="shared" si="4"/>
        <v>45.771122316659458</v>
      </c>
      <c r="C68" s="125">
        <f t="shared" si="4"/>
        <v>49.449762019144622</v>
      </c>
      <c r="D68" s="125">
        <f t="shared" si="4"/>
        <v>53.775159524052519</v>
      </c>
      <c r="E68" s="125">
        <f t="shared" si="4"/>
        <v>58.876306591591998</v>
      </c>
      <c r="F68" s="125">
        <f t="shared" si="4"/>
        <v>64.907570977082131</v>
      </c>
      <c r="H68" s="121"/>
    </row>
    <row r="69" spans="1:8" ht="13.15">
      <c r="A69" s="145">
        <f t="shared" si="3"/>
        <v>20</v>
      </c>
      <c r="B69" s="125">
        <f t="shared" si="4"/>
        <v>47.036638506018406</v>
      </c>
      <c r="C69" s="125">
        <f t="shared" si="4"/>
        <v>52.506159178382596</v>
      </c>
      <c r="D69" s="125">
        <f t="shared" si="4"/>
        <v>59.341031779010621</v>
      </c>
      <c r="E69" s="125">
        <f t="shared" si="4"/>
        <v>67.92941537322676</v>
      </c>
      <c r="F69" s="125">
        <f t="shared" si="4"/>
        <v>78.771606422016063</v>
      </c>
      <c r="H69" s="121"/>
    </row>
    <row r="70" spans="1:8" ht="13.15">
      <c r="A70" s="145">
        <f t="shared" si="3"/>
        <v>25</v>
      </c>
      <c r="B70" s="125">
        <f t="shared" si="4"/>
        <v>48.241117839232828</v>
      </c>
      <c r="C70" s="125">
        <f t="shared" si="4"/>
        <v>55.587116541114149</v>
      </c>
      <c r="D70" s="125">
        <f t="shared" si="4"/>
        <v>65.310140336199026</v>
      </c>
      <c r="E70" s="125">
        <f t="shared" si="4"/>
        <v>78.299018086382191</v>
      </c>
      <c r="F70" s="125">
        <f t="shared" si="4"/>
        <v>95.787166279068259</v>
      </c>
    </row>
    <row r="71" spans="1:8" ht="13.15">
      <c r="A71" s="145">
        <f t="shared" si="3"/>
        <v>30</v>
      </c>
      <c r="B71" s="125">
        <f t="shared" si="4"/>
        <v>49.328493049738988</v>
      </c>
      <c r="C71" s="125">
        <f t="shared" si="4"/>
        <v>58.539973419012071</v>
      </c>
      <c r="D71" s="125">
        <f t="shared" si="4"/>
        <v>71.41817948819012</v>
      </c>
      <c r="E71" s="125">
        <f t="shared" si="4"/>
        <v>89.68102109634475</v>
      </c>
      <c r="F71" s="125">
        <f t="shared" si="4"/>
        <v>115.89431417803162</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115.89431417803162</v>
      </c>
      <c r="F74" s="143">
        <f>Scenarios!C58</f>
        <v>0.05</v>
      </c>
    </row>
    <row r="75" spans="1:8">
      <c r="B75" s="128" t="str">
        <f>Scenarios!B36</f>
        <v>Optimistic</v>
      </c>
      <c r="C75" s="143">
        <f>Scenarios!C38</f>
        <v>0.08</v>
      </c>
      <c r="D75" s="146">
        <f>Scenarios!C37</f>
        <v>30</v>
      </c>
      <c r="E75" s="136">
        <f>INDEX(B$65:F$71, MATCH(D75, A$65:A$71, 0), MATCH(C75, B$64:F$64, 0))</f>
        <v>89.68102109634475</v>
      </c>
      <c r="F75" s="143">
        <f>Scenarios!C40*(1-F$74-F$78)</f>
        <v>0.18</v>
      </c>
      <c r="H75" s="121"/>
    </row>
    <row r="76" spans="1:8">
      <c r="B76" s="128" t="str">
        <f>Scenarios!B24</f>
        <v>Base</v>
      </c>
      <c r="C76" s="143">
        <f>Scenarios!C26</f>
        <v>0.06</v>
      </c>
      <c r="D76" s="146">
        <f>Scenarios!C25</f>
        <v>30</v>
      </c>
      <c r="E76" s="136">
        <f>INDEX(B$65:F$71, MATCH(D76, A$65:A$71, 0), MATCH(C76, B$64:F$64, 0))</f>
        <v>71.41817948819012</v>
      </c>
      <c r="F76" s="143">
        <f>Scenarios!C28*(1-F$74-F$78)</f>
        <v>0.44999999999999996</v>
      </c>
      <c r="H76" s="121"/>
    </row>
    <row r="77" spans="1:8">
      <c r="B77" s="128" t="str">
        <f>Scenarios!B30</f>
        <v>Pessimistic</v>
      </c>
      <c r="C77" s="143">
        <f>Scenarios!C32</f>
        <v>0.04</v>
      </c>
      <c r="D77" s="146">
        <f>Scenarios!C31</f>
        <v>30</v>
      </c>
      <c r="E77" s="136">
        <f>INDEX(B$65:F$71, MATCH(D77, A$65:A$71, 0), MATCH(C77, B$64:F$64, 0))</f>
        <v>58.539973419012071</v>
      </c>
      <c r="F77" s="143">
        <f>Scenarios!C34*(1-F$74-F$78)</f>
        <v>0.26999999999999996</v>
      </c>
      <c r="H77" s="121"/>
    </row>
    <row r="78" spans="1:8">
      <c r="B78" s="128" t="str">
        <f>Scenarios!B48</f>
        <v>Devil's advocate</v>
      </c>
      <c r="C78" s="143">
        <f>Scenarios!C50</f>
        <v>0.02</v>
      </c>
      <c r="D78" s="146">
        <f>Scenarios!C49</f>
        <v>30</v>
      </c>
      <c r="E78" s="136">
        <f>INDEX(B$65:F$71, MATCH(D78, A$65:A$71, 0), MATCH(C78, B$64:F$64, 0))</f>
        <v>49.328493049738988</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v>
      </c>
      <c r="E3" s="109" t="s">
        <v>125</v>
      </c>
      <c r="H3" s="121"/>
    </row>
    <row r="4" spans="2:8">
      <c r="B4" s="100" t="s">
        <v>442</v>
      </c>
      <c r="C4" s="110">
        <f>Normalized_FCF!C91</f>
        <v>2769242265.8648987</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36923230211.531982</v>
      </c>
      <c r="D6" t="str">
        <f>Reporting_currency</f>
        <v>CNY</v>
      </c>
      <c r="E6" s="355"/>
      <c r="F6" s="355"/>
      <c r="H6" s="121"/>
    </row>
    <row r="7" spans="2:8" ht="13.15">
      <c r="B7" s="150" t="s">
        <v>446</v>
      </c>
      <c r="C7" s="112">
        <f>(C6*scaling_factor)/Common_Shares*Exchange_Rate</f>
        <v>29.333333333333336</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6.1165848114484E-2</v>
      </c>
      <c r="H11" s="121"/>
    </row>
    <row r="12" spans="2:8" ht="13.25" customHeight="1">
      <c r="B12" s="119" t="s">
        <v>135</v>
      </c>
      <c r="C12" s="163">
        <f>Scenarios!C64</f>
        <v>30</v>
      </c>
      <c r="H12" s="121"/>
    </row>
    <row r="13" spans="2:8" ht="13.25" customHeight="1">
      <c r="B13" s="154" t="s">
        <v>107</v>
      </c>
      <c r="C13" s="141">
        <f>F47/Common_Shares*scaling_factor</f>
        <v>53.415517327730171</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2938625317.6910005</v>
      </c>
      <c r="D16" s="139">
        <f>IF($C$12&lt;B16,0,DDM!$C$11)</f>
        <v>6.1165848114484E-2</v>
      </c>
      <c r="E16" s="125">
        <f t="shared" ref="E16:E45" si="0">IF($C$12&lt;B16,0,1/(1+Equity_Cost)^B16)</f>
        <v>0.93023255813953487</v>
      </c>
      <c r="F16" s="126">
        <f t="shared" ref="F16:F46" si="1">C16*E16</f>
        <v>2733604946.6893029</v>
      </c>
      <c r="H16" s="121"/>
    </row>
    <row r="17" spans="2:8">
      <c r="B17" s="123">
        <v>2</v>
      </c>
      <c r="C17" s="124">
        <f t="shared" ref="C17:C45" si="2">IF(ROW()-ROW($C$16)&lt;$C$12, $C$16*(1+D17)^(ROW()-ROW($C$16)), 0)</f>
        <v>3118368827.5382652</v>
      </c>
      <c r="D17" s="139">
        <f>IF($C$12&lt;B17,0,DDM!$C$11)</f>
        <v>6.1165848114484E-2</v>
      </c>
      <c r="E17" s="125">
        <f t="shared" si="0"/>
        <v>0.86533261222282321</v>
      </c>
      <c r="F17" s="126">
        <f t="shared" si="1"/>
        <v>2698426243.4079094</v>
      </c>
      <c r="H17" s="121"/>
    </row>
    <row r="18" spans="2:8">
      <c r="B18" s="123">
        <v>3</v>
      </c>
      <c r="C18" s="124">
        <f t="shared" si="2"/>
        <v>3309106501.6084118</v>
      </c>
      <c r="D18" s="139">
        <f>IF($C$12&lt;B18,0,DDM!$C$11)</f>
        <v>6.1165848114484E-2</v>
      </c>
      <c r="E18" s="125">
        <f t="shared" si="0"/>
        <v>0.80496056950960304</v>
      </c>
      <c r="F18" s="126">
        <f t="shared" si="1"/>
        <v>2663700254.1026373</v>
      </c>
      <c r="H18" s="121"/>
    </row>
    <row r="19" spans="2:8">
      <c r="B19" s="123">
        <v>4</v>
      </c>
      <c r="C19" s="124">
        <f t="shared" si="2"/>
        <v>3511510807.2804427</v>
      </c>
      <c r="D19" s="139">
        <f>IF($C$12&lt;B19,0,DDM!$C$11)</f>
        <v>6.1165848114484E-2</v>
      </c>
      <c r="E19" s="125">
        <f t="shared" si="0"/>
        <v>0.7488005297763749</v>
      </c>
      <c r="F19" s="126">
        <f t="shared" si="1"/>
        <v>2629421152.8070612</v>
      </c>
      <c r="H19" s="121"/>
    </row>
    <row r="20" spans="2:8">
      <c r="B20" s="123">
        <v>5</v>
      </c>
      <c r="C20" s="124">
        <f t="shared" si="2"/>
        <v>3726295343.9709272</v>
      </c>
      <c r="D20" s="139">
        <f>IF($C$12&lt;B20,0,DDM!$C$11)</f>
        <v>6.1165848114484E-2</v>
      </c>
      <c r="E20" s="125">
        <f t="shared" si="0"/>
        <v>0.69655863235011617</v>
      </c>
      <c r="F20" s="126">
        <f t="shared" si="1"/>
        <v>2595583188.5289946</v>
      </c>
      <c r="H20" s="121"/>
    </row>
    <row r="21" spans="2:8">
      <c r="B21" s="123">
        <v>6</v>
      </c>
      <c r="C21" s="124">
        <f t="shared" si="2"/>
        <v>3954217359.0099616</v>
      </c>
      <c r="D21" s="139">
        <f>IF($C$12&lt;B21,0,DDM!$C$11)</f>
        <v>6.1165848114484E-2</v>
      </c>
      <c r="E21" s="125">
        <f t="shared" si="0"/>
        <v>0.64796151846522443</v>
      </c>
      <c r="F21" s="126">
        <f t="shared" si="1"/>
        <v>2562180684.2856441</v>
      </c>
      <c r="H21" s="121"/>
    </row>
    <row r="22" spans="2:8">
      <c r="B22" s="123">
        <v>7</v>
      </c>
      <c r="C22" s="124">
        <f t="shared" si="2"/>
        <v>4196080417.4028201</v>
      </c>
      <c r="D22" s="139">
        <f>IF($C$12&lt;B22,0,DDM!$C$11)</f>
        <v>6.1165848114484E-2</v>
      </c>
      <c r="E22" s="125">
        <f t="shared" si="0"/>
        <v>0.60275490089788319</v>
      </c>
      <c r="F22" s="126">
        <f t="shared" si="1"/>
        <v>2529208036.151185</v>
      </c>
      <c r="H22" s="121"/>
    </row>
    <row r="23" spans="2:8">
      <c r="B23" s="123">
        <v>8</v>
      </c>
      <c r="C23" s="124">
        <f t="shared" si="2"/>
        <v>4452737234.8898411</v>
      </c>
      <c r="D23" s="139">
        <f>IF($C$12&lt;B23,0,DDM!$C$11)</f>
        <v>6.1165848114484E-2</v>
      </c>
      <c r="E23" s="125">
        <f t="shared" si="0"/>
        <v>0.56070223339337966</v>
      </c>
      <c r="F23" s="126">
        <f t="shared" si="1"/>
        <v>2496659712.3165956</v>
      </c>
      <c r="H23" s="121"/>
    </row>
    <row r="24" spans="2:8">
      <c r="B24" s="123">
        <v>9</v>
      </c>
      <c r="C24" s="124">
        <f t="shared" si="2"/>
        <v>4725092684.29282</v>
      </c>
      <c r="D24" s="139">
        <f>IF($C$12&lt;B24,0,DDM!$C$11)</f>
        <v>6.1165848114484E-2</v>
      </c>
      <c r="E24" s="125">
        <f t="shared" si="0"/>
        <v>0.52158347292407414</v>
      </c>
      <c r="F24" s="126">
        <f t="shared" si="1"/>
        <v>2464530252.1615849</v>
      </c>
      <c r="H24" s="121"/>
    </row>
    <row r="25" spans="2:8">
      <c r="B25" s="123">
        <v>10</v>
      </c>
      <c r="C25" s="124">
        <f t="shared" si="2"/>
        <v>5014106985.7471342</v>
      </c>
      <c r="D25" s="139">
        <f>IF($C$12&lt;B25,0,DDM!$C$11)</f>
        <v>6.1165848114484E-2</v>
      </c>
      <c r="E25" s="125">
        <f t="shared" si="0"/>
        <v>0.48519392830146441</v>
      </c>
      <c r="F25" s="126">
        <f t="shared" si="1"/>
        <v>2432814265.3384666</v>
      </c>
      <c r="H25" s="121"/>
    </row>
    <row r="26" spans="2:8">
      <c r="B26" s="123">
        <v>11</v>
      </c>
      <c r="C26" s="124">
        <f t="shared" si="2"/>
        <v>5320799092.0671148</v>
      </c>
      <c r="D26" s="139">
        <f>IF($C$12&lt;B26,0,DDM!$C$11)</f>
        <v>6.1165848114484E-2</v>
      </c>
      <c r="E26" s="125">
        <f t="shared" si="0"/>
        <v>0.45134318911764126</v>
      </c>
      <c r="F26" s="126">
        <f t="shared" si="1"/>
        <v>2401506430.8678217</v>
      </c>
      <c r="H26" s="121"/>
    </row>
    <row r="27" spans="2:8">
      <c r="B27" s="123">
        <v>12</v>
      </c>
      <c r="C27" s="124">
        <f t="shared" si="2"/>
        <v>5646250281.1801758</v>
      </c>
      <c r="D27" s="139">
        <f>IF($C$12&lt;B27,0,DDM!$C$11)</f>
        <v>6.1165848114484E-2</v>
      </c>
      <c r="E27" s="125">
        <f t="shared" si="0"/>
        <v>0.41985412941175931</v>
      </c>
      <c r="F27" s="126">
        <f t="shared" si="1"/>
        <v>2370601496.2458038</v>
      </c>
      <c r="H27" s="121"/>
    </row>
    <row r="28" spans="2:8">
      <c r="B28" s="123">
        <v>13</v>
      </c>
      <c r="C28" s="124">
        <f t="shared" si="2"/>
        <v>5991607968.2952042</v>
      </c>
      <c r="D28" s="139">
        <f>IF($C$12&lt;B28,0,DDM!$C$11)</f>
        <v>6.1165848114484E-2</v>
      </c>
      <c r="E28" s="125">
        <f t="shared" si="0"/>
        <v>0.39056198084814819</v>
      </c>
      <c r="F28" s="126">
        <f t="shared" si="1"/>
        <v>2340094276.5629234</v>
      </c>
      <c r="H28" s="121"/>
    </row>
    <row r="29" spans="2:8">
      <c r="B29" s="123">
        <v>14</v>
      </c>
      <c r="C29" s="124">
        <f t="shared" si="2"/>
        <v>6358089751.2454805</v>
      </c>
      <c r="D29" s="139">
        <f>IF($C$12&lt;B29,0,DDM!$C$11)</f>
        <v>6.1165848114484E-2</v>
      </c>
      <c r="E29" s="125">
        <f t="shared" si="0"/>
        <v>0.36331347055641694</v>
      </c>
      <c r="F29" s="126">
        <f t="shared" si="1"/>
        <v>2309979653.634181</v>
      </c>
      <c r="H29" s="121"/>
    </row>
    <row r="30" spans="2:8">
      <c r="B30" s="123">
        <v>15</v>
      </c>
      <c r="C30" s="124">
        <f t="shared" si="2"/>
        <v>6746987703.2684174</v>
      </c>
      <c r="D30" s="139">
        <f>IF($C$12&lt;B30,0,DDM!$C$11)</f>
        <v>6.1165848114484E-2</v>
      </c>
      <c r="E30" s="125">
        <f t="shared" si="0"/>
        <v>0.33796601912224833</v>
      </c>
      <c r="F30" s="126">
        <f t="shared" si="1"/>
        <v>2280252575.1403885</v>
      </c>
      <c r="H30" s="121"/>
    </row>
    <row r="31" spans="2:8">
      <c r="B31" s="123">
        <v>16</v>
      </c>
      <c r="C31" s="124">
        <f t="shared" si="2"/>
        <v>7159672928.3568239</v>
      </c>
      <c r="D31" s="139">
        <f>IF($C$12&lt;B31,0,DDM!$C$11)</f>
        <v>6.1165848114484E-2</v>
      </c>
      <c r="E31" s="125">
        <f t="shared" si="0"/>
        <v>0.31438699453232405</v>
      </c>
      <c r="F31" s="126">
        <f t="shared" si="1"/>
        <v>2250908053.7805452</v>
      </c>
      <c r="H31" s="121"/>
    </row>
    <row r="32" spans="2:8">
      <c r="B32" s="123">
        <v>17</v>
      </c>
      <c r="C32" s="124">
        <f t="shared" si="2"/>
        <v>7597600395.2420807</v>
      </c>
      <c r="D32" s="139">
        <f>IF($C$12&lt;B32,0,DDM!$C$11)</f>
        <v>6.1165848114484E-2</v>
      </c>
      <c r="E32" s="125">
        <f t="shared" si="0"/>
        <v>0.29245301816960378</v>
      </c>
      <c r="F32" s="126">
        <f t="shared" si="1"/>
        <v>2221941166.4351211</v>
      </c>
      <c r="H32" s="121"/>
    </row>
    <row r="33" spans="2:8">
      <c r="B33" s="123">
        <v>18</v>
      </c>
      <c r="C33" s="124">
        <f t="shared" si="2"/>
        <v>8062314067.052001</v>
      </c>
      <c r="D33" s="139">
        <f>IF($C$12&lt;B33,0,DDM!$C$11)</f>
        <v>6.1165848114484E-2</v>
      </c>
      <c r="E33" s="125">
        <f t="shared" si="0"/>
        <v>0.27204931922753844</v>
      </c>
      <c r="F33" s="126">
        <f t="shared" si="1"/>
        <v>2193347053.3401036</v>
      </c>
      <c r="H33" s="121"/>
    </row>
    <row r="34" spans="2:8">
      <c r="B34" s="123">
        <v>19</v>
      </c>
      <c r="C34" s="124">
        <f t="shared" si="2"/>
        <v>8555452344.728569</v>
      </c>
      <c r="D34" s="139">
        <f>IF($C$12&lt;B34,0,DDM!$C$11)</f>
        <v>6.1165848114484E-2</v>
      </c>
      <c r="E34" s="125">
        <f t="shared" si="0"/>
        <v>0.25306913416515198</v>
      </c>
      <c r="F34" s="126">
        <f t="shared" si="1"/>
        <v>2165120917.2716784</v>
      </c>
      <c r="H34" s="121"/>
    </row>
    <row r="35" spans="2:8">
      <c r="B35" s="123">
        <v>20</v>
      </c>
      <c r="C35" s="124">
        <f t="shared" si="2"/>
        <v>9078753843.3969421</v>
      </c>
      <c r="D35" s="139">
        <f>IF($C$12&lt;B35,0,DDM!$C$11)</f>
        <v>6.1165848114484E-2</v>
      </c>
      <c r="E35" s="125">
        <f t="shared" si="0"/>
        <v>0.23541314806060654</v>
      </c>
      <c r="F35" s="126">
        <f t="shared" si="1"/>
        <v>2137258022.741405</v>
      </c>
      <c r="H35" s="121"/>
    </row>
    <row r="36" spans="2:8">
      <c r="B36" s="123">
        <v>21</v>
      </c>
      <c r="C36" s="124">
        <f t="shared" si="2"/>
        <v>9634063522.0509472</v>
      </c>
      <c r="D36" s="139">
        <f>IF($C$12&lt;B36,0,DDM!$C$11)</f>
        <v>6.1165848114484E-2</v>
      </c>
      <c r="E36" s="125">
        <f t="shared" si="0"/>
        <v>0.21898897494009908</v>
      </c>
      <c r="F36" s="126">
        <f t="shared" si="1"/>
        <v>2109753695.2017376</v>
      </c>
      <c r="H36" s="121"/>
    </row>
    <row r="37" spans="2:8">
      <c r="B37" s="123">
        <v>22</v>
      </c>
      <c r="C37" s="124">
        <f t="shared" si="2"/>
        <v>10223339188.166004</v>
      </c>
      <c r="D37" s="139">
        <f>IF($C$12&lt;B37,0,DDM!$C$11)</f>
        <v>6.1165848114484E-2</v>
      </c>
      <c r="E37" s="125">
        <f t="shared" si="0"/>
        <v>0.20371067436288287</v>
      </c>
      <c r="F37" s="126">
        <f t="shared" si="1"/>
        <v>2082603320.2617843</v>
      </c>
      <c r="H37" s="121"/>
    </row>
    <row r="38" spans="2:8">
      <c r="B38" s="123">
        <v>23</v>
      </c>
      <c r="C38" s="124">
        <f t="shared" si="2"/>
        <v>10848658400.172216</v>
      </c>
      <c r="D38" s="139">
        <f>IF($C$12&lt;B38,0,DDM!$C$11)</f>
        <v>6.1165848114484E-2</v>
      </c>
      <c r="E38" s="125">
        <f t="shared" si="0"/>
        <v>0.18949830173291429</v>
      </c>
      <c r="F38" s="126">
        <f t="shared" si="1"/>
        <v>2055802342.9131498</v>
      </c>
      <c r="H38" s="121"/>
    </row>
    <row r="39" spans="2:8">
      <c r="B39" s="123">
        <v>24</v>
      </c>
      <c r="C39" s="124">
        <f t="shared" si="2"/>
        <v>11512225792.123068</v>
      </c>
      <c r="D39" s="139">
        <f>IF($C$12&lt;B39,0,DDM!$C$11)</f>
        <v>6.1165848114484E-2</v>
      </c>
      <c r="E39" s="125">
        <f t="shared" si="0"/>
        <v>0.17627748998410636</v>
      </c>
      <c r="F39" s="126">
        <f t="shared" si="1"/>
        <v>2029346266.7657449</v>
      </c>
      <c r="H39" s="121"/>
    </row>
    <row r="40" spans="2:8">
      <c r="B40" s="123">
        <v>25</v>
      </c>
      <c r="C40" s="124">
        <f t="shared" si="2"/>
        <v>12216380846.383713</v>
      </c>
      <c r="D40" s="139">
        <f>IF($C$12&lt;B40,0,DDM!$C$11)</f>
        <v>6.1165848114484E-2</v>
      </c>
      <c r="E40" s="125">
        <f t="shared" si="0"/>
        <v>0.16397906045033148</v>
      </c>
      <c r="F40" s="126">
        <f t="shared" si="1"/>
        <v>2003230653.2934265</v>
      </c>
      <c r="H40" s="121"/>
    </row>
    <row r="41" spans="2:8">
      <c r="B41" s="123">
        <v>26</v>
      </c>
      <c r="C41" s="124">
        <f t="shared" si="2"/>
        <v>12963606141.74231</v>
      </c>
      <c r="D41" s="139">
        <f>IF($C$12&lt;B41,0,DDM!$C$11)</f>
        <v>6.1165848114484E-2</v>
      </c>
      <c r="E41" s="125">
        <f t="shared" si="0"/>
        <v>0.15253866088402931</v>
      </c>
      <c r="F41" s="126">
        <f t="shared" si="1"/>
        <v>1977451121.0893497</v>
      </c>
      <c r="H41" s="121"/>
    </row>
    <row r="42" spans="2:8">
      <c r="B42" s="123">
        <v>27</v>
      </c>
      <c r="C42" s="124">
        <f t="shared" si="2"/>
        <v>13756536106.024111</v>
      </c>
      <c r="D42" s="139">
        <f>IF($C$12&lt;B42,0,DDM!$C$11)</f>
        <v>6.1165848114484E-2</v>
      </c>
      <c r="E42" s="125">
        <f t="shared" si="0"/>
        <v>0.14189642872932959</v>
      </c>
      <c r="F42" s="126">
        <f t="shared" si="1"/>
        <v>1952003345.1308994</v>
      </c>
      <c r="H42" s="121"/>
    </row>
    <row r="43" spans="2:8">
      <c r="B43" s="123">
        <v>28</v>
      </c>
      <c r="C43" s="124">
        <f t="shared" si="2"/>
        <v>14597966304.066593</v>
      </c>
      <c r="D43" s="139">
        <f>IF($C$12&lt;B43,0,DDM!$C$11)</f>
        <v>6.1165848114484E-2</v>
      </c>
      <c r="E43" s="125">
        <f t="shared" si="0"/>
        <v>0.13199667788774846</v>
      </c>
      <c r="F43" s="126">
        <f t="shared" si="1"/>
        <v>1926883056.0540841</v>
      </c>
      <c r="H43" s="121"/>
    </row>
    <row r="44" spans="2:8">
      <c r="B44" s="123">
        <v>29</v>
      </c>
      <c r="C44" s="124">
        <f t="shared" si="2"/>
        <v>15490863293.801485</v>
      </c>
      <c r="D44" s="139">
        <f>IF($C$12&lt;B44,0,DDM!$C$11)</f>
        <v>6.1165848114484E-2</v>
      </c>
      <c r="E44" s="125">
        <f t="shared" si="0"/>
        <v>0.1227876073374404</v>
      </c>
      <c r="F44" s="126">
        <f t="shared" si="1"/>
        <v>1902086039.4372654</v>
      </c>
      <c r="H44" s="121"/>
    </row>
    <row r="45" spans="2:8">
      <c r="B45" s="123">
        <v>30</v>
      </c>
      <c r="C45" s="124">
        <f t="shared" si="2"/>
        <v>16438375085.192381</v>
      </c>
      <c r="D45" s="139">
        <f>IF($C$12&lt;B45,0,DDM!$C$11)</f>
        <v>6.1165848114484E-2</v>
      </c>
      <c r="E45" s="125">
        <f t="shared" si="0"/>
        <v>0.11422103008133992</v>
      </c>
      <c r="F45" s="126">
        <f t="shared" si="1"/>
        <v>1877608135.0941076</v>
      </c>
      <c r="H45" s="121"/>
    </row>
    <row r="46" spans="2:8">
      <c r="B46" s="127" t="s">
        <v>132</v>
      </c>
      <c r="C46" s="124">
        <f>C$16*(1+F4)^$C$12/Equity_Cost</f>
        <v>39181670902.546677</v>
      </c>
      <c r="D46" s="140">
        <f>Terminal_Growth</f>
        <v>0</v>
      </c>
      <c r="E46" s="125">
        <f>1/(1+Equity_Cost)^C12</f>
        <v>0.11422103008133992</v>
      </c>
      <c r="F46" s="126">
        <f t="shared" si="1"/>
        <v>4475370810.7969446</v>
      </c>
      <c r="H46" s="121"/>
    </row>
    <row r="47" spans="2:8">
      <c r="C47" s="115"/>
      <c r="E47" s="128" t="s">
        <v>101</v>
      </c>
      <c r="F47" s="138">
        <f>SUM(F16:F46)</f>
        <v>72869277167.847839</v>
      </c>
      <c r="H47" s="121"/>
    </row>
    <row r="48" spans="2:8">
      <c r="C48" s="115"/>
      <c r="H48" s="121"/>
    </row>
    <row r="49" spans="1:8" ht="13.15">
      <c r="B49" s="120" t="s">
        <v>130</v>
      </c>
      <c r="C49" s="137"/>
      <c r="D49" s="137"/>
      <c r="E49" s="118"/>
      <c r="F49" s="118"/>
      <c r="H49" s="121"/>
    </row>
    <row r="50" spans="1:8" ht="13.15">
      <c r="A50" s="134">
        <f>F47</f>
        <v>72869277167.847839</v>
      </c>
      <c r="B50" s="132">
        <f>C73</f>
        <v>0.02</v>
      </c>
      <c r="C50" s="132">
        <f>C72</f>
        <v>0.04</v>
      </c>
      <c r="D50" s="132">
        <f>C71</f>
        <v>0.06</v>
      </c>
      <c r="E50" s="132">
        <f>C70</f>
        <v>0.08</v>
      </c>
      <c r="F50" s="132">
        <f>C69</f>
        <v>0.1</v>
      </c>
      <c r="H50" s="121"/>
    </row>
    <row r="51" spans="1:8" ht="13.15">
      <c r="A51" s="144">
        <v>5</v>
      </c>
      <c r="B51" s="124">
        <f t="dataTable" ref="B51:F56" dt2D="1" dtr="1" r1="C11" r2="C12"/>
        <v>38094084425.568222</v>
      </c>
      <c r="C51" s="124">
        <v>39299047907.934822</v>
      </c>
      <c r="D51" s="124">
        <v>40539620104.402512</v>
      </c>
      <c r="E51" s="124">
        <v>41817346940.470711</v>
      </c>
      <c r="F51" s="124">
        <v>43133821562.080414</v>
      </c>
      <c r="H51" s="121"/>
    </row>
    <row r="52" spans="1:8" ht="13.15">
      <c r="A52" s="144">
        <v>10</v>
      </c>
      <c r="B52" s="124">
        <v>39255136619.670502</v>
      </c>
      <c r="C52" s="124">
        <v>41819278929.897438</v>
      </c>
      <c r="D52" s="124">
        <v>44643541313.608154</v>
      </c>
      <c r="E52" s="124">
        <v>47758932106.939072</v>
      </c>
      <c r="F52" s="124">
        <v>51199893620.269882</v>
      </c>
      <c r="H52" s="121"/>
    </row>
    <row r="53" spans="1:8" ht="13.15">
      <c r="A53" s="144">
        <v>15</v>
      </c>
      <c r="B53" s="124">
        <v>40725164664.046043</v>
      </c>
      <c r="C53" s="124">
        <v>45179962792.538773</v>
      </c>
      <c r="D53" s="124">
        <v>50417978545.164238</v>
      </c>
      <c r="E53" s="124">
        <v>56595419731.994522</v>
      </c>
      <c r="F53" s="124">
        <v>63899224254.838959</v>
      </c>
      <c r="H53" s="121"/>
    </row>
    <row r="54" spans="1:8" ht="13.15">
      <c r="A54" s="145">
        <v>20</v>
      </c>
      <c r="B54" s="124">
        <v>42257692883.138794</v>
      </c>
      <c r="C54" s="124">
        <v>48881231045.503471</v>
      </c>
      <c r="D54" s="124">
        <v>57158197569.078552</v>
      </c>
      <c r="E54" s="124">
        <v>67558649436.230637</v>
      </c>
      <c r="F54" s="124">
        <v>80688440962.233429</v>
      </c>
      <c r="H54" s="121"/>
    </row>
    <row r="55" spans="1:8" ht="13.15">
      <c r="A55" s="145">
        <v>25</v>
      </c>
      <c r="B55" s="124">
        <v>43716306042.722458</v>
      </c>
      <c r="C55" s="124">
        <v>52612241474.219887</v>
      </c>
      <c r="D55" s="124">
        <v>64386731967.641342</v>
      </c>
      <c r="E55" s="124">
        <v>80116140926.514511</v>
      </c>
      <c r="F55" s="124">
        <v>101294124132.35838</v>
      </c>
      <c r="H55" s="121"/>
    </row>
    <row r="56" spans="1:8" ht="13.15">
      <c r="A56" s="145">
        <v>30</v>
      </c>
      <c r="B56" s="124">
        <v>45033107209.593933</v>
      </c>
      <c r="C56" s="124">
        <v>56188123418.972404</v>
      </c>
      <c r="D56" s="124">
        <v>71783510011.619949</v>
      </c>
      <c r="E56" s="124">
        <v>93899639667.373932</v>
      </c>
      <c r="F56" s="124">
        <v>125643691383.83875</v>
      </c>
      <c r="H56" s="121"/>
    </row>
    <row r="57" spans="1:8">
      <c r="C57" s="115"/>
      <c r="D57" s="115"/>
      <c r="E57" s="115"/>
      <c r="F57" s="115"/>
      <c r="H57" s="121"/>
    </row>
    <row r="58" spans="1:8" ht="13.15">
      <c r="B58" s="120" t="s">
        <v>131</v>
      </c>
      <c r="C58" s="115"/>
      <c r="D58" s="115"/>
      <c r="E58" s="115"/>
      <c r="F58" s="115"/>
      <c r="H58" s="121"/>
    </row>
    <row r="59" spans="1:8" ht="13.15">
      <c r="B59" s="133">
        <f>B50</f>
        <v>0.02</v>
      </c>
      <c r="C59" s="133">
        <f>C50</f>
        <v>0.04</v>
      </c>
      <c r="D59" s="133">
        <f>D50</f>
        <v>0.06</v>
      </c>
      <c r="E59" s="133">
        <f>E50</f>
        <v>0.08</v>
      </c>
      <c r="F59" s="133">
        <f>F50</f>
        <v>0.1</v>
      </c>
      <c r="H59" s="121"/>
    </row>
    <row r="60" spans="1:8" ht="13.15">
      <c r="A60" s="144">
        <v>0</v>
      </c>
      <c r="B60" s="125">
        <f>C7</f>
        <v>29.333333333333336</v>
      </c>
      <c r="C60" s="125">
        <f>C7</f>
        <v>29.333333333333336</v>
      </c>
      <c r="D60" s="125">
        <f>C7</f>
        <v>29.333333333333336</v>
      </c>
      <c r="E60" s="142">
        <f>C7</f>
        <v>29.333333333333336</v>
      </c>
      <c r="F60" s="125">
        <f>C7</f>
        <v>29.333333333333336</v>
      </c>
      <c r="H60" s="121"/>
    </row>
    <row r="61" spans="1:8" ht="13.15">
      <c r="A61" s="144">
        <f t="shared" ref="A61:A66" si="3">A51</f>
        <v>5</v>
      </c>
      <c r="B61" s="125">
        <f t="shared" ref="B61:F66" si="4">B51/Common_Shares*$C$3*Exchange_Rate</f>
        <v>30.263508097250288</v>
      </c>
      <c r="C61" s="125">
        <f t="shared" si="4"/>
        <v>31.220780667398131</v>
      </c>
      <c r="D61" s="125">
        <f t="shared" si="4"/>
        <v>32.206342265193726</v>
      </c>
      <c r="E61" s="125">
        <f t="shared" si="4"/>
        <v>33.221421037462896</v>
      </c>
      <c r="F61" s="125">
        <f t="shared" si="4"/>
        <v>34.267282644893186</v>
      </c>
      <c r="H61" s="121"/>
    </row>
    <row r="62" spans="1:8" ht="13.15">
      <c r="A62" s="144">
        <f t="shared" si="3"/>
        <v>10</v>
      </c>
      <c r="B62" s="125">
        <f t="shared" si="4"/>
        <v>31.185895733215119</v>
      </c>
      <c r="C62" s="125">
        <f t="shared" si="4"/>
        <v>33.222955889357657</v>
      </c>
      <c r="D62" s="125">
        <f t="shared" si="4"/>
        <v>35.466666134847131</v>
      </c>
      <c r="E62" s="125">
        <f t="shared" si="4"/>
        <v>37.941660767787781</v>
      </c>
      <c r="F62" s="125">
        <f t="shared" si="4"/>
        <v>40.675302176717913</v>
      </c>
      <c r="H62" s="121"/>
    </row>
    <row r="63" spans="1:8" ht="13.15">
      <c r="A63" s="144">
        <f t="shared" si="3"/>
        <v>15</v>
      </c>
      <c r="B63" s="125">
        <f t="shared" si="4"/>
        <v>32.353746497841563</v>
      </c>
      <c r="C63" s="125">
        <f t="shared" si="4"/>
        <v>35.892821429453974</v>
      </c>
      <c r="D63" s="125">
        <f t="shared" si="4"/>
        <v>40.054116668163225</v>
      </c>
      <c r="E63" s="125">
        <f t="shared" si="4"/>
        <v>44.961730125659706</v>
      </c>
      <c r="F63" s="125">
        <f t="shared" si="4"/>
        <v>50.764172962938609</v>
      </c>
      <c r="H63" s="121"/>
    </row>
    <row r="64" spans="1:8" ht="13.15">
      <c r="A64" s="145">
        <f t="shared" si="3"/>
        <v>20</v>
      </c>
      <c r="B64" s="125">
        <f t="shared" si="4"/>
        <v>33.571249972912582</v>
      </c>
      <c r="C64" s="125">
        <f t="shared" si="4"/>
        <v>38.833261223001301</v>
      </c>
      <c r="D64" s="125">
        <f t="shared" si="4"/>
        <v>45.408823995649506</v>
      </c>
      <c r="E64" s="125">
        <f t="shared" si="4"/>
        <v>53.671370898741905</v>
      </c>
      <c r="F64" s="125">
        <f t="shared" si="4"/>
        <v>64.102217528978684</v>
      </c>
      <c r="H64" s="121"/>
    </row>
    <row r="65" spans="1:8" ht="13.15">
      <c r="A65" s="145">
        <f t="shared" si="3"/>
        <v>25</v>
      </c>
      <c r="B65" s="125">
        <f t="shared" si="4"/>
        <v>34.730032283380403</v>
      </c>
      <c r="C65" s="125">
        <f t="shared" si="4"/>
        <v>41.797329424745477</v>
      </c>
      <c r="D65" s="125">
        <f t="shared" si="4"/>
        <v>51.151469149114021</v>
      </c>
      <c r="E65" s="125">
        <f t="shared" si="4"/>
        <v>63.647558832590349</v>
      </c>
      <c r="F65" s="125">
        <f t="shared" si="4"/>
        <v>80.472220086380986</v>
      </c>
    </row>
    <row r="66" spans="1:8" ht="13.15">
      <c r="A66" s="145">
        <f t="shared" si="3"/>
        <v>30</v>
      </c>
      <c r="B66" s="125">
        <f t="shared" si="4"/>
        <v>35.776153311802751</v>
      </c>
      <c r="C66" s="125">
        <f t="shared" si="4"/>
        <v>44.63815717586985</v>
      </c>
      <c r="D66" s="125">
        <f t="shared" si="4"/>
        <v>57.027773977095741</v>
      </c>
      <c r="E66" s="125">
        <f t="shared" si="4"/>
        <v>74.597737371924453</v>
      </c>
      <c r="F66" s="125">
        <f t="shared" si="4"/>
        <v>99.816518204886663</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30</v>
      </c>
      <c r="E69" s="136">
        <f>INDEX(B$60:F$66, MATCH(D69, A$60:A$66, 0), MATCH(C69, B$59:F$59, 0))</f>
        <v>99.816518204886663</v>
      </c>
      <c r="F69" s="143">
        <f>Scenarios!C58</f>
        <v>0.05</v>
      </c>
    </row>
    <row r="70" spans="1:8">
      <c r="B70" s="128" t="str">
        <f>Scenarios!B36</f>
        <v>Optimistic</v>
      </c>
      <c r="C70" s="143">
        <f>Scenarios!C38</f>
        <v>0.08</v>
      </c>
      <c r="D70" s="146">
        <f>Scenarios!C37</f>
        <v>30</v>
      </c>
      <c r="E70" s="136">
        <f>INDEX(B$60:F$66, MATCH(D70, A$60:A$66, 0), MATCH(C70, B$59:F$59, 0))</f>
        <v>74.597737371924453</v>
      </c>
      <c r="F70" s="143">
        <f>Scenarios!C40*(1-F$69-F$73)</f>
        <v>0.18</v>
      </c>
      <c r="H70" s="121"/>
    </row>
    <row r="71" spans="1:8">
      <c r="B71" s="128" t="str">
        <f>Scenarios!B24</f>
        <v>Base</v>
      </c>
      <c r="C71" s="143">
        <f>Scenarios!C26</f>
        <v>0.06</v>
      </c>
      <c r="D71" s="146">
        <f>Scenarios!C25</f>
        <v>30</v>
      </c>
      <c r="E71" s="136">
        <f>INDEX(B$60:F$66, MATCH(D71, A$60:A$66, 0), MATCH(C71, B$59:F$59, 0))</f>
        <v>57.027773977095741</v>
      </c>
      <c r="F71" s="143">
        <f>Scenarios!C28*(1-F$69-F$73)</f>
        <v>0.44999999999999996</v>
      </c>
      <c r="H71" s="121"/>
    </row>
    <row r="72" spans="1:8">
      <c r="B72" s="128" t="str">
        <f>Scenarios!B30</f>
        <v>Pessimistic</v>
      </c>
      <c r="C72" s="143">
        <f>Scenarios!C32</f>
        <v>0.04</v>
      </c>
      <c r="D72" s="146">
        <f>Scenarios!C31</f>
        <v>30</v>
      </c>
      <c r="E72" s="136">
        <f>INDEX(B$60:F$66, MATCH(D72, A$60:A$66, 0), MATCH(C72, B$59:F$59, 0))</f>
        <v>44.63815717586985</v>
      </c>
      <c r="F72" s="143">
        <f>Scenarios!C34*(1-F$69-F$73)</f>
        <v>0.26999999999999996</v>
      </c>
      <c r="H72" s="121"/>
    </row>
    <row r="73" spans="1:8">
      <c r="B73" s="128" t="str">
        <f>Scenarios!B48</f>
        <v>Devil's advocate</v>
      </c>
      <c r="C73" s="143">
        <f>Scenarios!C50</f>
        <v>0.02</v>
      </c>
      <c r="D73" s="146">
        <f>Scenarios!C49</f>
        <v>30</v>
      </c>
      <c r="E73" s="136">
        <f>INDEX(B$60:F$66, MATCH(D73, A$60:A$66, 0), MATCH(C73, B$59:F$59, 0))</f>
        <v>35.776153311802751</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-55.3</v>
      </c>
    </row>
    <row r="4" spans="2:9">
      <c r="B4" s="153" t="s">
        <v>147</v>
      </c>
      <c r="C4" s="121">
        <v>3</v>
      </c>
      <c r="D4" s="121"/>
      <c r="E4" s="156" t="s">
        <v>151</v>
      </c>
      <c r="F4" s="156"/>
      <c r="H4" s="269">
        <v>1</v>
      </c>
      <c r="I4" s="125">
        <f t="shared" ref="I4:I13" si="0">IF(ROW()-3 &lt; $C$76, $C$77, IF(ROW()-3 = $C$76, $C$77 + $C$60, ""))</f>
        <v>2.0299433998263443</v>
      </c>
    </row>
    <row r="5" spans="2:9">
      <c r="H5" s="269">
        <v>2</v>
      </c>
      <c r="I5" s="125">
        <f t="shared" si="0"/>
        <v>2.0299433998263443</v>
      </c>
    </row>
    <row r="6" spans="2:9" ht="13.15">
      <c r="B6" s="160" t="s">
        <v>96</v>
      </c>
      <c r="C6" s="107">
        <f>DCF!C3</f>
        <v>1</v>
      </c>
      <c r="E6" s="100" t="s">
        <v>280</v>
      </c>
      <c r="F6" s="100"/>
      <c r="H6" s="269">
        <v>3</v>
      </c>
      <c r="I6" s="125">
        <f t="shared" si="0"/>
        <v>74.377641151375741</v>
      </c>
    </row>
    <row r="7" spans="2:9" ht="12.75" customHeight="1">
      <c r="B7" s="100" t="s">
        <v>276</v>
      </c>
      <c r="C7" s="115">
        <f>Normalized_FCF!G8</f>
        <v>4487792577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7"/>
      <c r="H7" s="269">
        <v>4</v>
      </c>
      <c r="I7" s="125" t="str">
        <f t="shared" si="0"/>
        <v/>
      </c>
    </row>
    <row r="8" spans="2:9">
      <c r="B8" s="100" t="s">
        <v>66</v>
      </c>
      <c r="C8" s="115">
        <f>Normalized_FCF!G19</f>
        <v>3154931589.2563982</v>
      </c>
      <c r="D8" t="str">
        <f>Reporting_currency</f>
        <v>CNY</v>
      </c>
      <c r="E8" s="357"/>
      <c r="F8" s="357"/>
      <c r="H8" s="269">
        <v>5</v>
      </c>
      <c r="I8" s="125" t="str">
        <f t="shared" si="0"/>
        <v/>
      </c>
    </row>
    <row r="9" spans="2:9">
      <c r="B9" s="100" t="s">
        <v>57</v>
      </c>
      <c r="C9" s="115">
        <f>Normalized_FCF!C19</f>
        <v>2878448391.701438</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2.1321347914251776E-2</v>
      </c>
      <c r="D12" s="159"/>
      <c r="E12" s="357"/>
      <c r="F12" s="357"/>
      <c r="H12" s="269">
        <v>9</v>
      </c>
      <c r="I12" s="125" t="str">
        <f t="shared" si="0"/>
        <v/>
      </c>
    </row>
    <row r="13" spans="2:9">
      <c r="B13" s="149" t="s">
        <v>153</v>
      </c>
      <c r="C13" s="159">
        <f ca="1">(Normalized_FCF!G8/OFFSET(Normalized_FCF!G8, 0, $C$4))^(1/$C$4) - 1</f>
        <v>0.15185942572632172</v>
      </c>
      <c r="E13" s="357"/>
      <c r="F13" s="357"/>
      <c r="H13" s="269">
        <v>10</v>
      </c>
      <c r="I13" s="125" t="str">
        <f t="shared" si="0"/>
        <v/>
      </c>
    </row>
    <row r="14" spans="2:9">
      <c r="B14" s="100" t="s">
        <v>66</v>
      </c>
      <c r="C14" s="159">
        <f ca="1">(Normalized_FCF!G19/OFFSET(Normalized_FCF!G19, 0, $C$4))^(1/$C$4) - 1</f>
        <v>0.22851159696230994</v>
      </c>
      <c r="E14" s="357"/>
      <c r="F14" s="357"/>
    </row>
    <row r="16" spans="2:9" ht="13.9">
      <c r="B16" s="36" t="s">
        <v>163</v>
      </c>
      <c r="C16" s="37"/>
      <c r="D16" s="37"/>
      <c r="E16" s="37"/>
      <c r="F16" s="37"/>
    </row>
    <row r="17" spans="2:6" ht="13.15">
      <c r="B17" s="109" t="s">
        <v>152</v>
      </c>
      <c r="E17" s="160" t="s">
        <v>330</v>
      </c>
    </row>
    <row r="18" spans="2:6">
      <c r="B18" s="153" t="s">
        <v>134</v>
      </c>
      <c r="C18" s="151">
        <v>30</v>
      </c>
      <c r="E18" s="357" t="s">
        <v>331</v>
      </c>
      <c r="F18" s="358"/>
    </row>
    <row r="19" spans="2:6">
      <c r="E19" s="358"/>
      <c r="F19" s="358"/>
    </row>
    <row r="20" spans="2:6" ht="13.15">
      <c r="B20" s="160" t="s">
        <v>304</v>
      </c>
      <c r="E20" s="358"/>
      <c r="F20" s="358"/>
    </row>
    <row r="21" spans="2:6">
      <c r="B21" s="100" t="s">
        <v>278</v>
      </c>
      <c r="C21" s="161">
        <f>Market_Price</f>
        <v>55.3</v>
      </c>
      <c r="D21" t="str">
        <f>Market_currency</f>
        <v>HKD</v>
      </c>
      <c r="E21" s="358"/>
      <c r="F21" s="358"/>
    </row>
    <row r="22" spans="2:6">
      <c r="B22" s="100" t="s">
        <v>279</v>
      </c>
      <c r="C22" s="161">
        <f>IF(valuation_method="DCF",DCF!C12,DDM!C7)</f>
        <v>42.631598006049096</v>
      </c>
      <c r="D22" t="str">
        <f>Market_currency</f>
        <v>HKD</v>
      </c>
      <c r="E22" s="358"/>
      <c r="F22" s="358"/>
    </row>
    <row r="24" spans="2:6" ht="13.15">
      <c r="B24" s="160" t="s">
        <v>116</v>
      </c>
      <c r="E24" s="160" t="s">
        <v>150</v>
      </c>
      <c r="F24" s="160"/>
    </row>
    <row r="25" spans="2:6">
      <c r="B25" s="153" t="s">
        <v>134</v>
      </c>
      <c r="C25" s="167">
        <f>C18</f>
        <v>30</v>
      </c>
      <c r="D25" s="164"/>
      <c r="E25" s="356"/>
      <c r="F25" s="356"/>
    </row>
    <row r="26" spans="2:6">
      <c r="B26" s="119" t="s">
        <v>135</v>
      </c>
      <c r="C26" s="165">
        <v>0.06</v>
      </c>
      <c r="D26" s="165"/>
      <c r="E26" s="356"/>
      <c r="F26" s="356"/>
    </row>
    <row r="27" spans="2:6">
      <c r="B27" s="100" t="s">
        <v>114</v>
      </c>
      <c r="C27" s="161">
        <f>IF(valuation_method="DCF",DCF!E76,DDM!E71)</f>
        <v>71.41817948819012</v>
      </c>
      <c r="D27" s="161" t="str">
        <f>Market_currency</f>
        <v>HKD</v>
      </c>
      <c r="E27" s="356"/>
      <c r="F27" s="356"/>
    </row>
    <row r="28" spans="2:6">
      <c r="B28" s="100" t="s">
        <v>148</v>
      </c>
      <c r="C28" s="166">
        <v>0.5</v>
      </c>
      <c r="D28" s="166"/>
      <c r="E28" s="356"/>
      <c r="F28" s="356"/>
    </row>
    <row r="30" spans="2:6" ht="13.15">
      <c r="B30" s="160" t="s">
        <v>117</v>
      </c>
      <c r="E30" s="160" t="s">
        <v>150</v>
      </c>
      <c r="F30" s="160"/>
    </row>
    <row r="31" spans="2:6">
      <c r="B31" s="153" t="s">
        <v>134</v>
      </c>
      <c r="C31" s="167">
        <f>C18</f>
        <v>30</v>
      </c>
      <c r="D31" s="164"/>
      <c r="E31" s="356"/>
      <c r="F31" s="356"/>
    </row>
    <row r="32" spans="2:6">
      <c r="B32" s="119" t="s">
        <v>135</v>
      </c>
      <c r="C32" s="165">
        <v>0.04</v>
      </c>
      <c r="D32" s="165"/>
      <c r="E32" s="356"/>
      <c r="F32" s="356"/>
    </row>
    <row r="33" spans="2:6">
      <c r="B33" s="100" t="s">
        <v>114</v>
      </c>
      <c r="C33" s="161">
        <f>IF(valuation_method="DCF",DCF!E77,DDM!E72)</f>
        <v>58.539973419012071</v>
      </c>
      <c r="D33" t="str">
        <f>Market_currency</f>
        <v>HKD</v>
      </c>
      <c r="E33" s="356"/>
      <c r="F33" s="356"/>
    </row>
    <row r="34" spans="2:6">
      <c r="B34" s="100" t="s">
        <v>148</v>
      </c>
      <c r="C34" s="166">
        <v>0.3</v>
      </c>
      <c r="D34" s="166"/>
      <c r="E34" s="356"/>
      <c r="F34" s="356"/>
    </row>
    <row r="36" spans="2:6" ht="13.15">
      <c r="B36" s="160" t="s">
        <v>115</v>
      </c>
      <c r="E36" s="160" t="s">
        <v>150</v>
      </c>
      <c r="F36" s="160"/>
    </row>
    <row r="37" spans="2:6">
      <c r="B37" s="153" t="s">
        <v>134</v>
      </c>
      <c r="C37" s="167">
        <f>C18</f>
        <v>30</v>
      </c>
      <c r="D37" s="164"/>
      <c r="E37" s="356"/>
      <c r="F37" s="356"/>
    </row>
    <row r="38" spans="2:6">
      <c r="B38" s="119" t="s">
        <v>135</v>
      </c>
      <c r="C38" s="165">
        <v>0.08</v>
      </c>
      <c r="D38" s="165"/>
      <c r="E38" s="356"/>
      <c r="F38" s="356"/>
    </row>
    <row r="39" spans="2:6">
      <c r="B39" s="100" t="s">
        <v>114</v>
      </c>
      <c r="C39" s="161">
        <f>IF(valuation_method="DCF",DCF!E75,DDM!E70)</f>
        <v>89.68102109634475</v>
      </c>
      <c r="D39" t="str">
        <f>Market_currency</f>
        <v>HKD</v>
      </c>
      <c r="E39" s="356"/>
      <c r="F39" s="356"/>
    </row>
    <row r="40" spans="2:6">
      <c r="B40" s="100" t="s">
        <v>148</v>
      </c>
      <c r="C40" s="168">
        <f>1-C28-C34</f>
        <v>0.2</v>
      </c>
      <c r="D40" s="166"/>
      <c r="E40" s="356"/>
      <c r="F40" s="356"/>
    </row>
    <row r="42" spans="2:6" ht="13.15">
      <c r="B42" s="100" t="s">
        <v>121</v>
      </c>
      <c r="C42" s="155">
        <f>C27*C28+C33*C34+C39*C40</f>
        <v>71.207285989067628</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6"/>
      <c r="F49" s="356"/>
    </row>
    <row r="50" spans="2:6">
      <c r="B50" s="119" t="s">
        <v>135</v>
      </c>
      <c r="C50" s="165">
        <v>0.02</v>
      </c>
      <c r="D50" s="165"/>
      <c r="E50" s="356"/>
      <c r="F50" s="356"/>
    </row>
    <row r="51" spans="2:6">
      <c r="B51" s="100" t="s">
        <v>114</v>
      </c>
      <c r="C51" s="161">
        <f>IF(valuation_method="DCF",DCF!E78,DDM!E73)</f>
        <v>49.328493049738988</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30</v>
      </c>
      <c r="D55" s="164"/>
      <c r="E55" s="356"/>
      <c r="F55" s="356"/>
    </row>
    <row r="56" spans="2:6">
      <c r="B56" s="119" t="s">
        <v>135</v>
      </c>
      <c r="C56" s="165">
        <v>0.1</v>
      </c>
      <c r="D56" s="165"/>
      <c r="E56" s="356"/>
      <c r="F56" s="356"/>
    </row>
    <row r="57" spans="2:6">
      <c r="B57" s="100" t="s">
        <v>114</v>
      </c>
      <c r="C57" s="161">
        <f>IF(valuation_method="DCF",DCF!E74,DDM!E69)</f>
        <v>115.89431417803162</v>
      </c>
      <c r="D57" t="str">
        <f>Market_currency</f>
        <v>HKD</v>
      </c>
      <c r="E57" s="356"/>
      <c r="F57" s="356"/>
    </row>
    <row r="58" spans="2:6">
      <c r="B58" s="100" t="s">
        <v>148</v>
      </c>
      <c r="C58" s="166">
        <v>0.05</v>
      </c>
      <c r="D58" s="166"/>
      <c r="E58" s="356"/>
      <c r="F58" s="356"/>
    </row>
    <row r="60" spans="2:6" ht="13.15">
      <c r="B60" s="100" t="s">
        <v>121</v>
      </c>
      <c r="C60" s="155">
        <f>C51*C52+C57*C58+C42*(1-C52-C58)</f>
        <v>72.34769775154939</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30</v>
      </c>
      <c r="D64" s="151"/>
      <c r="E64" s="273" t="s">
        <v>396</v>
      </c>
    </row>
    <row r="65" spans="2:6">
      <c r="B65" s="119" t="s">
        <v>135</v>
      </c>
      <c r="C65" s="152">
        <v>6.1165848114484E-2</v>
      </c>
      <c r="D65" s="152"/>
      <c r="E65" s="273" t="s">
        <v>313</v>
      </c>
    </row>
    <row r="66" spans="2:6">
      <c r="B66" s="100" t="s">
        <v>103</v>
      </c>
      <c r="C66" s="161">
        <f>IF(valuation_method="DCF",DCF!C18,DDM!C13)</f>
        <v>72.314773689172668</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0.1678214214530635</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2.0299433998263443</v>
      </c>
      <c r="D77" t="str">
        <f>Market_currency</f>
        <v>HKD</v>
      </c>
    </row>
    <row r="79" spans="2:6" ht="13.15">
      <c r="B79" s="109" t="s">
        <v>302</v>
      </c>
    </row>
    <row r="80" spans="2:6">
      <c r="B80" s="149" t="s">
        <v>300</v>
      </c>
      <c r="C80" s="168">
        <f>Thesis!F29</f>
        <v>0.3674</v>
      </c>
    </row>
    <row r="81" spans="2:8">
      <c r="B81" s="100" t="s">
        <v>122</v>
      </c>
      <c r="C81" s="117">
        <f>PV(C80, C76, -C77, 0)</f>
        <v>3.3641426171453945</v>
      </c>
      <c r="D81" s="117"/>
      <c r="E81" s="100"/>
      <c r="F81" s="100"/>
    </row>
    <row r="82" spans="2:8">
      <c r="B82" s="100" t="s">
        <v>123</v>
      </c>
      <c r="C82" s="117">
        <f>C60/(1+C80)^C76</f>
        <v>28.296843238677603</v>
      </c>
      <c r="D82" s="117"/>
    </row>
    <row r="83" spans="2:8" ht="13.15">
      <c r="B83" s="111" t="s">
        <v>102</v>
      </c>
      <c r="C83" s="112">
        <f>C81+C82</f>
        <v>31.660985855822997</v>
      </c>
      <c r="D83" t="str">
        <f>Market_currency</f>
        <v>HKD</v>
      </c>
      <c r="E83" s="147" t="s">
        <v>127</v>
      </c>
      <c r="F83" s="319">
        <f>(1-C83/C60)</f>
        <v>0.56237742402597812</v>
      </c>
    </row>
    <row r="84" spans="2:8">
      <c r="E84" s="121"/>
    </row>
    <row r="85" spans="2:8" ht="13.15">
      <c r="B85" s="109" t="s">
        <v>303</v>
      </c>
    </row>
    <row r="86" spans="2:8">
      <c r="B86" s="149" t="s">
        <v>301</v>
      </c>
      <c r="C86" s="117">
        <f>Market_Price</f>
        <v>55.3</v>
      </c>
      <c r="D86" t="str">
        <f>Market_currency</f>
        <v>HKD</v>
      </c>
    </row>
    <row r="87" spans="2:8" ht="13.15">
      <c r="B87" s="100" t="s">
        <v>299</v>
      </c>
      <c r="C87" s="259">
        <f ca="1">IRR(OFFSET($I$3, 0, 0, $C$76 + 1, 1))</f>
        <v>0.12741775912814202</v>
      </c>
    </row>
    <row r="88" spans="2:8">
      <c r="B88" s="100"/>
    </row>
    <row r="89" spans="2:8" ht="13.15">
      <c r="B89" s="109" t="s">
        <v>414</v>
      </c>
    </row>
    <row r="90" spans="2:8">
      <c r="B90" s="149" t="s">
        <v>415</v>
      </c>
      <c r="C90" s="168">
        <f>Thesis!F30</f>
        <v>0.21740000000000001</v>
      </c>
    </row>
    <row r="91" spans="2:8">
      <c r="B91" s="100" t="s">
        <v>122</v>
      </c>
      <c r="C91" s="117">
        <f>PV(C90, C76, -C77, 0)</f>
        <v>4.1621976194031269</v>
      </c>
      <c r="D91" s="117"/>
      <c r="E91" s="100"/>
      <c r="F91" s="100"/>
    </row>
    <row r="92" spans="2:8">
      <c r="B92" s="100" t="s">
        <v>123</v>
      </c>
      <c r="C92" s="117">
        <f>C60/(1+C90)^C76</f>
        <v>40.098194980751281</v>
      </c>
      <c r="D92" s="117"/>
    </row>
    <row r="93" spans="2:8" ht="13.15">
      <c r="B93" s="111" t="s">
        <v>102</v>
      </c>
      <c r="C93" s="112">
        <f>C91+C92</f>
        <v>44.260392600154404</v>
      </c>
      <c r="D93" t="str">
        <f>Market_currency</f>
        <v>HKD</v>
      </c>
      <c r="E93" s="147" t="s">
        <v>127</v>
      </c>
      <c r="F93" s="319">
        <f>(1-C93/C60)</f>
        <v>0.38822666130787098</v>
      </c>
    </row>
    <row r="95" spans="2:8" ht="13.15">
      <c r="B95" s="109" t="s">
        <v>398</v>
      </c>
      <c r="G95" s="2"/>
      <c r="H95" s="306"/>
    </row>
    <row r="96" spans="2:8">
      <c r="B96" s="149" t="s">
        <v>404</v>
      </c>
      <c r="C96" s="135">
        <f>Thesis!F31</f>
        <v>7.4999999999999997E-2</v>
      </c>
      <c r="G96" s="2"/>
      <c r="H96" s="306"/>
    </row>
    <row r="97" spans="2:8">
      <c r="B97" s="100" t="s">
        <v>122</v>
      </c>
      <c r="C97" s="117">
        <f>PV(C96, C76, -C77, 0)</f>
        <v>5.2789200617316059</v>
      </c>
      <c r="D97" s="117"/>
      <c r="G97" s="2"/>
      <c r="H97" s="306"/>
    </row>
    <row r="98" spans="2:8">
      <c r="B98" s="100" t="s">
        <v>123</v>
      </c>
      <c r="C98" s="117">
        <f>C60/(1+C96)^C76</f>
        <v>58.237043984795825</v>
      </c>
      <c r="D98" s="117"/>
      <c r="G98" s="2"/>
      <c r="H98" s="306"/>
    </row>
    <row r="99" spans="2:8" ht="13.15">
      <c r="B99" s="111" t="s">
        <v>399</v>
      </c>
      <c r="C99" s="112">
        <f>C97+C98</f>
        <v>63.515964046527429</v>
      </c>
      <c r="D99" t="s">
        <v>397</v>
      </c>
      <c r="E99" s="147" t="s">
        <v>127</v>
      </c>
      <c r="F99" s="319">
        <f>(1-C99/C60)</f>
        <v>0.12207345885906673</v>
      </c>
    </row>
    <row r="100" spans="2:8">
      <c r="B100" s="100"/>
    </row>
    <row r="101" spans="2:8" ht="13.15">
      <c r="B101" s="109" t="s">
        <v>424</v>
      </c>
    </row>
    <row r="102" spans="2:8">
      <c r="B102" s="149" t="s">
        <v>423</v>
      </c>
      <c r="C102" s="135">
        <f>Thesis!F32</f>
        <v>0.1174</v>
      </c>
    </row>
    <row r="103" spans="2:8">
      <c r="B103" s="100" t="s">
        <v>122</v>
      </c>
      <c r="C103" s="117">
        <f>PV(C102, C76, -C77, 0)</f>
        <v>4.8974477918995669</v>
      </c>
      <c r="D103" s="117"/>
    </row>
    <row r="104" spans="2:8">
      <c r="B104" s="100" t="s">
        <v>123</v>
      </c>
      <c r="C104" s="117">
        <f>C60/(1+C102)^C76</f>
        <v>51.855964274116694</v>
      </c>
      <c r="D104" s="117"/>
    </row>
    <row r="105" spans="2:8" ht="13.15">
      <c r="B105" s="111" t="s">
        <v>399</v>
      </c>
      <c r="C105" s="112">
        <f>C103+C104</f>
        <v>56.75341206601626</v>
      </c>
      <c r="D105" t="s">
        <v>397</v>
      </c>
      <c r="E105" s="147" t="s">
        <v>127</v>
      </c>
      <c r="F105" s="319">
        <f>(1-C105/C66)</f>
        <v>0.21518924597680567</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2025-05-18T17:39:46Z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