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DB2B55-807E-4CE1-BD3B-6608529069B6}"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<sst xmlns="http://schemas.openxmlformats.org/spreadsheetml/2006/main" count="686" uniqueCount="465">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</sst>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50.65</v>
      </c>
      <c r="D12" s="50"/>
      <c r="E12" s="48"/>
    </row>
    <row r="13" spans="1:10">
      <c r="B13" s="1" t="s">
        <v>413</v>
      </c>
      <c r="C13" s="48" t="s">
        <v>393</v>
      </c>
      <c r="D13" s="48"/>
      <c r="E13" s="5"/>
    </row>
    <row r="14" spans="1:10">
      <c r="B14" s="4" t="s">
        <v>417</v>
      </c>
      <c r="C14" s="35">
        <f>Thesis!C12*Common_Shares/1000000</f>
        <v>69096.567312200001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1.0934771400000001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72.996489103438648</v>
      </c>
      <c r="D26" s="1" t="s">
        <v>396</v>
      </c>
      <c r="E26" s="301">
        <f ca="1">Scenarios!C87</f>
        <v>0.16143343927042597</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31.551461912268032</v>
      </c>
      <c r="D29" s="310" t="str">
        <f>D149</f>
        <v/>
      </c>
      <c r="E29" s="306" t="s">
        <v>421</v>
      </c>
      <c r="F29" s="302">
        <v>0.3674</v>
      </c>
    </row>
    <row r="30" spans="2:6">
      <c r="B30" s="1" t="s">
        <v>423</v>
      </c>
      <c r="C30" s="311">
        <f>C157</f>
        <v>44.170520499807168</v>
      </c>
      <c r="D30" s="311" t="str">
        <f>D157</f>
        <v/>
      </c>
      <c r="E30" s="307" t="s">
        <v>434</v>
      </c>
      <c r="F30" s="312">
        <v>0.21740000000000001</v>
      </c>
    </row>
    <row r="31" spans="2:6">
      <c r="B31" s="1" t="s">
        <v>424</v>
      </c>
      <c r="C31" s="311">
        <f>C165</f>
        <v>63.468164768476889</v>
      </c>
      <c r="D31" s="311" t="str">
        <f>D165</f>
        <v/>
      </c>
      <c r="E31" s="307" t="s">
        <v>433</v>
      </c>
      <c r="F31" s="312">
        <v>7.4999999999999997E-2</v>
      </c>
    </row>
    <row r="32" spans="2:6">
      <c r="B32" s="1" t="s">
        <v>425</v>
      </c>
      <c r="C32" s="311">
        <f>C173</f>
        <v>56.689583032696845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177072426.12328434</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155235372.12328434</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-1008325860.6077597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3154791090.1232843</v>
      </c>
      <c r="D67" s="1" t="str">
        <f>Reporting_currency</f>
        <v>CNY</v>
      </c>
    </row>
    <row r="68" spans="1:6">
      <c r="B68" s="47" t="s">
        <v>247</v>
      </c>
      <c r="C68" s="349">
        <f>Normalized_FCF!C19</f>
        <v>2878343017.3516026</v>
      </c>
      <c r="D68" s="1" t="str">
        <f>Reporting_currency</f>
        <v>CNY</v>
      </c>
    </row>
    <row r="69" spans="1:6">
      <c r="B69" s="227" t="s">
        <v>387</v>
      </c>
      <c r="C69" s="92">
        <f>Normalized_FCF!C126</f>
        <v>4.5550776442071984E-2</v>
      </c>
      <c r="F69" s="314"/>
    </row>
    <row r="70" spans="1:6">
      <c r="B70" s="227" t="s">
        <v>455</v>
      </c>
      <c r="C70" s="92">
        <f>Normalized_FCF!C94</f>
        <v>3.5749998866278165E-2</v>
      </c>
      <c r="E70" s="47" t="s">
        <v>445</v>
      </c>
      <c r="F70" s="315">
        <f>Normalized_FCF!C92</f>
        <v>0.95355873083293174</v>
      </c>
    </row>
    <row r="72" spans="1:6">
      <c r="B72" s="210" t="s">
        <v>448</v>
      </c>
      <c r="C72" s="323" t="s">
        <v>450</v>
      </c>
      <c r="D72" s="323" t="s">
        <v>451</v>
      </c>
    </row>
    <row r="73" spans="1:6">
      <c r="B73" s="47" t="s">
        <v>449</v>
      </c>
      <c r="C73" s="92">
        <f>Normalized_FCF!C121</f>
        <v>0.13507586422274007</v>
      </c>
      <c r="D73" s="92">
        <f>Normalized_FCF!G121</f>
        <v>0.15711226349001098</v>
      </c>
    </row>
    <row r="74" spans="1:6">
      <c r="B74" s="259" t="str">
        <f>Normalized_FCF!B118</f>
        <v>Pre-tax Profit/Sales</v>
      </c>
      <c r="C74" s="322">
        <f>Normalized_FCF!C118</f>
        <v>0.12563563240191519</v>
      </c>
      <c r="D74" s="322">
        <f>Normalized_FCF!G118</f>
        <v>0.1459743926680839</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30.761957690545952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0.22876055961596697</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12817142561.421688</v>
      </c>
      <c r="D109" s="1" t="str">
        <f>Reporting_currency</f>
        <v>CNY</v>
      </c>
    </row>
    <row r="110" spans="2:6">
      <c r="B110" s="47" t="s">
        <v>281</v>
      </c>
      <c r="C110" s="223">
        <f>C109*scaling_factor*Exchange_Rate/Common_Shares</f>
        <v>10.273629519083476</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2.2086106605762175</v>
      </c>
      <c r="D114" s="1" t="str">
        <f>Market_currency</f>
        <v>HKD</v>
      </c>
    </row>
    <row r="116" spans="1:6" ht="24.6" customHeight="1">
      <c r="B116" s="360" t="s">
        <v>363</v>
      </c>
      <c r="C116" s="360"/>
      <c r="D116" s="360"/>
      <c r="E116" s="360"/>
      <c r="F116" s="360"/>
    </row>
    <row r="118" spans="1:6">
      <c r="B118" s="47" t="s">
        <v>446</v>
      </c>
      <c r="C118" s="223">
        <f>IF(valuation_method="DCF",DCF!C12,DDM!C7)</f>
        <v>43.015437310589668</v>
      </c>
      <c r="D118" s="1" t="str">
        <f>Market_currency</f>
        <v>HKD</v>
      </c>
    </row>
    <row r="119" spans="1:6">
      <c r="B119" s="296" t="s">
        <v>402</v>
      </c>
      <c r="C119" s="223">
        <f>BS!D47</f>
        <v>1.3590836057052329</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116.93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72.06 HKD</v>
      </c>
      <c r="F128" s="221">
        <f>DCF!F76</f>
        <v>0.44999999999999996</v>
      </c>
    </row>
    <row r="129" spans="1:6">
      <c r="B129" s="218" t="str">
        <f>DCF!B77</f>
        <v>Pessimistic</v>
      </c>
      <c r="C129" s="219">
        <f>DCF!C77</f>
        <v>0.04</v>
      </c>
      <c r="D129" s="220">
        <f>DCF!D77</f>
        <v>30</v>
      </c>
      <c r="E129" s="231" t="str">
        <f>ROUND(IF(valuation_method="DCF",DCF!E77,DDM!E72),2)&amp;" "&amp;Market_currency</f>
        <v>59.07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257</v>
      </c>
      <c r="C132" s="217">
        <f>Scenarios!C60</f>
        <v>72.996489103438648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1.8107374425769891</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3.0008615016336062</v>
      </c>
    </row>
    <row r="148" spans="2:4">
      <c r="B148" s="212" t="str">
        <f>"+ PV(Equity Value realized at year "&amp;C141&amp;")"</f>
        <v>+ PV(Equity Value realized at year 3)</v>
      </c>
      <c r="C148" s="216">
        <f>Scenarios!C82</f>
        <v>28.550600410634424</v>
      </c>
    </row>
    <row r="149" spans="2:4">
      <c r="B149" s="80" t="s">
        <v>259</v>
      </c>
      <c r="C149" s="215">
        <f>Scenarios!C83</f>
        <v>31.551461912268032</v>
      </c>
      <c r="D149" s="300" t="str">
        <f>IF($D$11="","",C149*$E$25)</f>
        <v/>
      </c>
    </row>
    <row r="150" spans="2:4">
      <c r="B150" s="259" t="s">
        <v>413</v>
      </c>
      <c r="C150" s="298" t="str">
        <f>Market_currency</f>
        <v>HKD</v>
      </c>
      <c r="D150" s="298" t="str">
        <f>IF($D$11="","",D$13)</f>
        <v/>
      </c>
    </row>
    <row r="151" spans="2:4">
      <c r="B151" s="214" t="s">
        <v>261</v>
      </c>
      <c r="C151" s="92">
        <f>Scenarios!F83</f>
        <v>0.56776740498356748</v>
      </c>
    </row>
    <row r="153" spans="2:4">
      <c r="B153" s="210" t="s">
        <v>408</v>
      </c>
    </row>
    <row r="154" spans="2:4">
      <c r="B154" s="1" t="s">
        <v>407</v>
      </c>
      <c r="C154" s="297">
        <f>Scenarios!C90</f>
        <v>0.21740000000000001</v>
      </c>
    </row>
    <row r="155" spans="2:4">
      <c r="B155" s="212" t="str">
        <f>"PV("&amp;C141&amp;" yrs of Dividends)"</f>
        <v>PV(3 yrs of Dividends)</v>
      </c>
      <c r="C155" s="216">
        <f>Scenarios!C91</f>
        <v>3.7127375440629473</v>
      </c>
    </row>
    <row r="156" spans="2:4">
      <c r="B156" s="212" t="str">
        <f>"+ PV(Equity Value realized at year "&amp;C141&amp;")"</f>
        <v>+ PV(Equity Value realized at year 3)</v>
      </c>
      <c r="C156" s="216">
        <f>Scenarios!C92</f>
        <v>40.457782955744221</v>
      </c>
    </row>
    <row r="157" spans="2:4">
      <c r="B157" s="80" t="s">
        <v>259</v>
      </c>
      <c r="C157" s="215">
        <f>Scenarios!C93</f>
        <v>44.170520499807168</v>
      </c>
      <c r="D157" s="300" t="str">
        <f>IF($D$11="","",C157*$E$25)</f>
        <v/>
      </c>
    </row>
    <row r="158" spans="2:4">
      <c r="B158" s="259" t="s">
        <v>413</v>
      </c>
      <c r="C158" s="298" t="str">
        <f>Market_currency</f>
        <v>HKD</v>
      </c>
      <c r="D158" s="298" t="str">
        <f>IF($D$11="","",D$13)</f>
        <v/>
      </c>
    </row>
    <row r="159" spans="2:4">
      <c r="B159" s="214" t="s">
        <v>261</v>
      </c>
      <c r="C159" s="92">
        <f>Scenarios!F93</f>
        <v>0.39489527452182049</v>
      </c>
    </row>
    <row r="161" spans="2:4">
      <c r="B161" s="210" t="s">
        <v>397</v>
      </c>
    </row>
    <row r="162" spans="2:4">
      <c r="B162" s="1" t="s">
        <v>406</v>
      </c>
      <c r="C162" s="92">
        <f>Scenarios!C96</f>
        <v>7.4999999999999997E-2</v>
      </c>
    </row>
    <row r="163" spans="2:4">
      <c r="B163" s="212" t="str">
        <f>"PV("&amp;C141&amp;" yrs of Dividends)"</f>
        <v>PV(3 yrs of Dividends)</v>
      </c>
      <c r="C163" s="216">
        <f>Scenarios!C97</f>
        <v>4.7088693275713842</v>
      </c>
    </row>
    <row r="164" spans="2:4">
      <c r="B164" s="212" t="str">
        <f>"+ PV(Equity Value realized at year "&amp;C141&amp;")"</f>
        <v>+ PV(Equity Value realized at year 3)</v>
      </c>
      <c r="C164" s="216">
        <f>Scenarios!C98</f>
        <v>58.759295440905504</v>
      </c>
    </row>
    <row r="165" spans="2:4">
      <c r="B165" s="80" t="s">
        <v>398</v>
      </c>
      <c r="C165" s="215">
        <f>Scenarios!C99</f>
        <v>63.468164768476889</v>
      </c>
      <c r="D165" s="300" t="str">
        <f>IF($D$11="","",C165*$E$25)</f>
        <v/>
      </c>
    </row>
    <row r="166" spans="2:4">
      <c r="B166" s="259" t="s">
        <v>413</v>
      </c>
      <c r="C166" s="298" t="str">
        <f>Market_currency</f>
        <v>HKD</v>
      </c>
      <c r="D166" s="298" t="str">
        <f>IF($D$11="","",D$13)</f>
        <v/>
      </c>
    </row>
    <row r="167" spans="2:4">
      <c r="B167" s="214" t="s">
        <v>261</v>
      </c>
      <c r="C167" s="92">
        <f>Scenarios!F99</f>
        <v>0.13053126872252419</v>
      </c>
    </row>
    <row r="169" spans="2:4">
      <c r="B169" s="210" t="s">
        <v>429</v>
      </c>
    </row>
    <row r="170" spans="2:4">
      <c r="B170" s="1" t="s">
        <v>420</v>
      </c>
      <c r="C170" s="92">
        <f>F32</f>
        <v>0.1174</v>
      </c>
    </row>
    <row r="171" spans="2:4">
      <c r="B171" s="212" t="str">
        <f>"PV("&amp;C141&amp;" yrs of Dividends)"</f>
        <v>PV(3 yrs of Dividends)</v>
      </c>
      <c r="C171" s="216">
        <f>Scenarios!C103</f>
        <v>4.3685908142153993</v>
      </c>
    </row>
    <row r="172" spans="2:4">
      <c r="B172" s="212" t="str">
        <f>"+ PV(Equity Value realized at year "&amp;C141&amp;")"</f>
        <v>+ PV(Equity Value realized at year 3)</v>
      </c>
      <c r="C172" s="216">
        <f>Scenarios!C104</f>
        <v>52.320992218481443</v>
      </c>
    </row>
    <row r="173" spans="2:4">
      <c r="B173" s="80" t="s">
        <v>398</v>
      </c>
      <c r="C173" s="215">
        <f>Scenarios!C105</f>
        <v>56.689583032696845</v>
      </c>
      <c r="D173" s="300" t="str">
        <f>IF($D$11="","",C173*$E$25)</f>
        <v/>
      </c>
    </row>
    <row r="174" spans="2:4">
      <c r="B174" s="259" t="s">
        <v>413</v>
      </c>
      <c r="C174" s="298" t="str">
        <f>Market_currency</f>
        <v>HKD</v>
      </c>
      <c r="D174" s="298" t="str">
        <f>IF($D$11="","",D$13)</f>
        <v/>
      </c>
    </row>
    <row r="175" spans="2:4">
      <c r="B175" s="214" t="s">
        <v>261</v>
      </c>
      <c r="C175" s="92">
        <f>Scenarios!F105</f>
        <v>0.22303945700660721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2.0119304917522101</v>
      </c>
      <c r="D25" s="39">
        <f>2/Exchange_Rate</f>
        <v>1.829027719774736</v>
      </c>
      <c r="E25" s="39">
        <f>1.3/Exchange_Rate</f>
        <v>1.1888680178535784</v>
      </c>
      <c r="F25" s="39">
        <f>1.1/Exchange_Rate</f>
        <v>1.005965245876105</v>
      </c>
      <c r="G25" s="39">
        <f>0.75/Exchange_Rate</f>
        <v>0.68588539491552603</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2.0119304917522101</v>
      </c>
      <c r="D65" s="73">
        <f t="shared" ref="D65:M65" si="33">IF(D$4="","",D25)</f>
        <v>1.829027719774736</v>
      </c>
      <c r="E65" s="73">
        <f t="shared" si="33"/>
        <v>1.1888680178535784</v>
      </c>
      <c r="F65" s="73">
        <f t="shared" si="33"/>
        <v>1.005965245876105</v>
      </c>
      <c r="G65" s="73">
        <f t="shared" si="33"/>
        <v>0.68588539491552603</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23.293462086559476</v>
      </c>
      <c r="D47" s="147">
        <f>D46*H1/Common_Shares*Exchange_Rate</f>
        <v>1.3590836057052329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12817142561.421688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-2532892220.7106357</v>
      </c>
      <c r="D73" s="349">
        <f>(Normalized_FCF!C25+Normalized_FCF!C35-Normalized_FCF!C91)/12</f>
        <v>-2580815167.289156</v>
      </c>
      <c r="F73" s="1" t="s">
        <v>348</v>
      </c>
    </row>
    <row r="74" spans="2:6" ht="15" customHeight="1">
      <c r="B74" s="257" t="s">
        <v>318</v>
      </c>
      <c r="C74" s="258">
        <f>-$C$66/C73</f>
        <v>7.098119986706668</v>
      </c>
      <c r="D74" s="258">
        <f>-$C$66/D73</f>
        <v>6.9663155749679646</v>
      </c>
      <c r="F74" s="253" t="s">
        <v>316</v>
      </c>
    </row>
    <row r="75" spans="2:6" ht="15" customHeight="1">
      <c r="B75" s="80" t="s">
        <v>317</v>
      </c>
      <c r="C75" s="320"/>
      <c r="D75" s="321">
        <f>MAX(-D73*D76,G5)</f>
        <v>5161630334.5783119</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-312074420.64918464</v>
      </c>
      <c r="D86" s="223">
        <f>C86*scaling_factor/Common_Shares</f>
        <v>-0.22876055961596697</v>
      </c>
      <c r="E86" s="240" t="str">
        <f>Market_currency</f>
        <v>HKD</v>
      </c>
    </row>
    <row r="87" spans="2:8" ht="15" customHeight="1">
      <c r="B87" s="238" t="s">
        <v>286</v>
      </c>
      <c r="C87" s="76">
        <f>DCF!C8*Exchange_Rate</f>
        <v>14015252391.035664</v>
      </c>
      <c r="D87" s="223">
        <f>C87*scaling_factor/Common_Shares</f>
        <v>10.273629519083476</v>
      </c>
      <c r="E87" s="240" t="str">
        <f>Market_currency</f>
        <v>HKD</v>
      </c>
    </row>
    <row r="88" spans="2:8" ht="15" customHeight="1">
      <c r="B88" s="239" t="s">
        <v>188</v>
      </c>
      <c r="C88" s="76">
        <f>DCF!C9*Exchange_Rate</f>
        <v>3012979569.1006341</v>
      </c>
      <c r="D88" s="223">
        <f>C88*scaling_factor/Common_Shares</f>
        <v>2.2086106605762175</v>
      </c>
      <c r="E88" s="240" t="str">
        <f>Market_currency</f>
        <v>HKD</v>
      </c>
    </row>
    <row r="89" spans="2:8" ht="15" customHeight="1">
      <c r="B89" s="80" t="s">
        <v>290</v>
      </c>
      <c r="C89" s="180">
        <f>SUM(C86:C88)</f>
        <v>16716157539.487112</v>
      </c>
      <c r="D89" s="242">
        <f>SUM(D86:D88)</f>
        <v>12.253479620043727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155235372.12328434</v>
      </c>
      <c r="E12" s="268"/>
      <c r="G12" s="328">
        <f>G50</f>
        <v>155235372.12328434</v>
      </c>
      <c r="H12" s="328">
        <f t="shared" ref="H12:Q12" si="6">H50</f>
        <v>128947837.82189167</v>
      </c>
      <c r="I12" s="328">
        <f t="shared" si="6"/>
        <v>122729134.61654264</v>
      </c>
      <c r="J12" s="328">
        <f t="shared" si="6"/>
        <v>67935938.797347993</v>
      </c>
      <c r="K12" s="328">
        <f t="shared" si="6"/>
        <v>136783944.87489858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4033303442.4310389</v>
      </c>
      <c r="E13" s="268"/>
      <c r="G13" s="329">
        <f>IF(G$4="","",SUM(G8:G12))</f>
        <v>4691300232.1232843</v>
      </c>
      <c r="H13" s="329">
        <f t="shared" ref="H13:Q13" si="7">IF(H$4="","",SUM(H8:H12))</f>
        <v>4549615629.8218918</v>
      </c>
      <c r="I13" s="329">
        <f t="shared" si="7"/>
        <v>3869682342.6165428</v>
      </c>
      <c r="J13" s="329">
        <f t="shared" si="7"/>
        <v>3025026938.797348</v>
      </c>
      <c r="K13" s="329">
        <f t="shared" si="7"/>
        <v>2470843816.8748984</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-1008325860.6077597</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2878343017.3516026</v>
      </c>
      <c r="D16" s="61"/>
      <c r="E16" s="276"/>
      <c r="F16" s="61"/>
      <c r="G16" s="329">
        <f>IF(G$4="","",SUM(G13:G15))</f>
        <v>3154791090.1232843</v>
      </c>
      <c r="H16" s="329">
        <f t="shared" ref="H16:Q16" si="8">IF(H$4="","",SUM(H13:H15))</f>
        <v>3071059733.8218918</v>
      </c>
      <c r="I16" s="329">
        <f t="shared" si="8"/>
        <v>2574169649.6165428</v>
      </c>
      <c r="J16" s="329">
        <f t="shared" si="8"/>
        <v>1701507283.797348</v>
      </c>
      <c r="K16" s="329">
        <f t="shared" si="8"/>
        <v>1432618048.8748984</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2878343017.3516026</v>
      </c>
      <c r="D19" s="27"/>
      <c r="E19" s="265"/>
      <c r="F19" s="27"/>
      <c r="G19" s="334">
        <f>IF(G$4="","",G16+G17)</f>
        <v>3154791090.1232843</v>
      </c>
      <c r="H19" s="334">
        <f t="shared" ref="H19:Q19" si="9">IF(H$4="","",H16+H17)</f>
        <v>3071059733.8218918</v>
      </c>
      <c r="I19" s="334">
        <f t="shared" si="9"/>
        <v>2574169649.6165428</v>
      </c>
      <c r="J19" s="334">
        <f t="shared" si="9"/>
        <v>1701507283.797348</v>
      </c>
      <c r="K19" s="334">
        <f t="shared" si="9"/>
        <v>1432618048.8748984</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0.29623265304659768</v>
      </c>
      <c r="H43" s="6">
        <f t="shared" si="18"/>
        <v>0.30732450645610626</v>
      </c>
      <c r="I43" s="6">
        <f t="shared" si="18"/>
        <v>0.3104698788241213</v>
      </c>
      <c r="J43" s="6">
        <f t="shared" si="18"/>
        <v>0.40420519213165029</v>
      </c>
      <c r="K43" s="6">
        <f t="shared" si="18"/>
        <v>0.36933962105068374</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177072426.12328434</v>
      </c>
      <c r="E48" s="268"/>
      <c r="G48" s="337">
        <f>IFERROR(IF(G$4="","",($C$48/$C$49)*G49),0)</f>
        <v>177072426.12328434</v>
      </c>
      <c r="H48" s="337">
        <f t="shared" ref="H48:Q48" si="19">IFERROR(IF(H$4="","",($C$48/$C$49)*H49),0)</f>
        <v>145378427.82189167</v>
      </c>
      <c r="I48" s="337">
        <f t="shared" si="19"/>
        <v>131966934.61654264</v>
      </c>
      <c r="J48" s="337">
        <f t="shared" si="19"/>
        <v>90621305.797347993</v>
      </c>
      <c r="K48" s="337">
        <f t="shared" si="19"/>
        <v>150446626.87489858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155235372.12328434</v>
      </c>
      <c r="E50" s="268"/>
      <c r="G50" s="329">
        <f>IF(G$4="","",(G47+G48))</f>
        <v>155235372.12328434</v>
      </c>
      <c r="H50" s="329">
        <f t="shared" ref="H50:Q50" si="20">IF(H$4="","",(H47+H48))</f>
        <v>128947837.82189167</v>
      </c>
      <c r="I50" s="329">
        <f t="shared" si="20"/>
        <v>122729134.61654264</v>
      </c>
      <c r="J50" s="329">
        <f t="shared" si="20"/>
        <v>67935938.797347993</v>
      </c>
      <c r="K50" s="329">
        <f t="shared" si="20"/>
        <v>136783944.87489858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4.8355137237331546E-3</v>
      </c>
      <c r="D80" s="27"/>
      <c r="E80" s="265"/>
      <c r="F80" s="27"/>
      <c r="G80" s="6">
        <f t="shared" ref="G80:Q80" si="31">IF(G$4="","",ABS(G12/G$4))</f>
        <v>4.8303003527967198E-3</v>
      </c>
      <c r="H80" s="6">
        <f t="shared" si="31"/>
        <v>3.7996773802079875E-3</v>
      </c>
      <c r="I80" s="6">
        <f t="shared" si="31"/>
        <v>3.8148325154864909E-3</v>
      </c>
      <c r="J80" s="6">
        <f t="shared" si="31"/>
        <v>2.2520097155910388E-3</v>
      </c>
      <c r="K80" s="6">
        <f t="shared" si="31"/>
        <v>4.9274268467538506E-3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0.12563563240191519</v>
      </c>
      <c r="D81" s="27"/>
      <c r="E81" s="265"/>
      <c r="F81" s="27"/>
      <c r="G81" s="65">
        <f t="shared" ref="G81:Q81" si="32">IF(G$4="","",G13/G$4)</f>
        <v>0.1459743926680839</v>
      </c>
      <c r="H81" s="65">
        <f t="shared" si="32"/>
        <v>0.13406251620250206</v>
      </c>
      <c r="I81" s="65">
        <f t="shared" si="32"/>
        <v>0.12028268651401157</v>
      </c>
      <c r="J81" s="65">
        <f t="shared" si="32"/>
        <v>0.10027667500728173</v>
      </c>
      <c r="K81" s="65">
        <f t="shared" si="32"/>
        <v>8.9008268978791258E-2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3.1408908100478798E-2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8.9659121961981753E-2</v>
      </c>
      <c r="D84" s="27"/>
      <c r="E84" s="265"/>
      <c r="F84" s="27"/>
      <c r="G84" s="65">
        <f t="shared" ref="G84:Q84" si="35">IF(G$4="","",ABS(G16/G$4))</f>
        <v>9.8164408711696932E-2</v>
      </c>
      <c r="H84" s="65">
        <f t="shared" si="35"/>
        <v>9.0494237057222954E-2</v>
      </c>
      <c r="I84" s="65">
        <f t="shared" si="35"/>
        <v>8.0013813430833192E-2</v>
      </c>
      <c r="J84" s="65">
        <f t="shared" si="35"/>
        <v>5.6403297019134276E-2</v>
      </c>
      <c r="K84" s="65">
        <f t="shared" si="35"/>
        <v>5.1607815826824596E-2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8.9659121961981753E-2</v>
      </c>
      <c r="D87" s="75"/>
      <c r="E87" s="265"/>
      <c r="F87" s="75"/>
      <c r="G87" s="65">
        <f t="shared" ref="G87:Q87" si="36">IF(G$4="","",ABS(G19/G$4))</f>
        <v>9.8164408711696932E-2</v>
      </c>
      <c r="H87" s="65">
        <f t="shared" si="36"/>
        <v>9.0494237057222954E-2</v>
      </c>
      <c r="I87" s="65">
        <f t="shared" si="36"/>
        <v>8.0013813430833192E-2</v>
      </c>
      <c r="J87" s="65">
        <f t="shared" si="36"/>
        <v>5.6403297019134276E-2</v>
      </c>
      <c r="K87" s="65">
        <f t="shared" si="36"/>
        <v>5.1607815826824596E-2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2.0119304917522101</v>
      </c>
      <c r="E90" s="268"/>
      <c r="G90" s="112">
        <f>Data!C65</f>
        <v>2.0119304917522101</v>
      </c>
      <c r="H90" s="112">
        <f>Data!D65</f>
        <v>1.829027719774736</v>
      </c>
      <c r="I90" s="112">
        <f>Data!E65</f>
        <v>1.1888680178535784</v>
      </c>
      <c r="J90" s="112">
        <f>Data!F65</f>
        <v>1.005965245876105</v>
      </c>
      <c r="K90" s="112">
        <f>Data!G65</f>
        <v>0.68588539491552603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2744669114.5276256</v>
      </c>
      <c r="E91" s="268"/>
      <c r="G91" s="74">
        <f t="shared" ref="G91:Q91" si="37">IF(G$4="","",G90*Common_Shares/scaling_factor)</f>
        <v>2744669114.5276256</v>
      </c>
      <c r="H91" s="74">
        <f t="shared" si="37"/>
        <v>2495153740.4796591</v>
      </c>
      <c r="I91" s="74">
        <f t="shared" si="37"/>
        <v>1621849931.3117783</v>
      </c>
      <c r="J91" s="74">
        <f t="shared" si="37"/>
        <v>1372334557.2638128</v>
      </c>
      <c r="K91" s="74">
        <f t="shared" si="37"/>
        <v>935682652.67987216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0.95355873083293174</v>
      </c>
      <c r="E92" s="268"/>
      <c r="G92" s="170">
        <f t="shared" ref="G92:Q92" si="38">IF(G$4="","",G90/(G19*scaling_factor/Common_Shares))</f>
        <v>0.87000027454127504</v>
      </c>
      <c r="H92" s="170">
        <f t="shared" si="38"/>
        <v>0.81247320363074604</v>
      </c>
      <c r="I92" s="170">
        <f t="shared" si="38"/>
        <v>0.63004780261991455</v>
      </c>
      <c r="J92" s="170">
        <f t="shared" si="38"/>
        <v>0.80654051283347883</v>
      </c>
      <c r="K92" s="170">
        <f t="shared" si="38"/>
        <v>0.65312778476768962</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3.5749998866278165E-2</v>
      </c>
      <c r="E94" s="268"/>
      <c r="G94" s="23">
        <f t="shared" ref="G94:Q94" si="39">IF(G$4="","",(G90*(1-dividend_tax_rate))/Market_Price)</f>
        <v>3.5749998866278165E-2</v>
      </c>
      <c r="H94" s="23">
        <f t="shared" si="39"/>
        <v>3.2499998969343781E-2</v>
      </c>
      <c r="I94" s="23">
        <f t="shared" si="39"/>
        <v>2.112499933007346E-2</v>
      </c>
      <c r="J94" s="23">
        <f t="shared" si="39"/>
        <v>1.7874999433139083E-2</v>
      </c>
      <c r="K94" s="23">
        <f t="shared" si="39"/>
        <v>1.2187499613503917E-2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-0.14025893827614522</v>
      </c>
      <c r="D98" s="27"/>
      <c r="E98" s="265"/>
      <c r="F98" s="27"/>
      <c r="G98" s="6">
        <f t="shared" ref="G98:Q98" si="41">IF(H5="","",G13/H13-1)</f>
        <v>3.1142103823601275E-2</v>
      </c>
      <c r="H98" s="6">
        <f t="shared" si="41"/>
        <v>0.17570777831484796</v>
      </c>
      <c r="I98" s="6">
        <f t="shared" si="41"/>
        <v>0.2792224402983341</v>
      </c>
      <c r="J98" s="6">
        <f t="shared" si="41"/>
        <v>0.22428901338789409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1.6339152053959185</v>
      </c>
      <c r="H115" s="295">
        <f>IF(H$4="","",Data!D$22/H19)</f>
        <v>0.90443279543226462</v>
      </c>
      <c r="I115" s="295">
        <f>IF(I$4="","",Data!E$22/I19)</f>
        <v>1.8952796381259327</v>
      </c>
      <c r="J115" s="295">
        <f>IF(J$4="","",Data!F$22/J19)</f>
        <v>3.5516224423754763</v>
      </c>
      <c r="K115" s="295">
        <f>IF(K$4="","",Data!G$22/K19)</f>
        <v>3.4576015330046643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0.12563563240191519</v>
      </c>
      <c r="E118" s="268"/>
      <c r="G118" s="23">
        <f t="shared" ref="G118:Q118" si="45">IF(G4="","",IF(valuation_method="DDM",G13/(G4+G12),G81))</f>
        <v>0.1459743926680839</v>
      </c>
      <c r="H118" s="23">
        <f t="shared" si="45"/>
        <v>0.13406251620250206</v>
      </c>
      <c r="I118" s="23">
        <f t="shared" si="45"/>
        <v>0.12028268651401157</v>
      </c>
      <c r="J118" s="23">
        <f t="shared" si="45"/>
        <v>0.10027667500728173</v>
      </c>
      <c r="K118" s="23">
        <f t="shared" si="45"/>
        <v>8.9008268978791258E-2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0.13507586422274007</v>
      </c>
      <c r="D121" s="103"/>
      <c r="E121" s="271"/>
      <c r="F121" s="103"/>
      <c r="G121" s="102">
        <f t="shared" ref="G121:Q121" si="48">IF(G$4="","",G13/G106)</f>
        <v>0.15711226349001098</v>
      </c>
      <c r="H121" s="102">
        <f t="shared" si="48"/>
        <v>0.16102128260582788</v>
      </c>
      <c r="I121" s="102">
        <f t="shared" si="48"/>
        <v>0.14729127241697312</v>
      </c>
      <c r="J121" s="102">
        <f t="shared" si="48"/>
        <v>0.12713567202822582</v>
      </c>
      <c r="K121" s="102">
        <f t="shared" si="48"/>
        <v>0.11563261815723229</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2.3071468267909463</v>
      </c>
      <c r="D125" s="27"/>
      <c r="E125" s="265"/>
      <c r="F125" s="27"/>
      <c r="G125" s="177">
        <f t="shared" ref="G125:Q125" si="49">IF(G$4="","",G16*$C$3/Common_Shares*Exchange_Rate)</f>
        <v>2.5287348342044997</v>
      </c>
      <c r="H125" s="177">
        <f t="shared" si="49"/>
        <v>2.4616196461156923</v>
      </c>
      <c r="I125" s="177">
        <f t="shared" si="49"/>
        <v>2.063335503424085</v>
      </c>
      <c r="J125" s="177">
        <f t="shared" si="49"/>
        <v>1.3638496547874093</v>
      </c>
      <c r="K125" s="177">
        <f t="shared" si="49"/>
        <v>1.1483204626898038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4.5550776442071984E-2</v>
      </c>
      <c r="D126" s="27"/>
      <c r="E126" s="265"/>
      <c r="F126" s="27"/>
      <c r="G126" s="77">
        <f t="shared" ref="G126" si="50">IF(G$4="","",G125/Market_Price)</f>
        <v>4.9925663064254687E-2</v>
      </c>
      <c r="H126" s="77">
        <f t="shared" ref="H126" si="51">IF(H$4="","",H125/Market_Price)</f>
        <v>4.8600585313241705E-2</v>
      </c>
      <c r="I126" s="77">
        <f t="shared" ref="I126" si="52">IF(I$4="","",I125/Market_Price)</f>
        <v>4.073712741212409E-2</v>
      </c>
      <c r="J126" s="77">
        <f t="shared" ref="J126" si="53">IF(J$4="","",J125/Market_Price)</f>
        <v>2.6926942838843223E-2</v>
      </c>
      <c r="K126" s="77">
        <f t="shared" ref="K126" si="54">IF(K$4="","",K125/Market_Price)</f>
        <v>2.2671677446985269E-2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6.5007233509947637E-2</v>
      </c>
      <c r="H127" s="23">
        <f>IF(H$4="","",(Data!D47*$C$3)/(Market_Price*Common_Shares))</f>
        <v>6.292930449574248E-2</v>
      </c>
      <c r="I127" s="23">
        <f>IF(I$4="","",(Data!E47*$C$3)/(Market_Price*Common_Shares))</f>
        <v>5.5063827712440089E-2</v>
      </c>
      <c r="J127" s="23">
        <f>IF(J$4="","",(Data!F47*$C$3)/(Market_Price*Common_Shares))</f>
        <v>4.712598608968905E-2</v>
      </c>
      <c r="K127" s="23">
        <f>IF(K$4="","",(Data!G47*$C$3)/(Market_Price*Common_Shares))</f>
        <v>3.3677053658628567E-2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2878343017.3516026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38377906898.02137</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12817142561.421688</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53665064651.943054</v>
      </c>
      <c r="D10" t="str">
        <f>Reporting_currency</f>
        <v>CNY</v>
      </c>
      <c r="H10" s="120"/>
    </row>
    <row r="11" spans="2:8" ht="13.15" thickBot="1">
      <c r="B11" s="207" t="s">
        <v>165</v>
      </c>
      <c r="C11" s="208">
        <f>Exchange_Rate</f>
        <v>1.0934771400000001</v>
      </c>
      <c r="D11" t="str">
        <f>Thesis!C15</f>
        <v>CNY/HKD</v>
      </c>
      <c r="H11" s="120"/>
    </row>
    <row r="12" spans="2:8" ht="13.5" thickTop="1">
      <c r="B12" s="149" t="s">
        <v>102</v>
      </c>
      <c r="C12" s="111">
        <f>(C10*scaling_factor)/Common_Shares*Exchange_Rate</f>
        <v>43.015437310589668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72.963271486463285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3054399309.1723161</v>
      </c>
      <c r="D21" s="138">
        <f>IF($C$17&lt;B21,0,DCF!$C$16)</f>
        <v>6.1165848114484E-2</v>
      </c>
      <c r="E21" s="124">
        <f t="shared" ref="E21:E50" si="0">IF($C$17&lt;B21,0,1/(1+Equity_Cost)^B21)</f>
        <v>0.93023255813953487</v>
      </c>
      <c r="F21" s="125">
        <f t="shared" ref="F21:F51" si="1">C21*E21</f>
        <v>2841301682.9509916</v>
      </c>
      <c r="H21" s="120"/>
    </row>
    <row r="22" spans="2:17">
      <c r="B22" s="122">
        <v>2</v>
      </c>
      <c r="C22" s="123">
        <f t="shared" ref="C22:C50" si="2">IF(ROW()-ROW($C$21)&lt;$C$17, $C$21*(1+D22)^(ROW()-ROW($C$21)), 0)</f>
        <v>3241224233.3981347</v>
      </c>
      <c r="D22" s="138">
        <f>IF($C$17&lt;B22,0,DCF!$C$16)</f>
        <v>6.1165848114484E-2</v>
      </c>
      <c r="E22" s="124">
        <f t="shared" si="0"/>
        <v>0.86533261222282321</v>
      </c>
      <c r="F22" s="125">
        <f t="shared" si="1"/>
        <v>2804737032.6863256</v>
      </c>
      <c r="H22" s="120"/>
    </row>
    <row r="23" spans="2:17">
      <c r="B23" s="122">
        <v>3</v>
      </c>
      <c r="C23" s="123">
        <f t="shared" si="2"/>
        <v>3439476462.563149</v>
      </c>
      <c r="D23" s="138">
        <f>IF($C$17&lt;B23,0,DCF!$C$16)</f>
        <v>6.1165848114484E-2</v>
      </c>
      <c r="E23" s="124">
        <f t="shared" si="0"/>
        <v>0.80496056950960304</v>
      </c>
      <c r="F23" s="125">
        <f t="shared" si="1"/>
        <v>2768642932.1197071</v>
      </c>
      <c r="G23" s="338"/>
      <c r="H23" s="339"/>
      <c r="I23" s="338"/>
      <c r="J23" s="338"/>
      <c r="K23" s="338"/>
      <c r="L23" s="338"/>
      <c r="M23" s="338"/>
      <c r="N23" s="338"/>
      <c r="O23" s="338"/>
      <c r="P23" s="338"/>
      <c r="Q23" s="338"/>
    </row>
    <row r="24" spans="2:17">
      <c r="B24" s="122">
        <v>4</v>
      </c>
      <c r="C24" s="123">
        <f t="shared" si="2"/>
        <v>3649854957.4656286</v>
      </c>
      <c r="D24" s="138">
        <f>IF($C$17&lt;B24,0,DCF!$C$16)</f>
        <v>6.1165848114484E-2</v>
      </c>
      <c r="E24" s="124">
        <f t="shared" si="0"/>
        <v>0.7488005297763749</v>
      </c>
      <c r="F24" s="125">
        <f t="shared" si="1"/>
        <v>2733013325.7571912</v>
      </c>
      <c r="G24" s="338"/>
      <c r="H24" s="339"/>
      <c r="I24" s="338"/>
      <c r="J24" s="338"/>
      <c r="K24" s="338"/>
      <c r="L24" s="338"/>
      <c r="M24" s="338"/>
      <c r="N24" s="338"/>
      <c r="O24" s="338"/>
      <c r="P24" s="338"/>
      <c r="Q24" s="338"/>
    </row>
    <row r="25" spans="2:17">
      <c r="B25" s="122">
        <v>5</v>
      </c>
      <c r="C25" s="123">
        <f t="shared" si="2"/>
        <v>3873101431.4338675</v>
      </c>
      <c r="D25" s="138">
        <f>IF($C$17&lt;B25,0,DCF!$C$16)</f>
        <v>6.1165848114484E-2</v>
      </c>
      <c r="E25" s="124">
        <f t="shared" si="0"/>
        <v>0.69655863235011617</v>
      </c>
      <c r="F25" s="125">
        <f t="shared" si="1"/>
        <v>2697842236.0328522</v>
      </c>
      <c r="G25" s="338"/>
      <c r="H25" s="339"/>
      <c r="I25" s="338"/>
      <c r="J25" s="338"/>
      <c r="K25" s="338"/>
      <c r="L25" s="338"/>
      <c r="M25" s="338"/>
      <c r="N25" s="338"/>
      <c r="O25" s="338"/>
      <c r="P25" s="338"/>
      <c r="Q25" s="338"/>
    </row>
    <row r="26" spans="2:17">
      <c r="B26" s="122">
        <v>6</v>
      </c>
      <c r="C26" s="123">
        <f t="shared" si="2"/>
        <v>4110002965.3209419</v>
      </c>
      <c r="D26" s="138">
        <f>IF($C$17&lt;B26,0,DCF!$C$16)</f>
        <v>6.1165848114484E-2</v>
      </c>
      <c r="E26" s="124">
        <f t="shared" si="0"/>
        <v>0.64796151846522443</v>
      </c>
      <c r="F26" s="125">
        <f t="shared" si="1"/>
        <v>2663123762.3059325</v>
      </c>
      <c r="H26" s="120"/>
    </row>
    <row r="27" spans="2:17">
      <c r="B27" s="122">
        <v>7</v>
      </c>
      <c r="C27" s="123">
        <f t="shared" si="2"/>
        <v>4361394782.4478407</v>
      </c>
      <c r="D27" s="138">
        <f>IF($C$17&lt;B27,0,DCF!$C$16)</f>
        <v>6.1165848114484E-2</v>
      </c>
      <c r="E27" s="124">
        <f t="shared" si="0"/>
        <v>0.60275490089788319</v>
      </c>
      <c r="F27" s="125">
        <f t="shared" si="1"/>
        <v>2628852079.870893</v>
      </c>
      <c r="H27" s="120"/>
    </row>
    <row r="28" spans="2:17">
      <c r="B28" s="122">
        <v>8</v>
      </c>
      <c r="C28" s="123">
        <f t="shared" si="2"/>
        <v>4628163193.278347</v>
      </c>
      <c r="D28" s="138">
        <f>IF($C$17&lt;B28,0,DCF!$C$16)</f>
        <v>6.1165848114484E-2</v>
      </c>
      <c r="E28" s="124">
        <f t="shared" si="0"/>
        <v>0.56070223339337966</v>
      </c>
      <c r="F28" s="125">
        <f t="shared" si="1"/>
        <v>2595021438.9802051</v>
      </c>
      <c r="H28" s="120"/>
    </row>
    <row r="29" spans="2:17">
      <c r="B29" s="122">
        <v>9</v>
      </c>
      <c r="C29" s="123">
        <f t="shared" si="2"/>
        <v>4911248720.2074556</v>
      </c>
      <c r="D29" s="138">
        <f>IF($C$17&lt;B29,0,DCF!$C$16)</f>
        <v>6.1165848114484E-2</v>
      </c>
      <c r="E29" s="124">
        <f t="shared" si="0"/>
        <v>0.52158347292407414</v>
      </c>
      <c r="F29" s="125">
        <f t="shared" si="1"/>
        <v>2561626163.8797193</v>
      </c>
      <c r="H29" s="120"/>
    </row>
    <row r="30" spans="2:17">
      <c r="B30" s="122">
        <v>10</v>
      </c>
      <c r="C30" s="123">
        <f t="shared" si="2"/>
        <v>5211649413.4801188</v>
      </c>
      <c r="D30" s="138">
        <f>IF($C$17&lt;B30,0,DCF!$C$16)</f>
        <v>6.1165848114484E-2</v>
      </c>
      <c r="E30" s="124">
        <f t="shared" si="0"/>
        <v>0.48519392830146441</v>
      </c>
      <c r="F30" s="125">
        <f t="shared" si="1"/>
        <v>2528660651.856442</v>
      </c>
      <c r="H30" s="120"/>
    </row>
    <row r="31" spans="2:17">
      <c r="B31" s="122">
        <v>11</v>
      </c>
      <c r="C31" s="123">
        <f t="shared" si="2"/>
        <v>5530424369.9309816</v>
      </c>
      <c r="D31" s="138">
        <f>IF($C$17&lt;B31,0,DCF!$C$16)</f>
        <v>6.1165848114484E-2</v>
      </c>
      <c r="E31" s="124">
        <f t="shared" si="0"/>
        <v>0.45134318911764126</v>
      </c>
      <c r="F31" s="125">
        <f t="shared" si="1"/>
        <v>2496119372.2985711</v>
      </c>
      <c r="H31" s="120"/>
    </row>
    <row r="32" spans="2:17">
      <c r="B32" s="122">
        <v>12</v>
      </c>
      <c r="C32" s="123">
        <f t="shared" si="2"/>
        <v>5868697466.9508209</v>
      </c>
      <c r="D32" s="138">
        <f>IF($C$17&lt;B32,0,DCF!$C$16)</f>
        <v>6.1165848114484E-2</v>
      </c>
      <c r="E32" s="124">
        <f t="shared" si="0"/>
        <v>0.41985412941175931</v>
      </c>
      <c r="F32" s="125">
        <f t="shared" si="1"/>
        <v>2463996865.7676339</v>
      </c>
      <c r="H32" s="120"/>
    </row>
    <row r="33" spans="2:17">
      <c r="B33" s="122">
        <v>13</v>
      </c>
      <c r="C33" s="341">
        <f t="shared" si="2"/>
        <v>6227661324.8441906</v>
      </c>
      <c r="D33" s="138">
        <f>IF($C$17&lt;B33,0,DCF!$C$16)</f>
        <v>6.1165848114484E-2</v>
      </c>
      <c r="E33" s="124">
        <f t="shared" si="0"/>
        <v>0.39056198084814819</v>
      </c>
      <c r="F33" s="125">
        <f t="shared" si="1"/>
        <v>2432287743.08255</v>
      </c>
      <c r="G33" s="338"/>
      <c r="H33" s="339"/>
      <c r="I33" s="338"/>
      <c r="J33" s="338"/>
      <c r="K33" s="338"/>
      <c r="L33" s="338"/>
      <c r="M33" s="338"/>
      <c r="N33" s="338"/>
      <c r="O33" s="338"/>
      <c r="P33" s="338"/>
      <c r="Q33" s="338"/>
    </row>
    <row r="34" spans="2:17">
      <c r="B34" s="122">
        <v>14</v>
      </c>
      <c r="C34" s="341">
        <f t="shared" si="2"/>
        <v>6608581511.5480566</v>
      </c>
      <c r="D34" s="138">
        <f>IF($C$17&lt;B34,0,DCF!$C$16)</f>
        <v>6.1165848114484E-2</v>
      </c>
      <c r="E34" s="124">
        <f t="shared" si="0"/>
        <v>0.36331347055641694</v>
      </c>
      <c r="F34" s="125">
        <f t="shared" si="1"/>
        <v>2400986684.4154963</v>
      </c>
      <c r="G34" s="338"/>
      <c r="H34" s="339"/>
      <c r="I34" s="338"/>
      <c r="J34" s="338"/>
      <c r="K34" s="338"/>
      <c r="L34" s="338"/>
      <c r="M34" s="338"/>
      <c r="N34" s="338"/>
      <c r="O34" s="338"/>
      <c r="P34" s="338"/>
      <c r="Q34" s="338"/>
    </row>
    <row r="35" spans="2:17">
      <c r="B35" s="122">
        <v>15</v>
      </c>
      <c r="C35" s="341">
        <f t="shared" si="2"/>
        <v>7012801004.5355902</v>
      </c>
      <c r="D35" s="138">
        <f>IF($C$17&lt;B35,0,DCF!$C$16)</f>
        <v>6.1165848114484E-2</v>
      </c>
      <c r="E35" s="124">
        <f t="shared" si="0"/>
        <v>0.33796601912224833</v>
      </c>
      <c r="F35" s="125">
        <f t="shared" si="1"/>
        <v>2370088438.3993974</v>
      </c>
      <c r="G35" s="338"/>
      <c r="H35" s="339"/>
      <c r="I35" s="338"/>
      <c r="J35" s="338"/>
      <c r="K35" s="338"/>
      <c r="L35" s="338"/>
      <c r="M35" s="338"/>
      <c r="N35" s="338"/>
      <c r="O35" s="338"/>
      <c r="P35" s="338"/>
      <c r="Q35" s="338"/>
    </row>
    <row r="36" spans="2:17">
      <c r="B36" s="122">
        <v>16</v>
      </c>
      <c r="C36" s="123">
        <f t="shared" si="2"/>
        <v>7441744925.6361141</v>
      </c>
      <c r="D36" s="138">
        <f>IF($C$17&lt;B36,0,DCF!$C$16)</f>
        <v>6.1165848114484E-2</v>
      </c>
      <c r="E36" s="124">
        <f t="shared" si="0"/>
        <v>0.31438699453232405</v>
      </c>
      <c r="F36" s="125">
        <f t="shared" si="1"/>
        <v>2339587821.246911</v>
      </c>
      <c r="H36" s="120"/>
    </row>
    <row r="37" spans="2:17">
      <c r="B37" s="122">
        <v>17</v>
      </c>
      <c r="C37" s="123">
        <f t="shared" si="2"/>
        <v>7896925565.4643049</v>
      </c>
      <c r="D37" s="138">
        <f>IF($C$17&lt;B37,0,DCF!$C$16)</f>
        <v>6.1165848114484E-2</v>
      </c>
      <c r="E37" s="124">
        <f t="shared" si="0"/>
        <v>0.29245301816960378</v>
      </c>
      <c r="F37" s="125">
        <f t="shared" si="1"/>
        <v>2309479715.8807411</v>
      </c>
      <c r="H37" s="120"/>
    </row>
    <row r="38" spans="2:17">
      <c r="B38" s="122">
        <v>18</v>
      </c>
      <c r="C38" s="123">
        <f t="shared" si="2"/>
        <v>8379947715.1728802</v>
      </c>
      <c r="D38" s="138">
        <f>IF($C$17&lt;B38,0,DCF!$C$16)</f>
        <v>6.1165848114484E-2</v>
      </c>
      <c r="E38" s="124">
        <f t="shared" si="0"/>
        <v>0.27204931922753844</v>
      </c>
      <c r="F38" s="125">
        <f t="shared" si="1"/>
        <v>2279759071.0751481</v>
      </c>
      <c r="H38" s="120"/>
    </row>
    <row r="39" spans="2:17">
      <c r="B39" s="122">
        <v>19</v>
      </c>
      <c r="C39" s="123">
        <f t="shared" si="2"/>
        <v>8892514324.3264599</v>
      </c>
      <c r="D39" s="138">
        <f>IF($C$17&lt;B39,0,DCF!$C$16)</f>
        <v>6.1165848114484E-2</v>
      </c>
      <c r="E39" s="124">
        <f t="shared" si="0"/>
        <v>0.25306913416515198</v>
      </c>
      <c r="F39" s="125">
        <f t="shared" si="1"/>
        <v>2250420900.6085086</v>
      </c>
      <c r="H39" s="120"/>
    </row>
    <row r="40" spans="2:17">
      <c r="B40" s="122">
        <v>20</v>
      </c>
      <c r="C40" s="123">
        <f t="shared" si="2"/>
        <v>9436432504.8440838</v>
      </c>
      <c r="D40" s="138">
        <f>IF($C$17&lt;B40,0,DCF!$C$16)</f>
        <v>6.1165848114484E-2</v>
      </c>
      <c r="E40" s="124">
        <f t="shared" si="0"/>
        <v>0.23541314806060654</v>
      </c>
      <c r="F40" s="125">
        <f t="shared" si="1"/>
        <v>2221460282.4267807</v>
      </c>
      <c r="H40" s="120"/>
    </row>
    <row r="41" spans="2:17">
      <c r="B41" s="122">
        <v>21</v>
      </c>
      <c r="C41" s="123">
        <f t="shared" si="2"/>
        <v>10013619902.177956</v>
      </c>
      <c r="D41" s="138">
        <f>IF($C$17&lt;B41,0,DCF!$C$16)</f>
        <v>6.1165848114484E-2</v>
      </c>
      <c r="E41" s="124">
        <f t="shared" si="0"/>
        <v>0.21898897494009908</v>
      </c>
      <c r="F41" s="125">
        <f t="shared" si="1"/>
        <v>2192872357.8177257</v>
      </c>
      <c r="H41" s="120"/>
    </row>
    <row r="42" spans="2:17">
      <c r="B42" s="122">
        <v>22</v>
      </c>
      <c r="C42" s="123">
        <f t="shared" si="2"/>
        <v>10626111456.190746</v>
      </c>
      <c r="D42" s="138">
        <f>IF($C$17&lt;B42,0,DCF!$C$16)</f>
        <v>6.1165848114484E-2</v>
      </c>
      <c r="E42" s="124">
        <f t="shared" si="0"/>
        <v>0.20371067436288287</v>
      </c>
      <c r="F42" s="125">
        <f t="shared" si="1"/>
        <v>2164652330.5957723</v>
      </c>
      <c r="H42" s="120"/>
    </row>
    <row r="43" spans="2:17">
      <c r="B43" s="122">
        <v>23</v>
      </c>
      <c r="C43" s="123">
        <f t="shared" si="2"/>
        <v>11276066575.567684</v>
      </c>
      <c r="D43" s="138">
        <f>IF($C$17&lt;B43,0,DCF!$C$16)</f>
        <v>6.1165848114484E-2</v>
      </c>
      <c r="E43" s="124">
        <f t="shared" si="0"/>
        <v>0.18949830173291429</v>
      </c>
      <c r="F43" s="125">
        <f t="shared" si="1"/>
        <v>2136795466.2973547</v>
      </c>
      <c r="H43" s="120"/>
    </row>
    <row r="44" spans="2:17">
      <c r="B44" s="122">
        <v>24</v>
      </c>
      <c r="C44" s="123">
        <f t="shared" si="2"/>
        <v>11965776751.057665</v>
      </c>
      <c r="D44" s="138">
        <f>IF($C$17&lt;B44,0,DCF!$C$16)</f>
        <v>6.1165848114484E-2</v>
      </c>
      <c r="E44" s="124">
        <f t="shared" si="0"/>
        <v>0.17627748998410636</v>
      </c>
      <c r="F44" s="125">
        <f t="shared" si="1"/>
        <v>2109297091.3866203</v>
      </c>
      <c r="H44" s="120"/>
    </row>
    <row r="45" spans="2:17">
      <c r="B45" s="122">
        <v>25</v>
      </c>
      <c r="C45" s="123">
        <f t="shared" si="2"/>
        <v>12697673634.384684</v>
      </c>
      <c r="D45" s="138">
        <f>IF($C$17&lt;B45,0,DCF!$C$16)</f>
        <v>6.1165848114484E-2</v>
      </c>
      <c r="E45" s="124">
        <f t="shared" si="0"/>
        <v>0.16397906045033148</v>
      </c>
      <c r="F45" s="125">
        <f t="shared" si="1"/>
        <v>2082152592.4713461</v>
      </c>
      <c r="H45" s="120"/>
    </row>
    <row r="46" spans="2:17">
      <c r="B46" s="122">
        <v>26</v>
      </c>
      <c r="C46" s="123">
        <f t="shared" si="2"/>
        <v>13474337611.312742</v>
      </c>
      <c r="D46" s="138">
        <f>IF($C$17&lt;B46,0,DCF!$C$16)</f>
        <v>6.1165848114484E-2</v>
      </c>
      <c r="E46" s="124">
        <f t="shared" si="0"/>
        <v>0.15253866088402931</v>
      </c>
      <c r="F46" s="125">
        <f t="shared" si="1"/>
        <v>2055357415.5289559</v>
      </c>
      <c r="H46" s="120"/>
    </row>
    <row r="47" spans="2:17">
      <c r="B47" s="122">
        <v>27</v>
      </c>
      <c r="C47" s="341">
        <f t="shared" si="2"/>
        <v>14298506899.089575</v>
      </c>
      <c r="D47" s="138">
        <f>IF($C$17&lt;B47,0,DCF!$C$16)</f>
        <v>6.1165848114484E-2</v>
      </c>
      <c r="E47" s="124">
        <f t="shared" si="0"/>
        <v>0.14189642872932959</v>
      </c>
      <c r="F47" s="125">
        <f t="shared" si="1"/>
        <v>2028907065.1424913</v>
      </c>
      <c r="G47" s="338"/>
      <c r="H47" s="339"/>
      <c r="I47" s="338"/>
      <c r="J47" s="338"/>
      <c r="K47" s="338"/>
      <c r="L47" s="338"/>
      <c r="M47" s="338"/>
      <c r="N47" s="338"/>
      <c r="O47" s="338"/>
      <c r="P47" s="338"/>
      <c r="Q47" s="338"/>
    </row>
    <row r="48" spans="2:17">
      <c r="B48" s="122">
        <v>28</v>
      </c>
      <c r="C48" s="341">
        <f t="shared" si="2"/>
        <v>15173087200.343185</v>
      </c>
      <c r="D48" s="138">
        <f>IF($C$17&lt;B48,0,DCF!$C$16)</f>
        <v>6.1165848114484E-2</v>
      </c>
      <c r="E48" s="124">
        <f t="shared" si="0"/>
        <v>0.13199667788774846</v>
      </c>
      <c r="F48" s="125">
        <f t="shared" si="1"/>
        <v>2002797103.7464187</v>
      </c>
      <c r="G48" s="338"/>
      <c r="H48" s="339"/>
      <c r="I48" s="338"/>
      <c r="J48" s="338"/>
      <c r="K48" s="338"/>
      <c r="L48" s="338"/>
      <c r="M48" s="338"/>
      <c r="N48" s="338"/>
      <c r="O48" s="338"/>
      <c r="P48" s="338"/>
      <c r="Q48" s="338"/>
    </row>
    <row r="49" spans="1:17">
      <c r="B49" s="122">
        <v>29</v>
      </c>
      <c r="C49" s="341">
        <f t="shared" si="2"/>
        <v>16101161947.467197</v>
      </c>
      <c r="D49" s="138">
        <f>IF($C$17&lt;B49,0,DCF!$C$16)</f>
        <v>6.1165848114484E-2</v>
      </c>
      <c r="E49" s="124">
        <f t="shared" si="0"/>
        <v>0.1227876073374404</v>
      </c>
      <c r="F49" s="125">
        <f t="shared" si="1"/>
        <v>1977023150.8821394</v>
      </c>
      <c r="G49" s="338"/>
      <c r="H49" s="339"/>
      <c r="I49" s="338"/>
      <c r="J49" s="338"/>
      <c r="K49" s="338"/>
      <c r="L49" s="338"/>
      <c r="M49" s="338"/>
      <c r="N49" s="338"/>
      <c r="O49" s="338"/>
      <c r="P49" s="338"/>
      <c r="Q49" s="338"/>
    </row>
    <row r="50" spans="1:17">
      <c r="B50" s="122">
        <v>30</v>
      </c>
      <c r="C50" s="341">
        <f t="shared" si="2"/>
        <v>17086003173.612686</v>
      </c>
      <c r="D50" s="138">
        <f>IF($C$17&lt;B50,0,DCF!$C$16)</f>
        <v>6.1165848114484E-2</v>
      </c>
      <c r="E50" s="124">
        <f t="shared" si="0"/>
        <v>0.11422103008133992</v>
      </c>
      <c r="F50" s="125">
        <f t="shared" si="1"/>
        <v>1951580882.463084</v>
      </c>
      <c r="G50" s="338"/>
      <c r="H50" s="339"/>
      <c r="I50" s="338"/>
      <c r="J50" s="338"/>
      <c r="K50" s="338"/>
      <c r="L50" s="338"/>
      <c r="M50" s="338"/>
      <c r="N50" s="338"/>
      <c r="O50" s="338"/>
      <c r="P50" s="338"/>
      <c r="Q50" s="338"/>
    </row>
    <row r="51" spans="1:17">
      <c r="B51" s="126" t="s">
        <v>130</v>
      </c>
      <c r="C51" s="123">
        <f>C$21*(1+Terminal_Growth)^$C$17/Equity_Cost</f>
        <v>40725324122.297546</v>
      </c>
      <c r="D51" s="139">
        <f>Terminal_Growth</f>
        <v>0</v>
      </c>
      <c r="E51" s="124">
        <f>1/(1+Equity_Cost)^C17</f>
        <v>0.11422103008133992</v>
      </c>
      <c r="F51" s="125">
        <f t="shared" si="1"/>
        <v>4651688471.6452665</v>
      </c>
      <c r="H51" s="120"/>
    </row>
    <row r="52" spans="1:17">
      <c r="C52" s="114"/>
      <c r="E52" s="127" t="s">
        <v>100</v>
      </c>
      <c r="F52" s="137">
        <f>SUM(F21:F51)</f>
        <v>75740132129.619171</v>
      </c>
      <c r="H52" s="120"/>
    </row>
    <row r="53" spans="1:17">
      <c r="C53" s="114"/>
      <c r="H53" s="120"/>
    </row>
    <row r="54" spans="1:17" ht="13.15">
      <c r="B54" s="119" t="s">
        <v>128</v>
      </c>
      <c r="C54" s="136"/>
      <c r="D54" s="136"/>
      <c r="E54" s="117"/>
      <c r="F54" s="117"/>
      <c r="H54" s="120"/>
    </row>
    <row r="55" spans="1:17" ht="13.15">
      <c r="A55" s="133">
        <f>F52</f>
        <v>75740132129.619171</v>
      </c>
      <c r="B55" s="131">
        <f>C78</f>
        <v>0.02</v>
      </c>
      <c r="C55" s="131">
        <f>C77</f>
        <v>0.04</v>
      </c>
      <c r="D55" s="131">
        <f>C76</f>
        <v>0.06</v>
      </c>
      <c r="E55" s="131">
        <f>C75</f>
        <v>0.08</v>
      </c>
      <c r="F55" s="131">
        <f>C74</f>
        <v>0.1</v>
      </c>
      <c r="H55" s="120"/>
    </row>
    <row r="56" spans="1:17" ht="13.15">
      <c r="A56" s="143">
        <v>5</v>
      </c>
      <c r="B56" s="123">
        <f t="dataTable" ref="B56:F61" dt2D="1" dtr="1" r1="C16" r2="C17"/>
        <v>39594889641.947289</v>
      </c>
      <c r="C56" s="123">
        <v>40847325468.305138</v>
      </c>
      <c r="D56" s="123">
        <v>42136772897.025513</v>
      </c>
      <c r="E56" s="123">
        <v>43464838758.944984</v>
      </c>
      <c r="F56" s="123">
        <v>44833178965.700928</v>
      </c>
      <c r="H56" s="120"/>
    </row>
    <row r="57" spans="1:17" ht="13.15">
      <c r="A57" s="143">
        <v>10</v>
      </c>
      <c r="B57" s="123">
        <v>40801684192.524933</v>
      </c>
      <c r="C57" s="123">
        <v>43466846863.596771</v>
      </c>
      <c r="D57" s="123">
        <v>46402377644.535355</v>
      </c>
      <c r="E57" s="123">
        <v>49640506517.129631</v>
      </c>
      <c r="F57" s="123">
        <v>53217032726.828369</v>
      </c>
      <c r="H57" s="120"/>
    </row>
    <row r="58" spans="1:17" ht="13.15">
      <c r="A58" s="143">
        <v>15</v>
      </c>
      <c r="B58" s="123">
        <v>42329627416.920967</v>
      </c>
      <c r="C58" s="341">
        <v>46959932697.507637</v>
      </c>
      <c r="D58" s="123">
        <v>52404312285.451828</v>
      </c>
      <c r="E58" s="123">
        <v>58825128161.472633</v>
      </c>
      <c r="F58" s="123">
        <v>66416683081.592422</v>
      </c>
      <c r="G58" s="338"/>
      <c r="H58" s="339"/>
      <c r="I58" s="338"/>
      <c r="J58" s="338"/>
      <c r="K58" s="338"/>
      <c r="L58" s="338"/>
      <c r="M58" s="338"/>
      <c r="N58" s="338"/>
      <c r="O58" s="338"/>
      <c r="P58" s="338"/>
      <c r="Q58" s="338"/>
    </row>
    <row r="59" spans="1:17" ht="13.15">
      <c r="A59" s="144">
        <v>20</v>
      </c>
      <c r="B59" s="123">
        <v>43922533156.044594</v>
      </c>
      <c r="C59" s="341">
        <v>50807021037.371155</v>
      </c>
      <c r="D59" s="123">
        <v>59410077942.738899</v>
      </c>
      <c r="E59" s="123">
        <v>70220279844.582611</v>
      </c>
      <c r="F59" s="123">
        <v>83867350100.586029</v>
      </c>
      <c r="G59" s="338"/>
      <c r="H59" s="339"/>
      <c r="I59" s="338"/>
      <c r="J59" s="338"/>
      <c r="K59" s="338"/>
      <c r="L59" s="338"/>
      <c r="M59" s="338"/>
      <c r="N59" s="338"/>
      <c r="O59" s="338"/>
      <c r="P59" s="338"/>
      <c r="Q59" s="338"/>
    </row>
    <row r="60" spans="1:17" ht="13.15">
      <c r="A60" s="144">
        <v>25</v>
      </c>
      <c r="B60" s="123">
        <v>45438611779.665329</v>
      </c>
      <c r="C60" s="341">
        <v>54685023315.300354</v>
      </c>
      <c r="D60" s="123">
        <v>66923397296.64917</v>
      </c>
      <c r="E60" s="123">
        <v>83272502971.48259</v>
      </c>
      <c r="F60" s="123">
        <v>105284842171.09819</v>
      </c>
      <c r="G60" s="338"/>
      <c r="H60" s="339"/>
      <c r="I60" s="338"/>
      <c r="J60" s="338"/>
      <c r="K60" s="338"/>
      <c r="L60" s="338"/>
      <c r="M60" s="338"/>
      <c r="N60" s="338"/>
      <c r="O60" s="338"/>
      <c r="P60" s="338"/>
      <c r="Q60" s="338"/>
    </row>
    <row r="61" spans="1:17" ht="13.15">
      <c r="A61" s="144">
        <v>30</v>
      </c>
      <c r="B61" s="123">
        <v>46807291396.694496</v>
      </c>
      <c r="C61" s="341">
        <v>58401785461.185593</v>
      </c>
      <c r="D61" s="123">
        <v>74611588646.399475</v>
      </c>
      <c r="E61" s="123">
        <v>97599034761.230621</v>
      </c>
      <c r="F61" s="123">
        <v>130593717359.72031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43.015437310589668</v>
      </c>
      <c r="C65" s="124">
        <f>C12</f>
        <v>43.015437310589668</v>
      </c>
      <c r="D65" s="124">
        <f>C12</f>
        <v>43.015437310589668</v>
      </c>
      <c r="E65" s="141">
        <f>C12</f>
        <v>43.015437310589668</v>
      </c>
      <c r="F65" s="124">
        <f>C12</f>
        <v>43.015437310589668</v>
      </c>
      <c r="H65" s="120"/>
    </row>
    <row r="66" spans="1:8" ht="13.15">
      <c r="A66" s="143">
        <f t="shared" ref="A66:A71" si="3">A56</f>
        <v>5</v>
      </c>
      <c r="B66" s="124">
        <f t="shared" ref="B66:F71" si="4">(B56-$C$7+$C$8+$C$9)/Common_Shares*$C$3*Exchange_Rate</f>
        <v>43.990914471922402</v>
      </c>
      <c r="C66" s="124">
        <f t="shared" si="4"/>
        <v>44.994809186736319</v>
      </c>
      <c r="D66" s="124">
        <f t="shared" si="4"/>
        <v>46.028370692627739</v>
      </c>
      <c r="E66" s="124">
        <f t="shared" si="4"/>
        <v>47.092886950983953</v>
      </c>
      <c r="F66" s="124">
        <f t="shared" si="4"/>
        <v>48.189685264095438</v>
      </c>
      <c r="H66" s="120"/>
    </row>
    <row r="67" spans="1:8" ht="13.15">
      <c r="A67" s="143">
        <f t="shared" si="3"/>
        <v>10</v>
      </c>
      <c r="B67" s="124">
        <f t="shared" si="4"/>
        <v>44.958225248007615</v>
      </c>
      <c r="C67" s="124">
        <f t="shared" si="4"/>
        <v>47.094496554928767</v>
      </c>
      <c r="D67" s="124">
        <f t="shared" si="4"/>
        <v>49.447482451801207</v>
      </c>
      <c r="E67" s="124">
        <f t="shared" si="4"/>
        <v>52.043017003489226</v>
      </c>
      <c r="F67" s="124">
        <f t="shared" si="4"/>
        <v>54.909795231760803</v>
      </c>
      <c r="H67" s="120"/>
    </row>
    <row r="68" spans="1:8" ht="13.15">
      <c r="A68" s="143">
        <f t="shared" si="3"/>
        <v>15</v>
      </c>
      <c r="B68" s="124">
        <f t="shared" si="4"/>
        <v>46.182953968813656</v>
      </c>
      <c r="C68" s="124">
        <f t="shared" si="4"/>
        <v>49.894392831652262</v>
      </c>
      <c r="D68" s="124">
        <f t="shared" si="4"/>
        <v>54.258356061346952</v>
      </c>
      <c r="E68" s="124">
        <f t="shared" si="4"/>
        <v>59.404985522974023</v>
      </c>
      <c r="F68" s="124">
        <f t="shared" si="4"/>
        <v>65.49002533191215</v>
      </c>
      <c r="H68" s="120"/>
    </row>
    <row r="69" spans="1:8" ht="13.15">
      <c r="A69" s="144">
        <f t="shared" si="3"/>
        <v>20</v>
      </c>
      <c r="B69" s="124">
        <f t="shared" si="4"/>
        <v>47.459753641139585</v>
      </c>
      <c r="C69" s="124">
        <f t="shared" si="4"/>
        <v>52.978041167585246</v>
      </c>
      <c r="D69" s="124">
        <f t="shared" si="4"/>
        <v>59.873854251803394</v>
      </c>
      <c r="E69" s="124">
        <f t="shared" si="4"/>
        <v>68.538812828476594</v>
      </c>
      <c r="F69" s="124">
        <f t="shared" si="4"/>
        <v>79.477674057428317</v>
      </c>
      <c r="H69" s="120"/>
    </row>
    <row r="70" spans="1:8" ht="13.15">
      <c r="A70" s="144">
        <f t="shared" si="3"/>
        <v>25</v>
      </c>
      <c r="B70" s="124">
        <f t="shared" si="4"/>
        <v>48.674972245929283</v>
      </c>
      <c r="C70" s="124">
        <f t="shared" si="4"/>
        <v>56.086468688515247</v>
      </c>
      <c r="D70" s="124">
        <f t="shared" si="4"/>
        <v>65.896184044167967</v>
      </c>
      <c r="E70" s="124">
        <f t="shared" si="4"/>
        <v>79.000872071680476</v>
      </c>
      <c r="F70" s="124">
        <f t="shared" si="4"/>
        <v>96.644946536914844</v>
      </c>
    </row>
    <row r="71" spans="1:8" ht="13.15">
      <c r="A71" s="144">
        <f t="shared" si="3"/>
        <v>30</v>
      </c>
      <c r="B71" s="124">
        <f t="shared" si="4"/>
        <v>49.772042614640149</v>
      </c>
      <c r="C71" s="124">
        <f t="shared" si="4"/>
        <v>59.065653566454458</v>
      </c>
      <c r="D71" s="124">
        <f t="shared" si="4"/>
        <v>72.058683151956288</v>
      </c>
      <c r="E71" s="124">
        <f t="shared" si="4"/>
        <v>90.484358285234563</v>
      </c>
      <c r="F71" s="124">
        <f t="shared" si="4"/>
        <v>116.93137200082782</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116.93137200082782</v>
      </c>
      <c r="F74" s="142">
        <f>Scenarios!C58</f>
        <v>0.05</v>
      </c>
    </row>
    <row r="75" spans="1:8">
      <c r="B75" s="127" t="str">
        <f>Scenarios!B36</f>
        <v>Optimistic</v>
      </c>
      <c r="C75" s="142">
        <f>Scenarios!C38</f>
        <v>0.08</v>
      </c>
      <c r="D75" s="145">
        <f>Scenarios!C37</f>
        <v>30</v>
      </c>
      <c r="E75" s="135">
        <f>INDEX(B$65:F$71, MATCH(D75, A$65:A$71, 0), MATCH(C75, B$64:F$64, 0))</f>
        <v>90.484358285234563</v>
      </c>
      <c r="F75" s="142">
        <f>Scenarios!C40*(1-F$74-F$78)</f>
        <v>0.18</v>
      </c>
      <c r="H75" s="120"/>
    </row>
    <row r="76" spans="1:8">
      <c r="B76" s="127" t="str">
        <f>Scenarios!B24</f>
        <v>Base</v>
      </c>
      <c r="C76" s="142">
        <f>Scenarios!C26</f>
        <v>0.06</v>
      </c>
      <c r="D76" s="145">
        <f>Scenarios!C25</f>
        <v>30</v>
      </c>
      <c r="E76" s="135">
        <f>INDEX(B$65:F$71, MATCH(D76, A$65:A$71, 0), MATCH(C76, B$64:F$64, 0))</f>
        <v>72.058683151956288</v>
      </c>
      <c r="F76" s="142">
        <f>Scenarios!C28*(1-F$74-F$78)</f>
        <v>0.44999999999999996</v>
      </c>
      <c r="H76" s="120"/>
    </row>
    <row r="77" spans="1:8">
      <c r="B77" s="127" t="str">
        <f>Scenarios!B30</f>
        <v>Pessimistic</v>
      </c>
      <c r="C77" s="142">
        <f>Scenarios!C32</f>
        <v>0.04</v>
      </c>
      <c r="D77" s="145">
        <f>Scenarios!C31</f>
        <v>30</v>
      </c>
      <c r="E77" s="135">
        <f>INDEX(B$65:F$71, MATCH(D77, A$65:A$71, 0), MATCH(C77, B$64:F$64, 0))</f>
        <v>59.065653566454458</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49.772042614640149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2470202203.074863</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32936029374.331509</v>
      </c>
      <c r="D6" t="str">
        <f>Reporting_currency</f>
        <v>CNY</v>
      </c>
      <c r="E6" s="366"/>
      <c r="F6" s="366"/>
      <c r="H6" s="120"/>
    </row>
    <row r="7" spans="2:8" ht="13.15">
      <c r="B7" s="149" t="s">
        <v>441</v>
      </c>
      <c r="C7" s="111">
        <f>(C6*scaling_factor)/Common_Shares*Exchange_Rate</f>
        <v>26.400000000000009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47.64737639887656</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2621294215.8402033</v>
      </c>
      <c r="D16" s="138">
        <f>IF($C$12&lt;B16,0,DDM!$C$11)</f>
        <v>6.1165848114484E-2</v>
      </c>
      <c r="E16" s="124">
        <f t="shared" ref="E16:E45" si="0">IF($C$12&lt;B16,0,1/(1+Equity_Cost)^B16)</f>
        <v>0.93023255813953487</v>
      </c>
      <c r="F16" s="125">
        <f t="shared" ref="F16:F46" si="1">C16*E16</f>
        <v>2438413224.0373983</v>
      </c>
      <c r="H16" s="120"/>
    </row>
    <row r="17" spans="2:8">
      <c r="B17" s="122">
        <v>2</v>
      </c>
      <c r="C17" s="123">
        <f t="shared" ref="C17:C45" si="2">IF(ROW()-ROW($C$16)&lt;$C$12, $C$16*(1+D17)^(ROW()-ROW($C$16)), 0)</f>
        <v>2781627899.7096605</v>
      </c>
      <c r="D17" s="138">
        <f>IF($C$12&lt;B17,0,DDM!$C$11)</f>
        <v>6.1165848114484E-2</v>
      </c>
      <c r="E17" s="124">
        <f t="shared" si="0"/>
        <v>0.86533261222282321</v>
      </c>
      <c r="F17" s="125">
        <f t="shared" si="1"/>
        <v>2407033336.6876459</v>
      </c>
      <c r="H17" s="120"/>
    </row>
    <row r="18" spans="2:8">
      <c r="B18" s="122">
        <v>3</v>
      </c>
      <c r="C18" s="123">
        <f t="shared" si="2"/>
        <v>2951768529.334312</v>
      </c>
      <c r="D18" s="138">
        <f>IF($C$12&lt;B18,0,DDM!$C$11)</f>
        <v>6.1165848114484E-2</v>
      </c>
      <c r="E18" s="124">
        <f t="shared" si="0"/>
        <v>0.80496056950960304</v>
      </c>
      <c r="F18" s="125">
        <f t="shared" si="1"/>
        <v>2376057276.4334712</v>
      </c>
      <c r="H18" s="120"/>
    </row>
    <row r="19" spans="2:8">
      <c r="B19" s="122">
        <v>4</v>
      </c>
      <c r="C19" s="123">
        <f t="shared" si="2"/>
        <v>3132315954.8686881</v>
      </c>
      <c r="D19" s="138">
        <f>IF($C$12&lt;B19,0,DDM!$C$11)</f>
        <v>6.1165848114484E-2</v>
      </c>
      <c r="E19" s="124">
        <f t="shared" si="0"/>
        <v>0.7488005297763749</v>
      </c>
      <c r="F19" s="125">
        <f t="shared" si="1"/>
        <v>2345479846.4326653</v>
      </c>
      <c r="H19" s="120"/>
    </row>
    <row r="20" spans="2:8">
      <c r="B20" s="122">
        <v>5</v>
      </c>
      <c r="C20" s="123">
        <f t="shared" si="2"/>
        <v>3323906716.810761</v>
      </c>
      <c r="D20" s="138">
        <f>IF($C$12&lt;B20,0,DDM!$C$11)</f>
        <v>6.1165848114484E-2</v>
      </c>
      <c r="E20" s="124">
        <f t="shared" si="0"/>
        <v>0.69655863235011617</v>
      </c>
      <c r="F20" s="125">
        <f t="shared" si="1"/>
        <v>2315295916.7210684</v>
      </c>
      <c r="H20" s="120"/>
    </row>
    <row r="21" spans="2:8">
      <c r="B21" s="122">
        <v>6</v>
      </c>
      <c r="C21" s="123">
        <f t="shared" si="2"/>
        <v>3527216290.1979208</v>
      </c>
      <c r="D21" s="138">
        <f>IF($C$12&lt;B21,0,DDM!$C$11)</f>
        <v>6.1165848114484E-2</v>
      </c>
      <c r="E21" s="124">
        <f t="shared" si="0"/>
        <v>0.64796151846522443</v>
      </c>
      <c r="F21" s="125">
        <f t="shared" si="1"/>
        <v>2285500423.3519206</v>
      </c>
      <c r="H21" s="120"/>
    </row>
    <row r="22" spans="2:8">
      <c r="B22" s="122">
        <v>7</v>
      </c>
      <c r="C22" s="123">
        <f t="shared" si="2"/>
        <v>3742961466.0710998</v>
      </c>
      <c r="D22" s="138">
        <f>IF($C$12&lt;B22,0,DDM!$C$11)</f>
        <v>6.1165848114484E-2</v>
      </c>
      <c r="E22" s="124">
        <f t="shared" si="0"/>
        <v>0.60275490089788319</v>
      </c>
      <c r="F22" s="125">
        <f t="shared" si="1"/>
        <v>2256088367.5462813</v>
      </c>
      <c r="H22" s="120"/>
    </row>
    <row r="23" spans="2:8">
      <c r="B23" s="122">
        <v>8</v>
      </c>
      <c r="C23" s="123">
        <f t="shared" si="2"/>
        <v>3971902878.6031699</v>
      </c>
      <c r="D23" s="138">
        <f>IF($C$12&lt;B23,0,DDM!$C$11)</f>
        <v>6.1165848114484E-2</v>
      </c>
      <c r="E23" s="124">
        <f t="shared" si="0"/>
        <v>0.56070223339337966</v>
      </c>
      <c r="F23" s="125">
        <f t="shared" si="1"/>
        <v>2227054814.8543911</v>
      </c>
      <c r="H23" s="120"/>
    </row>
    <row r="24" spans="2:8">
      <c r="B24" s="122">
        <v>9</v>
      </c>
      <c r="C24" s="123">
        <f t="shared" si="2"/>
        <v>4214847686.8012934</v>
      </c>
      <c r="D24" s="138">
        <f>IF($C$12&lt;B24,0,DDM!$C$11)</f>
        <v>6.1165848114484E-2</v>
      </c>
      <c r="E24" s="124">
        <f t="shared" si="0"/>
        <v>0.52158347292407414</v>
      </c>
      <c r="F24" s="125">
        <f t="shared" si="1"/>
        <v>2198394894.3278189</v>
      </c>
      <c r="H24" s="120"/>
    </row>
    <row r="25" spans="2:8">
      <c r="B25" s="122">
        <v>10</v>
      </c>
      <c r="C25" s="123">
        <f t="shared" si="2"/>
        <v>4472652420.2378654</v>
      </c>
      <c r="D25" s="138">
        <f>IF($C$12&lt;B25,0,DDM!$C$11)</f>
        <v>6.1165848114484E-2</v>
      </c>
      <c r="E25" s="124">
        <f t="shared" si="0"/>
        <v>0.48519392830146441</v>
      </c>
      <c r="F25" s="125">
        <f t="shared" si="1"/>
        <v>2170103797.7022619</v>
      </c>
      <c r="H25" s="120"/>
    </row>
    <row r="26" spans="2:8">
      <c r="B26" s="122">
        <v>11</v>
      </c>
      <c r="C26" s="123">
        <f t="shared" si="2"/>
        <v>4746225998.8430128</v>
      </c>
      <c r="D26" s="138">
        <f>IF($C$12&lt;B26,0,DDM!$C$11)</f>
        <v>6.1165848114484E-2</v>
      </c>
      <c r="E26" s="124">
        <f t="shared" si="0"/>
        <v>0.45134318911764126</v>
      </c>
      <c r="F26" s="125">
        <f t="shared" si="1"/>
        <v>2142176778.5908678</v>
      </c>
      <c r="H26" s="120"/>
    </row>
    <row r="27" spans="2:8">
      <c r="B27" s="122">
        <v>12</v>
      </c>
      <c r="C27" s="123">
        <f t="shared" si="2"/>
        <v>5036532937.4052591</v>
      </c>
      <c r="D27" s="138">
        <f>IF($C$12&lt;B27,0,DDM!$C$11)</f>
        <v>6.1165848114484E-2</v>
      </c>
      <c r="E27" s="124">
        <f t="shared" si="0"/>
        <v>0.41985412941175931</v>
      </c>
      <c r="F27" s="125">
        <f t="shared" si="1"/>
        <v>2114609151.6879358</v>
      </c>
      <c r="H27" s="120"/>
    </row>
    <row r="28" spans="2:8">
      <c r="B28" s="122">
        <v>13</v>
      </c>
      <c r="C28" s="123">
        <f t="shared" si="2"/>
        <v>5344596746.0781841</v>
      </c>
      <c r="D28" s="138">
        <f>IF($C$12&lt;B28,0,DDM!$C$11)</f>
        <v>6.1165848114484E-2</v>
      </c>
      <c r="E28" s="124">
        <f t="shared" si="0"/>
        <v>0.39056198084814819</v>
      </c>
      <c r="F28" s="125">
        <f t="shared" si="1"/>
        <v>2087396291.9828629</v>
      </c>
      <c r="H28" s="120"/>
    </row>
    <row r="29" spans="2:8">
      <c r="B29" s="122">
        <v>14</v>
      </c>
      <c r="C29" s="123">
        <f t="shared" si="2"/>
        <v>5671503538.8819675</v>
      </c>
      <c r="D29" s="138">
        <f>IF($C$12&lt;B29,0,DDM!$C$11)</f>
        <v>6.1165848114484E-2</v>
      </c>
      <c r="E29" s="124">
        <f t="shared" si="0"/>
        <v>0.36331347055641694</v>
      </c>
      <c r="F29" s="125">
        <f t="shared" si="1"/>
        <v>2060533633.9842081</v>
      </c>
      <c r="H29" s="120"/>
    </row>
    <row r="30" spans="2:8">
      <c r="B30" s="122">
        <v>15</v>
      </c>
      <c r="C30" s="123">
        <f t="shared" si="2"/>
        <v>6018405862.921979</v>
      </c>
      <c r="D30" s="138">
        <f>IF($C$12&lt;B30,0,DDM!$C$11)</f>
        <v>6.1165848114484E-2</v>
      </c>
      <c r="E30" s="124">
        <f t="shared" si="0"/>
        <v>0.33796601912224833</v>
      </c>
      <c r="F30" s="125">
        <f t="shared" si="1"/>
        <v>2034016670.9537411</v>
      </c>
      <c r="H30" s="120"/>
    </row>
    <row r="31" spans="2:8">
      <c r="B31" s="122">
        <v>16</v>
      </c>
      <c r="C31" s="123">
        <f t="shared" si="2"/>
        <v>6386526761.8247843</v>
      </c>
      <c r="D31" s="138">
        <f>IF($C$12&lt;B31,0,DDM!$C$11)</f>
        <v>6.1165848114484E-2</v>
      </c>
      <c r="E31" s="124">
        <f t="shared" si="0"/>
        <v>0.31438699453232405</v>
      </c>
      <c r="F31" s="125">
        <f t="shared" si="1"/>
        <v>2007840954.1503496</v>
      </c>
      <c r="H31" s="120"/>
    </row>
    <row r="32" spans="2:8">
      <c r="B32" s="122">
        <v>17</v>
      </c>
      <c r="C32" s="123">
        <f t="shared" si="2"/>
        <v>6777164087.7176466</v>
      </c>
      <c r="D32" s="138">
        <f>IF($C$12&lt;B32,0,DDM!$C$11)</f>
        <v>6.1165848114484E-2</v>
      </c>
      <c r="E32" s="124">
        <f t="shared" si="0"/>
        <v>0.29245301816960378</v>
      </c>
      <c r="F32" s="125">
        <f t="shared" si="1"/>
        <v>1982002092.0836751</v>
      </c>
      <c r="H32" s="120"/>
    </row>
    <row r="33" spans="2:8">
      <c r="B33" s="122">
        <v>18</v>
      </c>
      <c r="C33" s="123">
        <f t="shared" si="2"/>
        <v>7191695076.9539194</v>
      </c>
      <c r="D33" s="138">
        <f>IF($C$12&lt;B33,0,DDM!$C$11)</f>
        <v>6.1165848114484E-2</v>
      </c>
      <c r="E33" s="124">
        <f t="shared" si="0"/>
        <v>0.27204931922753844</v>
      </c>
      <c r="F33" s="125">
        <f t="shared" si="1"/>
        <v>1956495749.7773535</v>
      </c>
      <c r="H33" s="120"/>
    </row>
    <row r="34" spans="2:8">
      <c r="B34" s="122">
        <v>19</v>
      </c>
      <c r="C34" s="123">
        <f t="shared" si="2"/>
        <v>7631581205.7165632</v>
      </c>
      <c r="D34" s="138">
        <f>IF($C$12&lt;B34,0,DDM!$C$11)</f>
        <v>6.1165848114484E-2</v>
      </c>
      <c r="E34" s="124">
        <f t="shared" si="0"/>
        <v>0.25306913416515198</v>
      </c>
      <c r="F34" s="125">
        <f t="shared" si="1"/>
        <v>1931317648.0417373</v>
      </c>
      <c r="H34" s="120"/>
    </row>
    <row r="35" spans="2:8">
      <c r="B35" s="122">
        <v>20</v>
      </c>
      <c r="C35" s="123">
        <f t="shared" si="2"/>
        <v>8098373342.6187716</v>
      </c>
      <c r="D35" s="138">
        <f>IF($C$12&lt;B35,0,DDM!$C$11)</f>
        <v>6.1165848114484E-2</v>
      </c>
      <c r="E35" s="124">
        <f t="shared" si="0"/>
        <v>0.23541314806060654</v>
      </c>
      <c r="F35" s="125">
        <f t="shared" si="1"/>
        <v>1906463562.7559819</v>
      </c>
      <c r="H35" s="120"/>
    </row>
    <row r="36" spans="2:8">
      <c r="B36" s="122">
        <v>21</v>
      </c>
      <c r="C36" s="123">
        <f t="shared" si="2"/>
        <v>8593717216.4677773</v>
      </c>
      <c r="D36" s="138">
        <f>IF($C$12&lt;B36,0,DDM!$C$11)</f>
        <v>6.1165848114484E-2</v>
      </c>
      <c r="E36" s="124">
        <f t="shared" si="0"/>
        <v>0.21898897494009908</v>
      </c>
      <c r="F36" s="125">
        <f t="shared" si="1"/>
        <v>1881929324.1593602</v>
      </c>
      <c r="H36" s="120"/>
    </row>
    <row r="37" spans="2:8">
      <c r="B37" s="122">
        <v>22</v>
      </c>
      <c r="C37" s="123">
        <f t="shared" si="2"/>
        <v>9119359218.4690704</v>
      </c>
      <c r="D37" s="138">
        <f>IF($C$12&lt;B37,0,DDM!$C$11)</f>
        <v>6.1165848114484E-2</v>
      </c>
      <c r="E37" s="124">
        <f t="shared" si="0"/>
        <v>0.20371067436288287</v>
      </c>
      <c r="F37" s="125">
        <f t="shared" si="1"/>
        <v>1857710816.1517069</v>
      </c>
      <c r="H37" s="120"/>
    </row>
    <row r="38" spans="2:8">
      <c r="B38" s="122">
        <v>23</v>
      </c>
      <c r="C38" s="123">
        <f t="shared" si="2"/>
        <v>9677152559.3273678</v>
      </c>
      <c r="D38" s="138">
        <f>IF($C$12&lt;B38,0,DDM!$C$11)</f>
        <v>6.1165848114484E-2</v>
      </c>
      <c r="E38" s="124">
        <f t="shared" si="0"/>
        <v>0.18949830173291429</v>
      </c>
      <c r="F38" s="125">
        <f t="shared" si="1"/>
        <v>1833803975.6028614</v>
      </c>
      <c r="H38" s="120"/>
    </row>
    <row r="39" spans="2:8">
      <c r="B39" s="122">
        <v>24</v>
      </c>
      <c r="C39" s="123">
        <f t="shared" si="2"/>
        <v>10269063802.951874</v>
      </c>
      <c r="D39" s="138">
        <f>IF($C$12&lt;B39,0,DDM!$C$11)</f>
        <v>6.1165848114484E-2</v>
      </c>
      <c r="E39" s="124">
        <f t="shared" si="0"/>
        <v>0.17627748998410636</v>
      </c>
      <c r="F39" s="125">
        <f t="shared" si="1"/>
        <v>1810204791.6709981</v>
      </c>
      <c r="H39" s="120"/>
    </row>
    <row r="40" spans="2:8">
      <c r="B40" s="122">
        <v>25</v>
      </c>
      <c r="C40" s="123">
        <f t="shared" si="2"/>
        <v>10897179799.801174</v>
      </c>
      <c r="D40" s="138">
        <f>IF($C$12&lt;B40,0,DDM!$C$11)</f>
        <v>6.1165848114484E-2</v>
      </c>
      <c r="E40" s="124">
        <f t="shared" si="0"/>
        <v>0.16397906045033148</v>
      </c>
      <c r="F40" s="125">
        <f t="shared" si="1"/>
        <v>1786909305.1297278</v>
      </c>
      <c r="H40" s="120"/>
    </row>
    <row r="41" spans="2:8">
      <c r="B41" s="122">
        <v>26</v>
      </c>
      <c r="C41" s="123">
        <f t="shared" si="2"/>
        <v>11563715044.312035</v>
      </c>
      <c r="D41" s="138">
        <f>IF($C$12&lt;B41,0,DDM!$C$11)</f>
        <v>6.1165848114484E-2</v>
      </c>
      <c r="E41" s="124">
        <f t="shared" si="0"/>
        <v>0.15253866088402931</v>
      </c>
      <c r="F41" s="125">
        <f t="shared" si="1"/>
        <v>1763913607.7038615</v>
      </c>
      <c r="H41" s="120"/>
    </row>
    <row r="42" spans="2:8">
      <c r="B42" s="122">
        <v>27</v>
      </c>
      <c r="C42" s="123">
        <f t="shared" si="2"/>
        <v>12271019482.351595</v>
      </c>
      <c r="D42" s="138">
        <f>IF($C$12&lt;B42,0,DDM!$C$11)</f>
        <v>6.1165848114484E-2</v>
      </c>
      <c r="E42" s="124">
        <f t="shared" si="0"/>
        <v>0.14189642872932959</v>
      </c>
      <c r="F42" s="125">
        <f t="shared" si="1"/>
        <v>1741213841.413718</v>
      </c>
      <c r="H42" s="120"/>
    </row>
    <row r="43" spans="2:8">
      <c r="B43" s="122">
        <v>28</v>
      </c>
      <c r="C43" s="123">
        <f t="shared" si="2"/>
        <v>13021586796.218985</v>
      </c>
      <c r="D43" s="138">
        <f>IF($C$12&lt;B43,0,DDM!$C$11)</f>
        <v>6.1165848114484E-2</v>
      </c>
      <c r="E43" s="124">
        <f t="shared" si="0"/>
        <v>0.13199667788774846</v>
      </c>
      <c r="F43" s="125">
        <f t="shared" si="1"/>
        <v>1718806197.9278758</v>
      </c>
      <c r="H43" s="120"/>
    </row>
    <row r="44" spans="2:8">
      <c r="B44" s="122">
        <v>29</v>
      </c>
      <c r="C44" s="123">
        <f t="shared" si="2"/>
        <v>13818063196.406084</v>
      </c>
      <c r="D44" s="138">
        <f>IF($C$12&lt;B44,0,DDM!$C$11)</f>
        <v>6.1165848114484E-2</v>
      </c>
      <c r="E44" s="124">
        <f t="shared" si="0"/>
        <v>0.1227876073374404</v>
      </c>
      <c r="F44" s="125">
        <f t="shared" si="1"/>
        <v>1696686917.9242468</v>
      </c>
      <c r="H44" s="120"/>
    </row>
    <row r="45" spans="2:8">
      <c r="B45" s="122">
        <v>30</v>
      </c>
      <c r="C45" s="123">
        <f t="shared" si="2"/>
        <v>14663256751.1138</v>
      </c>
      <c r="D45" s="138">
        <f>IF($C$12&lt;B45,0,DDM!$C$11)</f>
        <v>6.1165848114484E-2</v>
      </c>
      <c r="E45" s="124">
        <f t="shared" si="0"/>
        <v>0.11422103008133992</v>
      </c>
      <c r="F45" s="125">
        <f t="shared" si="1"/>
        <v>1674852290.4593801</v>
      </c>
      <c r="H45" s="120"/>
    </row>
    <row r="46" spans="2:8">
      <c r="B46" s="126" t="s">
        <v>130</v>
      </c>
      <c r="C46" s="123">
        <f>C$16*(1+F4)^$C$12/Equity_Cost</f>
        <v>34950589544.536049</v>
      </c>
      <c r="D46" s="139">
        <f>Terminal_Growth</f>
        <v>0</v>
      </c>
      <c r="E46" s="124">
        <f>1/(1+Equity_Cost)^C12</f>
        <v>0.11422103008133992</v>
      </c>
      <c r="F46" s="125">
        <f t="shared" si="1"/>
        <v>3992092339.7270164</v>
      </c>
      <c r="H46" s="120"/>
    </row>
    <row r="47" spans="2:8">
      <c r="C47" s="114"/>
      <c r="E47" s="127" t="s">
        <v>100</v>
      </c>
      <c r="F47" s="137">
        <f>SUM(F16:F46)</f>
        <v>65000397839.974411</v>
      </c>
      <c r="H47" s="120"/>
    </row>
    <row r="48" spans="2:8">
      <c r="C48" s="114"/>
      <c r="H48" s="120"/>
    </row>
    <row r="49" spans="1:8" ht="13.15">
      <c r="B49" s="119" t="s">
        <v>128</v>
      </c>
      <c r="C49" s="136"/>
      <c r="D49" s="136"/>
      <c r="E49" s="117"/>
      <c r="F49" s="117"/>
      <c r="H49" s="120"/>
    </row>
    <row r="50" spans="1:8" ht="13.15">
      <c r="A50" s="133">
        <f>F47</f>
        <v>65000397839.974411</v>
      </c>
      <c r="B50" s="131">
        <f>C73</f>
        <v>0.02</v>
      </c>
      <c r="C50" s="131">
        <f>C72</f>
        <v>0.04</v>
      </c>
      <c r="D50" s="131">
        <f>C71</f>
        <v>0.06</v>
      </c>
      <c r="E50" s="131">
        <f>C70</f>
        <v>0.08</v>
      </c>
      <c r="F50" s="131">
        <f>C69</f>
        <v>0.1</v>
      </c>
      <c r="H50" s="120"/>
    </row>
    <row r="51" spans="1:8" ht="13.15">
      <c r="A51" s="143">
        <v>5</v>
      </c>
      <c r="B51" s="123">
        <f t="dataTable" ref="B51:F56" dt2D="1" dtr="1" r1="C11" r2="C12"/>
        <v>33980447443.000729</v>
      </c>
      <c r="C51" s="123">
        <v>35055291448.329063</v>
      </c>
      <c r="D51" s="123">
        <v>36161898916.574829</v>
      </c>
      <c r="E51" s="123">
        <v>37301648834.553841</v>
      </c>
      <c r="F51" s="123">
        <v>38475962310.365524</v>
      </c>
      <c r="H51" s="120"/>
    </row>
    <row r="52" spans="1:8" ht="13.15">
      <c r="A52" s="143">
        <v>10</v>
      </c>
      <c r="B52" s="123">
        <v>35016121975.023163</v>
      </c>
      <c r="C52" s="123">
        <v>37303372195.704666</v>
      </c>
      <c r="D52" s="123">
        <v>39822653100.918198</v>
      </c>
      <c r="E52" s="123">
        <v>42601624553.140213</v>
      </c>
      <c r="F52" s="123">
        <v>45671009567.120148</v>
      </c>
      <c r="H52" s="120"/>
    </row>
    <row r="53" spans="1:8" ht="13.15">
      <c r="A53" s="143">
        <v>15</v>
      </c>
      <c r="B53" s="123">
        <v>36327407216.679031</v>
      </c>
      <c r="C53" s="123">
        <v>40301148440.731743</v>
      </c>
      <c r="D53" s="123">
        <v>44973530561.779266</v>
      </c>
      <c r="E53" s="123">
        <v>50483893095.664566</v>
      </c>
      <c r="F53" s="123">
        <v>56998987222.87468</v>
      </c>
      <c r="H53" s="120"/>
    </row>
    <row r="54" spans="1:8" ht="13.15">
      <c r="A54" s="144">
        <v>20</v>
      </c>
      <c r="B54" s="123">
        <v>37694443474.120728</v>
      </c>
      <c r="C54" s="123">
        <v>43602730648.017929</v>
      </c>
      <c r="D54" s="123">
        <v>50985898669.587318</v>
      </c>
      <c r="E54" s="123">
        <v>60263244834.600159</v>
      </c>
      <c r="F54" s="123">
        <v>71975199528.212357</v>
      </c>
      <c r="H54" s="120"/>
    </row>
    <row r="55" spans="1:8" ht="13.15">
      <c r="A55" s="144">
        <v>25</v>
      </c>
      <c r="B55" s="123">
        <v>38995546481.485176</v>
      </c>
      <c r="C55" s="123">
        <v>46930843285.296387</v>
      </c>
      <c r="D55" s="123">
        <v>57433850810.298782</v>
      </c>
      <c r="E55" s="123">
        <v>71464700022.09166</v>
      </c>
      <c r="F55" s="123">
        <v>90355752428.956131</v>
      </c>
      <c r="H55" s="120"/>
    </row>
    <row r="56" spans="1:8" ht="13.15">
      <c r="A56" s="144">
        <v>30</v>
      </c>
      <c r="B56" s="123">
        <v>40170151240.163284</v>
      </c>
      <c r="C56" s="123">
        <v>50120579180.470764</v>
      </c>
      <c r="D56" s="123">
        <v>64031878597.580544</v>
      </c>
      <c r="E56" s="123">
        <v>83759770545.694473</v>
      </c>
      <c r="F56" s="123">
        <v>112075901442.26054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26.400000000000009</v>
      </c>
      <c r="C60" s="124">
        <f>C7</f>
        <v>26.400000000000009</v>
      </c>
      <c r="D60" s="124">
        <f>C7</f>
        <v>26.400000000000009</v>
      </c>
      <c r="E60" s="141">
        <f>C7</f>
        <v>26.400000000000009</v>
      </c>
      <c r="F60" s="124">
        <f>C7</f>
        <v>26.400000000000009</v>
      </c>
      <c r="H60" s="120"/>
    </row>
    <row r="61" spans="1:8" ht="13.15">
      <c r="A61" s="143">
        <f t="shared" ref="A61:A66" si="3">A51</f>
        <v>5</v>
      </c>
      <c r="B61" s="124">
        <f t="shared" ref="B61:F66" si="4">B51/Common_Shares*$C$3*Exchange_Rate</f>
        <v>27.237157287525257</v>
      </c>
      <c r="C61" s="124">
        <f t="shared" si="4"/>
        <v>28.098702600658321</v>
      </c>
      <c r="D61" s="124">
        <f t="shared" si="4"/>
        <v>28.98570803867436</v>
      </c>
      <c r="E61" s="124">
        <f t="shared" si="4"/>
        <v>29.899278933716616</v>
      </c>
      <c r="F61" s="124">
        <f t="shared" si="4"/>
        <v>30.840554380403869</v>
      </c>
      <c r="H61" s="120"/>
    </row>
    <row r="62" spans="1:8" ht="13.15">
      <c r="A62" s="143">
        <f t="shared" si="3"/>
        <v>10</v>
      </c>
      <c r="B62" s="124">
        <f t="shared" si="4"/>
        <v>28.067306159893612</v>
      </c>
      <c r="C62" s="124">
        <f t="shared" si="4"/>
        <v>29.900660300421894</v>
      </c>
      <c r="D62" s="124">
        <f t="shared" si="4"/>
        <v>31.919999521362431</v>
      </c>
      <c r="E62" s="124">
        <f t="shared" si="4"/>
        <v>34.147494691009008</v>
      </c>
      <c r="F62" s="124">
        <f t="shared" si="4"/>
        <v>36.607771959046119</v>
      </c>
      <c r="H62" s="120"/>
    </row>
    <row r="63" spans="1:8" ht="13.15">
      <c r="A63" s="143">
        <f t="shared" si="3"/>
        <v>15</v>
      </c>
      <c r="B63" s="124">
        <f t="shared" si="4"/>
        <v>29.118371848057414</v>
      </c>
      <c r="C63" s="124">
        <f t="shared" si="4"/>
        <v>32.303539286508574</v>
      </c>
      <c r="D63" s="124">
        <f t="shared" si="4"/>
        <v>36.04870500134691</v>
      </c>
      <c r="E63" s="124">
        <f t="shared" si="4"/>
        <v>40.465557113093745</v>
      </c>
      <c r="F63" s="124">
        <f t="shared" si="4"/>
        <v>45.68775566664474</v>
      </c>
      <c r="H63" s="120"/>
    </row>
    <row r="64" spans="1:8" ht="13.15">
      <c r="A64" s="144">
        <f t="shared" si="3"/>
        <v>20</v>
      </c>
      <c r="B64" s="124">
        <f t="shared" si="4"/>
        <v>30.214124975621335</v>
      </c>
      <c r="C64" s="124">
        <f t="shared" si="4"/>
        <v>34.949935100701175</v>
      </c>
      <c r="D64" s="124">
        <f t="shared" si="4"/>
        <v>40.867941596084556</v>
      </c>
      <c r="E64" s="124">
        <f t="shared" si="4"/>
        <v>48.304233808867728</v>
      </c>
      <c r="F64" s="124">
        <f t="shared" si="4"/>
        <v>57.691995776080809</v>
      </c>
      <c r="H64" s="120"/>
    </row>
    <row r="65" spans="1:8" ht="13.15">
      <c r="A65" s="144">
        <f t="shared" si="3"/>
        <v>25</v>
      </c>
      <c r="B65" s="124">
        <f t="shared" si="4"/>
        <v>31.25702905504237</v>
      </c>
      <c r="C65" s="124">
        <f t="shared" si="4"/>
        <v>37.617596482270926</v>
      </c>
      <c r="D65" s="124">
        <f t="shared" si="4"/>
        <v>46.036322234202622</v>
      </c>
      <c r="E65" s="124">
        <f t="shared" si="4"/>
        <v>57.282802949331327</v>
      </c>
      <c r="F65" s="124">
        <f t="shared" si="4"/>
        <v>72.424998077742885</v>
      </c>
    </row>
    <row r="66" spans="1:8" ht="13.15">
      <c r="A66" s="144">
        <f t="shared" si="3"/>
        <v>30</v>
      </c>
      <c r="B66" s="124">
        <f t="shared" si="4"/>
        <v>32.19853798062249</v>
      </c>
      <c r="C66" s="124">
        <f t="shared" si="4"/>
        <v>40.174341458282861</v>
      </c>
      <c r="D66" s="124">
        <f t="shared" si="4"/>
        <v>51.324996579386159</v>
      </c>
      <c r="E66" s="124">
        <f t="shared" si="4"/>
        <v>67.137963634732031</v>
      </c>
      <c r="F66" s="124">
        <f t="shared" si="4"/>
        <v>89.834866384398012</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67.137963634732031</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-50.65</v>
      </c>
    </row>
    <row r="4" spans="2:9">
      <c r="B4" s="152" t="s">
        <v>145</v>
      </c>
      <c r="C4" s="120">
        <v>3</v>
      </c>
      <c r="D4" s="120"/>
      <c r="E4" s="155" t="s">
        <v>149</v>
      </c>
      <c r="F4" s="155"/>
      <c r="H4" s="247">
        <v>1</v>
      </c>
      <c r="I4" s="124">
        <f t="shared" ref="I4:I13" si="0">IF(ROW()-3 &lt; $C$76, $C$77, IF(ROW()-3 = $C$76, $C$77 + $C$60, ""))</f>
        <v>1.8107374425769891</v>
      </c>
    </row>
    <row r="5" spans="2:9">
      <c r="H5" s="247">
        <v>2</v>
      </c>
      <c r="I5" s="124">
        <f t="shared" si="0"/>
        <v>1.8107374425769891</v>
      </c>
    </row>
    <row r="6" spans="2:9" ht="13.15">
      <c r="B6" s="159" t="s">
        <v>95</v>
      </c>
      <c r="C6" s="107">
        <f>DCF!C3</f>
        <v>1</v>
      </c>
      <c r="E6" s="100" t="s">
        <v>278</v>
      </c>
      <c r="F6" s="100"/>
      <c r="H6" s="247">
        <v>3</v>
      </c>
      <c r="I6" s="124">
        <f t="shared" si="0"/>
        <v>74.807226546015642</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3154791090.1232843</v>
      </c>
      <c r="D8" t="str">
        <f>Reporting_currency</f>
        <v>CNY</v>
      </c>
      <c r="E8" s="368"/>
      <c r="F8" s="368"/>
      <c r="H8" s="247">
        <v>5</v>
      </c>
      <c r="I8" s="124" t="str">
        <f t="shared" si="0"/>
        <v/>
      </c>
    </row>
    <row r="9" spans="2:9">
      <c r="B9" s="100" t="s">
        <v>57</v>
      </c>
      <c r="C9" s="338">
        <f>Normalized_FCF!C19</f>
        <v>2878343017.3516026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0.22851066490563743</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50.65</v>
      </c>
      <c r="D21" t="str">
        <f>Market_currency</f>
        <v>HKD</v>
      </c>
      <c r="E21" s="369"/>
      <c r="F21" s="369"/>
    </row>
    <row r="22" spans="2:6">
      <c r="B22" s="100" t="s">
        <v>277</v>
      </c>
      <c r="C22" s="160">
        <f>IF(valuation_method="DCF",DCF!C12,DDM!C7)</f>
        <v>43.015437310589668</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72.058683151956288</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59.065653566454458</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90.484358285234563</v>
      </c>
      <c r="D39" t="str">
        <f>Market_currency</f>
        <v>HKD</v>
      </c>
      <c r="E39" s="367"/>
      <c r="F39" s="367"/>
    </row>
    <row r="40" spans="2:6">
      <c r="B40" s="100" t="s">
        <v>146</v>
      </c>
      <c r="C40" s="167">
        <f>1-C28-C34</f>
        <v>0.2</v>
      </c>
      <c r="D40" s="165"/>
      <c r="E40" s="367"/>
      <c r="F40" s="367"/>
    </row>
    <row r="42" spans="2:6" ht="13.15">
      <c r="B42" s="100" t="s">
        <v>119</v>
      </c>
      <c r="C42" s="154">
        <f>C27*C28+C33*C34+C39*C40</f>
        <v>71.845909302961402</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49.772042614640149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116.93137200082782</v>
      </c>
      <c r="D57" t="str">
        <f>Market_currency</f>
        <v>HKD</v>
      </c>
      <c r="E57" s="367"/>
      <c r="F57" s="367"/>
    </row>
    <row r="58" spans="2:6">
      <c r="B58" s="100" t="s">
        <v>146</v>
      </c>
      <c r="C58" s="165">
        <v>0.05</v>
      </c>
      <c r="D58" s="165"/>
      <c r="E58" s="367"/>
      <c r="F58" s="367"/>
    </row>
    <row r="60" spans="2:6" ht="13.15">
      <c r="B60" s="100" t="s">
        <v>119</v>
      </c>
      <c r="C60" s="154">
        <f>C51*C52+C57*C58+C42*(1-C52-C58)</f>
        <v>72.996489103438648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72.963271486463285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0.16786395853477426</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1.8107374425769891</v>
      </c>
      <c r="D77" t="str">
        <f>Market_currency</f>
        <v>HKD</v>
      </c>
    </row>
    <row r="79" spans="2:6" ht="13.15">
      <c r="B79" s="109" t="s">
        <v>300</v>
      </c>
    </row>
    <row r="80" spans="2:6">
      <c r="B80" s="148" t="s">
        <v>298</v>
      </c>
      <c r="C80" s="167">
        <f>Thesis!F29</f>
        <v>0.3674</v>
      </c>
    </row>
    <row r="81" spans="2:8">
      <c r="B81" s="100" t="s">
        <v>120</v>
      </c>
      <c r="C81" s="116">
        <f>PV(C80, C76, -C77, 0)</f>
        <v>3.0008615016336062</v>
      </c>
      <c r="D81" s="116"/>
      <c r="E81" s="100"/>
      <c r="F81" s="100"/>
    </row>
    <row r="82" spans="2:8">
      <c r="B82" s="100" t="s">
        <v>121</v>
      </c>
      <c r="C82" s="116">
        <f>C60/(1+C80)^C76</f>
        <v>28.550600410634424</v>
      </c>
      <c r="D82" s="116"/>
    </row>
    <row r="83" spans="2:8" ht="13.15">
      <c r="B83" s="110" t="s">
        <v>101</v>
      </c>
      <c r="C83" s="111">
        <f>C81+C82</f>
        <v>31.551461912268032</v>
      </c>
      <c r="D83" t="str">
        <f>Market_currency</f>
        <v>HKD</v>
      </c>
      <c r="E83" s="146" t="s">
        <v>125</v>
      </c>
      <c r="F83" s="291">
        <f>(1-C83/C60)</f>
        <v>0.56776740498356748</v>
      </c>
    </row>
    <row r="84" spans="2:8">
      <c r="E84" s="120"/>
    </row>
    <row r="85" spans="2:8" ht="13.15">
      <c r="B85" s="109" t="s">
        <v>301</v>
      </c>
    </row>
    <row r="86" spans="2:8">
      <c r="B86" s="148" t="s">
        <v>299</v>
      </c>
      <c r="C86" s="116">
        <f>Market_Price</f>
        <v>50.65</v>
      </c>
      <c r="D86" t="str">
        <f>Market_currency</f>
        <v>HKD</v>
      </c>
    </row>
    <row r="87" spans="2:8" ht="13.15">
      <c r="B87" s="100" t="s">
        <v>297</v>
      </c>
      <c r="C87" s="237">
        <f ca="1">IRR(OFFSET($I$3, 0, 0, $C$76 + 1, 1))</f>
        <v>0.16143343927042597</v>
      </c>
    </row>
    <row r="88" spans="2:8">
      <c r="B88" s="100"/>
    </row>
    <row r="89" spans="2:8" ht="13.15">
      <c r="B89" s="109" t="s">
        <v>409</v>
      </c>
    </row>
    <row r="90" spans="2:8">
      <c r="B90" s="148" t="s">
        <v>410</v>
      </c>
      <c r="C90" s="167">
        <f>Thesis!F30</f>
        <v>0.21740000000000001</v>
      </c>
    </row>
    <row r="91" spans="2:8">
      <c r="B91" s="100" t="s">
        <v>120</v>
      </c>
      <c r="C91" s="116">
        <f>PV(C90, C76, -C77, 0)</f>
        <v>3.7127375440629473</v>
      </c>
      <c r="D91" s="116"/>
      <c r="E91" s="100"/>
      <c r="F91" s="100"/>
    </row>
    <row r="92" spans="2:8">
      <c r="B92" s="100" t="s">
        <v>121</v>
      </c>
      <c r="C92" s="116">
        <f>C60/(1+C90)^C76</f>
        <v>40.457782955744221</v>
      </c>
      <c r="D92" s="116"/>
    </row>
    <row r="93" spans="2:8" ht="13.15">
      <c r="B93" s="110" t="s">
        <v>101</v>
      </c>
      <c r="C93" s="111">
        <f>C91+C92</f>
        <v>44.170520499807168</v>
      </c>
      <c r="D93" t="str">
        <f>Market_currency</f>
        <v>HKD</v>
      </c>
      <c r="E93" s="146" t="s">
        <v>125</v>
      </c>
      <c r="F93" s="291">
        <f>(1-C93/C60)</f>
        <v>0.39489527452182049</v>
      </c>
    </row>
    <row r="95" spans="2:8" ht="13.15">
      <c r="B95" s="109" t="s">
        <v>394</v>
      </c>
      <c r="G95" s="2"/>
      <c r="H95" s="281"/>
    </row>
    <row r="96" spans="2:8">
      <c r="B96" s="148" t="s">
        <v>400</v>
      </c>
      <c r="C96" s="134">
        <f>Thesis!F31</f>
        <v>7.4999999999999997E-2</v>
      </c>
      <c r="G96" s="2"/>
      <c r="H96" s="281"/>
    </row>
    <row r="97" spans="2:8">
      <c r="B97" s="100" t="s">
        <v>120</v>
      </c>
      <c r="C97" s="116">
        <f>PV(C96, C76, -C77, 0)</f>
        <v>4.7088693275713842</v>
      </c>
      <c r="D97" s="116"/>
      <c r="G97" s="2"/>
      <c r="H97" s="281"/>
    </row>
    <row r="98" spans="2:8">
      <c r="B98" s="100" t="s">
        <v>121</v>
      </c>
      <c r="C98" s="116">
        <f>C60/(1+C96)^C76</f>
        <v>58.759295440905504</v>
      </c>
      <c r="D98" s="116"/>
      <c r="G98" s="2"/>
      <c r="H98" s="281"/>
    </row>
    <row r="99" spans="2:8" ht="13.15">
      <c r="B99" s="110" t="s">
        <v>395</v>
      </c>
      <c r="C99" s="111">
        <f>C97+C98</f>
        <v>63.468164768476889</v>
      </c>
      <c r="D99" t="s">
        <v>393</v>
      </c>
      <c r="E99" s="146" t="s">
        <v>125</v>
      </c>
      <c r="F99" s="291">
        <f>(1-C99/C60)</f>
        <v>0.13053126872252419</v>
      </c>
    </row>
    <row r="100" spans="2:8">
      <c r="B100" s="100"/>
    </row>
    <row r="101" spans="2:8" ht="13.15">
      <c r="B101" s="109" t="s">
        <v>419</v>
      </c>
    </row>
    <row r="102" spans="2:8">
      <c r="B102" s="148" t="s">
        <v>418</v>
      </c>
      <c r="C102" s="134">
        <f>Thesis!F32</f>
        <v>0.1174</v>
      </c>
    </row>
    <row r="103" spans="2:8">
      <c r="B103" s="100" t="s">
        <v>120</v>
      </c>
      <c r="C103" s="116">
        <f>PV(C102, C76, -C77, 0)</f>
        <v>4.3685908142153993</v>
      </c>
      <c r="D103" s="116"/>
    </row>
    <row r="104" spans="2:8">
      <c r="B104" s="100" t="s">
        <v>121</v>
      </c>
      <c r="C104" s="116">
        <f>C60/(1+C102)^C76</f>
        <v>52.320992218481443</v>
      </c>
      <c r="D104" s="116"/>
    </row>
    <row r="105" spans="2:8" ht="13.15">
      <c r="B105" s="110" t="s">
        <v>395</v>
      </c>
      <c r="C105" s="111">
        <f>C103+C104</f>
        <v>56.689583032696845</v>
      </c>
      <c r="D105" t="s">
        <v>393</v>
      </c>
      <c r="E105" s="146" t="s">
        <v>125</v>
      </c>
      <c r="F105" s="291">
        <f>(1-C105/C66)</f>
        <v>0.22303945700660721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