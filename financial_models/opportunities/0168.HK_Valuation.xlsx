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DD4B71C-B651-43B2-99DB-D292C5D0579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P126" i="2"/>
  <c r="P92" i="2"/>
  <c r="P48" i="2"/>
  <c r="P91" i="2"/>
  <c r="O126" i="2"/>
  <c r="O91" i="2"/>
  <c r="O92" i="2"/>
  <c r="O48" i="2"/>
  <c r="D69" i="4"/>
  <c r="K126" i="2"/>
  <c r="K91" i="2"/>
  <c r="Q126" i="2"/>
  <c r="Q48" i="2"/>
  <c r="Q92" i="2"/>
  <c r="Q91" i="2"/>
  <c r="J91" i="2"/>
  <c r="L126" i="2"/>
  <c r="L48" i="2"/>
  <c r="L91" i="2"/>
  <c r="L92"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8" i="8"/>
  <c r="F38" i="8" s="1"/>
  <c r="C50" i="8"/>
  <c r="F50" i="8" s="1"/>
  <c r="C47" i="8"/>
  <c r="F47" i="8" s="1"/>
  <c r="C40" i="8"/>
  <c r="F40" i="8" s="1"/>
  <c r="C46" i="8"/>
  <c r="F46" i="8" s="1"/>
  <c r="C43" i="8"/>
  <c r="F43" i="8" s="1"/>
  <c r="C39" i="8"/>
  <c r="F39" i="8" s="1"/>
  <c r="C36" i="8"/>
  <c r="F36" i="8" s="1"/>
  <c r="C44" i="8"/>
  <c r="F44" i="8" s="1"/>
  <c r="C48" i="8"/>
  <c r="F48" i="8" s="1"/>
  <c r="C42" i="8"/>
  <c r="F42" i="8" s="1"/>
  <c r="C45" i="8"/>
  <c r="F45" i="8" s="1"/>
  <c r="C41" i="8"/>
  <c r="F41"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<sst xmlns="http://schemas.openxmlformats.org/spreadsheetml/2006/main" count="616" uniqueCount="432">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</sst>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425</v>
      </c>
      <c r="D5" s="49" t="s">
        <v>426</v>
      </c>
    </row>
    <row r="6" spans="1:10">
      <c r="B6" s="4" t="s">
        <v>95</v>
      </c>
      <c r="C6" s="50">
        <v>56.45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77008.908682600013</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1.06707424</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34.215307295933449</v>
      </c>
      <c r="D20" s="1" t="s">
        <v>315</v>
      </c>
      <c r="E20" s="330">
        <v>3</v>
      </c>
    </row>
    <row r="21" spans="1:6">
      <c r="B21" s="1" t="s">
        <v>407</v>
      </c>
      <c r="C21" s="280">
        <f ca="1">Scenarios!C87</f>
        <v>9.3068045296727409E-2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177460719.3184393</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155623665.3184393</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-1008422933.9065485</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3155179383.3184395</v>
      </c>
      <c r="D56" s="1" t="str">
        <f>Reporting_currency</f>
        <v>CNY</v>
      </c>
    </row>
    <row r="57" spans="1:6">
      <c r="B57" s="47" t="s">
        <v>249</v>
      </c>
      <c r="C57" s="188">
        <f>Normalized_FCF!C19</f>
        <v>2878634237.2479687</v>
      </c>
      <c r="D57" s="1" t="str">
        <f>Reporting_currency</f>
        <v>CNY</v>
      </c>
    </row>
    <row r="58" spans="1:6">
      <c r="B58" s="254" t="s">
        <v>398</v>
      </c>
      <c r="C58" s="92">
        <f>Normalized_FCF!C125</f>
        <v>3.9887806404447897E-2</v>
      </c>
    </row>
    <row r="59" spans="1:6">
      <c r="B59" s="254" t="s">
        <v>316</v>
      </c>
      <c r="C59" s="92">
        <f>Normalized_FCF!C93</f>
        <v>3.652280283012984E-2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28.145833394138553</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0.2232369487799101</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12805823882.513279</v>
      </c>
      <c r="D94" s="1" t="str">
        <f>Reporting_currency</f>
        <v>CNY</v>
      </c>
    </row>
    <row r="95" spans="2:6">
      <c r="B95" s="47" t="s">
        <v>286</v>
      </c>
      <c r="C95" s="248">
        <f>C94*scaling_factor*Exchange_Rate/Common_Shares</f>
        <v>10.016710864009678</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2.1552819495524758</v>
      </c>
      <c r="D99" s="1" t="str">
        <f>Market_currency</f>
        <v>HKD</v>
      </c>
    </row>
    <row r="101" spans="1:6" ht="24.4" customHeight="1">
      <c r="B101" s="340" t="s">
        <v>374</v>
      </c>
      <c r="C101" s="340"/>
      <c r="D101" s="340"/>
      <c r="E101" s="340"/>
      <c r="F101" s="340"/>
    </row>
    <row r="103" spans="1:6">
      <c r="B103" s="47" t="s">
        <v>283</v>
      </c>
      <c r="C103" s="248">
        <f>Valuation_Model!C12</f>
        <v>40.094589258920792</v>
      </c>
      <c r="D103" s="1" t="str">
        <f>Market_currency</f>
        <v>HKD</v>
      </c>
    </row>
    <row r="104" spans="1:6">
      <c r="B104" s="336" t="s">
        <v>414</v>
      </c>
      <c r="C104" s="248">
        <f>BS!D47</f>
        <v>1.3262674203270228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105.93 HKD</v>
      </c>
      <c r="F111" s="259">
        <f>Valuation_Model!F74</f>
        <v>0.05</v>
      </c>
    </row>
    <row r="112" spans="1:6">
      <c r="B112" s="242" t="str">
        <f>Valuation_Model!B75</f>
        <v>Optimistic</v>
      </c>
      <c r="C112" s="243">
        <f>Valuation_Model!C75</f>
        <v>0.08</v>
      </c>
      <c r="D112" s="244">
        <f>Valuation_Model!D75</f>
        <v>30</v>
      </c>
      <c r="E112" s="245" t="str">
        <f>ROUND(Valuation_Model!E75,2)&amp;" "&amp;Market_currency</f>
        <v>82.52 HKD</v>
      </c>
      <c r="F112" s="246">
        <f>Valuation_Model!F75</f>
        <v>0.18</v>
      </c>
    </row>
    <row r="113" spans="1:6">
      <c r="B113" s="242" t="str">
        <f>Valuation_Model!B76</f>
        <v>Base</v>
      </c>
      <c r="C113" s="243">
        <f>Valuation_Model!C76</f>
        <v>0.06</v>
      </c>
      <c r="D113" s="244">
        <f>Valuation_Model!D76</f>
        <v>30</v>
      </c>
      <c r="E113" s="245" t="str">
        <f>ROUND(Valuation_Model!E76,2)&amp;" "&amp;Market_currency</f>
        <v>66.14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54.53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46.19 HKD</v>
      </c>
      <c r="F115" s="246">
        <f>Valuation_Model!F78</f>
        <v>0.05</v>
      </c>
    </row>
    <row r="117" spans="1:6">
      <c r="B117" s="235" t="s">
        <v>259</v>
      </c>
      <c r="C117" s="241">
        <f>Scenarios!C60</f>
        <v>66.944798372320093</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2.0617122197608295</v>
      </c>
      <c r="D128" s="236" t="str">
        <f>Market_currency</f>
        <v>HKD</v>
      </c>
    </row>
    <row r="130" spans="2:4">
      <c r="B130" s="234" t="s">
        <v>418</v>
      </c>
      <c r="C130" s="337">
        <f>C19</f>
        <v>0.3</v>
      </c>
      <c r="D130" s="1" t="s">
        <v>416</v>
      </c>
    </row>
    <row r="131" spans="2:4">
      <c r="B131" s="236" t="str">
        <f>"PV("&amp;C126&amp;" yrs of Dividends)"</f>
        <v>PV(3 yrs of Dividends)</v>
      </c>
      <c r="C131" s="240">
        <f>Scenarios!C81</f>
        <v>3.7443021196384669</v>
      </c>
    </row>
    <row r="132" spans="2:4">
      <c r="B132" s="236" t="str">
        <f>"+ PV(Equity Value realized at year "&amp;C126&amp;")"</f>
        <v>+ PV(Equity Value realized at year 3)</v>
      </c>
      <c r="C132" s="240">
        <f>Scenarios!C82</f>
        <v>30.471005176294984</v>
      </c>
    </row>
    <row r="133" spans="2:4">
      <c r="B133" s="80" t="s">
        <v>261</v>
      </c>
      <c r="C133" s="239">
        <f>Scenarios!C83</f>
        <v>34.215307295933449</v>
      </c>
      <c r="D133" s="47" t="str">
        <f>Reporting_currency</f>
        <v>CNY</v>
      </c>
    </row>
    <row r="134" spans="2:4">
      <c r="B134" s="238" t="s">
        <v>263</v>
      </c>
      <c r="C134" s="92">
        <f>Scenarios!F83</f>
        <v>0.48890267611769256</v>
      </c>
    </row>
    <row r="136" spans="2:4">
      <c r="B136" s="234" t="s">
        <v>421</v>
      </c>
      <c r="C136" s="337">
        <f>Scenarios!C90</f>
        <v>0.2</v>
      </c>
      <c r="D136" s="1" t="s">
        <v>420</v>
      </c>
    </row>
    <row r="137" spans="2:4">
      <c r="B137" s="236" t="str">
        <f>"PV("&amp;C126&amp;" yrs of Dividends)"</f>
        <v>PV(3 yrs of Dividends)</v>
      </c>
      <c r="C137" s="240">
        <f>Scenarios!C91</f>
        <v>4.3429586110702658</v>
      </c>
    </row>
    <row r="138" spans="2:4">
      <c r="B138" s="236" t="str">
        <f>"+ PV(Equity Value realized at year "&amp;C126&amp;")"</f>
        <v>+ PV(Equity Value realized at year 3)</v>
      </c>
      <c r="C138" s="240">
        <f>Scenarios!C92</f>
        <v>38.741202761759311</v>
      </c>
    </row>
    <row r="139" spans="2:4">
      <c r="B139" s="80" t="s">
        <v>261</v>
      </c>
      <c r="C139" s="239">
        <f>Scenarios!C93</f>
        <v>43.084161372829577</v>
      </c>
      <c r="D139" s="47" t="str">
        <f>Reporting_currency</f>
        <v>CNY</v>
      </c>
    </row>
    <row r="140" spans="2:4">
      <c r="B140" s="238" t="s">
        <v>263</v>
      </c>
      <c r="C140" s="92">
        <f>Scenarios!F93</f>
        <v>0.35642256873771183</v>
      </c>
    </row>
    <row r="142" spans="2:4">
      <c r="B142" s="234" t="s">
        <v>408</v>
      </c>
      <c r="C142" s="92">
        <f>Scenarios!C96</f>
        <v>0.08</v>
      </c>
      <c r="D142" s="1" t="s">
        <v>419</v>
      </c>
    </row>
    <row r="143" spans="2:4">
      <c r="B143" s="236" t="str">
        <f>"PV("&amp;C126&amp;" yrs of Dividends)"</f>
        <v>PV(3 yrs of Dividends)</v>
      </c>
      <c r="C143" s="240">
        <f>Scenarios!C97</f>
        <v>5.3132323501177732</v>
      </c>
    </row>
    <row r="144" spans="2:4">
      <c r="B144" s="236" t="str">
        <f>"+ PV(Equity Value realized at year "&amp;C126&amp;")"</f>
        <v>+ PV(Equity Value realized at year 3)</v>
      </c>
      <c r="C144" s="240">
        <f>Scenarios!C98</f>
        <v>53.142939316542261</v>
      </c>
    </row>
    <row r="145" spans="1:6">
      <c r="B145" s="80" t="s">
        <v>409</v>
      </c>
      <c r="C145" s="239">
        <f>Scenarios!C99</f>
        <v>58.456171666660033</v>
      </c>
      <c r="D145" s="101" t="str">
        <f>Reporting_currency</f>
        <v>CNY</v>
      </c>
    </row>
    <row r="146" spans="1:6">
      <c r="B146" s="238" t="s">
        <v>263</v>
      </c>
      <c r="C146" s="92">
        <f>Scenarios!F99</f>
        <v>0.1268003924434834</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2.0617122197608295</v>
      </c>
      <c r="D25" s="39">
        <f>2/Exchange_Rate</f>
        <v>1.8742838361462086</v>
      </c>
      <c r="E25" s="39">
        <f>1.3/Exchange_Rate</f>
        <v>1.2182844934950356</v>
      </c>
      <c r="F25" s="39">
        <f>1.1/Exchange_Rate</f>
        <v>1.0308561098804148</v>
      </c>
      <c r="G25" s="39">
        <f>0.75/Exchange_Rate</f>
        <v>0.70285643855482827</v>
      </c>
      <c r="H25" s="39"/>
      <c r="I25" s="39"/>
      <c r="J25" s="39"/>
      <c r="K25" s="39"/>
      <c r="L25" s="39"/>
      <c r="M25" s="39"/>
    </row>
    <row r="27" spans="2:13">
      <c r="B27" s="16" t="s">
        <v>28</v>
      </c>
      <c r="C27" s="97" t="s">
        <v>429</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2.0617122197608295</v>
      </c>
      <c r="D65" s="73">
        <f t="shared" ref="D65:M65" si="33">IF(D$4="","",D25)</f>
        <v>1.8742838361462086</v>
      </c>
      <c r="E65" s="73">
        <f t="shared" si="33"/>
        <v>1.2182844934950356</v>
      </c>
      <c r="F65" s="73">
        <f t="shared" si="33"/>
        <v>1.0308561098804148</v>
      </c>
      <c r="G65" s="73">
        <f t="shared" si="33"/>
        <v>0.70285643855482827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22.73102239063202</v>
      </c>
      <c r="D47" s="148">
        <f>D46*H1/Common_Shares*Exchange_Rate</f>
        <v>1.3262674203270228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12805823882.513279</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-2538551560.1648393</v>
      </c>
      <c r="D73" s="188">
        <f>(Normalized_FCF!C25+Normalized_FCF!C35-Normalized_FCF!C91)/12</f>
        <v>-2586474506.74336</v>
      </c>
      <c r="F73" s="1" t="s">
        <v>359</v>
      </c>
    </row>
    <row r="74" spans="2:6" ht="15" customHeight="1">
      <c r="B74" s="288" t="s">
        <v>329</v>
      </c>
      <c r="C74" s="289">
        <f>-$C$66/C73</f>
        <v>7.0822957382959597</v>
      </c>
      <c r="D74" s="289">
        <f>-$C$66/D73</f>
        <v>6.9510729176438479</v>
      </c>
      <c r="F74" s="283" t="s">
        <v>327</v>
      </c>
    </row>
    <row r="75" spans="2:6" ht="15" customHeight="1">
      <c r="B75" s="80" t="s">
        <v>328</v>
      </c>
      <c r="C75" s="293"/>
      <c r="D75" s="292">
        <f>MAX(-D73*D76,G5)</f>
        <v>5172949013.4867201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-304539128.48847389</v>
      </c>
      <c r="D86" s="248">
        <f>C86*scaling_factor/Common_Shares</f>
        <v>-0.2232369487799101</v>
      </c>
      <c r="E86" s="269" t="str">
        <f>Market_currency</f>
        <v>HKD</v>
      </c>
    </row>
    <row r="87" spans="2:8" ht="15" customHeight="1">
      <c r="B87" s="267" t="s">
        <v>294</v>
      </c>
      <c r="C87" s="188">
        <f>Valuation_Model!C8*Exchange_Rate</f>
        <v>13664764787.006706</v>
      </c>
      <c r="D87" s="248">
        <f>C87*scaling_factor/Common_Shares</f>
        <v>10.016710864009678</v>
      </c>
      <c r="E87" s="269" t="str">
        <f>Market_currency</f>
        <v>HKD</v>
      </c>
    </row>
    <row r="88" spans="2:8" ht="15" customHeight="1">
      <c r="B88" s="268" t="s">
        <v>190</v>
      </c>
      <c r="C88" s="188">
        <f>Valuation_Model!C9*Exchange_Rate</f>
        <v>2940228712.8138652</v>
      </c>
      <c r="D88" s="248">
        <f>C88*scaling_factor/Common_Shares</f>
        <v>2.1552819495524758</v>
      </c>
      <c r="E88" s="269" t="str">
        <f>Market_currency</f>
        <v>HKD</v>
      </c>
    </row>
    <row r="89" spans="2:8" ht="15" customHeight="1">
      <c r="B89" s="80" t="s">
        <v>298</v>
      </c>
      <c r="C89" s="187">
        <f>SUM(C86:C88)</f>
        <v>16300454371.332098</v>
      </c>
      <c r="D89" s="271">
        <f>SUM(D86:D88)</f>
        <v>11.948755864782244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155623665.3184393</v>
      </c>
      <c r="E12" s="302"/>
      <c r="G12" s="191">
        <f>G50</f>
        <v>155623665.3184393</v>
      </c>
      <c r="H12" s="191">
        <f t="shared" ref="H12:Q12" si="6">H50</f>
        <v>129266630.84620064</v>
      </c>
      <c r="I12" s="191">
        <f t="shared" si="6"/>
        <v>123018518.25361659</v>
      </c>
      <c r="J12" s="191">
        <f t="shared" si="6"/>
        <v>68134657.689654052</v>
      </c>
      <c r="K12" s="191">
        <f t="shared" si="6"/>
        <v>137113851.69736946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4033691735.626194</v>
      </c>
      <c r="E13" s="302"/>
      <c r="G13" s="184">
        <f>IF(G$4="","",SUM(G8:G12))</f>
        <v>4691688525.3184395</v>
      </c>
      <c r="H13" s="184">
        <f t="shared" ref="H13:Q13" si="7">IF(H$4="","",SUM(H8:H12))</f>
        <v>4549934422.8462009</v>
      </c>
      <c r="I13" s="184">
        <f t="shared" si="7"/>
        <v>3869971726.2536168</v>
      </c>
      <c r="J13" s="184">
        <f t="shared" si="7"/>
        <v>3025225657.6896539</v>
      </c>
      <c r="K13" s="184">
        <f t="shared" si="7"/>
        <v>2471173723.6973696</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-1008422933.9065485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2878634237.2479687</v>
      </c>
      <c r="D16" s="61"/>
      <c r="E16" s="310"/>
      <c r="F16" s="61"/>
      <c r="G16" s="184">
        <f>IF(G$4="","",SUM(G13:G15))</f>
        <v>3155179383.3184395</v>
      </c>
      <c r="H16" s="184">
        <f t="shared" ref="H16:Q16" si="8">IF(H$4="","",SUM(H13:H15))</f>
        <v>3071378526.8462009</v>
      </c>
      <c r="I16" s="184">
        <f t="shared" si="8"/>
        <v>2574459033.2536168</v>
      </c>
      <c r="J16" s="184">
        <f t="shared" si="8"/>
        <v>1701706002.6896539</v>
      </c>
      <c r="K16" s="184">
        <f t="shared" si="8"/>
        <v>1432947955.6973696</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2878634237.2479687</v>
      </c>
      <c r="D19" s="27"/>
      <c r="E19" s="299"/>
      <c r="F19" s="27"/>
      <c r="G19" s="186">
        <f>IF(G$4="","",G16+G17)</f>
        <v>3155179383.3184395</v>
      </c>
      <c r="H19" s="186">
        <f t="shared" ref="H19:Q19" si="9">IF(H$4="","",H16+H17)</f>
        <v>3071378526.8462009</v>
      </c>
      <c r="I19" s="186">
        <f t="shared" si="9"/>
        <v>2574459033.2536168</v>
      </c>
      <c r="J19" s="186">
        <f t="shared" si="9"/>
        <v>1701706002.6896539</v>
      </c>
      <c r="K19" s="186">
        <f t="shared" si="9"/>
        <v>1432947955.6973696</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0.29620813626063885</v>
      </c>
      <c r="H43" s="6">
        <f t="shared" si="18"/>
        <v>0.30730297363832204</v>
      </c>
      <c r="I43" s="6">
        <f t="shared" si="18"/>
        <v>0.31044666291736767</v>
      </c>
      <c r="J43" s="6">
        <f t="shared" si="18"/>
        <v>0.4041786409856753</v>
      </c>
      <c r="K43" s="6">
        <f t="shared" si="18"/>
        <v>0.36929031344449442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177460719.3184393</v>
      </c>
      <c r="E48" s="302"/>
      <c r="G48" s="328">
        <f>IFERROR(IF(G$4="","",($C$48/$C$49)*G49),0)</f>
        <v>177460719.3184393</v>
      </c>
      <c r="H48" s="328">
        <f t="shared" ref="H48:Q48" si="19">IFERROR(IF(H$4="","",($C$48/$C$49)*H49),0)</f>
        <v>145697220.84620064</v>
      </c>
      <c r="I48" s="328">
        <f t="shared" si="19"/>
        <v>132256318.25361659</v>
      </c>
      <c r="J48" s="328">
        <f t="shared" si="19"/>
        <v>90820024.689654052</v>
      </c>
      <c r="K48" s="328">
        <f t="shared" si="19"/>
        <v>150776533.69736946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155623665.3184393</v>
      </c>
      <c r="E50" s="302"/>
      <c r="G50" s="184">
        <f>IF(G$4="","",(G47+G48))</f>
        <v>155623665.3184393</v>
      </c>
      <c r="H50" s="184">
        <f t="shared" ref="H50:Q50" si="20">IF(H$4="","",(H47+H48))</f>
        <v>129266630.84620064</v>
      </c>
      <c r="I50" s="184">
        <f t="shared" si="20"/>
        <v>123018518.25361659</v>
      </c>
      <c r="J50" s="184">
        <f t="shared" si="20"/>
        <v>68134657.689654052</v>
      </c>
      <c r="K50" s="184">
        <f t="shared" si="20"/>
        <v>137113851.69736946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4.8476088863776126E-3</v>
      </c>
      <c r="D80" s="27"/>
      <c r="E80" s="299"/>
      <c r="F80" s="27"/>
      <c r="G80" s="6">
        <f t="shared" ref="G80:Q80" si="31">IF(G$4="","",ABS(G12/G$4))</f>
        <v>4.8423824751370843E-3</v>
      </c>
      <c r="H80" s="6">
        <f t="shared" si="31"/>
        <v>3.809071183655146E-3</v>
      </c>
      <c r="I80" s="6">
        <f t="shared" si="31"/>
        <v>3.8238275280530558E-3</v>
      </c>
      <c r="J80" s="6">
        <f t="shared" si="31"/>
        <v>2.2585970518973742E-3</v>
      </c>
      <c r="K80" s="6">
        <f t="shared" si="31"/>
        <v>4.9393112220396853E-3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0.12564772756455966</v>
      </c>
      <c r="D81" s="27"/>
      <c r="E81" s="299"/>
      <c r="F81" s="27"/>
      <c r="G81" s="65">
        <f t="shared" ref="G81:Q81" si="32">IF(G$4="","",G13/G$4)</f>
        <v>0.14598647479042426</v>
      </c>
      <c r="H81" s="65">
        <f t="shared" si="32"/>
        <v>0.1340719100059492</v>
      </c>
      <c r="I81" s="65">
        <f t="shared" si="32"/>
        <v>0.12029168152657813</v>
      </c>
      <c r="J81" s="65">
        <f t="shared" si="32"/>
        <v>0.10028326234358806</v>
      </c>
      <c r="K81" s="65">
        <f t="shared" si="32"/>
        <v>8.9020153354077092E-2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3.1411931891139916E-2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8.9668193333965085E-2</v>
      </c>
      <c r="D84" s="27"/>
      <c r="E84" s="299"/>
      <c r="F84" s="27"/>
      <c r="G84" s="65">
        <f t="shared" ref="G84:Q84" si="35">IF(G$4="","",ABS(G16/G$4))</f>
        <v>9.8176490834037303E-2</v>
      </c>
      <c r="H84" s="65">
        <f t="shared" si="35"/>
        <v>9.050363086067012E-2</v>
      </c>
      <c r="I84" s="65">
        <f t="shared" si="35"/>
        <v>8.0022808443399762E-2</v>
      </c>
      <c r="J84" s="65">
        <f t="shared" si="35"/>
        <v>5.6409884355440608E-2</v>
      </c>
      <c r="K84" s="65">
        <f t="shared" si="35"/>
        <v>5.1619700202110437E-2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8.9668193333965085E-2</v>
      </c>
      <c r="D87" s="75"/>
      <c r="E87" s="299"/>
      <c r="F87" s="75"/>
      <c r="G87" s="65">
        <f t="shared" ref="G87:Q87" si="36">IF(G$4="","",ABS(G19/G$4))</f>
        <v>9.8176490834037303E-2</v>
      </c>
      <c r="H87" s="65">
        <f t="shared" si="36"/>
        <v>9.050363086067012E-2</v>
      </c>
      <c r="I87" s="65">
        <f t="shared" si="36"/>
        <v>8.0022808443399762E-2</v>
      </c>
      <c r="J87" s="65">
        <f t="shared" si="36"/>
        <v>5.6409884355440608E-2</v>
      </c>
      <c r="K87" s="65">
        <f t="shared" si="36"/>
        <v>5.1619700202110437E-2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2.0617122197608295</v>
      </c>
      <c r="E90" s="302"/>
      <c r="G90" s="113">
        <f>Data!C65</f>
        <v>2.0617122197608295</v>
      </c>
      <c r="H90" s="113">
        <f>Data!D65</f>
        <v>1.8742838361462086</v>
      </c>
      <c r="I90" s="113">
        <f>Data!E65</f>
        <v>1.2182844934950356</v>
      </c>
      <c r="J90" s="113">
        <f>Data!F65</f>
        <v>1.0308561098804148</v>
      </c>
      <c r="K90" s="113">
        <f>Data!G65</f>
        <v>0.70285643855482827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2812581187.9780736</v>
      </c>
      <c r="E91" s="302"/>
      <c r="G91" s="74">
        <f t="shared" ref="G91:Q91" si="37">IF(G$4="","",G90*Common_Shares/scaling_factor)</f>
        <v>2812581187.9780736</v>
      </c>
      <c r="H91" s="74">
        <f t="shared" si="37"/>
        <v>2556891989.0709763</v>
      </c>
      <c r="I91" s="74">
        <f t="shared" si="37"/>
        <v>1661979792.8961346</v>
      </c>
      <c r="J91" s="74">
        <f t="shared" si="37"/>
        <v>1406290593.9890368</v>
      </c>
      <c r="K91" s="74">
        <f t="shared" si="37"/>
        <v>958834495.9016161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0.9770540319380614</v>
      </c>
      <c r="E92" s="302"/>
      <c r="G92" s="171">
        <f t="shared" ref="G92:Q92" si="38">IF(G$4="","",G90/(G19*scaling_factor/Common_Shares))</f>
        <v>0.89141720526202217</v>
      </c>
      <c r="H92" s="171">
        <f t="shared" si="38"/>
        <v>0.83249002580495424</v>
      </c>
      <c r="I92" s="171">
        <f t="shared" si="38"/>
        <v>0.6455646687046771</v>
      </c>
      <c r="J92" s="171">
        <f t="shared" si="38"/>
        <v>0.82640044271237556</v>
      </c>
      <c r="K92" s="171">
        <f t="shared" si="38"/>
        <v>0.66913420832160109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3.652280283012984E-2</v>
      </c>
      <c r="E93" s="302"/>
      <c r="G93" s="23">
        <f t="shared" ref="G93:Q93" si="39">IF(G$4="","",G90/Market_Price)</f>
        <v>3.652280283012984E-2</v>
      </c>
      <c r="H93" s="23">
        <f t="shared" si="39"/>
        <v>3.3202548027390762E-2</v>
      </c>
      <c r="I93" s="23">
        <f t="shared" si="39"/>
        <v>2.1581656217803995E-2</v>
      </c>
      <c r="J93" s="23">
        <f t="shared" si="39"/>
        <v>1.826140141506492E-2</v>
      </c>
      <c r="K93" s="23">
        <f t="shared" si="39"/>
        <v>1.2450955510271536E-2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-0.14024733017577828</v>
      </c>
      <c r="D97" s="27"/>
      <c r="E97" s="299"/>
      <c r="F97" s="27"/>
      <c r="G97" s="6">
        <f t="shared" ref="G97:Q97" si="41">IF(H5="","",G13/H13-1)</f>
        <v>3.1155196822279629E-2</v>
      </c>
      <c r="H97" s="6">
        <f t="shared" si="41"/>
        <v>0.17570223885093661</v>
      </c>
      <c r="I97" s="6">
        <f t="shared" si="41"/>
        <v>0.27923406851212884</v>
      </c>
      <c r="J97" s="6">
        <f t="shared" si="41"/>
        <v>0.22420598304327699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1.6337141270803495</v>
      </c>
      <c r="H114" s="334">
        <f>IF(H$4="","",Data!D$22/H19)</f>
        <v>0.90433892003930338</v>
      </c>
      <c r="I114" s="334">
        <f>IF(I$4="","",Data!E$22/I19)</f>
        <v>1.8950665980628092</v>
      </c>
      <c r="J114" s="334">
        <f>IF(J$4="","",Data!F$22/J19)</f>
        <v>3.5512076971277531</v>
      </c>
      <c r="K114" s="334">
        <f>IF(K$4="","",Data!G$22/K19)</f>
        <v>3.4568054912987605</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0.12564772756455966</v>
      </c>
      <c r="E117" s="302"/>
      <c r="G117" s="23">
        <f t="shared" ref="G117:Q117" si="45">G81</f>
        <v>0.14598647479042426</v>
      </c>
      <c r="H117" s="23">
        <f t="shared" si="45"/>
        <v>0.1340719100059492</v>
      </c>
      <c r="I117" s="23">
        <f t="shared" si="45"/>
        <v>0.12029168152657813</v>
      </c>
      <c r="J117" s="23">
        <f t="shared" si="45"/>
        <v>0.10028326234358806</v>
      </c>
      <c r="K117" s="23">
        <f t="shared" si="45"/>
        <v>8.9020153354077092E-2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2.2516666715310838</v>
      </c>
      <c r="D124" s="27"/>
      <c r="E124" s="299"/>
      <c r="F124" s="27"/>
      <c r="G124" s="178">
        <f t="shared" ref="G124:Q124" si="49">IF(G$4="","",G16*$C$3/Common_Shares*Exchange_Rate)</f>
        <v>2.4679801859482113</v>
      </c>
      <c r="H124" s="178">
        <f t="shared" si="49"/>
        <v>2.4024311859666461</v>
      </c>
      <c r="I124" s="178">
        <f t="shared" si="49"/>
        <v>2.0137409356810756</v>
      </c>
      <c r="J124" s="178">
        <f t="shared" si="49"/>
        <v>1.3310738271020619</v>
      </c>
      <c r="K124" s="178">
        <f t="shared" si="49"/>
        <v>1.1208513788007279</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3.9887806404447897E-2</v>
      </c>
      <c r="D125" s="27"/>
      <c r="E125" s="299"/>
      <c r="F125" s="27"/>
      <c r="G125" s="77">
        <f t="shared" ref="G125" si="50">IF(G$4="","",G124/Market_Price)</f>
        <v>4.3719755286947937E-2</v>
      </c>
      <c r="H125" s="77">
        <f t="shared" ref="H125" si="51">IF(H$4="","",H124/Market_Price)</f>
        <v>4.2558568396220478E-2</v>
      </c>
      <c r="I125" s="77">
        <f t="shared" ref="I125" si="52">IF(I$4="","",I124/Market_Price)</f>
        <v>3.567300151782242E-2</v>
      </c>
      <c r="J125" s="77">
        <f t="shared" ref="J125" si="53">IF(J$4="","",J124/Market_Price)</f>
        <v>2.3579695785687544E-2</v>
      </c>
      <c r="K125" s="77">
        <f t="shared" ref="K125" si="54">IF(K$4="","",K124/Market_Price)</f>
        <v>1.9855648871580655E-2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5.8328013769332991E-2</v>
      </c>
      <c r="H126" s="23">
        <f>IF(H$4="","",(Data!D47*$C$3)/(Market_Price*Common_Shares))</f>
        <v>5.6463583218943424E-2</v>
      </c>
      <c r="I126" s="23">
        <f>IF(I$4="","",(Data!E47*$C$3)/(Market_Price*Common_Shares))</f>
        <v>4.9406251082995394E-2</v>
      </c>
      <c r="J126" s="23">
        <f>IF(J$4="","",(Data!F47*$C$3)/(Market_Price*Common_Shares))</f>
        <v>4.2283989290394154E-2</v>
      </c>
      <c r="K126" s="23">
        <f>IF(K$4="","",(Data!G47*$C$3)/(Market_Price*Common_Shares))</f>
        <v>3.0216878083428465E-2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2878634237.2479687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35982927965.599609</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12805823882.513279</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51258767040.612885</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40.094589258920792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66.942986891315115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3054708341.7806311</v>
      </c>
      <c r="D21" s="139">
        <f>IF($C$17&lt;B21,0,Valuation_Model!$C$16)</f>
        <v>6.1165848114484E-2</v>
      </c>
      <c r="E21" s="125">
        <f t="shared" ref="E21:E50" si="0">IF($C$17&lt;B21,0,1/(1+Equity_Cost)^B21)</f>
        <v>0.92592592592592582</v>
      </c>
      <c r="F21" s="126">
        <f t="shared" ref="F21:F51" si="1">C21*E21</f>
        <v>2828433649.7968802</v>
      </c>
      <c r="H21" s="121"/>
    </row>
    <row r="22" spans="2:8">
      <c r="B22" s="123">
        <v>2</v>
      </c>
      <c r="C22" s="124">
        <f t="shared" ref="C22:C50" si="2">IF(ROW()-ROW($C$21)&lt;$C$17, $C$21*(1+D22)^(ROW()-ROW($C$21)), 0)</f>
        <v>3241552168.2480321</v>
      </c>
      <c r="D22" s="139">
        <f>IF($C$17&lt;B22,0,Valuation_Model!$C$16)</f>
        <v>6.1165848114484E-2</v>
      </c>
      <c r="E22" s="125">
        <f t="shared" si="0"/>
        <v>0.85733882030178321</v>
      </c>
      <c r="F22" s="126">
        <f t="shared" si="1"/>
        <v>2779108511.8724551</v>
      </c>
      <c r="H22" s="121"/>
    </row>
    <row r="23" spans="2:8">
      <c r="B23" s="123">
        <v>3</v>
      </c>
      <c r="C23" s="124">
        <f t="shared" si="2"/>
        <v>3439824455.8262668</v>
      </c>
      <c r="D23" s="139">
        <f>IF($C$17&lt;B23,0,Valuation_Model!$C$16)</f>
        <v>6.1165848114484E-2</v>
      </c>
      <c r="E23" s="125">
        <f t="shared" si="0"/>
        <v>0.79383224102016958</v>
      </c>
      <c r="F23" s="126">
        <f t="shared" si="1"/>
        <v>2730643556.4845505</v>
      </c>
      <c r="H23" s="121"/>
    </row>
    <row r="24" spans="2:8">
      <c r="B24" s="123">
        <v>4</v>
      </c>
      <c r="C24" s="124">
        <f t="shared" si="2"/>
        <v>3650224236.0318236</v>
      </c>
      <c r="D24" s="139">
        <f>IF($C$17&lt;B24,0,Valuation_Model!$C$16)</f>
        <v>6.1165848114484E-2</v>
      </c>
      <c r="E24" s="125">
        <f t="shared" si="0"/>
        <v>0.73502985279645328</v>
      </c>
      <c r="F24" s="126">
        <f t="shared" si="1"/>
        <v>2683023782.8845177</v>
      </c>
      <c r="H24" s="121"/>
    </row>
    <row r="25" spans="2:8">
      <c r="B25" s="123">
        <v>5</v>
      </c>
      <c r="C25" s="124">
        <f t="shared" si="2"/>
        <v>3873493297.2367539</v>
      </c>
      <c r="D25" s="139">
        <f>IF($C$17&lt;B25,0,Valuation_Model!$C$16)</f>
        <v>6.1165848114484E-2</v>
      </c>
      <c r="E25" s="125">
        <f t="shared" si="0"/>
        <v>0.68058319703375303</v>
      </c>
      <c r="F25" s="126">
        <f t="shared" si="1"/>
        <v>2636234451.9222035</v>
      </c>
      <c r="H25" s="121"/>
    </row>
    <row r="26" spans="2:8">
      <c r="B26" s="123">
        <v>6</v>
      </c>
      <c r="C26" s="124">
        <f t="shared" si="2"/>
        <v>4110418799.9280086</v>
      </c>
      <c r="D26" s="139">
        <f>IF($C$17&lt;B26,0,Valuation_Model!$C$16)</f>
        <v>6.1165848114484E-2</v>
      </c>
      <c r="E26" s="125">
        <f t="shared" si="0"/>
        <v>0.63016962688310452</v>
      </c>
      <c r="F26" s="126">
        <f t="shared" si="1"/>
        <v>2590261081.4839315</v>
      </c>
      <c r="H26" s="121"/>
    </row>
    <row r="27" spans="2:8">
      <c r="B27" s="123">
        <v>7</v>
      </c>
      <c r="C27" s="124">
        <f t="shared" si="2"/>
        <v>4361836051.931324</v>
      </c>
      <c r="D27" s="139">
        <f>IF($C$17&lt;B27,0,Valuation_Model!$C$16)</f>
        <v>6.1165848114484E-2</v>
      </c>
      <c r="E27" s="125">
        <f t="shared" si="0"/>
        <v>0.58349039526213387</v>
      </c>
      <c r="F27" s="126">
        <f t="shared" si="1"/>
        <v>2545089442.0100336</v>
      </c>
      <c r="H27" s="121"/>
    </row>
    <row r="28" spans="2:8">
      <c r="B28" s="123">
        <v>8</v>
      </c>
      <c r="C28" s="124">
        <f t="shared" si="2"/>
        <v>4628631453.3840351</v>
      </c>
      <c r="D28" s="139">
        <f>IF($C$17&lt;B28,0,Valuation_Model!$C$16)</f>
        <v>6.1165848114484E-2</v>
      </c>
      <c r="E28" s="125">
        <f t="shared" si="0"/>
        <v>0.54026888450197574</v>
      </c>
      <c r="F28" s="126">
        <f t="shared" si="1"/>
        <v>2500705552.0905514</v>
      </c>
      <c r="H28" s="121"/>
    </row>
    <row r="29" spans="2:8">
      <c r="B29" s="123">
        <v>9</v>
      </c>
      <c r="C29" s="124">
        <f t="shared" si="2"/>
        <v>4911745621.8396463</v>
      </c>
      <c r="D29" s="139">
        <f>IF($C$17&lt;B29,0,Valuation_Model!$C$16)</f>
        <v>6.1165848114484E-2</v>
      </c>
      <c r="E29" s="125">
        <f t="shared" si="0"/>
        <v>0.50024896713145905</v>
      </c>
      <c r="F29" s="126">
        <f t="shared" si="1"/>
        <v>2457095674.1377492</v>
      </c>
      <c r="H29" s="121"/>
    </row>
    <row r="30" spans="2:8">
      <c r="B30" s="123">
        <v>10</v>
      </c>
      <c r="C30" s="124">
        <f t="shared" si="2"/>
        <v>5212176708.5220718</v>
      </c>
      <c r="D30" s="139">
        <f>IF($C$17&lt;B30,0,Valuation_Model!$C$16)</f>
        <v>6.1165848114484E-2</v>
      </c>
      <c r="E30" s="125">
        <f t="shared" si="0"/>
        <v>0.46319348808468425</v>
      </c>
      <c r="F30" s="126">
        <f t="shared" si="1"/>
        <v>2414246310.1340871</v>
      </c>
      <c r="H30" s="121"/>
    </row>
    <row r="31" spans="2:8">
      <c r="B31" s="123">
        <v>11</v>
      </c>
      <c r="C31" s="124">
        <f t="shared" si="2"/>
        <v>5530983917.4213829</v>
      </c>
      <c r="D31" s="139">
        <f>IF($C$17&lt;B31,0,Valuation_Model!$C$16)</f>
        <v>6.1165848114484E-2</v>
      </c>
      <c r="E31" s="125">
        <f t="shared" si="0"/>
        <v>0.42888285933767062</v>
      </c>
      <c r="F31" s="126">
        <f t="shared" si="1"/>
        <v>2372144197.4543533</v>
      </c>
      <c r="H31" s="121"/>
    </row>
    <row r="32" spans="2:8">
      <c r="B32" s="123">
        <v>12</v>
      </c>
      <c r="C32" s="124">
        <f t="shared" si="2"/>
        <v>5869291239.638032</v>
      </c>
      <c r="D32" s="139">
        <f>IF($C$17&lt;B32,0,Valuation_Model!$C$16)</f>
        <v>6.1165848114484E-2</v>
      </c>
      <c r="E32" s="125">
        <f t="shared" si="0"/>
        <v>0.39711375864599124</v>
      </c>
      <c r="F32" s="126">
        <f t="shared" si="1"/>
        <v>2330776304.7606483</v>
      </c>
      <c r="H32" s="121"/>
    </row>
    <row r="33" spans="2:8">
      <c r="B33" s="123">
        <v>13</v>
      </c>
      <c r="C33" s="124">
        <f t="shared" si="2"/>
        <v>6228291416.1414022</v>
      </c>
      <c r="D33" s="139">
        <f>IF($C$17&lt;B33,0,Valuation_Model!$C$16)</f>
        <v>6.1165848114484E-2</v>
      </c>
      <c r="E33" s="125">
        <f t="shared" si="0"/>
        <v>0.36769792467221413</v>
      </c>
      <c r="F33" s="126">
        <f t="shared" si="1"/>
        <v>2290129827.9689593</v>
      </c>
      <c r="H33" s="121"/>
    </row>
    <row r="34" spans="2:8">
      <c r="B34" s="123">
        <v>14</v>
      </c>
      <c r="C34" s="124">
        <f t="shared" si="2"/>
        <v>6609250142.9138517</v>
      </c>
      <c r="D34" s="139">
        <f>IF($C$17&lt;B34,0,Valuation_Model!$C$16)</f>
        <v>6.1165848114484E-2</v>
      </c>
      <c r="E34" s="125">
        <f t="shared" si="0"/>
        <v>0.34046104136316119</v>
      </c>
      <c r="F34" s="126">
        <f t="shared" si="1"/>
        <v>2250192186.2860718</v>
      </c>
      <c r="H34" s="121"/>
    </row>
    <row r="35" spans="2:8">
      <c r="B35" s="123">
        <v>15</v>
      </c>
      <c r="C35" s="124">
        <f t="shared" si="2"/>
        <v>7013510533.3059502</v>
      </c>
      <c r="D35" s="139">
        <f>IF($C$17&lt;B35,0,Valuation_Model!$C$16)</f>
        <v>6.1165848114484E-2</v>
      </c>
      <c r="E35" s="125">
        <f t="shared" si="0"/>
        <v>0.31524170496588994</v>
      </c>
      <c r="F35" s="126">
        <f t="shared" si="1"/>
        <v>2210951018.3155956</v>
      </c>
      <c r="H35" s="121"/>
    </row>
    <row r="36" spans="2:8">
      <c r="B36" s="123">
        <v>16</v>
      </c>
      <c r="C36" s="124">
        <f t="shared" si="2"/>
        <v>7442497853.335474</v>
      </c>
      <c r="D36" s="139">
        <f>IF($C$17&lt;B36,0,Valuation_Model!$C$16)</f>
        <v>6.1165848114484E-2</v>
      </c>
      <c r="E36" s="125">
        <f t="shared" si="0"/>
        <v>0.29189046756100923</v>
      </c>
      <c r="F36" s="126">
        <f t="shared" si="1"/>
        <v>2172394178.2318988</v>
      </c>
      <c r="H36" s="121"/>
    </row>
    <row r="37" spans="2:8">
      <c r="B37" s="123">
        <v>17</v>
      </c>
      <c r="C37" s="124">
        <f t="shared" si="2"/>
        <v>7897724546.6249657</v>
      </c>
      <c r="D37" s="139">
        <f>IF($C$17&lt;B37,0,Valuation_Model!$C$16)</f>
        <v>6.1165848114484E-2</v>
      </c>
      <c r="E37" s="125">
        <f t="shared" si="0"/>
        <v>0.27026895144537894</v>
      </c>
      <c r="F37" s="126">
        <f t="shared" si="1"/>
        <v>2134509732.0207603</v>
      </c>
      <c r="H37" s="121"/>
    </row>
    <row r="38" spans="2:8">
      <c r="B38" s="123">
        <v>18</v>
      </c>
      <c r="C38" s="124">
        <f t="shared" si="2"/>
        <v>8380795566.6938601</v>
      </c>
      <c r="D38" s="139">
        <f>IF($C$17&lt;B38,0,Valuation_Model!$C$16)</f>
        <v>6.1165848114484E-2</v>
      </c>
      <c r="E38" s="125">
        <f t="shared" si="0"/>
        <v>0.25024902911609154</v>
      </c>
      <c r="F38" s="126">
        <f t="shared" si="1"/>
        <v>2097285953.7855825</v>
      </c>
      <c r="H38" s="121"/>
    </row>
    <row r="39" spans="2:8">
      <c r="B39" s="123">
        <v>19</v>
      </c>
      <c r="C39" s="124">
        <f t="shared" si="2"/>
        <v>8893414035.4047966</v>
      </c>
      <c r="D39" s="139">
        <f>IF($C$17&lt;B39,0,Valuation_Model!$C$16)</f>
        <v>6.1165848114484E-2</v>
      </c>
      <c r="E39" s="125">
        <f t="shared" si="0"/>
        <v>0.23171206399638106</v>
      </c>
      <c r="F39" s="126">
        <f t="shared" si="1"/>
        <v>2060711322.1180298</v>
      </c>
      <c r="H39" s="121"/>
    </row>
    <row r="40" spans="2:8">
      <c r="B40" s="123">
        <v>20</v>
      </c>
      <c r="C40" s="124">
        <f t="shared" si="2"/>
        <v>9437387247.5135841</v>
      </c>
      <c r="D40" s="139">
        <f>IF($C$17&lt;B40,0,Valuation_Model!$C$16)</f>
        <v>6.1165848114484E-2</v>
      </c>
      <c r="E40" s="125">
        <f t="shared" si="0"/>
        <v>0.21454820740405653</v>
      </c>
      <c r="F40" s="126">
        <f t="shared" si="1"/>
        <v>2024774516.5319426</v>
      </c>
      <c r="H40" s="121"/>
    </row>
    <row r="41" spans="2:8">
      <c r="B41" s="123">
        <v>21</v>
      </c>
      <c r="C41" s="124">
        <f t="shared" si="2"/>
        <v>10014633042.492567</v>
      </c>
      <c r="D41" s="139">
        <f>IF($C$17&lt;B41,0,Valuation_Model!$C$16)</f>
        <v>6.1165848114484E-2</v>
      </c>
      <c r="E41" s="125">
        <f t="shared" si="0"/>
        <v>0.19865574759634863</v>
      </c>
      <c r="F41" s="126">
        <f t="shared" si="1"/>
        <v>1989464413.9594564</v>
      </c>
      <c r="H41" s="121"/>
    </row>
    <row r="42" spans="2:8">
      <c r="B42" s="123">
        <v>22</v>
      </c>
      <c r="C42" s="124">
        <f t="shared" si="2"/>
        <v>10627186566.091959</v>
      </c>
      <c r="D42" s="139">
        <f>IF($C$17&lt;B42,0,Valuation_Model!$C$16)</f>
        <v>6.1165848114484E-2</v>
      </c>
      <c r="E42" s="125">
        <f t="shared" si="0"/>
        <v>0.18394050703365611</v>
      </c>
      <c r="F42" s="126">
        <f t="shared" si="1"/>
        <v>1954770085.3082137</v>
      </c>
      <c r="H42" s="121"/>
    </row>
    <row r="43" spans="2:8">
      <c r="B43" s="123">
        <v>23</v>
      </c>
      <c r="C43" s="124">
        <f t="shared" si="2"/>
        <v>11277207445.477823</v>
      </c>
      <c r="D43" s="139">
        <f>IF($C$17&lt;B43,0,Valuation_Model!$C$16)</f>
        <v>6.1165848114484E-2</v>
      </c>
      <c r="E43" s="125">
        <f t="shared" si="0"/>
        <v>0.17031528429042234</v>
      </c>
      <c r="F43" s="126">
        <f t="shared" si="1"/>
        <v>1920680792.0786228</v>
      </c>
      <c r="H43" s="121"/>
    </row>
    <row r="44" spans="2:8">
      <c r="B44" s="123">
        <v>24</v>
      </c>
      <c r="C44" s="124">
        <f t="shared" si="2"/>
        <v>11966987403.243446</v>
      </c>
      <c r="D44" s="139">
        <f>IF($C$17&lt;B44,0,Valuation_Model!$C$16)</f>
        <v>6.1165848114484E-2</v>
      </c>
      <c r="E44" s="125">
        <f t="shared" si="0"/>
        <v>0.1576993373059466</v>
      </c>
      <c r="F44" s="126">
        <f t="shared" si="1"/>
        <v>1887185983.0401022</v>
      </c>
      <c r="H44" s="121"/>
    </row>
    <row r="45" spans="2:8">
      <c r="B45" s="123">
        <v>25</v>
      </c>
      <c r="C45" s="124">
        <f t="shared" si="2"/>
        <v>12698958337.138178</v>
      </c>
      <c r="D45" s="139">
        <f>IF($C$17&lt;B45,0,Valuation_Model!$C$16)</f>
        <v>6.1165848114484E-2</v>
      </c>
      <c r="E45" s="125">
        <f t="shared" si="0"/>
        <v>0.1460179049129135</v>
      </c>
      <c r="F45" s="126">
        <f t="shared" si="1"/>
        <v>1854275290.9652927</v>
      </c>
      <c r="H45" s="121"/>
    </row>
    <row r="46" spans="2:8">
      <c r="B46" s="123">
        <v>26</v>
      </c>
      <c r="C46" s="124">
        <f t="shared" si="2"/>
        <v>13475700893.999731</v>
      </c>
      <c r="D46" s="139">
        <f>IF($C$17&lt;B46,0,Valuation_Model!$C$16)</f>
        <v>6.1165848114484E-2</v>
      </c>
      <c r="E46" s="125">
        <f t="shared" si="0"/>
        <v>0.13520176380825324</v>
      </c>
      <c r="F46" s="126">
        <f t="shared" si="1"/>
        <v>1821938529.4212186</v>
      </c>
      <c r="H46" s="121"/>
    </row>
    <row r="47" spans="2:8">
      <c r="B47" s="123">
        <v>27</v>
      </c>
      <c r="C47" s="124">
        <f t="shared" si="2"/>
        <v>14299953568.118332</v>
      </c>
      <c r="D47" s="139">
        <f>IF($C$17&lt;B47,0,Valuation_Model!$C$16)</f>
        <v>6.1165848114484E-2</v>
      </c>
      <c r="E47" s="125">
        <f t="shared" si="0"/>
        <v>0.12518681834097523</v>
      </c>
      <c r="F47" s="126">
        <f t="shared" si="1"/>
        <v>1790165689.61641</v>
      </c>
      <c r="H47" s="121"/>
    </row>
    <row r="48" spans="2:8">
      <c r="B48" s="123">
        <v>28</v>
      </c>
      <c r="C48" s="124">
        <f t="shared" si="2"/>
        <v>15174622356.110027</v>
      </c>
      <c r="D48" s="139">
        <f>IF($C$17&lt;B48,0,Valuation_Model!$C$16)</f>
        <v>6.1165848114484E-2</v>
      </c>
      <c r="E48" s="125">
        <f t="shared" si="0"/>
        <v>0.11591372068608817</v>
      </c>
      <c r="F48" s="126">
        <f t="shared" si="1"/>
        <v>1758946937.3030069</v>
      </c>
      <c r="H48" s="121"/>
    </row>
    <row r="49" spans="1:8">
      <c r="B49" s="123">
        <v>29</v>
      </c>
      <c r="C49" s="124">
        <f t="shared" si="2"/>
        <v>16102791002.338507</v>
      </c>
      <c r="D49" s="139">
        <f>IF($C$17&lt;B49,0,Valuation_Model!$C$16)</f>
        <v>6.1165848114484E-2</v>
      </c>
      <c r="E49" s="125">
        <f t="shared" si="0"/>
        <v>0.10732751915378534</v>
      </c>
      <c r="F49" s="126">
        <f t="shared" si="1"/>
        <v>1728272609.7328882</v>
      </c>
      <c r="H49" s="121"/>
    </row>
    <row r="50" spans="1:8">
      <c r="B50" s="123">
        <v>30</v>
      </c>
      <c r="C50" s="124">
        <f t="shared" si="2"/>
        <v>17087731871.006823</v>
      </c>
      <c r="D50" s="139">
        <f>IF($C$17&lt;B50,0,Valuation_Model!$C$16)</f>
        <v>6.1165848114484E-2</v>
      </c>
      <c r="E50" s="125">
        <f t="shared" si="0"/>
        <v>9.9377332549801231E-2</v>
      </c>
      <c r="F50" s="126">
        <f t="shared" si="1"/>
        <v>1698133212.6668823</v>
      </c>
      <c r="H50" s="121"/>
    </row>
    <row r="51" spans="1:8">
      <c r="B51" s="127" t="s">
        <v>132</v>
      </c>
      <c r="C51" s="124">
        <f>C$21*(1+Terminal_Growth)^$C$17/Equity_Cost</f>
        <v>38183854272.257889</v>
      </c>
      <c r="D51" s="140">
        <f>Terminal_Growth</f>
        <v>0</v>
      </c>
      <c r="E51" s="125">
        <f>1/(1+Equity_Cost)^C17</f>
        <v>9.9377332549801231E-2</v>
      </c>
      <c r="F51" s="126">
        <f t="shared" si="1"/>
        <v>3794609584.0473208</v>
      </c>
      <c r="H51" s="121"/>
    </row>
    <row r="52" spans="1:8">
      <c r="C52" s="115"/>
      <c r="E52" s="128" t="s">
        <v>101</v>
      </c>
      <c r="F52" s="138">
        <f>SUM(F21:F51)</f>
        <v>70307154378.430206</v>
      </c>
      <c r="H52" s="121"/>
    </row>
    <row r="53" spans="1:8">
      <c r="C53" s="115"/>
      <c r="H53" s="121"/>
    </row>
    <row r="54" spans="1:8" ht="13.15">
      <c r="B54" s="120" t="s">
        <v>130</v>
      </c>
      <c r="C54" s="137"/>
      <c r="D54" s="137"/>
      <c r="E54" s="118"/>
      <c r="F54" s="118"/>
      <c r="H54" s="121"/>
    </row>
    <row r="55" spans="1:8" ht="13.15">
      <c r="A55" s="134">
        <f>F52</f>
        <v>70307154378.430206</v>
      </c>
      <c r="B55" s="132">
        <f>C78</f>
        <v>0.02</v>
      </c>
      <c r="C55" s="132">
        <f>C77</f>
        <v>0.04</v>
      </c>
      <c r="D55" s="132">
        <f>C76</f>
        <v>0.06</v>
      </c>
      <c r="E55" s="132">
        <f>C75</f>
        <v>0.08</v>
      </c>
      <c r="F55" s="132">
        <f>C74</f>
        <v>0.1</v>
      </c>
      <c r="H55" s="121"/>
    </row>
    <row r="56" spans="1:8" ht="13.15">
      <c r="A56" s="144">
        <v>5</v>
      </c>
      <c r="B56" s="124">
        <f t="dataTable" ref="B56:F61" dt2D="1" dtr="1" r1="C16" r2="C17"/>
        <v>37143925582.747704</v>
      </c>
      <c r="C56" s="124">
        <v>38339694571.890358</v>
      </c>
      <c r="D56" s="124">
        <v>39571760813.15863</v>
      </c>
      <c r="E56" s="124">
        <v>40841697431.979904</v>
      </c>
      <c r="F56" s="124">
        <v>42151125551.391495</v>
      </c>
      <c r="H56" s="121"/>
    </row>
    <row r="57" spans="1:8" ht="13.15">
      <c r="A57" s="144">
        <v>10</v>
      </c>
      <c r="B57" s="124">
        <v>38305992295.234665</v>
      </c>
      <c r="C57" s="124">
        <v>40861890570.070511</v>
      </c>
      <c r="D57" s="124">
        <v>43678487911.303642</v>
      </c>
      <c r="E57" s="124">
        <v>46786764921.636581</v>
      </c>
      <c r="F57" s="124">
        <v>50221126184.905663</v>
      </c>
      <c r="H57" s="121"/>
    </row>
    <row r="58" spans="1:8" ht="13.15">
      <c r="A58" s="144">
        <v>15</v>
      </c>
      <c r="B58" s="124">
        <v>39744372062.84346</v>
      </c>
      <c r="C58" s="124">
        <v>44149892906.337967</v>
      </c>
      <c r="D58" s="124">
        <v>49327449477.026527</v>
      </c>
      <c r="E58" s="124">
        <v>55430298685.183197</v>
      </c>
      <c r="F58" s="124">
        <v>62641756312.63887</v>
      </c>
      <c r="H58" s="121"/>
    </row>
    <row r="59" spans="1:8" ht="13.15">
      <c r="A59" s="145">
        <v>20</v>
      </c>
      <c r="B59" s="124">
        <v>41209850376.606827</v>
      </c>
      <c r="C59" s="124">
        <v>47688855489.543419</v>
      </c>
      <c r="D59" s="124">
        <v>55771379156.389549</v>
      </c>
      <c r="E59" s="124">
        <v>65910363252.501587</v>
      </c>
      <c r="F59" s="124">
        <v>78689066952.308716</v>
      </c>
      <c r="H59" s="121"/>
    </row>
    <row r="60" spans="1:8" ht="13.15">
      <c r="A60" s="145">
        <v>25</v>
      </c>
      <c r="B60" s="124">
        <v>42572826527.812469</v>
      </c>
      <c r="C60" s="124">
        <v>51174854026.965141</v>
      </c>
      <c r="D60" s="124">
        <v>62524421533.338188</v>
      </c>
      <c r="E60" s="124">
        <v>77640339825.70192</v>
      </c>
      <c r="F60" s="124">
        <v>97934316529.735733</v>
      </c>
      <c r="H60" s="121"/>
    </row>
    <row r="61" spans="1:8" ht="13.15">
      <c r="A61" s="145">
        <v>30</v>
      </c>
      <c r="B61" s="124">
        <v>43775161094.306854</v>
      </c>
      <c r="C61" s="124">
        <v>54439522550.962891</v>
      </c>
      <c r="D61" s="124">
        <v>69276605730.7854</v>
      </c>
      <c r="E61" s="124">
        <v>90220985507.876266</v>
      </c>
      <c r="F61" s="124">
        <v>120155822906.37471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40.094589258920792</v>
      </c>
      <c r="C65" s="125">
        <f>C12</f>
        <v>40.094589258920792</v>
      </c>
      <c r="D65" s="125">
        <f>C12</f>
        <v>40.094589258920792</v>
      </c>
      <c r="E65" s="142">
        <f>C12</f>
        <v>40.094589258920792</v>
      </c>
      <c r="F65" s="125">
        <f>C12</f>
        <v>40.094589258920792</v>
      </c>
      <c r="H65" s="121"/>
    </row>
    <row r="66" spans="1:8" ht="13.15">
      <c r="A66" s="144">
        <f t="shared" ref="A66:A71" si="3">A56</f>
        <v>5</v>
      </c>
      <c r="B66" s="125">
        <f t="shared" ref="B66:F71" si="4">(B56-$C$7+$C$8+$C$9)/Common_Shares*$C$3*Exchange_Rate</f>
        <v>41.002721180105254</v>
      </c>
      <c r="C66" s="125">
        <f t="shared" si="4"/>
        <v>41.938051256036331</v>
      </c>
      <c r="D66" s="125">
        <f t="shared" si="4"/>
        <v>42.901773029607163</v>
      </c>
      <c r="E66" s="125">
        <f t="shared" si="4"/>
        <v>43.895116998964816</v>
      </c>
      <c r="F66" s="125">
        <f t="shared" si="4"/>
        <v>44.919351205969669</v>
      </c>
      <c r="H66" s="121"/>
    </row>
    <row r="67" spans="1:8" ht="13.15">
      <c r="A67" s="144">
        <f t="shared" si="3"/>
        <v>10</v>
      </c>
      <c r="B67" s="125">
        <f t="shared" si="4"/>
        <v>41.911689347281673</v>
      </c>
      <c r="C67" s="125">
        <f t="shared" si="4"/>
        <v>43.910912064362115</v>
      </c>
      <c r="D67" s="125">
        <f t="shared" si="4"/>
        <v>46.114053498002825</v>
      </c>
      <c r="E67" s="125">
        <f t="shared" si="4"/>
        <v>48.545346664565017</v>
      </c>
      <c r="F67" s="125">
        <f t="shared" si="4"/>
        <v>51.231702817229042</v>
      </c>
      <c r="H67" s="121"/>
    </row>
    <row r="68" spans="1:8" ht="13.15">
      <c r="A68" s="144">
        <f t="shared" si="3"/>
        <v>15</v>
      </c>
      <c r="B68" s="125">
        <f t="shared" si="4"/>
        <v>43.036789487418147</v>
      </c>
      <c r="C68" s="125">
        <f t="shared" si="4"/>
        <v>46.482786316635185</v>
      </c>
      <c r="D68" s="125">
        <f t="shared" si="4"/>
        <v>50.532669215732369</v>
      </c>
      <c r="E68" s="125">
        <f t="shared" si="4"/>
        <v>55.306315685150956</v>
      </c>
      <c r="F68" s="125">
        <f t="shared" si="4"/>
        <v>60.947115263920722</v>
      </c>
      <c r="H68" s="121"/>
    </row>
    <row r="69" spans="1:8" ht="13.15">
      <c r="A69" s="145">
        <f t="shared" si="3"/>
        <v>20</v>
      </c>
      <c r="B69" s="125">
        <f t="shared" si="4"/>
        <v>44.183086100671517</v>
      </c>
      <c r="C69" s="125">
        <f t="shared" si="4"/>
        <v>49.250961584368191</v>
      </c>
      <c r="D69" s="125">
        <f t="shared" si="4"/>
        <v>55.573108707823991</v>
      </c>
      <c r="E69" s="125">
        <f t="shared" si="4"/>
        <v>63.503818444058048</v>
      </c>
      <c r="F69" s="125">
        <f t="shared" si="4"/>
        <v>73.499315910847926</v>
      </c>
      <c r="H69" s="121"/>
    </row>
    <row r="70" spans="1:8" ht="13.15">
      <c r="A70" s="145">
        <f t="shared" si="3"/>
        <v>25</v>
      </c>
      <c r="B70" s="125">
        <f t="shared" si="4"/>
        <v>45.249205559007244</v>
      </c>
      <c r="C70" s="125">
        <f t="shared" si="4"/>
        <v>51.977708394418876</v>
      </c>
      <c r="D70" s="125">
        <f t="shared" si="4"/>
        <v>60.855336041488009</v>
      </c>
      <c r="E70" s="125">
        <f t="shared" si="4"/>
        <v>72.679001927238588</v>
      </c>
      <c r="F70" s="125">
        <f t="shared" si="4"/>
        <v>88.552943251922756</v>
      </c>
    </row>
    <row r="71" spans="1:8" ht="13.15">
      <c r="A71" s="145">
        <f t="shared" si="3"/>
        <v>30</v>
      </c>
      <c r="B71" s="125">
        <f t="shared" si="4"/>
        <v>46.18967122719625</v>
      </c>
      <c r="C71" s="125">
        <f t="shared" si="4"/>
        <v>54.531330947074245</v>
      </c>
      <c r="D71" s="125">
        <f t="shared" si="4"/>
        <v>66.136892107452724</v>
      </c>
      <c r="E71" s="125">
        <f t="shared" si="4"/>
        <v>82.519578483423444</v>
      </c>
      <c r="F71" s="125">
        <f t="shared" si="4"/>
        <v>105.9345975976059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105.9345975976059</v>
      </c>
      <c r="F74" s="143">
        <f>Scenarios!C58</f>
        <v>0.05</v>
      </c>
    </row>
    <row r="75" spans="1:8">
      <c r="B75" s="128" t="str">
        <f>Scenarios!B36</f>
        <v>Optimistic</v>
      </c>
      <c r="C75" s="143">
        <f>Scenarios!C38</f>
        <v>0.08</v>
      </c>
      <c r="D75" s="146">
        <f>Scenarios!C37</f>
        <v>30</v>
      </c>
      <c r="E75" s="136">
        <f>INDEX(B$65:F$71, MATCH(D75, A$65:A$71, 0), MATCH(C75, B$64:F$64, 0))</f>
        <v>82.519578483423444</v>
      </c>
      <c r="F75" s="143">
        <f>Scenarios!C40*(1-F$74-F$78)</f>
        <v>0.18</v>
      </c>
      <c r="H75" s="121"/>
    </row>
    <row r="76" spans="1:8">
      <c r="B76" s="128" t="str">
        <f>Scenarios!B24</f>
        <v>Base</v>
      </c>
      <c r="C76" s="143">
        <f>Scenarios!C26</f>
        <v>0.06</v>
      </c>
      <c r="D76" s="146">
        <f>Scenarios!C25</f>
        <v>30</v>
      </c>
      <c r="E76" s="136">
        <f>INDEX(B$65:F$71, MATCH(D76, A$65:A$71, 0), MATCH(C76, B$64:F$64, 0))</f>
        <v>66.136892107452724</v>
      </c>
      <c r="F76" s="143">
        <f>Scenarios!C28*(1-F$74-F$78)</f>
        <v>0.44999999999999996</v>
      </c>
      <c r="H76" s="121"/>
    </row>
    <row r="77" spans="1:8">
      <c r="B77" s="128" t="str">
        <f>Scenarios!B30</f>
        <v>Pessimistic</v>
      </c>
      <c r="C77" s="143">
        <f>Scenarios!C32</f>
        <v>0.04</v>
      </c>
      <c r="D77" s="146">
        <f>Scenarios!C31</f>
        <v>30</v>
      </c>
      <c r="E77" s="136">
        <f>INDEX(B$65:F$71, MATCH(D77, A$65:A$71, 0), MATCH(C77, B$64:F$64, 0))</f>
        <v>54.531330947074245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46.18967122719625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-56.45</v>
      </c>
    </row>
    <row r="4" spans="2:9">
      <c r="B4" s="153" t="s">
        <v>147</v>
      </c>
      <c r="C4" s="121">
        <v>3</v>
      </c>
      <c r="D4" s="121"/>
      <c r="E4" s="156" t="s">
        <v>151</v>
      </c>
      <c r="F4" s="156"/>
      <c r="H4" s="276">
        <v>1</v>
      </c>
      <c r="I4" s="264">
        <f t="shared" ref="I4:I13" si="0">IF(ROW()-3 &lt; $C$76, $C$77, IF(ROW()-3 = $C$76, $C$77 + $C$60, ""))</f>
        <v>2.0617122197608295</v>
      </c>
    </row>
    <row r="5" spans="2:9">
      <c r="H5" s="276">
        <v>2</v>
      </c>
      <c r="I5" s="264">
        <f t="shared" si="0"/>
        <v>2.0617122197608295</v>
      </c>
    </row>
    <row r="6" spans="2:9" ht="13.15">
      <c r="B6" s="160" t="s">
        <v>96</v>
      </c>
      <c r="C6" s="107">
        <f>Valuation_Model!C3</f>
        <v>1</v>
      </c>
      <c r="E6" s="100" t="s">
        <v>282</v>
      </c>
      <c r="F6" s="100"/>
      <c r="H6" s="276">
        <v>3</v>
      </c>
      <c r="I6" s="264">
        <f t="shared" si="0"/>
        <v>69.006510592080929</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3155179383.3184395</v>
      </c>
      <c r="D8" t="str">
        <f>Reporting_currency</f>
        <v>CNY</v>
      </c>
      <c r="E8" s="350"/>
      <c r="F8" s="350"/>
      <c r="H8" s="276">
        <v>5</v>
      </c>
      <c r="I8" s="264" t="str">
        <f t="shared" si="0"/>
        <v/>
      </c>
    </row>
    <row r="9" spans="2:9">
      <c r="B9" s="100" t="s">
        <v>57</v>
      </c>
      <c r="C9" s="201">
        <f>Normalized_FCF!C19</f>
        <v>2878634237.2479687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0.22851324060700184</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56.45</v>
      </c>
      <c r="D21" t="str">
        <f>Market_currency</f>
        <v>HKD</v>
      </c>
      <c r="E21" s="351"/>
      <c r="F21" s="351"/>
    </row>
    <row r="22" spans="2:6">
      <c r="B22" s="100" t="s">
        <v>281</v>
      </c>
      <c r="C22" s="161">
        <f>Valuation_Model!C12</f>
        <v>40.094589258920792</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66.136892107452724</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54.531330947074245</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82.519578483423444</v>
      </c>
      <c r="D39" t="str">
        <f>Market_currency</f>
        <v>HKD</v>
      </c>
      <c r="E39" s="349"/>
      <c r="F39" s="349"/>
    </row>
    <row r="40" spans="2:6">
      <c r="B40" s="100" t="s">
        <v>148</v>
      </c>
      <c r="C40" s="168">
        <f>1-C28-C34</f>
        <v>0.2</v>
      </c>
      <c r="D40" s="166"/>
      <c r="E40" s="349"/>
      <c r="F40" s="349"/>
    </row>
    <row r="42" spans="2:6" ht="13.15">
      <c r="B42" s="100" t="s">
        <v>121</v>
      </c>
      <c r="C42" s="155">
        <f>C27*C28+C33*C34+C39*C40</f>
        <v>65.931761034533324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46.18967122719625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105.9345975976059</v>
      </c>
      <c r="D57" t="str">
        <f>Market_currency</f>
        <v>HKD</v>
      </c>
      <c r="E57" s="349"/>
      <c r="F57" s="349"/>
    </row>
    <row r="58" spans="2:6">
      <c r="B58" s="100" t="s">
        <v>148</v>
      </c>
      <c r="C58" s="166">
        <v>0.05</v>
      </c>
      <c r="D58" s="166"/>
      <c r="E58" s="349"/>
      <c r="F58" s="349"/>
    </row>
    <row r="60" spans="2:6" ht="13.15">
      <c r="B60" s="100" t="s">
        <v>121</v>
      </c>
      <c r="C60" s="155">
        <f>C51*C52+C57*C58+C42*(1-C52-C58)</f>
        <v>66.944798372320093</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66.942986891315115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0.17848669583450025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2.0617122197608295</v>
      </c>
      <c r="D77" t="str">
        <f>Market_currency</f>
        <v>HKD</v>
      </c>
    </row>
    <row r="79" spans="2:6" ht="13.15">
      <c r="B79" s="109" t="s">
        <v>308</v>
      </c>
    </row>
    <row r="80" spans="2:6">
      <c r="B80" s="149" t="s">
        <v>306</v>
      </c>
      <c r="C80" s="168">
        <f>Thesis!C127</f>
        <v>0.3</v>
      </c>
    </row>
    <row r="81" spans="2:8">
      <c r="B81" s="100" t="s">
        <v>122</v>
      </c>
      <c r="C81" s="117">
        <f>PV(C80, C76, -C77, 0)</f>
        <v>3.7443021196384669</v>
      </c>
      <c r="D81" s="117"/>
      <c r="E81" s="100"/>
      <c r="F81" s="100"/>
    </row>
    <row r="82" spans="2:8">
      <c r="B82" s="100" t="s">
        <v>123</v>
      </c>
      <c r="C82" s="117">
        <f>C60/(1+C80)^C76</f>
        <v>30.471005176294984</v>
      </c>
      <c r="D82" s="117"/>
    </row>
    <row r="83" spans="2:8" ht="13.15">
      <c r="B83" s="111" t="s">
        <v>102</v>
      </c>
      <c r="C83" s="112">
        <f>C81+C82</f>
        <v>34.215307295933449</v>
      </c>
      <c r="D83" t="str">
        <f>Market_currency</f>
        <v>HKD</v>
      </c>
      <c r="E83" s="147" t="s">
        <v>127</v>
      </c>
      <c r="F83" s="329">
        <f>(1-C83/C60)</f>
        <v>0.48890267611769256</v>
      </c>
    </row>
    <row r="84" spans="2:8">
      <c r="E84" s="121"/>
    </row>
    <row r="85" spans="2:8" ht="13.15">
      <c r="B85" s="109" t="s">
        <v>309</v>
      </c>
    </row>
    <row r="86" spans="2:8">
      <c r="B86" s="149" t="s">
        <v>307</v>
      </c>
      <c r="C86" s="266">
        <f>Market_Price</f>
        <v>56.45</v>
      </c>
      <c r="D86" t="str">
        <f>Market_currency</f>
        <v>HKD</v>
      </c>
    </row>
    <row r="87" spans="2:8" ht="13.15">
      <c r="B87" s="100" t="s">
        <v>305</v>
      </c>
      <c r="C87" s="265">
        <f ca="1">IRR(OFFSET($I$3, 0, 0, $C$76 + 1, 1))</f>
        <v>9.3068045296727409E-2</v>
      </c>
    </row>
    <row r="88" spans="2:8">
      <c r="B88" s="100"/>
    </row>
    <row r="89" spans="2:8" ht="13.15">
      <c r="B89" s="109" t="s">
        <v>422</v>
      </c>
    </row>
    <row r="90" spans="2:8">
      <c r="B90" s="149" t="s">
        <v>423</v>
      </c>
      <c r="C90" s="168">
        <f>Thesis!E19</f>
        <v>0.2</v>
      </c>
    </row>
    <row r="91" spans="2:8">
      <c r="B91" s="100" t="s">
        <v>122</v>
      </c>
      <c r="C91" s="117">
        <f>PV(C90, C76, -C77, 0)</f>
        <v>4.3429586110702658</v>
      </c>
      <c r="D91" s="117"/>
      <c r="E91" s="100"/>
      <c r="F91" s="100"/>
    </row>
    <row r="92" spans="2:8">
      <c r="B92" s="100" t="s">
        <v>123</v>
      </c>
      <c r="C92" s="117">
        <f>C60/(1+C90)^C76</f>
        <v>38.741202761759311</v>
      </c>
      <c r="D92" s="117"/>
    </row>
    <row r="93" spans="2:8" ht="13.15">
      <c r="B93" s="111" t="s">
        <v>102</v>
      </c>
      <c r="C93" s="112">
        <f>C91+C92</f>
        <v>43.084161372829577</v>
      </c>
      <c r="D93" t="str">
        <f>Market_currency</f>
        <v>HKD</v>
      </c>
      <c r="E93" s="147" t="s">
        <v>127</v>
      </c>
      <c r="F93" s="329">
        <f>(1-C93/C60)</f>
        <v>0.35642256873771183</v>
      </c>
    </row>
    <row r="95" spans="2:8" ht="13.15">
      <c r="B95" s="109" t="s">
        <v>405</v>
      </c>
      <c r="G95" s="2"/>
      <c r="H95" s="316"/>
    </row>
    <row r="96" spans="2:8">
      <c r="B96" s="149" t="s">
        <v>411</v>
      </c>
      <c r="C96" s="135">
        <f>Thesis!C67</f>
        <v>0.08</v>
      </c>
      <c r="G96" s="2"/>
      <c r="H96" s="316"/>
    </row>
    <row r="97" spans="2:8">
      <c r="B97" s="100" t="s">
        <v>122</v>
      </c>
      <c r="C97" s="117">
        <f>PV(C96, C76, -C77, 0)</f>
        <v>5.3132323501177732</v>
      </c>
      <c r="D97" s="117"/>
      <c r="G97" s="2"/>
      <c r="H97" s="316"/>
    </row>
    <row r="98" spans="2:8">
      <c r="B98" s="100" t="s">
        <v>123</v>
      </c>
      <c r="C98" s="117">
        <f>C60/(1+C96)^C76</f>
        <v>53.142939316542261</v>
      </c>
      <c r="D98" s="117"/>
      <c r="G98" s="2"/>
      <c r="H98" s="316"/>
    </row>
    <row r="99" spans="2:8" ht="13.15">
      <c r="B99" s="111" t="s">
        <v>406</v>
      </c>
      <c r="C99" s="112">
        <f>C97+C98</f>
        <v>58.456171666660033</v>
      </c>
      <c r="D99" t="s">
        <v>404</v>
      </c>
      <c r="E99" s="147" t="s">
        <v>127</v>
      </c>
      <c r="F99" s="329">
        <f>(1-C99/C60)</f>
        <v>0.1268003924434834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