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9619C0-9C4E-40E8-9FBC-812B218EB13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<sst xmlns="http://schemas.openxmlformats.org/spreadsheetml/2006/main" count="836" uniqueCount="560">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</sst>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52.35</v>
      </c>
      <c r="D12" s="50"/>
      <c r="E12" s="48"/>
    </row>
    <row r="13" spans="1:10">
      <c r="B13" s="1" t="s">
        <v>486</v>
      </c>
      <c r="C13" s="32" t="str">
        <f>Market_currency</f>
        <v>HKD</v>
      </c>
      <c r="D13" s="48"/>
      <c r="E13" s="5"/>
    </row>
    <row r="14" spans="1:10">
      <c r="B14" s="4" t="s">
        <v>487</v>
      </c>
      <c r="C14" s="35">
        <f>投资主题!C12*Common_Shares/1000000</f>
        <v>71415.701851799997</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73.099598136044207</v>
      </c>
      <c r="D26" s="1" t="s">
        <v>447</v>
      </c>
      <c r="E26" s="301">
        <f ca="1">Scenarios!C87</f>
        <v>0.14881263472361206</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32.77722313331271</v>
      </c>
      <c r="D29" s="310" t="str">
        <f>D149</f>
        <v/>
      </c>
      <c r="E29" s="306" t="s">
        <v>456</v>
      </c>
      <c r="F29" s="362">
        <f>Thesis!F29</f>
        <v>0.35</v>
      </c>
    </row>
    <row r="30" spans="2:6">
      <c r="B30" s="1" t="s">
        <v>451</v>
      </c>
      <c r="C30" s="311">
        <f>C157</f>
        <v>40.956576192710905</v>
      </c>
      <c r="D30" s="311" t="str">
        <f>D157</f>
        <v/>
      </c>
      <c r="E30" s="307" t="s">
        <v>455</v>
      </c>
      <c r="F30" s="224">
        <f>Thesis!F30</f>
        <v>0.25</v>
      </c>
    </row>
    <row r="31" spans="2:6">
      <c r="B31" s="1" t="s">
        <v>452</v>
      </c>
      <c r="C31" s="311">
        <f>C165</f>
        <v>63.54453221224442</v>
      </c>
      <c r="D31" s="311" t="str">
        <f>D165</f>
        <v/>
      </c>
      <c r="E31" s="307" t="s">
        <v>492</v>
      </c>
      <c r="F31" s="224">
        <f>Thesis!F31</f>
        <v>7.4999999999999997E-2</v>
      </c>
    </row>
    <row r="32" spans="2:6">
      <c r="B32" s="1" t="s">
        <v>453</v>
      </c>
      <c r="C32" s="311">
        <f>C173</f>
        <v>56.757335438561789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177050326.62966841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155213272.62966841</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-1008320335.7343557</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3154768990.6296682</v>
      </c>
      <c r="D67" s="1" t="str">
        <f>Reporting_currency</f>
        <v>CNY</v>
      </c>
    </row>
    <row r="68" spans="1:6">
      <c r="B68" s="47" t="s">
        <v>244</v>
      </c>
      <c r="C68" s="349">
        <f>Normalized_FCF!C19</f>
        <v>2878326442.73139</v>
      </c>
      <c r="D68" s="1" t="str">
        <f>Reporting_currency</f>
        <v>CNY</v>
      </c>
    </row>
    <row r="69" spans="1:6">
      <c r="B69" s="227" t="s">
        <v>371</v>
      </c>
      <c r="C69" s="92">
        <f>Normalized_FCF!C126</f>
        <v>4.4133469768303235E-2</v>
      </c>
      <c r="F69" s="314"/>
    </row>
    <row r="70" spans="1:6">
      <c r="B70" s="227" t="s">
        <v>435</v>
      </c>
      <c r="C70" s="92">
        <f>Normalized_FCF!C94</f>
        <v>3.4540352872534631E-2</v>
      </c>
      <c r="E70" s="47" t="s">
        <v>504</v>
      </c>
      <c r="F70" s="315">
        <f>Normalized_FCF!C92</f>
        <v>0.95222136569830174</v>
      </c>
    </row>
    <row r="72" spans="1:6">
      <c r="B72" s="210" t="s">
        <v>514</v>
      </c>
      <c r="C72" s="323" t="s">
        <v>430</v>
      </c>
      <c r="D72" s="323" t="s">
        <v>505</v>
      </c>
    </row>
    <row r="73" spans="1:6">
      <c r="B73" s="47" t="s">
        <v>429</v>
      </c>
      <c r="C73" s="92">
        <f>Normalized_FCF!C121</f>
        <v>0.13507512410778424</v>
      </c>
      <c r="D73" s="92">
        <f>Normalized_FCF!G121</f>
        <v>0.15711152337505516</v>
      </c>
    </row>
    <row r="74" spans="1:6">
      <c r="B74" s="259" t="str">
        <f>Normalized_FCF!B118</f>
        <v>Pre-tax Profit/Sales</v>
      </c>
      <c r="C74" s="322">
        <f>Normalized_FCF!C118</f>
        <v>0.1256349440123864</v>
      </c>
      <c r="D74" s="322">
        <f>Normalized_FCF!G118</f>
        <v>0.14597370502073684</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30.80516189827566</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0.229083165819295</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12817786757.805756</v>
      </c>
      <c r="D109" s="1" t="str">
        <f>Reporting_currency</f>
        <v>CNY</v>
      </c>
    </row>
    <row r="110" spans="2:6">
      <c r="B110" s="47" t="s">
        <v>277</v>
      </c>
      <c r="C110" s="223">
        <f>C109*scaling_factor*Exchange_Rate/Common_Shares</f>
        <v>10.288634839758217</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2.2117253211673371</v>
      </c>
      <c r="D114" s="1" t="str">
        <f>Market_currency</f>
        <v>HKD</v>
      </c>
    </row>
    <row r="116" spans="1:6">
      <c r="B116" s="371" t="s">
        <v>517</v>
      </c>
      <c r="C116" s="371"/>
      <c r="D116" s="371"/>
      <c r="E116" s="371"/>
      <c r="F116" s="371"/>
    </row>
    <row r="118" spans="1:6">
      <c r="B118" s="47" t="s">
        <v>518</v>
      </c>
      <c r="C118" s="223">
        <f>IF(valuation_method="DCF",DCF!C12,DDM!C7)</f>
        <v>43.076438893381919</v>
      </c>
      <c r="D118" s="1" t="str">
        <f>Market_currency</f>
        <v>HKD</v>
      </c>
    </row>
    <row r="119" spans="1:6">
      <c r="B119" s="296" t="s">
        <v>551</v>
      </c>
      <c r="C119" s="223">
        <f>BS!D47</f>
        <v>1.36100023330388</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117.1 HKD</v>
      </c>
      <c r="F126" s="232">
        <f>DCF!F74</f>
        <v>0.05</v>
      </c>
    </row>
    <row r="127" spans="1:6">
      <c r="B127" s="218" t="str">
        <f>DCF!B75</f>
        <v>Optimistic</v>
      </c>
      <c r="C127" s="219">
        <f>DCF!C75</f>
        <v>0.08</v>
      </c>
      <c r="D127" s="220">
        <f>DCF!D75</f>
        <v>30</v>
      </c>
      <c r="E127" s="231" t="str">
        <f>ROUND(IF(valuation_method="DCF",DCF!E75,DDM!E70),2)&amp;" "&amp;Market_currency</f>
        <v>90.61 HKD</v>
      </c>
      <c r="F127" s="221">
        <f>DCF!F75</f>
        <v>0.18</v>
      </c>
    </row>
    <row r="128" spans="1:6">
      <c r="B128" s="218" t="str">
        <f>DCF!B76</f>
        <v>Base</v>
      </c>
      <c r="C128" s="219">
        <f>DCF!C76</f>
        <v>0.06</v>
      </c>
      <c r="D128" s="220">
        <f>DCF!D76</f>
        <v>30</v>
      </c>
      <c r="E128" s="231" t="str">
        <f>ROUND(IF(valuation_method="DCF",DCF!E76,DDM!E71),2)&amp;" "&amp;Market_currency</f>
        <v>72.16 HKD</v>
      </c>
      <c r="F128" s="221">
        <f>DCF!F76</f>
        <v>0.44999999999999996</v>
      </c>
    </row>
    <row r="129" spans="1:6">
      <c r="B129" s="218" t="str">
        <f>DCF!B77</f>
        <v>Pessimistic</v>
      </c>
      <c r="C129" s="219">
        <f>DCF!C77</f>
        <v>0.04</v>
      </c>
      <c r="D129" s="220">
        <f>DCF!D77</f>
        <v>30</v>
      </c>
      <c r="E129" s="231" t="str">
        <f>ROUND(IF(valuation_method="DCF",DCF!E77,DDM!E72),2)&amp;" "&amp;Market_currency</f>
        <v>59.15 HKD</v>
      </c>
      <c r="F129" s="221">
        <f>DCF!F77</f>
        <v>0.26999999999999996</v>
      </c>
    </row>
    <row r="130" spans="1:6">
      <c r="B130" s="218" t="str">
        <f>DCF!B78</f>
        <v>Devil's advocate</v>
      </c>
      <c r="C130" s="219">
        <f>DCF!C78</f>
        <v>0.02</v>
      </c>
      <c r="D130" s="220">
        <f>DCF!D78</f>
        <v>30</v>
      </c>
      <c r="E130" s="231" t="str">
        <f>ROUND(IF(valuation_method="DCF",DCF!E78,DDM!E73),2)&amp;" "&amp;Market_currency</f>
        <v>49.84 HKD</v>
      </c>
      <c r="F130" s="221">
        <f>DCF!F78</f>
        <v>0.05</v>
      </c>
    </row>
    <row r="132" spans="1:6">
      <c r="B132" s="211" t="s">
        <v>254</v>
      </c>
      <c r="C132" s="217">
        <f>Scenarios!C60</f>
        <v>73.099598136044207</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1.8081874728771878</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3.0664684166357028</v>
      </c>
    </row>
    <row r="148" spans="2:4">
      <c r="B148" s="212" t="str">
        <f>"+ PV(Equity Value realized at year "&amp;C141&amp;")"</f>
        <v>+ PV(Equity Value realized at year 3)</v>
      </c>
      <c r="C148" s="216">
        <f>Scenarios!C82</f>
        <v>29.710754716677009</v>
      </c>
    </row>
    <row r="149" spans="2:4">
      <c r="B149" s="80" t="s">
        <v>256</v>
      </c>
      <c r="C149" s="215">
        <f>Scenarios!C83</f>
        <v>32.77722313331271</v>
      </c>
      <c r="D149" s="300" t="str">
        <f>IF($D$11="","",C149*$E$25)</f>
        <v/>
      </c>
    </row>
    <row r="150" spans="2:4">
      <c r="B150" s="259" t="s">
        <v>533</v>
      </c>
      <c r="C150" s="298" t="str">
        <f>Market_currency</f>
        <v>HKD</v>
      </c>
      <c r="D150" s="298" t="str">
        <f>IF($D$11="","",D$13)</f>
        <v/>
      </c>
    </row>
    <row r="151" spans="2:4">
      <c r="B151" s="214" t="s">
        <v>534</v>
      </c>
      <c r="C151" s="92">
        <f>Scenarios!F83</f>
        <v>0.55160870963597264</v>
      </c>
    </row>
    <row r="153" spans="2:4">
      <c r="B153" s="210" t="s">
        <v>391</v>
      </c>
    </row>
    <row r="154" spans="2:4">
      <c r="B154" s="1" t="s">
        <v>390</v>
      </c>
      <c r="C154" s="297">
        <f>Scenarios!C90</f>
        <v>0.25</v>
      </c>
    </row>
    <row r="155" spans="2:4">
      <c r="B155" s="212" t="str">
        <f>"PV("&amp;C141&amp;" yrs of Dividends)"</f>
        <v>PV(3 yrs of Dividends)</v>
      </c>
      <c r="C155" s="216">
        <f>Scenarios!C91</f>
        <v>3.5295819470562706</v>
      </c>
    </row>
    <row r="156" spans="2:4">
      <c r="B156" s="212" t="str">
        <f>"+ PV(Equity Value realized at year "&amp;C141&amp;")"</f>
        <v>+ PV(Equity Value realized at year 3)</v>
      </c>
      <c r="C156" s="216">
        <f>Scenarios!C92</f>
        <v>37.426994245654633</v>
      </c>
    </row>
    <row r="157" spans="2:4">
      <c r="B157" s="80" t="s">
        <v>256</v>
      </c>
      <c r="C157" s="215">
        <f>Scenarios!C93</f>
        <v>40.956576192710905</v>
      </c>
      <c r="D157" s="300" t="str">
        <f>IF($D$11="","",C157*$E$25)</f>
        <v/>
      </c>
    </row>
    <row r="158" spans="2:4">
      <c r="B158" s="259" t="s">
        <v>533</v>
      </c>
      <c r="C158" s="298" t="str">
        <f>Market_currency</f>
        <v>HKD</v>
      </c>
      <c r="D158" s="298" t="str">
        <f>IF($D$11="","",D$13)</f>
        <v/>
      </c>
    </row>
    <row r="159" spans="2:4">
      <c r="B159" s="214" t="s">
        <v>534</v>
      </c>
      <c r="C159" s="92">
        <f>Scenarios!F93</f>
        <v>0.43971543979643446</v>
      </c>
    </row>
    <row r="161" spans="2:4">
      <c r="B161" s="210" t="s">
        <v>381</v>
      </c>
    </row>
    <row r="162" spans="2:4">
      <c r="B162" s="1" t="s">
        <v>389</v>
      </c>
      <c r="C162" s="92">
        <f>Scenarios!C96</f>
        <v>7.4999999999999997E-2</v>
      </c>
    </row>
    <row r="163" spans="2:4">
      <c r="B163" s="212" t="str">
        <f>"PV("&amp;C141&amp;" yrs of Dividends)"</f>
        <v>PV(3 yrs of Dividends)</v>
      </c>
      <c r="C163" s="216">
        <f>Scenarios!C97</f>
        <v>4.7022380657311578</v>
      </c>
    </row>
    <row r="164" spans="2:4">
      <c r="B164" s="212" t="str">
        <f>"+ PV(Equity Value realized at year "&amp;C141&amp;")"</f>
        <v>+ PV(Equity Value realized at year 3)</v>
      </c>
      <c r="C164" s="216">
        <f>Scenarios!C98</f>
        <v>58.842294146513261</v>
      </c>
    </row>
    <row r="165" spans="2:4">
      <c r="B165" s="80" t="s">
        <v>382</v>
      </c>
      <c r="C165" s="215">
        <f>Scenarios!C99</f>
        <v>63.54453221224442</v>
      </c>
      <c r="D165" s="300" t="str">
        <f>IF($D$11="","",C165*$E$25)</f>
        <v/>
      </c>
    </row>
    <row r="166" spans="2:4">
      <c r="B166" s="259" t="s">
        <v>533</v>
      </c>
      <c r="C166" s="298" t="str">
        <f>Market_currency</f>
        <v>HKD</v>
      </c>
      <c r="D166" s="298" t="str">
        <f>IF($D$11="","",D$13)</f>
        <v/>
      </c>
    </row>
    <row r="167" spans="2:4">
      <c r="B167" s="214" t="s">
        <v>534</v>
      </c>
      <c r="C167" s="92">
        <f>Scenarios!F99</f>
        <v>0.13071297472822008</v>
      </c>
    </row>
    <row r="169" spans="2:4">
      <c r="B169" s="210" t="s">
        <v>409</v>
      </c>
    </row>
    <row r="170" spans="2:4">
      <c r="B170" s="1" t="s">
        <v>400</v>
      </c>
      <c r="C170" s="92">
        <f>F32</f>
        <v>0.1174</v>
      </c>
    </row>
    <row r="171" spans="2:4">
      <c r="B171" s="212" t="str">
        <f>"PV("&amp;C141&amp;" yrs of Dividends)"</f>
        <v>PV(3 yrs of Dividends)</v>
      </c>
      <c r="C171" s="216">
        <f>Scenarios!C103</f>
        <v>4.3624387493466097</v>
      </c>
    </row>
    <row r="172" spans="2:4">
      <c r="B172" s="212" t="str">
        <f>"+ PV(Equity Value realized at year "&amp;C141&amp;")"</f>
        <v>+ PV(Equity Value realized at year 3)</v>
      </c>
      <c r="C172" s="216">
        <f>Scenarios!C104</f>
        <v>52.39489668921518</v>
      </c>
    </row>
    <row r="173" spans="2:4">
      <c r="B173" s="80" t="s">
        <v>382</v>
      </c>
      <c r="C173" s="215">
        <f>Scenarios!C105</f>
        <v>56.757335438561789</v>
      </c>
      <c r="D173" s="300" t="str">
        <f>IF($D$11="","",C173*$E$25)</f>
        <v/>
      </c>
    </row>
    <row r="174" spans="2:4">
      <c r="B174" s="259" t="s">
        <v>533</v>
      </c>
      <c r="C174" s="298" t="str">
        <f>Market_currency</f>
        <v>HKD</v>
      </c>
      <c r="D174" s="298" t="str">
        <f>IF($D$11="","",D$13)</f>
        <v/>
      </c>
    </row>
    <row r="175" spans="2:4">
      <c r="B175" s="214" t="s">
        <v>534</v>
      </c>
      <c r="C175" s="92">
        <f>Scenarios!F105</f>
        <v>0.223208111923618</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52.35</v>
      </c>
      <c r="D12" s="50"/>
      <c r="E12" s="48"/>
    </row>
    <row r="13" spans="1:10">
      <c r="B13" s="1" t="s">
        <v>465</v>
      </c>
      <c r="C13" s="48" t="s">
        <v>377</v>
      </c>
      <c r="D13" s="48"/>
      <c r="E13" s="5"/>
    </row>
    <row r="14" spans="1:10">
      <c r="B14" s="4" t="s">
        <v>466</v>
      </c>
      <c r="C14" s="35">
        <f>Thesis!C12*Common_Shares/1000000</f>
        <v>71415.701851799997</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1.0950192000000001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73.099598136044207</v>
      </c>
      <c r="D26" s="1" t="s">
        <v>380</v>
      </c>
      <c r="E26" s="301">
        <f ca="1">Scenarios!C87</f>
        <v>0.14881263472361206</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32.77722313331271</v>
      </c>
      <c r="D29" s="310" t="str">
        <f>D149</f>
        <v/>
      </c>
      <c r="E29" s="306" t="s">
        <v>401</v>
      </c>
      <c r="F29" s="302">
        <v>0.35</v>
      </c>
    </row>
    <row r="30" spans="2:6">
      <c r="B30" s="1" t="s">
        <v>403</v>
      </c>
      <c r="C30" s="311">
        <f>C157</f>
        <v>40.956576192710905</v>
      </c>
      <c r="D30" s="311" t="str">
        <f>D157</f>
        <v/>
      </c>
      <c r="E30" s="307" t="s">
        <v>414</v>
      </c>
      <c r="F30" s="312">
        <v>0.25</v>
      </c>
    </row>
    <row r="31" spans="2:6">
      <c r="B31" s="1" t="s">
        <v>404</v>
      </c>
      <c r="C31" s="311">
        <f>C165</f>
        <v>63.54453221224442</v>
      </c>
      <c r="D31" s="311" t="str">
        <f>D165</f>
        <v/>
      </c>
      <c r="E31" s="307" t="s">
        <v>413</v>
      </c>
      <c r="F31" s="312">
        <v>7.4999999999999997E-2</v>
      </c>
    </row>
    <row r="32" spans="2:6">
      <c r="B32" s="1" t="s">
        <v>405</v>
      </c>
      <c r="C32" s="311">
        <f>C173</f>
        <v>56.757335438561789</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177050326.62966841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155213272.62966841</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-1008320335.7343557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3154768990.6296682</v>
      </c>
      <c r="D67" s="1" t="str">
        <f>Reporting_currency</f>
        <v>CNY</v>
      </c>
    </row>
    <row r="68" spans="1:6">
      <c r="B68" s="47" t="s">
        <v>244</v>
      </c>
      <c r="C68" s="349">
        <f>Normalized_FCF!C19</f>
        <v>2878326442.73139</v>
      </c>
      <c r="D68" s="1" t="str">
        <f>Reporting_currency</f>
        <v>CNY</v>
      </c>
    </row>
    <row r="69" spans="1:6">
      <c r="B69" s="227" t="s">
        <v>371</v>
      </c>
      <c r="C69" s="92">
        <f>Normalized_FCF!C126</f>
        <v>4.4133469768303235E-2</v>
      </c>
      <c r="F69" s="314"/>
    </row>
    <row r="70" spans="1:6">
      <c r="B70" s="227" t="s">
        <v>435</v>
      </c>
      <c r="C70" s="92">
        <f>Normalized_FCF!C94</f>
        <v>3.4540352872534631E-2</v>
      </c>
      <c r="E70" s="47" t="s">
        <v>425</v>
      </c>
      <c r="F70" s="315">
        <f>Normalized_FCF!C92</f>
        <v>0.95222136569830174</v>
      </c>
    </row>
    <row r="72" spans="1:6">
      <c r="B72" s="210" t="s">
        <v>428</v>
      </c>
      <c r="C72" s="323" t="s">
        <v>430</v>
      </c>
      <c r="D72" s="323" t="s">
        <v>431</v>
      </c>
    </row>
    <row r="73" spans="1:6">
      <c r="B73" s="47" t="s">
        <v>429</v>
      </c>
      <c r="C73" s="92">
        <f>Normalized_FCF!C121</f>
        <v>0.13507512410778424</v>
      </c>
      <c r="D73" s="92">
        <f>Normalized_FCF!G121</f>
        <v>0.15711152337505516</v>
      </c>
    </row>
    <row r="74" spans="1:6">
      <c r="B74" s="259" t="str">
        <f>Normalized_FCF!B118</f>
        <v>Pre-tax Profit/Sales</v>
      </c>
      <c r="C74" s="322">
        <f>Normalized_FCF!C118</f>
        <v>0.1256349440123864</v>
      </c>
      <c r="D74" s="322">
        <f>Normalized_FCF!G118</f>
        <v>0.14597370502073684</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30.80516189827566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0.229083165819295</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12817786757.805756</v>
      </c>
      <c r="D109" s="1" t="str">
        <f>Reporting_currency</f>
        <v>CNY</v>
      </c>
    </row>
    <row r="110" spans="2:6">
      <c r="B110" s="47" t="s">
        <v>277</v>
      </c>
      <c r="C110" s="223">
        <f>C109*scaling_factor*Exchange_Rate/Common_Shares</f>
        <v>10.288634839758217</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2.2117253211673371</v>
      </c>
      <c r="D114" s="1" t="str">
        <f>Market_currency</f>
        <v>HKD</v>
      </c>
    </row>
    <row r="116" spans="1:6" ht="24.6" customHeight="1">
      <c r="B116" s="371" t="s">
        <v>352</v>
      </c>
      <c r="C116" s="371"/>
      <c r="D116" s="371"/>
      <c r="E116" s="371"/>
      <c r="F116" s="371"/>
    </row>
    <row r="118" spans="1:6">
      <c r="B118" s="47" t="s">
        <v>426</v>
      </c>
      <c r="C118" s="223">
        <f>IF(valuation_method="DCF",DCF!C12,DDM!C7)</f>
        <v>43.076438893381919</v>
      </c>
      <c r="D118" s="1" t="str">
        <f>Market_currency</f>
        <v>HKD</v>
      </c>
    </row>
    <row r="119" spans="1:6">
      <c r="B119" s="296" t="s">
        <v>550</v>
      </c>
      <c r="C119" s="223">
        <f>BS!D47</f>
        <v>1.36100023330388</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117.1 HKD</v>
      </c>
      <c r="F126" s="232">
        <f>DCF!F74</f>
        <v>0.05</v>
      </c>
    </row>
    <row r="127" spans="1:6">
      <c r="B127" s="218" t="str">
        <f>DCF!B75</f>
        <v>Optimistic</v>
      </c>
      <c r="C127" s="219">
        <f>DCF!C75</f>
        <v>0.08</v>
      </c>
      <c r="D127" s="220">
        <f>DCF!D75</f>
        <v>30</v>
      </c>
      <c r="E127" s="231" t="str">
        <f>ROUND(IF(valuation_method="DCF",DCF!E75,DDM!E70),2)&amp;" "&amp;Market_currency</f>
        <v>90.61 HKD</v>
      </c>
      <c r="F127" s="221">
        <f>DCF!F75</f>
        <v>0.18</v>
      </c>
    </row>
    <row r="128" spans="1:6">
      <c r="B128" s="218" t="str">
        <f>DCF!B76</f>
        <v>Base</v>
      </c>
      <c r="C128" s="219">
        <f>DCF!C76</f>
        <v>0.06</v>
      </c>
      <c r="D128" s="220">
        <f>DCF!D76</f>
        <v>30</v>
      </c>
      <c r="E128" s="231" t="str">
        <f>ROUND(IF(valuation_method="DCF",DCF!E76,DDM!E71),2)&amp;" "&amp;Market_currency</f>
        <v>72.16 HKD</v>
      </c>
      <c r="F128" s="221">
        <f>DCF!F76</f>
        <v>0.44999999999999996</v>
      </c>
    </row>
    <row r="129" spans="1:6">
      <c r="B129" s="218" t="str">
        <f>DCF!B77</f>
        <v>Pessimistic</v>
      </c>
      <c r="C129" s="219">
        <f>DCF!C77</f>
        <v>0.04</v>
      </c>
      <c r="D129" s="220">
        <f>DCF!D77</f>
        <v>30</v>
      </c>
      <c r="E129" s="231" t="str">
        <f>ROUND(IF(valuation_method="DCF",DCF!E77,DDM!E72),2)&amp;" "&amp;Market_currency</f>
        <v>59.15 HKD</v>
      </c>
      <c r="F129" s="221">
        <f>DCF!F77</f>
        <v>0.26999999999999996</v>
      </c>
    </row>
    <row r="130" spans="1:6">
      <c r="B130" s="218" t="str">
        <f>DCF!B78</f>
        <v>Devil's advocate</v>
      </c>
      <c r="C130" s="219">
        <f>DCF!C78</f>
        <v>0.02</v>
      </c>
      <c r="D130" s="220">
        <f>DCF!D78</f>
        <v>30</v>
      </c>
      <c r="E130" s="231" t="str">
        <f>ROUND(IF(valuation_method="DCF",DCF!E78,DDM!E73),2)&amp;" "&amp;Market_currency</f>
        <v>49.84 HKD</v>
      </c>
      <c r="F130" s="221">
        <f>DCF!F78</f>
        <v>0.05</v>
      </c>
    </row>
    <row r="132" spans="1:6">
      <c r="B132" s="211" t="s">
        <v>254</v>
      </c>
      <c r="C132" s="217">
        <f>Scenarios!C60</f>
        <v>73.099598136044207</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1.8081874728771878</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3.0664684166357028</v>
      </c>
    </row>
    <row r="148" spans="2:4">
      <c r="B148" s="212" t="str">
        <f>"+ PV(Equity Value realized at year "&amp;C141&amp;")"</f>
        <v>+ PV(Equity Value realized at year 3)</v>
      </c>
      <c r="C148" s="216">
        <f>Scenarios!C82</f>
        <v>29.710754716677009</v>
      </c>
    </row>
    <row r="149" spans="2:4">
      <c r="B149" s="80" t="s">
        <v>256</v>
      </c>
      <c r="C149" s="215">
        <f>Scenarios!C83</f>
        <v>32.77722313331271</v>
      </c>
      <c r="D149" s="300" t="str">
        <f>IF($D$11="","",C149*$E$25)</f>
        <v/>
      </c>
    </row>
    <row r="150" spans="2:4">
      <c r="B150" s="259" t="s">
        <v>396</v>
      </c>
      <c r="C150" s="298" t="str">
        <f>Market_currency</f>
        <v>HKD</v>
      </c>
      <c r="D150" s="298" t="str">
        <f>IF($D$11="","",D$13)</f>
        <v/>
      </c>
    </row>
    <row r="151" spans="2:4">
      <c r="B151" s="214" t="s">
        <v>258</v>
      </c>
      <c r="C151" s="92">
        <f>Scenarios!F83</f>
        <v>0.55160870963597264</v>
      </c>
    </row>
    <row r="153" spans="2:4">
      <c r="B153" s="210" t="s">
        <v>391</v>
      </c>
    </row>
    <row r="154" spans="2:4">
      <c r="B154" s="1" t="s">
        <v>390</v>
      </c>
      <c r="C154" s="297">
        <f>Scenarios!C90</f>
        <v>0.25</v>
      </c>
    </row>
    <row r="155" spans="2:4">
      <c r="B155" s="212" t="str">
        <f>"PV("&amp;C141&amp;" yrs of Dividends)"</f>
        <v>PV(3 yrs of Dividends)</v>
      </c>
      <c r="C155" s="216">
        <f>Scenarios!C91</f>
        <v>3.5295819470562706</v>
      </c>
    </row>
    <row r="156" spans="2:4">
      <c r="B156" s="212" t="str">
        <f>"+ PV(Equity Value realized at year "&amp;C141&amp;")"</f>
        <v>+ PV(Equity Value realized at year 3)</v>
      </c>
      <c r="C156" s="216">
        <f>Scenarios!C92</f>
        <v>37.426994245654633</v>
      </c>
    </row>
    <row r="157" spans="2:4">
      <c r="B157" s="80" t="s">
        <v>256</v>
      </c>
      <c r="C157" s="215">
        <f>Scenarios!C93</f>
        <v>40.956576192710905</v>
      </c>
      <c r="D157" s="300" t="str">
        <f>IF($D$11="","",C157*$E$25)</f>
        <v/>
      </c>
    </row>
    <row r="158" spans="2:4">
      <c r="B158" s="259" t="s">
        <v>396</v>
      </c>
      <c r="C158" s="298" t="str">
        <f>Market_currency</f>
        <v>HKD</v>
      </c>
      <c r="D158" s="298" t="str">
        <f>IF($D$11="","",D$13)</f>
        <v/>
      </c>
    </row>
    <row r="159" spans="2:4">
      <c r="B159" s="214" t="s">
        <v>258</v>
      </c>
      <c r="C159" s="92">
        <f>Scenarios!F93</f>
        <v>0.43971543979643446</v>
      </c>
    </row>
    <row r="161" spans="2:4">
      <c r="B161" s="210" t="s">
        <v>381</v>
      </c>
    </row>
    <row r="162" spans="2:4">
      <c r="B162" s="1" t="s">
        <v>389</v>
      </c>
      <c r="C162" s="92">
        <f>Scenarios!C96</f>
        <v>7.4999999999999997E-2</v>
      </c>
    </row>
    <row r="163" spans="2:4">
      <c r="B163" s="212" t="str">
        <f>"PV("&amp;C141&amp;" yrs of Dividends)"</f>
        <v>PV(3 yrs of Dividends)</v>
      </c>
      <c r="C163" s="216">
        <f>Scenarios!C97</f>
        <v>4.7022380657311578</v>
      </c>
    </row>
    <row r="164" spans="2:4">
      <c r="B164" s="212" t="str">
        <f>"+ PV(Equity Value realized at year "&amp;C141&amp;")"</f>
        <v>+ PV(Equity Value realized at year 3)</v>
      </c>
      <c r="C164" s="216">
        <f>Scenarios!C98</f>
        <v>58.842294146513261</v>
      </c>
    </row>
    <row r="165" spans="2:4">
      <c r="B165" s="80" t="s">
        <v>382</v>
      </c>
      <c r="C165" s="215">
        <f>Scenarios!C99</f>
        <v>63.54453221224442</v>
      </c>
      <c r="D165" s="300" t="str">
        <f>IF($D$11="","",C165*$E$25)</f>
        <v/>
      </c>
    </row>
    <row r="166" spans="2:4">
      <c r="B166" s="259" t="s">
        <v>396</v>
      </c>
      <c r="C166" s="298" t="str">
        <f>Market_currency</f>
        <v>HKD</v>
      </c>
      <c r="D166" s="298" t="str">
        <f>IF($D$11="","",D$13)</f>
        <v/>
      </c>
    </row>
    <row r="167" spans="2:4">
      <c r="B167" s="214" t="s">
        <v>258</v>
      </c>
      <c r="C167" s="92">
        <f>Scenarios!F99</f>
        <v>0.13071297472822008</v>
      </c>
    </row>
    <row r="169" spans="2:4">
      <c r="B169" s="210" t="s">
        <v>409</v>
      </c>
    </row>
    <row r="170" spans="2:4">
      <c r="B170" s="1" t="s">
        <v>400</v>
      </c>
      <c r="C170" s="92">
        <f>F32</f>
        <v>0.1174</v>
      </c>
    </row>
    <row r="171" spans="2:4">
      <c r="B171" s="212" t="str">
        <f>"PV("&amp;C141&amp;" yrs of Dividends)"</f>
        <v>PV(3 yrs of Dividends)</v>
      </c>
      <c r="C171" s="216">
        <f>Scenarios!C103</f>
        <v>4.3624387493466097</v>
      </c>
    </row>
    <row r="172" spans="2:4">
      <c r="B172" s="212" t="str">
        <f>"+ PV(Equity Value realized at year "&amp;C141&amp;")"</f>
        <v>+ PV(Equity Value realized at year 3)</v>
      </c>
      <c r="C172" s="216">
        <f>Scenarios!C104</f>
        <v>52.39489668921518</v>
      </c>
    </row>
    <row r="173" spans="2:4">
      <c r="B173" s="80" t="s">
        <v>382</v>
      </c>
      <c r="C173" s="215">
        <f>Scenarios!C105</f>
        <v>56.757335438561789</v>
      </c>
      <c r="D173" s="300" t="str">
        <f>IF($D$11="","",C173*$E$25)</f>
        <v/>
      </c>
    </row>
    <row r="174" spans="2:4">
      <c r="B174" s="259" t="s">
        <v>396</v>
      </c>
      <c r="C174" s="298" t="str">
        <f>Market_currency</f>
        <v>HKD</v>
      </c>
      <c r="D174" s="298" t="str">
        <f>IF($D$11="","",D$13)</f>
        <v/>
      </c>
    </row>
    <row r="175" spans="2:4">
      <c r="B175" s="214" t="s">
        <v>258</v>
      </c>
      <c r="C175" s="92">
        <f>Scenarios!F105</f>
        <v>0.223208111923618</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2.0090971920857643</v>
      </c>
      <c r="D25" s="39">
        <f>2/Exchange_Rate</f>
        <v>1.8264519928052401</v>
      </c>
      <c r="E25" s="39">
        <f>1.3/Exchange_Rate</f>
        <v>1.1871937953234062</v>
      </c>
      <c r="F25" s="39">
        <f>1.1/Exchange_Rate</f>
        <v>1.0045485960428822</v>
      </c>
      <c r="G25" s="39">
        <f>0.75/Exchange_Rate</f>
        <v>0.68491949730196511</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2.0090971920857643</v>
      </c>
      <c r="D65" s="73">
        <f t="shared" ref="D65:M65" si="33">IF(D$4="","",D25)</f>
        <v>1.8264519928052401</v>
      </c>
      <c r="E65" s="73">
        <f t="shared" si="33"/>
        <v>1.1871937953234062</v>
      </c>
      <c r="F65" s="73">
        <f t="shared" si="33"/>
        <v>1.0045485960428822</v>
      </c>
      <c r="G65" s="73">
        <f t="shared" si="33"/>
        <v>0.68491949730196511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23.326311347720253</v>
      </c>
      <c r="D47" s="147">
        <f>D46*H1/Common_Shares*Exchange_Rate</f>
        <v>1.36100023330388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12817786757.805756</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-2532570122.5186019</v>
      </c>
      <c r="D73" s="349">
        <f>(Normalized_FCF!C25+Normalized_FCF!C35-Normalized_FCF!C91)/12</f>
        <v>-2580493069.0971222</v>
      </c>
      <c r="F73" s="1" t="s">
        <v>342</v>
      </c>
    </row>
    <row r="74" spans="2:6" ht="15" customHeight="1">
      <c r="B74" s="257" t="s">
        <v>312</v>
      </c>
      <c r="C74" s="258">
        <f>-$C$66/C73</f>
        <v>7.0990227422095575</v>
      </c>
      <c r="D74" s="258">
        <f>-$C$66/D73</f>
        <v>6.9671851133049225</v>
      </c>
      <c r="F74" s="253" t="s">
        <v>310</v>
      </c>
    </row>
    <row r="75" spans="2:6" ht="15" customHeight="1">
      <c r="B75" s="80" t="s">
        <v>311</v>
      </c>
      <c r="C75" s="320"/>
      <c r="D75" s="321">
        <f>MAX(-D73*D76,G5)</f>
        <v>5160986138.1942444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-312514518.99555361</v>
      </c>
      <c r="D86" s="223">
        <f>C86*scaling_factor/Common_Shares</f>
        <v>-0.229083165819295</v>
      </c>
      <c r="E86" s="240" t="str">
        <f>Market_currency</f>
        <v>HKD</v>
      </c>
    </row>
    <row r="87" spans="2:8" ht="15" customHeight="1">
      <c r="B87" s="238" t="s">
        <v>282</v>
      </c>
      <c r="C87" s="76">
        <f>DCF!C8*Exchange_Rate</f>
        <v>14035722601.303053</v>
      </c>
      <c r="D87" s="223">
        <f>C87*scaling_factor/Common_Shares</f>
        <v>10.288634839758217</v>
      </c>
      <c r="E87" s="240" t="str">
        <f>Market_currency</f>
        <v>HKD</v>
      </c>
    </row>
    <row r="88" spans="2:8" ht="15" customHeight="1">
      <c r="B88" s="239" t="s">
        <v>185</v>
      </c>
      <c r="C88" s="76">
        <f>DCF!C9*Exchange_Rate</f>
        <v>3017228579.0747499</v>
      </c>
      <c r="D88" s="223">
        <f>C88*scaling_factor/Common_Shares</f>
        <v>2.2117253211673371</v>
      </c>
      <c r="E88" s="240" t="str">
        <f>Market_currency</f>
        <v>HKD</v>
      </c>
    </row>
    <row r="89" spans="2:8" ht="15" customHeight="1">
      <c r="B89" s="80" t="s">
        <v>286</v>
      </c>
      <c r="C89" s="180">
        <f>SUM(C86:C88)</f>
        <v>16740436661.382248</v>
      </c>
      <c r="D89" s="242">
        <f>SUM(D86:D88)</f>
        <v>12.271276995106259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155213272.62966841</v>
      </c>
      <c r="E12" s="268"/>
      <c r="G12" s="328">
        <f>G50</f>
        <v>155213272.62966841</v>
      </c>
      <c r="H12" s="328">
        <f t="shared" ref="H12:Q12" si="6">H50</f>
        <v>128929693.89226985</v>
      </c>
      <c r="I12" s="328">
        <f t="shared" si="6"/>
        <v>122712664.50601824</v>
      </c>
      <c r="J12" s="328">
        <f t="shared" si="6"/>
        <v>67924628.820900604</v>
      </c>
      <c r="K12" s="328">
        <f t="shared" si="6"/>
        <v>136765168.40956768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4033281342.9374228</v>
      </c>
      <c r="E13" s="268"/>
      <c r="G13" s="329">
        <f>IF(G$4="","",SUM(G8:G12))</f>
        <v>4691278132.6296682</v>
      </c>
      <c r="H13" s="329">
        <f t="shared" ref="H13:Q13" si="7">IF(H$4="","",SUM(H8:H12))</f>
        <v>4549597485.8922701</v>
      </c>
      <c r="I13" s="329">
        <f t="shared" si="7"/>
        <v>3869665872.5060182</v>
      </c>
      <c r="J13" s="329">
        <f t="shared" si="7"/>
        <v>3025015628.8209004</v>
      </c>
      <c r="K13" s="329">
        <f t="shared" si="7"/>
        <v>2470825040.4095678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-1008320335.7343557</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2878326442.73139</v>
      </c>
      <c r="D16" s="61"/>
      <c r="E16" s="276"/>
      <c r="F16" s="61"/>
      <c r="G16" s="329">
        <f>IF(G$4="","",SUM(G13:G15))</f>
        <v>3154768990.6296682</v>
      </c>
      <c r="H16" s="329">
        <f t="shared" ref="H16:Q16" si="8">IF(H$4="","",SUM(H13:H15))</f>
        <v>3071041589.8922701</v>
      </c>
      <c r="I16" s="329">
        <f t="shared" si="8"/>
        <v>2574153179.5060182</v>
      </c>
      <c r="J16" s="329">
        <f t="shared" si="8"/>
        <v>1701495973.8209004</v>
      </c>
      <c r="K16" s="329">
        <f t="shared" si="8"/>
        <v>1432599272.4095678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2878326442.73139</v>
      </c>
      <c r="D19" s="27"/>
      <c r="E19" s="265"/>
      <c r="F19" s="27"/>
      <c r="G19" s="334">
        <f>IF(G$4="","",G16+G17)</f>
        <v>3154768990.6296682</v>
      </c>
      <c r="H19" s="334">
        <f t="shared" ref="H19:Q19" si="9">IF(H$4="","",H16+H17)</f>
        <v>3071041589.8922701</v>
      </c>
      <c r="I19" s="334">
        <f t="shared" si="9"/>
        <v>2574153179.5060182</v>
      </c>
      <c r="J19" s="334">
        <f t="shared" si="9"/>
        <v>1701495973.8209004</v>
      </c>
      <c r="K19" s="334">
        <f t="shared" si="9"/>
        <v>1432599272.4095678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0.29623404852805063</v>
      </c>
      <c r="H43" s="6">
        <f t="shared" si="18"/>
        <v>0.30732573207534697</v>
      </c>
      <c r="I43" s="6">
        <f t="shared" si="18"/>
        <v>0.31047120024911956</v>
      </c>
      <c r="J43" s="6">
        <f t="shared" si="18"/>
        <v>0.4042067033804384</v>
      </c>
      <c r="K43" s="6">
        <f t="shared" si="18"/>
        <v>0.36934242776199533</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177050326.62966841</v>
      </c>
      <c r="E48" s="268"/>
      <c r="G48" s="337">
        <f>IFERROR(IF(G$4="","",($C$48/$C$49)*G49),0)</f>
        <v>177050326.62966841</v>
      </c>
      <c r="H48" s="337">
        <f t="shared" ref="H48:Q48" si="19">IFERROR(IF(H$4="","",($C$48/$C$49)*H49),0)</f>
        <v>145360283.89226985</v>
      </c>
      <c r="I48" s="337">
        <f t="shared" si="19"/>
        <v>131950464.50601824</v>
      </c>
      <c r="J48" s="337">
        <f t="shared" si="19"/>
        <v>90609995.820900604</v>
      </c>
      <c r="K48" s="337">
        <f t="shared" si="19"/>
        <v>150427850.40956768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155213272.62966841</v>
      </c>
      <c r="E50" s="268"/>
      <c r="G50" s="329">
        <f>IF(G$4="","",(G47+G48))</f>
        <v>155213272.62966841</v>
      </c>
      <c r="H50" s="329">
        <f t="shared" ref="H50:Q50" si="20">IF(H$4="","",(H47+H48))</f>
        <v>128929693.89226985</v>
      </c>
      <c r="I50" s="329">
        <f t="shared" si="20"/>
        <v>122712664.50601824</v>
      </c>
      <c r="J50" s="329">
        <f t="shared" si="20"/>
        <v>67924628.820900604</v>
      </c>
      <c r="K50" s="329">
        <f t="shared" si="20"/>
        <v>136765168.40956768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4.8348253342043656E-3</v>
      </c>
      <c r="D80" s="27"/>
      <c r="E80" s="265"/>
      <c r="F80" s="27"/>
      <c r="G80" s="6">
        <f t="shared" ref="G80:Q80" si="31">IF(G$4="","",ABS(G12/G$4))</f>
        <v>4.8296127054496653E-3</v>
      </c>
      <c r="H80" s="6">
        <f t="shared" si="31"/>
        <v>3.7991427370519903E-3</v>
      </c>
      <c r="I80" s="6">
        <f t="shared" si="31"/>
        <v>3.8143205692941018E-3</v>
      </c>
      <c r="J80" s="6">
        <f t="shared" si="31"/>
        <v>2.2516348009686236E-3</v>
      </c>
      <c r="K80" s="6">
        <f t="shared" si="31"/>
        <v>4.9267504540716298E-3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0.1256349440123864</v>
      </c>
      <c r="D81" s="27"/>
      <c r="E81" s="265"/>
      <c r="F81" s="27"/>
      <c r="G81" s="65">
        <f t="shared" ref="G81:Q81" si="32">IF(G$4="","",G13/G$4)</f>
        <v>0.14597370502073684</v>
      </c>
      <c r="H81" s="65">
        <f t="shared" si="32"/>
        <v>0.13406198155934607</v>
      </c>
      <c r="I81" s="65">
        <f t="shared" si="32"/>
        <v>0.12028217456781917</v>
      </c>
      <c r="J81" s="65">
        <f t="shared" si="32"/>
        <v>0.10027630009265931</v>
      </c>
      <c r="K81" s="65">
        <f t="shared" si="32"/>
        <v>8.9007592586109047E-2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3.1408736003096599E-2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8.9658605669835134E-2</v>
      </c>
      <c r="D84" s="27"/>
      <c r="E84" s="265"/>
      <c r="F84" s="27"/>
      <c r="G84" s="65">
        <f t="shared" ref="G84:Q84" si="35">IF(G$4="","",ABS(G16/G$4))</f>
        <v>9.8163721064349868E-2</v>
      </c>
      <c r="H84" s="65">
        <f t="shared" si="35"/>
        <v>9.0493702414066957E-2</v>
      </c>
      <c r="I84" s="65">
        <f t="shared" si="35"/>
        <v>8.0013301484640795E-2</v>
      </c>
      <c r="J84" s="65">
        <f t="shared" si="35"/>
        <v>5.6402922104511859E-2</v>
      </c>
      <c r="K84" s="65">
        <f t="shared" si="35"/>
        <v>5.1607139434142385E-2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8.9658605669835134E-2</v>
      </c>
      <c r="D87" s="75"/>
      <c r="E87" s="265"/>
      <c r="F87" s="75"/>
      <c r="G87" s="65">
        <f t="shared" ref="G87:Q87" si="36">IF(G$4="","",ABS(G19/G$4))</f>
        <v>9.8163721064349868E-2</v>
      </c>
      <c r="H87" s="65">
        <f t="shared" si="36"/>
        <v>9.0493702414066957E-2</v>
      </c>
      <c r="I87" s="65">
        <f t="shared" si="36"/>
        <v>8.0013301484640795E-2</v>
      </c>
      <c r="J87" s="65">
        <f t="shared" si="36"/>
        <v>5.6402922104511859E-2</v>
      </c>
      <c r="K87" s="65">
        <f t="shared" si="36"/>
        <v>5.1607139434142385E-2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2.0090971920857643</v>
      </c>
      <c r="E90" s="268"/>
      <c r="G90" s="112">
        <f>Data!C65</f>
        <v>2.0090971920857643</v>
      </c>
      <c r="H90" s="112">
        <f>Data!D65</f>
        <v>1.8264519928052401</v>
      </c>
      <c r="I90" s="112">
        <f>Data!E65</f>
        <v>1.1871937953234062</v>
      </c>
      <c r="J90" s="112">
        <f>Data!F65</f>
        <v>1.0045485960428822</v>
      </c>
      <c r="K90" s="112">
        <f>Data!G65</f>
        <v>0.68491949730196511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2740803936.2232189</v>
      </c>
      <c r="E91" s="268"/>
      <c r="G91" s="74">
        <f t="shared" ref="G91:Q91" si="37">IF(G$4="","",G90*Common_Shares/scaling_factor)</f>
        <v>2740803936.2232189</v>
      </c>
      <c r="H91" s="74">
        <f t="shared" si="37"/>
        <v>2491639942.0211077</v>
      </c>
      <c r="I91" s="74">
        <f t="shared" si="37"/>
        <v>1619565962.3137202</v>
      </c>
      <c r="J91" s="74">
        <f t="shared" si="37"/>
        <v>1370401968.1116095</v>
      </c>
      <c r="K91" s="74">
        <f t="shared" si="37"/>
        <v>934364978.2579155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0.95222136569830174</v>
      </c>
      <c r="E92" s="268"/>
      <c r="G92" s="170">
        <f t="shared" ref="G92:Q92" si="38">IF(G$4="","",G90/(G19*scaling_factor/Common_Shares))</f>
        <v>0.8687811831433575</v>
      </c>
      <c r="H92" s="170">
        <f t="shared" si="38"/>
        <v>0.81133383221570521</v>
      </c>
      <c r="I92" s="170">
        <f t="shared" si="38"/>
        <v>0.62916456379045627</v>
      </c>
      <c r="J92" s="170">
        <f t="shared" si="38"/>
        <v>0.80541005632485729</v>
      </c>
      <c r="K92" s="170">
        <f t="shared" si="38"/>
        <v>0.65221656624629964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3.4540352872534631E-2</v>
      </c>
      <c r="E94" s="268"/>
      <c r="G94" s="23">
        <f t="shared" ref="G94:Q94" si="39">IF(G$4="","",(G90*(1-dividend_tax_rate))/Market_Price)</f>
        <v>3.4540352872534631E-2</v>
      </c>
      <c r="H94" s="23">
        <f t="shared" si="39"/>
        <v>3.1400320793213296E-2</v>
      </c>
      <c r="I94" s="23">
        <f t="shared" si="39"/>
        <v>2.0410208515588644E-2</v>
      </c>
      <c r="J94" s="23">
        <f t="shared" si="39"/>
        <v>1.7270176436267316E-2</v>
      </c>
      <c r="K94" s="23">
        <f t="shared" si="39"/>
        <v>1.1775120297454988E-2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-0.14025959900258766</v>
      </c>
      <c r="D98" s="27"/>
      <c r="E98" s="265"/>
      <c r="F98" s="27"/>
      <c r="G98" s="6">
        <f t="shared" ref="G98:Q98" si="41">IF(H5="","",G13/H13-1)</f>
        <v>3.1141358587596368E-2</v>
      </c>
      <c r="H98" s="6">
        <f t="shared" si="41"/>
        <v>0.17570809361530859</v>
      </c>
      <c r="I98" s="6">
        <f t="shared" si="41"/>
        <v>0.2792217784389921</v>
      </c>
      <c r="J98" s="6">
        <f t="shared" si="41"/>
        <v>0.22429373968116706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1.6339266511463866</v>
      </c>
      <c r="H115" s="295">
        <f>IF(H$4="","",Data!D$22/H19)</f>
        <v>0.90443813888480584</v>
      </c>
      <c r="I115" s="295">
        <f>IF(I$4="","",Data!E$22/I19)</f>
        <v>1.8952917646246055</v>
      </c>
      <c r="J115" s="295">
        <f>IF(J$4="","",Data!F$22/J19)</f>
        <v>3.5516460502868625</v>
      </c>
      <c r="K115" s="295">
        <f>IF(K$4="","",Data!G$22/K19)</f>
        <v>3.4576468503076687</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0.1256349440123864</v>
      </c>
      <c r="E118" s="268"/>
      <c r="G118" s="23">
        <f t="shared" ref="G118:Q118" si="45">IF(G4="","",IF(valuation_method="DDM",G13/(G4+G12),G81))</f>
        <v>0.14597370502073684</v>
      </c>
      <c r="H118" s="23">
        <f t="shared" si="45"/>
        <v>0.13406198155934607</v>
      </c>
      <c r="I118" s="23">
        <f t="shared" si="45"/>
        <v>0.12028217456781917</v>
      </c>
      <c r="J118" s="23">
        <f t="shared" si="45"/>
        <v>0.10027630009265931</v>
      </c>
      <c r="K118" s="23">
        <f t="shared" si="45"/>
        <v>8.9007592586109047E-2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0.13507512410778424</v>
      </c>
      <c r="D121" s="103"/>
      <c r="E121" s="271"/>
      <c r="F121" s="103"/>
      <c r="G121" s="102">
        <f t="shared" ref="G121:Q121" si="48">IF(G$4="","",G13/G106)</f>
        <v>0.15711152337505516</v>
      </c>
      <c r="H121" s="102">
        <f t="shared" si="48"/>
        <v>0.16102064045074119</v>
      </c>
      <c r="I121" s="102">
        <f t="shared" si="48"/>
        <v>0.14729064551705701</v>
      </c>
      <c r="J121" s="102">
        <f t="shared" si="48"/>
        <v>0.12713519669313447</v>
      </c>
      <c r="K121" s="102">
        <f t="shared" si="48"/>
        <v>0.11563173944048334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2.3103871423706743</v>
      </c>
      <c r="D125" s="27"/>
      <c r="E125" s="265"/>
      <c r="F125" s="27"/>
      <c r="G125" s="177">
        <f t="shared" ref="G125:Q125" si="49">IF(G$4="","",G16*$C$3/Common_Shares*Exchange_Rate)</f>
        <v>2.5322832062731018</v>
      </c>
      <c r="H125" s="177">
        <f t="shared" si="49"/>
        <v>2.4650765450494241</v>
      </c>
      <c r="I125" s="177">
        <f t="shared" si="49"/>
        <v>2.0662320715712879</v>
      </c>
      <c r="J125" s="177">
        <f t="shared" si="49"/>
        <v>1.3657639252971057</v>
      </c>
      <c r="K125" s="177">
        <f t="shared" si="49"/>
        <v>1.1499247931043415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4.4133469768303235E-2</v>
      </c>
      <c r="D126" s="27"/>
      <c r="E126" s="265"/>
      <c r="F126" s="27"/>
      <c r="G126" s="77">
        <f t="shared" ref="G126" si="50">IF(G$4="","",G125/Market_Price)</f>
        <v>4.83721720396008E-2</v>
      </c>
      <c r="H126" s="77">
        <f t="shared" ref="H126" si="51">IF(H$4="","",H125/Market_Price)</f>
        <v>4.7088377173818988E-2</v>
      </c>
      <c r="I126" s="77">
        <f t="shared" ref="I126" si="52">IF(I$4="","",I125/Market_Price)</f>
        <v>3.946957156774189E-2</v>
      </c>
      <c r="J126" s="77">
        <f t="shared" ref="J126" si="53">IF(J$4="","",J125/Market_Price)</f>
        <v>2.6089091218664862E-2</v>
      </c>
      <c r="K126" s="77">
        <f t="shared" ref="K126" si="54">IF(K$4="","",K125/Market_Price)</f>
        <v>2.196608964860251E-2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6.2896205869701002E-2</v>
      </c>
      <c r="H127" s="23">
        <f>IF(H$4="","",(Data!D47*$C$3)/(Market_Price*Common_Shares))</f>
        <v>6.0885754970570319E-2</v>
      </c>
      <c r="I127" s="23">
        <f>IF(I$4="","",(Data!E47*$C$3)/(Market_Price*Common_Shares))</f>
        <v>5.3275699591883288E-2</v>
      </c>
      <c r="J127" s="23">
        <f>IF(J$4="","",(Data!F47*$C$3)/(Market_Price*Common_Shares))</f>
        <v>4.5595629330329512E-2</v>
      </c>
      <c r="K127" s="23">
        <f>IF(K$4="","",(Data!G47*$C$3)/(Market_Price*Common_Shares))</f>
        <v>3.2583433960067562E-2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2878326442.73139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38377685903.085205</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12817786757.805756</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53665487853.390961</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43.076438893381919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73.06633386596441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3054381720.7514009</v>
      </c>
      <c r="D21" s="138">
        <f>IF($C$17&lt;B21,0,DCF!$C$16)</f>
        <v>6.1165848114484E-2</v>
      </c>
      <c r="E21" s="124">
        <f t="shared" ref="E21:E50" si="0">IF($C$17&lt;B21,0,1/(1+Equity_Cost)^B21)</f>
        <v>0.93023255813953487</v>
      </c>
      <c r="F21" s="125">
        <f t="shared" ref="F21:F51" si="1">C21*E21</f>
        <v>2841285321.62921</v>
      </c>
      <c r="H21" s="120"/>
    </row>
    <row r="22" spans="2:17">
      <c r="B22" s="122">
        <v>2</v>
      </c>
      <c r="C22" s="123">
        <f t="shared" ref="C22:C50" si="2">IF(ROW()-ROW($C$21)&lt;$C$17, $C$21*(1+D22)^(ROW()-ROW($C$21)), 0)</f>
        <v>3241205569.1665373</v>
      </c>
      <c r="D22" s="138">
        <f>IF($C$17&lt;B22,0,DCF!$C$16)</f>
        <v>6.1165848114484E-2</v>
      </c>
      <c r="E22" s="124">
        <f t="shared" si="0"/>
        <v>0.86533261222282321</v>
      </c>
      <c r="F22" s="125">
        <f t="shared" si="1"/>
        <v>2804720881.9180422</v>
      </c>
      <c r="H22" s="120"/>
    </row>
    <row r="23" spans="2:17">
      <c r="B23" s="122">
        <v>3</v>
      </c>
      <c r="C23" s="123">
        <f t="shared" si="2"/>
        <v>3439456656.7179966</v>
      </c>
      <c r="D23" s="138">
        <f>IF($C$17&lt;B23,0,DCF!$C$16)</f>
        <v>6.1165848114484E-2</v>
      </c>
      <c r="E23" s="124">
        <f t="shared" si="0"/>
        <v>0.80496056950960304</v>
      </c>
      <c r="F23" s="125">
        <f t="shared" si="1"/>
        <v>2768626989.1953139</v>
      </c>
      <c r="G23" s="338"/>
      <c r="H23" s="339"/>
      <c r="I23" s="338"/>
      <c r="J23" s="338"/>
      <c r="K23" s="338"/>
      <c r="L23" s="338"/>
      <c r="M23" s="338"/>
      <c r="N23" s="338"/>
      <c r="O23" s="338"/>
      <c r="P23" s="338"/>
      <c r="Q23" s="338"/>
    </row>
    <row r="24" spans="2:17">
      <c r="B24" s="122">
        <v>4</v>
      </c>
      <c r="C24" s="123">
        <f t="shared" si="2"/>
        <v>3649833940.1791601</v>
      </c>
      <c r="D24" s="138">
        <f>IF($C$17&lt;B24,0,DCF!$C$16)</f>
        <v>6.1165848114484E-2</v>
      </c>
      <c r="E24" s="124">
        <f t="shared" si="0"/>
        <v>0.7488005297763749</v>
      </c>
      <c r="F24" s="125">
        <f t="shared" si="1"/>
        <v>2732997588.0019488</v>
      </c>
      <c r="G24" s="338"/>
      <c r="H24" s="339"/>
      <c r="I24" s="338"/>
      <c r="J24" s="338"/>
      <c r="K24" s="338"/>
      <c r="L24" s="338"/>
      <c r="M24" s="338"/>
      <c r="N24" s="338"/>
      <c r="O24" s="338"/>
      <c r="P24" s="338"/>
      <c r="Q24" s="338"/>
    </row>
    <row r="25" spans="2:17">
      <c r="B25" s="122">
        <v>5</v>
      </c>
      <c r="C25" s="123">
        <f t="shared" si="2"/>
        <v>3873079128.6072469</v>
      </c>
      <c r="D25" s="138">
        <f>IF($C$17&lt;B25,0,DCF!$C$16)</f>
        <v>6.1165848114484E-2</v>
      </c>
      <c r="E25" s="124">
        <f t="shared" si="0"/>
        <v>0.69655863235011617</v>
      </c>
      <c r="F25" s="125">
        <f t="shared" si="1"/>
        <v>2697826700.8064437</v>
      </c>
      <c r="G25" s="338"/>
      <c r="H25" s="339"/>
      <c r="I25" s="338"/>
      <c r="J25" s="338"/>
      <c r="K25" s="338"/>
      <c r="L25" s="338"/>
      <c r="M25" s="338"/>
      <c r="N25" s="338"/>
      <c r="O25" s="338"/>
      <c r="P25" s="338"/>
      <c r="Q25" s="338"/>
    </row>
    <row r="26" spans="2:17">
      <c r="B26" s="122">
        <v>6</v>
      </c>
      <c r="C26" s="123">
        <f t="shared" si="2"/>
        <v>4109979298.3230152</v>
      </c>
      <c r="D26" s="138">
        <f>IF($C$17&lt;B26,0,DCF!$C$16)</f>
        <v>6.1165848114484E-2</v>
      </c>
      <c r="E26" s="124">
        <f t="shared" si="0"/>
        <v>0.64796151846522443</v>
      </c>
      <c r="F26" s="125">
        <f t="shared" si="1"/>
        <v>2663108427.0020185</v>
      </c>
      <c r="H26" s="120"/>
    </row>
    <row r="27" spans="2:17">
      <c r="B27" s="122">
        <v>7</v>
      </c>
      <c r="C27" s="123">
        <f t="shared" si="2"/>
        <v>4361369667.8379135</v>
      </c>
      <c r="D27" s="138">
        <f>IF($C$17&lt;B27,0,DCF!$C$16)</f>
        <v>6.1165848114484E-2</v>
      </c>
      <c r="E27" s="124">
        <f t="shared" si="0"/>
        <v>0.60275490089788319</v>
      </c>
      <c r="F27" s="125">
        <f t="shared" si="1"/>
        <v>2628836941.9166751</v>
      </c>
      <c r="H27" s="120"/>
    </row>
    <row r="28" spans="2:17">
      <c r="B28" s="122">
        <v>8</v>
      </c>
      <c r="C28" s="123">
        <f t="shared" si="2"/>
        <v>4628136542.5120039</v>
      </c>
      <c r="D28" s="138">
        <f>IF($C$17&lt;B28,0,DCF!$C$16)</f>
        <v>6.1165848114484E-2</v>
      </c>
      <c r="E28" s="124">
        <f t="shared" si="0"/>
        <v>0.56070223339337966</v>
      </c>
      <c r="F28" s="125">
        <f t="shared" si="1"/>
        <v>2595006495.8359947</v>
      </c>
      <c r="H28" s="120"/>
    </row>
    <row r="29" spans="2:17">
      <c r="B29" s="122">
        <v>9</v>
      </c>
      <c r="C29" s="123">
        <f t="shared" si="2"/>
        <v>4911220439.3243866</v>
      </c>
      <c r="D29" s="138">
        <f>IF($C$17&lt;B29,0,DCF!$C$16)</f>
        <v>6.1165848114484E-2</v>
      </c>
      <c r="E29" s="124">
        <f t="shared" si="0"/>
        <v>0.52158347292407414</v>
      </c>
      <c r="F29" s="125">
        <f t="shared" si="1"/>
        <v>2561611413.0385108</v>
      </c>
      <c r="H29" s="120"/>
    </row>
    <row r="30" spans="2:17">
      <c r="B30" s="122">
        <v>10</v>
      </c>
      <c r="C30" s="123">
        <f t="shared" si="2"/>
        <v>5211619402.772851</v>
      </c>
      <c r="D30" s="138">
        <f>IF($C$17&lt;B30,0,DCF!$C$16)</f>
        <v>6.1165848114484E-2</v>
      </c>
      <c r="E30" s="124">
        <f t="shared" si="0"/>
        <v>0.48519392830146441</v>
      </c>
      <c r="F30" s="125">
        <f t="shared" si="1"/>
        <v>2528646090.8434916</v>
      </c>
      <c r="H30" s="120"/>
    </row>
    <row r="31" spans="2:17">
      <c r="B31" s="122">
        <v>11</v>
      </c>
      <c r="C31" s="123">
        <f t="shared" si="2"/>
        <v>5530392523.5933514</v>
      </c>
      <c r="D31" s="138">
        <f>IF($C$17&lt;B31,0,DCF!$C$16)</f>
        <v>6.1165848114484E-2</v>
      </c>
      <c r="E31" s="124">
        <f t="shared" si="0"/>
        <v>0.45134318911764126</v>
      </c>
      <c r="F31" s="125">
        <f t="shared" si="1"/>
        <v>2496104998.6709833</v>
      </c>
      <c r="H31" s="120"/>
    </row>
    <row r="32" spans="2:17">
      <c r="B32" s="122">
        <v>12</v>
      </c>
      <c r="C32" s="123">
        <f t="shared" si="2"/>
        <v>5868663672.7049398</v>
      </c>
      <c r="D32" s="138">
        <f>IF($C$17&lt;B32,0,DCF!$C$16)</f>
        <v>6.1165848114484E-2</v>
      </c>
      <c r="E32" s="124">
        <f t="shared" si="0"/>
        <v>0.41985412941175931</v>
      </c>
      <c r="F32" s="125">
        <f t="shared" si="1"/>
        <v>2463982677.1139507</v>
      </c>
      <c r="H32" s="120"/>
    </row>
    <row r="33" spans="2:17">
      <c r="B33" s="122">
        <v>13</v>
      </c>
      <c r="C33" s="341">
        <f t="shared" si="2"/>
        <v>6227625463.5445995</v>
      </c>
      <c r="D33" s="138">
        <f>IF($C$17&lt;B33,0,DCF!$C$16)</f>
        <v>6.1165848114484E-2</v>
      </c>
      <c r="E33" s="124">
        <f t="shared" si="0"/>
        <v>0.39056198084814819</v>
      </c>
      <c r="F33" s="125">
        <f t="shared" si="1"/>
        <v>2432273737.022346</v>
      </c>
      <c r="G33" s="338"/>
      <c r="H33" s="339"/>
      <c r="I33" s="338"/>
      <c r="J33" s="338"/>
      <c r="K33" s="338"/>
      <c r="L33" s="338"/>
      <c r="M33" s="338"/>
      <c r="N33" s="338"/>
      <c r="O33" s="338"/>
      <c r="P33" s="338"/>
      <c r="Q33" s="338"/>
    </row>
    <row r="34" spans="2:17">
      <c r="B34" s="122">
        <v>14</v>
      </c>
      <c r="C34" s="341">
        <f t="shared" si="2"/>
        <v>6608543456.7616615</v>
      </c>
      <c r="D34" s="138">
        <f>IF($C$17&lt;B34,0,DCF!$C$16)</f>
        <v>6.1165848114484E-2</v>
      </c>
      <c r="E34" s="124">
        <f t="shared" si="0"/>
        <v>0.36331347055641694</v>
      </c>
      <c r="F34" s="125">
        <f t="shared" si="1"/>
        <v>2400972858.5989799</v>
      </c>
      <c r="G34" s="338"/>
      <c r="H34" s="339"/>
      <c r="I34" s="338"/>
      <c r="J34" s="338"/>
      <c r="K34" s="338"/>
      <c r="L34" s="338"/>
      <c r="M34" s="338"/>
      <c r="N34" s="338"/>
      <c r="O34" s="338"/>
      <c r="P34" s="338"/>
      <c r="Q34" s="338"/>
    </row>
    <row r="35" spans="2:17">
      <c r="B35" s="122">
        <v>15</v>
      </c>
      <c r="C35" s="341">
        <f t="shared" si="2"/>
        <v>7012760622.0959101</v>
      </c>
      <c r="D35" s="138">
        <f>IF($C$17&lt;B35,0,DCF!$C$16)</f>
        <v>6.1165848114484E-2</v>
      </c>
      <c r="E35" s="124">
        <f t="shared" si="0"/>
        <v>0.33796601912224833</v>
      </c>
      <c r="F35" s="125">
        <f t="shared" si="1"/>
        <v>2370074790.5070167</v>
      </c>
      <c r="G35" s="338"/>
      <c r="H35" s="339"/>
      <c r="I35" s="338"/>
      <c r="J35" s="338"/>
      <c r="K35" s="338"/>
      <c r="L35" s="338"/>
      <c r="M35" s="338"/>
      <c r="N35" s="338"/>
      <c r="O35" s="338"/>
      <c r="P35" s="338"/>
      <c r="Q35" s="338"/>
    </row>
    <row r="36" spans="2:17">
      <c r="B36" s="122">
        <v>16</v>
      </c>
      <c r="C36" s="123">
        <f t="shared" si="2"/>
        <v>7441702073.1702614</v>
      </c>
      <c r="D36" s="138">
        <f>IF($C$17&lt;B36,0,DCF!$C$16)</f>
        <v>6.1165848114484E-2</v>
      </c>
      <c r="E36" s="124">
        <f t="shared" si="0"/>
        <v>0.31438699453232405</v>
      </c>
      <c r="F36" s="125">
        <f t="shared" si="1"/>
        <v>2339574348.9889636</v>
      </c>
      <c r="H36" s="120"/>
    </row>
    <row r="37" spans="2:17">
      <c r="B37" s="122">
        <v>17</v>
      </c>
      <c r="C37" s="123">
        <f t="shared" si="2"/>
        <v>7896880091.8910351</v>
      </c>
      <c r="D37" s="138">
        <f>IF($C$17&lt;B37,0,DCF!$C$16)</f>
        <v>6.1165848114484E-2</v>
      </c>
      <c r="E37" s="124">
        <f t="shared" si="0"/>
        <v>0.29245301816960378</v>
      </c>
      <c r="F37" s="125">
        <f t="shared" si="1"/>
        <v>2309466416.9969912</v>
      </c>
      <c r="H37" s="120"/>
    </row>
    <row r="38" spans="2:17">
      <c r="B38" s="122">
        <v>18</v>
      </c>
      <c r="C38" s="123">
        <f t="shared" si="2"/>
        <v>8379899460.1699343</v>
      </c>
      <c r="D38" s="138">
        <f>IF($C$17&lt;B38,0,DCF!$C$16)</f>
        <v>6.1165848114484E-2</v>
      </c>
      <c r="E38" s="124">
        <f t="shared" si="0"/>
        <v>0.27204931922753844</v>
      </c>
      <c r="F38" s="125">
        <f t="shared" si="1"/>
        <v>2279745943.3344474</v>
      </c>
      <c r="H38" s="120"/>
    </row>
    <row r="39" spans="2:17">
      <c r="B39" s="122">
        <v>19</v>
      </c>
      <c r="C39" s="123">
        <f t="shared" si="2"/>
        <v>8892463117.7653332</v>
      </c>
      <c r="D39" s="138">
        <f>IF($C$17&lt;B39,0,DCF!$C$16)</f>
        <v>6.1165848114484E-2</v>
      </c>
      <c r="E39" s="124">
        <f t="shared" si="0"/>
        <v>0.25306913416515198</v>
      </c>
      <c r="F39" s="125">
        <f t="shared" si="1"/>
        <v>2250407941.8084207</v>
      </c>
      <c r="H39" s="120"/>
    </row>
    <row r="40" spans="2:17">
      <c r="B40" s="122">
        <v>20</v>
      </c>
      <c r="C40" s="123">
        <f t="shared" si="2"/>
        <v>9436378166.1902161</v>
      </c>
      <c r="D40" s="138">
        <f>IF($C$17&lt;B40,0,DCF!$C$16)</f>
        <v>6.1165848114484E-2</v>
      </c>
      <c r="E40" s="124">
        <f t="shared" si="0"/>
        <v>0.23541314806060654</v>
      </c>
      <c r="F40" s="125">
        <f t="shared" si="1"/>
        <v>2221447490.3932123</v>
      </c>
      <c r="H40" s="120"/>
    </row>
    <row r="41" spans="2:17">
      <c r="B41" s="122">
        <v>21</v>
      </c>
      <c r="C41" s="123">
        <f t="shared" si="2"/>
        <v>10013562239.85424</v>
      </c>
      <c r="D41" s="138">
        <f>IF($C$17&lt;B41,0,DCF!$C$16)</f>
        <v>6.1165848114484E-2</v>
      </c>
      <c r="E41" s="124">
        <f t="shared" si="0"/>
        <v>0.21898897494009908</v>
      </c>
      <c r="F41" s="125">
        <f t="shared" si="1"/>
        <v>2192859730.404563</v>
      </c>
      <c r="H41" s="120"/>
    </row>
    <row r="42" spans="2:17">
      <c r="B42" s="122">
        <v>22</v>
      </c>
      <c r="C42" s="123">
        <f t="shared" si="2"/>
        <v>10626050266.902096</v>
      </c>
      <c r="D42" s="138">
        <f>IF($C$17&lt;B42,0,DCF!$C$16)</f>
        <v>6.1165848114484E-2</v>
      </c>
      <c r="E42" s="124">
        <f t="shared" si="0"/>
        <v>0.20371067436288287</v>
      </c>
      <c r="F42" s="125">
        <f t="shared" si="1"/>
        <v>2164639865.6845174</v>
      </c>
      <c r="H42" s="120"/>
    </row>
    <row r="43" spans="2:17">
      <c r="B43" s="122">
        <v>23</v>
      </c>
      <c r="C43" s="123">
        <f t="shared" si="2"/>
        <v>11276001643.584299</v>
      </c>
      <c r="D43" s="138">
        <f>IF($C$17&lt;B43,0,DCF!$C$16)</f>
        <v>6.1165848114484E-2</v>
      </c>
      <c r="E43" s="124">
        <f t="shared" si="0"/>
        <v>0.18949830173291429</v>
      </c>
      <c r="F43" s="125">
        <f t="shared" si="1"/>
        <v>2136783161.7967751</v>
      </c>
      <c r="H43" s="120"/>
    </row>
    <row r="44" spans="2:17">
      <c r="B44" s="122">
        <v>24</v>
      </c>
      <c r="C44" s="123">
        <f t="shared" si="2"/>
        <v>11965707847.454447</v>
      </c>
      <c r="D44" s="138">
        <f>IF($C$17&lt;B44,0,DCF!$C$16)</f>
        <v>6.1165848114484E-2</v>
      </c>
      <c r="E44" s="124">
        <f t="shared" si="0"/>
        <v>0.17627748998410636</v>
      </c>
      <c r="F44" s="125">
        <f t="shared" si="1"/>
        <v>2109284945.2323942</v>
      </c>
      <c r="H44" s="120"/>
    </row>
    <row r="45" spans="2:17">
      <c r="B45" s="122">
        <v>25</v>
      </c>
      <c r="C45" s="123">
        <f t="shared" si="2"/>
        <v>12697600516.234135</v>
      </c>
      <c r="D45" s="138">
        <f>IF($C$17&lt;B45,0,DCF!$C$16)</f>
        <v>6.1165848114484E-2</v>
      </c>
      <c r="E45" s="124">
        <f t="shared" si="0"/>
        <v>0.16397906045033148</v>
      </c>
      <c r="F45" s="125">
        <f t="shared" si="1"/>
        <v>2082140602.6257174</v>
      </c>
      <c r="H45" s="120"/>
    </row>
    <row r="46" spans="2:17">
      <c r="B46" s="122">
        <v>26</v>
      </c>
      <c r="C46" s="123">
        <f t="shared" si="2"/>
        <v>13474260020.828503</v>
      </c>
      <c r="D46" s="138">
        <f>IF($C$17&lt;B46,0,DCF!$C$16)</f>
        <v>6.1165848114484E-2</v>
      </c>
      <c r="E46" s="124">
        <f t="shared" si="0"/>
        <v>0.15253866088402931</v>
      </c>
      <c r="F46" s="125">
        <f t="shared" si="1"/>
        <v>2055345579.9803927</v>
      </c>
      <c r="H46" s="120"/>
    </row>
    <row r="47" spans="2:17">
      <c r="B47" s="122">
        <v>27</v>
      </c>
      <c r="C47" s="341">
        <f t="shared" si="2"/>
        <v>14298424562.717562</v>
      </c>
      <c r="D47" s="138">
        <f>IF($C$17&lt;B47,0,DCF!$C$16)</f>
        <v>6.1165848114484E-2</v>
      </c>
      <c r="E47" s="124">
        <f t="shared" si="0"/>
        <v>0.14189642872932959</v>
      </c>
      <c r="F47" s="125">
        <f t="shared" si="1"/>
        <v>2028895381.9053481</v>
      </c>
      <c r="G47" s="338"/>
      <c r="H47" s="339"/>
      <c r="I47" s="338"/>
      <c r="J47" s="338"/>
      <c r="K47" s="338"/>
      <c r="L47" s="338"/>
      <c r="M47" s="338"/>
      <c r="N47" s="338"/>
      <c r="O47" s="338"/>
      <c r="P47" s="338"/>
      <c r="Q47" s="338"/>
    </row>
    <row r="48" spans="2:17">
      <c r="B48" s="122">
        <v>28</v>
      </c>
      <c r="C48" s="341">
        <f t="shared" si="2"/>
        <v>15172999827.797148</v>
      </c>
      <c r="D48" s="138">
        <f>IF($C$17&lt;B48,0,DCF!$C$16)</f>
        <v>6.1165848114484E-2</v>
      </c>
      <c r="E48" s="124">
        <f t="shared" si="0"/>
        <v>0.13199667788774846</v>
      </c>
      <c r="F48" s="125">
        <f t="shared" si="1"/>
        <v>2002785570.8606031</v>
      </c>
      <c r="G48" s="338"/>
      <c r="H48" s="339"/>
      <c r="I48" s="338"/>
      <c r="J48" s="338"/>
      <c r="K48" s="338"/>
      <c r="L48" s="338"/>
      <c r="M48" s="338"/>
      <c r="N48" s="338"/>
      <c r="O48" s="338"/>
      <c r="P48" s="338"/>
      <c r="Q48" s="338"/>
    </row>
    <row r="49" spans="1:17">
      <c r="B49" s="122">
        <v>29</v>
      </c>
      <c r="C49" s="341">
        <f t="shared" si="2"/>
        <v>16101069230.705278</v>
      </c>
      <c r="D49" s="138">
        <f>IF($C$17&lt;B49,0,DCF!$C$16)</f>
        <v>6.1165848114484E-2</v>
      </c>
      <c r="E49" s="124">
        <f t="shared" si="0"/>
        <v>0.1227876073374404</v>
      </c>
      <c r="F49" s="125">
        <f t="shared" si="1"/>
        <v>1977011766.4127834</v>
      </c>
      <c r="G49" s="338"/>
      <c r="H49" s="339"/>
      <c r="I49" s="338"/>
      <c r="J49" s="338"/>
      <c r="K49" s="338"/>
      <c r="L49" s="338"/>
      <c r="M49" s="338"/>
      <c r="N49" s="338"/>
      <c r="O49" s="338"/>
      <c r="P49" s="338"/>
      <c r="Q49" s="338"/>
    </row>
    <row r="50" spans="1:17">
      <c r="B50" s="122">
        <v>30</v>
      </c>
      <c r="C50" s="341">
        <f t="shared" si="2"/>
        <v>17085904785.751389</v>
      </c>
      <c r="D50" s="138">
        <f>IF($C$17&lt;B50,0,DCF!$C$16)</f>
        <v>6.1165848114484E-2</v>
      </c>
      <c r="E50" s="124">
        <f t="shared" si="0"/>
        <v>0.11422103008133992</v>
      </c>
      <c r="F50" s="125">
        <f t="shared" si="1"/>
        <v>1951569644.5002191</v>
      </c>
      <c r="G50" s="338"/>
      <c r="H50" s="339"/>
      <c r="I50" s="338"/>
      <c r="J50" s="338"/>
      <c r="K50" s="338"/>
      <c r="L50" s="338"/>
      <c r="M50" s="338"/>
      <c r="N50" s="338"/>
      <c r="O50" s="338"/>
      <c r="P50" s="338"/>
      <c r="Q50" s="338"/>
    </row>
    <row r="51" spans="1:17">
      <c r="B51" s="126" t="s">
        <v>127</v>
      </c>
      <c r="C51" s="123">
        <f>C$21*(1+Terminal_Growth)^$C$17/Equity_Cost</f>
        <v>40725089610.018684</v>
      </c>
      <c r="D51" s="139">
        <f>Terminal_Growth</f>
        <v>0</v>
      </c>
      <c r="E51" s="124">
        <f>1/(1+Equity_Cost)^C17</f>
        <v>0.11422103008133992</v>
      </c>
      <c r="F51" s="125">
        <f t="shared" si="1"/>
        <v>4651661685.4112082</v>
      </c>
      <c r="H51" s="120"/>
    </row>
    <row r="52" spans="1:17">
      <c r="C52" s="114"/>
      <c r="E52" s="127" t="s">
        <v>97</v>
      </c>
      <c r="F52" s="137">
        <f>SUM(F21:F51)</f>
        <v>75739695988.437469</v>
      </c>
      <c r="H52" s="120"/>
    </row>
    <row r="53" spans="1:17">
      <c r="C53" s="114"/>
      <c r="H53" s="120"/>
    </row>
    <row r="54" spans="1:17" ht="13.15">
      <c r="B54" s="119" t="s">
        <v>125</v>
      </c>
      <c r="C54" s="136"/>
      <c r="D54" s="136"/>
      <c r="E54" s="117"/>
      <c r="F54" s="117"/>
      <c r="H54" s="120"/>
    </row>
    <row r="55" spans="1:17" ht="13.15">
      <c r="A55" s="133">
        <f>F52</f>
        <v>75739695988.437469</v>
      </c>
      <c r="B55" s="131">
        <f>C78</f>
        <v>0.02</v>
      </c>
      <c r="C55" s="131">
        <f>C77</f>
        <v>0.04</v>
      </c>
      <c r="D55" s="131">
        <f>C76</f>
        <v>0.06</v>
      </c>
      <c r="E55" s="131">
        <f>C75</f>
        <v>0.08</v>
      </c>
      <c r="F55" s="131">
        <f>C74</f>
        <v>0.1</v>
      </c>
      <c r="H55" s="120"/>
    </row>
    <row r="56" spans="1:17" ht="13.15">
      <c r="A56" s="143">
        <v>5</v>
      </c>
      <c r="B56" s="123">
        <f t="dataTable" ref="B56:F61" dt2D="1" dtr="1" r1="C16" r2="C17"/>
        <v>39594661639.150467</v>
      </c>
      <c r="C56" s="123">
        <v>40847090253.495003</v>
      </c>
      <c r="D56" s="123">
        <v>42136530257.074844</v>
      </c>
      <c r="E56" s="123">
        <v>43464588471.473793</v>
      </c>
      <c r="F56" s="123">
        <v>44832920798.793854</v>
      </c>
      <c r="H56" s="120"/>
    </row>
    <row r="57" spans="1:17" ht="13.15">
      <c r="A57" s="143">
        <v>10</v>
      </c>
      <c r="B57" s="123">
        <v>40801449240.535049</v>
      </c>
      <c r="C57" s="123">
        <v>43466596564.562134</v>
      </c>
      <c r="D57" s="123">
        <v>46402110441.571091</v>
      </c>
      <c r="E57" s="123">
        <v>49640220667.758057</v>
      </c>
      <c r="F57" s="123">
        <v>53216726282.425827</v>
      </c>
      <c r="H57" s="120"/>
    </row>
    <row r="58" spans="1:17" ht="13.15">
      <c r="A58" s="143">
        <v>15</v>
      </c>
      <c r="B58" s="123">
        <v>42329383666.43885</v>
      </c>
      <c r="C58" s="341">
        <v>46959662283.924202</v>
      </c>
      <c r="D58" s="123">
        <v>52404010521.010147</v>
      </c>
      <c r="E58" s="123">
        <v>58824789423.472221</v>
      </c>
      <c r="F58" s="123">
        <v>66416300628.461845</v>
      </c>
      <c r="G58" s="338"/>
      <c r="H58" s="339"/>
      <c r="I58" s="338"/>
      <c r="J58" s="338"/>
      <c r="K58" s="338"/>
      <c r="L58" s="338"/>
      <c r="M58" s="338"/>
      <c r="N58" s="338"/>
      <c r="O58" s="338"/>
      <c r="P58" s="338"/>
      <c r="Q58" s="338"/>
    </row>
    <row r="59" spans="1:17" ht="13.15">
      <c r="A59" s="144">
        <v>20</v>
      </c>
      <c r="B59" s="123">
        <v>43922280232.990799</v>
      </c>
      <c r="C59" s="341">
        <v>50806728470.754608</v>
      </c>
      <c r="D59" s="123">
        <v>59409735836.36982</v>
      </c>
      <c r="E59" s="123">
        <v>70219875488.860367</v>
      </c>
      <c r="F59" s="123">
        <v>83866867159.717697</v>
      </c>
      <c r="G59" s="338"/>
      <c r="H59" s="339"/>
      <c r="I59" s="338"/>
      <c r="J59" s="338"/>
      <c r="K59" s="338"/>
      <c r="L59" s="338"/>
      <c r="M59" s="338"/>
      <c r="N59" s="338"/>
      <c r="O59" s="338"/>
      <c r="P59" s="338"/>
      <c r="Q59" s="338"/>
    </row>
    <row r="60" spans="1:17" ht="13.15">
      <c r="A60" s="144">
        <v>25</v>
      </c>
      <c r="B60" s="123">
        <v>45438350126.440308</v>
      </c>
      <c r="C60" s="341">
        <v>54684708417.636208</v>
      </c>
      <c r="D60" s="123">
        <v>66923011925.660805</v>
      </c>
      <c r="E60" s="123">
        <v>83272023455.975739</v>
      </c>
      <c r="F60" s="123">
        <v>105284235899.9684</v>
      </c>
      <c r="G60" s="338"/>
      <c r="H60" s="339"/>
      <c r="I60" s="338"/>
      <c r="J60" s="338"/>
      <c r="K60" s="338"/>
      <c r="L60" s="338"/>
      <c r="M60" s="338"/>
      <c r="N60" s="338"/>
      <c r="O60" s="338"/>
      <c r="P60" s="338"/>
      <c r="Q60" s="338"/>
    </row>
    <row r="61" spans="1:17" ht="13.15">
      <c r="A61" s="144">
        <v>30</v>
      </c>
      <c r="B61" s="123">
        <v>46807021862.079124</v>
      </c>
      <c r="C61" s="341">
        <v>58401449160.957321</v>
      </c>
      <c r="D61" s="123">
        <v>74611159003.81076</v>
      </c>
      <c r="E61" s="123">
        <v>97598472747.973526</v>
      </c>
      <c r="F61" s="123">
        <v>130592965350.22932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43.076438893381919</v>
      </c>
      <c r="C65" s="124">
        <f>C12</f>
        <v>43.076438893381919</v>
      </c>
      <c r="D65" s="124">
        <f>C12</f>
        <v>43.076438893381919</v>
      </c>
      <c r="E65" s="141">
        <f>C12</f>
        <v>43.076438893381919</v>
      </c>
      <c r="F65" s="124">
        <f>C12</f>
        <v>43.076438893381919</v>
      </c>
      <c r="H65" s="120"/>
    </row>
    <row r="66" spans="1:8" ht="13.15">
      <c r="A66" s="143">
        <f t="shared" ref="A66:A71" si="3">A56</f>
        <v>5</v>
      </c>
      <c r="B66" s="124">
        <f t="shared" ref="B66:F71" si="4">(B56-$C$7+$C$8+$C$9)/Common_Shares*$C$3*Exchange_Rate</f>
        <v>44.053286081887101</v>
      </c>
      <c r="C66" s="124">
        <f t="shared" si="4"/>
        <v>45.058590735438784</v>
      </c>
      <c r="D66" s="124">
        <f t="shared" si="4"/>
        <v>46.09360384614844</v>
      </c>
      <c r="E66" s="124">
        <f t="shared" si="4"/>
        <v>47.159615184304855</v>
      </c>
      <c r="F66" s="124">
        <f t="shared" si="4"/>
        <v>48.25795391635306</v>
      </c>
      <c r="H66" s="120"/>
    </row>
    <row r="67" spans="1:8" ht="13.15">
      <c r="A67" s="143">
        <f t="shared" si="3"/>
        <v>10</v>
      </c>
      <c r="B67" s="124">
        <f t="shared" si="4"/>
        <v>45.021955415712029</v>
      </c>
      <c r="C67" s="124">
        <f t="shared" si="4"/>
        <v>47.161227048888072</v>
      </c>
      <c r="D67" s="124">
        <f t="shared" si="4"/>
        <v>49.517517640880911</v>
      </c>
      <c r="E67" s="124">
        <f t="shared" si="4"/>
        <v>52.116697539691131</v>
      </c>
      <c r="F67" s="124">
        <f t="shared" si="4"/>
        <v>54.987502068347602</v>
      </c>
      <c r="H67" s="120"/>
    </row>
    <row r="68" spans="1:8" ht="13.15">
      <c r="A68" s="143">
        <f t="shared" si="3"/>
        <v>15</v>
      </c>
      <c r="B68" s="124">
        <f t="shared" si="4"/>
        <v>46.248404229712342</v>
      </c>
      <c r="C68" s="124">
        <f t="shared" si="4"/>
        <v>49.965055692386741</v>
      </c>
      <c r="D68" s="124">
        <f t="shared" si="4"/>
        <v>54.335147971987723</v>
      </c>
      <c r="E68" s="124">
        <f t="shared" si="4"/>
        <v>59.489005713771903</v>
      </c>
      <c r="F68" s="124">
        <f t="shared" si="4"/>
        <v>65.582591770858244</v>
      </c>
      <c r="H68" s="120"/>
    </row>
    <row r="69" spans="1:8" ht="13.15">
      <c r="A69" s="144">
        <f t="shared" si="3"/>
        <v>20</v>
      </c>
      <c r="B69" s="124">
        <f t="shared" si="4"/>
        <v>47.526997127255846</v>
      </c>
      <c r="C69" s="124">
        <f t="shared" si="4"/>
        <v>53.053034915989841</v>
      </c>
      <c r="D69" s="124">
        <f t="shared" si="4"/>
        <v>59.958532954070598</v>
      </c>
      <c r="E69" s="124">
        <f t="shared" si="4"/>
        <v>68.635661194133917</v>
      </c>
      <c r="F69" s="124">
        <f t="shared" si="4"/>
        <v>79.589885711651888</v>
      </c>
      <c r="H69" s="120"/>
    </row>
    <row r="70" spans="1:8" ht="13.15">
      <c r="A70" s="144">
        <f t="shared" si="3"/>
        <v>25</v>
      </c>
      <c r="B70" s="124">
        <f t="shared" si="4"/>
        <v>48.743922468579228</v>
      </c>
      <c r="C70" s="124">
        <f t="shared" si="4"/>
        <v>56.165828126180507</v>
      </c>
      <c r="D70" s="124">
        <f t="shared" si="4"/>
        <v>65.989320920325895</v>
      </c>
      <c r="E70" s="124">
        <f t="shared" si="4"/>
        <v>79.112414072423419</v>
      </c>
      <c r="F70" s="124">
        <f t="shared" si="4"/>
        <v>96.781269088559768</v>
      </c>
    </row>
    <row r="71" spans="1:8" ht="13.15">
      <c r="A71" s="144">
        <f t="shared" si="3"/>
        <v>30</v>
      </c>
      <c r="B71" s="124">
        <f t="shared" si="4"/>
        <v>49.842533638320397</v>
      </c>
      <c r="C71" s="124">
        <f t="shared" si="4"/>
        <v>59.149197176129405</v>
      </c>
      <c r="D71" s="124">
        <f t="shared" si="4"/>
        <v>72.160475065425771</v>
      </c>
      <c r="E71" s="124">
        <f t="shared" si="4"/>
        <v>90.612028483305622</v>
      </c>
      <c r="F71" s="124">
        <f t="shared" si="4"/>
        <v>117.09618620273288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117.09618620273288</v>
      </c>
      <c r="F74" s="142">
        <f>Scenarios!C58</f>
        <v>0.05</v>
      </c>
    </row>
    <row r="75" spans="1:8">
      <c r="B75" s="127" t="str">
        <f>Scenarios!B36</f>
        <v>Optimistic</v>
      </c>
      <c r="C75" s="142">
        <f>Scenarios!C38</f>
        <v>0.08</v>
      </c>
      <c r="D75" s="145">
        <f>Scenarios!C37</f>
        <v>30</v>
      </c>
      <c r="E75" s="135">
        <f>INDEX(B$65:F$71, MATCH(D75, A$65:A$71, 0), MATCH(C75, B$64:F$64, 0))</f>
        <v>90.612028483305622</v>
      </c>
      <c r="F75" s="142">
        <f>Scenarios!C40*(1-F$74-F$78)</f>
        <v>0.18</v>
      </c>
      <c r="H75" s="120"/>
    </row>
    <row r="76" spans="1:8">
      <c r="B76" s="127" t="str">
        <f>Scenarios!B24</f>
        <v>Base</v>
      </c>
      <c r="C76" s="142">
        <f>Scenarios!C26</f>
        <v>0.06</v>
      </c>
      <c r="D76" s="145">
        <f>Scenarios!C25</f>
        <v>30</v>
      </c>
      <c r="E76" s="135">
        <f>INDEX(B$65:F$71, MATCH(D76, A$65:A$71, 0), MATCH(C76, B$64:F$64, 0))</f>
        <v>72.160475065425771</v>
      </c>
      <c r="F76" s="142">
        <f>Scenarios!C28*(1-F$74-F$78)</f>
        <v>0.44999999999999996</v>
      </c>
      <c r="H76" s="120"/>
    </row>
    <row r="77" spans="1:8">
      <c r="B77" s="127" t="str">
        <f>Scenarios!B30</f>
        <v>Pessimistic</v>
      </c>
      <c r="C77" s="142">
        <f>Scenarios!C32</f>
        <v>0.04</v>
      </c>
      <c r="D77" s="145">
        <f>Scenarios!C31</f>
        <v>30</v>
      </c>
      <c r="E77" s="135">
        <f>INDEX(B$65:F$71, MATCH(D77, A$65:A$71, 0), MATCH(C77, B$64:F$64, 0))</f>
        <v>59.149197176129405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49.842533638320397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2466723542.6008973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32889647234.678631</v>
      </c>
      <c r="D6" t="str">
        <f>Reporting_currency</f>
        <v>CNY</v>
      </c>
      <c r="E6" s="378"/>
      <c r="F6" s="378"/>
      <c r="H6" s="120"/>
    </row>
    <row r="7" spans="2:8" ht="13.15">
      <c r="B7" s="149" t="s">
        <v>421</v>
      </c>
      <c r="C7" s="111">
        <f>(C6*scaling_factor)/Common_Shares*Exchange_Rate</f>
        <v>26.400000000000009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47.580277015368338</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2617602780.1480455</v>
      </c>
      <c r="D16" s="138">
        <f>IF($C$12&lt;B16,0,DDM!$C$11)</f>
        <v>6.1165848114484E-2</v>
      </c>
      <c r="E16" s="124">
        <f t="shared" ref="E16:E45" si="0">IF($C$12&lt;B16,0,1/(1+Equity_Cost)^B16)</f>
        <v>0.93023255813953487</v>
      </c>
      <c r="F16" s="125">
        <f t="shared" ref="F16:F46" si="1">C16*E16</f>
        <v>2434979330.370275</v>
      </c>
      <c r="H16" s="120"/>
    </row>
    <row r="17" spans="2:8">
      <c r="B17" s="122">
        <v>2</v>
      </c>
      <c r="C17" s="123">
        <f t="shared" ref="C17:C45" si="2">IF(ROW()-ROW($C$16)&lt;$C$12, $C$16*(1+D17)^(ROW()-ROW($C$16)), 0)</f>
        <v>2777710674.2226315</v>
      </c>
      <c r="D17" s="138">
        <f>IF($C$12&lt;B17,0,DDM!$C$11)</f>
        <v>6.1165848114484E-2</v>
      </c>
      <c r="E17" s="124">
        <f t="shared" si="0"/>
        <v>0.86533261222282321</v>
      </c>
      <c r="F17" s="125">
        <f t="shared" si="1"/>
        <v>2403643633.7242889</v>
      </c>
      <c r="H17" s="120"/>
    </row>
    <row r="18" spans="2:8">
      <c r="B18" s="122">
        <v>3</v>
      </c>
      <c r="C18" s="123">
        <f t="shared" si="2"/>
        <v>2947611703.4281135</v>
      </c>
      <c r="D18" s="138">
        <f>IF($C$12&lt;B18,0,DDM!$C$11)</f>
        <v>6.1165848114484E-2</v>
      </c>
      <c r="E18" s="124">
        <f t="shared" si="0"/>
        <v>0.80496056950960304</v>
      </c>
      <c r="F18" s="125">
        <f t="shared" si="1"/>
        <v>2372711195.4846654</v>
      </c>
      <c r="H18" s="120"/>
    </row>
    <row r="19" spans="2:8">
      <c r="B19" s="122">
        <v>4</v>
      </c>
      <c r="C19" s="123">
        <f t="shared" si="2"/>
        <v>3127904873.1804729</v>
      </c>
      <c r="D19" s="138">
        <f>IF($C$12&lt;B19,0,DDM!$C$11)</f>
        <v>6.1165848114484E-2</v>
      </c>
      <c r="E19" s="124">
        <f t="shared" si="0"/>
        <v>0.7488005297763749</v>
      </c>
      <c r="F19" s="125">
        <f t="shared" si="1"/>
        <v>2342176826.1276426</v>
      </c>
      <c r="H19" s="120"/>
    </row>
    <row r="20" spans="2:8">
      <c r="B20" s="122">
        <v>5</v>
      </c>
      <c r="C20" s="123">
        <f t="shared" si="2"/>
        <v>3319225827.5699835</v>
      </c>
      <c r="D20" s="138">
        <f>IF($C$12&lt;B20,0,DDM!$C$11)</f>
        <v>6.1165848114484E-2</v>
      </c>
      <c r="E20" s="124">
        <f t="shared" si="0"/>
        <v>0.69655863235011617</v>
      </c>
      <c r="F20" s="125">
        <f t="shared" si="1"/>
        <v>2312035402.9133301</v>
      </c>
      <c r="H20" s="120"/>
    </row>
    <row r="21" spans="2:8">
      <c r="B21" s="122">
        <v>6</v>
      </c>
      <c r="C21" s="123">
        <f t="shared" si="2"/>
        <v>3522249090.396801</v>
      </c>
      <c r="D21" s="138">
        <f>IF($C$12&lt;B21,0,DDM!$C$11)</f>
        <v>6.1165848114484E-2</v>
      </c>
      <c r="E21" s="124">
        <f t="shared" si="0"/>
        <v>0.64796151846522443</v>
      </c>
      <c r="F21" s="125">
        <f t="shared" si="1"/>
        <v>2282281869.0262666</v>
      </c>
      <c r="H21" s="120"/>
    </row>
    <row r="22" spans="2:8">
      <c r="B22" s="122">
        <v>7</v>
      </c>
      <c r="C22" s="123">
        <f t="shared" si="2"/>
        <v>3737690443.2813907</v>
      </c>
      <c r="D22" s="138">
        <f>IF($C$12&lt;B22,0,DDM!$C$11)</f>
        <v>6.1165848114484E-2</v>
      </c>
      <c r="E22" s="124">
        <f t="shared" si="0"/>
        <v>0.60275490089788319</v>
      </c>
      <c r="F22" s="125">
        <f t="shared" si="1"/>
        <v>2252911232.7270398</v>
      </c>
      <c r="H22" s="120"/>
    </row>
    <row r="23" spans="2:8">
      <c r="B23" s="122">
        <v>8</v>
      </c>
      <c r="C23" s="123">
        <f t="shared" si="2"/>
        <v>3966309449.234098</v>
      </c>
      <c r="D23" s="138">
        <f>IF($C$12&lt;B23,0,DDM!$C$11)</f>
        <v>6.1165848114484E-2</v>
      </c>
      <c r="E23" s="124">
        <f t="shared" si="0"/>
        <v>0.56070223339337966</v>
      </c>
      <c r="F23" s="125">
        <f t="shared" si="1"/>
        <v>2223918566.5148244</v>
      </c>
      <c r="H23" s="120"/>
    </row>
    <row r="24" spans="2:8">
      <c r="B24" s="122">
        <v>9</v>
      </c>
      <c r="C24" s="123">
        <f t="shared" si="2"/>
        <v>4208912130.5809932</v>
      </c>
      <c r="D24" s="138">
        <f>IF($C$12&lt;B24,0,DDM!$C$11)</f>
        <v>6.1165848114484E-2</v>
      </c>
      <c r="E24" s="124">
        <f t="shared" si="0"/>
        <v>0.52158347292407414</v>
      </c>
      <c r="F24" s="125">
        <f t="shared" si="1"/>
        <v>2195299006.3006988</v>
      </c>
      <c r="H24" s="120"/>
    </row>
    <row r="25" spans="2:8">
      <c r="B25" s="122">
        <v>10</v>
      </c>
      <c r="C25" s="123">
        <f t="shared" si="2"/>
        <v>4466353810.6873188</v>
      </c>
      <c r="D25" s="138">
        <f>IF($C$12&lt;B25,0,DDM!$C$11)</f>
        <v>6.1165848114484E-2</v>
      </c>
      <c r="E25" s="124">
        <f t="shared" si="0"/>
        <v>0.48519392830146441</v>
      </c>
      <c r="F25" s="125">
        <f t="shared" si="1"/>
        <v>2167047750.5915952</v>
      </c>
      <c r="H25" s="120"/>
    </row>
    <row r="26" spans="2:8">
      <c r="B26" s="122">
        <v>11</v>
      </c>
      <c r="C26" s="123">
        <f t="shared" si="2"/>
        <v>4739542129.497366</v>
      </c>
      <c r="D26" s="138">
        <f>IF($C$12&lt;B26,0,DDM!$C$11)</f>
        <v>6.1165848114484E-2</v>
      </c>
      <c r="E26" s="124">
        <f t="shared" si="0"/>
        <v>0.45134318911764126</v>
      </c>
      <c r="F26" s="125">
        <f t="shared" si="1"/>
        <v>2139160059.6847579</v>
      </c>
      <c r="H26" s="120"/>
    </row>
    <row r="27" spans="2:8">
      <c r="B27" s="122">
        <v>12</v>
      </c>
      <c r="C27" s="123">
        <f t="shared" si="2"/>
        <v>5029440243.5223989</v>
      </c>
      <c r="D27" s="138">
        <f>IF($C$12&lt;B27,0,DDM!$C$11)</f>
        <v>6.1165848114484E-2</v>
      </c>
      <c r="E27" s="124">
        <f t="shared" si="0"/>
        <v>0.41985412941175931</v>
      </c>
      <c r="F27" s="125">
        <f t="shared" si="1"/>
        <v>2111631254.8725636</v>
      </c>
      <c r="H27" s="120"/>
    </row>
    <row r="28" spans="2:8">
      <c r="B28" s="122">
        <v>13</v>
      </c>
      <c r="C28" s="123">
        <f t="shared" si="2"/>
        <v>5337070221.5585632</v>
      </c>
      <c r="D28" s="138">
        <f>IF($C$12&lt;B28,0,DDM!$C$11)</f>
        <v>6.1165848114484E-2</v>
      </c>
      <c r="E28" s="124">
        <f t="shared" si="0"/>
        <v>0.39056198084814819</v>
      </c>
      <c r="F28" s="125">
        <f t="shared" si="1"/>
        <v>2084456717.6575775</v>
      </c>
      <c r="H28" s="120"/>
    </row>
    <row r="29" spans="2:8">
      <c r="B29" s="122">
        <v>14</v>
      </c>
      <c r="C29" s="123">
        <f t="shared" si="2"/>
        <v>5663516648.1067495</v>
      </c>
      <c r="D29" s="138">
        <f>IF($C$12&lt;B29,0,DDM!$C$11)</f>
        <v>6.1165848114484E-2</v>
      </c>
      <c r="E29" s="124">
        <f t="shared" si="0"/>
        <v>0.36331347055641694</v>
      </c>
      <c r="F29" s="125">
        <f t="shared" si="1"/>
        <v>2057631888.9777088</v>
      </c>
      <c r="H29" s="120"/>
    </row>
    <row r="30" spans="2:8">
      <c r="B30" s="122">
        <v>15</v>
      </c>
      <c r="C30" s="123">
        <f t="shared" si="2"/>
        <v>6009930447.1986971</v>
      </c>
      <c r="D30" s="138">
        <f>IF($C$12&lt;B30,0,DDM!$C$11)</f>
        <v>6.1165848114484E-2</v>
      </c>
      <c r="E30" s="124">
        <f t="shared" si="0"/>
        <v>0.33796601912224833</v>
      </c>
      <c r="F30" s="125">
        <f t="shared" si="1"/>
        <v>2031152268.4413373</v>
      </c>
      <c r="H30" s="120"/>
    </row>
    <row r="31" spans="2:8">
      <c r="B31" s="122">
        <v>16</v>
      </c>
      <c r="C31" s="123">
        <f t="shared" si="2"/>
        <v>6377532940.1106644</v>
      </c>
      <c r="D31" s="138">
        <f>IF($C$12&lt;B31,0,DDM!$C$11)</f>
        <v>6.1165848114484E-2</v>
      </c>
      <c r="E31" s="124">
        <f t="shared" si="0"/>
        <v>0.31438699453232405</v>
      </c>
      <c r="F31" s="125">
        <f t="shared" si="1"/>
        <v>2005013413.572288</v>
      </c>
      <c r="H31" s="120"/>
    </row>
    <row r="32" spans="2:8">
      <c r="B32" s="122">
        <v>17</v>
      </c>
      <c r="C32" s="123">
        <f t="shared" si="2"/>
        <v>6767620151.2705917</v>
      </c>
      <c r="D32" s="138">
        <f>IF($C$12&lt;B32,0,DDM!$C$11)</f>
        <v>6.1165848114484E-2</v>
      </c>
      <c r="E32" s="124">
        <f t="shared" si="0"/>
        <v>0.29245301816960378</v>
      </c>
      <c r="F32" s="125">
        <f t="shared" si="1"/>
        <v>1979210939.0645151</v>
      </c>
      <c r="H32" s="120"/>
    </row>
    <row r="33" spans="2:8">
      <c r="B33" s="122">
        <v>18</v>
      </c>
      <c r="C33" s="123">
        <f t="shared" si="2"/>
        <v>7181567377.5397301</v>
      </c>
      <c r="D33" s="138">
        <f>IF($C$12&lt;B33,0,DDM!$C$11)</f>
        <v>6.1165848114484E-2</v>
      </c>
      <c r="E33" s="124">
        <f t="shared" si="0"/>
        <v>0.27204931922753844</v>
      </c>
      <c r="F33" s="125">
        <f t="shared" si="1"/>
        <v>1953740516.0463822</v>
      </c>
      <c r="H33" s="120"/>
    </row>
    <row r="34" spans="2:8">
      <c r="B34" s="122">
        <v>19</v>
      </c>
      <c r="C34" s="123">
        <f t="shared" si="2"/>
        <v>7620834036.9782562</v>
      </c>
      <c r="D34" s="138">
        <f>IF($C$12&lt;B34,0,DDM!$C$11)</f>
        <v>6.1165848114484E-2</v>
      </c>
      <c r="E34" s="124">
        <f t="shared" si="0"/>
        <v>0.25306913416515198</v>
      </c>
      <c r="F34" s="125">
        <f t="shared" si="1"/>
        <v>1928597871.3544071</v>
      </c>
      <c r="H34" s="120"/>
    </row>
    <row r="35" spans="2:8">
      <c r="B35" s="122">
        <v>20</v>
      </c>
      <c r="C35" s="123">
        <f t="shared" si="2"/>
        <v>8086968814.1897573</v>
      </c>
      <c r="D35" s="138">
        <f>IF($C$12&lt;B35,0,DDM!$C$11)</f>
        <v>6.1165848114484E-2</v>
      </c>
      <c r="E35" s="124">
        <f t="shared" si="0"/>
        <v>0.23541314806060654</v>
      </c>
      <c r="F35" s="125">
        <f t="shared" si="1"/>
        <v>1903778786.816361</v>
      </c>
      <c r="H35" s="120"/>
    </row>
    <row r="36" spans="2:8">
      <c r="B36" s="122">
        <v>21</v>
      </c>
      <c r="C36" s="123">
        <f t="shared" si="2"/>
        <v>8581615120.3850565</v>
      </c>
      <c r="D36" s="138">
        <f>IF($C$12&lt;B36,0,DDM!$C$11)</f>
        <v>6.1165848114484E-2</v>
      </c>
      <c r="E36" s="124">
        <f t="shared" si="0"/>
        <v>0.21898897494009908</v>
      </c>
      <c r="F36" s="125">
        <f t="shared" si="1"/>
        <v>1879279098.5435786</v>
      </c>
      <c r="H36" s="120"/>
    </row>
    <row r="37" spans="2:8">
      <c r="B37" s="122">
        <v>22</v>
      </c>
      <c r="C37" s="123">
        <f t="shared" si="2"/>
        <v>9106516887.4154873</v>
      </c>
      <c r="D37" s="138">
        <f>IF($C$12&lt;B37,0,DDM!$C$11)</f>
        <v>6.1165848114484E-2</v>
      </c>
      <c r="E37" s="124">
        <f t="shared" si="0"/>
        <v>0.20371067436288287</v>
      </c>
      <c r="F37" s="125">
        <f t="shared" si="1"/>
        <v>1855094696.2323899</v>
      </c>
      <c r="H37" s="120"/>
    </row>
    <row r="38" spans="2:8">
      <c r="B38" s="122">
        <v>23</v>
      </c>
      <c r="C38" s="123">
        <f t="shared" si="2"/>
        <v>9663524716.2031231</v>
      </c>
      <c r="D38" s="138">
        <f>IF($C$12&lt;B38,0,DDM!$C$11)</f>
        <v>6.1165848114484E-2</v>
      </c>
      <c r="E38" s="124">
        <f t="shared" si="0"/>
        <v>0.18949830173291429</v>
      </c>
      <c r="F38" s="125">
        <f t="shared" si="1"/>
        <v>1831221522.4745343</v>
      </c>
      <c r="H38" s="120"/>
    </row>
    <row r="39" spans="2:8">
      <c r="B39" s="122">
        <v>24</v>
      </c>
      <c r="C39" s="123">
        <f t="shared" si="2"/>
        <v>10254602401.244965</v>
      </c>
      <c r="D39" s="138">
        <f>IF($C$12&lt;B39,0,DDM!$C$11)</f>
        <v>6.1165848114484E-2</v>
      </c>
      <c r="E39" s="124">
        <f t="shared" si="0"/>
        <v>0.17627748998410636</v>
      </c>
      <c r="F39" s="125">
        <f t="shared" si="1"/>
        <v>1807655572.0764523</v>
      </c>
      <c r="H39" s="120"/>
    </row>
    <row r="40" spans="2:8">
      <c r="B40" s="122">
        <v>25</v>
      </c>
      <c r="C40" s="123">
        <f t="shared" si="2"/>
        <v>10881833854.193937</v>
      </c>
      <c r="D40" s="138">
        <f>IF($C$12&lt;B40,0,DDM!$C$11)</f>
        <v>6.1165848114484E-2</v>
      </c>
      <c r="E40" s="124">
        <f t="shared" si="0"/>
        <v>0.16397906045033148</v>
      </c>
      <c r="F40" s="125">
        <f t="shared" si="1"/>
        <v>1784392891.3873312</v>
      </c>
      <c r="H40" s="120"/>
    </row>
    <row r="41" spans="2:8">
      <c r="B41" s="122">
        <v>26</v>
      </c>
      <c r="C41" s="123">
        <f t="shared" si="2"/>
        <v>11547430450.926613</v>
      </c>
      <c r="D41" s="138">
        <f>IF($C$12&lt;B41,0,DDM!$C$11)</f>
        <v>6.1165848114484E-2</v>
      </c>
      <c r="E41" s="124">
        <f t="shared" si="0"/>
        <v>0.15253866088402931</v>
      </c>
      <c r="F41" s="125">
        <f t="shared" si="1"/>
        <v>1761429577.6358082</v>
      </c>
      <c r="H41" s="120"/>
    </row>
    <row r="42" spans="2:8">
      <c r="B42" s="122">
        <v>27</v>
      </c>
      <c r="C42" s="123">
        <f t="shared" si="2"/>
        <v>12253738828.000555</v>
      </c>
      <c r="D42" s="138">
        <f>IF($C$12&lt;B42,0,DDM!$C$11)</f>
        <v>6.1165848114484E-2</v>
      </c>
      <c r="E42" s="124">
        <f t="shared" si="0"/>
        <v>0.14189642872932959</v>
      </c>
      <c r="F42" s="125">
        <f t="shared" si="1"/>
        <v>1738761778.2751994</v>
      </c>
      <c r="H42" s="120"/>
    </row>
    <row r="43" spans="2:8">
      <c r="B43" s="122">
        <v>28</v>
      </c>
      <c r="C43" s="123">
        <f t="shared" si="2"/>
        <v>13003249155.98859</v>
      </c>
      <c r="D43" s="138">
        <f>IF($C$12&lt;B43,0,DDM!$C$11)</f>
        <v>6.1165848114484E-2</v>
      </c>
      <c r="E43" s="124">
        <f t="shared" si="0"/>
        <v>0.13199667788774846</v>
      </c>
      <c r="F43" s="125">
        <f t="shared" si="1"/>
        <v>1716385690.337163</v>
      </c>
      <c r="H43" s="120"/>
    </row>
    <row r="44" spans="2:8">
      <c r="B44" s="122">
        <v>29</v>
      </c>
      <c r="C44" s="123">
        <f t="shared" si="2"/>
        <v>13798603918.85858</v>
      </c>
      <c r="D44" s="138">
        <f>IF($C$12&lt;B44,0,DDM!$C$11)</f>
        <v>6.1165848114484E-2</v>
      </c>
      <c r="E44" s="124">
        <f t="shared" si="0"/>
        <v>0.1227876073374404</v>
      </c>
      <c r="F44" s="125">
        <f t="shared" si="1"/>
        <v>1694297559.7936735</v>
      </c>
      <c r="H44" s="120"/>
    </row>
    <row r="45" spans="2:8">
      <c r="B45" s="122">
        <v>30</v>
      </c>
      <c r="C45" s="123">
        <f t="shared" si="2"/>
        <v>14642607230.351406</v>
      </c>
      <c r="D45" s="138">
        <f>IF($C$12&lt;B45,0,DDM!$C$11)</f>
        <v>6.1165848114484E-2</v>
      </c>
      <c r="E45" s="124">
        <f t="shared" si="0"/>
        <v>0.11422103008133992</v>
      </c>
      <c r="F45" s="125">
        <f t="shared" si="1"/>
        <v>1672493680.9272134</v>
      </c>
      <c r="H45" s="120"/>
    </row>
    <row r="46" spans="2:8">
      <c r="B46" s="126" t="s">
        <v>127</v>
      </c>
      <c r="C46" s="123">
        <f>C$16*(1+F4)^$C$12/Equity_Cost</f>
        <v>34901370401.973946</v>
      </c>
      <c r="D46" s="139">
        <f>Terminal_Growth</f>
        <v>0</v>
      </c>
      <c r="E46" s="124">
        <f>1/(1+Equity_Cost)^C12</f>
        <v>0.11422103008133992</v>
      </c>
      <c r="F46" s="125">
        <f t="shared" si="1"/>
        <v>3986470478.5638528</v>
      </c>
      <c r="H46" s="120"/>
    </row>
    <row r="47" spans="2:8">
      <c r="C47" s="114"/>
      <c r="E47" s="127" t="s">
        <v>97</v>
      </c>
      <c r="F47" s="137">
        <f>SUM(F16:F46)</f>
        <v>64908861076.515717</v>
      </c>
      <c r="H47" s="120"/>
    </row>
    <row r="48" spans="2:8">
      <c r="C48" s="114"/>
      <c r="H48" s="120"/>
    </row>
    <row r="49" spans="1:8" ht="13.15">
      <c r="B49" s="119" t="s">
        <v>125</v>
      </c>
      <c r="C49" s="136"/>
      <c r="D49" s="136"/>
      <c r="E49" s="117"/>
      <c r="F49" s="117"/>
      <c r="H49" s="120"/>
    </row>
    <row r="50" spans="1:8" ht="13.15">
      <c r="A50" s="133">
        <f>F47</f>
        <v>64908861076.515717</v>
      </c>
      <c r="B50" s="131">
        <f>C73</f>
        <v>0.02</v>
      </c>
      <c r="C50" s="131">
        <f>C72</f>
        <v>0.04</v>
      </c>
      <c r="D50" s="131">
        <f>C71</f>
        <v>0.06</v>
      </c>
      <c r="E50" s="131">
        <f>C70</f>
        <v>0.08</v>
      </c>
      <c r="F50" s="131">
        <f>C69</f>
        <v>0.1</v>
      </c>
      <c r="H50" s="120"/>
    </row>
    <row r="51" spans="1:8" ht="13.15">
      <c r="A51" s="143">
        <v>5</v>
      </c>
      <c r="B51" s="123">
        <f t="dataTable" ref="B51:F56" dt2D="1" dtr="1" r1="C11" r2="C12"/>
        <v>33932594502.354614</v>
      </c>
      <c r="C51" s="123">
        <v>35005924859.386322</v>
      </c>
      <c r="D51" s="123">
        <v>36110973948.46167</v>
      </c>
      <c r="E51" s="123">
        <v>37249118814.439301</v>
      </c>
      <c r="F51" s="123">
        <v>38421778564.14415</v>
      </c>
      <c r="H51" s="120"/>
    </row>
    <row r="52" spans="1:8" ht="13.15">
      <c r="A52" s="143">
        <v>10</v>
      </c>
      <c r="B52" s="123">
        <v>34966810546.462997</v>
      </c>
      <c r="C52" s="123">
        <v>37250839748.668022</v>
      </c>
      <c r="D52" s="123">
        <v>39766572878.360626</v>
      </c>
      <c r="E52" s="123">
        <v>42541630846.035889</v>
      </c>
      <c r="F52" s="123">
        <v>45606693400.7798</v>
      </c>
      <c r="H52" s="120"/>
    </row>
    <row r="53" spans="1:8" ht="13.15">
      <c r="A53" s="143">
        <v>15</v>
      </c>
      <c r="B53" s="123">
        <v>36276249171.621414</v>
      </c>
      <c r="C53" s="123">
        <v>40244394377.456406</v>
      </c>
      <c r="D53" s="123">
        <v>44910196619.746017</v>
      </c>
      <c r="E53" s="123">
        <v>50412799189.560364</v>
      </c>
      <c r="F53" s="123">
        <v>56918718440.156624</v>
      </c>
      <c r="H53" s="120"/>
    </row>
    <row r="54" spans="1:8" ht="13.15">
      <c r="A54" s="144">
        <v>20</v>
      </c>
      <c r="B54" s="123">
        <v>37641360301.237816</v>
      </c>
      <c r="C54" s="123">
        <v>43541327133.97628</v>
      </c>
      <c r="D54" s="123">
        <v>50914097814.495079</v>
      </c>
      <c r="E54" s="123">
        <v>60178379163.4506</v>
      </c>
      <c r="F54" s="123">
        <v>71873840505.297974</v>
      </c>
      <c r="H54" s="120"/>
    </row>
    <row r="55" spans="1:8" ht="13.15">
      <c r="A55" s="144">
        <v>25</v>
      </c>
      <c r="B55" s="123">
        <v>38940631031.22892</v>
      </c>
      <c r="C55" s="123">
        <v>46864752959.02948</v>
      </c>
      <c r="D55" s="123">
        <v>57352969631.246826</v>
      </c>
      <c r="E55" s="123">
        <v>71364059909.739197</v>
      </c>
      <c r="F55" s="123">
        <v>90228509005.653046</v>
      </c>
      <c r="H55" s="120"/>
    </row>
    <row r="56" spans="1:8" ht="13.15">
      <c r="A56" s="144">
        <v>30</v>
      </c>
      <c r="B56" s="123">
        <v>40113581653.601318</v>
      </c>
      <c r="C56" s="123">
        <v>50049996910.926056</v>
      </c>
      <c r="D56" s="123">
        <v>63941705750.647652</v>
      </c>
      <c r="E56" s="123">
        <v>83641815909.12944</v>
      </c>
      <c r="F56" s="123">
        <v>111918070634.74768</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26.400000000000009</v>
      </c>
      <c r="C60" s="124">
        <f>C7</f>
        <v>26.400000000000009</v>
      </c>
      <c r="D60" s="124">
        <f>C7</f>
        <v>26.400000000000009</v>
      </c>
      <c r="E60" s="141">
        <f>C7</f>
        <v>26.400000000000009</v>
      </c>
      <c r="F60" s="124">
        <f>C7</f>
        <v>26.400000000000009</v>
      </c>
      <c r="H60" s="120"/>
    </row>
    <row r="61" spans="1:8" ht="13.15">
      <c r="A61" s="143">
        <f t="shared" ref="A61:A66" si="3">A51</f>
        <v>5</v>
      </c>
      <c r="B61" s="124">
        <f t="shared" ref="B61:F66" si="4">B51/Common_Shares*$C$3*Exchange_Rate</f>
        <v>27.237157287525257</v>
      </c>
      <c r="C61" s="124">
        <f t="shared" si="4"/>
        <v>28.098702600658321</v>
      </c>
      <c r="D61" s="124">
        <f t="shared" si="4"/>
        <v>28.98570803867436</v>
      </c>
      <c r="E61" s="124">
        <f t="shared" si="4"/>
        <v>29.899278933716616</v>
      </c>
      <c r="F61" s="124">
        <f t="shared" si="4"/>
        <v>30.840554380403862</v>
      </c>
      <c r="H61" s="120"/>
    </row>
    <row r="62" spans="1:8" ht="13.15">
      <c r="A62" s="143">
        <f t="shared" si="3"/>
        <v>10</v>
      </c>
      <c r="B62" s="124">
        <f t="shared" si="4"/>
        <v>28.067306159893612</v>
      </c>
      <c r="C62" s="124">
        <f t="shared" si="4"/>
        <v>29.900660300421894</v>
      </c>
      <c r="D62" s="124">
        <f t="shared" si="4"/>
        <v>31.919999521362421</v>
      </c>
      <c r="E62" s="124">
        <f t="shared" si="4"/>
        <v>34.147494691009008</v>
      </c>
      <c r="F62" s="124">
        <f t="shared" si="4"/>
        <v>36.607771959046119</v>
      </c>
      <c r="H62" s="120"/>
    </row>
    <row r="63" spans="1:8" ht="13.15">
      <c r="A63" s="143">
        <f t="shared" si="3"/>
        <v>15</v>
      </c>
      <c r="B63" s="124">
        <f t="shared" si="4"/>
        <v>29.118371848057414</v>
      </c>
      <c r="C63" s="124">
        <f t="shared" si="4"/>
        <v>32.303539286508581</v>
      </c>
      <c r="D63" s="124">
        <f t="shared" si="4"/>
        <v>36.04870500134691</v>
      </c>
      <c r="E63" s="124">
        <f t="shared" si="4"/>
        <v>40.465557113093745</v>
      </c>
      <c r="F63" s="124">
        <f t="shared" si="4"/>
        <v>45.687755666644748</v>
      </c>
      <c r="H63" s="120"/>
    </row>
    <row r="64" spans="1:8" ht="13.15">
      <c r="A64" s="144">
        <f t="shared" si="3"/>
        <v>20</v>
      </c>
      <c r="B64" s="124">
        <f t="shared" si="4"/>
        <v>30.214124975621331</v>
      </c>
      <c r="C64" s="124">
        <f t="shared" si="4"/>
        <v>34.949935100701175</v>
      </c>
      <c r="D64" s="124">
        <f t="shared" si="4"/>
        <v>40.867941596084563</v>
      </c>
      <c r="E64" s="124">
        <f t="shared" si="4"/>
        <v>48.304233808867721</v>
      </c>
      <c r="F64" s="124">
        <f t="shared" si="4"/>
        <v>57.691995776080802</v>
      </c>
      <c r="H64" s="120"/>
    </row>
    <row r="65" spans="1:8" ht="13.15">
      <c r="A65" s="144">
        <f t="shared" si="3"/>
        <v>25</v>
      </c>
      <c r="B65" s="124">
        <f t="shared" si="4"/>
        <v>31.257029055042363</v>
      </c>
      <c r="C65" s="124">
        <f t="shared" si="4"/>
        <v>37.617596482270933</v>
      </c>
      <c r="D65" s="124">
        <f t="shared" si="4"/>
        <v>46.036322234202622</v>
      </c>
      <c r="E65" s="124">
        <f t="shared" si="4"/>
        <v>57.282802949331305</v>
      </c>
      <c r="F65" s="124">
        <f t="shared" si="4"/>
        <v>72.42499807774287</v>
      </c>
    </row>
    <row r="66" spans="1:8" ht="13.15">
      <c r="A66" s="144">
        <f t="shared" si="3"/>
        <v>30</v>
      </c>
      <c r="B66" s="124">
        <f t="shared" si="4"/>
        <v>32.198537980622483</v>
      </c>
      <c r="C66" s="124">
        <f t="shared" si="4"/>
        <v>40.174341458282868</v>
      </c>
      <c r="D66" s="124">
        <f t="shared" si="4"/>
        <v>51.324996579386166</v>
      </c>
      <c r="E66" s="124">
        <f t="shared" si="4"/>
        <v>67.137963634732003</v>
      </c>
      <c r="F66" s="124">
        <f t="shared" si="4"/>
        <v>89.834866384397984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89.834866384397984</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51.324996579386166</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-52.35</v>
      </c>
    </row>
    <row r="4" spans="2:9">
      <c r="B4" s="152" t="s">
        <v>142</v>
      </c>
      <c r="C4" s="120">
        <v>3</v>
      </c>
      <c r="D4" s="120"/>
      <c r="E4" s="155" t="s">
        <v>146</v>
      </c>
      <c r="F4" s="155"/>
      <c r="H4" s="247">
        <v>1</v>
      </c>
      <c r="I4" s="124">
        <f t="shared" ref="I4:I13" si="0">IF(ROW()-3 &lt; $C$76, $C$77, IF(ROW()-3 = $C$76, $C$77 + $C$60, ""))</f>
        <v>1.8081874728771878</v>
      </c>
    </row>
    <row r="5" spans="2:9">
      <c r="H5" s="247">
        <v>2</v>
      </c>
      <c r="I5" s="124">
        <f t="shared" si="0"/>
        <v>1.8081874728771878</v>
      </c>
    </row>
    <row r="6" spans="2:9" ht="13.15">
      <c r="B6" s="159" t="s">
        <v>92</v>
      </c>
      <c r="C6" s="107">
        <f>DCF!C3</f>
        <v>1</v>
      </c>
      <c r="E6" s="100" t="s">
        <v>274</v>
      </c>
      <c r="F6" s="100"/>
      <c r="H6" s="247">
        <v>3</v>
      </c>
      <c r="I6" s="124">
        <f t="shared" si="0"/>
        <v>74.907785608921401</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3154768990.6296682</v>
      </c>
      <c r="D8" t="str">
        <f>Reporting_currency</f>
        <v>CNY</v>
      </c>
      <c r="E8" s="380"/>
      <c r="F8" s="380"/>
      <c r="H8" s="247">
        <v>5</v>
      </c>
      <c r="I8" s="124" t="str">
        <f t="shared" si="0"/>
        <v/>
      </c>
    </row>
    <row r="9" spans="2:9">
      <c r="B9" s="100" t="s">
        <v>55</v>
      </c>
      <c r="C9" s="338">
        <f>Normalized_FCF!C19</f>
        <v>2878326442.73139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0.22851051829259084</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52.35</v>
      </c>
      <c r="D21" t="str">
        <f>Market_currency</f>
        <v>HKD</v>
      </c>
      <c r="E21" s="381"/>
      <c r="F21" s="381"/>
    </row>
    <row r="22" spans="2:6">
      <c r="B22" s="100" t="s">
        <v>273</v>
      </c>
      <c r="C22" s="160">
        <f>IF(valuation_method="DCF",DCF!C12,DDM!C7)</f>
        <v>43.076438893381919</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72.160475065425771</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59.149197176129405</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90.612028483305622</v>
      </c>
      <c r="D39" t="str">
        <f>Market_currency</f>
        <v>HKD</v>
      </c>
      <c r="E39" s="379"/>
      <c r="F39" s="379"/>
    </row>
    <row r="40" spans="2:6">
      <c r="B40" s="100" t="s">
        <v>143</v>
      </c>
      <c r="C40" s="167">
        <f>1-C28-C34</f>
        <v>0.2</v>
      </c>
      <c r="D40" s="165"/>
      <c r="E40" s="379"/>
      <c r="F40" s="379"/>
    </row>
    <row r="42" spans="2:6" ht="13.15">
      <c r="B42" s="100" t="s">
        <v>116</v>
      </c>
      <c r="C42" s="154">
        <f>C27*C28+C33*C34+C39*C40</f>
        <v>71.947402382212829</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49.842533638320397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117.09618620273288</v>
      </c>
      <c r="D57" t="str">
        <f>Market_currency</f>
        <v>HKD</v>
      </c>
      <c r="E57" s="379"/>
      <c r="F57" s="379"/>
    </row>
    <row r="58" spans="2:6">
      <c r="B58" s="100" t="s">
        <v>143</v>
      </c>
      <c r="C58" s="165">
        <v>0.05</v>
      </c>
      <c r="D58" s="165"/>
      <c r="E58" s="379"/>
      <c r="F58" s="379"/>
    </row>
    <row r="60" spans="2:6" ht="13.15">
      <c r="B60" s="100" t="s">
        <v>116</v>
      </c>
      <c r="C60" s="154">
        <f>C51*C52+C57*C58+C42*(1-C52-C58)</f>
        <v>73.099598136044207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73.06633386596441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0.16787064919657191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1.8081874728771878</v>
      </c>
      <c r="D77" t="str">
        <f>Market_currency</f>
        <v>HKD</v>
      </c>
    </row>
    <row r="79" spans="2:6" ht="13.15">
      <c r="B79" s="109" t="s">
        <v>296</v>
      </c>
    </row>
    <row r="80" spans="2:6">
      <c r="B80" s="148" t="s">
        <v>294</v>
      </c>
      <c r="C80" s="167">
        <f>Thesis!F29</f>
        <v>0.35</v>
      </c>
    </row>
    <row r="81" spans="2:8">
      <c r="B81" s="100" t="s">
        <v>117</v>
      </c>
      <c r="C81" s="116">
        <f>PV(C80, C76, -C77, 0)</f>
        <v>3.0664684166357028</v>
      </c>
      <c r="D81" s="116"/>
      <c r="E81" s="100"/>
      <c r="F81" s="100"/>
    </row>
    <row r="82" spans="2:8">
      <c r="B82" s="100" t="s">
        <v>118</v>
      </c>
      <c r="C82" s="116">
        <f>C60/(1+C80)^C76</f>
        <v>29.710754716677009</v>
      </c>
      <c r="D82" s="116"/>
    </row>
    <row r="83" spans="2:8" ht="13.15">
      <c r="B83" s="110" t="s">
        <v>98</v>
      </c>
      <c r="C83" s="111">
        <f>C81+C82</f>
        <v>32.77722313331271</v>
      </c>
      <c r="D83" t="str">
        <f>Market_currency</f>
        <v>HKD</v>
      </c>
      <c r="E83" s="146" t="s">
        <v>122</v>
      </c>
      <c r="F83" s="291">
        <f>(1-C83/C60)</f>
        <v>0.55160870963597264</v>
      </c>
    </row>
    <row r="84" spans="2:8">
      <c r="E84" s="120"/>
    </row>
    <row r="85" spans="2:8" ht="13.15">
      <c r="B85" s="109" t="s">
        <v>297</v>
      </c>
    </row>
    <row r="86" spans="2:8">
      <c r="B86" s="148" t="s">
        <v>295</v>
      </c>
      <c r="C86" s="116">
        <f>Market_Price</f>
        <v>52.35</v>
      </c>
      <c r="D86" t="str">
        <f>Market_currency</f>
        <v>HKD</v>
      </c>
    </row>
    <row r="87" spans="2:8" ht="13.15">
      <c r="B87" s="100" t="s">
        <v>293</v>
      </c>
      <c r="C87" s="237">
        <f ca="1">IRR(OFFSET($I$3, 0, 0, $C$76 + 1, 1))</f>
        <v>0.14881263472361206</v>
      </c>
    </row>
    <row r="88" spans="2:8">
      <c r="B88" s="100"/>
    </row>
    <row r="89" spans="2:8" ht="13.15">
      <c r="B89" s="109" t="s">
        <v>392</v>
      </c>
    </row>
    <row r="90" spans="2:8">
      <c r="B90" s="148" t="s">
        <v>393</v>
      </c>
      <c r="C90" s="167">
        <f>Thesis!F30</f>
        <v>0.25</v>
      </c>
    </row>
    <row r="91" spans="2:8">
      <c r="B91" s="100" t="s">
        <v>117</v>
      </c>
      <c r="C91" s="116">
        <f>PV(C90, C76, -C77, 0)</f>
        <v>3.5295819470562706</v>
      </c>
      <c r="D91" s="116"/>
      <c r="E91" s="100"/>
      <c r="F91" s="100"/>
    </row>
    <row r="92" spans="2:8">
      <c r="B92" s="100" t="s">
        <v>118</v>
      </c>
      <c r="C92" s="116">
        <f>C60/(1+C90)^C76</f>
        <v>37.426994245654633</v>
      </c>
      <c r="D92" s="116"/>
    </row>
    <row r="93" spans="2:8" ht="13.15">
      <c r="B93" s="110" t="s">
        <v>98</v>
      </c>
      <c r="C93" s="111">
        <f>C91+C92</f>
        <v>40.956576192710905</v>
      </c>
      <c r="D93" t="str">
        <f>Market_currency</f>
        <v>HKD</v>
      </c>
      <c r="E93" s="146" t="s">
        <v>122</v>
      </c>
      <c r="F93" s="291">
        <f>(1-C93/C60)</f>
        <v>0.43971543979643446</v>
      </c>
    </row>
    <row r="95" spans="2:8" ht="13.15">
      <c r="B95" s="109" t="s">
        <v>378</v>
      </c>
      <c r="G95" s="2"/>
      <c r="H95" s="281"/>
    </row>
    <row r="96" spans="2:8">
      <c r="B96" s="148" t="s">
        <v>383</v>
      </c>
      <c r="C96" s="134">
        <f>Thesis!F31</f>
        <v>7.4999999999999997E-2</v>
      </c>
      <c r="G96" s="2"/>
      <c r="H96" s="281"/>
    </row>
    <row r="97" spans="2:8">
      <c r="B97" s="100" t="s">
        <v>117</v>
      </c>
      <c r="C97" s="116">
        <f>PV(C96, C76, -C77, 0)</f>
        <v>4.7022380657311578</v>
      </c>
      <c r="D97" s="116"/>
      <c r="G97" s="2"/>
      <c r="H97" s="281"/>
    </row>
    <row r="98" spans="2:8">
      <c r="B98" s="100" t="s">
        <v>118</v>
      </c>
      <c r="C98" s="116">
        <f>C60/(1+C96)^C76</f>
        <v>58.842294146513261</v>
      </c>
      <c r="D98" s="116"/>
      <c r="G98" s="2"/>
      <c r="H98" s="281"/>
    </row>
    <row r="99" spans="2:8" ht="13.15">
      <c r="B99" s="110" t="s">
        <v>379</v>
      </c>
      <c r="C99" s="111">
        <f>C97+C98</f>
        <v>63.54453221224442</v>
      </c>
      <c r="D99" t="s">
        <v>377</v>
      </c>
      <c r="E99" s="146" t="s">
        <v>122</v>
      </c>
      <c r="F99" s="291">
        <f>(1-C99/C60)</f>
        <v>0.13071297472822008</v>
      </c>
    </row>
    <row r="100" spans="2:8">
      <c r="B100" s="100"/>
    </row>
    <row r="101" spans="2:8" ht="13.15">
      <c r="B101" s="109" t="s">
        <v>399</v>
      </c>
    </row>
    <row r="102" spans="2:8">
      <c r="B102" s="148" t="s">
        <v>398</v>
      </c>
      <c r="C102" s="134">
        <f>Thesis!F32</f>
        <v>0.1174</v>
      </c>
    </row>
    <row r="103" spans="2:8">
      <c r="B103" s="100" t="s">
        <v>117</v>
      </c>
      <c r="C103" s="116">
        <f>PV(C102, C76, -C77, 0)</f>
        <v>4.3624387493466097</v>
      </c>
      <c r="D103" s="116"/>
    </row>
    <row r="104" spans="2:8">
      <c r="B104" s="100" t="s">
        <v>118</v>
      </c>
      <c r="C104" s="116">
        <f>C60/(1+C102)^C76</f>
        <v>52.39489668921518</v>
      </c>
      <c r="D104" s="116"/>
    </row>
    <row r="105" spans="2:8" ht="13.15">
      <c r="B105" s="110" t="s">
        <v>379</v>
      </c>
      <c r="C105" s="111">
        <f>C103+C104</f>
        <v>56.757335438561789</v>
      </c>
      <c r="D105" t="s">
        <v>377</v>
      </c>
      <c r="E105" s="146" t="s">
        <v>122</v>
      </c>
      <c r="F105" s="291">
        <f>(1-C105/C66)</f>
        <v>0.223208111923618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