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E2E0627-8E99-49F5-9F7D-4B46FF29CC66}"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D62" i="4" s="1"/>
  <c r="E20" i="4"/>
  <c r="E62" i="4" s="1"/>
  <c r="F20" i="4"/>
  <c r="F62" i="4" s="1"/>
  <c r="C25" i="4"/>
  <c r="D25" i="4"/>
  <c r="E25" i="4"/>
  <c r="F25" i="4"/>
  <c r="G25" i="4"/>
  <c r="C28" i="4"/>
  <c r="C29" i="4"/>
  <c r="C30" i="4"/>
  <c r="C3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9" i="2" l="1"/>
  <c r="G62" i="4"/>
  <c r="K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D69" i="8"/>
  <c r="F66" i="8"/>
  <c r="C67" i="8"/>
  <c r="C70" i="8"/>
  <c r="E66" i="8"/>
  <c r="E67" i="8"/>
  <c r="B70" i="8"/>
  <c r="C66" i="8"/>
  <c r="E70" i="8"/>
  <c r="F71" i="8"/>
  <c r="B68" i="8"/>
  <c r="B66" i="8"/>
  <c r="G54" i="2"/>
  <c r="E68" i="8" l="1"/>
  <c r="D66" i="8"/>
  <c r="D70" i="8"/>
  <c r="B69" i="8"/>
  <c r="B67" i="8"/>
  <c r="D71" i="8"/>
  <c r="F69" i="8"/>
  <c r="C69" i="8"/>
  <c r="C68" i="8"/>
  <c r="D67" i="8"/>
  <c r="E71" i="8"/>
  <c r="F70" i="8"/>
  <c r="F67"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1" i="8"/>
  <c r="F41" i="8" s="1"/>
  <c r="C38" i="8"/>
  <c r="F38" i="8" s="1"/>
  <c r="C50" i="8"/>
  <c r="F50" i="8" s="1"/>
  <c r="C47" i="8"/>
  <c r="F47" i="8" s="1"/>
  <c r="C45" i="8"/>
  <c r="F45" i="8" s="1"/>
  <c r="C42" i="8"/>
  <c r="F42" i="8" s="1"/>
  <c r="C43" i="8"/>
  <c r="F43" i="8" s="1"/>
  <c r="C48" i="8"/>
  <c r="F48" i="8" s="1"/>
  <c r="C39" i="8"/>
  <c r="F39" i="8" s="1"/>
  <c r="C40" i="8"/>
  <c r="F40" i="8" s="1"/>
  <c r="C46" i="8"/>
  <c r="F46" i="8" s="1"/>
  <c r="C44" i="8"/>
  <c r="F44"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<sst xmlns="http://schemas.openxmlformats.org/spreadsheetml/2006/main" count="626" uniqueCount="439">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</sst>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1364196788</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54.25</v>
      </c>
      <c r="D12" s="50"/>
      <c r="E12" s="48"/>
    </row>
    <row r="13" spans="1:10">
      <c r="B13" s="1" t="s">
        <v>426</v>
      </c>
      <c r="C13" s="48" t="s">
        <v>404</v>
      </c>
      <c r="D13" s="48"/>
      <c r="E13" s="5"/>
    </row>
    <row r="14" spans="1:10">
      <c r="B14" s="4" t="s">
        <v>430</v>
      </c>
      <c r="C14" s="35">
        <f>Thesis!C12*Common_Shares/1000000</f>
        <v>74007.675749000002</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1.0828863799999999</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27.987109440361163</v>
      </c>
      <c r="D25" s="1" t="s">
        <v>315</v>
      </c>
      <c r="E25" s="330">
        <v>3</v>
      </c>
    </row>
    <row r="26" spans="1:6">
      <c r="B26" s="1" t="s">
        <v>407</v>
      </c>
      <c r="C26" s="280">
        <f ca="1">Scenarios!C87</f>
        <v>0.11274933088119332</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3878068070.3077545</v>
      </c>
      <c r="D35" s="1" t="str">
        <f>Reporting_currency</f>
        <v>CNY</v>
      </c>
    </row>
    <row r="36" spans="2:6">
      <c r="B36" s="47"/>
      <c r="C36" s="76"/>
    </row>
    <row r="37" spans="2:6" ht="24.4" customHeight="1">
      <c r="B37" s="346" t="s">
        <v>234</v>
      </c>
      <c r="C37" s="346"/>
      <c r="D37" s="346"/>
      <c r="E37" s="346"/>
      <c r="F37" s="346"/>
    </row>
    <row r="38" spans="2:6">
      <c r="B38" s="47" t="s">
        <v>235</v>
      </c>
      <c r="C38" s="188">
        <f>Normalized_FCF!C9</f>
        <v>1191305772</v>
      </c>
      <c r="D38" s="1" t="str">
        <f>Reporting_currency</f>
        <v>CNY</v>
      </c>
    </row>
    <row r="39" spans="2:6">
      <c r="B39" s="52" t="s">
        <v>236</v>
      </c>
      <c r="C39" s="188">
        <f>Normalized_FCF!C10</f>
        <v>-1191305772</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177225904.43726471</v>
      </c>
      <c r="D45" s="1" t="str">
        <f>Reporting_currency</f>
        <v>CNY</v>
      </c>
      <c r="E45" s="321"/>
      <c r="F45" s="321"/>
    </row>
    <row r="46" spans="2:6">
      <c r="B46" s="47" t="s">
        <v>349</v>
      </c>
      <c r="C46" s="322">
        <f>Normalized_FCF!C47</f>
        <v>-21837054</v>
      </c>
      <c r="D46" s="1" t="str">
        <f>Reporting_currency</f>
        <v>CNY</v>
      </c>
      <c r="E46" s="321"/>
      <c r="F46" s="321"/>
    </row>
    <row r="47" spans="2:6">
      <c r="B47" s="47" t="s">
        <v>239</v>
      </c>
      <c r="C47" s="188">
        <f>Normalized_FCF!C12</f>
        <v>155388850.43726471</v>
      </c>
      <c r="D47" s="1" t="str">
        <f>Reporting_currency</f>
        <v>CNY</v>
      </c>
    </row>
    <row r="49" spans="2:6">
      <c r="B49" s="1" t="s">
        <v>247</v>
      </c>
    </row>
    <row r="50" spans="2:6">
      <c r="B50" s="47" t="s">
        <v>266</v>
      </c>
      <c r="C50" s="188">
        <f>Normalized_FCF!C15</f>
        <v>-146634564.47167698</v>
      </c>
      <c r="D50" s="1" t="str">
        <f>Reporting_currency</f>
        <v>CNY</v>
      </c>
    </row>
    <row r="52" spans="2:6">
      <c r="B52" s="346" t="s">
        <v>242</v>
      </c>
      <c r="C52" s="346"/>
      <c r="D52" s="346"/>
      <c r="E52" s="346"/>
      <c r="F52" s="346"/>
    </row>
    <row r="53" spans="2:6">
      <c r="B53" s="47" t="s">
        <v>240</v>
      </c>
      <c r="C53" s="188">
        <f>Normalized_FCF!C14</f>
        <v>-1008364230.1862549</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3154944568.4372644</v>
      </c>
      <c r="D61" s="1" t="str">
        <f>Reporting_currency</f>
        <v>CNY</v>
      </c>
    </row>
    <row r="62" spans="2:6">
      <c r="B62" s="47" t="s">
        <v>249</v>
      </c>
      <c r="C62" s="188">
        <f>Normalized_FCF!C19</f>
        <v>2878458126.0870876</v>
      </c>
      <c r="D62" s="1" t="str">
        <f>Reporting_currency</f>
        <v>CNY</v>
      </c>
    </row>
    <row r="63" spans="2:6">
      <c r="B63" s="254" t="s">
        <v>398</v>
      </c>
      <c r="C63" s="92">
        <f>Normalized_FCF!C125</f>
        <v>4.2117835327130211E-2</v>
      </c>
    </row>
    <row r="64" spans="2:6">
      <c r="B64" s="254" t="s">
        <v>316</v>
      </c>
      <c r="C64" s="92">
        <f>Normalized_FCF!C93</f>
        <v>3.7448984621733884E-2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28.561157081210169</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285396383</v>
      </c>
      <c r="D91" s="1" t="str">
        <f>Reporting_currency</f>
        <v>CNY</v>
      </c>
    </row>
    <row r="92" spans="1:6">
      <c r="B92" s="47" t="s">
        <v>285</v>
      </c>
      <c r="C92" s="248">
        <f>C91*scaling_factor*Exchange_Rate/Common_Shares</f>
        <v>0.22654492282235422</v>
      </c>
      <c r="D92" s="1" t="str">
        <f>Market_currency</f>
        <v>HKD</v>
      </c>
    </row>
    <row r="93" spans="1:6">
      <c r="B93" s="336" t="s">
        <v>412</v>
      </c>
      <c r="C93" s="337">
        <f>BS!G30/BS!G27</f>
        <v>0.72207550313588764</v>
      </c>
    </row>
    <row r="94" spans="1:6">
      <c r="B94" s="336" t="s">
        <v>413</v>
      </c>
      <c r="C94" s="337">
        <f>BS!G31/BS!G27</f>
        <v>9.5579625064196368E-3</v>
      </c>
    </row>
    <row r="95" spans="1:6">
      <c r="B95" s="336" t="s">
        <v>415</v>
      </c>
      <c r="C95" s="338">
        <f>BS!C50</f>
        <v>7.3592411949940734E-2</v>
      </c>
    </row>
    <row r="97" spans="1:6">
      <c r="B97" s="1" t="s">
        <v>255</v>
      </c>
    </row>
    <row r="98" spans="1:6">
      <c r="B98" s="47" t="s">
        <v>265</v>
      </c>
      <c r="C98" s="188">
        <f>BS!C66</f>
        <v>17978772896</v>
      </c>
      <c r="D98" s="1" t="str">
        <f>Reporting_currency</f>
        <v>CNY</v>
      </c>
    </row>
    <row r="99" spans="1:6">
      <c r="B99" s="47" t="s">
        <v>267</v>
      </c>
      <c r="C99" s="188">
        <f>Valuation_Model!C8</f>
        <v>12812668695.34053</v>
      </c>
      <c r="D99" s="1" t="str">
        <f>Reporting_currency</f>
        <v>CNY</v>
      </c>
    </row>
    <row r="100" spans="1:6">
      <c r="B100" s="47" t="s">
        <v>286</v>
      </c>
      <c r="C100" s="248">
        <f>C99*scaling_factor*Exchange_Rate/Common_Shares</f>
        <v>10.170574028383234</v>
      </c>
      <c r="D100" s="1" t="str">
        <f>Market_currency</f>
        <v>HKD</v>
      </c>
    </row>
    <row r="102" spans="1:6">
      <c r="B102" s="1" t="s">
        <v>257</v>
      </c>
    </row>
    <row r="103" spans="1:6">
      <c r="B103" s="47" t="s">
        <v>258</v>
      </c>
      <c r="C103" s="188">
        <f>Valuation_Model!C9</f>
        <v>2755411575.5</v>
      </c>
      <c r="D103" s="1" t="str">
        <f>Reporting_currency</f>
        <v>CNY</v>
      </c>
    </row>
    <row r="104" spans="1:6">
      <c r="B104" s="47" t="s">
        <v>287</v>
      </c>
      <c r="C104" s="248">
        <f>C103*scaling_factor*Exchange_Rate/Common_Shares</f>
        <v>2.187219389936939</v>
      </c>
      <c r="D104" s="1" t="str">
        <f>Market_currency</f>
        <v>HKD</v>
      </c>
    </row>
    <row r="106" spans="1:6" ht="24.4" customHeight="1">
      <c r="B106" s="345" t="s">
        <v>374</v>
      </c>
      <c r="C106" s="345"/>
      <c r="D106" s="345"/>
      <c r="E106" s="345"/>
      <c r="F106" s="345"/>
    </row>
    <row r="108" spans="1:6">
      <c r="B108" s="47" t="s">
        <v>283</v>
      </c>
      <c r="C108" s="248">
        <f>Valuation_Model!C12</f>
        <v>40.692405576707991</v>
      </c>
      <c r="D108" s="1" t="str">
        <f>Market_currency</f>
        <v>HKD</v>
      </c>
    </row>
    <row r="109" spans="1:6">
      <c r="B109" s="336" t="s">
        <v>414</v>
      </c>
      <c r="C109" s="248">
        <f>BS!D47</f>
        <v>1.3459203416904415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107.5 HKD</v>
      </c>
      <c r="F116" s="259">
        <f>Valuation_Model!F74</f>
        <v>0.05</v>
      </c>
    </row>
    <row r="117" spans="1:6">
      <c r="B117" s="242" t="str">
        <f>Valuation_Model!B75</f>
        <v>Optimistic</v>
      </c>
      <c r="C117" s="243">
        <f>Valuation_Model!C75</f>
        <v>0.08</v>
      </c>
      <c r="D117" s="244">
        <f>Valuation_Model!D75</f>
        <v>30</v>
      </c>
      <c r="E117" s="245" t="str">
        <f>ROUND(Valuation_Model!E75,2)&amp;" "&amp;Market_currency</f>
        <v>83.74 HKD</v>
      </c>
      <c r="F117" s="246">
        <f>Valuation_Model!F75</f>
        <v>0.18</v>
      </c>
    </row>
    <row r="118" spans="1:6">
      <c r="B118" s="242" t="str">
        <f>Valuation_Model!B76</f>
        <v>Base</v>
      </c>
      <c r="C118" s="243">
        <f>Valuation_Model!C76</f>
        <v>0.06</v>
      </c>
      <c r="D118" s="244">
        <f>Valuation_Model!D76</f>
        <v>30</v>
      </c>
      <c r="E118" s="245" t="str">
        <f>ROUND(Valuation_Model!E76,2)&amp;" "&amp;Market_currency</f>
        <v>67.12 HKD</v>
      </c>
      <c r="F118" s="246">
        <f>Valuation_Model!F76</f>
        <v>0.44999999999999996</v>
      </c>
    </row>
    <row r="119" spans="1:6">
      <c r="B119" s="242" t="str">
        <f>Valuation_Model!B77</f>
        <v>Pessimistic</v>
      </c>
      <c r="C119" s="243">
        <f>Valuation_Model!C77</f>
        <v>0.04</v>
      </c>
      <c r="D119" s="244">
        <f>Valuation_Model!D77</f>
        <v>30</v>
      </c>
      <c r="E119" s="245" t="str">
        <f>ROUND(Valuation_Model!E77,2)&amp;" "&amp;Market_currency</f>
        <v>55.34 HKD</v>
      </c>
      <c r="F119" s="246">
        <f>Valuation_Model!F77</f>
        <v>0.26999999999999996</v>
      </c>
    </row>
    <row r="120" spans="1:6">
      <c r="B120" s="242" t="str">
        <f>Valuation_Model!B78</f>
        <v>Devil's advocate</v>
      </c>
      <c r="C120" s="243">
        <f>Valuation_Model!C78</f>
        <v>0.02</v>
      </c>
      <c r="D120" s="244">
        <f>Valuation_Model!D78</f>
        <v>30</v>
      </c>
      <c r="E120" s="245" t="str">
        <f>ROUND(Valuation_Model!E78,2)&amp;" "&amp;Market_currency</f>
        <v>46.88 HKD</v>
      </c>
      <c r="F120" s="246">
        <f>Valuation_Model!F78</f>
        <v>0.05</v>
      </c>
    </row>
    <row r="122" spans="1:6">
      <c r="B122" s="235" t="s">
        <v>259</v>
      </c>
      <c r="C122" s="241">
        <f>Scenarios!C60</f>
        <v>67.938819971772304</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2.0316074157290633</v>
      </c>
      <c r="D133" s="236" t="str">
        <f>Market_currency</f>
        <v>HKD</v>
      </c>
    </row>
    <row r="135" spans="2:6">
      <c r="B135" s="234" t="s">
        <v>418</v>
      </c>
      <c r="C135" s="270" t="str">
        <f>C11</f>
        <v>0168.HK</v>
      </c>
      <c r="D135" s="270" t="str">
        <f>IF(D11="","",D11)</f>
        <v/>
      </c>
    </row>
    <row r="136" spans="2:6">
      <c r="B136" s="1" t="s">
        <v>416</v>
      </c>
      <c r="C136" s="337">
        <f>C24</f>
        <v>0.4</v>
      </c>
    </row>
    <row r="137" spans="2:6">
      <c r="B137" s="236" t="str">
        <f>"PV("&amp;C131&amp;" yrs of Dividends)"</f>
        <v>PV(3 yrs of Dividends)</v>
      </c>
      <c r="C137" s="240">
        <f>Scenarios!C81</f>
        <v>3.2280642611438459</v>
      </c>
    </row>
    <row r="138" spans="2:6">
      <c r="B138" s="236" t="str">
        <f>"+ PV(Equity Value realized at year "&amp;C131&amp;")"</f>
        <v>+ PV(Equity Value realized at year 3)</v>
      </c>
      <c r="C138" s="240">
        <f>Scenarios!C82</f>
        <v>24.759045179217317</v>
      </c>
    </row>
    <row r="139" spans="2:6">
      <c r="B139" s="80" t="s">
        <v>261</v>
      </c>
      <c r="C139" s="239">
        <f>Scenarios!C83</f>
        <v>27.987109440361163</v>
      </c>
      <c r="D139" s="342" t="str">
        <f>IF($D$11="","",C139*$E$22)</f>
        <v/>
      </c>
    </row>
    <row r="140" spans="2:6">
      <c r="B140" s="290" t="s">
        <v>426</v>
      </c>
      <c r="C140" s="340" t="str">
        <f>Market_currency</f>
        <v>HKD</v>
      </c>
      <c r="D140" s="340" t="str">
        <f>IF($D$11="","",D$13)</f>
        <v/>
      </c>
    </row>
    <row r="141" spans="2:6">
      <c r="B141" s="238" t="s">
        <v>263</v>
      </c>
      <c r="C141" s="92">
        <f>Scenarios!F83</f>
        <v>0.58805423096854725</v>
      </c>
    </row>
    <row r="143" spans="2:6">
      <c r="B143" s="234" t="s">
        <v>421</v>
      </c>
    </row>
    <row r="144" spans="2:6">
      <c r="B144" s="1" t="s">
        <v>420</v>
      </c>
      <c r="C144" s="337">
        <f>Scenarios!C90</f>
        <v>0.2</v>
      </c>
    </row>
    <row r="145" spans="1:6">
      <c r="B145" s="236" t="str">
        <f>"PV("&amp;C131&amp;" yrs of Dividends)"</f>
        <v>PV(3 yrs of Dividends)</v>
      </c>
      <c r="C145" s="240">
        <f>Scenarios!C91</f>
        <v>4.279543398873721</v>
      </c>
    </row>
    <row r="146" spans="1:6">
      <c r="B146" s="236" t="str">
        <f>"+ PV(Equity Value realized at year "&amp;C131&amp;")"</f>
        <v>+ PV(Equity Value realized at year 3)</v>
      </c>
      <c r="C146" s="240">
        <f>Scenarios!C92</f>
        <v>39.316446742923787</v>
      </c>
    </row>
    <row r="147" spans="1:6">
      <c r="B147" s="80" t="s">
        <v>261</v>
      </c>
      <c r="C147" s="239">
        <f>Scenarios!C93</f>
        <v>43.595990141797508</v>
      </c>
      <c r="D147" s="342" t="str">
        <f>IF($D$11="","",C147*$E$22)</f>
        <v/>
      </c>
    </row>
    <row r="148" spans="1:6">
      <c r="B148" s="290" t="s">
        <v>426</v>
      </c>
      <c r="C148" s="340" t="str">
        <f>Market_currency</f>
        <v>HKD</v>
      </c>
      <c r="D148" s="340" t="str">
        <f>IF($D$11="","",D$13)</f>
        <v/>
      </c>
    </row>
    <row r="149" spans="1:6">
      <c r="B149" s="238" t="s">
        <v>263</v>
      </c>
      <c r="C149" s="92">
        <f>Scenarios!F93</f>
        <v>0.35830516102706711</v>
      </c>
    </row>
    <row r="151" spans="1:6">
      <c r="B151" s="234" t="s">
        <v>408</v>
      </c>
    </row>
    <row r="152" spans="1:6">
      <c r="B152" s="1" t="s">
        <v>419</v>
      </c>
      <c r="C152" s="92">
        <f>Scenarios!C96</f>
        <v>0.08</v>
      </c>
    </row>
    <row r="153" spans="1:6">
      <c r="B153" s="236" t="str">
        <f>"PV("&amp;C131&amp;" yrs of Dividends)"</f>
        <v>PV(3 yrs of Dividends)</v>
      </c>
      <c r="C153" s="240">
        <f>Scenarios!C97</f>
        <v>5.2356493503458212</v>
      </c>
    </row>
    <row r="154" spans="1:6">
      <c r="B154" s="236" t="str">
        <f>"+ PV(Equity Value realized at year "&amp;C131&amp;")"</f>
        <v>+ PV(Equity Value realized at year 3)</v>
      </c>
      <c r="C154" s="240">
        <f>Scenarios!C98</f>
        <v>53.932025710457864</v>
      </c>
    </row>
    <row r="155" spans="1:6">
      <c r="B155" s="80" t="s">
        <v>409</v>
      </c>
      <c r="C155" s="239">
        <f>Scenarios!C99</f>
        <v>59.167675060803688</v>
      </c>
      <c r="D155" s="342" t="str">
        <f>IF($D$11="","",C155*$E$22)</f>
        <v/>
      </c>
    </row>
    <row r="156" spans="1:6">
      <c r="B156" s="290" t="s">
        <v>426</v>
      </c>
      <c r="C156" s="340" t="str">
        <f>Market_currency</f>
        <v>HKD</v>
      </c>
      <c r="D156" s="340" t="str">
        <f>IF($D$11="","",D$13)</f>
        <v/>
      </c>
    </row>
    <row r="157" spans="1:6">
      <c r="B157" s="238" t="s">
        <v>263</v>
      </c>
      <c r="C157" s="92">
        <f>Scenarios!F99</f>
        <v>0.12910358046567361</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2.0316074157290633</v>
      </c>
      <c r="D25" s="39">
        <f>2/Exchange_Rate</f>
        <v>1.8469158324809665</v>
      </c>
      <c r="E25" s="39">
        <f>1.3/Exchange_Rate</f>
        <v>1.2004952911126283</v>
      </c>
      <c r="F25" s="39">
        <f>1.1/Exchange_Rate</f>
        <v>1.0158037078645317</v>
      </c>
      <c r="G25" s="39">
        <f>0.75/Exchange_Rate</f>
        <v>0.69259343718036237</v>
      </c>
      <c r="H25" s="39"/>
      <c r="I25" s="39"/>
      <c r="J25" s="39"/>
      <c r="K25" s="39"/>
      <c r="L25" s="39"/>
      <c r="M25" s="39"/>
    </row>
    <row r="27" spans="2:13">
      <c r="B27" s="16" t="s">
        <v>28</v>
      </c>
      <c r="C27" s="97" t="s">
        <v>436</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2.0316074157290633</v>
      </c>
      <c r="D65" s="73">
        <f t="shared" ref="D65:M65" si="33">IF(D$4="","",D25)</f>
        <v>1.8469158324809665</v>
      </c>
      <c r="E65" s="73">
        <f t="shared" si="33"/>
        <v>1.2004952911126283</v>
      </c>
      <c r="F65" s="73">
        <f t="shared" si="33"/>
        <v>1.0158037078645317</v>
      </c>
      <c r="G65" s="73">
        <f t="shared" si="33"/>
        <v>0.69259343718036237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23.067855663248373</v>
      </c>
      <c r="D47" s="148">
        <f>D46*H1/Common_Shares*Exchange_Rate</f>
        <v>1.3459203416904415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12812668695.34053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-2535129153.751214</v>
      </c>
      <c r="D73" s="188">
        <f>(Normalized_FCF!C25+Normalized_FCF!C35-Normalized_FCF!C91)/12</f>
        <v>-2583052100.3297343</v>
      </c>
      <c r="F73" s="1" t="s">
        <v>359</v>
      </c>
    </row>
    <row r="74" spans="2:6" ht="15" customHeight="1">
      <c r="B74" s="288" t="s">
        <v>329</v>
      </c>
      <c r="C74" s="289">
        <f>-$C$66/C73</f>
        <v>7.091856787413346</v>
      </c>
      <c r="D74" s="289">
        <f>-$C$66/D73</f>
        <v>6.9602827189219125</v>
      </c>
      <c r="F74" s="283" t="s">
        <v>327</v>
      </c>
    </row>
    <row r="75" spans="2:6" ht="15" customHeight="1">
      <c r="B75" s="80" t="s">
        <v>328</v>
      </c>
      <c r="C75" s="293"/>
      <c r="D75" s="292">
        <f>MAX(-D73*D76,G5)</f>
        <v>5166104200.6594687</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-309051856.05196351</v>
      </c>
      <c r="D86" s="248">
        <f>C86*scaling_factor/Common_Shares</f>
        <v>-0.22654492282235422</v>
      </c>
      <c r="E86" s="269" t="str">
        <f>Market_currency</f>
        <v>HKD</v>
      </c>
    </row>
    <row r="87" spans="2:8" ht="15" customHeight="1">
      <c r="B87" s="267" t="s">
        <v>294</v>
      </c>
      <c r="C87" s="188">
        <f>Valuation_Model!C8*Exchange_Rate</f>
        <v>13874664421.636629</v>
      </c>
      <c r="D87" s="248">
        <f>C87*scaling_factor/Common_Shares</f>
        <v>10.170574028383234</v>
      </c>
      <c r="E87" s="269" t="str">
        <f>Market_currency</f>
        <v>HKD</v>
      </c>
    </row>
    <row r="88" spans="2:8" ht="15" customHeight="1">
      <c r="B88" s="268" t="s">
        <v>190</v>
      </c>
      <c r="C88" s="188">
        <f>Valuation_Model!C9*Exchange_Rate</f>
        <v>2983797666.4032917</v>
      </c>
      <c r="D88" s="248">
        <f>C88*scaling_factor/Common_Shares</f>
        <v>2.187219389936939</v>
      </c>
      <c r="E88" s="269" t="str">
        <f>Market_currency</f>
        <v>HKD</v>
      </c>
    </row>
    <row r="89" spans="2:8" ht="15" customHeight="1">
      <c r="B89" s="80" t="s">
        <v>298</v>
      </c>
      <c r="C89" s="187">
        <f>SUM(C86:C88)</f>
        <v>16549410231.987957</v>
      </c>
      <c r="D89" s="271">
        <f>SUM(D86:D88)</f>
        <v>12.131248495497818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155388850.43726471</v>
      </c>
      <c r="E12" s="302"/>
      <c r="G12" s="191">
        <f>G50</f>
        <v>155388850.43726471</v>
      </c>
      <c r="H12" s="191">
        <f t="shared" ref="H12:Q12" si="6">H50</f>
        <v>129073845.22168684</v>
      </c>
      <c r="I12" s="191">
        <f t="shared" si="6"/>
        <v>122843517.54487051</v>
      </c>
      <c r="J12" s="191">
        <f t="shared" si="6"/>
        <v>68014485.217753351</v>
      </c>
      <c r="K12" s="191">
        <f t="shared" si="6"/>
        <v>136914345.15879551</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4033456920.7450194</v>
      </c>
      <c r="E13" s="302"/>
      <c r="G13" s="184">
        <f>IF(G$4="","",SUM(G8:G12))</f>
        <v>4691453710.4372644</v>
      </c>
      <c r="H13" s="184">
        <f t="shared" ref="H13:Q13" si="7">IF(H$4="","",SUM(H8:H12))</f>
        <v>4549741637.2216873</v>
      </c>
      <c r="I13" s="184">
        <f t="shared" si="7"/>
        <v>3869796725.5448704</v>
      </c>
      <c r="J13" s="184">
        <f t="shared" si="7"/>
        <v>3025105485.2177534</v>
      </c>
      <c r="K13" s="184">
        <f t="shared" si="7"/>
        <v>2470974217.1587954</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-1008364230.1862549</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2878458126.0870876</v>
      </c>
      <c r="D16" s="61"/>
      <c r="E16" s="310"/>
      <c r="F16" s="61"/>
      <c r="G16" s="184">
        <f>IF(G$4="","",SUM(G13:G15))</f>
        <v>3154944568.4372644</v>
      </c>
      <c r="H16" s="184">
        <f t="shared" ref="H16:Q16" si="8">IF(H$4="","",SUM(H13:H15))</f>
        <v>3071185741.2216873</v>
      </c>
      <c r="I16" s="184">
        <f t="shared" si="8"/>
        <v>2574284032.5448704</v>
      </c>
      <c r="J16" s="184">
        <f t="shared" si="8"/>
        <v>1701585830.2177534</v>
      </c>
      <c r="K16" s="184">
        <f t="shared" si="8"/>
        <v>1432748449.1587954</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2878458126.0870876</v>
      </c>
      <c r="D19" s="27"/>
      <c r="E19" s="299"/>
      <c r="F19" s="27"/>
      <c r="G19" s="186">
        <f>IF(G$4="","",G16+G17)</f>
        <v>3154944568.4372644</v>
      </c>
      <c r="H19" s="186">
        <f t="shared" ref="H19:Q19" si="9">IF(H$4="","",H16+H17)</f>
        <v>3071185741.2216873</v>
      </c>
      <c r="I19" s="186">
        <f t="shared" si="9"/>
        <v>2574284032.5448704</v>
      </c>
      <c r="J19" s="186">
        <f t="shared" si="9"/>
        <v>1701585830.2177534</v>
      </c>
      <c r="K19" s="186">
        <f t="shared" si="9"/>
        <v>1432748449.1587954</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0.29622296195915621</v>
      </c>
      <c r="H43" s="6">
        <f t="shared" si="18"/>
        <v>0.30731599494819223</v>
      </c>
      <c r="I43" s="6">
        <f t="shared" si="18"/>
        <v>0.31046070199742576</v>
      </c>
      <c r="J43" s="6">
        <f t="shared" si="18"/>
        <v>0.40419469700309812</v>
      </c>
      <c r="K43" s="6">
        <f t="shared" si="18"/>
        <v>0.36932012995639996</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177225904.43726471</v>
      </c>
      <c r="E48" s="302"/>
      <c r="G48" s="328">
        <f>IFERROR(IF(G$4="","",($C$48/$C$49)*G49),0)</f>
        <v>177225904.43726471</v>
      </c>
      <c r="H48" s="328">
        <f t="shared" ref="H48:Q48" si="19">IFERROR(IF(H$4="","",($C$48/$C$49)*H49),0)</f>
        <v>145504435.22168684</v>
      </c>
      <c r="I48" s="328">
        <f t="shared" si="19"/>
        <v>132081317.54487051</v>
      </c>
      <c r="J48" s="328">
        <f t="shared" si="19"/>
        <v>90699852.217753351</v>
      </c>
      <c r="K48" s="328">
        <f t="shared" si="19"/>
        <v>150577027.15879551</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155388850.43726471</v>
      </c>
      <c r="E50" s="302"/>
      <c r="G50" s="184">
        <f>IF(G$4="","",(G47+G48))</f>
        <v>155388850.43726471</v>
      </c>
      <c r="H50" s="184">
        <f t="shared" ref="H50:Q50" si="20">IF(H$4="","",(H47+H48))</f>
        <v>129073845.22168684</v>
      </c>
      <c r="I50" s="184">
        <f t="shared" si="20"/>
        <v>122843517.54487051</v>
      </c>
      <c r="J50" s="184">
        <f t="shared" si="20"/>
        <v>68014485.217753351</v>
      </c>
      <c r="K50" s="184">
        <f t="shared" si="20"/>
        <v>136914345.15879551</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438</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4.8402945058667402E-3</v>
      </c>
      <c r="D80" s="27"/>
      <c r="E80" s="299"/>
      <c r="F80" s="27"/>
      <c r="G80" s="6">
        <f t="shared" ref="G80:Q80" si="31">IF(G$4="","",ABS(G12/G$4))</f>
        <v>4.8350759805678009E-3</v>
      </c>
      <c r="H80" s="6">
        <f t="shared" si="31"/>
        <v>3.8033904123520538E-3</v>
      </c>
      <c r="I80" s="6">
        <f t="shared" si="31"/>
        <v>3.8183879199596431E-3</v>
      </c>
      <c r="J80" s="6">
        <f t="shared" si="31"/>
        <v>2.2546134523614312E-3</v>
      </c>
      <c r="K80" s="6">
        <f t="shared" si="31"/>
        <v>4.9321243122369936E-3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0.12564041318404878</v>
      </c>
      <c r="D81" s="27"/>
      <c r="E81" s="299"/>
      <c r="F81" s="27"/>
      <c r="G81" s="65">
        <f t="shared" ref="G81:Q81" si="32">IF(G$4="","",G13/G$4)</f>
        <v>0.14597916829585497</v>
      </c>
      <c r="H81" s="65">
        <f t="shared" si="32"/>
        <v>0.13406622923464612</v>
      </c>
      <c r="I81" s="65">
        <f t="shared" si="32"/>
        <v>0.12028624191848471</v>
      </c>
      <c r="J81" s="65">
        <f t="shared" si="32"/>
        <v>0.10027927874405212</v>
      </c>
      <c r="K81" s="65">
        <f t="shared" si="32"/>
        <v>8.9012966444274394E-2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3.1410103296012196E-2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8.9662707548581938E-2</v>
      </c>
      <c r="D84" s="27"/>
      <c r="E84" s="299"/>
      <c r="F84" s="27"/>
      <c r="G84" s="65">
        <f t="shared" ref="G84:Q84" si="35">IF(G$4="","",ABS(G16/G$4))</f>
        <v>9.8169184339468002E-2</v>
      </c>
      <c r="H84" s="65">
        <f t="shared" si="35"/>
        <v>9.0497950089367035E-2</v>
      </c>
      <c r="I84" s="65">
        <f t="shared" si="35"/>
        <v>8.0017368835306343E-2</v>
      </c>
      <c r="J84" s="65">
        <f t="shared" si="35"/>
        <v>5.6405900755904674E-2</v>
      </c>
      <c r="K84" s="65">
        <f t="shared" si="35"/>
        <v>5.1612513292307739E-2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8.9662707548581938E-2</v>
      </c>
      <c r="D87" s="75"/>
      <c r="E87" s="299"/>
      <c r="F87" s="75"/>
      <c r="G87" s="65">
        <f t="shared" ref="G87:Q87" si="36">IF(G$4="","",ABS(G19/G$4))</f>
        <v>9.8169184339468002E-2</v>
      </c>
      <c r="H87" s="65">
        <f t="shared" si="36"/>
        <v>9.0497950089367035E-2</v>
      </c>
      <c r="I87" s="65">
        <f t="shared" si="36"/>
        <v>8.0017368835306343E-2</v>
      </c>
      <c r="J87" s="65">
        <f t="shared" si="36"/>
        <v>5.6405900755904674E-2</v>
      </c>
      <c r="K87" s="65">
        <f t="shared" si="36"/>
        <v>5.1612513292307739E-2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2.0316074157290633</v>
      </c>
      <c r="E90" s="302"/>
      <c r="G90" s="113">
        <f>Data!C65</f>
        <v>2.0316074157290633</v>
      </c>
      <c r="H90" s="113">
        <f>Data!D65</f>
        <v>1.8469158324809665</v>
      </c>
      <c r="I90" s="113">
        <f>Data!E65</f>
        <v>1.2004952911126283</v>
      </c>
      <c r="J90" s="113">
        <f>Data!F65</f>
        <v>1.0158037078645317</v>
      </c>
      <c r="K90" s="113">
        <f>Data!G65</f>
        <v>0.69259343718036237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2771512311.0145688</v>
      </c>
      <c r="E91" s="302"/>
      <c r="G91" s="74">
        <f t="shared" ref="G91:Q91" si="37">IF(G$4="","",G90*Common_Shares/scaling_factor)</f>
        <v>2771512311.0145688</v>
      </c>
      <c r="H91" s="74">
        <f t="shared" si="37"/>
        <v>2519556646.3768806</v>
      </c>
      <c r="I91" s="74">
        <f t="shared" si="37"/>
        <v>1637711820.1449726</v>
      </c>
      <c r="J91" s="74">
        <f t="shared" si="37"/>
        <v>1385756155.5072844</v>
      </c>
      <c r="K91" s="74">
        <f t="shared" si="37"/>
        <v>944833742.39133012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0.96284614526670265</v>
      </c>
      <c r="E92" s="302"/>
      <c r="G92" s="171">
        <f t="shared" ref="G92:Q92" si="38">IF(G$4="","",G90/(G19*scaling_factor/Common_Shares))</f>
        <v>0.87846624588633559</v>
      </c>
      <c r="H92" s="171">
        <f t="shared" si="38"/>
        <v>0.82038562909406632</v>
      </c>
      <c r="I92" s="171">
        <f t="shared" si="38"/>
        <v>0.63618147781694978</v>
      </c>
      <c r="J92" s="171">
        <f t="shared" si="38"/>
        <v>0.81439098216394301</v>
      </c>
      <c r="K92" s="171">
        <f t="shared" si="38"/>
        <v>0.65945542844319049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3.7448984621733884E-2</v>
      </c>
      <c r="E93" s="302"/>
      <c r="G93" s="23">
        <f t="shared" ref="G93:Q93" si="39">IF(G$4="","",G90/Market_Price)</f>
        <v>3.7448984621733884E-2</v>
      </c>
      <c r="H93" s="23">
        <f t="shared" si="39"/>
        <v>3.404453147430353E-2</v>
      </c>
      <c r="I93" s="23">
        <f t="shared" si="39"/>
        <v>2.2128945458297297E-2</v>
      </c>
      <c r="J93" s="23">
        <f t="shared" si="39"/>
        <v>1.8724492310866942E-2</v>
      </c>
      <c r="K93" s="23">
        <f t="shared" si="39"/>
        <v>1.2766699302863822E-2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-0.14025434978253615</v>
      </c>
      <c r="D97" s="27"/>
      <c r="E97" s="299"/>
      <c r="F97" s="27"/>
      <c r="G97" s="6">
        <f t="shared" ref="G97:Q97" si="41">IF(H5="","",G13/H13-1)</f>
        <v>3.1147279233665337E-2</v>
      </c>
      <c r="H97" s="6">
        <f t="shared" si="41"/>
        <v>0.17570558866527541</v>
      </c>
      <c r="I97" s="6">
        <f t="shared" si="41"/>
        <v>0.27922703669499116</v>
      </c>
      <c r="J97" s="6">
        <f t="shared" si="41"/>
        <v>0.22425619183356593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1.6338357204650518</v>
      </c>
      <c r="H114" s="334">
        <f>IF(H$4="","",Data!D$22/H19)</f>
        <v>0.90439568754155231</v>
      </c>
      <c r="I114" s="334">
        <f>IF(I$4="","",Data!E$22/I19)</f>
        <v>1.8951954253381176</v>
      </c>
      <c r="J114" s="334">
        <f>IF(J$4="","",Data!F$22/J19)</f>
        <v>3.5514584969402678</v>
      </c>
      <c r="K114" s="334">
        <f>IF(K$4="","",Data!G$22/K19)</f>
        <v>3.457286842577485</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0.12564041318404878</v>
      </c>
      <c r="E117" s="302"/>
      <c r="G117" s="23">
        <f t="shared" ref="G117:Q117" si="45">G81</f>
        <v>0.14597916829585497</v>
      </c>
      <c r="H117" s="23">
        <f t="shared" si="45"/>
        <v>0.13406622923464612</v>
      </c>
      <c r="I117" s="23">
        <f t="shared" si="45"/>
        <v>0.12028624191848471</v>
      </c>
      <c r="J117" s="23">
        <f t="shared" si="45"/>
        <v>0.10027927874405212</v>
      </c>
      <c r="K117" s="23">
        <f t="shared" si="45"/>
        <v>8.9012966444274394E-2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2.284892566496814</v>
      </c>
      <c r="D124" s="27"/>
      <c r="E124" s="299"/>
      <c r="F124" s="27"/>
      <c r="G124" s="178">
        <f t="shared" ref="G124:Q124" si="49">IF(G$4="","",G16*$C$3/Common_Shares*Exchange_Rate)</f>
        <v>2.5043648635358693</v>
      </c>
      <c r="H124" s="178">
        <f t="shared" si="49"/>
        <v>2.4378779065261731</v>
      </c>
      <c r="I124" s="178">
        <f t="shared" si="49"/>
        <v>2.0434420764039483</v>
      </c>
      <c r="J124" s="178">
        <f t="shared" si="49"/>
        <v>1.3507025790943274</v>
      </c>
      <c r="K124" s="178">
        <f t="shared" si="49"/>
        <v>1.137302033847174</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4.2117835327130211E-2</v>
      </c>
      <c r="D125" s="27"/>
      <c r="E125" s="299"/>
      <c r="F125" s="27"/>
      <c r="G125" s="77">
        <f t="shared" ref="G125" si="50">IF(G$4="","",G124/Market_Price)</f>
        <v>4.6163407622781004E-2</v>
      </c>
      <c r="H125" s="77">
        <f t="shared" ref="H125" si="51">IF(H$4="","",H124/Market_Price)</f>
        <v>4.4937841594952496E-2</v>
      </c>
      <c r="I125" s="77">
        <f t="shared" ref="I125" si="52">IF(I$4="","",I124/Market_Price)</f>
        <v>3.7667135048920705E-2</v>
      </c>
      <c r="J125" s="77">
        <f t="shared" ref="J125" si="53">IF(J$4="","",J124/Market_Price)</f>
        <v>2.4897743393443823E-2</v>
      </c>
      <c r="K125" s="77">
        <f t="shared" ref="K125" si="54">IF(K$4="","",K124/Market_Price)</f>
        <v>2.0964092789809659E-2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2878458126.0870876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35980726576.088593</v>
      </c>
      <c r="D6" t="str">
        <f>Reporting_currency</f>
        <v>CNY</v>
      </c>
      <c r="E6" s="351" t="s">
        <v>250</v>
      </c>
      <c r="F6" s="351"/>
      <c r="H6" s="121"/>
    </row>
    <row r="7" spans="2:8">
      <c r="B7" s="149" t="s">
        <v>225</v>
      </c>
      <c r="C7" s="226">
        <f>BS!G31</f>
        <v>285396383</v>
      </c>
      <c r="D7" t="str">
        <f>Reporting_currency</f>
        <v>CNY</v>
      </c>
      <c r="E7" s="351"/>
      <c r="F7" s="351"/>
      <c r="H7" s="121"/>
    </row>
    <row r="8" spans="2:8">
      <c r="B8" s="149" t="s">
        <v>226</v>
      </c>
      <c r="C8" s="201">
        <f>BS!D66</f>
        <v>12812668695.34053</v>
      </c>
      <c r="D8" t="str">
        <f>Reporting_currency</f>
        <v>CNY</v>
      </c>
      <c r="E8" s="351"/>
      <c r="F8" s="351"/>
      <c r="H8" s="121"/>
    </row>
    <row r="9" spans="2:8">
      <c r="B9" s="227" t="s">
        <v>191</v>
      </c>
      <c r="C9" s="229">
        <f>BS!H42</f>
        <v>2755411575.5</v>
      </c>
      <c r="D9" t="str">
        <f>Reporting_currency</f>
        <v>CNY</v>
      </c>
      <c r="E9" s="351"/>
      <c r="F9" s="351"/>
      <c r="H9" s="121"/>
    </row>
    <row r="10" spans="2:8" ht="13.15">
      <c r="B10" s="150" t="s">
        <v>228</v>
      </c>
      <c r="C10" s="232">
        <f>C6-C7+C8+C9</f>
        <v>51263410463.929123</v>
      </c>
      <c r="D10" t="str">
        <f>Reporting_currency</f>
        <v>CNY</v>
      </c>
      <c r="H10" s="121"/>
    </row>
    <row r="11" spans="2:8" ht="13.15" thickBot="1">
      <c r="B11" s="230" t="s">
        <v>167</v>
      </c>
      <c r="C11" s="231">
        <f>Exchange_Rate</f>
        <v>1.0828863799999999</v>
      </c>
      <c r="D11" t="str">
        <f>Thesis!C15</f>
        <v>CNY/HKD</v>
      </c>
      <c r="H11" s="121"/>
    </row>
    <row r="12" spans="2:8" ht="13.5" thickTop="1">
      <c r="B12" s="150" t="s">
        <v>103</v>
      </c>
      <c r="C12" s="112">
        <f>(C10*scaling_factor)/Common_Shares*Exchange_Rate</f>
        <v>40.692405576707991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67.936981760311028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3054521458.6312323</v>
      </c>
      <c r="D21" s="139">
        <f>IF($C$17&lt;B21,0,Valuation_Model!$C$16)</f>
        <v>6.1165848114484E-2</v>
      </c>
      <c r="E21" s="125">
        <f t="shared" ref="E21:E50" si="0">IF($C$17&lt;B21,0,1/(1+Equity_Cost)^B21)</f>
        <v>0.92592592592592582</v>
      </c>
      <c r="F21" s="126">
        <f t="shared" ref="F21:F51" si="1">C21*E21</f>
        <v>2828260609.8437333</v>
      </c>
      <c r="H21" s="121"/>
    </row>
    <row r="22" spans="2:8">
      <c r="B22" s="123">
        <v>2</v>
      </c>
      <c r="C22" s="124">
        <f t="shared" ref="C22:C50" si="2">IF(ROW()-ROW($C$21)&lt;$C$17, $C$21*(1+D22)^(ROW()-ROW($C$21)), 0)</f>
        <v>3241353854.2323022</v>
      </c>
      <c r="D22" s="139">
        <f>IF($C$17&lt;B22,0,Valuation_Model!$C$16)</f>
        <v>6.1165848114484E-2</v>
      </c>
      <c r="E22" s="125">
        <f t="shared" si="0"/>
        <v>0.85733882030178321</v>
      </c>
      <c r="F22" s="126">
        <f t="shared" si="1"/>
        <v>2778938489.5681601</v>
      </c>
      <c r="H22" s="121"/>
    </row>
    <row r="23" spans="2:8">
      <c r="B23" s="123">
        <v>3</v>
      </c>
      <c r="C23" s="124">
        <f t="shared" si="2"/>
        <v>3439614011.7655716</v>
      </c>
      <c r="D23" s="139">
        <f>IF($C$17&lt;B23,0,Valuation_Model!$C$16)</f>
        <v>6.1165848114484E-2</v>
      </c>
      <c r="E23" s="125">
        <f t="shared" si="0"/>
        <v>0.79383224102016958</v>
      </c>
      <c r="F23" s="126">
        <f t="shared" si="1"/>
        <v>2730476499.2042398</v>
      </c>
      <c r="H23" s="121"/>
    </row>
    <row r="24" spans="2:8">
      <c r="B24" s="123">
        <v>4</v>
      </c>
      <c r="C24" s="124">
        <f t="shared" si="2"/>
        <v>3650000919.9816751</v>
      </c>
      <c r="D24" s="139">
        <f>IF($C$17&lt;B24,0,Valuation_Model!$C$16)</f>
        <v>6.1165848114484E-2</v>
      </c>
      <c r="E24" s="125">
        <f t="shared" si="0"/>
        <v>0.73502985279645328</v>
      </c>
      <c r="F24" s="126">
        <f t="shared" si="1"/>
        <v>2682859638.9210496</v>
      </c>
      <c r="H24" s="121"/>
    </row>
    <row r="25" spans="2:8">
      <c r="B25" s="123">
        <v>5</v>
      </c>
      <c r="C25" s="124">
        <f t="shared" si="2"/>
        <v>3873256321.8710008</v>
      </c>
      <c r="D25" s="139">
        <f>IF($C$17&lt;B25,0,Valuation_Model!$C$16)</f>
        <v>6.1165848114484E-2</v>
      </c>
      <c r="E25" s="125">
        <f t="shared" si="0"/>
        <v>0.68058319703375303</v>
      </c>
      <c r="F25" s="126">
        <f t="shared" si="1"/>
        <v>2636073170.470161</v>
      </c>
      <c r="H25" s="121"/>
    </row>
    <row r="26" spans="2:8">
      <c r="B26" s="123">
        <v>6</v>
      </c>
      <c r="C26" s="124">
        <f t="shared" si="2"/>
        <v>4110167329.7630272</v>
      </c>
      <c r="D26" s="139">
        <f>IF($C$17&lt;B26,0,Valuation_Model!$C$16)</f>
        <v>6.1165848114484E-2</v>
      </c>
      <c r="E26" s="125">
        <f t="shared" si="0"/>
        <v>0.63016962688310452</v>
      </c>
      <c r="F26" s="126">
        <f t="shared" si="1"/>
        <v>2590102612.6238928</v>
      </c>
      <c r="H26" s="121"/>
    </row>
    <row r="27" spans="2:8">
      <c r="B27" s="123">
        <v>7</v>
      </c>
      <c r="C27" s="124">
        <f t="shared" si="2"/>
        <v>4361569200.3804255</v>
      </c>
      <c r="D27" s="139">
        <f>IF($C$17&lt;B27,0,Valuation_Model!$C$16)</f>
        <v>6.1165848114484E-2</v>
      </c>
      <c r="E27" s="125">
        <f t="shared" si="0"/>
        <v>0.58349039526213387</v>
      </c>
      <c r="F27" s="126">
        <f t="shared" si="1"/>
        <v>2544933736.6931238</v>
      </c>
      <c r="H27" s="121"/>
    </row>
    <row r="28" spans="2:8">
      <c r="B28" s="123">
        <v>8</v>
      </c>
      <c r="C28" s="124">
        <f t="shared" si="2"/>
        <v>4628348279.6317053</v>
      </c>
      <c r="D28" s="139">
        <f>IF($C$17&lt;B28,0,Valuation_Model!$C$16)</f>
        <v>6.1165848114484E-2</v>
      </c>
      <c r="E28" s="125">
        <f t="shared" si="0"/>
        <v>0.54026888450197574</v>
      </c>
      <c r="F28" s="126">
        <f t="shared" si="1"/>
        <v>2500552562.12326</v>
      </c>
      <c r="H28" s="121"/>
    </row>
    <row r="29" spans="2:8">
      <c r="B29" s="123">
        <v>9</v>
      </c>
      <c r="C29" s="124">
        <f t="shared" si="2"/>
        <v>4911445127.5245914</v>
      </c>
      <c r="D29" s="139">
        <f>IF($C$17&lt;B29,0,Valuation_Model!$C$16)</f>
        <v>6.1165848114484E-2</v>
      </c>
      <c r="E29" s="125">
        <f t="shared" si="0"/>
        <v>0.50024896713145905</v>
      </c>
      <c r="F29" s="126">
        <f t="shared" si="1"/>
        <v>2456945352.1670141</v>
      </c>
      <c r="H29" s="121"/>
    </row>
    <row r="30" spans="2:8">
      <c r="B30" s="123">
        <v>10</v>
      </c>
      <c r="C30" s="124">
        <f t="shared" si="2"/>
        <v>5211857834.2173834</v>
      </c>
      <c r="D30" s="139">
        <f>IF($C$17&lt;B30,0,Valuation_Model!$C$16)</f>
        <v>6.1165848114484E-2</v>
      </c>
      <c r="E30" s="125">
        <f t="shared" si="0"/>
        <v>0.46319348808468425</v>
      </c>
      <c r="F30" s="126">
        <f t="shared" si="1"/>
        <v>2414098609.632638</v>
      </c>
      <c r="H30" s="121"/>
    </row>
    <row r="31" spans="2:8">
      <c r="B31" s="123">
        <v>11</v>
      </c>
      <c r="C31" s="124">
        <f t="shared" si="2"/>
        <v>5530645538.8994055</v>
      </c>
      <c r="D31" s="139">
        <f>IF($C$17&lt;B31,0,Valuation_Model!$C$16)</f>
        <v>6.1165848114484E-2</v>
      </c>
      <c r="E31" s="125">
        <f t="shared" si="0"/>
        <v>0.42888285933767062</v>
      </c>
      <c r="F31" s="126">
        <f t="shared" si="1"/>
        <v>2371999072.7063093</v>
      </c>
      <c r="H31" s="121"/>
    </row>
    <row r="32" spans="2:8">
      <c r="B32" s="123">
        <v>12</v>
      </c>
      <c r="C32" s="124">
        <f t="shared" si="2"/>
        <v>5868932163.9067745</v>
      </c>
      <c r="D32" s="139">
        <f>IF($C$17&lt;B32,0,Valuation_Model!$C$16)</f>
        <v>6.1165848114484E-2</v>
      </c>
      <c r="E32" s="125">
        <f t="shared" si="0"/>
        <v>0.39711375864599124</v>
      </c>
      <c r="F32" s="126">
        <f t="shared" si="1"/>
        <v>2330633710.8473701</v>
      </c>
      <c r="H32" s="121"/>
    </row>
    <row r="33" spans="2:8">
      <c r="B33" s="123">
        <v>13</v>
      </c>
      <c r="C33" s="124">
        <f t="shared" si="2"/>
        <v>6227910377.2385054</v>
      </c>
      <c r="D33" s="139">
        <f>IF($C$17&lt;B33,0,Valuation_Model!$C$16)</f>
        <v>6.1165848114484E-2</v>
      </c>
      <c r="E33" s="125">
        <f t="shared" si="0"/>
        <v>0.36769792467221413</v>
      </c>
      <c r="F33" s="126">
        <f t="shared" si="1"/>
        <v>2289989720.7551446</v>
      </c>
      <c r="H33" s="121"/>
    </row>
    <row r="34" spans="2:8">
      <c r="B34" s="123">
        <v>14</v>
      </c>
      <c r="C34" s="124">
        <f t="shared" si="2"/>
        <v>6608845797.4432945</v>
      </c>
      <c r="D34" s="139">
        <f>IF($C$17&lt;B34,0,Valuation_Model!$C$16)</f>
        <v>6.1165848114484E-2</v>
      </c>
      <c r="E34" s="125">
        <f t="shared" si="0"/>
        <v>0.34046104136316119</v>
      </c>
      <c r="F34" s="126">
        <f t="shared" si="1"/>
        <v>2250054522.4060955</v>
      </c>
      <c r="H34" s="121"/>
    </row>
    <row r="35" spans="2:8">
      <c r="B35" s="123">
        <v>15</v>
      </c>
      <c r="C35" s="124">
        <f t="shared" si="2"/>
        <v>7013081455.7017555</v>
      </c>
      <c r="D35" s="139">
        <f>IF($C$17&lt;B35,0,Valuation_Model!$C$16)</f>
        <v>6.1165848114484E-2</v>
      </c>
      <c r="E35" s="125">
        <f t="shared" si="0"/>
        <v>0.31524170496588994</v>
      </c>
      <c r="F35" s="126">
        <f t="shared" si="1"/>
        <v>2210815755.1600866</v>
      </c>
      <c r="H35" s="121"/>
    </row>
    <row r="36" spans="2:8">
      <c r="B36" s="123">
        <v>16</v>
      </c>
      <c r="C36" s="124">
        <f t="shared" si="2"/>
        <v>7442042530.8357115</v>
      </c>
      <c r="D36" s="139">
        <f>IF($C$17&lt;B36,0,Valuation_Model!$C$16)</f>
        <v>6.1165848114484E-2</v>
      </c>
      <c r="E36" s="125">
        <f t="shared" si="0"/>
        <v>0.29189046756100923</v>
      </c>
      <c r="F36" s="126">
        <f t="shared" si="1"/>
        <v>2172261273.9345522</v>
      </c>
      <c r="H36" s="121"/>
    </row>
    <row r="37" spans="2:8">
      <c r="B37" s="123">
        <v>17</v>
      </c>
      <c r="C37" s="124">
        <f t="shared" si="2"/>
        <v>7897241373.9383392</v>
      </c>
      <c r="D37" s="139">
        <f>IF($C$17&lt;B37,0,Valuation_Model!$C$16)</f>
        <v>6.1165848114484E-2</v>
      </c>
      <c r="E37" s="125">
        <f t="shared" si="0"/>
        <v>0.27026895144537894</v>
      </c>
      <c r="F37" s="126">
        <f t="shared" si="1"/>
        <v>2134379145.4453785</v>
      </c>
      <c r="H37" s="121"/>
    </row>
    <row r="38" spans="2:8">
      <c r="B38" s="123">
        <v>18</v>
      </c>
      <c r="C38" s="124">
        <f t="shared" si="2"/>
        <v>8380282840.3400707</v>
      </c>
      <c r="D38" s="139">
        <f>IF($C$17&lt;B38,0,Valuation_Model!$C$16)</f>
        <v>6.1165848114484E-2</v>
      </c>
      <c r="E38" s="125">
        <f t="shared" si="0"/>
        <v>0.25024902911609154</v>
      </c>
      <c r="F38" s="126">
        <f t="shared" si="1"/>
        <v>2097157644.5133445</v>
      </c>
      <c r="H38" s="121"/>
    </row>
    <row r="39" spans="2:8">
      <c r="B39" s="123">
        <v>19</v>
      </c>
      <c r="C39" s="124">
        <f t="shared" si="2"/>
        <v>8892869947.7087269</v>
      </c>
      <c r="D39" s="139">
        <f>IF($C$17&lt;B39,0,Valuation_Model!$C$16)</f>
        <v>6.1165848114484E-2</v>
      </c>
      <c r="E39" s="125">
        <f t="shared" si="0"/>
        <v>0.23171206399638106</v>
      </c>
      <c r="F39" s="126">
        <f t="shared" si="1"/>
        <v>2060585250.4349785</v>
      </c>
      <c r="H39" s="121"/>
    </row>
    <row r="40" spans="2:8">
      <c r="B40" s="123">
        <v>20</v>
      </c>
      <c r="C40" s="124">
        <f t="shared" si="2"/>
        <v>9436809880.2321358</v>
      </c>
      <c r="D40" s="139">
        <f>IF($C$17&lt;B40,0,Valuation_Model!$C$16)</f>
        <v>6.1165848114484E-2</v>
      </c>
      <c r="E40" s="125">
        <f t="shared" si="0"/>
        <v>0.21454820740405653</v>
      </c>
      <c r="F40" s="126">
        <f t="shared" si="1"/>
        <v>2024650643.4166942</v>
      </c>
      <c r="H40" s="121"/>
    </row>
    <row r="41" spans="2:8">
      <c r="B41" s="123">
        <v>21</v>
      </c>
      <c r="C41" s="124">
        <f t="shared" si="2"/>
        <v>10014020360.051676</v>
      </c>
      <c r="D41" s="139">
        <f>IF($C$17&lt;B41,0,Valuation_Model!$C$16)</f>
        <v>6.1165848114484E-2</v>
      </c>
      <c r="E41" s="125">
        <f t="shared" si="0"/>
        <v>0.19865574759634863</v>
      </c>
      <c r="F41" s="126">
        <f t="shared" si="1"/>
        <v>1989342701.0711219</v>
      </c>
      <c r="H41" s="121"/>
    </row>
    <row r="42" spans="2:8">
      <c r="B42" s="123">
        <v>22</v>
      </c>
      <c r="C42" s="124">
        <f t="shared" si="2"/>
        <v>10626536408.409946</v>
      </c>
      <c r="D42" s="139">
        <f>IF($C$17&lt;B42,0,Valuation_Model!$C$16)</f>
        <v>6.1165848114484E-2</v>
      </c>
      <c r="E42" s="125">
        <f t="shared" si="0"/>
        <v>0.18394050703365611</v>
      </c>
      <c r="F42" s="126">
        <f t="shared" si="1"/>
        <v>1954650494.9745324</v>
      </c>
      <c r="H42" s="121"/>
    </row>
    <row r="43" spans="2:8">
      <c r="B43" s="123">
        <v>23</v>
      </c>
      <c r="C43" s="124">
        <f t="shared" si="2"/>
        <v>11276517520.349781</v>
      </c>
      <c r="D43" s="139">
        <f>IF($C$17&lt;B43,0,Valuation_Model!$C$16)</f>
        <v>6.1165848114484E-2</v>
      </c>
      <c r="E43" s="125">
        <f t="shared" si="0"/>
        <v>0.17031528429042234</v>
      </c>
      <c r="F43" s="126">
        <f t="shared" si="1"/>
        <v>1920563287.2843013</v>
      </c>
      <c r="H43" s="121"/>
    </row>
    <row r="44" spans="2:8">
      <c r="B44" s="123">
        <v>24</v>
      </c>
      <c r="C44" s="124">
        <f t="shared" si="2"/>
        <v>11966255278.259811</v>
      </c>
      <c r="D44" s="139">
        <f>IF($C$17&lt;B44,0,Valuation_Model!$C$16)</f>
        <v>6.1165848114484E-2</v>
      </c>
      <c r="E44" s="125">
        <f t="shared" si="0"/>
        <v>0.1576993373059466</v>
      </c>
      <c r="F44" s="126">
        <f t="shared" si="1"/>
        <v>1887070527.4153578</v>
      </c>
      <c r="H44" s="121"/>
    </row>
    <row r="45" spans="2:8">
      <c r="B45" s="123">
        <v>25</v>
      </c>
      <c r="C45" s="124">
        <f t="shared" si="2"/>
        <v>12698181431.108994</v>
      </c>
      <c r="D45" s="139">
        <f>IF($C$17&lt;B45,0,Valuation_Model!$C$16)</f>
        <v>6.1165848114484E-2</v>
      </c>
      <c r="E45" s="125">
        <f t="shared" si="0"/>
        <v>0.1460179049129135</v>
      </c>
      <c r="F45" s="126">
        <f t="shared" si="1"/>
        <v>1854161848.7745969</v>
      </c>
      <c r="H45" s="121"/>
    </row>
    <row r="46" spans="2:8">
      <c r="B46" s="123">
        <v>26</v>
      </c>
      <c r="C46" s="124">
        <f t="shared" si="2"/>
        <v>13474876467.854366</v>
      </c>
      <c r="D46" s="139">
        <f>IF($C$17&lt;B46,0,Valuation_Model!$C$16)</f>
        <v>6.1165848114484E-2</v>
      </c>
      <c r="E46" s="125">
        <f t="shared" si="0"/>
        <v>0.13520176380825324</v>
      </c>
      <c r="F46" s="126">
        <f t="shared" si="1"/>
        <v>1821827065.5522358</v>
      </c>
      <c r="H46" s="121"/>
    </row>
    <row r="47" spans="2:8">
      <c r="B47" s="123">
        <v>27</v>
      </c>
      <c r="C47" s="124">
        <f t="shared" si="2"/>
        <v>14299078715.248579</v>
      </c>
      <c r="D47" s="139">
        <f>IF($C$17&lt;B47,0,Valuation_Model!$C$16)</f>
        <v>6.1165848114484E-2</v>
      </c>
      <c r="E47" s="125">
        <f t="shared" si="0"/>
        <v>0.12518681834097523</v>
      </c>
      <c r="F47" s="126">
        <f t="shared" si="1"/>
        <v>1790056169.5691292</v>
      </c>
      <c r="H47" s="121"/>
    </row>
    <row r="48" spans="2:8">
      <c r="B48" s="123">
        <v>28</v>
      </c>
      <c r="C48" s="124">
        <f t="shared" si="2"/>
        <v>15173693992.12252</v>
      </c>
      <c r="D48" s="139">
        <f>IF($C$17&lt;B48,0,Valuation_Model!$C$16)</f>
        <v>6.1165848114484E-2</v>
      </c>
      <c r="E48" s="125">
        <f t="shared" si="0"/>
        <v>0.11591372068608817</v>
      </c>
      <c r="F48" s="126">
        <f t="shared" si="1"/>
        <v>1758839327.179064</v>
      </c>
      <c r="H48" s="121"/>
    </row>
    <row r="49" spans="1:8">
      <c r="B49" s="123">
        <v>29</v>
      </c>
      <c r="C49" s="124">
        <f t="shared" si="2"/>
        <v>16101805854.180344</v>
      </c>
      <c r="D49" s="139">
        <f>IF($C$17&lt;B49,0,Valuation_Model!$C$16)</f>
        <v>6.1165848114484E-2</v>
      </c>
      <c r="E49" s="125">
        <f t="shared" si="0"/>
        <v>0.10732751915378534</v>
      </c>
      <c r="F49" s="126">
        <f t="shared" si="1"/>
        <v>1728166876.2250738</v>
      </c>
      <c r="H49" s="121"/>
    </row>
    <row r="50" spans="1:8">
      <c r="B50" s="123">
        <v>30</v>
      </c>
      <c r="C50" s="124">
        <f t="shared" si="2"/>
        <v>17086686465.426048</v>
      </c>
      <c r="D50" s="139">
        <f>IF($C$17&lt;B50,0,Valuation_Model!$C$16)</f>
        <v>6.1165848114484E-2</v>
      </c>
      <c r="E50" s="125">
        <f t="shared" si="0"/>
        <v>9.9377332549801231E-2</v>
      </c>
      <c r="F50" s="126">
        <f t="shared" si="1"/>
        <v>1698029323.0488322</v>
      </c>
      <c r="H50" s="121"/>
    </row>
    <row r="51" spans="1:8">
      <c r="B51" s="127" t="s">
        <v>132</v>
      </c>
      <c r="C51" s="124">
        <f>C$21*(1+Terminal_Growth)^$C$17/Equity_Cost</f>
        <v>38181518232.890404</v>
      </c>
      <c r="D51" s="140">
        <f>Terminal_Growth</f>
        <v>0</v>
      </c>
      <c r="E51" s="125">
        <f>1/(1+Equity_Cost)^C17</f>
        <v>9.9377332549801231E-2</v>
      </c>
      <c r="F51" s="126">
        <f t="shared" si="1"/>
        <v>3794377434.6862488</v>
      </c>
      <c r="H51" s="121"/>
    </row>
    <row r="52" spans="1:8">
      <c r="C52" s="115"/>
      <c r="E52" s="128" t="s">
        <v>101</v>
      </c>
      <c r="F52" s="138">
        <f>SUM(F21:F51)</f>
        <v>70302853076.647736</v>
      </c>
      <c r="H52" s="121"/>
    </row>
    <row r="53" spans="1:8">
      <c r="C53" s="115"/>
      <c r="H53" s="121"/>
    </row>
    <row r="54" spans="1:8" ht="13.15">
      <c r="B54" s="120" t="s">
        <v>130</v>
      </c>
      <c r="C54" s="137"/>
      <c r="D54" s="137"/>
      <c r="E54" s="118"/>
      <c r="F54" s="118"/>
      <c r="H54" s="121"/>
    </row>
    <row r="55" spans="1:8" ht="13.15">
      <c r="A55" s="134">
        <f>F52</f>
        <v>70302853076.647736</v>
      </c>
      <c r="B55" s="132">
        <f>C78</f>
        <v>0.02</v>
      </c>
      <c r="C55" s="132">
        <f>C77</f>
        <v>0.04</v>
      </c>
      <c r="D55" s="132">
        <f>C76</f>
        <v>0.06</v>
      </c>
      <c r="E55" s="132">
        <f>C75</f>
        <v>0.08</v>
      </c>
      <c r="F55" s="132">
        <f>C74</f>
        <v>0.1</v>
      </c>
      <c r="H55" s="121"/>
    </row>
    <row r="56" spans="1:8" ht="13.15">
      <c r="A56" s="144">
        <v>5</v>
      </c>
      <c r="B56" s="124">
        <f t="dataTable" ref="B56:F61" dt2D="1" dtr="1" r1="C16" r2="C17"/>
        <v>37141653164.887383</v>
      </c>
      <c r="C56" s="124">
        <v>38337348998.412666</v>
      </c>
      <c r="D56" s="124">
        <v>39569339863.444107</v>
      </c>
      <c r="E56" s="124">
        <v>40839198789.167274</v>
      </c>
      <c r="F56" s="124">
        <v>42148546799.441254</v>
      </c>
      <c r="H56" s="121"/>
    </row>
    <row r="57" spans="1:8" ht="13.15">
      <c r="A57" s="144">
        <v>10</v>
      </c>
      <c r="B57" s="124">
        <v>38303648783.619156</v>
      </c>
      <c r="C57" s="124">
        <v>40859390691.867523</v>
      </c>
      <c r="D57" s="124">
        <v>43675815717.277733</v>
      </c>
      <c r="E57" s="124">
        <v>46783902567.198624</v>
      </c>
      <c r="F57" s="124">
        <v>50218053720.638153</v>
      </c>
      <c r="H57" s="121"/>
    </row>
    <row r="58" spans="1:8" ht="13.15">
      <c r="A58" s="144">
        <v>15</v>
      </c>
      <c r="B58" s="124">
        <v>39741940552.993446</v>
      </c>
      <c r="C58" s="124">
        <v>44147191872.357376</v>
      </c>
      <c r="D58" s="124">
        <v>49324431686.757011</v>
      </c>
      <c r="E58" s="124">
        <v>55426907530.40461</v>
      </c>
      <c r="F58" s="124">
        <v>62637923970.106033</v>
      </c>
      <c r="H58" s="121"/>
    </row>
    <row r="59" spans="1:8" ht="13.15">
      <c r="A59" s="145">
        <v>20</v>
      </c>
      <c r="B59" s="124">
        <v>41207329210.667908</v>
      </c>
      <c r="C59" s="124">
        <v>47685937946.358307</v>
      </c>
      <c r="D59" s="124">
        <v>55767967134.743988</v>
      </c>
      <c r="E59" s="124">
        <v>65906330940.776695</v>
      </c>
      <c r="F59" s="124">
        <v>78684252855.835342</v>
      </c>
      <c r="H59" s="121"/>
    </row>
    <row r="60" spans="1:8" ht="13.15">
      <c r="A60" s="145">
        <v>25</v>
      </c>
      <c r="B60" s="124">
        <v>42570221976.735863</v>
      </c>
      <c r="C60" s="124">
        <v>51171723214.848076</v>
      </c>
      <c r="D60" s="124">
        <v>62520596369.197105</v>
      </c>
      <c r="E60" s="124">
        <v>77635589889.012833</v>
      </c>
      <c r="F60" s="124">
        <v>97928325033.507767</v>
      </c>
      <c r="H60" s="121"/>
    </row>
    <row r="61" spans="1:8" ht="13.15">
      <c r="A61" s="145">
        <v>30</v>
      </c>
      <c r="B61" s="124">
        <v>43772482985.939247</v>
      </c>
      <c r="C61" s="124">
        <v>54436192010.601006</v>
      </c>
      <c r="D61" s="124">
        <v>69272367476.651108</v>
      </c>
      <c r="E61" s="124">
        <v>90215465903.374878</v>
      </c>
      <c r="F61" s="124">
        <v>120148471926.80779</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40.692405576707991</v>
      </c>
      <c r="C65" s="125">
        <f>C12</f>
        <v>40.692405576707991</v>
      </c>
      <c r="D65" s="125">
        <f>C12</f>
        <v>40.692405576707991</v>
      </c>
      <c r="E65" s="142">
        <f>C12</f>
        <v>40.692405576707991</v>
      </c>
      <c r="F65" s="125">
        <f>C12</f>
        <v>40.692405576707991</v>
      </c>
      <c r="H65" s="121"/>
    </row>
    <row r="66" spans="1:8" ht="13.15">
      <c r="A66" s="144">
        <f t="shared" ref="A66:A71" si="3">A56</f>
        <v>5</v>
      </c>
      <c r="B66" s="125">
        <f t="shared" ref="B66:F71" si="4">(B56-$C$7+$C$8+$C$9)/Common_Shares*$C$3*Exchange_Rate</f>
        <v>41.613938014145504</v>
      </c>
      <c r="C66" s="125">
        <f t="shared" si="4"/>
        <v>42.56306994594366</v>
      </c>
      <c r="D66" s="125">
        <f t="shared" si="4"/>
        <v>43.541012527074386</v>
      </c>
      <c r="E66" s="125">
        <f t="shared" si="4"/>
        <v>44.549014413080187</v>
      </c>
      <c r="F66" s="125">
        <f t="shared" si="4"/>
        <v>45.588362357216958</v>
      </c>
      <c r="H66" s="121"/>
    </row>
    <row r="67" spans="1:8" ht="13.15">
      <c r="A67" s="144">
        <f t="shared" si="3"/>
        <v>10</v>
      </c>
      <c r="B67" s="125">
        <f t="shared" si="4"/>
        <v>42.536319037332831</v>
      </c>
      <c r="C67" s="125">
        <f t="shared" si="4"/>
        <v>44.565042552577879</v>
      </c>
      <c r="D67" s="125">
        <f t="shared" si="4"/>
        <v>46.800693836275137</v>
      </c>
      <c r="E67" s="125">
        <f t="shared" si="4"/>
        <v>49.267863490420694</v>
      </c>
      <c r="F67" s="125">
        <f t="shared" si="4"/>
        <v>51.993859874251022</v>
      </c>
      <c r="H67" s="121"/>
    </row>
    <row r="68" spans="1:8" ht="13.15">
      <c r="A68" s="144">
        <f t="shared" si="3"/>
        <v>15</v>
      </c>
      <c r="B68" s="125">
        <f t="shared" si="4"/>
        <v>43.678021305819279</v>
      </c>
      <c r="C68" s="125">
        <f t="shared" si="4"/>
        <v>47.174867725762788</v>
      </c>
      <c r="D68" s="125">
        <f t="shared" si="4"/>
        <v>51.284511239310696</v>
      </c>
      <c r="E68" s="125">
        <f t="shared" si="4"/>
        <v>56.128598275355671</v>
      </c>
      <c r="F68" s="125">
        <f t="shared" si="4"/>
        <v>61.852634248169259</v>
      </c>
      <c r="H68" s="121"/>
    </row>
    <row r="69" spans="1:8" ht="13.15">
      <c r="A69" s="145">
        <f t="shared" si="3"/>
        <v>20</v>
      </c>
      <c r="B69" s="125">
        <f t="shared" si="4"/>
        <v>44.841232825418722</v>
      </c>
      <c r="C69" s="125">
        <f t="shared" si="4"/>
        <v>49.983890558481903</v>
      </c>
      <c r="D69" s="125">
        <f t="shared" si="4"/>
        <v>56.399328131602253</v>
      </c>
      <c r="E69" s="125">
        <f t="shared" si="4"/>
        <v>64.447064482846159</v>
      </c>
      <c r="F69" s="125">
        <f t="shared" si="4"/>
        <v>74.590056848930331</v>
      </c>
      <c r="H69" s="121"/>
    </row>
    <row r="70" spans="1:8" ht="13.15">
      <c r="A70" s="145">
        <f t="shared" si="3"/>
        <v>25</v>
      </c>
      <c r="B70" s="125">
        <f t="shared" si="4"/>
        <v>45.923084085264612</v>
      </c>
      <c r="C70" s="125">
        <f t="shared" si="4"/>
        <v>52.750873609648714</v>
      </c>
      <c r="D70" s="125">
        <f t="shared" si="4"/>
        <v>61.759500719238567</v>
      </c>
      <c r="E70" s="125">
        <f t="shared" si="4"/>
        <v>73.757638202316045</v>
      </c>
      <c r="F70" s="125">
        <f t="shared" si="4"/>
        <v>89.865817531148267</v>
      </c>
    </row>
    <row r="71" spans="1:8" ht="13.15">
      <c r="A71" s="145">
        <f t="shared" si="3"/>
        <v>30</v>
      </c>
      <c r="B71" s="125">
        <f t="shared" si="4"/>
        <v>46.877427390807853</v>
      </c>
      <c r="C71" s="125">
        <f t="shared" si="4"/>
        <v>55.342177758691939</v>
      </c>
      <c r="D71" s="125">
        <f t="shared" si="4"/>
        <v>67.118992133859507</v>
      </c>
      <c r="E71" s="125">
        <f t="shared" si="4"/>
        <v>83.74342362409007</v>
      </c>
      <c r="F71" s="125">
        <f t="shared" si="4"/>
        <v>107.50395789624191</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107.50395789624191</v>
      </c>
      <c r="F74" s="143">
        <f>Scenarios!C58</f>
        <v>0.05</v>
      </c>
    </row>
    <row r="75" spans="1:8">
      <c r="B75" s="128" t="str">
        <f>Scenarios!B36</f>
        <v>Optimistic</v>
      </c>
      <c r="C75" s="143">
        <f>Scenarios!C38</f>
        <v>0.08</v>
      </c>
      <c r="D75" s="146">
        <f>Scenarios!C37</f>
        <v>30</v>
      </c>
      <c r="E75" s="136">
        <f>INDEX(B$65:F$71, MATCH(D75, A$65:A$71, 0), MATCH(C75, B$64:F$64, 0))</f>
        <v>83.74342362409007</v>
      </c>
      <c r="F75" s="143">
        <f>Scenarios!C40*(1-F$74-F$78)</f>
        <v>0.18</v>
      </c>
      <c r="H75" s="121"/>
    </row>
    <row r="76" spans="1:8">
      <c r="B76" s="128" t="str">
        <f>Scenarios!B24</f>
        <v>Base</v>
      </c>
      <c r="C76" s="143">
        <f>Scenarios!C26</f>
        <v>0.06</v>
      </c>
      <c r="D76" s="146">
        <f>Scenarios!C25</f>
        <v>30</v>
      </c>
      <c r="E76" s="136">
        <f>INDEX(B$65:F$71, MATCH(D76, A$65:A$71, 0), MATCH(C76, B$64:F$64, 0))</f>
        <v>67.118992133859507</v>
      </c>
      <c r="F76" s="143">
        <f>Scenarios!C28*(1-F$74-F$78)</f>
        <v>0.44999999999999996</v>
      </c>
      <c r="H76" s="121"/>
    </row>
    <row r="77" spans="1:8">
      <c r="B77" s="128" t="str">
        <f>Scenarios!B30</f>
        <v>Pessimistic</v>
      </c>
      <c r="C77" s="143">
        <f>Scenarios!C32</f>
        <v>0.04</v>
      </c>
      <c r="D77" s="146">
        <f>Scenarios!C31</f>
        <v>30</v>
      </c>
      <c r="E77" s="136">
        <f>INDEX(B$65:F$71, MATCH(D77, A$65:A$71, 0), MATCH(C77, B$64:F$64, 0))</f>
        <v>55.342177758691939</v>
      </c>
      <c r="F77" s="143">
        <f>Scenarios!C34*(1-F$74-F$78)</f>
        <v>0.26999999999999996</v>
      </c>
      <c r="H77" s="121"/>
    </row>
    <row r="78" spans="1:8">
      <c r="B78" s="128" t="str">
        <f>Scenarios!B48</f>
        <v>Devil's advocate</v>
      </c>
      <c r="C78" s="143">
        <f>Scenarios!C50</f>
        <v>0.02</v>
      </c>
      <c r="D78" s="146">
        <f>Scenarios!C49</f>
        <v>30</v>
      </c>
      <c r="E78" s="136">
        <f>INDEX(B$65:F$71, MATCH(D78, A$65:A$71, 0), MATCH(C78, B$64:F$64, 0))</f>
        <v>46.877427390807853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2.0316074157290633</v>
      </c>
    </row>
    <row r="5" spans="2:9">
      <c r="H5" s="276">
        <v>2</v>
      </c>
      <c r="I5" s="264">
        <f t="shared" si="0"/>
        <v>2.0316074157290633</v>
      </c>
    </row>
    <row r="6" spans="2:9" ht="13.15">
      <c r="B6" s="160" t="s">
        <v>96</v>
      </c>
      <c r="C6" s="107">
        <f>Valuation_Model!C3</f>
        <v>1</v>
      </c>
      <c r="E6" s="100" t="s">
        <v>282</v>
      </c>
      <c r="F6" s="100"/>
      <c r="H6" s="276">
        <v>3</v>
      </c>
      <c r="I6" s="264">
        <f t="shared" si="0"/>
        <v>69.970427387501374</v>
      </c>
    </row>
    <row r="7" spans="2:9" ht="12.75" customHeight="1">
      <c r="B7" s="100" t="s">
        <v>276</v>
      </c>
      <c r="C7" s="115">
        <f>Normalized_FCF!G8</f>
        <v>4487792577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3"/>
      <c r="H7" s="276">
        <v>4</v>
      </c>
      <c r="I7" s="264" t="str">
        <f t="shared" si="0"/>
        <v/>
      </c>
    </row>
    <row r="8" spans="2:9">
      <c r="B8" s="100" t="s">
        <v>66</v>
      </c>
      <c r="C8" s="115">
        <f>Normalized_FCF!G19</f>
        <v>3154944568.4372644</v>
      </c>
      <c r="D8" t="str">
        <f>Reporting_currency</f>
        <v>CNY</v>
      </c>
      <c r="E8" s="353"/>
      <c r="F8" s="353"/>
      <c r="H8" s="276">
        <v>5</v>
      </c>
      <c r="I8" s="264" t="str">
        <f t="shared" si="0"/>
        <v/>
      </c>
    </row>
    <row r="9" spans="2:9">
      <c r="B9" s="100" t="s">
        <v>57</v>
      </c>
      <c r="C9" s="201">
        <f>Normalized_FCF!C19</f>
        <v>2878458126.0870876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2.1321347914251776E-2</v>
      </c>
      <c r="D12" s="159"/>
      <c r="E12" s="353"/>
      <c r="F12" s="353"/>
      <c r="H12" s="276">
        <v>9</v>
      </c>
      <c r="I12" s="264" t="str">
        <f t="shared" si="0"/>
        <v/>
      </c>
    </row>
    <row r="13" spans="2:9">
      <c r="B13" s="149" t="s">
        <v>153</v>
      </c>
      <c r="C13" s="159">
        <f ca="1">(Normalized_FCF!G8/OFFSET(Normalized_FCF!G8, 0, $C$4))^(1/$C$4) - 1</f>
        <v>0.15185942572632172</v>
      </c>
      <c r="E13" s="353"/>
      <c r="F13" s="353"/>
      <c r="H13" s="276">
        <v>10</v>
      </c>
      <c r="I13" s="264" t="str">
        <f t="shared" si="0"/>
        <v/>
      </c>
    </row>
    <row r="14" spans="2:9">
      <c r="B14" s="100" t="s">
        <v>66</v>
      </c>
      <c r="C14" s="159">
        <f ca="1">(Normalized_FCF!G19/OFFSET(Normalized_FCF!G19, 0, $C$4))^(1/$C$4) - 1</f>
        <v>0.22851168306080338</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54.25</v>
      </c>
      <c r="D21" t="str">
        <f>Market_currency</f>
        <v>HKD</v>
      </c>
      <c r="E21" s="354"/>
      <c r="F21" s="354"/>
    </row>
    <row r="22" spans="2:6">
      <c r="B22" s="100" t="s">
        <v>281</v>
      </c>
      <c r="C22" s="161">
        <f>Valuation_Model!C12</f>
        <v>40.692405576707991</v>
      </c>
      <c r="D22" t="str">
        <f>Market_currency</f>
        <v>HKD</v>
      </c>
      <c r="E22" s="354"/>
      <c r="F22" s="354"/>
    </row>
    <row r="24" spans="2:6" ht="13.15">
      <c r="B24" s="160" t="s">
        <v>116</v>
      </c>
      <c r="E24" s="160" t="s">
        <v>150</v>
      </c>
      <c r="F24" s="160"/>
    </row>
    <row r="25" spans="2:6">
      <c r="B25" s="153" t="s">
        <v>134</v>
      </c>
      <c r="C25" s="167">
        <f>C18</f>
        <v>30</v>
      </c>
      <c r="D25" s="164"/>
      <c r="E25" s="352"/>
      <c r="F25" s="352"/>
    </row>
    <row r="26" spans="2:6">
      <c r="B26" s="119" t="s">
        <v>135</v>
      </c>
      <c r="C26" s="165">
        <v>0.06</v>
      </c>
      <c r="D26" s="165"/>
      <c r="E26" s="352"/>
      <c r="F26" s="352"/>
    </row>
    <row r="27" spans="2:6">
      <c r="B27" s="100" t="s">
        <v>114</v>
      </c>
      <c r="C27" s="161">
        <f>Valuation_Model!E76</f>
        <v>67.118992133859507</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0.04</v>
      </c>
      <c r="D32" s="165"/>
      <c r="E32" s="352"/>
      <c r="F32" s="352"/>
    </row>
    <row r="33" spans="2:6">
      <c r="B33" s="100" t="s">
        <v>114</v>
      </c>
      <c r="C33" s="161">
        <f>Valuation_Model!E77</f>
        <v>55.342177758691939</v>
      </c>
      <c r="D33" t="str">
        <f>Market_currency</f>
        <v>HKD</v>
      </c>
      <c r="E33" s="352"/>
      <c r="F33" s="352"/>
    </row>
    <row r="34" spans="2:6">
      <c r="B34" s="100" t="s">
        <v>148</v>
      </c>
      <c r="C34" s="166">
        <v>0.3</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0.08</v>
      </c>
      <c r="D38" s="165"/>
      <c r="E38" s="352"/>
      <c r="F38" s="352"/>
    </row>
    <row r="39" spans="2:6">
      <c r="B39" s="100" t="s">
        <v>114</v>
      </c>
      <c r="C39" s="161">
        <f>Valuation_Model!E75</f>
        <v>83.74342362409007</v>
      </c>
      <c r="D39" t="str">
        <f>Market_currency</f>
        <v>HKD</v>
      </c>
      <c r="E39" s="352"/>
      <c r="F39" s="352"/>
    </row>
    <row r="40" spans="2:6">
      <c r="B40" s="100" t="s">
        <v>148</v>
      </c>
      <c r="C40" s="168">
        <f>1-C28-C34</f>
        <v>0.2</v>
      </c>
      <c r="D40" s="166"/>
      <c r="E40" s="352"/>
      <c r="F40" s="352"/>
    </row>
    <row r="42" spans="2:6" ht="13.15">
      <c r="B42" s="100" t="s">
        <v>121</v>
      </c>
      <c r="C42" s="155">
        <f>C27*C28+C33*C34+C39*C40</f>
        <v>66.910834119355357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0.02</v>
      </c>
      <c r="D50" s="165"/>
      <c r="E50" s="352"/>
      <c r="F50" s="352"/>
    </row>
    <row r="51" spans="2:6">
      <c r="B51" s="100" t="s">
        <v>114</v>
      </c>
      <c r="C51" s="161">
        <f>Valuation_Model!E78</f>
        <v>46.877427390807853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107.50395789624191</v>
      </c>
      <c r="D57" t="str">
        <f>Market_currency</f>
        <v>HKD</v>
      </c>
      <c r="E57" s="352"/>
      <c r="F57" s="352"/>
    </row>
    <row r="58" spans="2:6">
      <c r="B58" s="100" t="s">
        <v>148</v>
      </c>
      <c r="C58" s="166">
        <v>0.05</v>
      </c>
      <c r="D58" s="166"/>
      <c r="E58" s="352"/>
      <c r="F58" s="352"/>
    </row>
    <row r="60" spans="2:6" ht="13.15">
      <c r="B60" s="100" t="s">
        <v>121</v>
      </c>
      <c r="C60" s="155">
        <f>C51*C52+C57*C58+C42*(1-C52-C58)</f>
        <v>67.938819971772304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67.936981760311028</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0.17856136595451899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2.0316074157290633</v>
      </c>
      <c r="D77" t="str">
        <f>Market_currency</f>
        <v>HKD</v>
      </c>
    </row>
    <row r="79" spans="2:6" ht="13.15">
      <c r="B79" s="109" t="s">
        <v>308</v>
      </c>
    </row>
    <row r="80" spans="2:6">
      <c r="B80" s="149" t="s">
        <v>306</v>
      </c>
      <c r="C80" s="168">
        <f>Thesis!C132</f>
        <v>0.4</v>
      </c>
    </row>
    <row r="81" spans="2:8">
      <c r="B81" s="100" t="s">
        <v>122</v>
      </c>
      <c r="C81" s="117">
        <f>PV(C80, C76, -C77, 0)</f>
        <v>3.2280642611438459</v>
      </c>
      <c r="D81" s="117"/>
      <c r="E81" s="100"/>
      <c r="F81" s="100"/>
    </row>
    <row r="82" spans="2:8">
      <c r="B82" s="100" t="s">
        <v>123</v>
      </c>
      <c r="C82" s="117">
        <f>C60/(1+C80)^C76</f>
        <v>24.759045179217317</v>
      </c>
      <c r="D82" s="117"/>
    </row>
    <row r="83" spans="2:8" ht="13.15">
      <c r="B83" s="111" t="s">
        <v>102</v>
      </c>
      <c r="C83" s="112">
        <f>C81+C82</f>
        <v>27.987109440361163</v>
      </c>
      <c r="D83" t="str">
        <f>Market_currency</f>
        <v>HKD</v>
      </c>
      <c r="E83" s="147" t="s">
        <v>127</v>
      </c>
      <c r="F83" s="329">
        <f>(1-C83/C60)</f>
        <v>0.58805423096854725</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0.11274933088119332</v>
      </c>
    </row>
    <row r="88" spans="2:8">
      <c r="B88" s="100"/>
    </row>
    <row r="89" spans="2:8" ht="13.15">
      <c r="B89" s="109" t="s">
        <v>422</v>
      </c>
    </row>
    <row r="90" spans="2:8">
      <c r="B90" s="149" t="s">
        <v>423</v>
      </c>
      <c r="C90" s="168">
        <f>Thesis!E24</f>
        <v>0.2</v>
      </c>
    </row>
    <row r="91" spans="2:8">
      <c r="B91" s="100" t="s">
        <v>122</v>
      </c>
      <c r="C91" s="117">
        <f>PV(C90, C76, -C77, 0)</f>
        <v>4.279543398873721</v>
      </c>
      <c r="D91" s="117"/>
      <c r="E91" s="100"/>
      <c r="F91" s="100"/>
    </row>
    <row r="92" spans="2:8">
      <c r="B92" s="100" t="s">
        <v>123</v>
      </c>
      <c r="C92" s="117">
        <f>C60/(1+C90)^C76</f>
        <v>39.316446742923787</v>
      </c>
      <c r="D92" s="117"/>
    </row>
    <row r="93" spans="2:8" ht="13.15">
      <c r="B93" s="111" t="s">
        <v>102</v>
      </c>
      <c r="C93" s="112">
        <f>C91+C92</f>
        <v>43.595990141797508</v>
      </c>
      <c r="D93" t="str">
        <f>Market_currency</f>
        <v>HKD</v>
      </c>
      <c r="E93" s="147" t="s">
        <v>127</v>
      </c>
      <c r="F93" s="329">
        <f>(1-C93/C60)</f>
        <v>0.35830516102706711</v>
      </c>
    </row>
    <row r="95" spans="2:8" ht="13.15">
      <c r="B95" s="109" t="s">
        <v>405</v>
      </c>
      <c r="G95" s="2"/>
      <c r="H95" s="316"/>
    </row>
    <row r="96" spans="2:8">
      <c r="B96" s="149" t="s">
        <v>411</v>
      </c>
      <c r="C96" s="135">
        <f>Thesis!C72</f>
        <v>0.08</v>
      </c>
      <c r="G96" s="2"/>
      <c r="H96" s="316"/>
    </row>
    <row r="97" spans="2:8">
      <c r="B97" s="100" t="s">
        <v>122</v>
      </c>
      <c r="C97" s="117">
        <f>PV(C96, C76, -C77, 0)</f>
        <v>5.2356493503458212</v>
      </c>
      <c r="D97" s="117"/>
      <c r="G97" s="2"/>
      <c r="H97" s="316"/>
    </row>
    <row r="98" spans="2:8">
      <c r="B98" s="100" t="s">
        <v>123</v>
      </c>
      <c r="C98" s="117">
        <f>C60/(1+C96)^C76</f>
        <v>53.932025710457864</v>
      </c>
      <c r="D98" s="117"/>
      <c r="G98" s="2"/>
      <c r="H98" s="316"/>
    </row>
    <row r="99" spans="2:8" ht="13.15">
      <c r="B99" s="111" t="s">
        <v>406</v>
      </c>
      <c r="C99" s="112">
        <f>C97+C98</f>
        <v>59.167675060803688</v>
      </c>
      <c r="D99" t="s">
        <v>404</v>
      </c>
      <c r="E99" s="147" t="s">
        <v>127</v>
      </c>
      <c r="F99" s="329">
        <f>(1-C99/C60)</f>
        <v>0.12910358046567361</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