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27CB8DE-9152-4DB8-8C06-8B5D049D243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<sst xmlns="http://schemas.openxmlformats.org/spreadsheetml/2006/main" count="685" uniqueCount="466">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</sst>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58.75</v>
      </c>
      <c r="D12" s="50"/>
      <c r="E12" s="48"/>
    </row>
    <row r="13" spans="1:10">
      <c r="B13" s="1" t="s">
        <v>416</v>
      </c>
      <c r="C13" s="48" t="s">
        <v>414</v>
      </c>
      <c r="D13" s="48"/>
      <c r="E13" s="5"/>
    </row>
    <row r="14" spans="1:10">
      <c r="B14" s="4" t="s">
        <v>420</v>
      </c>
      <c r="C14" s="35">
        <f>Thesis!C12*Common_Shares/1000000</f>
        <v>28433.307882500001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0.15751119201209329</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2957715106.6986084</v>
      </c>
      <c r="D41" s="1" t="str">
        <f>Reporting_currency</f>
        <v>CNY</v>
      </c>
    </row>
    <row r="42" spans="1:6">
      <c r="B42" s="47"/>
      <c r="C42" s="76"/>
    </row>
    <row r="43" spans="1:6" ht="24.5" customHeight="1">
      <c r="B43" s="359" t="s">
        <v>233</v>
      </c>
      <c r="C43" s="359"/>
      <c r="D43" s="359"/>
      <c r="E43" s="359"/>
      <c r="F43" s="359"/>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9" t="s">
        <v>241</v>
      </c>
      <c r="C58" s="359"/>
      <c r="D58" s="359"/>
      <c r="E58" s="359"/>
      <c r="F58" s="359"/>
    </row>
    <row r="59" spans="2:6">
      <c r="B59" s="47" t="s">
        <v>239</v>
      </c>
      <c r="C59" s="349">
        <f>Normalized_FCF!C14</f>
        <v>-747280315.12871861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7.3855678339148426E-2</v>
      </c>
      <c r="F69" s="314"/>
    </row>
    <row r="70" spans="1:6">
      <c r="B70" s="227" t="s">
        <v>308</v>
      </c>
      <c r="C70" s="92">
        <f>Normalized_FCF!C93</f>
        <v>4.0851063829787232E-2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8" t="s">
        <v>366</v>
      </c>
      <c r="C116" s="358"/>
      <c r="D116" s="358"/>
      <c r="E116" s="358"/>
      <c r="F116" s="358"/>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4.0851063829787232E-2</v>
      </c>
      <c r="E93" s="268"/>
      <c r="G93" s="23">
        <f t="shared" ref="G93:Q93" si="39">IF(G$4="","",G90/Market_Price)</f>
        <v>4.0851063829787232E-2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7.3855678339148426E-2</v>
      </c>
      <c r="D125" s="27"/>
      <c r="E125" s="265"/>
      <c r="F125" s="27"/>
      <c r="G125" s="77">
        <f t="shared" ref="G125" si="50">IF(G$4="","",G124/Market_Price)</f>
        <v>8.1709760764282616E-2</v>
      </c>
      <c r="H125" s="77">
        <f t="shared" ref="H125" si="51">IF(H$4="","",H124/Market_Price)</f>
        <v>9.382080950115021E-2</v>
      </c>
      <c r="I125" s="77">
        <f t="shared" ref="I125" si="52">IF(I$4="","",I124/Market_Price)</f>
        <v>8.9374506098596762E-2</v>
      </c>
      <c r="J125" s="77">
        <f t="shared" ref="J125" si="53">IF(J$4="","",J124/Market_Price)</f>
        <v>8.3570408782451602E-2</v>
      </c>
      <c r="K125" s="77">
        <f t="shared" ref="K125" si="54">IF(K$4="","",K124/Market_Price)</f>
        <v>4.6809348249675892E-2</v>
      </c>
      <c r="L125" s="77">
        <f t="shared" ref="L125" si="55">IF(L$4="","",L124/Market_Price)</f>
        <v>1.6431887184986713E-2</v>
      </c>
      <c r="M125" s="77">
        <f t="shared" ref="M125" si="56">IF(M$4="","",M124/Market_Price)</f>
        <v>1.5064149610508129E-2</v>
      </c>
      <c r="N125" s="77">
        <f t="shared" ref="N125" si="57">IF(N$4="","",N124/Market_Price)</f>
        <v>1.2126206223518883E-2</v>
      </c>
      <c r="O125" s="77">
        <f t="shared" ref="O125" si="58">IF(O$4="","",O124/Market_Price)</f>
        <v>1.1974422582381012E-2</v>
      </c>
      <c r="P125" s="77">
        <f t="shared" ref="P125" si="59">IF(P$4="","",P124/Market_Price)</f>
        <v>6.6295262506553699E-3</v>
      </c>
      <c r="Q125" s="77" t="str">
        <f t="shared" ref="Q125" si="60">IF(Q$4="","",Q124/Market_Price)</f>
        <v/>
      </c>
    </row>
    <row r="126" spans="1:17" ht="15.75" customHeight="1">
      <c r="B126" s="2" t="s">
        <v>394</v>
      </c>
      <c r="C126" s="169"/>
      <c r="G126" s="23">
        <f>IF(G$4="","",(Data!C47*$C$3)/(Market_Price*Common_Shares))</f>
        <v>7.9110756345885394E-2</v>
      </c>
      <c r="H126" s="23">
        <f>IF(H$4="","",(Data!D47*$C$3)/(Market_Price*Common_Shares))</f>
        <v>9.5365919653298714E-2</v>
      </c>
      <c r="I126" s="23">
        <f>IF(I$4="","",(Data!E47*$C$3)/(Market_Price*Common_Shares))</f>
        <v>9.0981311484766528E-2</v>
      </c>
      <c r="J126" s="23">
        <f>IF(J$4="","",(Data!F47*$C$3)/(Market_Price*Common_Shares))</f>
        <v>8.4378370814766207E-2</v>
      </c>
      <c r="K126" s="23">
        <f>IF(K$4="","",(Data!G47*$C$3)/(Market_Price*Common_Shares))</f>
        <v>6.1629026887810967E-2</v>
      </c>
      <c r="L126" s="23">
        <f>IF(L$4="","",(Data!H47*$C$3)/(Market_Price*Common_Shares))</f>
        <v>2.5622658222204126E-2</v>
      </c>
      <c r="M126" s="23">
        <f>IF(M$4="","",(Data!I47*$C$3)/(Market_Price*Common_Shares))</f>
        <v>1.4815703918124659E-2</v>
      </c>
      <c r="N126" s="23">
        <f>IF(N$4="","",(Data!J47*$C$3)/(Market_Price*Common_Shares))</f>
        <v>1.1469728965328028E-2</v>
      </c>
      <c r="O126" s="23">
        <f>IF(O$4="","",(Data!K47*$C$3)/(Market_Price*Common_Shares))</f>
        <v>4.9217336786245101E-3</v>
      </c>
      <c r="P126" s="23">
        <f>IF(P$4="","",(Data!L47*$C$3)/(Market_Price*Common_Shares))</f>
        <v>-5.4004276123815857E-3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-58.75</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58.75</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58.75</v>
      </c>
      <c r="D86" t="str">
        <f>Market_currency</f>
        <v>CNY</v>
      </c>
    </row>
    <row r="87" spans="2:8" ht="13.15">
      <c r="B87" s="100" t="s">
        <v>298</v>
      </c>
      <c r="C87" s="237">
        <f ca="1">IRR(OFFSET($I$3, 0, 0, $C$76 + 1, 1))</f>
        <v>0.15751119201209329</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