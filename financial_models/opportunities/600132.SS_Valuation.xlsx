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77612B6-D8A3-41E6-ACBD-6CA894EDF69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9" i="3" l="1"/>
  <c r="C23" i="3"/>
  <c r="G19" i="3"/>
  <c r="C4" i="3"/>
  <c r="C25" i="4"/>
  <c r="L6" i="4"/>
  <c r="K6" i="4"/>
  <c r="J6" i="4"/>
  <c r="I6" i="4"/>
  <c r="H6" i="4"/>
  <c r="G6" i="4"/>
  <c r="F6" i="4"/>
  <c r="E6" i="4"/>
  <c r="D6" i="4"/>
  <c r="C6" i="4"/>
  <c r="D139" i="6"/>
  <c r="C90" i="9"/>
  <c r="C136" i="6" s="1"/>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7" i="6" l="1"/>
  <c r="B138"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G105" i="2" s="1"/>
  <c r="G101" i="2" s="1"/>
  <c r="C88" i="6"/>
  <c r="F71" i="4"/>
  <c r="F70" i="4"/>
  <c r="G70" i="4"/>
  <c r="K70" i="4"/>
  <c r="K58" i="4"/>
  <c r="O62" i="2" s="1"/>
  <c r="K71" i="4"/>
  <c r="J71" i="4"/>
  <c r="I69" i="4"/>
  <c r="J70" i="4"/>
  <c r="H70" i="4"/>
  <c r="N126" i="2"/>
  <c r="N91" i="2"/>
  <c r="P126" i="2"/>
  <c r="P91" i="2"/>
  <c r="J69" i="4"/>
  <c r="G69" i="4"/>
  <c r="O126" i="2"/>
  <c r="O91" i="2"/>
  <c r="L126" i="2"/>
  <c r="L91" i="2"/>
  <c r="K69" i="4"/>
  <c r="H69" i="4"/>
  <c r="I70" i="4"/>
  <c r="M126" i="2"/>
  <c r="M91" i="2"/>
  <c r="I71" i="4"/>
  <c r="D70" i="4"/>
  <c r="C70" i="4"/>
  <c r="I91" i="2"/>
  <c r="D69" i="4"/>
  <c r="J91" i="2"/>
  <c r="K126" i="2"/>
  <c r="K91" i="2"/>
  <c r="H91" i="2"/>
  <c r="E69" i="4"/>
  <c r="C69" i="4"/>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C76" i="4" l="1"/>
  <c r="O30" i="2"/>
  <c r="H58" i="4"/>
  <c r="L62" i="2" s="1"/>
  <c r="G71" i="4"/>
  <c r="H71" i="4"/>
  <c r="O8" i="2"/>
  <c r="O40" i="2"/>
  <c r="O63" i="2"/>
  <c r="O73" i="2"/>
  <c r="E58" i="4"/>
  <c r="I62" i="2" s="1"/>
  <c r="D71" i="4"/>
  <c r="E71" i="4"/>
  <c r="C58" i="4"/>
  <c r="G62" i="2" s="1"/>
  <c r="G63" i="2" s="1"/>
  <c r="C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P48" i="2" l="1"/>
  <c r="P50" i="2" s="1"/>
  <c r="P12" i="2" s="1"/>
  <c r="M48" i="2"/>
  <c r="M50" i="2" s="1"/>
  <c r="M12" i="2" s="1"/>
  <c r="K48" i="2"/>
  <c r="N48" i="2"/>
  <c r="N50" i="2" s="1"/>
  <c r="N12" i="2" s="1"/>
  <c r="O48" i="2"/>
  <c r="O50" i="2" s="1"/>
  <c r="O12" i="2" s="1"/>
  <c r="L48" i="2"/>
  <c r="L50" i="2" s="1"/>
  <c r="L12" i="2" s="1"/>
  <c r="G48" i="2"/>
  <c r="G50" i="2" s="1"/>
  <c r="G12" i="2" s="1"/>
  <c r="G43" i="2" s="1"/>
  <c r="I48" i="2"/>
  <c r="I50" i="2" s="1"/>
  <c r="I12" i="2" s="1"/>
  <c r="I80" i="2" s="1"/>
  <c r="J48" i="2"/>
  <c r="J50" i="2" s="1"/>
  <c r="J12" i="2" s="1"/>
  <c r="J80" i="2" s="1"/>
  <c r="H48" i="2"/>
  <c r="H50" i="2" s="1"/>
  <c r="H12" i="2" s="1"/>
  <c r="H80"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D89" i="3" s="1"/>
  <c r="C89" i="6"/>
  <c r="O16" i="2"/>
  <c r="O81" i="2"/>
  <c r="O117" i="2" s="1"/>
  <c r="P81" i="2"/>
  <c r="P117" i="2" s="1"/>
  <c r="P16" i="2"/>
  <c r="O97" i="2"/>
  <c r="D69" i="8"/>
  <c r="D71" i="8"/>
  <c r="E70" i="8"/>
  <c r="G54" i="2"/>
  <c r="C54" i="2" s="1"/>
  <c r="C89" i="3" l="1"/>
  <c r="B70" i="8"/>
  <c r="B69" i="8"/>
  <c r="B67" i="8"/>
  <c r="C67" i="8"/>
  <c r="B68" i="8"/>
  <c r="F70" i="8"/>
  <c r="C71" i="8"/>
  <c r="C69" i="8"/>
  <c r="C68" i="8"/>
  <c r="D67" i="8"/>
  <c r="E71" i="8"/>
  <c r="B66" i="8"/>
  <c r="C66" i="8"/>
  <c r="E66" i="8"/>
  <c r="E68" i="8"/>
  <c r="D66" i="8"/>
  <c r="C70" i="8"/>
  <c r="E67" i="8"/>
  <c r="F69" i="8"/>
  <c r="F67" i="8"/>
  <c r="E69" i="8"/>
  <c r="D68" i="8"/>
  <c r="F68" i="8"/>
  <c r="B71" i="8"/>
  <c r="F71" i="8"/>
  <c r="D70" i="8"/>
  <c r="F66" i="8"/>
  <c r="C86" i="6"/>
  <c r="C87" i="6" s="1"/>
  <c r="O84" i="2"/>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<sst xmlns="http://schemas.openxmlformats.org/spreadsheetml/2006/main" count="616" uniqueCount="431">
  <si>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</si>
  <si>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</si>
  <si>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</si>
  <si>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</si>
  <si>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</si>
  <si>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</si>
  <si>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</si>
  <si>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</si>
  <si>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</si>
  <si>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</si>
  <si>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</si>
  <si>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</si>
  <si>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</si>
  <si>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</si>
  <si>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</si>
  <si>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</si>
  <si>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</si>
  <si>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</si>
  <si>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</si>
  <si>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</si>
  <si>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</si>
  <si>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</si>
  <si>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</si>
  <si>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</si>
  <si>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</si>
  <si>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</si>
  <si>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</si>
  <si>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</si>
  <si>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</si>
  <si>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</si>
  <si>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</si>
  <si>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</si>
  <si>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</si>
  <si>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</si>
  <si>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</si>
  <si>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</si>
  <si>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</si>
  <si>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</si>
  <si>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</si>
  <si>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</si>
  <si>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</si>
  <si>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</si>
  <si>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</si>
  <si>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</si>
  <si>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</si>
  <si>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</si>
  <si>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</si>
  <si>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</si>
  <si>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</si>
  <si>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</si>
  <si>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</si>
  <si>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</si>
  <si>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</si>
  <si>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</si>
  <si>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</si>
  <si>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</si>
  <si>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</si>
  <si>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</si>
  <si>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</si>
  <si>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</si>
  <si>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</si>
  <si>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</si>
  <si>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</si>
  <si>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</si>
  <si>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</si>
  <si>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</si>
  <si>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</si>
  <si>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</si>
  <si>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</si>
  <si>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</si>
  <si>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</si>
  <si>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</si>
  <si>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</si>
  <si>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</si>
  <si>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</si>
  <si>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</si>
  <si>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</si>
  <si>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</si>
  <si>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</si>
  <si>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</si>
  <si>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</si>
  <si>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</si>
  <si>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</si>
  <si>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</si>
  <si>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</si>
  <si>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</si>
  <si>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</si>
  <si>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</si>
  <si>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</si>
  <si>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</si>
  <si>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</si>
  <si>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</si>
  <si>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</si>
  <si>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</si>
  <si>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</si>
  <si>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</si>
  <si>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</si>
  <si>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</si>
  <si>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</si>
  <si>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</si>
  <si>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</si>
  <si>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</si>
  <si>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</si>
  <si>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</si>
  <si>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</si>
  <si>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</si>
  <si>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</si>
  <si>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</si>
  <si>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</si>
  <si>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</si>
  <si>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</si>
  <si>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</si>
  <si>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</si>
  <si>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</si>
  <si>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</si>
  <si>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</si>
  <si>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</si>
  <si>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</si>
  <si>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</si>
  <si>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</si>
  <si>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</si>
  <si>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</si>
  <si>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</si>
  <si>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</si>
  <si>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</si>
  <si>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</si>
  <si>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</si>
  <si>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</si>
  <si>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</si>
  <si>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</si>
  <si>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</si>
  <si>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</si>
  <si>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</si>
  <si>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</si>
  <si>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</si>
  <si>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</si>
  <si>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</si>
  <si>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</si>
  <si>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</si>
  <si>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</si>
  <si>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</si>
  <si>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</si>
  <si>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</si>
  <si>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</si>
  <si>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</si>
  <si>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</si>
  <si>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</si>
  <si>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</si>
  <si>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</si>
  <si>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</si>
  <si>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</si>
  <si>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</si>
  <si>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</si>
  <si>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</si>
  <si>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</si>
  <si>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</si>
  <si>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</si>
  <si>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</si>
  <si>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</si>
  <si>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</si>
  <si>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</si>
  <si>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</si>
  <si>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</si>
  <si>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</si>
  <si>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</si>
  <si>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</si>
  <si>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</si>
  <si>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</si>
  <si>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</si>
  <si>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</si>
  <si>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</si>
  <si>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</si>
  <si>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</si>
  <si>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</si>
  <si>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</si>
  <si>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</si>
  <si>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</si>
  <si>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</si>
  <si>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</si>
  <si>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</si>
  <si>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</si>
  <si>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</si>
  <si>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</si>
  <si>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</si>
  <si>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</si>
  <si>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</si>
  <si>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</si>
  <si>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</si>
  <si>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</si>
  <si>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</si>
  <si>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</si>
  <si>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</si>
  <si>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</si>
  <si>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</si>
  <si>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</si>
  <si>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</si>
  <si>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</si>
  <si>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</si>
  <si>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</si>
  <si>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</si>
  <si>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</si>
  <si>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</si>
  <si>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</si>
  <si>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</si>
  <si>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</si>
  <si>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</si>
  <si>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</si>
  <si>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</si>
  <si>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</si>
  <si>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</si>
  <si>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</si>
  <si>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</si>
  <si>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</si>
  <si>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</si>
  <si>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</si>
  <si>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</si>
  <si>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</si>
  <si>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</si>
  <si>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</si>
  <si>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</si>
  <si>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</si>
  <si>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</si>
  <si>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</si>
  <si>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</si>
  <si>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</si>
  <si>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</si>
  <si>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</si>
  <si>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</si>
  <si>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</si>
  <si>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</si>
  <si>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</si>
  <si>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</si>
  <si>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</si>
  <si>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</si>
  <si>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</si>
  <si>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</si>
  <si>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</si>
  <si>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</si>
  <si>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</si>
  <si>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</si>
  <si>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</si>
  <si>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</si>
  <si>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</si>
  <si>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</si>
  <si>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</si>
  <si>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</si>
  <si>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</si>
  <si>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</si>
  <si>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</si>
  <si>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</si>
  <si>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</si>
  <si>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</si>
  <si>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</si>
  <si>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</si>
  <si>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</si>
  <si>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</si>
  <si>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</si>
  <si>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</si>
  <si>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</si>
  <si>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</si>
  <si>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</si>
  <si>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</si>
  <si>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</si>
  <si>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</si>
  <si>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</si>
  <si>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</si>
  <si>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</si>
  <si>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</si>
  <si>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</si>
  <si>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</si>
  <si>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</si>
  <si>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</si>
  <si>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</si>
  <si>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</si>
  <si>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</si>
  <si>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</si>
  <si>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</si>
  <si>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</si>
  <si>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</si>
  <si>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</si>
  <si>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</si>
  <si>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</si>
  <si>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</si>
  <si>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</si>
  <si>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</si>
  <si>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</si>
  <si>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</si>
  <si>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</si>
  <si>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</si>
  <si>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</si>
  <si>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</si>
  <si>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</si>
  <si>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</si>
  <si>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</si>
  <si>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</si>
  <si>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</si>
  <si>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</si>
  <si>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</si>
  <si>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</si>
  <si>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</si>
  <si>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</si>
  <si>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</si>
  <si>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</si>
  <si>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</si>
  <si>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</si>
  <si>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</si>
  <si>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</si>
  <si>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</si>
  <si>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</si>
  <si>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</si>
  <si>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</si>
  <si>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</si>
  <si>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</si>
  <si>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</si>
  <si>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</si>
  <si>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</si>
  <si>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</si>
  <si>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</si>
  <si>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</si>
  <si>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</si>
  <si>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</si>
  <si>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</si>
  <si>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</si>
  <si>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</si>
  <si>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</si>
  <si>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</si>
  <si>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</si>
  <si>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</si>
  <si>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</si>
  <si>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</si>
  <si>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</si>
  <si>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</si>
  <si>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</si>
  <si>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</si>
  <si>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</si>
  <si>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</si>
  <si>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</si>
  <si>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</si>
  <si>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</si>
  <si>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</si>
  <si>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</si>
  <si>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</si>
  <si>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</si>
  <si>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</si>
  <si>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</si>
  <si>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</si>
  <si>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</si>
  <si>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</si>
  <si>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</si>
  <si>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</si>
  <si>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</si>
  <si>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</si>
  <si>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</si>
  <si>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</si>
  <si>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</si>
  <si>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</si>
  <si>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</si>
  <si>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</si>
  <si>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</si>
  <si>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</si>
  <si>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</si>
  <si>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</si>
  <si>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</si>
  <si>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</si>
  <si>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</si>
  <si>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</si>
  <si>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</si>
  <si>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</si>
  <si>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</si>
  <si>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</si>
  <si>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</si>
  <si>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</si>
  <si>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</si>
  <si>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</si>
  <si>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</si>
  <si>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</si>
  <si>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</si>
  <si>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</si>
  <si>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</si>
  <si>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</si>
  <si>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</si>
  <si>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</si>
  <si>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</si>
  <si>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</si>
  <si>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</si>
  <si>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</si>
  <si>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</si>
  <si>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</si>
  <si>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</si>
  <si>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</si>
  <si>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</si>
  <si>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</si>
  <si>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</si>
  <si>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</si>
  <si>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</si>
  <si>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</si>
  <si>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</si>
  <si>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</si>
  <si>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</si>
  <si>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</si>
  <si>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</si>
  <si>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</si>
  <si>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</si>
  <si>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</si>
  <si>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</si>
  <si>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</si>
  <si>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</si>
  <si>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</si>
  <si>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</si>
  <si>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</si>
  <si>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</si>
  <si>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</si>
  <si>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</si>
  <si>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</si>
  <si>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</si>
  <si>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</si>
  <si>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</si>
  <si>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</si>
  <si>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</si>
  <si>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</si>
  <si>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</si>
  <si>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</si>
  <si>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</si>
  <si>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</si>
  <si>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</si>
  <si>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</si>
  <si>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600132.SS</t>
  </si>
  <si>
    <t>CNY</t>
  </si>
  <si>
    <t>重庆啤酒</t>
  </si>
  <si>
    <t>N</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</si>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</sst>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45780</v>
      </c>
      <c r="D1" s="52"/>
      <c r="E1" s="331" t="s">
        <v>362</v>
      </c>
      <c r="F1" s="284" t="s">
        <v>429</v>
      </c>
    </row>
    <row r="2" spans="1:10" ht="13.9">
      <c r="A2" s="247" t="s">
        <v>268</v>
      </c>
      <c r="B2" s="36"/>
      <c r="C2" s="36"/>
      <c r="D2" s="36"/>
      <c r="E2" s="36"/>
      <c r="F2" s="36"/>
      <c r="G2" s="22"/>
      <c r="H2" s="22"/>
      <c r="I2" s="22"/>
      <c r="J2" s="22"/>
    </row>
    <row r="4" spans="1:10">
      <c r="B4" s="45" t="str">
        <f>D5&amp;" Stock Information"</f>
        <v>600132.SS Stock Information</v>
      </c>
      <c r="C4" s="46"/>
      <c r="D4" s="5"/>
      <c r="E4" s="2"/>
      <c r="F4" s="2"/>
    </row>
    <row r="5" spans="1:10" ht="12.4">
      <c r="B5" s="4" t="s">
        <v>323</v>
      </c>
      <c r="C5" s="333" t="s">
        <v>428</v>
      </c>
      <c r="D5" s="49" t="s">
        <v>426</v>
      </c>
    </row>
    <row r="6" spans="1:10">
      <c r="B6" s="4" t="s">
        <v>95</v>
      </c>
      <c r="C6" s="50">
        <v>57.4</v>
      </c>
      <c r="D6" s="48" t="s">
        <v>427</v>
      </c>
      <c r="E6" s="48"/>
    </row>
    <row r="7" spans="1:10">
      <c r="B7" s="4" t="s">
        <v>0</v>
      </c>
      <c r="C7" s="51">
        <v>483971198</v>
      </c>
      <c r="D7" s="34"/>
      <c r="E7" s="34"/>
    </row>
    <row r="8" spans="1:10">
      <c r="B8" s="2" t="s">
        <v>314</v>
      </c>
      <c r="C8" s="279">
        <v>6</v>
      </c>
      <c r="D8" s="5"/>
      <c r="E8" s="48"/>
    </row>
    <row r="9" spans="1:10">
      <c r="B9" s="1" t="s">
        <v>269</v>
      </c>
      <c r="C9" s="33">
        <f>EOMONTH(EDATE(BS!C1,C8+2),0)</f>
        <v>45716</v>
      </c>
      <c r="D9" s="5"/>
      <c r="E9" s="5"/>
    </row>
    <row r="10" spans="1:10">
      <c r="B10" s="4" t="str">
        <f>"Capitalization ("&amp;Market_currency&amp;"):"</f>
        <v>Capitalization (CNY):</v>
      </c>
      <c r="C10" s="35">
        <f>Thesis!C6*Thesis!C7/1000000</f>
        <v>27779.946765200002</v>
      </c>
      <c r="D10" s="32"/>
      <c r="E10" s="5"/>
    </row>
    <row r="11" spans="1:10">
      <c r="D11" s="5"/>
      <c r="E11" s="5"/>
    </row>
    <row r="12" spans="1:10" ht="24.4" customHeight="1">
      <c r="B12" s="342" t="s">
        <v>369</v>
      </c>
      <c r="C12" s="342"/>
      <c r="D12" s="342"/>
      <c r="E12" s="342"/>
      <c r="F12" s="342"/>
    </row>
    <row r="14" spans="1:10">
      <c r="B14" s="45" t="s">
        <v>313</v>
      </c>
      <c r="C14" s="46"/>
      <c r="D14" s="5"/>
    </row>
    <row r="15" spans="1:10">
      <c r="B15" s="2" t="s">
        <v>357</v>
      </c>
      <c r="C15" s="32" t="str">
        <f>IF(Scenarios!C69="Y",Scenarios!B69,"")&amp;IF(Scenarios!C70="Y",Scenarios!B70,"")&amp;IF(Scenarios!C71="Y",Scenarios!B71,"")&amp;" "&amp;IF(Scenarios!C72="Y",Scenarios!B72,"")</f>
        <v xml:space="preserve">Low Growth </v>
      </c>
      <c r="E15" s="5"/>
    </row>
    <row r="16" spans="1:10">
      <c r="B16" s="4" t="s">
        <v>356</v>
      </c>
      <c r="C16" s="48" t="s">
        <v>427</v>
      </c>
      <c r="D16" s="32"/>
      <c r="E16" s="5"/>
    </row>
    <row r="17" spans="1:6">
      <c r="B17" s="4" t="s">
        <v>1</v>
      </c>
      <c r="C17" s="50">
        <v>1</v>
      </c>
      <c r="D17" s="32" t="str">
        <f>IF(C16=D6,D6,C16&amp;"/"&amp;D6)</f>
        <v>CNY</v>
      </c>
      <c r="E17" s="5"/>
    </row>
    <row r="18" spans="1:6">
      <c r="B18" s="2" t="s">
        <v>56</v>
      </c>
      <c r="C18" s="48" t="s">
        <v>430</v>
      </c>
      <c r="E18" s="5"/>
    </row>
    <row r="19" spans="1:6">
      <c r="B19" s="2" t="s">
        <v>277</v>
      </c>
      <c r="C19" s="249">
        <v>0.3</v>
      </c>
      <c r="D19" s="1" t="s">
        <v>419</v>
      </c>
      <c r="E19" s="339">
        <v>0.2</v>
      </c>
    </row>
    <row r="20" spans="1:6">
      <c r="B20" s="2" t="str">
        <f>"Target Buy Price ("&amp;Market_currency&amp;"):"</f>
        <v>Target Buy Price (CNY):</v>
      </c>
      <c r="C20" s="252">
        <f>C133</f>
        <v>34.669224296258527</v>
      </c>
      <c r="D20" s="1" t="s">
        <v>315</v>
      </c>
      <c r="E20" s="330">
        <v>3</v>
      </c>
    </row>
    <row r="21" spans="1:6">
      <c r="B21" s="1" t="s">
        <v>409</v>
      </c>
      <c r="C21" s="280">
        <f ca="1">Scenarios!C87</f>
        <v>9.0634582120934004E-2</v>
      </c>
      <c r="D21" s="5"/>
      <c r="E21" s="5"/>
    </row>
    <row r="22" spans="1:6">
      <c r="D22" s="5"/>
      <c r="E22" s="5"/>
    </row>
    <row r="23" spans="1:6" ht="13.9">
      <c r="A23" s="247" t="s">
        <v>364</v>
      </c>
      <c r="B23" s="36"/>
      <c r="C23" s="36"/>
      <c r="D23" s="36"/>
      <c r="E23" s="36"/>
      <c r="F23" s="36"/>
    </row>
    <row r="25" spans="1:6" ht="24.4" customHeight="1">
      <c r="B25" s="342" t="s">
        <v>370</v>
      </c>
      <c r="C25" s="342"/>
      <c r="D25" s="342"/>
      <c r="E25" s="342"/>
      <c r="F25" s="342"/>
    </row>
    <row r="26" spans="1:6" ht="24.4" customHeight="1">
      <c r="B26" s="345" t="s">
        <v>348</v>
      </c>
      <c r="C26" s="345"/>
      <c r="D26" s="345"/>
      <c r="E26" s="345"/>
      <c r="F26" s="345"/>
    </row>
    <row r="28" spans="1:6">
      <c r="B28" s="234" t="s">
        <v>231</v>
      </c>
      <c r="C28" s="108">
        <f>scaling_factor</f>
        <v>1</v>
      </c>
    </row>
    <row r="29" spans="1:6" ht="24.4" customHeight="1">
      <c r="B29" s="343" t="s">
        <v>232</v>
      </c>
      <c r="C29" s="343"/>
      <c r="D29" s="343"/>
      <c r="E29" s="343"/>
      <c r="F29" s="343"/>
    </row>
    <row r="30" spans="1:6">
      <c r="B30" s="47" t="s">
        <v>233</v>
      </c>
      <c r="C30" s="188">
        <f>Normalized_FCF!C8</f>
        <v>3123489756.696907</v>
      </c>
      <c r="D30" s="1" t="str">
        <f>Reporting_currency</f>
        <v>CNY</v>
      </c>
    </row>
    <row r="31" spans="1:6">
      <c r="B31" s="47"/>
      <c r="C31" s="76"/>
    </row>
    <row r="32" spans="1:6" ht="24.4" customHeight="1">
      <c r="B32" s="343" t="s">
        <v>234</v>
      </c>
      <c r="C32" s="343"/>
      <c r="D32" s="343"/>
      <c r="E32" s="343"/>
      <c r="F32" s="343"/>
    </row>
    <row r="33" spans="2:6">
      <c r="B33" s="47" t="s">
        <v>235</v>
      </c>
      <c r="C33" s="188">
        <f>Normalized_FCF!C9</f>
        <v>575917865</v>
      </c>
      <c r="D33" s="1" t="str">
        <f>Reporting_currency</f>
        <v>CNY</v>
      </c>
    </row>
    <row r="34" spans="2:6">
      <c r="B34" s="52" t="s">
        <v>236</v>
      </c>
      <c r="C34" s="188">
        <f>Normalized_FCF!C10</f>
        <v>-575917865</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349</v>
      </c>
      <c r="C40" s="322">
        <f>Normalized_FCF!C48</f>
        <v>38554805.997018404</v>
      </c>
      <c r="D40" s="1" t="str">
        <f>Reporting_currency</f>
        <v>CNY</v>
      </c>
      <c r="E40" s="321"/>
      <c r="F40" s="321"/>
    </row>
    <row r="41" spans="2:6">
      <c r="B41" s="47" t="s">
        <v>350</v>
      </c>
      <c r="C41" s="322">
        <f>Normalized_FCF!C47</f>
        <v>-7672861</v>
      </c>
      <c r="D41" s="1" t="str">
        <f>Reporting_currency</f>
        <v>CNY</v>
      </c>
      <c r="E41" s="321"/>
      <c r="F41" s="321"/>
    </row>
    <row r="42" spans="2:6">
      <c r="B42" s="47" t="s">
        <v>239</v>
      </c>
      <c r="C42" s="188">
        <f>Normalized_FCF!C12</f>
        <v>30881944.997018404</v>
      </c>
      <c r="D42" s="1" t="str">
        <f>Reporting_currency</f>
        <v>CNY</v>
      </c>
    </row>
    <row r="44" spans="2:6">
      <c r="B44" s="1" t="s">
        <v>247</v>
      </c>
    </row>
    <row r="45" spans="2:6">
      <c r="B45" s="47" t="s">
        <v>266</v>
      </c>
      <c r="C45" s="188">
        <f>Normalized_FCF!C15</f>
        <v>-141879704.29826272</v>
      </c>
      <c r="D45" s="1" t="str">
        <f>Reporting_currency</f>
        <v>CNY</v>
      </c>
    </row>
    <row r="47" spans="2:6">
      <c r="B47" s="343" t="s">
        <v>242</v>
      </c>
      <c r="C47" s="343"/>
      <c r="D47" s="343"/>
      <c r="E47" s="343"/>
      <c r="F47" s="343"/>
    </row>
    <row r="48" spans="2:6">
      <c r="B48" s="47" t="s">
        <v>240</v>
      </c>
      <c r="C48" s="188">
        <f>Normalized_FCF!C14</f>
        <v>-788592925.42348135</v>
      </c>
      <c r="D48" s="1" t="str">
        <f>Reporting_currency</f>
        <v>CNY</v>
      </c>
    </row>
    <row r="50" spans="1:6">
      <c r="B50" s="343" t="s">
        <v>347</v>
      </c>
      <c r="C50" s="344"/>
      <c r="D50" s="344"/>
      <c r="E50" s="344"/>
      <c r="F50" s="344"/>
    </row>
    <row r="51" spans="1:6">
      <c r="B51" s="47" t="s">
        <v>243</v>
      </c>
      <c r="C51" s="1">
        <f>Normalized_FCF!C17</f>
        <v>0</v>
      </c>
      <c r="D51" s="1" t="str">
        <f>Reporting_currency</f>
        <v>CNY</v>
      </c>
    </row>
    <row r="53" spans="1:6" ht="24.4" customHeight="1">
      <c r="B53" s="342" t="s">
        <v>352</v>
      </c>
      <c r="C53" s="342"/>
      <c r="D53" s="342"/>
      <c r="E53" s="342"/>
      <c r="F53" s="342"/>
    </row>
    <row r="54" spans="1:6" ht="24.4" customHeight="1">
      <c r="B54" s="342" t="s">
        <v>371</v>
      </c>
      <c r="C54" s="342"/>
      <c r="D54" s="342"/>
      <c r="E54" s="342"/>
      <c r="F54" s="342"/>
    </row>
    <row r="56" spans="1:6">
      <c r="B56" s="47" t="s">
        <v>271</v>
      </c>
      <c r="C56" s="188">
        <f>Normalized_FCF!G19</f>
        <v>2898672440.9970183</v>
      </c>
      <c r="D56" s="1" t="str">
        <f>Reporting_currency</f>
        <v>CNY</v>
      </c>
    </row>
    <row r="57" spans="1:6">
      <c r="B57" s="47" t="s">
        <v>249</v>
      </c>
      <c r="C57" s="188">
        <f>Normalized_FCF!C19</f>
        <v>2223899071.9721813</v>
      </c>
      <c r="D57" s="1" t="str">
        <f>Reporting_currency</f>
        <v>CNY</v>
      </c>
    </row>
    <row r="58" spans="1:6">
      <c r="B58" s="254" t="s">
        <v>400</v>
      </c>
      <c r="C58" s="92">
        <f>Normalized_FCF!C125</f>
        <v>8.005411568167814E-2</v>
      </c>
    </row>
    <row r="59" spans="1:6">
      <c r="B59" s="254" t="s">
        <v>316</v>
      </c>
      <c r="C59" s="92">
        <f>Normalized_FCF!C93</f>
        <v>4.1811846689895467E-2</v>
      </c>
    </row>
    <row r="61" spans="1:6" ht="13.9">
      <c r="A61" s="247" t="s">
        <v>365</v>
      </c>
      <c r="B61" s="36"/>
      <c r="C61" s="36"/>
      <c r="D61" s="36"/>
      <c r="E61" s="36"/>
      <c r="F61" s="36"/>
    </row>
    <row r="62" spans="1:6">
      <c r="A62" s="233"/>
    </row>
    <row r="63" spans="1:6" ht="24.4" customHeight="1">
      <c r="A63" s="17"/>
      <c r="B63" s="342" t="s">
        <v>372</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329</v>
      </c>
    </row>
    <row r="69" spans="1:6">
      <c r="B69" s="1" t="s">
        <v>289</v>
      </c>
      <c r="C69" s="263">
        <f>IF(D69="Y",1%,0)</f>
        <v>0</v>
      </c>
      <c r="D69" s="286" t="s">
        <v>329</v>
      </c>
    </row>
    <row r="70" spans="1:6">
      <c r="B70" s="80" t="s">
        <v>248</v>
      </c>
      <c r="C70" s="263">
        <f>SUM(C67:C69)</f>
        <v>0.08</v>
      </c>
    </row>
    <row r="71" spans="1:6">
      <c r="C71" s="122"/>
    </row>
    <row r="72" spans="1:6">
      <c r="B72" s="332" t="s">
        <v>366</v>
      </c>
      <c r="C72" s="122"/>
    </row>
    <row r="73" spans="1:6" ht="24.4" customHeight="1">
      <c r="B73" s="342" t="s">
        <v>373</v>
      </c>
      <c r="C73" s="342"/>
      <c r="D73" s="342"/>
      <c r="E73" s="342"/>
      <c r="F73" s="342"/>
    </row>
    <row r="74" spans="1:6" ht="24.4" customHeight="1">
      <c r="B74" s="342" t="s">
        <v>374</v>
      </c>
      <c r="C74" s="342"/>
      <c r="D74" s="342"/>
      <c r="E74" s="342"/>
      <c r="F74" s="342"/>
    </row>
    <row r="76" spans="1:6">
      <c r="B76" s="47" t="s">
        <v>252</v>
      </c>
      <c r="C76" s="263">
        <v>0</v>
      </c>
    </row>
    <row r="77" spans="1:6">
      <c r="B77" s="47" t="s">
        <v>284</v>
      </c>
      <c r="C77" s="248">
        <f>Valuation_Model!C6*scaling_factor*Exchange_Rate/Common_Shares</f>
        <v>57.438828001604072</v>
      </c>
      <c r="D77" s="1" t="str">
        <f>Market_currency</f>
        <v>CNY</v>
      </c>
    </row>
    <row r="79" spans="1:6" ht="13.9">
      <c r="A79" s="247" t="s">
        <v>367</v>
      </c>
      <c r="B79" s="36"/>
      <c r="C79" s="36"/>
      <c r="D79" s="36"/>
      <c r="E79" s="36"/>
      <c r="F79" s="36"/>
    </row>
    <row r="80" spans="1:6">
      <c r="A80" s="233"/>
    </row>
    <row r="81" spans="2:6">
      <c r="B81" s="342" t="s">
        <v>375</v>
      </c>
      <c r="C81" s="342"/>
      <c r="D81" s="342"/>
      <c r="E81" s="342"/>
      <c r="F81" s="342"/>
    </row>
    <row r="82" spans="2:6">
      <c r="B82" s="1" t="s">
        <v>254</v>
      </c>
    </row>
    <row r="84" spans="2:6">
      <c r="B84" s="234" t="s">
        <v>231</v>
      </c>
    </row>
    <row r="85" spans="2:6" ht="24.4" customHeight="1">
      <c r="B85" s="342" t="s">
        <v>353</v>
      </c>
      <c r="C85" s="342"/>
      <c r="D85" s="342"/>
      <c r="E85" s="342"/>
      <c r="F85" s="342"/>
    </row>
    <row r="86" spans="2:6">
      <c r="B86" s="47" t="s">
        <v>256</v>
      </c>
      <c r="C86" s="188">
        <f>Valuation_Model!C7</f>
        <v>123521704.27</v>
      </c>
      <c r="D86" s="1" t="str">
        <f>Reporting_currency</f>
        <v>CNY</v>
      </c>
    </row>
    <row r="87" spans="2:6">
      <c r="B87" s="47" t="s">
        <v>285</v>
      </c>
      <c r="C87" s="248">
        <f>C86*scaling_factor*Exchange_Rate/Common_Shares</f>
        <v>0.25522532080514426</v>
      </c>
      <c r="D87" s="1" t="str">
        <f>Market_currency</f>
        <v>CNY</v>
      </c>
    </row>
    <row r="88" spans="2:6">
      <c r="B88" s="336" t="s">
        <v>414</v>
      </c>
      <c r="C88" s="337">
        <f>BS!G30/BS!G27</f>
        <v>3.4701988818540461</v>
      </c>
    </row>
    <row r="89" spans="2:6">
      <c r="B89" s="336" t="s">
        <v>415</v>
      </c>
      <c r="C89" s="337">
        <f>BS!G31/BS!G27</f>
        <v>5.0341856510546588E-2</v>
      </c>
    </row>
    <row r="90" spans="2:6">
      <c r="B90" s="336" t="s">
        <v>417</v>
      </c>
      <c r="C90" s="338">
        <f>BS!C50</f>
        <v>3.9546057100127742E-2</v>
      </c>
    </row>
    <row r="92" spans="2:6">
      <c r="B92" s="1" t="s">
        <v>255</v>
      </c>
    </row>
    <row r="93" spans="2:6">
      <c r="B93" s="47" t="s">
        <v>265</v>
      </c>
      <c r="C93" s="188">
        <f>BS!C66</f>
        <v>1081659074.0699999</v>
      </c>
      <c r="D93" s="1" t="str">
        <f>Reporting_currency</f>
        <v>CNY</v>
      </c>
    </row>
    <row r="94" spans="2:6">
      <c r="B94" s="47" t="s">
        <v>267</v>
      </c>
      <c r="C94" s="188">
        <f>Valuation_Model!C8</f>
        <v>65618450.04890883</v>
      </c>
      <c r="D94" s="1" t="str">
        <f>Reporting_currency</f>
        <v>CNY</v>
      </c>
    </row>
    <row r="95" spans="2:6">
      <c r="B95" s="47" t="s">
        <v>286</v>
      </c>
      <c r="C95" s="248">
        <f>C94*scaling_factor*Exchange_Rate/Common_Shares</f>
        <v>0.13558337834994227</v>
      </c>
      <c r="D95" s="1" t="str">
        <f>Market_currency</f>
        <v>CNY</v>
      </c>
    </row>
    <row r="97" spans="1:6">
      <c r="B97" s="1" t="s">
        <v>257</v>
      </c>
    </row>
    <row r="98" spans="1:6">
      <c r="B98" s="47" t="s">
        <v>258</v>
      </c>
      <c r="C98" s="188">
        <f>Valuation_Model!C9</f>
        <v>29558000.651999995</v>
      </c>
      <c r="D98" s="1" t="str">
        <f>Reporting_currency</f>
        <v>CNY</v>
      </c>
    </row>
    <row r="99" spans="1:6">
      <c r="B99" s="47" t="s">
        <v>287</v>
      </c>
      <c r="C99" s="248">
        <f>C98*scaling_factor*Exchange_Rate/Common_Shares</f>
        <v>6.1073883681813636E-2</v>
      </c>
      <c r="D99" s="1" t="str">
        <f>Market_currency</f>
        <v>CNY</v>
      </c>
    </row>
    <row r="101" spans="1:6" ht="24.4" customHeight="1">
      <c r="B101" s="342" t="s">
        <v>376</v>
      </c>
      <c r="C101" s="342"/>
      <c r="D101" s="342"/>
      <c r="E101" s="342"/>
      <c r="F101" s="342"/>
    </row>
    <row r="103" spans="1:6">
      <c r="B103" s="47" t="s">
        <v>283</v>
      </c>
      <c r="C103" s="248">
        <f>Valuation_Model!C12</f>
        <v>57.380259942830683</v>
      </c>
      <c r="D103" s="1" t="str">
        <f>Market_currency</f>
        <v>CNY</v>
      </c>
    </row>
    <row r="104" spans="1:6">
      <c r="B104" s="336" t="s">
        <v>416</v>
      </c>
      <c r="C104" s="248">
        <f>BS!D47</f>
        <v>-13.312996389940134</v>
      </c>
      <c r="D104" s="1" t="str">
        <f>Market_currency</f>
        <v>CNY</v>
      </c>
    </row>
    <row r="106" spans="1:6" ht="13.9">
      <c r="A106" s="247" t="s">
        <v>368</v>
      </c>
      <c r="B106" s="36"/>
      <c r="C106" s="36"/>
      <c r="D106" s="36"/>
      <c r="E106" s="36"/>
      <c r="F106" s="36"/>
    </row>
    <row r="108" spans="1:6" ht="24.4" customHeight="1">
      <c r="B108" s="343" t="s">
        <v>377</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15</v>
      </c>
      <c r="E111" s="258" t="str">
        <f>ROUND(Valuation_Model!E74,2)&amp;" "&amp;Market_currency</f>
        <v>99.94 CNY</v>
      </c>
      <c r="F111" s="259">
        <f>Valuation_Model!F74</f>
        <v>0.05</v>
      </c>
    </row>
    <row r="112" spans="1:6">
      <c r="B112" s="242" t="str">
        <f>Valuation_Model!B75</f>
        <v>Optimistic</v>
      </c>
      <c r="C112" s="243">
        <f>Valuation_Model!C75</f>
        <v>0.06</v>
      </c>
      <c r="D112" s="244">
        <f>Valuation_Model!D75</f>
        <v>10</v>
      </c>
      <c r="E112" s="245" t="str">
        <f>ROUND(Valuation_Model!E75,2)&amp;" "&amp;Market_currency</f>
        <v>69.66 CNY</v>
      </c>
      <c r="F112" s="246">
        <f>Valuation_Model!F75</f>
        <v>0.18</v>
      </c>
    </row>
    <row r="113" spans="1:6">
      <c r="B113" s="242" t="str">
        <f>Valuation_Model!B76</f>
        <v>Base</v>
      </c>
      <c r="C113" s="243">
        <f>Valuation_Model!C76</f>
        <v>0.04</v>
      </c>
      <c r="D113" s="244">
        <f>Valuation_Model!D76</f>
        <v>10</v>
      </c>
      <c r="E113" s="245" t="str">
        <f>ROUND(Valuation_Model!E76,2)&amp;" "&amp;Market_currency</f>
        <v>65.17 CNY</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61.09 CNY</v>
      </c>
      <c r="F114" s="246">
        <f>Valuation_Model!F77</f>
        <v>0.18</v>
      </c>
    </row>
    <row r="115" spans="1:6">
      <c r="B115" s="242" t="str">
        <f>Valuation_Model!B78</f>
        <v>Devil's advocate</v>
      </c>
      <c r="C115" s="243">
        <f>Valuation_Model!C78</f>
        <v>0</v>
      </c>
      <c r="D115" s="244">
        <f>Valuation_Model!D78</f>
        <v>15</v>
      </c>
      <c r="E115" s="245" t="str">
        <f>ROUND(Valuation_Model!E78,2)&amp;" "&amp;Market_currency</f>
        <v>57.38 CNY</v>
      </c>
      <c r="F115" s="246">
        <f>Valuation_Model!F78</f>
        <v>0.05</v>
      </c>
    </row>
    <row r="117" spans="1:6">
      <c r="B117" s="235" t="s">
        <v>259</v>
      </c>
      <c r="C117" s="241">
        <f>Scenarios!C60</f>
        <v>66.592285778879997</v>
      </c>
      <c r="D117" s="236" t="str">
        <f>Market_currency</f>
        <v>CNY</v>
      </c>
    </row>
    <row r="119" spans="1:6" ht="24.4" customHeight="1">
      <c r="B119" s="346" t="s">
        <v>380</v>
      </c>
      <c r="C119" s="346"/>
      <c r="D119" s="346"/>
      <c r="E119" s="346"/>
      <c r="F119" s="346"/>
    </row>
    <row r="121" spans="1:6" ht="13.9">
      <c r="A121" s="247" t="s">
        <v>412</v>
      </c>
      <c r="B121" s="36"/>
      <c r="C121" s="36"/>
      <c r="D121" s="36"/>
      <c r="E121" s="36"/>
      <c r="F121" s="36"/>
    </row>
    <row r="123" spans="1:6">
      <c r="B123" s="347" t="s">
        <v>378</v>
      </c>
      <c r="C123" s="347"/>
      <c r="D123" s="347"/>
      <c r="E123" s="347"/>
      <c r="F123" s="347"/>
    </row>
    <row r="124" spans="1:6" ht="24.4" customHeight="1">
      <c r="B124" s="342" t="s">
        <v>379</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2.4</v>
      </c>
      <c r="D128" s="236" t="str">
        <f>Market_currency</f>
        <v>CNY</v>
      </c>
    </row>
    <row r="130" spans="2:4">
      <c r="B130" s="234" t="s">
        <v>420</v>
      </c>
      <c r="C130" s="337">
        <f>C19</f>
        <v>0.3</v>
      </c>
      <c r="D130" s="1" t="s">
        <v>418</v>
      </c>
    </row>
    <row r="131" spans="2:4">
      <c r="B131" s="236" t="str">
        <f>"PV("&amp;C126&amp;" yrs of Dividends)"</f>
        <v>PV(3 yrs of Dividends)</v>
      </c>
      <c r="C131" s="240">
        <f>Scenarios!C81</f>
        <v>4.3586709148839331</v>
      </c>
    </row>
    <row r="132" spans="2:4">
      <c r="B132" s="236" t="str">
        <f>"+ PV(Equity Value realized at year "&amp;C126&amp;")"</f>
        <v>+ PV(Equity Value realized at year 3)</v>
      </c>
      <c r="C132" s="240">
        <f>Scenarios!C82</f>
        <v>30.310553381374593</v>
      </c>
    </row>
    <row r="133" spans="2:4">
      <c r="B133" s="80" t="s">
        <v>261</v>
      </c>
      <c r="C133" s="239">
        <f>Scenarios!C83</f>
        <v>34.669224296258527</v>
      </c>
      <c r="D133" s="47" t="str">
        <f>Reporting_currency</f>
        <v>CNY</v>
      </c>
    </row>
    <row r="134" spans="2:4">
      <c r="B134" s="238" t="s">
        <v>263</v>
      </c>
      <c r="C134" s="92">
        <f>Scenarios!F83</f>
        <v>0.4793807737524155</v>
      </c>
    </row>
    <row r="136" spans="2:4">
      <c r="B136" s="234" t="s">
        <v>423</v>
      </c>
      <c r="C136" s="337">
        <f>Scenarios!C90</f>
        <v>0.2</v>
      </c>
      <c r="D136" s="1" t="s">
        <v>422</v>
      </c>
    </row>
    <row r="137" spans="2:4">
      <c r="B137" s="236" t="str">
        <f>"PV("&amp;C126&amp;" yrs of Dividends)"</f>
        <v>PV(3 yrs of Dividends)</v>
      </c>
      <c r="C137" s="240">
        <f>Scenarios!C91</f>
        <v>5.0555555555555554</v>
      </c>
    </row>
    <row r="138" spans="2:4">
      <c r="B138" s="236" t="str">
        <f>"+ PV(Equity Value realized at year "&amp;C126&amp;")"</f>
        <v>+ PV(Equity Value realized at year 3)</v>
      </c>
      <c r="C138" s="240">
        <f>Scenarios!C92</f>
        <v>38.537202418333329</v>
      </c>
    </row>
    <row r="139" spans="2:4">
      <c r="B139" s="80" t="s">
        <v>261</v>
      </c>
      <c r="C139" s="239">
        <f>Scenarios!C93</f>
        <v>43.592757973888887</v>
      </c>
      <c r="D139" s="47" t="str">
        <f>Reporting_currency</f>
        <v>CNY</v>
      </c>
    </row>
    <row r="140" spans="2:4">
      <c r="B140" s="238" t="s">
        <v>263</v>
      </c>
      <c r="C140" s="92">
        <f>Scenarios!F93</f>
        <v>0.345378260199104</v>
      </c>
    </row>
    <row r="142" spans="2:4">
      <c r="B142" s="234" t="s">
        <v>410</v>
      </c>
      <c r="C142" s="92">
        <f>Scenarios!C96</f>
        <v>0.08</v>
      </c>
      <c r="D142" s="1" t="s">
        <v>421</v>
      </c>
    </row>
    <row r="143" spans="2:4">
      <c r="B143" s="236" t="str">
        <f>"PV("&amp;C126&amp;" yrs of Dividends)"</f>
        <v>PV(3 yrs of Dividends)</v>
      </c>
      <c r="C143" s="240">
        <f>Scenarios!C97</f>
        <v>6.1850327693949119</v>
      </c>
    </row>
    <row r="144" spans="2:4">
      <c r="B144" s="236" t="str">
        <f>"+ PV(Equity Value realized at year "&amp;C126&amp;")"</f>
        <v>+ PV(Equity Value realized at year 3)</v>
      </c>
      <c r="C144" s="240">
        <f>Scenarios!C98</f>
        <v>52.863103454503879</v>
      </c>
    </row>
    <row r="145" spans="1:6">
      <c r="B145" s="80" t="s">
        <v>411</v>
      </c>
      <c r="C145" s="239">
        <f>Scenarios!C99</f>
        <v>59.048136223898794</v>
      </c>
      <c r="D145" s="101" t="str">
        <f>Reporting_currency</f>
        <v>CNY</v>
      </c>
    </row>
    <row r="146" spans="1:6">
      <c r="B146" s="238" t="s">
        <v>263</v>
      </c>
      <c r="C146" s="92">
        <f>Scenarios!F99</f>
        <v>0.1132886409700905</v>
      </c>
    </row>
    <row r="148" spans="1:6" ht="13.9">
      <c r="A148" s="247" t="s">
        <v>384</v>
      </c>
      <c r="B148" s="36"/>
      <c r="C148" s="36"/>
      <c r="D148" s="36"/>
      <c r="E148" s="36"/>
      <c r="F148" s="36"/>
    </row>
    <row r="150" spans="1:6">
      <c r="B150" s="341" t="s">
        <v>386</v>
      </c>
      <c r="C150" s="342"/>
      <c r="D150" s="342"/>
      <c r="E150" s="342"/>
      <c r="F150" s="342"/>
    </row>
    <row r="152" spans="1:6">
      <c r="B152" s="234" t="s">
        <v>385</v>
      </c>
    </row>
    <row r="153" spans="1:6">
      <c r="B153" s="344" t="s">
        <v>390</v>
      </c>
      <c r="C153" s="344"/>
      <c r="D153" s="344"/>
      <c r="E153" s="344"/>
      <c r="F153" s="344"/>
    </row>
    <row r="154" spans="1:6">
      <c r="B154" s="238" t="s">
        <v>387</v>
      </c>
    </row>
    <row r="155" spans="1:6">
      <c r="B155" s="238" t="s">
        <v>388</v>
      </c>
    </row>
    <row r="156" spans="1:6">
      <c r="B156" s="238" t="s">
        <v>389</v>
      </c>
    </row>
    <row r="158" spans="1:6">
      <c r="B158" s="1" t="s">
        <v>394</v>
      </c>
    </row>
    <row r="159" spans="1:6" ht="46.5" customHeight="1">
      <c r="B159" s="343" t="s">
        <v>391</v>
      </c>
      <c r="C159" s="343"/>
      <c r="D159" s="343"/>
      <c r="E159" s="343"/>
      <c r="F159" s="343"/>
    </row>
    <row r="161" spans="2:6">
      <c r="B161" s="1" t="s">
        <v>395</v>
      </c>
    </row>
    <row r="162" spans="2:6" ht="24.4" customHeight="1">
      <c r="B162" s="340" t="s">
        <v>392</v>
      </c>
      <c r="C162" s="340"/>
      <c r="D162" s="340"/>
      <c r="E162" s="340"/>
      <c r="F162" s="340"/>
    </row>
    <row r="163" spans="2:6" ht="24.4" customHeight="1">
      <c r="B163" s="340" t="s">
        <v>393</v>
      </c>
      <c r="C163" s="340"/>
      <c r="D163" s="340"/>
      <c r="E163" s="340"/>
      <c r="F163" s="340"/>
    </row>
    <row r="165" spans="2:6">
      <c r="B165" s="1" t="s">
        <v>399</v>
      </c>
    </row>
    <row r="166" spans="2:6">
      <c r="B166" s="238" t="s">
        <v>396</v>
      </c>
    </row>
    <row r="167" spans="2:6">
      <c r="B167" s="238" t="s">
        <v>397</v>
      </c>
    </row>
    <row r="168" spans="2:6">
      <c r="B168" s="238" t="s">
        <v>398</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6" activePane="bottomRight" state="frozen"/>
      <selection pane="topRight" activeCell="C1" sqref="C1"/>
      <selection pane="bottomLeft" activeCell="A2" sqref="A2"/>
      <selection pane="bottomRight" activeCell="D24" sqref="D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381</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383</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382</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220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403</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9" sqref="G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81">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360</v>
      </c>
    </row>
    <row r="74" spans="2:6" ht="15" customHeight="1">
      <c r="B74" s="288" t="s">
        <v>330</v>
      </c>
      <c r="C74" s="289">
        <f>-$C$66/C73</f>
        <v>1.0222883058815033</v>
      </c>
      <c r="D74" s="289">
        <f>-$C$66/D73</f>
        <v>1.0645825063462686</v>
      </c>
      <c r="F74" s="283" t="s">
        <v>327</v>
      </c>
    </row>
    <row r="75" spans="2:6" ht="15" customHeight="1">
      <c r="B75" s="80" t="s">
        <v>328</v>
      </c>
      <c r="C75" s="293"/>
      <c r="D75" s="292">
        <f>MAX(-D73*D76,G5)</f>
        <v>1016040624.0210911</v>
      </c>
      <c r="F75" s="283" t="s">
        <v>361</v>
      </c>
    </row>
    <row r="76" spans="2:6" ht="15" customHeight="1">
      <c r="B76" s="290" t="s">
        <v>331</v>
      </c>
      <c r="C76" s="291"/>
      <c r="D76" s="327">
        <f>IF(D74&lt;=3,1,IF(D74&gt;18,6,2))</f>
        <v>1</v>
      </c>
      <c r="F76" s="283" t="s">
        <v>332</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3"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3716012388.9970183</v>
      </c>
      <c r="H13" s="184">
        <f t="shared" ref="H13:Q13" si="7">IF(H$4="","",SUM(H8:H12))</f>
        <v>3845664977.4262524</v>
      </c>
      <c r="I13" s="184">
        <f t="shared" si="7"/>
        <v>3756663019.9602156</v>
      </c>
      <c r="J13" s="184">
        <f t="shared" si="7"/>
        <v>3369473988.3216343</v>
      </c>
      <c r="K13" s="184">
        <f t="shared" si="7"/>
        <v>2122638774.7702808</v>
      </c>
      <c r="L13" s="184">
        <f t="shared" si="7"/>
        <v>739954593.22336733</v>
      </c>
      <c r="M13" s="184">
        <f t="shared" si="7"/>
        <v>662889862.78214574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2898672440.9970183</v>
      </c>
      <c r="H16" s="184">
        <f t="shared" ref="H16:Q16" si="8">IF(H$4="","",SUM(H13:H15))</f>
        <v>3181542980.4262524</v>
      </c>
      <c r="I16" s="184">
        <f t="shared" si="8"/>
        <v>3044783840.9602156</v>
      </c>
      <c r="J16" s="184">
        <f t="shared" si="8"/>
        <v>2827550169.3216343</v>
      </c>
      <c r="K16" s="184">
        <f t="shared" si="8"/>
        <v>1744171058.7702808</v>
      </c>
      <c r="L16" s="184">
        <f t="shared" si="8"/>
        <v>641173906.22336733</v>
      </c>
      <c r="M16" s="184">
        <f t="shared" si="8"/>
        <v>601871856.78214574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340</v>
      </c>
      <c r="F17" s="58"/>
      <c r="G17" s="195"/>
      <c r="H17" s="195"/>
      <c r="I17" s="195"/>
      <c r="J17" s="195"/>
      <c r="K17" s="195"/>
      <c r="L17" s="195"/>
      <c r="M17" s="195"/>
      <c r="N17" s="195"/>
      <c r="O17" s="195"/>
      <c r="P17" s="195"/>
      <c r="Q17" s="195"/>
    </row>
    <row r="18" spans="1:17" ht="15.75" customHeight="1">
      <c r="A18" s="10"/>
      <c r="B18" s="27" t="s">
        <v>99</v>
      </c>
      <c r="C18" s="191">
        <v>0</v>
      </c>
      <c r="D18" s="58"/>
      <c r="E18" s="301" t="s">
        <v>341</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2898672440.9970183</v>
      </c>
      <c r="H19" s="186">
        <f t="shared" ref="H19:Q19" si="9">IF(H$4="","",H16+H17)</f>
        <v>3181542980.4262524</v>
      </c>
      <c r="I19" s="186">
        <f t="shared" si="9"/>
        <v>3044783840.9602156</v>
      </c>
      <c r="J19" s="186">
        <f t="shared" si="9"/>
        <v>2827550169.3216343</v>
      </c>
      <c r="K19" s="186">
        <f t="shared" si="9"/>
        <v>1744171058.7702808</v>
      </c>
      <c r="L19" s="186">
        <f t="shared" si="9"/>
        <v>641173906.22336733</v>
      </c>
      <c r="M19" s="186">
        <f t="shared" si="9"/>
        <v>601871856.78214574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342</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342</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342</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342</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343</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354</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351</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344</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345</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346</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363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0.25374629123236653</v>
      </c>
      <c r="H81" s="65">
        <f t="shared" si="32"/>
        <v>0.25958200759006911</v>
      </c>
      <c r="I81" s="65">
        <f t="shared" si="32"/>
        <v>0.26758687743114118</v>
      </c>
      <c r="J81" s="65">
        <f t="shared" si="32"/>
        <v>0.25683315750755353</v>
      </c>
      <c r="K81" s="65">
        <f t="shared" si="32"/>
        <v>0.19399655710824484</v>
      </c>
      <c r="L81" s="65">
        <f t="shared" si="32"/>
        <v>0.20658022000665721</v>
      </c>
      <c r="M81" s="65">
        <f t="shared" si="32"/>
        <v>0.19118132080791655</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0.19793458804882752</v>
      </c>
      <c r="H84" s="65">
        <f t="shared" si="35"/>
        <v>0.21475383813747104</v>
      </c>
      <c r="I84" s="65">
        <f t="shared" si="35"/>
        <v>0.21687976699703265</v>
      </c>
      <c r="J84" s="65">
        <f t="shared" si="35"/>
        <v>0.21552581812914487</v>
      </c>
      <c r="K84" s="65">
        <f t="shared" si="35"/>
        <v>0.15940685925041365</v>
      </c>
      <c r="L84" s="65">
        <f t="shared" si="35"/>
        <v>0.17900266830314501</v>
      </c>
      <c r="M84" s="65">
        <f t="shared" si="35"/>
        <v>0.17358337032608945</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0.19793458804882752</v>
      </c>
      <c r="H87" s="65">
        <f t="shared" si="36"/>
        <v>0.21475383813747104</v>
      </c>
      <c r="I87" s="65">
        <f t="shared" si="36"/>
        <v>0.21687976699703265</v>
      </c>
      <c r="J87" s="65">
        <f t="shared" si="36"/>
        <v>0.21552581812914487</v>
      </c>
      <c r="K87" s="65">
        <f t="shared" si="36"/>
        <v>0.15940685925041365</v>
      </c>
      <c r="L87" s="65">
        <f t="shared" si="36"/>
        <v>0.17900266830314501</v>
      </c>
      <c r="M87" s="65">
        <f t="shared" si="36"/>
        <v>0.17358337032608945</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0.40071132521634056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4.1811846689895467E-2</v>
      </c>
      <c r="E93" s="302"/>
      <c r="G93" s="23">
        <f t="shared" ref="G93:Q93" si="39">IF(G$4="","",G90/Market_Price)</f>
        <v>4.1811846689895467E-2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-0.15114069290137222</v>
      </c>
      <c r="D97" s="27"/>
      <c r="E97" s="299"/>
      <c r="F97" s="27"/>
      <c r="G97" s="6">
        <f t="shared" ref="G97:Q97" si="41">IF(H5="","",G13/H13-1)</f>
        <v>-3.3713958233565489E-2</v>
      </c>
      <c r="H97" s="6">
        <f t="shared" si="41"/>
        <v>2.3691759679573154E-2</v>
      </c>
      <c r="I97" s="6">
        <f t="shared" si="41"/>
        <v>0.11491082376078632</v>
      </c>
      <c r="J97" s="6">
        <f t="shared" si="41"/>
        <v>0.58739867959224012</v>
      </c>
      <c r="K97" s="6">
        <f t="shared" si="41"/>
        <v>1.8686067958896064</v>
      </c>
      <c r="L97" s="6">
        <f t="shared" si="41"/>
        <v>0.11625570817719444</v>
      </c>
      <c r="M97" s="6">
        <f t="shared" si="41"/>
        <v>0.82281820292209007</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401</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402</v>
      </c>
      <c r="C114" s="170"/>
      <c r="E114" s="302"/>
      <c r="G114" s="334">
        <f>IF(G$4="","",Data!C$22/G19)</f>
        <v>0.87696929430413517</v>
      </c>
      <c r="H114" s="334">
        <f>IF(H$4="","",Data!D$22/H19)</f>
        <v>0.97341096318776787</v>
      </c>
      <c r="I114" s="334">
        <f>IF(I$4="","",Data!E$22/I19)</f>
        <v>1.2324842928148716</v>
      </c>
      <c r="J114" s="334">
        <f>IF(J$4="","",Data!F$22/J19)</f>
        <v>1.2607334616648864</v>
      </c>
      <c r="K114" s="334">
        <f>IF(K$4="","",Data!G$22/K19)</f>
        <v>2.1154638803612684</v>
      </c>
      <c r="L114" s="334">
        <f>IF(L$4="","",Data!H$22/L19)</f>
        <v>1.1007619838386338</v>
      </c>
      <c r="M114" s="334">
        <f>IF(M$4="","",Data!I$22/M19)</f>
        <v>1.2367746832021034</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0.25374629123236653</v>
      </c>
      <c r="H117" s="23">
        <f t="shared" si="45"/>
        <v>0.25958200759006911</v>
      </c>
      <c r="I117" s="23">
        <f t="shared" si="45"/>
        <v>0.26758687743114118</v>
      </c>
      <c r="J117" s="23">
        <f t="shared" si="45"/>
        <v>0.25683315750755353</v>
      </c>
      <c r="K117" s="23">
        <f t="shared" si="45"/>
        <v>0.19399655710824484</v>
      </c>
      <c r="L117" s="23">
        <f t="shared" si="45"/>
        <v>0.20658022000665721</v>
      </c>
      <c r="M117" s="23">
        <f t="shared" si="45"/>
        <v>0.19118132080791655</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5.9893490624560233</v>
      </c>
      <c r="H124" s="178">
        <f t="shared" si="49"/>
        <v>6.5738271070136127</v>
      </c>
      <c r="I124" s="178">
        <f t="shared" si="49"/>
        <v>6.2912500858371647</v>
      </c>
      <c r="J124" s="178">
        <f t="shared" si="49"/>
        <v>5.842393475079553</v>
      </c>
      <c r="K124" s="178">
        <f t="shared" si="49"/>
        <v>3.6038736726028908</v>
      </c>
      <c r="L124" s="178">
        <f t="shared" si="49"/>
        <v>1.3248183133066678</v>
      </c>
      <c r="M124" s="178">
        <f t="shared" si="49"/>
        <v>1.2436108993042716</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8.005411568167814E-2</v>
      </c>
      <c r="D125" s="27"/>
      <c r="E125" s="299"/>
      <c r="F125" s="27"/>
      <c r="G125" s="77">
        <f t="shared" ref="G125" si="50">IF(G$4="","",G124/Market_Price)</f>
        <v>0.10434406032153351</v>
      </c>
      <c r="H125" s="77">
        <f t="shared" ref="H125" si="51">IF(H$4="","",H124/Market_Price)</f>
        <v>0.1145266046518051</v>
      </c>
      <c r="I125" s="77">
        <f t="shared" ref="I125" si="52">IF(I$4="","",I124/Market_Price)</f>
        <v>0.10960366003200636</v>
      </c>
      <c r="J125" s="77">
        <f t="shared" ref="J125" si="53">IF(J$4="","",J124/Market_Price)</f>
        <v>0.1017838584508633</v>
      </c>
      <c r="K125" s="77">
        <f t="shared" ref="K125" si="54">IF(K$4="","",K124/Market_Price)</f>
        <v>6.2785255620259425E-2</v>
      </c>
      <c r="L125" s="77">
        <f t="shared" ref="L125" si="55">IF(L$4="","",L124/Market_Price)</f>
        <v>2.3080458419976791E-2</v>
      </c>
      <c r="M125" s="77">
        <f t="shared" ref="M125" si="56">IF(M$4="","",M124/Market_Price)</f>
        <v>2.1665695109830515E-2</v>
      </c>
      <c r="N125" s="77">
        <f t="shared" ref="N125" si="57">IF(N$4="","",N124/Market_Price)</f>
        <v>1.2411404453514536E-2</v>
      </c>
      <c r="O125" s="77">
        <f t="shared" ref="O125" si="58">IF(O$4="","",O124/Market_Price)</f>
        <v>1.2256050988064189E-2</v>
      </c>
      <c r="P125" s="77">
        <f t="shared" ref="P125" si="59">IF(P$4="","",P124/Market_Price)</f>
        <v>6.78544716421608E-3</v>
      </c>
      <c r="Q125" s="77" t="str">
        <f t="shared" ref="Q125" si="60">IF(Q$4="","",Q124/Market_Price)</f>
        <v/>
      </c>
    </row>
    <row r="126" spans="1:17" ht="15.75" customHeight="1">
      <c r="B126" s="2" t="s">
        <v>404</v>
      </c>
      <c r="C126" s="170"/>
      <c r="G126" s="23">
        <f>IF(G$4="","",(Data!C47*$C$3)/(Market_Price*Common_Shares))</f>
        <v>8.0971375179804295E-2</v>
      </c>
      <c r="H126" s="23">
        <f>IF(H$4="","",(Data!D47*$C$3)/(Market_Price*Common_Shares))</f>
        <v>9.7608846335040064E-2</v>
      </c>
      <c r="I126" s="23">
        <f>IF(I$4="","",(Data!E47*$C$3)/(Market_Price*Common_Shares))</f>
        <v>9.3121115848955285E-2</v>
      </c>
      <c r="J126" s="23">
        <f>IF(J$4="","",(Data!F47*$C$3)/(Market_Price*Common_Shares))</f>
        <v>8.6362879536019413E-2</v>
      </c>
      <c r="K126" s="23">
        <f>IF(K$4="","",(Data!G47*$C$3)/(Market_Price*Common_Shares))</f>
        <v>6.3078490063743803E-2</v>
      </c>
      <c r="L126" s="23">
        <f>IF(L$4="","",(Data!H47*$C$3)/(Market_Price*Common_Shares))</f>
        <v>2.6225281716977217E-2</v>
      </c>
      <c r="M126" s="23">
        <f>IF(M$4="","",(Data!I47*$C$3)/(Market_Price*Common_Shares))</f>
        <v>1.5164156884840133E-2</v>
      </c>
      <c r="N126" s="23">
        <f>IF(N$4="","",(Data!J47*$C$3)/(Market_Price*Common_Shares))</f>
        <v>1.1739487399181563E-2</v>
      </c>
      <c r="O126" s="23">
        <f>IF(O$4="","",(Data!K47*$C$3)/(Market_Price*Common_Shares))</f>
        <v>5.037488739010278E-3</v>
      </c>
      <c r="P126" s="23">
        <f>IF(P$4="","",(Data!L47*$C$3)/(Market_Price*Common_Shares))</f>
        <v>-5.5274411537877726E-3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27798738399.652267</v>
      </c>
      <c r="D6" t="str">
        <f>Reporting_currency</f>
        <v>CNY</v>
      </c>
      <c r="E6" s="348" t="s">
        <v>250</v>
      </c>
      <c r="F6" s="348"/>
      <c r="H6" s="121"/>
    </row>
    <row r="7" spans="2:8">
      <c r="B7" s="149" t="s">
        <v>225</v>
      </c>
      <c r="C7" s="226">
        <f>BS!G31</f>
        <v>123521704.27</v>
      </c>
      <c r="D7" t="str">
        <f>Reporting_currency</f>
        <v>CNY</v>
      </c>
      <c r="E7" s="348"/>
      <c r="F7" s="348"/>
      <c r="H7" s="121"/>
    </row>
    <row r="8" spans="2:8">
      <c r="B8" s="149" t="s">
        <v>226</v>
      </c>
      <c r="C8" s="201">
        <f>BS!D66</f>
        <v>65618450.04890883</v>
      </c>
      <c r="D8" t="str">
        <f>Reporting_currency</f>
        <v>CNY</v>
      </c>
      <c r="E8" s="348"/>
      <c r="F8" s="348"/>
      <c r="H8" s="121"/>
    </row>
    <row r="9" spans="2:8">
      <c r="B9" s="227" t="s">
        <v>191</v>
      </c>
      <c r="C9" s="229">
        <f>BS!H42</f>
        <v>29558000.651999995</v>
      </c>
      <c r="D9" t="str">
        <f>Reporting_currency</f>
        <v>CNY</v>
      </c>
      <c r="E9" s="348"/>
      <c r="F9" s="348"/>
      <c r="H9" s="121"/>
    </row>
    <row r="10" spans="2:8" ht="13.15">
      <c r="B10" s="150" t="s">
        <v>228</v>
      </c>
      <c r="C10" s="232">
        <f>C6-C7+C8+C9</f>
        <v>27770393146.083176</v>
      </c>
      <c r="D10" t="str">
        <f>Reporting_currency</f>
        <v>CNY</v>
      </c>
      <c r="H10" s="121"/>
    </row>
    <row r="11" spans="2:8" ht="13.15" thickBot="1">
      <c r="B11" s="230" t="s">
        <v>167</v>
      </c>
      <c r="C11" s="231">
        <f>Exchange_Rate</f>
        <v>1</v>
      </c>
      <c r="D11" t="str">
        <f>Thesis!D17</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C55" sqref="C5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-57.4</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0"/>
      <c r="H7" s="276">
        <v>4</v>
      </c>
      <c r="I7" s="264" t="str">
        <f t="shared" si="0"/>
        <v/>
      </c>
    </row>
    <row r="8" spans="2:9">
      <c r="B8" s="100" t="s">
        <v>66</v>
      </c>
      <c r="C8" s="115">
        <f>Normalized_FCF!G19</f>
        <v>2898672440.9970183</v>
      </c>
      <c r="D8" t="str">
        <f>Reporting_currency</f>
        <v>CNY</v>
      </c>
      <c r="E8" s="350"/>
      <c r="F8" s="350"/>
      <c r="H8" s="276">
        <v>5</v>
      </c>
      <c r="I8" s="264" t="str">
        <f t="shared" si="0"/>
        <v/>
      </c>
    </row>
    <row r="9" spans="2:9">
      <c r="B9" s="100" t="s">
        <v>57</v>
      </c>
      <c r="C9" s="201">
        <f>Normalized_FCF!C19</f>
        <v>2223899071.9721813</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3.7342435425912202E-2</v>
      </c>
      <c r="D12" s="159"/>
      <c r="E12" s="350"/>
      <c r="F12" s="350"/>
      <c r="H12" s="276">
        <v>9</v>
      </c>
      <c r="I12" s="264" t="str">
        <f t="shared" si="0"/>
        <v/>
      </c>
    </row>
    <row r="13" spans="2:9">
      <c r="B13" s="149" t="s">
        <v>153</v>
      </c>
      <c r="C13" s="159">
        <f ca="1">(Normalized_FCF!G8/OFFSET(Normalized_FCF!G8, 0, $C$4))^(1/$C$4) - 1</f>
        <v>2.3730241339145586E-2</v>
      </c>
      <c r="E13" s="350"/>
      <c r="F13" s="350"/>
      <c r="H13" s="276">
        <v>10</v>
      </c>
      <c r="I13" s="264" t="str">
        <f t="shared" si="0"/>
        <v/>
      </c>
    </row>
    <row r="14" spans="2:9">
      <c r="B14" s="100" t="s">
        <v>66</v>
      </c>
      <c r="C14" s="159">
        <f ca="1">(Normalized_FCF!G19/OFFSET(Normalized_FCF!G19, 0, $C$4))^(1/$C$4) - 1</f>
        <v>8.315107055794968E-3</v>
      </c>
      <c r="E14" s="350"/>
      <c r="F14" s="350"/>
    </row>
    <row r="16" spans="2:9" ht="13.9">
      <c r="B16" s="36" t="s">
        <v>163</v>
      </c>
      <c r="C16" s="37"/>
      <c r="D16" s="37"/>
      <c r="E16" s="37"/>
      <c r="F16" s="37"/>
    </row>
    <row r="17" spans="2:6" ht="13.15">
      <c r="B17" s="109" t="s">
        <v>152</v>
      </c>
      <c r="E17" s="160" t="s">
        <v>338</v>
      </c>
    </row>
    <row r="18" spans="2:6">
      <c r="B18" s="153" t="s">
        <v>134</v>
      </c>
      <c r="C18" s="151">
        <v>10</v>
      </c>
      <c r="E18" s="350" t="s">
        <v>339</v>
      </c>
      <c r="F18" s="351"/>
    </row>
    <row r="19" spans="2:6">
      <c r="E19" s="351"/>
      <c r="F19" s="351"/>
    </row>
    <row r="20" spans="2:6" ht="13.15">
      <c r="B20" s="160" t="s">
        <v>310</v>
      </c>
      <c r="E20" s="351"/>
      <c r="F20" s="351"/>
    </row>
    <row r="21" spans="2:6">
      <c r="B21" s="100" t="s">
        <v>280</v>
      </c>
      <c r="C21" s="161">
        <f>Market_Price</f>
        <v>57.4</v>
      </c>
      <c r="D21" t="str">
        <f>Market_currency</f>
        <v>CNY</v>
      </c>
      <c r="E21" s="351"/>
      <c r="F21" s="351"/>
    </row>
    <row r="22" spans="2:6">
      <c r="B22" s="100" t="s">
        <v>281</v>
      </c>
      <c r="C22" s="161">
        <f>Valuation_Model!C12</f>
        <v>57.380259942830683</v>
      </c>
      <c r="D22" t="str">
        <f>Market_currency</f>
        <v>CNY</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65.168450335018306</v>
      </c>
      <c r="D27" s="161" t="str">
        <f>Market_currency</f>
        <v>CNY</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61.088521054715052</v>
      </c>
      <c r="D33" t="str">
        <f>Market_currency</f>
        <v>CNY</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0.06</v>
      </c>
      <c r="D38" s="165"/>
      <c r="E38" s="349"/>
      <c r="F38" s="349"/>
    </row>
    <row r="39" spans="2:6">
      <c r="B39" s="100" t="s">
        <v>114</v>
      </c>
      <c r="C39" s="161">
        <f>Valuation_Model!E75</f>
        <v>69.664528319209367</v>
      </c>
      <c r="D39" t="str">
        <f>Market_currency</f>
        <v>CNY</v>
      </c>
      <c r="E39" s="349"/>
      <c r="F39" s="349"/>
    </row>
    <row r="40" spans="2:6">
      <c r="B40" s="100" t="s">
        <v>148</v>
      </c>
      <c r="C40" s="168">
        <f>1-C28-C34</f>
        <v>0.2</v>
      </c>
      <c r="D40" s="166"/>
      <c r="E40" s="349"/>
      <c r="F40" s="349"/>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57.380259942830648</v>
      </c>
      <c r="D51" t="str">
        <f>Market_currency</f>
        <v>CNY</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0.1</v>
      </c>
      <c r="D56" s="165"/>
      <c r="E56" s="349"/>
      <c r="F56" s="349"/>
    </row>
    <row r="57" spans="2:6">
      <c r="B57" s="100" t="s">
        <v>114</v>
      </c>
      <c r="C57" s="161">
        <f>Valuation_Model!E74</f>
        <v>99.935214270443552</v>
      </c>
      <c r="D57" t="str">
        <f>Market_currency</f>
        <v>CNY</v>
      </c>
      <c r="E57" s="349"/>
      <c r="F57" s="349"/>
    </row>
    <row r="58" spans="2:6">
      <c r="B58" s="100" t="s">
        <v>148</v>
      </c>
      <c r="C58" s="166">
        <v>0.05</v>
      </c>
      <c r="D58" s="166"/>
      <c r="E58" s="349"/>
      <c r="F58" s="349"/>
    </row>
    <row r="60" spans="2:6" ht="13.15">
      <c r="B60" s="100" t="s">
        <v>121</v>
      </c>
      <c r="C60" s="155">
        <f>C51*C52+C57*C58+C42*(1-C52-C58)</f>
        <v>66.592285778879997</v>
      </c>
      <c r="D60" t="str">
        <f>Market_currency</f>
        <v>CNY</v>
      </c>
      <c r="E60" s="100" t="s">
        <v>303</v>
      </c>
      <c r="F60" s="312">
        <f>Thesis!E20</f>
        <v>3</v>
      </c>
    </row>
    <row r="62" spans="2:6" ht="13.9">
      <c r="B62" s="36" t="s">
        <v>358</v>
      </c>
      <c r="C62" s="37"/>
      <c r="D62" s="37"/>
      <c r="E62" s="37"/>
      <c r="F62" s="37"/>
    </row>
    <row r="63" spans="2:6" ht="13.15">
      <c r="B63" s="109" t="s">
        <v>311</v>
      </c>
      <c r="E63" s="282" t="s">
        <v>319</v>
      </c>
    </row>
    <row r="64" spans="2:6">
      <c r="B64" s="153" t="s">
        <v>134</v>
      </c>
      <c r="C64" s="167">
        <f>C18</f>
        <v>10</v>
      </c>
      <c r="D64" s="151"/>
      <c r="E64" s="281" t="s">
        <v>405</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359</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355</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Thesis!C127</f>
        <v>0.3</v>
      </c>
    </row>
    <row r="81" spans="2:8">
      <c r="B81" s="100" t="s">
        <v>122</v>
      </c>
      <c r="C81" s="117">
        <f>PV(C80, C76, -C77, 0)</f>
        <v>4.3586709148839331</v>
      </c>
      <c r="D81" s="117"/>
      <c r="E81" s="100"/>
      <c r="F81" s="100"/>
    </row>
    <row r="82" spans="2:8">
      <c r="B82" s="100" t="s">
        <v>123</v>
      </c>
      <c r="C82" s="117">
        <f>C60/(1+C80)^C76</f>
        <v>30.310553381374593</v>
      </c>
      <c r="D82" s="117"/>
    </row>
    <row r="83" spans="2:8" ht="13.15">
      <c r="B83" s="111" t="s">
        <v>102</v>
      </c>
      <c r="C83" s="112">
        <f>C81+C82</f>
        <v>34.669224296258527</v>
      </c>
      <c r="D83" t="str">
        <f>Market_currency</f>
        <v>CNY</v>
      </c>
      <c r="E83" s="147" t="s">
        <v>127</v>
      </c>
      <c r="F83" s="329">
        <f>(1-C83/C60)</f>
        <v>0.4793807737524155</v>
      </c>
    </row>
    <row r="84" spans="2:8">
      <c r="E84" s="121"/>
    </row>
    <row r="85" spans="2:8" ht="13.15">
      <c r="B85" s="109" t="s">
        <v>309</v>
      </c>
    </row>
    <row r="86" spans="2:8">
      <c r="B86" s="149" t="s">
        <v>307</v>
      </c>
      <c r="C86" s="266">
        <f>Market_Price</f>
        <v>57.4</v>
      </c>
      <c r="D86" t="str">
        <f>Market_currency</f>
        <v>CNY</v>
      </c>
    </row>
    <row r="87" spans="2:8" ht="13.15">
      <c r="B87" s="100" t="s">
        <v>305</v>
      </c>
      <c r="C87" s="265">
        <f ca="1">IRR(OFFSET($I$3, 0, 0, $C$76 + 1, 1))</f>
        <v>9.0634582120934004E-2</v>
      </c>
    </row>
    <row r="88" spans="2:8">
      <c r="B88" s="100"/>
    </row>
    <row r="89" spans="2:8" ht="13.15">
      <c r="B89" s="109" t="s">
        <v>424</v>
      </c>
    </row>
    <row r="90" spans="2:8">
      <c r="B90" s="149" t="s">
        <v>425</v>
      </c>
      <c r="C90" s="168">
        <f>Thesis!E19</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407</v>
      </c>
      <c r="G95" s="2"/>
      <c r="H95" s="316"/>
    </row>
    <row r="96" spans="2:8">
      <c r="B96" s="149" t="s">
        <v>413</v>
      </c>
      <c r="C96" s="135">
        <f>Thesis!C67</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408</v>
      </c>
      <c r="C99" s="112">
        <f>C97+C98</f>
        <v>59.048136223898794</v>
      </c>
      <c r="D99" t="s">
        <v>406</v>
      </c>
      <c r="E99" s="147" t="s">
        <v>127</v>
      </c>
      <c r="F99" s="329">
        <f>(1-C99/C60)</f>
        <v>0.1132886409700905</v>
      </c>
    </row>
    <row r="100" spans="2:8">
      <c r="B100" s="100"/>
    </row>
    <row r="101" spans="2:8" ht="14.65">
      <c r="E101" s="320" t="s">
        <v>333</v>
      </c>
      <c r="F101" s="317"/>
    </row>
    <row r="102" spans="2:8" ht="13.9">
      <c r="E102" s="313" t="s">
        <v>334</v>
      </c>
      <c r="F102" s="318" t="s">
        <v>335</v>
      </c>
    </row>
    <row r="103" spans="2:8" ht="13.9">
      <c r="E103" s="314" t="s">
        <v>334</v>
      </c>
      <c r="F103" s="318" t="s">
        <v>336</v>
      </c>
    </row>
    <row r="104" spans="2:8" ht="13.9">
      <c r="E104" s="315" t="s">
        <v>334</v>
      </c>
      <c r="F104" s="319" t="s">
        <v>337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