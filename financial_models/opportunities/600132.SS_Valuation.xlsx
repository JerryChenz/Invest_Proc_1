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C8B30C-7523-4898-B5CC-493E366D045B}"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<sst xmlns="http://schemas.openxmlformats.org/spreadsheetml/2006/main" count="686" uniqueCount="466">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</sst>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58.16</v>
      </c>
      <c r="D12" s="50"/>
      <c r="E12" s="48"/>
    </row>
    <row r="13" spans="1:10">
      <c r="B13" s="1" t="s">
        <v>413</v>
      </c>
      <c r="C13" s="48" t="s">
        <v>411</v>
      </c>
      <c r="D13" s="48"/>
      <c r="E13" s="5"/>
    </row>
    <row r="14" spans="1:10">
      <c r="B14" s="4" t="s">
        <v>417</v>
      </c>
      <c r="C14" s="35">
        <f>Thesis!C12*Common_Shares/1000000</f>
        <v>28147.764875679997</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0.15784492797869998</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38.338860273768745</v>
      </c>
      <c r="D29" s="310" t="str">
        <f>D149</f>
        <v/>
      </c>
      <c r="E29" s="306" t="s">
        <v>421</v>
      </c>
      <c r="F29" s="302">
        <v>0.33700000000000002</v>
      </c>
    </row>
    <row r="30" spans="2:6">
      <c r="B30" s="1" t="s">
        <v>423</v>
      </c>
      <c r="C30" s="311">
        <f>C157</f>
        <v>54.104773980226682</v>
      </c>
      <c r="D30" s="311" t="str">
        <f>D157</f>
        <v/>
      </c>
      <c r="E30" s="307" t="s">
        <v>434</v>
      </c>
      <c r="F30" s="312">
        <v>0.187</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2957715106.6986084</v>
      </c>
      <c r="D41" s="1" t="str">
        <f>Reporting_currency</f>
        <v>CNY</v>
      </c>
    </row>
    <row r="42" spans="1:6">
      <c r="B42" s="47"/>
      <c r="C42" s="76"/>
    </row>
    <row r="43" spans="1:6" ht="24.6" customHeight="1">
      <c r="B43" s="361" t="s">
        <v>232</v>
      </c>
      <c r="C43" s="361"/>
      <c r="D43" s="361"/>
      <c r="E43" s="361"/>
      <c r="F43" s="361"/>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61" t="s">
        <v>240</v>
      </c>
      <c r="C58" s="361"/>
      <c r="D58" s="361"/>
      <c r="E58" s="361"/>
      <c r="F58" s="361"/>
    </row>
    <row r="59" spans="2:6">
      <c r="B59" s="47" t="s">
        <v>238</v>
      </c>
      <c r="C59" s="349">
        <f>Normalized_FCF!C14</f>
        <v>-747280315.12871861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7.4604902036192758E-2</v>
      </c>
      <c r="F69" s="314"/>
    </row>
    <row r="70" spans="1:6">
      <c r="B70" s="227" t="s">
        <v>454</v>
      </c>
      <c r="C70" s="92">
        <f>Normalized_FCF!C94</f>
        <v>3.7138927097661631E-2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60" t="s">
        <v>363</v>
      </c>
      <c r="C116" s="360"/>
      <c r="D116" s="360"/>
      <c r="E116" s="360"/>
      <c r="F116" s="360"/>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0.33700000000000002</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0.33700000000000002</v>
      </c>
    </row>
    <row r="147" spans="2:4">
      <c r="B147" s="212" t="str">
        <f>"PV("&amp;C141&amp;" yrs of Dividends)"</f>
        <v>PV(3 yrs of Dividends)</v>
      </c>
      <c r="C147" s="216">
        <f>Scenarios!C81</f>
        <v>3.7276755289734034</v>
      </c>
    </row>
    <row r="148" spans="2:4">
      <c r="B148" s="212" t="str">
        <f>"+ PV(Equity Value realized at year "&amp;C141&amp;")"</f>
        <v>+ PV(Equity Value realized at year 3)</v>
      </c>
      <c r="C148" s="216">
        <f>Scenarios!C82</f>
        <v>34.611184744795338</v>
      </c>
    </row>
    <row r="149" spans="2:4">
      <c r="B149" s="80" t="s">
        <v>259</v>
      </c>
      <c r="C149" s="215">
        <f>Scenarios!C83</f>
        <v>38.338860273768745</v>
      </c>
      <c r="D149" s="300" t="str">
        <f>IF($D$11="","",C149*$E$25)</f>
        <v/>
      </c>
    </row>
    <row r="150" spans="2:4">
      <c r="B150" s="259" t="s">
        <v>413</v>
      </c>
      <c r="C150" s="298" t="str">
        <f>Market_currency</f>
        <v>CNY</v>
      </c>
      <c r="D150" s="298" t="str">
        <f>IF($D$11="","",D$13)</f>
        <v/>
      </c>
    </row>
    <row r="151" spans="2:4">
      <c r="B151" s="214" t="s">
        <v>261</v>
      </c>
      <c r="C151" s="92">
        <f>Scenarios!F83</f>
        <v>0.5365226545723607</v>
      </c>
    </row>
    <row r="153" spans="2:4">
      <c r="B153" s="210" t="s">
        <v>408</v>
      </c>
    </row>
    <row r="154" spans="2:4">
      <c r="B154" s="1" t="s">
        <v>407</v>
      </c>
      <c r="C154" s="297">
        <f>Scenarios!C90</f>
        <v>0.187</v>
      </c>
    </row>
    <row r="155" spans="2:4">
      <c r="B155" s="212" t="str">
        <f>"PV("&amp;C141&amp;" yrs of Dividends)"</f>
        <v>PV(3 yrs of Dividends)</v>
      </c>
      <c r="C155" s="216">
        <f>Scenarios!C91</f>
        <v>4.644270784953914</v>
      </c>
    </row>
    <row r="156" spans="2:4">
      <c r="B156" s="212" t="str">
        <f>"+ PV(Equity Value realized at year "&amp;C141&amp;")"</f>
        <v>+ PV(Equity Value realized at year 3)</v>
      </c>
      <c r="C156" s="216">
        <f>Scenarios!C92</f>
        <v>49.460503195272771</v>
      </c>
    </row>
    <row r="157" spans="2:4">
      <c r="B157" s="80" t="s">
        <v>259</v>
      </c>
      <c r="C157" s="215">
        <f>Scenarios!C93</f>
        <v>54.104773980226682</v>
      </c>
      <c r="D157" s="300" t="str">
        <f>IF($D$11="","",C157*$E$25)</f>
        <v/>
      </c>
    </row>
    <row r="158" spans="2:4">
      <c r="B158" s="259" t="s">
        <v>413</v>
      </c>
      <c r="C158" s="298" t="str">
        <f>Market_currency</f>
        <v>CNY</v>
      </c>
      <c r="D158" s="298" t="str">
        <f>IF($D$11="","",D$13)</f>
        <v/>
      </c>
    </row>
    <row r="159" spans="2:4">
      <c r="B159" s="214" t="s">
        <v>261</v>
      </c>
      <c r="C159" s="92">
        <f>Scenarios!F93</f>
        <v>0.34592899110057851</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464</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3.7138927097661631E-2</v>
      </c>
      <c r="E94" s="268"/>
      <c r="G94" s="23">
        <f t="shared" ref="G94:Q94" si="39">IF(G$4="","",(G90*(1-dividend_tax_rate))/Market_Price)</f>
        <v>3.7138927097661631E-2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7.4604902036192758E-2</v>
      </c>
      <c r="D126" s="27"/>
      <c r="E126" s="265"/>
      <c r="F126" s="27"/>
      <c r="G126" s="77">
        <f t="shared" ref="G126" si="50">IF(G$4="","",G125/Market_Price)</f>
        <v>8.2538659644112861E-2</v>
      </c>
      <c r="H126" s="77">
        <f t="shared" ref="H126" si="51">IF(H$4="","",H125/Market_Price)</f>
        <v>9.4772568056956247E-2</v>
      </c>
      <c r="I126" s="77">
        <f t="shared" ref="I126" si="52">IF(I$4="","",I125/Market_Price)</f>
        <v>9.0281159444507569E-2</v>
      </c>
      <c r="J126" s="77">
        <f t="shared" ref="J126" si="53">IF(J$4="","",J125/Market_Price)</f>
        <v>8.4418182874295589E-2</v>
      </c>
      <c r="K126" s="77">
        <f t="shared" ref="K126" si="54">IF(K$4="","",K125/Market_Price)</f>
        <v>4.7284202367064286E-2</v>
      </c>
      <c r="L126" s="77">
        <f t="shared" ref="L126" si="55">IF(L$4="","",L125/Market_Price)</f>
        <v>1.6598579300515292E-2</v>
      </c>
      <c r="M126" s="77">
        <f t="shared" ref="M126" si="56">IF(M$4="","",M125/Market_Price)</f>
        <v>1.5216966809101661E-2</v>
      </c>
      <c r="N126" s="77">
        <f t="shared" ref="N126" si="57">IF(N$4="","",N125/Market_Price)</f>
        <v>1.2249219663544263E-2</v>
      </c>
      <c r="O126" s="77">
        <f t="shared" ref="O126" si="58">IF(O$4="","",O125/Market_Price)</f>
        <v>1.209589626401108E-2</v>
      </c>
      <c r="P126" s="77">
        <f t="shared" ref="P126" si="59">IF(P$4="","",P125/Market_Price)</f>
        <v>6.696779010075705E-3</v>
      </c>
      <c r="Q126" s="77" t="str">
        <f t="shared" ref="Q126" si="60">IF(Q$4="","",Q125/Market_Price)</f>
        <v/>
      </c>
    </row>
    <row r="127" spans="1:17" ht="15.75" customHeight="1">
      <c r="B127" s="2" t="s">
        <v>391</v>
      </c>
      <c r="C127" s="169"/>
      <c r="G127" s="23">
        <f>IF(G$4="","",(Data!C47*$C$3)/(Market_Price*Common_Shares))</f>
        <v>7.9913289809504254E-2</v>
      </c>
      <c r="H127" s="23">
        <f>IF(H$4="","",(Data!D47*$C$3)/(Market_Price*Common_Shares))</f>
        <v>9.6333352469589073E-2</v>
      </c>
      <c r="I127" s="23">
        <f>IF(I$4="","",(Data!E47*$C$3)/(Market_Price*Common_Shares))</f>
        <v>9.1904264954092749E-2</v>
      </c>
      <c r="J127" s="23">
        <f>IF(J$4="","",(Data!F47*$C$3)/(Market_Price*Common_Shares))</f>
        <v>8.5234341220211757E-2</v>
      </c>
      <c r="K127" s="23">
        <f>IF(K$4="","",(Data!G47*$C$3)/(Market_Price*Common_Shares))</f>
        <v>6.225421818533175E-2</v>
      </c>
      <c r="L127" s="23">
        <f>IF(L$4="","",(Data!H47*$C$3)/(Market_Price*Common_Shares))</f>
        <v>2.5882585463454136E-2</v>
      </c>
      <c r="M127" s="23">
        <f>IF(M$4="","",(Data!I47*$C$3)/(Market_Price*Common_Shares))</f>
        <v>1.496600077699147E-2</v>
      </c>
      <c r="N127" s="23">
        <f>IF(N$4="","",(Data!J47*$C$3)/(Market_Price*Common_Shares))</f>
        <v>1.1586082818311928E-2</v>
      </c>
      <c r="O127" s="23">
        <f>IF(O$4="","",(Data!K47*$C$3)/(Market_Price*Common_Shares))</f>
        <v>4.9716618572763068E-3</v>
      </c>
      <c r="P127" s="23">
        <f>IF(P$4="","",(Data!L47*$C$3)/(Market_Price*Common_Shares))</f>
        <v>-5.4552118677341508E-3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-58.16</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58.16</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0.33700000000000002</v>
      </c>
    </row>
    <row r="81" spans="2:8">
      <c r="B81" s="100" t="s">
        <v>120</v>
      </c>
      <c r="C81" s="116">
        <f>PV(C80, C76, -C77, 0)</f>
        <v>3.7276755289734034</v>
      </c>
      <c r="D81" s="116"/>
      <c r="E81" s="100"/>
      <c r="F81" s="100"/>
    </row>
    <row r="82" spans="2:8">
      <c r="B82" s="100" t="s">
        <v>121</v>
      </c>
      <c r="C82" s="116">
        <f>C60/(1+C80)^C76</f>
        <v>34.611184744795338</v>
      </c>
      <c r="D82" s="116"/>
    </row>
    <row r="83" spans="2:8" ht="13.15">
      <c r="B83" s="110" t="s">
        <v>101</v>
      </c>
      <c r="C83" s="111">
        <f>C81+C82</f>
        <v>38.338860273768745</v>
      </c>
      <c r="D83" t="str">
        <f>Market_currency</f>
        <v>CNY</v>
      </c>
      <c r="E83" s="146" t="s">
        <v>125</v>
      </c>
      <c r="F83" s="291">
        <f>(1-C83/C60)</f>
        <v>0.5365226545723607</v>
      </c>
    </row>
    <row r="84" spans="2:8">
      <c r="E84" s="120"/>
    </row>
    <row r="85" spans="2:8" ht="13.15">
      <c r="B85" s="109" t="s">
        <v>301</v>
      </c>
    </row>
    <row r="86" spans="2:8">
      <c r="B86" s="148" t="s">
        <v>299</v>
      </c>
      <c r="C86" s="116">
        <f>Market_Price</f>
        <v>58.16</v>
      </c>
      <c r="D86" t="str">
        <f>Market_currency</f>
        <v>CNY</v>
      </c>
    </row>
    <row r="87" spans="2:8" ht="13.15">
      <c r="B87" s="100" t="s">
        <v>297</v>
      </c>
      <c r="C87" s="237">
        <f ca="1">IRR(OFFSET($I$3, 0, 0, $C$76 + 1, 1))</f>
        <v>0.15784492797869998</v>
      </c>
    </row>
    <row r="88" spans="2:8">
      <c r="B88" s="100"/>
    </row>
    <row r="89" spans="2:8" ht="13.15">
      <c r="B89" s="109" t="s">
        <v>409</v>
      </c>
    </row>
    <row r="90" spans="2:8">
      <c r="B90" s="148" t="s">
        <v>410</v>
      </c>
      <c r="C90" s="167">
        <f>Thesis!F30</f>
        <v>0.187</v>
      </c>
    </row>
    <row r="91" spans="2:8">
      <c r="B91" s="100" t="s">
        <v>120</v>
      </c>
      <c r="C91" s="116">
        <f>PV(C90, C76, -C77, 0)</f>
        <v>4.644270784953914</v>
      </c>
      <c r="D91" s="116"/>
      <c r="E91" s="100"/>
      <c r="F91" s="100"/>
    </row>
    <row r="92" spans="2:8">
      <c r="B92" s="100" t="s">
        <v>121</v>
      </c>
      <c r="C92" s="116">
        <f>C60/(1+C90)^C76</f>
        <v>49.460503195272771</v>
      </c>
      <c r="D92" s="116"/>
    </row>
    <row r="93" spans="2:8" ht="13.15">
      <c r="B93" s="110" t="s">
        <v>101</v>
      </c>
      <c r="C93" s="111">
        <f>C91+C92</f>
        <v>54.104773980226682</v>
      </c>
      <c r="D93" t="str">
        <f>Market_currency</f>
        <v>CNY</v>
      </c>
      <c r="E93" s="146" t="s">
        <v>125</v>
      </c>
      <c r="F93" s="291">
        <f>(1-C93/C60)</f>
        <v>0.34592899110057851</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