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8001B269-01A8-4D52-9E01-AFF791288B80}" xr6:coauthVersionLast="47" xr6:coauthVersionMax="47" xr10:uidLastSave="{00000000-0000-0000-0000-000000000000}"/>
  <bookViews>
    <workbookView xWindow="-98" yWindow="-98" windowWidth="17115" windowHeight="10755" activeTab="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dividend_tax_rate">Normalized_FCF!$C$93</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G19" i="3"/>
  <c r="C19" i="3"/>
  <c r="C23" i="3"/>
  <c r="C4" i="3"/>
  <c r="C6" i="4"/>
  <c r="D6" i="4"/>
  <c r="E6" i="4"/>
  <c r="F6" i="4"/>
  <c r="G6" i="4"/>
  <c r="H6" i="4"/>
  <c r="I6" i="4"/>
  <c r="J6" i="4"/>
  <c r="K6" i="4"/>
  <c r="L6" i="4"/>
  <c r="C25" i="4"/>
  <c r="C28" i="4"/>
  <c r="C29" i="4"/>
  <c r="C30" i="4"/>
  <c r="C32" i="4"/>
  <c r="B91" i="2"/>
  <c r="B90"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C8" i="6" l="1"/>
  <c r="C71" i="9"/>
  <c r="D66" i="9"/>
  <c r="D18" i="8"/>
  <c r="D22" i="9"/>
  <c r="D21" i="9"/>
  <c r="D9" i="9"/>
  <c r="D86" i="9"/>
  <c r="C86" i="9"/>
  <c r="C76" i="9"/>
  <c r="E87" i="3"/>
  <c r="E88" i="3"/>
  <c r="E89" i="3"/>
  <c r="E86" i="3"/>
  <c r="I3" i="9"/>
  <c r="D114" i="6" l="1"/>
  <c r="D110" i="6"/>
  <c r="D103" i="6"/>
  <c r="D93" i="6"/>
  <c r="E7" i="9"/>
  <c r="D8" i="9"/>
  <c r="D7" i="9"/>
  <c r="C21" i="9"/>
  <c r="D67" i="6"/>
  <c r="B125"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8"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7"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3" i="2" l="1"/>
  <c r="C104" i="2"/>
  <c r="M76" i="4"/>
  <c r="E79" i="4"/>
  <c r="I105" i="2" s="1"/>
  <c r="F79" i="4"/>
  <c r="J105" i="2" s="1"/>
  <c r="G79" i="4"/>
  <c r="K105" i="2" s="1"/>
  <c r="H79" i="4"/>
  <c r="L105" i="2" s="1"/>
  <c r="I79" i="4"/>
  <c r="M105" i="2" s="1"/>
  <c r="J79" i="4"/>
  <c r="N105" i="2" s="1"/>
  <c r="K79" i="4"/>
  <c r="O105" i="2" s="1"/>
  <c r="L79" i="4"/>
  <c r="P105" i="2" s="1"/>
  <c r="M79" i="4"/>
  <c r="Q105" i="2" s="1"/>
  <c r="E80" i="4"/>
  <c r="I106" i="2" s="1"/>
  <c r="F80" i="4"/>
  <c r="J106" i="2" s="1"/>
  <c r="G80" i="4"/>
  <c r="K106" i="2" s="1"/>
  <c r="H80" i="4"/>
  <c r="L106" i="2" s="1"/>
  <c r="I80" i="4"/>
  <c r="M106" i="2" s="1"/>
  <c r="J80" i="4"/>
  <c r="N106" i="2" s="1"/>
  <c r="K80" i="4"/>
  <c r="O106" i="2" s="1"/>
  <c r="L80" i="4"/>
  <c r="P106" i="2" s="1"/>
  <c r="M80" i="4"/>
  <c r="Q106" i="2" s="1"/>
  <c r="C79" i="4"/>
  <c r="D79" i="4"/>
  <c r="H105"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5" i="2"/>
  <c r="E77" i="4"/>
  <c r="F77" i="4"/>
  <c r="G77" i="4"/>
  <c r="H77" i="4"/>
  <c r="E78" i="4"/>
  <c r="F78" i="4"/>
  <c r="G78" i="4"/>
  <c r="H78" i="4"/>
  <c r="D78" i="4"/>
  <c r="D80" i="4"/>
  <c r="H106" i="2" s="1"/>
  <c r="D77" i="4"/>
  <c r="C77" i="9" l="1"/>
  <c r="C94" i="2"/>
  <c r="P9" i="2"/>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70" i="6"/>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G94"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N94" i="2"/>
  <c r="P94" i="2"/>
  <c r="O94" i="2"/>
  <c r="Q92" i="2"/>
  <c r="Q94" i="2"/>
  <c r="J94" i="2"/>
  <c r="K94" i="2"/>
  <c r="I94" i="2"/>
  <c r="L94" i="2"/>
  <c r="M94" i="2"/>
  <c r="H94" i="2"/>
  <c r="Q121" i="2"/>
  <c r="Q118" i="2"/>
  <c r="Q119" i="2"/>
  <c r="J119" i="2"/>
  <c r="G91" i="2"/>
  <c r="Q127" i="2"/>
  <c r="Q48" i="2"/>
  <c r="Q91" i="2"/>
  <c r="E70" i="4"/>
  <c r="J71" i="4"/>
  <c r="K70" i="4"/>
  <c r="K71" i="4"/>
  <c r="G70" i="4"/>
  <c r="F70" i="4"/>
  <c r="M127" i="2"/>
  <c r="M91" i="2"/>
  <c r="I71" i="4"/>
  <c r="N127" i="2"/>
  <c r="N91" i="2"/>
  <c r="P127" i="2"/>
  <c r="P91" i="2"/>
  <c r="J69" i="4"/>
  <c r="F69" i="4"/>
  <c r="G69" i="4"/>
  <c r="O127" i="2"/>
  <c r="O91" i="2"/>
  <c r="I69" i="4"/>
  <c r="H70" i="4"/>
  <c r="J70" i="4"/>
  <c r="L127" i="2"/>
  <c r="L91" i="2"/>
  <c r="K69" i="4"/>
  <c r="H69" i="4"/>
  <c r="I70" i="4"/>
  <c r="D70" i="4"/>
  <c r="C70" i="4"/>
  <c r="D69" i="4"/>
  <c r="I91" i="2"/>
  <c r="K127" i="2"/>
  <c r="K91" i="2"/>
  <c r="J91" i="2"/>
  <c r="H91" i="2"/>
  <c r="E69" i="4"/>
  <c r="C69" i="4"/>
  <c r="C80" i="4"/>
  <c r="C76" i="4" s="1"/>
  <c r="G114" i="2"/>
  <c r="G127" i="2"/>
  <c r="H114" i="2"/>
  <c r="H127" i="2"/>
  <c r="J114" i="2"/>
  <c r="J127" i="2"/>
  <c r="I114" i="2"/>
  <c r="I127" i="2"/>
  <c r="K114" i="2"/>
  <c r="M114" i="2"/>
  <c r="L114" i="2"/>
  <c r="N114" i="2"/>
  <c r="P114" i="2"/>
  <c r="O114" i="2"/>
  <c r="Q114" i="2"/>
  <c r="Q115" i="2"/>
  <c r="Q19" i="2"/>
  <c r="Q50" i="2"/>
  <c r="Q12" i="2" s="1"/>
  <c r="Q81" i="2"/>
  <c r="Q43" i="2"/>
  <c r="C12" i="9"/>
  <c r="H102" i="2"/>
  <c r="H119" i="2" s="1"/>
  <c r="P102" i="2"/>
  <c r="P120" i="2" s="1"/>
  <c r="M102" i="2"/>
  <c r="M119" i="2" s="1"/>
  <c r="N102" i="2"/>
  <c r="N119" i="2" s="1"/>
  <c r="Q55" i="2"/>
  <c r="Q125" i="2"/>
  <c r="Q126" i="2"/>
  <c r="Q102" i="2"/>
  <c r="K102" i="2"/>
  <c r="K119" i="2" s="1"/>
  <c r="I102" i="2"/>
  <c r="I119" i="2" s="1"/>
  <c r="O102" i="2"/>
  <c r="O120" i="2" s="1"/>
  <c r="J102" i="2"/>
  <c r="L102" i="2"/>
  <c r="L119" i="2" s="1"/>
  <c r="G111" i="2"/>
  <c r="N104" i="2"/>
  <c r="N110" i="2" s="1"/>
  <c r="N103" i="2"/>
  <c r="N109" i="2" s="1"/>
  <c r="O104" i="2"/>
  <c r="O110" i="2" s="1"/>
  <c r="O103" i="2"/>
  <c r="O109" i="2" s="1"/>
  <c r="J103" i="2"/>
  <c r="J109" i="2" s="1"/>
  <c r="J104" i="2"/>
  <c r="J110" i="2" s="1"/>
  <c r="M104" i="2"/>
  <c r="M110" i="2" s="1"/>
  <c r="M103" i="2"/>
  <c r="M109" i="2" s="1"/>
  <c r="H103" i="2"/>
  <c r="H109" i="2" s="1"/>
  <c r="H104" i="2"/>
  <c r="H110" i="2" s="1"/>
  <c r="I103" i="2"/>
  <c r="I109" i="2" s="1"/>
  <c r="I104" i="2"/>
  <c r="I110" i="2" s="1"/>
  <c r="P103" i="2"/>
  <c r="P109" i="2" s="1"/>
  <c r="P104" i="2"/>
  <c r="P110" i="2" s="1"/>
  <c r="Q8" i="2"/>
  <c r="Q103" i="2"/>
  <c r="Q104" i="2"/>
  <c r="K104" i="2"/>
  <c r="K110" i="2" s="1"/>
  <c r="K103" i="2"/>
  <c r="K109" i="2" s="1"/>
  <c r="L103" i="2"/>
  <c r="L109" i="2" s="1"/>
  <c r="L104" i="2"/>
  <c r="L110"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6" i="2"/>
  <c r="G53" i="2"/>
  <c r="M97" i="2"/>
  <c r="O97" i="2"/>
  <c r="P97" i="2"/>
  <c r="N97" i="2"/>
  <c r="L97" i="2"/>
  <c r="G97" i="2"/>
  <c r="I97" i="2"/>
  <c r="C102" i="2"/>
  <c r="D59" i="3"/>
  <c r="K97" i="2"/>
  <c r="H97" i="2"/>
  <c r="J97" i="2"/>
  <c r="Q120" i="2"/>
  <c r="Q109" i="2"/>
  <c r="Q110" i="2"/>
  <c r="K82" i="2"/>
  <c r="Q79" i="2"/>
  <c r="J29" i="2"/>
  <c r="P83" i="2"/>
  <c r="G78" i="2"/>
  <c r="G103" i="2"/>
  <c r="G109" i="2" s="1"/>
  <c r="G104" i="2"/>
  <c r="G110" i="2" s="1"/>
  <c r="L83" i="2"/>
  <c r="J77" i="2"/>
  <c r="P77" i="2"/>
  <c r="I25" i="2"/>
  <c r="I30" i="2" s="1"/>
  <c r="Q35" i="2"/>
  <c r="Q7" i="2" s="1"/>
  <c r="Q77" i="2"/>
  <c r="H29" i="2"/>
  <c r="Q6" i="2"/>
  <c r="Q83" i="2"/>
  <c r="Q38" i="2"/>
  <c r="Q75" i="2"/>
  <c r="Q87" i="2"/>
  <c r="K25" i="2"/>
  <c r="K30" i="2" s="1"/>
  <c r="I82" i="2"/>
  <c r="Q84" i="2"/>
  <c r="Q80" i="2"/>
  <c r="Q82" i="2"/>
  <c r="Q73" i="2"/>
  <c r="Q25" i="2"/>
  <c r="Q5" i="2" s="1"/>
  <c r="P98"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9" i="2" l="1"/>
  <c r="O119" i="2"/>
  <c r="O30" i="2"/>
  <c r="O74" i="2"/>
  <c r="O8" i="2"/>
  <c r="H58" i="4"/>
  <c r="L62" i="2" s="1"/>
  <c r="G71" i="4"/>
  <c r="H71" i="4"/>
  <c r="O40" i="2"/>
  <c r="O63" i="2"/>
  <c r="O73" i="2"/>
  <c r="C58" i="4"/>
  <c r="C71" i="4"/>
  <c r="E58" i="4"/>
  <c r="I62" i="2" s="1"/>
  <c r="E71" i="4"/>
  <c r="D71" i="4"/>
  <c r="G106" i="2"/>
  <c r="G102" i="2" s="1"/>
  <c r="G120" i="2" s="1"/>
  <c r="D76" i="6" s="1"/>
  <c r="P40" i="2"/>
  <c r="P30" i="2"/>
  <c r="P63" i="2"/>
  <c r="P6" i="2"/>
  <c r="P73" i="2"/>
  <c r="C23" i="2"/>
  <c r="C49" i="2"/>
  <c r="C24" i="2"/>
  <c r="C111" i="2"/>
  <c r="G30" i="2"/>
  <c r="C17" i="2"/>
  <c r="C62" i="6" s="1"/>
  <c r="M63" i="2"/>
  <c r="M11" i="2"/>
  <c r="N63" i="2"/>
  <c r="N11" i="2"/>
  <c r="G69" i="2"/>
  <c r="G11" i="2"/>
  <c r="N73" i="2"/>
  <c r="M6" i="2"/>
  <c r="M8" i="2" s="1"/>
  <c r="C97" i="2"/>
  <c r="J63" i="2"/>
  <c r="J79" i="2" s="1"/>
  <c r="H63" i="2"/>
  <c r="H79" i="2" s="1"/>
  <c r="N40" i="2"/>
  <c r="N120" i="2"/>
  <c r="M120" i="2"/>
  <c r="M40" i="2"/>
  <c r="N6" i="2"/>
  <c r="N8" i="2" s="1"/>
  <c r="M30" i="2"/>
  <c r="M73" i="2"/>
  <c r="N30" i="2"/>
  <c r="K62" i="2"/>
  <c r="G62" i="2"/>
  <c r="G63" i="2" s="1"/>
  <c r="C120" i="2"/>
  <c r="C76" i="6" s="1"/>
  <c r="C55" i="3"/>
  <c r="L120" i="2"/>
  <c r="J120" i="2"/>
  <c r="H120" i="2"/>
  <c r="K120" i="2"/>
  <c r="I120" i="2"/>
  <c r="H5" i="2"/>
  <c r="I5" i="2"/>
  <c r="C109" i="2"/>
  <c r="C110"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5"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7"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9" i="2"/>
  <c r="D75" i="6" s="1"/>
  <c r="C87" i="3"/>
  <c r="D87" i="3" s="1"/>
  <c r="E69" i="10"/>
  <c r="E73" i="10"/>
  <c r="E71" i="10"/>
  <c r="E72" i="10"/>
  <c r="E70" i="10"/>
  <c r="O80" i="2"/>
  <c r="O13" i="2"/>
  <c r="O121" i="2" s="1"/>
  <c r="O117" i="2" s="1"/>
  <c r="O43" i="2"/>
  <c r="L80" i="2"/>
  <c r="L43" i="2"/>
  <c r="K80" i="2"/>
  <c r="P80" i="2"/>
  <c r="P13" i="2"/>
  <c r="P121" i="2" s="1"/>
  <c r="P117" i="2" s="1"/>
  <c r="P43" i="2"/>
  <c r="M80" i="2"/>
  <c r="M43" i="2"/>
  <c r="J43" i="2"/>
  <c r="H43" i="2"/>
  <c r="I43" i="2"/>
  <c r="N80" i="2"/>
  <c r="N43" i="2"/>
  <c r="G80" i="2"/>
  <c r="C41" i="6"/>
  <c r="C74" i="2"/>
  <c r="C32" i="3"/>
  <c r="G31" i="3"/>
  <c r="C104" i="6" s="1"/>
  <c r="B1" i="2"/>
  <c r="O81" i="2" l="1"/>
  <c r="O118" i="2" s="1"/>
  <c r="O16" i="2"/>
  <c r="C7" i="8"/>
  <c r="C86" i="3" s="1"/>
  <c r="D86" i="3" s="1"/>
  <c r="D89" i="3" s="1"/>
  <c r="P81" i="2"/>
  <c r="P118" i="2" s="1"/>
  <c r="P16" i="2"/>
  <c r="O98"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92" i="2" s="1"/>
  <c r="O125" i="2"/>
  <c r="O126" i="2" s="1"/>
  <c r="P84" i="2"/>
  <c r="P19" i="2"/>
  <c r="P92" i="2" s="1"/>
  <c r="P125" i="2"/>
  <c r="P126" i="2" s="1"/>
  <c r="C47" i="2"/>
  <c r="O115" i="2" l="1"/>
  <c r="O87" i="2"/>
  <c r="P115" i="2"/>
  <c r="P87" i="2"/>
  <c r="C55" i="2"/>
  <c r="C52" i="6"/>
  <c r="E78" i="8"/>
  <c r="C50" i="2"/>
  <c r="C12" i="2" s="1"/>
  <c r="C119" i="2" s="1"/>
  <c r="C75" i="6" s="1"/>
  <c r="I1" i="2"/>
  <c r="E130" i="6" l="1"/>
  <c r="C51" i="9"/>
  <c r="C13" i="2"/>
  <c r="C14" i="2"/>
  <c r="C59" i="6" s="1"/>
  <c r="C53" i="6"/>
  <c r="C80" i="2"/>
  <c r="J1" i="2"/>
  <c r="K1" i="2" s="1"/>
  <c r="L1" i="2" s="1"/>
  <c r="M1" i="2" s="1"/>
  <c r="N1" i="2" s="1"/>
  <c r="O1" i="2" s="1"/>
  <c r="P1" i="2" s="1"/>
  <c r="Q1" i="2" s="1"/>
  <c r="C121" i="2" l="1"/>
  <c r="C73" i="6" s="1"/>
  <c r="C16" i="2"/>
  <c r="C19" i="2" s="1"/>
  <c r="C92" i="2" s="1"/>
  <c r="C16" i="10" l="1"/>
  <c r="C46" i="10" s="1"/>
  <c r="C6" i="10"/>
  <c r="C7" i="10" s="1"/>
  <c r="C4" i="8"/>
  <c r="F70" i="6"/>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7" i="2"/>
  <c r="H13" i="2"/>
  <c r="H121" i="2" s="1"/>
  <c r="C172" i="6" l="1"/>
  <c r="C148" i="6"/>
  <c r="C99" i="9"/>
  <c r="C165" i="6" s="1"/>
  <c r="D173" i="6"/>
  <c r="D32" i="6" s="1"/>
  <c r="C32" i="6"/>
  <c r="E26" i="6"/>
  <c r="C93" i="9"/>
  <c r="C151" i="6"/>
  <c r="C149" i="6"/>
  <c r="H16" i="2"/>
  <c r="H19" i="2" s="1"/>
  <c r="H92" i="2" s="1"/>
  <c r="H81" i="2"/>
  <c r="H118" i="2" s="1"/>
  <c r="F99" i="9" l="1"/>
  <c r="C167" i="6" s="1"/>
  <c r="D165" i="6"/>
  <c r="D31" i="6" s="1"/>
  <c r="C31" i="6"/>
  <c r="C29" i="6"/>
  <c r="D149" i="6"/>
  <c r="D29" i="6" s="1"/>
  <c r="H115" i="2"/>
  <c r="F93" i="9"/>
  <c r="C159" i="6" s="1"/>
  <c r="C157" i="6"/>
  <c r="H125" i="2"/>
  <c r="H126" i="2" s="1"/>
  <c r="H84" i="2"/>
  <c r="G76" i="2"/>
  <c r="D54" i="3"/>
  <c r="D50" i="3"/>
  <c r="G13" i="2"/>
  <c r="G98" i="2" l="1"/>
  <c r="G121" i="2"/>
  <c r="C30" i="6"/>
  <c r="D157" i="6"/>
  <c r="D30" i="6" s="1"/>
  <c r="H87" i="2"/>
  <c r="G16" i="2"/>
  <c r="G19" i="2" s="1"/>
  <c r="G92" i="2" s="1"/>
  <c r="G81" i="2"/>
  <c r="G118" i="2" l="1"/>
  <c r="D74" i="6" s="1"/>
  <c r="G117" i="2"/>
  <c r="D73" i="6"/>
  <c r="G115" i="2"/>
  <c r="G125" i="2"/>
  <c r="G126" i="2" s="1"/>
  <c r="G84" i="2"/>
  <c r="J76" i="2"/>
  <c r="I76" i="2"/>
  <c r="N76" i="2"/>
  <c r="L76" i="2"/>
  <c r="J13" i="2"/>
  <c r="J121" i="2" s="1"/>
  <c r="J117" i="2" s="1"/>
  <c r="M76" i="2"/>
  <c r="L13" i="2"/>
  <c r="L121" i="2" s="1"/>
  <c r="L117" i="2" s="1"/>
  <c r="K13" i="2"/>
  <c r="N13" i="2"/>
  <c r="M13" i="2"/>
  <c r="M121" i="2" s="1"/>
  <c r="M117" i="2" s="1"/>
  <c r="I13" i="2"/>
  <c r="I121" i="2" s="1"/>
  <c r="I117" i="2" s="1"/>
  <c r="K76" i="2"/>
  <c r="N98" i="2" l="1"/>
  <c r="N121" i="2"/>
  <c r="N117" i="2" s="1"/>
  <c r="K16" i="2"/>
  <c r="K19" i="2" s="1"/>
  <c r="K92" i="2" s="1"/>
  <c r="K121" i="2"/>
  <c r="K117" i="2" s="1"/>
  <c r="K115" i="2"/>
  <c r="C8" i="9"/>
  <c r="C67" i="6"/>
  <c r="G87" i="2"/>
  <c r="K81" i="2"/>
  <c r="K118" i="2" s="1"/>
  <c r="K98" i="2"/>
  <c r="L98" i="2"/>
  <c r="M98" i="2"/>
  <c r="I98" i="2"/>
  <c r="H98" i="2"/>
  <c r="J98" i="2"/>
  <c r="I16" i="2"/>
  <c r="I19" i="2" s="1"/>
  <c r="I92" i="2" s="1"/>
  <c r="I81" i="2"/>
  <c r="I118" i="2" s="1"/>
  <c r="N16" i="2"/>
  <c r="N19" i="2" s="1"/>
  <c r="N92" i="2" s="1"/>
  <c r="N81" i="2"/>
  <c r="N118" i="2" s="1"/>
  <c r="L16" i="2"/>
  <c r="L81" i="2"/>
  <c r="L118" i="2" s="1"/>
  <c r="J16" i="2"/>
  <c r="J19" i="2" s="1"/>
  <c r="J92" i="2" s="1"/>
  <c r="J81" i="2"/>
  <c r="J118" i="2" s="1"/>
  <c r="M16" i="2"/>
  <c r="M81" i="2"/>
  <c r="M118" i="2" s="1"/>
  <c r="K84" i="2"/>
  <c r="K125" i="2" l="1"/>
  <c r="K126" i="2" s="1"/>
  <c r="N84" i="2"/>
  <c r="L125" i="2"/>
  <c r="L126" i="2" s="1"/>
  <c r="L19" i="2"/>
  <c r="N115" i="2"/>
  <c r="I115" i="2"/>
  <c r="J115" i="2"/>
  <c r="M125" i="2"/>
  <c r="M126" i="2" s="1"/>
  <c r="M19" i="2"/>
  <c r="M92" i="2" s="1"/>
  <c r="I125" i="2"/>
  <c r="I126" i="2" s="1"/>
  <c r="J84" i="2"/>
  <c r="N125" i="2"/>
  <c r="N126" i="2" s="1"/>
  <c r="M84" i="2"/>
  <c r="I87" i="2"/>
  <c r="I84" i="2"/>
  <c r="J125" i="2"/>
  <c r="J126" i="2" s="1"/>
  <c r="K87" i="2"/>
  <c r="L84" i="2"/>
  <c r="N87" i="2"/>
  <c r="C76" i="2"/>
  <c r="C50" i="3"/>
  <c r="C105" i="6" s="1"/>
  <c r="C54" i="3"/>
  <c r="L87" i="2" l="1"/>
  <c r="L92" i="2"/>
  <c r="M115" i="2"/>
  <c r="L115" i="2"/>
  <c r="C14" i="9"/>
  <c r="M87" i="2"/>
  <c r="C81" i="2"/>
  <c r="C98" i="2"/>
  <c r="J87" i="2"/>
  <c r="C82" i="2"/>
  <c r="C118" i="2" l="1"/>
  <c r="C74" i="6" s="1"/>
  <c r="C125" i="2"/>
  <c r="C84" i="2" l="1"/>
  <c r="C9" i="9"/>
  <c r="C68" i="6" l="1"/>
  <c r="C126"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<sst xmlns="http://schemas.openxmlformats.org/spreadsheetml/2006/main" count="686" uniqueCount="466">
  <si>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</si>
  <si>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</si>
  <si>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</si>
  <si>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</si>
  <si>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</si>
  <si>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</si>
  <si>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</si>
  <si>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</si>
  <si>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</si>
  <si>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</si>
  <si>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</si>
  <si>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</si>
  <si>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</si>
  <si>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</si>
  <si>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</si>
  <si>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</si>
  <si>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</si>
  <si>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</si>
  <si>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</si>
  <si>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</si>
  <si>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</si>
  <si>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</si>
  <si>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</si>
  <si>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</si>
  <si>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</si>
  <si>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</si>
  <si>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</si>
  <si>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</si>
  <si>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</si>
  <si>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</si>
  <si>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</si>
  <si>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</si>
  <si>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</si>
  <si>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</si>
  <si>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</si>
  <si>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</si>
  <si>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</si>
  <si>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</si>
  <si>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</si>
  <si>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</si>
  <si>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</si>
  <si>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</si>
  <si>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</si>
  <si>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</si>
  <si>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</si>
  <si>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</si>
  <si>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</si>
  <si>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</si>
  <si>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</si>
  <si>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</si>
  <si>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</si>
  <si>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</si>
  <si>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</si>
  <si>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</si>
  <si>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</si>
  <si>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</si>
  <si>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</si>
  <si>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</si>
  <si>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</si>
  <si>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</si>
  <si>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</si>
  <si>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</si>
  <si>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</si>
  <si>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</si>
  <si>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</si>
  <si>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</si>
  <si>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</si>
  <si>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</si>
  <si>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</si>
  <si>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</si>
  <si>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</si>
  <si>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</si>
  <si>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</si>
  <si>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</si>
  <si>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</si>
  <si>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</si>
  <si>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</si>
  <si>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</si>
  <si>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</si>
  <si>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</si>
  <si>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</si>
  <si>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</si>
  <si>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</si>
  <si>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</si>
  <si>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</si>
  <si>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</si>
  <si>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</si>
  <si>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</si>
  <si>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</si>
  <si>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</si>
  <si>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</si>
  <si>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</si>
  <si>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</si>
  <si>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</si>
  <si>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</si>
  <si>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</si>
  <si>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</si>
  <si>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</si>
  <si>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</si>
  <si>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</si>
  <si>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</si>
  <si>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</si>
  <si>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</si>
  <si>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</si>
  <si>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</si>
  <si>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</si>
  <si>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</si>
  <si>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</si>
  <si>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</si>
  <si>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</si>
  <si>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</si>
  <si>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</si>
  <si>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</si>
  <si>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</si>
  <si>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</si>
  <si>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</si>
  <si>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</si>
  <si>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</si>
  <si>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</si>
  <si>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</si>
  <si>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</si>
  <si>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</si>
  <si>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</si>
  <si>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</si>
  <si>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</si>
  <si>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</si>
  <si>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</si>
  <si>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</si>
  <si>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</si>
  <si>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</si>
  <si>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</si>
  <si>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</si>
  <si>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</si>
  <si>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</si>
  <si>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</si>
  <si>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</si>
  <si>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</si>
  <si>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</si>
  <si>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</si>
  <si>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</si>
  <si>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</si>
  <si>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</si>
  <si>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</si>
  <si>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</si>
  <si>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</si>
  <si>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</si>
  <si>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</si>
  <si>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</si>
  <si>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</si>
  <si>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</si>
  <si>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</si>
  <si>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</si>
  <si>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</si>
  <si>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</si>
  <si>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</si>
  <si>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</si>
  <si>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</si>
  <si>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</si>
  <si>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</si>
  <si>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</si>
  <si>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</si>
  <si>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</si>
  <si>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</si>
  <si>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</si>
  <si>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</si>
  <si>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</si>
  <si>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</si>
  <si>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</si>
  <si>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</si>
  <si>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</si>
  <si>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</si>
  <si>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</si>
  <si>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</si>
  <si>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</si>
  <si>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</si>
  <si>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</si>
  <si>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</si>
  <si>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</si>
  <si>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</si>
  <si>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</si>
  <si>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</si>
  <si>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</si>
  <si>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</si>
  <si>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</si>
  <si>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</si>
  <si>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</si>
  <si>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</si>
  <si>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</si>
  <si>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</si>
  <si>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</si>
  <si>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</si>
  <si>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</si>
  <si>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</si>
  <si>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</si>
  <si>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</si>
  <si>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</si>
  <si>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</si>
  <si>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</si>
  <si>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</si>
  <si>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</si>
  <si>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</si>
  <si>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</si>
  <si>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</si>
  <si>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</si>
  <si>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</si>
  <si>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</si>
  <si>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</si>
  <si>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</si>
  <si>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</si>
  <si>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</si>
  <si>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</si>
  <si>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</si>
  <si>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</si>
  <si>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</si>
  <si>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</si>
  <si>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</si>
  <si>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</si>
  <si>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</si>
  <si>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</si>
  <si>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</si>
  <si>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</si>
  <si>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</si>
  <si>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</si>
  <si>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</si>
  <si>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</si>
  <si>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</si>
  <si>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</si>
  <si>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</si>
  <si>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</si>
  <si>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</si>
  <si>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</si>
  <si>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</si>
  <si>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</si>
  <si>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</si>
  <si>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</si>
  <si>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</si>
  <si>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</si>
  <si>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</si>
  <si>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</si>
  <si>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</si>
  <si>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</si>
  <si>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</si>
  <si>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</si>
  <si>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</si>
  <si>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</si>
  <si>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</si>
  <si>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</si>
  <si>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</si>
  <si>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</si>
  <si>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</si>
  <si>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</si>
  <si>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</si>
  <si>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</si>
  <si>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</si>
  <si>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</si>
  <si>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</si>
  <si>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</si>
  <si>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</si>
  <si>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</si>
  <si>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</si>
  <si>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</si>
  <si>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</si>
  <si>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</si>
  <si>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</si>
  <si>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</si>
  <si>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</si>
  <si>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</si>
  <si>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</si>
  <si>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</si>
  <si>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</si>
  <si>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</si>
  <si>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</si>
  <si>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</si>
  <si>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</si>
  <si>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</si>
  <si>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</si>
  <si>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</si>
  <si>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</si>
  <si>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</si>
  <si>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</si>
  <si>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</si>
  <si>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</si>
  <si>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</si>
  <si>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</si>
  <si>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</si>
  <si>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</si>
  <si>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</si>
  <si>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</si>
  <si>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</si>
  <si>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</si>
  <si>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</si>
  <si>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</si>
  <si>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</si>
  <si>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</si>
  <si>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</si>
  <si>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</si>
  <si>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</si>
  <si>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</si>
  <si>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</si>
  <si>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</si>
  <si>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</si>
  <si>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</si>
  <si>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</si>
  <si>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</si>
  <si>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</si>
  <si>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</si>
  <si>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</si>
  <si>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</si>
  <si>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</si>
  <si>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</si>
  <si>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</si>
  <si>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</si>
  <si>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</si>
  <si>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</si>
  <si>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</si>
  <si>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</si>
  <si>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</si>
  <si>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</si>
  <si>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</si>
  <si>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</si>
  <si>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</si>
  <si>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</si>
  <si>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</si>
  <si>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</si>
  <si>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</si>
  <si>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</si>
  <si>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</si>
  <si>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</si>
  <si>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</si>
  <si>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</si>
  <si>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</si>
  <si>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</si>
  <si>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</si>
  <si>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</si>
  <si>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</si>
  <si>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</si>
  <si>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</si>
  <si>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</si>
  <si>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</si>
  <si>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</si>
  <si>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</si>
  <si>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</si>
  <si>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</si>
  <si>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</si>
  <si>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</si>
  <si>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</si>
  <si>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</si>
  <si>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</si>
  <si>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</si>
  <si>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</si>
  <si>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</si>
  <si>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</si>
  <si>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</si>
  <si>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</si>
  <si>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</si>
  <si>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</si>
  <si>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</si>
  <si>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</si>
  <si>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</si>
  <si>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</si>
  <si>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</si>
  <si>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</si>
  <si>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</si>
  <si>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</si>
  <si>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</si>
  <si>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</si>
  <si>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</si>
  <si>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</si>
  <si>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</si>
  <si>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</si>
  <si>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</si>
  <si>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</si>
  <si>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</si>
  <si>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</si>
  <si>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</si>
  <si>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</si>
  <si>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</si>
  <si>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</si>
  <si>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</si>
  <si>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</si>
  <si>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</si>
  <si>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</si>
  <si>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</si>
  <si>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</si>
  <si>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</si>
  <si>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</si>
  <si>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</si>
  <si>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</si>
  <si>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</si>
  <si>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</si>
  <si>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</si>
  <si>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</si>
  <si>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</si>
  <si>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</si>
  <si>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</si>
  <si>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</si>
  <si>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</si>
  <si>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</si>
  <si>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</si>
  <si>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</si>
  <si>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</si>
  <si>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</si>
  <si>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</si>
  <si>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</si>
  <si>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</si>
  <si>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</si>
  <si>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</si>
  <si>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</si>
  <si>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</si>
  <si>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</si>
  <si>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</si>
  <si>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</si>
  <si>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</si>
  <si>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</si>
  <si>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</si>
  <si>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</si>
  <si>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</si>
  <si>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</si>
  <si>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</si>
  <si>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</si>
  <si>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</si>
  <si>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</si>
  <si>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</si>
  <si>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</si>
  <si>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</si>
  <si>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</si>
  <si>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</si>
  <si>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</si>
  <si>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</si>
  <si>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</si>
  <si>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</si>
  <si>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</si>
  <si>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</si>
  <si>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</si>
  <si>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</si>
  <si>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</si>
  <si>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</si>
  <si>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</si>
  <si>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</si>
  <si>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</si>
  <si>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</si>
  <si>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</si>
  <si>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</si>
  <si>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</si>
  <si>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</si>
  <si>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</si>
  <si>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</si>
  <si>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</si>
  <si>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</si>
  <si>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</si>
  <si>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</si>
  <si>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</si>
  <si>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</si>
  <si>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</si>
  <si>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</si>
  <si>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</si>
  <si>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CN</t>
  </si>
  <si>
    <t>Y</t>
  </si>
  <si>
    <t>重庆啤酒</t>
  </si>
  <si>
    <t>600132.SS</t>
  </si>
  <si>
    <t/>
  </si>
  <si>
    <t>CNS_03</t>
  </si>
  <si>
    <t>N</t>
  </si>
  <si>
    <t>DCF</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</si>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</sst>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7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8" borderId="1" xfId="0" applyNumberFormat="1" applyFont="1" applyFill="1" applyBorder="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opLeftCell="A160" zoomScale="85" zoomScaleNormal="100" workbookViewId="0">
      <selection activeCell="B67" sqref="B67"/>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45780</v>
      </c>
      <c r="D1" s="316" t="s">
        <v>456</v>
      </c>
      <c r="E1" s="292" t="s">
        <v>350</v>
      </c>
      <c r="F1" s="254" t="s">
        <v>457</v>
      </c>
    </row>
    <row r="2" spans="1:10" ht="13.9">
      <c r="A2" s="222" t="s">
        <v>266</v>
      </c>
      <c r="B2" s="36"/>
      <c r="C2" s="36"/>
      <c r="D2" s="36"/>
      <c r="E2" s="36"/>
      <c r="F2" s="36"/>
      <c r="G2" s="22"/>
      <c r="H2" s="22"/>
      <c r="I2" s="22"/>
      <c r="J2" s="22"/>
    </row>
    <row r="4" spans="1:10">
      <c r="B4" s="45" t="s">
        <v>412</v>
      </c>
      <c r="C4" s="46"/>
      <c r="D4" s="5"/>
      <c r="E4" s="2"/>
      <c r="F4" s="2"/>
    </row>
    <row r="5" spans="1:10" ht="12.4">
      <c r="B5" s="4" t="s">
        <v>312</v>
      </c>
      <c r="C5" s="294" t="s">
        <v>458</v>
      </c>
    </row>
    <row r="6" spans="1:10">
      <c r="B6" s="4" t="s">
        <v>0</v>
      </c>
      <c r="C6" s="51">
        <v>483971198</v>
      </c>
      <c r="E6" s="48"/>
    </row>
    <row r="7" spans="1:10">
      <c r="B7" s="2" t="s">
        <v>306</v>
      </c>
      <c r="C7" s="250">
        <v>6</v>
      </c>
      <c r="D7" s="48"/>
      <c r="E7" s="48"/>
    </row>
    <row r="8" spans="1:10">
      <c r="B8" s="1" t="s">
        <v>267</v>
      </c>
      <c r="C8" s="33">
        <f>EOMONTH(EDATE(BS!C1,C7+2),0)</f>
        <v>45900</v>
      </c>
      <c r="E8" s="48"/>
    </row>
    <row r="9" spans="1:10">
      <c r="E9" s="34"/>
    </row>
    <row r="10" spans="1:10">
      <c r="B10" s="45" t="s">
        <v>415</v>
      </c>
      <c r="C10" s="46"/>
      <c r="E10" s="34"/>
    </row>
    <row r="11" spans="1:10">
      <c r="B11" s="1" t="s">
        <v>414</v>
      </c>
      <c r="C11" s="49" t="s">
        <v>459</v>
      </c>
      <c r="D11" s="49" t="s">
        <v>460</v>
      </c>
      <c r="E11" s="34"/>
    </row>
    <row r="12" spans="1:10">
      <c r="B12" s="4" t="s">
        <v>94</v>
      </c>
      <c r="C12" s="50">
        <v>55.15</v>
      </c>
      <c r="D12" s="50"/>
      <c r="E12" s="48"/>
    </row>
    <row r="13" spans="1:10">
      <c r="B13" s="1" t="s">
        <v>413</v>
      </c>
      <c r="C13" s="48" t="s">
        <v>411</v>
      </c>
      <c r="D13" s="48"/>
      <c r="E13" s="5"/>
    </row>
    <row r="14" spans="1:10">
      <c r="B14" s="4" t="s">
        <v>417</v>
      </c>
      <c r="C14" s="35">
        <f>Thesis!C12*Common_Shares/1000000</f>
        <v>26691.0115697</v>
      </c>
      <c r="D14" s="35" t="str">
        <f>IF(D11="","",Thesis!D12*Common_Shares/1000000)</f>
        <v/>
      </c>
      <c r="E14" s="5"/>
    </row>
    <row r="15" spans="1:10">
      <c r="B15" s="4" t="s">
        <v>416</v>
      </c>
      <c r="C15" s="32" t="str">
        <f>IF(C25=C13,C13,C25&amp;"/"&amp;C13)</f>
        <v>CNY</v>
      </c>
      <c r="D15" s="32" t="str">
        <f>IF(D11="","",IF(C25=D13,D13,C25&amp;"/"&amp;D13))</f>
        <v/>
      </c>
      <c r="E15" s="5"/>
    </row>
    <row r="16" spans="1:10">
      <c r="B16" s="4" t="s">
        <v>1</v>
      </c>
      <c r="C16" s="50">
        <v>1</v>
      </c>
      <c r="D16" s="50"/>
      <c r="E16" s="5"/>
    </row>
    <row r="17" spans="2:6">
      <c r="D17" s="5"/>
      <c r="E17" s="5"/>
    </row>
    <row r="18" spans="2:6" ht="24.6" customHeight="1">
      <c r="B18" s="360" t="s">
        <v>356</v>
      </c>
      <c r="C18" s="360"/>
      <c r="D18" s="360"/>
      <c r="E18" s="360"/>
      <c r="F18" s="360"/>
    </row>
    <row r="20" spans="2:6">
      <c r="B20" s="45" t="s">
        <v>305</v>
      </c>
      <c r="C20" s="46"/>
      <c r="D20" s="5"/>
    </row>
    <row r="21" spans="2:6">
      <c r="B21" s="2" t="s">
        <v>345</v>
      </c>
      <c r="C21" s="32" t="str">
        <f>IF(Scenarios!C69="Y",Scenarios!B69,"")&amp;IF(Scenarios!C70="Y",Scenarios!B70,"")&amp;IF(Scenarios!C71="Y",Scenarios!B71,"")&amp;" "&amp;IF(Scenarios!C72="Y",Scenarios!B72,"")</f>
        <v xml:space="preserve">Low Growth </v>
      </c>
      <c r="D21" s="1" t="s">
        <v>436</v>
      </c>
      <c r="E21" s="308" t="s">
        <v>463</v>
      </c>
    </row>
    <row r="22" spans="2:6">
      <c r="B22" s="2" t="s">
        <v>56</v>
      </c>
      <c r="C22" s="48" t="s">
        <v>461</v>
      </c>
      <c r="D22" s="1" t="str">
        <f>IF(valuation_method="DDM","DDM Terminal Value","")</f>
        <v/>
      </c>
      <c r="E22" s="313"/>
    </row>
    <row r="23" spans="2:6">
      <c r="B23" s="1" t="s">
        <v>431</v>
      </c>
      <c r="C23" s="262" t="s">
        <v>462</v>
      </c>
    </row>
    <row r="24" spans="2:6">
      <c r="B24" s="1" t="s">
        <v>432</v>
      </c>
      <c r="C24" s="262" t="s">
        <v>462</v>
      </c>
    </row>
    <row r="25" spans="2:6">
      <c r="B25" s="4" t="s">
        <v>344</v>
      </c>
      <c r="C25" s="48" t="s">
        <v>411</v>
      </c>
      <c r="D25" s="32" t="str">
        <f>IF(D11="","",Market_currency&amp;"/"&amp;D13&amp;":")</f>
        <v/>
      </c>
      <c r="E25" s="299" t="str">
        <f>IF(D11="","",1/Exchange_Rate*D16)</f>
        <v/>
      </c>
    </row>
    <row r="26" spans="2:6">
      <c r="B26" s="1" t="str">
        <f>"Expected Equity Value ("&amp;C13&amp;") :"</f>
        <v>Expected Equity Value (CNY) :</v>
      </c>
      <c r="C26" s="304">
        <f>C132</f>
        <v>82.72003076740333</v>
      </c>
      <c r="D26" s="1" t="s">
        <v>396</v>
      </c>
      <c r="E26" s="301">
        <f ca="1">Scenarios!C87</f>
        <v>0.17920703932311821</v>
      </c>
    </row>
    <row r="27" spans="2:6">
      <c r="D27" s="5"/>
      <c r="E27" s="5"/>
    </row>
    <row r="28" spans="2:6">
      <c r="B28" s="45" t="s">
        <v>430</v>
      </c>
      <c r="C28" s="309" t="str">
        <f>C145&amp;" ("&amp;Market_currency&amp;")"</f>
        <v>600132.SS (CNY)</v>
      </c>
      <c r="D28" s="309" t="str">
        <f>IF(D11="","",D145&amp;" ("&amp;D13&amp;")")</f>
        <v/>
      </c>
      <c r="E28" s="305" t="s">
        <v>426</v>
      </c>
      <c r="F28" s="303">
        <v>3</v>
      </c>
    </row>
    <row r="29" spans="2:6">
      <c r="B29" s="1" t="s">
        <v>422</v>
      </c>
      <c r="C29" s="310">
        <f>C149</f>
        <v>38.338860273768745</v>
      </c>
      <c r="D29" s="310" t="str">
        <f>D149</f>
        <v/>
      </c>
      <c r="E29" s="306" t="s">
        <v>421</v>
      </c>
      <c r="F29" s="302">
        <v>0.33699999999999997</v>
      </c>
    </row>
    <row r="30" spans="2:6">
      <c r="B30" s="1" t="s">
        <v>423</v>
      </c>
      <c r="C30" s="311">
        <f>C157</f>
        <v>54.104773980226682</v>
      </c>
      <c r="D30" s="311" t="str">
        <f>D157</f>
        <v/>
      </c>
      <c r="E30" s="307" t="s">
        <v>434</v>
      </c>
      <c r="F30" s="312">
        <v>0.187</v>
      </c>
    </row>
    <row r="31" spans="2:6">
      <c r="B31" s="1" t="s">
        <v>424</v>
      </c>
      <c r="C31" s="311">
        <f>C165</f>
        <v>75.227038736174251</v>
      </c>
      <c r="D31" s="311" t="str">
        <f>D165</f>
        <v/>
      </c>
      <c r="E31" s="307" t="s">
        <v>433</v>
      </c>
      <c r="F31" s="312">
        <v>0.06</v>
      </c>
    </row>
    <row r="32" spans="2:6">
      <c r="B32" s="1" t="s">
        <v>425</v>
      </c>
      <c r="C32" s="311">
        <f>C173</f>
        <v>69.902328891344681</v>
      </c>
      <c r="D32" s="311" t="str">
        <f>D173</f>
        <v/>
      </c>
      <c r="E32" s="307" t="s">
        <v>435</v>
      </c>
      <c r="F32" s="312">
        <v>8.6999999999999994E-2</v>
      </c>
    </row>
    <row r="33" spans="1:6">
      <c r="D33" s="5"/>
      <c r="E33" s="5"/>
    </row>
    <row r="34" spans="1:6" ht="13.9">
      <c r="A34" s="222" t="s">
        <v>351</v>
      </c>
      <c r="B34" s="36"/>
      <c r="C34" s="36"/>
      <c r="D34" s="36"/>
      <c r="E34" s="36"/>
      <c r="F34" s="36"/>
    </row>
    <row r="36" spans="1:6" ht="24.6" customHeight="1">
      <c r="B36" s="360" t="s">
        <v>357</v>
      </c>
      <c r="C36" s="360"/>
      <c r="D36" s="360"/>
      <c r="E36" s="360"/>
      <c r="F36" s="360"/>
    </row>
    <row r="37" spans="1:6" ht="24.6" customHeight="1">
      <c r="B37" s="363" t="s">
        <v>336</v>
      </c>
      <c r="C37" s="363"/>
      <c r="D37" s="363"/>
      <c r="E37" s="363"/>
      <c r="F37" s="363"/>
    </row>
    <row r="39" spans="1:6">
      <c r="B39" s="210" t="s">
        <v>229</v>
      </c>
      <c r="C39" s="108">
        <f>scaling_factor</f>
        <v>1</v>
      </c>
    </row>
    <row r="40" spans="1:6" ht="24.6" customHeight="1">
      <c r="B40" s="361" t="s">
        <v>230</v>
      </c>
      <c r="C40" s="361"/>
      <c r="D40" s="361"/>
      <c r="E40" s="361"/>
      <c r="F40" s="361"/>
    </row>
    <row r="41" spans="1:6">
      <c r="B41" s="47" t="s">
        <v>231</v>
      </c>
      <c r="C41" s="349">
        <f>Normalized_FCF!C8</f>
        <v>2957715106.6986084</v>
      </c>
      <c r="D41" s="1" t="str">
        <f>Reporting_currency</f>
        <v>CNY</v>
      </c>
    </row>
    <row r="42" spans="1:6">
      <c r="B42" s="47"/>
      <c r="C42" s="76"/>
    </row>
    <row r="43" spans="1:6" ht="24.6" customHeight="1">
      <c r="B43" s="361" t="s">
        <v>232</v>
      </c>
      <c r="C43" s="361"/>
      <c r="D43" s="361"/>
      <c r="E43" s="361"/>
      <c r="F43" s="361"/>
    </row>
    <row r="44" spans="1:6">
      <c r="B44" s="47" t="s">
        <v>233</v>
      </c>
      <c r="C44" s="349">
        <f>Normalized_FCF!C9</f>
        <v>575917865</v>
      </c>
      <c r="D44" s="1" t="str">
        <f>Reporting_currency</f>
        <v>CNY</v>
      </c>
    </row>
    <row r="45" spans="1:6">
      <c r="B45" s="52" t="s">
        <v>234</v>
      </c>
      <c r="C45" s="349">
        <f>Normalized_FCF!C10</f>
        <v>-575917865</v>
      </c>
      <c r="D45" s="1" t="str">
        <f>Reporting_currency</f>
        <v>CNY</v>
      </c>
    </row>
    <row r="47" spans="1:6">
      <c r="B47" s="361" t="s">
        <v>235</v>
      </c>
      <c r="C47" s="361"/>
      <c r="D47" s="361"/>
      <c r="E47" s="361"/>
      <c r="F47" s="361"/>
    </row>
    <row r="48" spans="1:6">
      <c r="B48" s="47" t="s">
        <v>236</v>
      </c>
      <c r="C48" s="349">
        <f>Normalized_FCF!C11</f>
        <v>0</v>
      </c>
      <c r="D48" s="1" t="str">
        <f>Reporting_currency</f>
        <v>CNY</v>
      </c>
    </row>
    <row r="50" spans="2:6">
      <c r="B50" s="361" t="s">
        <v>239</v>
      </c>
      <c r="C50" s="361"/>
      <c r="D50" s="361"/>
      <c r="E50" s="361"/>
      <c r="F50" s="361"/>
    </row>
    <row r="51" spans="2:6">
      <c r="B51" s="47" t="s">
        <v>337</v>
      </c>
      <c r="C51" s="350">
        <f>Normalized_FCF!C48</f>
        <v>39079014.816265978</v>
      </c>
      <c r="D51" s="1" t="str">
        <f>Reporting_currency</f>
        <v>CNY</v>
      </c>
      <c r="E51" s="286"/>
      <c r="F51" s="286"/>
    </row>
    <row r="52" spans="2:6">
      <c r="B52" s="47" t="s">
        <v>338</v>
      </c>
      <c r="C52" s="350">
        <f>Normalized_FCF!C47</f>
        <v>-7672861</v>
      </c>
      <c r="D52" s="1" t="str">
        <f>Reporting_currency</f>
        <v>CNY</v>
      </c>
      <c r="E52" s="286"/>
      <c r="F52" s="286"/>
    </row>
    <row r="53" spans="2:6">
      <c r="B53" s="47" t="s">
        <v>237</v>
      </c>
      <c r="C53" s="349">
        <f>Normalized_FCF!C12</f>
        <v>31406153.816265978</v>
      </c>
      <c r="D53" s="1" t="str">
        <f>Reporting_currency</f>
        <v>CNY</v>
      </c>
    </row>
    <row r="55" spans="2:6">
      <c r="B55" s="1" t="s">
        <v>245</v>
      </c>
    </row>
    <row r="56" spans="2:6">
      <c r="B56" s="47" t="s">
        <v>264</v>
      </c>
      <c r="C56" s="349">
        <f>Normalized_FCF!C15</f>
        <v>-141879704.29826272</v>
      </c>
      <c r="D56" s="1" t="str">
        <f>Reporting_currency</f>
        <v>CNY</v>
      </c>
    </row>
    <row r="58" spans="2:6">
      <c r="B58" s="361" t="s">
        <v>240</v>
      </c>
      <c r="C58" s="361"/>
      <c r="D58" s="361"/>
      <c r="E58" s="361"/>
      <c r="F58" s="361"/>
    </row>
    <row r="59" spans="2:6">
      <c r="B59" s="47" t="s">
        <v>238</v>
      </c>
      <c r="C59" s="349">
        <f>Normalized_FCF!C14</f>
        <v>-747280315.12871861</v>
      </c>
      <c r="D59" s="1" t="str">
        <f>Reporting_currency</f>
        <v>CNY</v>
      </c>
    </row>
    <row r="61" spans="2:6">
      <c r="B61" s="361" t="s">
        <v>335</v>
      </c>
      <c r="C61" s="362"/>
      <c r="D61" s="362"/>
      <c r="E61" s="362"/>
      <c r="F61" s="362"/>
    </row>
    <row r="62" spans="2:6">
      <c r="B62" s="47" t="s">
        <v>241</v>
      </c>
      <c r="C62" s="349">
        <f>Normalized_FCF!C17</f>
        <v>0</v>
      </c>
      <c r="D62" s="1" t="str">
        <f>Reporting_currency</f>
        <v>CNY</v>
      </c>
    </row>
    <row r="64" spans="2:6" ht="24.6" customHeight="1">
      <c r="B64" s="360" t="s">
        <v>340</v>
      </c>
      <c r="C64" s="360"/>
      <c r="D64" s="360"/>
      <c r="E64" s="360"/>
      <c r="F64" s="360"/>
    </row>
    <row r="65" spans="1:6" ht="24.6" customHeight="1">
      <c r="B65" s="360" t="s">
        <v>358</v>
      </c>
      <c r="C65" s="360"/>
      <c r="D65" s="360"/>
      <c r="E65" s="360"/>
      <c r="F65" s="360"/>
    </row>
    <row r="67" spans="1:6">
      <c r="B67" s="47" t="s">
        <v>269</v>
      </c>
      <c r="C67" s="349">
        <f>Normalized_FCF!G19</f>
        <v>2323278784.8162661</v>
      </c>
      <c r="D67" s="1" t="str">
        <f>Reporting_currency</f>
        <v>CNY</v>
      </c>
    </row>
    <row r="68" spans="1:6">
      <c r="B68" s="47" t="s">
        <v>247</v>
      </c>
      <c r="C68" s="349">
        <f>Normalized_FCF!C19</f>
        <v>2099961241.0878935</v>
      </c>
      <c r="D68" s="1" t="str">
        <f>Reporting_currency</f>
        <v>CNY</v>
      </c>
    </row>
    <row r="69" spans="1:6">
      <c r="B69" s="227" t="s">
        <v>387</v>
      </c>
      <c r="C69" s="92">
        <f>Normalized_FCF!C126</f>
        <v>7.8676719898911507E-2</v>
      </c>
      <c r="F69" s="314"/>
    </row>
    <row r="70" spans="1:6">
      <c r="B70" s="227" t="s">
        <v>454</v>
      </c>
      <c r="C70" s="92">
        <f>Normalized_FCF!C94</f>
        <v>3.9165911151405261E-2</v>
      </c>
      <c r="E70" s="47" t="s">
        <v>445</v>
      </c>
      <c r="F70" s="315">
        <f>Normalized_FCF!C92</f>
        <v>0.55312014930250053</v>
      </c>
    </row>
    <row r="72" spans="1:6">
      <c r="B72" s="210" t="s">
        <v>447</v>
      </c>
      <c r="C72" s="323" t="s">
        <v>449</v>
      </c>
      <c r="D72" s="323" t="s">
        <v>450</v>
      </c>
    </row>
    <row r="73" spans="1:6">
      <c r="B73" s="47" t="s">
        <v>448</v>
      </c>
      <c r="C73" s="92">
        <f>Normalized_FCF!C121</f>
        <v>1.2182305488640417</v>
      </c>
      <c r="D73" s="92">
        <f>Normalized_FCF!G121</f>
        <v>1.279974062341126</v>
      </c>
    </row>
    <row r="74" spans="1:6">
      <c r="B74" s="259" t="str">
        <f>Normalized_FCF!B118</f>
        <v>Pre-tax Profit/Sales</v>
      </c>
      <c r="C74" s="322">
        <f>Normalized_FCF!C118</f>
        <v>0.21117895977217718</v>
      </c>
      <c r="D74" s="322">
        <f>Normalized_FCF!G118</f>
        <v>0.21445578545073618</v>
      </c>
    </row>
    <row r="75" spans="1:6">
      <c r="B75" s="259" t="str">
        <f>Normalized_FCF!B119</f>
        <v>Sales/Total Assets</v>
      </c>
      <c r="C75" s="324">
        <f>Normalized_FCF!C119</f>
        <v>1.2904821269100146</v>
      </c>
      <c r="D75" s="324">
        <f>Normalized_FCF!G119</f>
        <v>1.3351699725448014</v>
      </c>
    </row>
    <row r="76" spans="1:6">
      <c r="B76" s="259" t="str">
        <f>Normalized_FCF!B120</f>
        <v>Total Assets/Equity</v>
      </c>
      <c r="C76" s="324">
        <f>Normalized_FCF!C120</f>
        <v>4.4701988818540466</v>
      </c>
      <c r="D76" s="324">
        <f>Normalized_FCF!G120</f>
        <v>4.4701988818540466</v>
      </c>
    </row>
    <row r="78" spans="1:6" ht="13.9">
      <c r="A78" s="222" t="s">
        <v>352</v>
      </c>
      <c r="B78" s="36"/>
      <c r="C78" s="36"/>
      <c r="D78" s="36"/>
      <c r="E78" s="36"/>
      <c r="F78" s="36"/>
    </row>
    <row r="79" spans="1:6">
      <c r="A79" s="209"/>
    </row>
    <row r="80" spans="1:6" ht="24.6" customHeight="1">
      <c r="A80" s="17"/>
      <c r="B80" s="360" t="s">
        <v>359</v>
      </c>
      <c r="C80" s="360"/>
      <c r="D80" s="360"/>
      <c r="E80" s="360"/>
      <c r="F80" s="360"/>
    </row>
    <row r="81" spans="1:6">
      <c r="B81" s="363" t="s">
        <v>251</v>
      </c>
      <c r="C81" s="363"/>
      <c r="D81" s="363"/>
      <c r="E81" s="363"/>
      <c r="F81" s="363"/>
    </row>
    <row r="83" spans="1:6">
      <c r="B83" s="210" t="s">
        <v>229</v>
      </c>
    </row>
    <row r="84" spans="1:6">
      <c r="B84" s="1" t="s">
        <v>428</v>
      </c>
      <c r="C84" s="92">
        <f>F31</f>
        <v>0.06</v>
      </c>
    </row>
    <row r="85" spans="1:6">
      <c r="B85" s="1" t="s">
        <v>427</v>
      </c>
      <c r="C85" s="92">
        <f>IF(C23="Y",1%,0)+IF(C24="Y",1%,0)</f>
        <v>0</v>
      </c>
    </row>
    <row r="86" spans="1:6">
      <c r="B86" s="80" t="s">
        <v>246</v>
      </c>
      <c r="C86" s="236">
        <f>F31+C85</f>
        <v>0.06</v>
      </c>
    </row>
    <row r="87" spans="1:6">
      <c r="C87" s="121"/>
    </row>
    <row r="88" spans="1:6">
      <c r="B88" s="293" t="s">
        <v>353</v>
      </c>
      <c r="C88" s="121"/>
    </row>
    <row r="89" spans="1:6" ht="24.6" customHeight="1">
      <c r="B89" s="360" t="s">
        <v>360</v>
      </c>
      <c r="C89" s="360"/>
      <c r="D89" s="360"/>
      <c r="E89" s="360"/>
      <c r="F89" s="360"/>
    </row>
    <row r="90" spans="1:6" ht="24.6" customHeight="1">
      <c r="B90" s="360" t="s">
        <v>361</v>
      </c>
      <c r="C90" s="360"/>
      <c r="D90" s="360"/>
      <c r="E90" s="360"/>
      <c r="F90" s="360"/>
    </row>
    <row r="92" spans="1:6">
      <c r="B92" s="47" t="s">
        <v>250</v>
      </c>
      <c r="C92" s="236">
        <v>0</v>
      </c>
    </row>
    <row r="93" spans="1:6">
      <c r="B93" s="47" t="s">
        <v>279</v>
      </c>
      <c r="C93" s="223">
        <f>DCF!C6*scaling_factor*Exchange_Rate/Common_Shares</f>
        <v>72.317018373749505</v>
      </c>
      <c r="D93" s="1" t="str">
        <f>Market_currency</f>
        <v>CNY</v>
      </c>
    </row>
    <row r="95" spans="1:6" ht="13.9">
      <c r="A95" s="222" t="s">
        <v>354</v>
      </c>
      <c r="B95" s="36"/>
      <c r="C95" s="36"/>
      <c r="D95" s="36"/>
      <c r="E95" s="36"/>
      <c r="F95" s="36"/>
    </row>
    <row r="96" spans="1:6">
      <c r="A96" s="209"/>
    </row>
    <row r="97" spans="2:6">
      <c r="B97" s="360" t="s">
        <v>362</v>
      </c>
      <c r="C97" s="360"/>
      <c r="D97" s="360"/>
      <c r="E97" s="360"/>
      <c r="F97" s="360"/>
    </row>
    <row r="98" spans="2:6">
      <c r="B98" s="1" t="s">
        <v>252</v>
      </c>
    </row>
    <row r="100" spans="2:6">
      <c r="B100" s="210" t="s">
        <v>229</v>
      </c>
    </row>
    <row r="101" spans="2:6" ht="24.6" customHeight="1">
      <c r="B101" s="360" t="s">
        <v>341</v>
      </c>
      <c r="C101" s="360"/>
      <c r="D101" s="360"/>
      <c r="E101" s="360"/>
      <c r="F101" s="360"/>
    </row>
    <row r="102" spans="2:6">
      <c r="B102" s="47" t="s">
        <v>254</v>
      </c>
      <c r="C102" s="349">
        <f>DCF!C7</f>
        <v>123521704.27</v>
      </c>
      <c r="D102" s="1" t="str">
        <f>Reporting_currency</f>
        <v>CNY</v>
      </c>
    </row>
    <row r="103" spans="2:6">
      <c r="B103" s="47" t="s">
        <v>280</v>
      </c>
      <c r="C103" s="223">
        <f>C102*scaling_factor*Exchange_Rate/Common_Shares</f>
        <v>0.25522532080514426</v>
      </c>
      <c r="D103" s="1" t="str">
        <f>Market_currency</f>
        <v>CNY</v>
      </c>
    </row>
    <row r="104" spans="2:6">
      <c r="B104" s="296" t="s">
        <v>401</v>
      </c>
      <c r="C104" s="325">
        <f>IF(BS!G31/BS!G27&gt;300%,"nm",BS!G31/BS!G27)</f>
        <v>5.0341856510546588E-2</v>
      </c>
    </row>
    <row r="105" spans="2:6">
      <c r="B105" s="296" t="s">
        <v>403</v>
      </c>
      <c r="C105" s="326">
        <f>IF(BS!C50&gt;30,"nm",BS!C50)</f>
        <v>4.1762542981319963E-2</v>
      </c>
    </row>
    <row r="107" spans="2:6">
      <c r="B107" s="1" t="s">
        <v>253</v>
      </c>
    </row>
    <row r="108" spans="2:6">
      <c r="B108" s="47" t="s">
        <v>263</v>
      </c>
      <c r="C108" s="349">
        <f>BS!C66</f>
        <v>1081659074.0699999</v>
      </c>
      <c r="D108" s="1" t="str">
        <f>Reporting_currency</f>
        <v>CNY</v>
      </c>
    </row>
    <row r="109" spans="2:6">
      <c r="B109" s="47" t="s">
        <v>265</v>
      </c>
      <c r="C109" s="349">
        <f>DCF!C8</f>
        <v>51803895.882383943</v>
      </c>
      <c r="D109" s="1" t="str">
        <f>Reporting_currency</f>
        <v>CNY</v>
      </c>
    </row>
    <row r="110" spans="2:6">
      <c r="B110" s="47" t="s">
        <v>281</v>
      </c>
      <c r="C110" s="223">
        <f>C109*scaling_factor*Exchange_Rate/Common_Shares</f>
        <v>0.10703921244996059</v>
      </c>
      <c r="D110" s="1" t="str">
        <f>Market_currency</f>
        <v>CNY</v>
      </c>
    </row>
    <row r="112" spans="2:6">
      <c r="B112" s="1" t="s">
        <v>255</v>
      </c>
    </row>
    <row r="113" spans="1:6">
      <c r="B113" s="47" t="s">
        <v>256</v>
      </c>
      <c r="C113" s="349">
        <f>DCF!C9</f>
        <v>29558000.651999995</v>
      </c>
      <c r="D113" s="1" t="str">
        <f>Reporting_currency</f>
        <v>CNY</v>
      </c>
    </row>
    <row r="114" spans="1:6">
      <c r="B114" s="47" t="s">
        <v>282</v>
      </c>
      <c r="C114" s="223">
        <f>C113*scaling_factor*Exchange_Rate/Common_Shares</f>
        <v>6.1073883681813636E-2</v>
      </c>
      <c r="D114" s="1" t="str">
        <f>Market_currency</f>
        <v>CNY</v>
      </c>
    </row>
    <row r="116" spans="1:6" ht="24.6" customHeight="1">
      <c r="B116" s="360" t="s">
        <v>363</v>
      </c>
      <c r="C116" s="360"/>
      <c r="D116" s="360"/>
      <c r="E116" s="360"/>
      <c r="F116" s="360"/>
    </row>
    <row r="118" spans="1:6">
      <c r="B118" s="47" t="s">
        <v>446</v>
      </c>
      <c r="C118" s="223">
        <f>IF(valuation_method="DCF",DCF!C12,DDM!C7)</f>
        <v>72.229906149076143</v>
      </c>
      <c r="D118" s="1" t="str">
        <f>Market_currency</f>
        <v>CNY</v>
      </c>
    </row>
    <row r="119" spans="1:6">
      <c r="B119" s="296" t="s">
        <v>402</v>
      </c>
      <c r="C119" s="223">
        <f>BS!D47</f>
        <v>-13.312996389940134</v>
      </c>
      <c r="D119" s="1" t="str">
        <f>Market_currency</f>
        <v>CNY</v>
      </c>
    </row>
    <row r="121" spans="1:6" ht="13.9">
      <c r="A121" s="222" t="s">
        <v>355</v>
      </c>
      <c r="B121" s="36"/>
      <c r="C121" s="36"/>
      <c r="D121" s="36"/>
      <c r="E121" s="36"/>
      <c r="F121" s="36"/>
    </row>
    <row r="123" spans="1:6" ht="24.6" customHeight="1">
      <c r="B123" s="361" t="s">
        <v>364</v>
      </c>
      <c r="C123" s="361"/>
      <c r="D123" s="361"/>
      <c r="E123" s="361"/>
      <c r="F123" s="361"/>
    </row>
    <row r="125" spans="1:6" ht="12.4">
      <c r="B125" s="233" t="s">
        <v>116</v>
      </c>
      <c r="C125" s="233" t="s">
        <v>131</v>
      </c>
      <c r="D125" s="233" t="s">
        <v>111</v>
      </c>
      <c r="E125" s="233" t="s">
        <v>258</v>
      </c>
      <c r="F125" s="233" t="s">
        <v>146</v>
      </c>
    </row>
    <row r="126" spans="1:6">
      <c r="B126" s="228" t="str">
        <f>DCF!B74</f>
        <v>Snowball Scenario</v>
      </c>
      <c r="C126" s="229">
        <f>DCF!C74</f>
        <v>0.1</v>
      </c>
      <c r="D126" s="230">
        <f>DCF!D74</f>
        <v>15</v>
      </c>
      <c r="E126" s="231" t="str">
        <f>ROUND(IF(valuation_method="DCF",DCF!E74,DDM!E69),2)&amp;" "&amp;Market_currency</f>
        <v>121.77 CNY</v>
      </c>
      <c r="F126" s="232">
        <f>DCF!F74</f>
        <v>0.05</v>
      </c>
    </row>
    <row r="127" spans="1:6">
      <c r="B127" s="218" t="str">
        <f>DCF!B75</f>
        <v>Optimistic</v>
      </c>
      <c r="C127" s="219">
        <f>DCF!C75</f>
        <v>0.06</v>
      </c>
      <c r="D127" s="220">
        <f>DCF!D75</f>
        <v>10</v>
      </c>
      <c r="E127" s="231" t="str">
        <f>ROUND(IF(valuation_method="DCF",DCF!E75,DDM!E70),2)&amp;" "&amp;Market_currency</f>
        <v>86.11 CNY</v>
      </c>
      <c r="F127" s="221">
        <f>DCF!F75</f>
        <v>0.18</v>
      </c>
    </row>
    <row r="128" spans="1:6">
      <c r="B128" s="218" t="str">
        <f>DCF!B76</f>
        <v>Base</v>
      </c>
      <c r="C128" s="219">
        <f>DCF!C76</f>
        <v>0.04</v>
      </c>
      <c r="D128" s="220">
        <f>DCF!D76</f>
        <v>10</v>
      </c>
      <c r="E128" s="231" t="str">
        <f>ROUND(IF(valuation_method="DCF",DCF!E76,DDM!E71),2)&amp;" "&amp;Market_currency</f>
        <v>81.04 CNY</v>
      </c>
      <c r="F128" s="221">
        <f>DCF!F76</f>
        <v>0.53999999999999992</v>
      </c>
    </row>
    <row r="129" spans="1:6">
      <c r="B129" s="218" t="str">
        <f>DCF!B77</f>
        <v>Pessimistic</v>
      </c>
      <c r="C129" s="219">
        <f>DCF!C77</f>
        <v>0.02</v>
      </c>
      <c r="D129" s="220">
        <f>DCF!D77</f>
        <v>10</v>
      </c>
      <c r="E129" s="231" t="str">
        <f>ROUND(IF(valuation_method="DCF",DCF!E77,DDM!E72),2)&amp;" "&amp;Market_currency</f>
        <v>76.43 CNY</v>
      </c>
      <c r="F129" s="221">
        <f>DCF!F77</f>
        <v>0.18</v>
      </c>
    </row>
    <row r="130" spans="1:6">
      <c r="B130" s="218" t="str">
        <f>DCF!B78</f>
        <v>Devil's advocate</v>
      </c>
      <c r="C130" s="219">
        <f>DCF!C78</f>
        <v>0</v>
      </c>
      <c r="D130" s="220">
        <f>DCF!D78</f>
        <v>15</v>
      </c>
      <c r="E130" s="231" t="str">
        <f>ROUND(IF(valuation_method="DCF",DCF!E78,DDM!E73),2)&amp;" "&amp;Market_currency</f>
        <v>72.23 CNY</v>
      </c>
      <c r="F130" s="221">
        <f>DCF!F78</f>
        <v>0.05</v>
      </c>
    </row>
    <row r="132" spans="1:6">
      <c r="B132" s="211" t="s">
        <v>257</v>
      </c>
      <c r="C132" s="217">
        <f>Scenarios!C60</f>
        <v>82.72003076740333</v>
      </c>
      <c r="D132" s="212" t="str">
        <f>Market_currency</f>
        <v>CNY</v>
      </c>
    </row>
    <row r="134" spans="1:6" ht="24.6" customHeight="1">
      <c r="B134" s="364" t="s">
        <v>367</v>
      </c>
      <c r="C134" s="364"/>
      <c r="D134" s="364"/>
      <c r="E134" s="364"/>
      <c r="F134" s="364"/>
    </row>
    <row r="136" spans="1:6" ht="13.9">
      <c r="A136" s="222" t="s">
        <v>399</v>
      </c>
      <c r="B136" s="36"/>
      <c r="C136" s="36"/>
      <c r="D136" s="36"/>
      <c r="E136" s="36"/>
      <c r="F136" s="36"/>
    </row>
    <row r="138" spans="1:6">
      <c r="B138" s="365" t="s">
        <v>365</v>
      </c>
      <c r="C138" s="365"/>
      <c r="D138" s="365"/>
      <c r="E138" s="365"/>
      <c r="F138" s="365"/>
    </row>
    <row r="139" spans="1:6" ht="24.6" customHeight="1">
      <c r="B139" s="360" t="s">
        <v>366</v>
      </c>
      <c r="C139" s="360"/>
      <c r="D139" s="360"/>
      <c r="E139" s="360"/>
      <c r="F139" s="360"/>
    </row>
    <row r="140" spans="1:6">
      <c r="B140" s="210" t="s">
        <v>229</v>
      </c>
    </row>
    <row r="141" spans="1:6">
      <c r="B141" s="1" t="s">
        <v>262</v>
      </c>
      <c r="C141" s="225">
        <f>F28</f>
        <v>3</v>
      </c>
    </row>
    <row r="142" spans="1:6">
      <c r="B142" s="1" t="s">
        <v>275</v>
      </c>
      <c r="C142" s="224">
        <f>F29</f>
        <v>0.33699999999999997</v>
      </c>
    </row>
    <row r="143" spans="1:6">
      <c r="B143" s="212" t="s">
        <v>260</v>
      </c>
      <c r="C143" s="213">
        <f>Scenarios!C77</f>
        <v>2.16</v>
      </c>
      <c r="D143" s="212" t="str">
        <f>Market_currency</f>
        <v>CNY</v>
      </c>
    </row>
    <row r="145" spans="2:4">
      <c r="B145" s="210" t="s">
        <v>405</v>
      </c>
      <c r="C145" s="241" t="str">
        <f>C11</f>
        <v>600132.SS</v>
      </c>
      <c r="D145" s="241" t="str">
        <f>IF(D11="","",D11)</f>
        <v/>
      </c>
    </row>
    <row r="146" spans="2:4">
      <c r="B146" s="1" t="s">
        <v>404</v>
      </c>
      <c r="C146" s="297">
        <f>F29</f>
        <v>0.33699999999999997</v>
      </c>
    </row>
    <row r="147" spans="2:4">
      <c r="B147" s="212" t="str">
        <f>"PV("&amp;C141&amp;" yrs of Dividends)"</f>
        <v>PV(3 yrs of Dividends)</v>
      </c>
      <c r="C147" s="216">
        <f>Scenarios!C81</f>
        <v>3.7276755289734038</v>
      </c>
    </row>
    <row r="148" spans="2:4">
      <c r="B148" s="212" t="str">
        <f>"+ PV(Equity Value realized at year "&amp;C141&amp;")"</f>
        <v>+ PV(Equity Value realized at year 3)</v>
      </c>
      <c r="C148" s="216">
        <f>Scenarios!C82</f>
        <v>34.611184744795338</v>
      </c>
    </row>
    <row r="149" spans="2:4">
      <c r="B149" s="80" t="s">
        <v>259</v>
      </c>
      <c r="C149" s="215">
        <f>Scenarios!C83</f>
        <v>38.338860273768745</v>
      </c>
      <c r="D149" s="300" t="str">
        <f>IF($D$11="","",C149*$E$25)</f>
        <v/>
      </c>
    </row>
    <row r="150" spans="2:4">
      <c r="B150" s="259" t="s">
        <v>413</v>
      </c>
      <c r="C150" s="298" t="str">
        <f>Market_currency</f>
        <v>CNY</v>
      </c>
      <c r="D150" s="298" t="str">
        <f>IF($D$11="","",D$13)</f>
        <v/>
      </c>
    </row>
    <row r="151" spans="2:4">
      <c r="B151" s="214" t="s">
        <v>261</v>
      </c>
      <c r="C151" s="92">
        <f>Scenarios!F83</f>
        <v>0.5365226545723607</v>
      </c>
    </row>
    <row r="153" spans="2:4">
      <c r="B153" s="210" t="s">
        <v>408</v>
      </c>
    </row>
    <row r="154" spans="2:4">
      <c r="B154" s="1" t="s">
        <v>407</v>
      </c>
      <c r="C154" s="297">
        <f>Scenarios!C90</f>
        <v>0.187</v>
      </c>
    </row>
    <row r="155" spans="2:4">
      <c r="B155" s="212" t="str">
        <f>"PV("&amp;C141&amp;" yrs of Dividends)"</f>
        <v>PV(3 yrs of Dividends)</v>
      </c>
      <c r="C155" s="216">
        <f>Scenarios!C91</f>
        <v>4.644270784953914</v>
      </c>
    </row>
    <row r="156" spans="2:4">
      <c r="B156" s="212" t="str">
        <f>"+ PV(Equity Value realized at year "&amp;C141&amp;")"</f>
        <v>+ PV(Equity Value realized at year 3)</v>
      </c>
      <c r="C156" s="216">
        <f>Scenarios!C92</f>
        <v>49.460503195272771</v>
      </c>
    </row>
    <row r="157" spans="2:4">
      <c r="B157" s="80" t="s">
        <v>259</v>
      </c>
      <c r="C157" s="215">
        <f>Scenarios!C93</f>
        <v>54.104773980226682</v>
      </c>
      <c r="D157" s="300" t="str">
        <f>IF($D$11="","",C157*$E$25)</f>
        <v/>
      </c>
    </row>
    <row r="158" spans="2:4">
      <c r="B158" s="259" t="s">
        <v>413</v>
      </c>
      <c r="C158" s="298" t="str">
        <f>Market_currency</f>
        <v>CNY</v>
      </c>
      <c r="D158" s="298" t="str">
        <f>IF($D$11="","",D$13)</f>
        <v/>
      </c>
    </row>
    <row r="159" spans="2:4">
      <c r="B159" s="214" t="s">
        <v>261</v>
      </c>
      <c r="C159" s="92">
        <f>Scenarios!F93</f>
        <v>0.34592899110057851</v>
      </c>
    </row>
    <row r="161" spans="2:4">
      <c r="B161" s="210" t="s">
        <v>397</v>
      </c>
    </row>
    <row r="162" spans="2:4">
      <c r="B162" s="1" t="s">
        <v>406</v>
      </c>
      <c r="C162" s="92">
        <f>Scenarios!C96</f>
        <v>0.06</v>
      </c>
    </row>
    <row r="163" spans="2:4">
      <c r="B163" s="212" t="str">
        <f>"PV("&amp;C141&amp;" yrs of Dividends)"</f>
        <v>PV(3 yrs of Dividends)</v>
      </c>
      <c r="C163" s="216">
        <f>Scenarios!C97</f>
        <v>5.773705810837142</v>
      </c>
    </row>
    <row r="164" spans="2:4">
      <c r="B164" s="212" t="str">
        <f>"+ PV(Equity Value realized at year "&amp;C141&amp;")"</f>
        <v>+ PV(Equity Value realized at year 3)</v>
      </c>
      <c r="C164" s="216">
        <f>Scenarios!C98</f>
        <v>69.453332925337108</v>
      </c>
    </row>
    <row r="165" spans="2:4">
      <c r="B165" s="80" t="s">
        <v>398</v>
      </c>
      <c r="C165" s="215">
        <f>Scenarios!C99</f>
        <v>75.227038736174251</v>
      </c>
      <c r="D165" s="300" t="str">
        <f>IF($D$11="","",C165*$E$25)</f>
        <v/>
      </c>
    </row>
    <row r="166" spans="2:4">
      <c r="B166" s="259" t="s">
        <v>413</v>
      </c>
      <c r="C166" s="298" t="str">
        <f>Market_currency</f>
        <v>CNY</v>
      </c>
      <c r="D166" s="298" t="str">
        <f>IF($D$11="","",D$13)</f>
        <v/>
      </c>
    </row>
    <row r="167" spans="2:4">
      <c r="B167" s="214" t="s">
        <v>261</v>
      </c>
      <c r="C167" s="92">
        <f>Scenarios!F99</f>
        <v>9.058255856188302E-2</v>
      </c>
    </row>
    <row r="169" spans="2:4">
      <c r="B169" s="210" t="s">
        <v>429</v>
      </c>
    </row>
    <row r="170" spans="2:4">
      <c r="B170" s="1" t="s">
        <v>420</v>
      </c>
      <c r="C170" s="92">
        <f>F32</f>
        <v>8.6999999999999994E-2</v>
      </c>
    </row>
    <row r="171" spans="2:4">
      <c r="B171" s="212" t="str">
        <f>"PV("&amp;C141&amp;" yrs of Dividends)"</f>
        <v>PV(3 yrs of Dividends)</v>
      </c>
      <c r="C171" s="216">
        <f>Scenarios!C103</f>
        <v>5.4969625262505959</v>
      </c>
    </row>
    <row r="172" spans="2:4">
      <c r="B172" s="212" t="str">
        <f>"+ PV(Equity Value realized at year "&amp;C141&amp;")"</f>
        <v>+ PV(Equity Value realized at year 3)</v>
      </c>
      <c r="C172" s="216">
        <f>Scenarios!C104</f>
        <v>64.405366365094082</v>
      </c>
    </row>
    <row r="173" spans="2:4">
      <c r="B173" s="80" t="s">
        <v>398</v>
      </c>
      <c r="C173" s="215">
        <f>Scenarios!C105</f>
        <v>69.902328891344681</v>
      </c>
      <c r="D173" s="300" t="str">
        <f>IF($D$11="","",C173*$E$25)</f>
        <v/>
      </c>
    </row>
    <row r="174" spans="2:4">
      <c r="B174" s="259" t="s">
        <v>413</v>
      </c>
      <c r="C174" s="298" t="str">
        <f>Market_currency</f>
        <v>CNY</v>
      </c>
      <c r="D174" s="298" t="str">
        <f>IF($D$11="","",D$13)</f>
        <v/>
      </c>
    </row>
    <row r="175" spans="2:4">
      <c r="B175" s="214" t="s">
        <v>261</v>
      </c>
      <c r="C175" s="92">
        <f>Scenarios!F105</f>
        <v>0.15428574226707814</v>
      </c>
    </row>
    <row r="177" spans="1:6" ht="13.9">
      <c r="A177" s="222" t="s">
        <v>371</v>
      </c>
      <c r="B177" s="36"/>
      <c r="C177" s="36"/>
      <c r="D177" s="36"/>
      <c r="E177" s="36"/>
      <c r="F177" s="36"/>
    </row>
    <row r="179" spans="1:6">
      <c r="B179" s="359" t="s">
        <v>373</v>
      </c>
      <c r="C179" s="360"/>
      <c r="D179" s="360"/>
      <c r="E179" s="360"/>
      <c r="F179" s="360"/>
    </row>
    <row r="181" spans="1:6">
      <c r="B181" s="210" t="s">
        <v>372</v>
      </c>
    </row>
    <row r="182" spans="1:6">
      <c r="B182" s="362" t="s">
        <v>377</v>
      </c>
      <c r="C182" s="362"/>
      <c r="D182" s="362"/>
      <c r="E182" s="362"/>
      <c r="F182" s="362"/>
    </row>
    <row r="183" spans="1:6">
      <c r="B183" s="214" t="s">
        <v>374</v>
      </c>
    </row>
    <row r="184" spans="1:6">
      <c r="B184" s="214" t="s">
        <v>375</v>
      </c>
    </row>
    <row r="185" spans="1:6">
      <c r="B185" s="214" t="s">
        <v>376</v>
      </c>
    </row>
    <row r="187" spans="1:6">
      <c r="B187" s="1" t="s">
        <v>381</v>
      </c>
    </row>
    <row r="188" spans="1:6" ht="46.5" customHeight="1">
      <c r="B188" s="361" t="s">
        <v>378</v>
      </c>
      <c r="C188" s="361"/>
      <c r="D188" s="361"/>
      <c r="E188" s="361"/>
      <c r="F188" s="361"/>
    </row>
    <row r="190" spans="1:6">
      <c r="B190" s="1" t="s">
        <v>382</v>
      </c>
    </row>
    <row r="191" spans="1:6" ht="24.6" customHeight="1">
      <c r="B191" s="358" t="s">
        <v>379</v>
      </c>
      <c r="C191" s="358"/>
      <c r="D191" s="358"/>
      <c r="E191" s="358"/>
      <c r="F191" s="358"/>
    </row>
    <row r="192" spans="1:6" ht="24.6" customHeight="1">
      <c r="B192" s="358" t="s">
        <v>380</v>
      </c>
      <c r="C192" s="358"/>
      <c r="D192" s="358"/>
      <c r="E192" s="358"/>
      <c r="F192" s="358"/>
    </row>
    <row r="194" spans="2:2">
      <c r="B194" s="1" t="s">
        <v>386</v>
      </c>
    </row>
    <row r="195" spans="2:2">
      <c r="B195" s="214" t="s">
        <v>383</v>
      </c>
    </row>
    <row r="196" spans="2:2">
      <c r="B196" s="214" t="s">
        <v>384</v>
      </c>
    </row>
    <row r="197" spans="2:2">
      <c r="B197" s="214" t="s">
        <v>385</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4"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5" sqref="C25"/>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v>
      </c>
    </row>
    <row r="4" spans="2:13">
      <c r="B4" s="32" t="s">
        <v>2</v>
      </c>
      <c r="C4" s="351">
        <v>14644597842</v>
      </c>
      <c r="D4" s="351">
        <v>14814836410</v>
      </c>
      <c r="E4" s="351">
        <v>14039040539</v>
      </c>
      <c r="F4" s="351">
        <v>13119310688</v>
      </c>
      <c r="G4" s="351">
        <v>10941631163</v>
      </c>
      <c r="H4" s="351">
        <v>3581923735</v>
      </c>
      <c r="I4" s="351">
        <v>3467335930</v>
      </c>
      <c r="J4" s="351">
        <v>3175519522</v>
      </c>
      <c r="K4" s="351">
        <v>3195921516</v>
      </c>
      <c r="L4" s="351">
        <v>3323745278</v>
      </c>
      <c r="M4" s="351"/>
    </row>
    <row r="5" spans="2:13">
      <c r="B5" s="40" t="s">
        <v>43</v>
      </c>
      <c r="C5" s="351">
        <v>8483123346</v>
      </c>
      <c r="D5" s="351">
        <v>8491525016</v>
      </c>
      <c r="E5" s="351">
        <v>7873287284</v>
      </c>
      <c r="F5" s="351">
        <v>7328418046</v>
      </c>
      <c r="G5" s="351">
        <v>6166079008</v>
      </c>
      <c r="H5" s="351">
        <v>2359127300</v>
      </c>
      <c r="I5" s="351">
        <v>2362728713</v>
      </c>
      <c r="J5" s="351">
        <v>2190920673</v>
      </c>
      <c r="K5" s="351">
        <v>2209433704</v>
      </c>
      <c r="L5" s="351">
        <v>2369740058</v>
      </c>
      <c r="M5" s="351"/>
    </row>
    <row r="6" spans="2:13">
      <c r="B6" s="40" t="s">
        <v>54</v>
      </c>
      <c r="C6" s="351">
        <f>516942154+C7</f>
        <v>3029595871</v>
      </c>
      <c r="D6" s="351">
        <f>494670738+D7</f>
        <v>3027292571</v>
      </c>
      <c r="E6" s="351">
        <f>534570349+E7</f>
        <v>2860787576</v>
      </c>
      <c r="F6" s="351">
        <f>516877145+F7</f>
        <v>2729771806</v>
      </c>
      <c r="G6" s="351">
        <f>684104925+G7</f>
        <v>2988418106</v>
      </c>
      <c r="H6" s="351">
        <f>161996928+H7</f>
        <v>654203552</v>
      </c>
      <c r="I6" s="351">
        <f>153940810+I7</f>
        <v>609225228</v>
      </c>
      <c r="J6" s="351">
        <f>155718230+J7</f>
        <v>620936767</v>
      </c>
      <c r="K6" s="351">
        <f>183628555+K7</f>
        <v>629182097</v>
      </c>
      <c r="L6" s="351">
        <f>232657686+L7</f>
        <v>722526234</v>
      </c>
      <c r="M6" s="351"/>
    </row>
    <row r="7" spans="2:13">
      <c r="B7" s="69" t="s">
        <v>61</v>
      </c>
      <c r="C7" s="352">
        <v>2512653717</v>
      </c>
      <c r="D7" s="352">
        <v>2532621833</v>
      </c>
      <c r="E7" s="352">
        <v>2326217227</v>
      </c>
      <c r="F7" s="352">
        <v>2212894661</v>
      </c>
      <c r="G7" s="352">
        <v>2304313181</v>
      </c>
      <c r="H7" s="352">
        <v>492206624</v>
      </c>
      <c r="I7" s="352">
        <v>455284418</v>
      </c>
      <c r="J7" s="352">
        <v>465218537</v>
      </c>
      <c r="K7" s="352">
        <v>445553542</v>
      </c>
      <c r="L7" s="352">
        <v>489868548</v>
      </c>
      <c r="M7" s="352"/>
    </row>
    <row r="8" spans="2:13">
      <c r="B8" s="40" t="s">
        <v>49</v>
      </c>
      <c r="C8" s="351">
        <v>22666046</v>
      </c>
      <c r="D8" s="351">
        <v>26232056</v>
      </c>
      <c r="E8" s="351">
        <v>110747936</v>
      </c>
      <c r="F8" s="351">
        <v>163151285</v>
      </c>
      <c r="G8" s="351">
        <v>84212617</v>
      </c>
      <c r="H8" s="351">
        <v>0</v>
      </c>
      <c r="I8" s="351">
        <v>0</v>
      </c>
      <c r="J8" s="351"/>
      <c r="K8" s="351"/>
      <c r="L8" s="351"/>
      <c r="M8" s="351"/>
    </row>
    <row r="9" spans="2:13">
      <c r="B9" s="40" t="s">
        <v>158</v>
      </c>
      <c r="C9" s="351"/>
      <c r="D9" s="351"/>
      <c r="E9" s="351"/>
      <c r="F9" s="351"/>
      <c r="G9" s="351"/>
      <c r="H9" s="351"/>
      <c r="I9" s="351"/>
      <c r="J9" s="351"/>
      <c r="K9" s="351"/>
      <c r="L9" s="351"/>
      <c r="M9" s="351"/>
    </row>
    <row r="10" spans="2:13">
      <c r="B10" s="40" t="s">
        <v>166</v>
      </c>
      <c r="C10" s="351"/>
      <c r="D10" s="351"/>
      <c r="E10" s="351"/>
      <c r="F10" s="351"/>
      <c r="G10" s="351"/>
      <c r="H10" s="351"/>
      <c r="I10" s="351"/>
      <c r="J10" s="351"/>
      <c r="K10" s="351"/>
      <c r="L10" s="351"/>
      <c r="M10" s="351"/>
    </row>
    <row r="11" spans="2:13">
      <c r="B11" s="40" t="s">
        <v>157</v>
      </c>
      <c r="C11" s="351"/>
      <c r="D11" s="351"/>
      <c r="E11" s="351"/>
      <c r="F11" s="351"/>
      <c r="G11" s="351"/>
      <c r="H11" s="351"/>
      <c r="I11" s="351"/>
      <c r="J11" s="351"/>
      <c r="K11" s="351"/>
      <c r="L11" s="351"/>
      <c r="M11" s="351"/>
    </row>
    <row r="12" spans="2:13">
      <c r="B12" s="40" t="s">
        <v>39</v>
      </c>
      <c r="C12" s="351">
        <v>7672861</v>
      </c>
      <c r="D12" s="351">
        <v>5921669</v>
      </c>
      <c r="E12" s="351">
        <v>3696844</v>
      </c>
      <c r="F12" s="351">
        <v>14186775</v>
      </c>
      <c r="G12" s="351">
        <v>35823675</v>
      </c>
      <c r="H12" s="351">
        <v>10770646</v>
      </c>
      <c r="I12" s="351">
        <v>12333775</v>
      </c>
      <c r="J12" s="351"/>
      <c r="K12" s="351"/>
      <c r="L12" s="351"/>
      <c r="M12" s="351"/>
    </row>
    <row r="13" spans="2:13">
      <c r="B13" s="40" t="s">
        <v>67</v>
      </c>
      <c r="C13" s="351">
        <v>41044772</v>
      </c>
      <c r="D13" s="351">
        <v>71308016</v>
      </c>
      <c r="E13" s="351">
        <v>65718589</v>
      </c>
      <c r="F13" s="351">
        <v>36050786</v>
      </c>
      <c r="G13" s="351">
        <v>44443082</v>
      </c>
      <c r="H13" s="351">
        <v>8582394</v>
      </c>
      <c r="I13" s="351">
        <v>6609967</v>
      </c>
      <c r="J13" s="351"/>
      <c r="K13" s="351"/>
      <c r="L13" s="351"/>
      <c r="M13" s="351"/>
    </row>
    <row r="14" spans="2:13">
      <c r="B14" s="40" t="s">
        <v>50</v>
      </c>
      <c r="C14" s="351">
        <v>670547120</v>
      </c>
      <c r="D14" s="351">
        <v>664121997</v>
      </c>
      <c r="E14" s="351">
        <v>711879179</v>
      </c>
      <c r="F14" s="351">
        <v>541923819</v>
      </c>
      <c r="G14" s="351">
        <v>378467716</v>
      </c>
      <c r="H14" s="351">
        <v>98780687</v>
      </c>
      <c r="I14" s="351">
        <v>61018006</v>
      </c>
      <c r="J14" s="351">
        <v>18873927</v>
      </c>
      <c r="K14" s="351">
        <v>16833271</v>
      </c>
      <c r="L14" s="351">
        <v>42979625</v>
      </c>
      <c r="M14" s="351"/>
    </row>
    <row r="15" spans="2:13">
      <c r="B15" s="43" t="s">
        <v>42</v>
      </c>
      <c r="C15" s="353">
        <v>2249380492</v>
      </c>
      <c r="D15" s="353">
        <v>2711568555</v>
      </c>
      <c r="E15" s="353">
        <v>2586899641</v>
      </c>
      <c r="F15" s="353">
        <v>2399156196</v>
      </c>
      <c r="G15" s="353">
        <v>1752317096</v>
      </c>
      <c r="H15" s="353">
        <v>728536930</v>
      </c>
      <c r="I15" s="353">
        <v>421259471</v>
      </c>
      <c r="J15" s="353">
        <v>326122335</v>
      </c>
      <c r="K15" s="353">
        <v>139941169</v>
      </c>
      <c r="L15" s="353">
        <v>-153552021</v>
      </c>
      <c r="M15" s="353"/>
    </row>
    <row r="16" spans="2:13">
      <c r="B16" s="28" t="s">
        <v>44</v>
      </c>
      <c r="C16" s="351">
        <v>146792828</v>
      </c>
      <c r="D16" s="351"/>
      <c r="E16" s="351"/>
      <c r="F16" s="351"/>
      <c r="G16" s="351"/>
      <c r="H16" s="351"/>
      <c r="I16" s="351"/>
      <c r="J16" s="351"/>
      <c r="K16" s="351"/>
      <c r="L16" s="351"/>
      <c r="M16" s="351"/>
    </row>
    <row r="18" spans="2:13">
      <c r="B18" s="16" t="s">
        <v>51</v>
      </c>
      <c r="C18" s="9"/>
    </row>
    <row r="19" spans="2:13">
      <c r="B19" s="27" t="s">
        <v>47</v>
      </c>
      <c r="C19" s="351">
        <v>575917865</v>
      </c>
      <c r="D19" s="351">
        <v>514817738</v>
      </c>
      <c r="E19" s="351">
        <v>504410326</v>
      </c>
      <c r="F19" s="351">
        <v>451827434</v>
      </c>
      <c r="G19" s="351">
        <v>413794059</v>
      </c>
      <c r="H19" s="351">
        <v>174070610</v>
      </c>
      <c r="I19" s="351">
        <v>173632673</v>
      </c>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368</v>
      </c>
      <c r="C22" s="351">
        <v>2542046725</v>
      </c>
      <c r="D22" s="351">
        <v>3096948817</v>
      </c>
      <c r="E22" s="351">
        <v>3752648259</v>
      </c>
      <c r="F22" s="351">
        <v>3564787113</v>
      </c>
      <c r="G22" s="351">
        <v>3689730876</v>
      </c>
      <c r="H22" s="351">
        <v>705779861</v>
      </c>
      <c r="I22" s="351">
        <v>744379875</v>
      </c>
      <c r="J22" s="351">
        <v>820031927</v>
      </c>
      <c r="K22" s="351">
        <v>569431362</v>
      </c>
      <c r="L22" s="351">
        <v>448312451</v>
      </c>
      <c r="M22" s="351"/>
    </row>
    <row r="23" spans="2:13">
      <c r="B23" s="27" t="s">
        <v>370</v>
      </c>
      <c r="C23" s="351">
        <v>-633430356</v>
      </c>
      <c r="D23" s="351">
        <v>-1050978857</v>
      </c>
      <c r="E23" s="351">
        <v>-388086486</v>
      </c>
      <c r="F23" s="351">
        <v>-1151748524</v>
      </c>
      <c r="G23" s="351">
        <v>-2804885087</v>
      </c>
      <c r="H23" s="351">
        <v>-22429423</v>
      </c>
      <c r="I23" s="351">
        <v>-17918687</v>
      </c>
      <c r="J23" s="351">
        <v>6460189</v>
      </c>
      <c r="K23" s="351">
        <v>-71411814</v>
      </c>
      <c r="L23" s="351">
        <v>-100881139</v>
      </c>
      <c r="M23" s="351"/>
    </row>
    <row r="24" spans="2:13">
      <c r="B24" s="27" t="s">
        <v>369</v>
      </c>
      <c r="C24" s="351">
        <v>-3527746522</v>
      </c>
      <c r="D24" s="351">
        <v>-2742702995</v>
      </c>
      <c r="E24" s="351">
        <v>-2133485949</v>
      </c>
      <c r="F24" s="351">
        <v>-2013680615</v>
      </c>
      <c r="G24" s="351">
        <v>-587625771</v>
      </c>
      <c r="H24" s="351">
        <v>-398002277</v>
      </c>
      <c r="I24" s="351">
        <v>-448634809</v>
      </c>
      <c r="J24" s="351">
        <v>-405497889</v>
      </c>
      <c r="K24" s="351">
        <v>-449187720</v>
      </c>
      <c r="L24" s="351">
        <v>-252880739</v>
      </c>
      <c r="M24" s="351"/>
    </row>
    <row r="25" spans="2:13">
      <c r="B25" s="24" t="str">
        <f>"Dividend per share ("&amp;Market_currency&amp;")"</f>
        <v>Dividend per share (CNY)</v>
      </c>
      <c r="C25" s="39">
        <f>(9+15)/10</f>
        <v>2.4</v>
      </c>
      <c r="D25" s="39"/>
      <c r="E25" s="39"/>
      <c r="F25" s="39"/>
      <c r="G25" s="39"/>
      <c r="H25" s="39"/>
      <c r="I25" s="39"/>
      <c r="J25" s="39"/>
      <c r="K25" s="39"/>
      <c r="L25" s="39"/>
      <c r="M25" s="39"/>
    </row>
    <row r="27" spans="2:13">
      <c r="B27" s="16" t="s">
        <v>28</v>
      </c>
      <c r="C27" s="97" t="s">
        <v>464</v>
      </c>
    </row>
    <row r="28" spans="2:13">
      <c r="B28" s="26" t="s">
        <v>24</v>
      </c>
      <c r="C28" s="333">
        <f>BS!C4</f>
        <v>91009309.849999994</v>
      </c>
      <c r="D28" s="351">
        <v>64628136</v>
      </c>
      <c r="E28" s="351">
        <v>65511539</v>
      </c>
      <c r="F28" s="351">
        <v>109244674</v>
      </c>
      <c r="G28" s="351">
        <v>114510542</v>
      </c>
      <c r="H28" s="351">
        <v>58261577</v>
      </c>
      <c r="I28" s="351">
        <v>67050347</v>
      </c>
      <c r="J28" s="351">
        <v>26764864</v>
      </c>
      <c r="K28" s="351">
        <v>51244805</v>
      </c>
      <c r="L28" s="351">
        <v>61946543</v>
      </c>
      <c r="M28" s="351"/>
    </row>
    <row r="29" spans="2:13">
      <c r="B29" s="26" t="s">
        <v>32</v>
      </c>
      <c r="C29" s="333">
        <f>BS!C6</f>
        <v>2185835620.7199998</v>
      </c>
      <c r="D29" s="351">
        <v>2100354952</v>
      </c>
      <c r="E29" s="351">
        <v>2166477563</v>
      </c>
      <c r="F29" s="351">
        <v>1886751987</v>
      </c>
      <c r="G29" s="351">
        <v>1420570476</v>
      </c>
      <c r="H29" s="351">
        <v>364381375</v>
      </c>
      <c r="I29" s="351">
        <v>336913911</v>
      </c>
      <c r="J29" s="351">
        <v>631313453</v>
      </c>
      <c r="K29" s="351">
        <v>825981328</v>
      </c>
      <c r="L29" s="351">
        <v>1074501976</v>
      </c>
      <c r="M29" s="351"/>
    </row>
    <row r="30" spans="2:13">
      <c r="B30" s="29" t="s">
        <v>40</v>
      </c>
      <c r="C30" s="334">
        <f>BS!C33+BS!C42</f>
        <v>8514681613.9500008</v>
      </c>
      <c r="D30" s="353">
        <v>8734763046</v>
      </c>
      <c r="E30" s="353">
        <v>8874519390</v>
      </c>
      <c r="F30" s="353">
        <v>8404513904</v>
      </c>
      <c r="G30" s="353">
        <v>8026536570</v>
      </c>
      <c r="H30" s="353">
        <v>2003002194</v>
      </c>
      <c r="I30" s="353">
        <v>2135750535</v>
      </c>
      <c r="J30" s="353">
        <v>2340923121</v>
      </c>
      <c r="K30" s="353">
        <v>2123382866</v>
      </c>
      <c r="L30" s="353">
        <v>2502070463</v>
      </c>
      <c r="M30" s="353"/>
    </row>
    <row r="31" spans="2:13">
      <c r="B31" s="29" t="s">
        <v>30</v>
      </c>
      <c r="C31" s="334">
        <f>BS!G27</f>
        <v>2453658105.4399986</v>
      </c>
      <c r="D31" s="353">
        <v>3652148548</v>
      </c>
      <c r="E31" s="353">
        <v>3623022779</v>
      </c>
      <c r="F31" s="353">
        <v>3128295240</v>
      </c>
      <c r="G31" s="353">
        <v>1568836504</v>
      </c>
      <c r="H31" s="353">
        <v>1511351330</v>
      </c>
      <c r="I31" s="353">
        <v>1161882585</v>
      </c>
      <c r="J31" s="353">
        <v>1165260073</v>
      </c>
      <c r="K31" s="353">
        <v>1242276954</v>
      </c>
      <c r="L31" s="353">
        <v>1219123567</v>
      </c>
      <c r="M31" s="353"/>
    </row>
    <row r="32" spans="2:13">
      <c r="B32" s="26" t="s">
        <v>171</v>
      </c>
      <c r="C32" s="333">
        <f>BS!G28</f>
        <v>1268437841.4300001</v>
      </c>
      <c r="D32" s="351">
        <v>1511947928</v>
      </c>
      <c r="E32" s="351">
        <v>1566866997</v>
      </c>
      <c r="F32" s="351">
        <v>1373750136</v>
      </c>
      <c r="G32" s="351">
        <v>983547315</v>
      </c>
      <c r="H32" s="351">
        <v>92634421</v>
      </c>
      <c r="I32" s="351">
        <v>16868025</v>
      </c>
      <c r="J32" s="351">
        <v>1596604</v>
      </c>
      <c r="K32" s="351">
        <v>12325253</v>
      </c>
      <c r="L32" s="351">
        <v>77762305</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14644597842</v>
      </c>
      <c r="D36" s="333">
        <f t="shared" si="1"/>
        <v>14814836410</v>
      </c>
      <c r="E36" s="333">
        <f t="shared" si="1"/>
        <v>14039040539</v>
      </c>
      <c r="F36" s="333">
        <f t="shared" si="1"/>
        <v>13119310688</v>
      </c>
      <c r="G36" s="333">
        <f t="shared" si="1"/>
        <v>10941631163</v>
      </c>
      <c r="H36" s="333">
        <f t="shared" si="1"/>
        <v>3581923735</v>
      </c>
      <c r="I36" s="333">
        <f t="shared" si="1"/>
        <v>3467335930</v>
      </c>
      <c r="J36" s="333">
        <f t="shared" si="1"/>
        <v>3175519522</v>
      </c>
      <c r="K36" s="333">
        <f t="shared" si="1"/>
        <v>3195921516</v>
      </c>
      <c r="L36" s="333">
        <f t="shared" si="1"/>
        <v>3323745278</v>
      </c>
      <c r="M36" s="333" t="str">
        <f t="shared" si="1"/>
        <v/>
      </c>
    </row>
    <row r="37" spans="2:13">
      <c r="B37" s="40" t="s">
        <v>43</v>
      </c>
      <c r="C37" s="333">
        <f t="shared" ref="C37:M37" si="2">IF(C$4="","",-C5)</f>
        <v>-8483123346</v>
      </c>
      <c r="D37" s="333">
        <f t="shared" si="2"/>
        <v>-8491525016</v>
      </c>
      <c r="E37" s="333">
        <f t="shared" si="2"/>
        <v>-7873287284</v>
      </c>
      <c r="F37" s="333">
        <f t="shared" si="2"/>
        <v>-7328418046</v>
      </c>
      <c r="G37" s="333">
        <f t="shared" si="2"/>
        <v>-6166079008</v>
      </c>
      <c r="H37" s="333">
        <f t="shared" si="2"/>
        <v>-2359127300</v>
      </c>
      <c r="I37" s="333">
        <f t="shared" si="2"/>
        <v>-2362728713</v>
      </c>
      <c r="J37" s="333">
        <f t="shared" si="2"/>
        <v>-2190920673</v>
      </c>
      <c r="K37" s="333">
        <f t="shared" si="2"/>
        <v>-2209433704</v>
      </c>
      <c r="L37" s="333">
        <f t="shared" si="2"/>
        <v>-2369740058</v>
      </c>
      <c r="M37" s="333" t="str">
        <f t="shared" si="2"/>
        <v/>
      </c>
    </row>
    <row r="38" spans="2:13">
      <c r="B38" s="31" t="s">
        <v>58</v>
      </c>
      <c r="C38" s="329">
        <f>IF(C36="","",C36+C37)</f>
        <v>6161474496</v>
      </c>
      <c r="D38" s="329">
        <f t="shared" ref="D38" si="3">IF(D36="","",D36+D37)</f>
        <v>6323311394</v>
      </c>
      <c r="E38" s="329">
        <f t="shared" ref="E38" si="4">IF(E36="","",E36+E37)</f>
        <v>6165753255</v>
      </c>
      <c r="F38" s="329">
        <f t="shared" ref="F38" si="5">IF(F36="","",F36+F37)</f>
        <v>5790892642</v>
      </c>
      <c r="G38" s="329">
        <f t="shared" ref="G38" si="6">IF(G36="","",G36+G37)</f>
        <v>4775552155</v>
      </c>
      <c r="H38" s="329">
        <f t="shared" ref="H38" si="7">IF(H36="","",H36+H37)</f>
        <v>1222796435</v>
      </c>
      <c r="I38" s="329">
        <f t="shared" ref="I38" si="8">IF(I36="","",I36+I37)</f>
        <v>1104607217</v>
      </c>
      <c r="J38" s="329">
        <f t="shared" ref="J38" si="9">IF(J36="","",J36+J37)</f>
        <v>984598849</v>
      </c>
      <c r="K38" s="329">
        <f t="shared" ref="K38" si="10">IF(K36="","",K36+K37)</f>
        <v>986487812</v>
      </c>
      <c r="L38" s="329">
        <f t="shared" ref="L38" si="11">IF(L36="","",L36+L37)</f>
        <v>954005220</v>
      </c>
      <c r="M38" s="329" t="str">
        <f t="shared" ref="M38" si="12">IF(M36="","",M36+M37)</f>
        <v/>
      </c>
    </row>
    <row r="39" spans="2:13">
      <c r="B39" s="40" t="s">
        <v>54</v>
      </c>
      <c r="C39" s="333">
        <f t="shared" ref="C39:M39" si="13">IF(C$4="","",-C6)</f>
        <v>-3029595871</v>
      </c>
      <c r="D39" s="333">
        <f t="shared" si="13"/>
        <v>-3027292571</v>
      </c>
      <c r="E39" s="333">
        <f t="shared" si="13"/>
        <v>-2860787576</v>
      </c>
      <c r="F39" s="333">
        <f t="shared" si="13"/>
        <v>-2729771806</v>
      </c>
      <c r="G39" s="333">
        <f t="shared" si="13"/>
        <v>-2988418106</v>
      </c>
      <c r="H39" s="333">
        <f t="shared" si="13"/>
        <v>-654203552</v>
      </c>
      <c r="I39" s="333">
        <f t="shared" si="13"/>
        <v>-609225228</v>
      </c>
      <c r="J39" s="333">
        <f t="shared" si="13"/>
        <v>-620936767</v>
      </c>
      <c r="K39" s="333">
        <f t="shared" si="13"/>
        <v>-629182097</v>
      </c>
      <c r="L39" s="333">
        <f t="shared" si="13"/>
        <v>-722526234</v>
      </c>
      <c r="M39" s="333" t="str">
        <f t="shared" si="13"/>
        <v/>
      </c>
    </row>
    <row r="40" spans="2:13">
      <c r="B40" s="69" t="s">
        <v>61</v>
      </c>
      <c r="C40" s="346">
        <f t="shared" ref="C40:M40" si="14">IF(C$4="","",-C7)</f>
        <v>-2512653717</v>
      </c>
      <c r="D40" s="346">
        <f t="shared" si="14"/>
        <v>-2532621833</v>
      </c>
      <c r="E40" s="346">
        <f t="shared" si="14"/>
        <v>-2326217227</v>
      </c>
      <c r="F40" s="346">
        <f t="shared" si="14"/>
        <v>-2212894661</v>
      </c>
      <c r="G40" s="346">
        <f t="shared" si="14"/>
        <v>-2304313181</v>
      </c>
      <c r="H40" s="346">
        <f t="shared" si="14"/>
        <v>-492206624</v>
      </c>
      <c r="I40" s="346">
        <f t="shared" si="14"/>
        <v>-455284418</v>
      </c>
      <c r="J40" s="346">
        <f t="shared" si="14"/>
        <v>-465218537</v>
      </c>
      <c r="K40" s="346">
        <f t="shared" si="14"/>
        <v>-445553542</v>
      </c>
      <c r="L40" s="346">
        <f t="shared" si="14"/>
        <v>-489868548</v>
      </c>
      <c r="M40" s="346" t="str">
        <f t="shared" si="14"/>
        <v/>
      </c>
    </row>
    <row r="41" spans="2:13">
      <c r="B41" s="69" t="s">
        <v>64</v>
      </c>
      <c r="C41" s="346">
        <f>IF(C$4="","",C39-C40)</f>
        <v>-516942154</v>
      </c>
      <c r="D41" s="346">
        <f t="shared" ref="D41:M41" si="15">IF(D$4="","",D39-D40)</f>
        <v>-494670738</v>
      </c>
      <c r="E41" s="346">
        <f t="shared" si="15"/>
        <v>-534570349</v>
      </c>
      <c r="F41" s="346">
        <f t="shared" si="15"/>
        <v>-516877145</v>
      </c>
      <c r="G41" s="346">
        <f t="shared" si="15"/>
        <v>-684104925</v>
      </c>
      <c r="H41" s="346">
        <f t="shared" si="15"/>
        <v>-161996928</v>
      </c>
      <c r="I41" s="346">
        <f t="shared" si="15"/>
        <v>-153940810</v>
      </c>
      <c r="J41" s="346">
        <f t="shared" si="15"/>
        <v>-155718230</v>
      </c>
      <c r="K41" s="346">
        <f t="shared" si="15"/>
        <v>-183628555</v>
      </c>
      <c r="L41" s="346">
        <f t="shared" si="15"/>
        <v>-232657686</v>
      </c>
      <c r="M41" s="346" t="str">
        <f t="shared" si="15"/>
        <v/>
      </c>
    </row>
    <row r="42" spans="2:13">
      <c r="B42" s="40" t="s">
        <v>49</v>
      </c>
      <c r="C42" s="333">
        <f t="shared" ref="C42:M42" si="16">IF(C$4="","",-C8)</f>
        <v>-22666046</v>
      </c>
      <c r="D42" s="333">
        <f t="shared" si="16"/>
        <v>-26232056</v>
      </c>
      <c r="E42" s="333">
        <f t="shared" si="16"/>
        <v>-110747936</v>
      </c>
      <c r="F42" s="333">
        <f t="shared" si="16"/>
        <v>-163151285</v>
      </c>
      <c r="G42" s="333">
        <f t="shared" si="16"/>
        <v>-84212617</v>
      </c>
      <c r="H42" s="333">
        <f t="shared" si="16"/>
        <v>0</v>
      </c>
      <c r="I42" s="333">
        <f t="shared" si="16"/>
        <v>0</v>
      </c>
      <c r="J42" s="333">
        <f t="shared" si="16"/>
        <v>0</v>
      </c>
      <c r="K42" s="333">
        <f t="shared" si="16"/>
        <v>0</v>
      </c>
      <c r="L42" s="333">
        <f t="shared" si="16"/>
        <v>0</v>
      </c>
      <c r="M42" s="333" t="str">
        <f t="shared" si="16"/>
        <v/>
      </c>
    </row>
    <row r="43" spans="2:13">
      <c r="B43" s="43" t="s">
        <v>151</v>
      </c>
      <c r="C43" s="334">
        <f>IF(C$4="","",C38+C39+C42)</f>
        <v>3109212579</v>
      </c>
      <c r="D43" s="334">
        <f t="shared" ref="D43:M43" si="17">IF(D$4="","",D38+D39+D42)</f>
        <v>3269786767</v>
      </c>
      <c r="E43" s="334">
        <f t="shared" si="17"/>
        <v>3194217743</v>
      </c>
      <c r="F43" s="334">
        <f t="shared" si="17"/>
        <v>2897969551</v>
      </c>
      <c r="G43" s="334">
        <f t="shared" si="17"/>
        <v>1702921432</v>
      </c>
      <c r="H43" s="334">
        <f t="shared" si="17"/>
        <v>568592883</v>
      </c>
      <c r="I43" s="334">
        <f t="shared" si="17"/>
        <v>495381989</v>
      </c>
      <c r="J43" s="334">
        <f t="shared" si="17"/>
        <v>363662082</v>
      </c>
      <c r="K43" s="334">
        <f t="shared" si="17"/>
        <v>357305715</v>
      </c>
      <c r="L43" s="334">
        <f t="shared" si="17"/>
        <v>231478986</v>
      </c>
      <c r="M43" s="334" t="str">
        <f t="shared" si="17"/>
        <v/>
      </c>
    </row>
    <row r="44" spans="2:13">
      <c r="B44" s="43" t="s">
        <v>167</v>
      </c>
      <c r="C44" s="354">
        <f t="shared" ref="C44:M44" si="18">IF(C$4="","",C47-C46-C45-C43)</f>
        <v>-222656878</v>
      </c>
      <c r="D44" s="354">
        <f t="shared" si="18"/>
        <v>40517438</v>
      </c>
      <c r="E44" s="354">
        <f t="shared" si="18"/>
        <v>42539332</v>
      </c>
      <c r="F44" s="354">
        <f t="shared" si="18"/>
        <v>21246453</v>
      </c>
      <c r="G44" s="354">
        <f t="shared" si="18"/>
        <v>419243973</v>
      </c>
      <c r="H44" s="354">
        <f t="shared" si="18"/>
        <v>260912986</v>
      </c>
      <c r="I44" s="354">
        <f t="shared" si="18"/>
        <v>-7380704</v>
      </c>
      <c r="J44" s="354">
        <f t="shared" si="18"/>
        <v>-18665820</v>
      </c>
      <c r="K44" s="354">
        <f t="shared" si="18"/>
        <v>-200531275</v>
      </c>
      <c r="L44" s="354">
        <f t="shared" si="18"/>
        <v>-342051382</v>
      </c>
      <c r="M44" s="354" t="str">
        <f t="shared" si="18"/>
        <v/>
      </c>
    </row>
    <row r="45" spans="2:13">
      <c r="B45" s="40" t="s">
        <v>68</v>
      </c>
      <c r="C45" s="349">
        <f t="shared" ref="C45:M45" si="19">IF(C$4="","",C51+C52)</f>
        <v>33371911</v>
      </c>
      <c r="D45" s="349">
        <f t="shared" si="19"/>
        <v>65386347</v>
      </c>
      <c r="E45" s="349">
        <f t="shared" si="19"/>
        <v>62021745</v>
      </c>
      <c r="F45" s="349">
        <f t="shared" si="19"/>
        <v>21864011</v>
      </c>
      <c r="G45" s="349">
        <f t="shared" si="19"/>
        <v>8619407</v>
      </c>
      <c r="H45" s="349">
        <f t="shared" si="19"/>
        <v>-2188252</v>
      </c>
      <c r="I45" s="349">
        <f t="shared" si="19"/>
        <v>-5723808</v>
      </c>
      <c r="J45" s="349">
        <f t="shared" si="19"/>
        <v>0</v>
      </c>
      <c r="K45" s="349">
        <f t="shared" si="19"/>
        <v>0</v>
      </c>
      <c r="L45" s="349">
        <f t="shared" si="19"/>
        <v>0</v>
      </c>
      <c r="M45" s="349" t="str">
        <f t="shared" si="19"/>
        <v/>
      </c>
    </row>
    <row r="46" spans="2:13">
      <c r="B46" s="40" t="s">
        <v>50</v>
      </c>
      <c r="C46" s="333">
        <f t="shared" ref="C46:M46" si="20">IF(C$4="","",-C14)</f>
        <v>-670547120</v>
      </c>
      <c r="D46" s="333">
        <f t="shared" si="20"/>
        <v>-664121997</v>
      </c>
      <c r="E46" s="333">
        <f t="shared" si="20"/>
        <v>-711879179</v>
      </c>
      <c r="F46" s="333">
        <f t="shared" si="20"/>
        <v>-541923819</v>
      </c>
      <c r="G46" s="333">
        <f t="shared" si="20"/>
        <v>-378467716</v>
      </c>
      <c r="H46" s="333">
        <f t="shared" si="20"/>
        <v>-98780687</v>
      </c>
      <c r="I46" s="333">
        <f t="shared" si="20"/>
        <v>-61018006</v>
      </c>
      <c r="J46" s="333">
        <f t="shared" si="20"/>
        <v>-18873927</v>
      </c>
      <c r="K46" s="333">
        <f t="shared" si="20"/>
        <v>-16833271</v>
      </c>
      <c r="L46" s="333">
        <f t="shared" si="20"/>
        <v>-42979625</v>
      </c>
      <c r="M46" s="333" t="str">
        <f t="shared" si="20"/>
        <v/>
      </c>
    </row>
    <row r="47" spans="2:13">
      <c r="B47" s="43" t="s">
        <v>42</v>
      </c>
      <c r="C47" s="334">
        <f t="shared" ref="C47:M47" si="21">IF(C$4="","",C15)</f>
        <v>2249380492</v>
      </c>
      <c r="D47" s="334">
        <f t="shared" si="21"/>
        <v>2711568555</v>
      </c>
      <c r="E47" s="334">
        <f t="shared" si="21"/>
        <v>2586899641</v>
      </c>
      <c r="F47" s="334">
        <f t="shared" si="21"/>
        <v>2399156196</v>
      </c>
      <c r="G47" s="334">
        <f t="shared" si="21"/>
        <v>1752317096</v>
      </c>
      <c r="H47" s="334">
        <f t="shared" si="21"/>
        <v>728536930</v>
      </c>
      <c r="I47" s="334">
        <f t="shared" si="21"/>
        <v>421259471</v>
      </c>
      <c r="J47" s="334">
        <f t="shared" si="21"/>
        <v>326122335</v>
      </c>
      <c r="K47" s="334">
        <f t="shared" si="21"/>
        <v>139941169</v>
      </c>
      <c r="L47" s="334">
        <f t="shared" si="21"/>
        <v>-153552021</v>
      </c>
      <c r="M47" s="334" t="str">
        <f t="shared" si="21"/>
        <v/>
      </c>
    </row>
    <row r="48" spans="2:13">
      <c r="B48" s="28" t="s">
        <v>44</v>
      </c>
      <c r="C48" s="333">
        <f t="shared" ref="C48:M48" si="22">IF(C$4="","",MIN(-C16,0))</f>
        <v>-146792828</v>
      </c>
      <c r="D48" s="333">
        <f t="shared" si="22"/>
        <v>0</v>
      </c>
      <c r="E48" s="333">
        <f t="shared" si="22"/>
        <v>0</v>
      </c>
      <c r="F48" s="333">
        <f t="shared" si="22"/>
        <v>0</v>
      </c>
      <c r="G48" s="333">
        <f t="shared" si="22"/>
        <v>0</v>
      </c>
      <c r="H48" s="333">
        <f t="shared" si="22"/>
        <v>0</v>
      </c>
      <c r="I48" s="333">
        <f t="shared" si="22"/>
        <v>0</v>
      </c>
      <c r="J48" s="333">
        <f t="shared" si="22"/>
        <v>0</v>
      </c>
      <c r="K48" s="333">
        <f t="shared" si="22"/>
        <v>0</v>
      </c>
      <c r="L48" s="333">
        <f t="shared" si="22"/>
        <v>0</v>
      </c>
      <c r="M48" s="333" t="str">
        <f t="shared" si="22"/>
        <v/>
      </c>
    </row>
    <row r="50" spans="2:13">
      <c r="B50" s="16" t="s">
        <v>68</v>
      </c>
    </row>
    <row r="51" spans="2:13">
      <c r="B51" s="40" t="s">
        <v>39</v>
      </c>
      <c r="C51" s="333">
        <f t="shared" ref="C51:M51" si="23">IF(C$4="","",-C12)</f>
        <v>-7672861</v>
      </c>
      <c r="D51" s="333">
        <f t="shared" si="23"/>
        <v>-5921669</v>
      </c>
      <c r="E51" s="333">
        <f t="shared" si="23"/>
        <v>-3696844</v>
      </c>
      <c r="F51" s="333">
        <f t="shared" si="23"/>
        <v>-14186775</v>
      </c>
      <c r="G51" s="333">
        <f t="shared" si="23"/>
        <v>-35823675</v>
      </c>
      <c r="H51" s="333">
        <f t="shared" si="23"/>
        <v>-10770646</v>
      </c>
      <c r="I51" s="333">
        <f t="shared" si="23"/>
        <v>-12333775</v>
      </c>
      <c r="J51" s="333">
        <f t="shared" si="23"/>
        <v>0</v>
      </c>
      <c r="K51" s="333">
        <f t="shared" si="23"/>
        <v>0</v>
      </c>
      <c r="L51" s="333">
        <f t="shared" si="23"/>
        <v>0</v>
      </c>
      <c r="M51" s="333" t="str">
        <f t="shared" si="23"/>
        <v/>
      </c>
    </row>
    <row r="52" spans="2:13">
      <c r="B52" s="40" t="s">
        <v>67</v>
      </c>
      <c r="C52" s="333">
        <f t="shared" ref="C52:M52" si="24">IF(C$4="","",C13)</f>
        <v>41044772</v>
      </c>
      <c r="D52" s="333">
        <f t="shared" si="24"/>
        <v>71308016</v>
      </c>
      <c r="E52" s="333">
        <f t="shared" si="24"/>
        <v>65718589</v>
      </c>
      <c r="F52" s="333">
        <f t="shared" si="24"/>
        <v>36050786</v>
      </c>
      <c r="G52" s="333">
        <f t="shared" si="24"/>
        <v>44443082</v>
      </c>
      <c r="H52" s="333">
        <f t="shared" si="24"/>
        <v>8582394</v>
      </c>
      <c r="I52" s="333">
        <f t="shared" si="24"/>
        <v>6609967</v>
      </c>
      <c r="J52" s="333">
        <f t="shared" si="24"/>
        <v>0</v>
      </c>
      <c r="K52" s="333">
        <f t="shared" si="24"/>
        <v>0</v>
      </c>
      <c r="L52" s="333">
        <f t="shared" si="24"/>
        <v>0</v>
      </c>
      <c r="M52" s="333" t="str">
        <f t="shared" si="24"/>
        <v/>
      </c>
    </row>
    <row r="54" spans="2:13">
      <c r="B54" s="174" t="s">
        <v>167</v>
      </c>
    </row>
    <row r="55" spans="2:13">
      <c r="B55" s="40" t="s">
        <v>158</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166</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157</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159</v>
      </c>
      <c r="C58" s="349">
        <f>IF(C$4="","",C44-C55-C56-C57)</f>
        <v>-222656878</v>
      </c>
      <c r="D58" s="349">
        <f t="shared" ref="D58:M58" si="28">IF(D$4="","",D44-D55-D56-D57)</f>
        <v>40517438</v>
      </c>
      <c r="E58" s="349">
        <f t="shared" si="28"/>
        <v>42539332</v>
      </c>
      <c r="F58" s="349">
        <f t="shared" si="28"/>
        <v>21246453</v>
      </c>
      <c r="G58" s="349">
        <f t="shared" si="28"/>
        <v>419243973</v>
      </c>
      <c r="H58" s="349">
        <f t="shared" si="28"/>
        <v>260912986</v>
      </c>
      <c r="I58" s="349">
        <f t="shared" si="28"/>
        <v>-7380704</v>
      </c>
      <c r="J58" s="349">
        <f t="shared" si="28"/>
        <v>-18665820</v>
      </c>
      <c r="K58" s="349">
        <f t="shared" si="28"/>
        <v>-200531275</v>
      </c>
      <c r="L58" s="349">
        <f t="shared" si="28"/>
        <v>-342051382</v>
      </c>
      <c r="M58" s="349" t="str">
        <f t="shared" si="28"/>
        <v/>
      </c>
    </row>
    <row r="60" spans="2:13">
      <c r="B60" s="16" t="s">
        <v>51</v>
      </c>
      <c r="C60" s="9"/>
    </row>
    <row r="61" spans="2:13">
      <c r="B61" s="27" t="s">
        <v>47</v>
      </c>
      <c r="C61" s="333">
        <f>IF(C$4="","",-C19)</f>
        <v>-575917865</v>
      </c>
      <c r="D61" s="333">
        <f t="shared" ref="D61:M61" si="29">IF(D$4="","",-D19)</f>
        <v>-514817738</v>
      </c>
      <c r="E61" s="333">
        <f t="shared" si="29"/>
        <v>-504410326</v>
      </c>
      <c r="F61" s="333">
        <f t="shared" si="29"/>
        <v>-451827434</v>
      </c>
      <c r="G61" s="333">
        <f t="shared" si="29"/>
        <v>-413794059</v>
      </c>
      <c r="H61" s="333">
        <f t="shared" si="29"/>
        <v>-174070610</v>
      </c>
      <c r="I61" s="333">
        <f t="shared" si="29"/>
        <v>-173632673</v>
      </c>
      <c r="J61" s="333">
        <f t="shared" si="29"/>
        <v>0</v>
      </c>
      <c r="K61" s="333">
        <f t="shared" si="29"/>
        <v>0</v>
      </c>
      <c r="L61" s="333">
        <f t="shared" si="29"/>
        <v>0</v>
      </c>
      <c r="M61" s="333" t="str">
        <f t="shared" si="29"/>
        <v/>
      </c>
    </row>
    <row r="62" spans="2:13">
      <c r="B62" s="27" t="s">
        <v>53</v>
      </c>
      <c r="C62" s="333">
        <f>IF(C$4="","",IF(C20=0,C61,-C20))</f>
        <v>-575917865</v>
      </c>
      <c r="D62" s="333">
        <f t="shared" ref="D62:M62" si="30">IF(D$4="","",IF(D20=0,D61,-D20))</f>
        <v>-514817738</v>
      </c>
      <c r="E62" s="333">
        <f t="shared" si="30"/>
        <v>-504410326</v>
      </c>
      <c r="F62" s="333">
        <f t="shared" si="30"/>
        <v>-451827434</v>
      </c>
      <c r="G62" s="333">
        <f t="shared" si="30"/>
        <v>-413794059</v>
      </c>
      <c r="H62" s="333">
        <f t="shared" si="30"/>
        <v>-174070610</v>
      </c>
      <c r="I62" s="333">
        <f t="shared" si="30"/>
        <v>-173632673</v>
      </c>
      <c r="J62" s="333">
        <f t="shared" si="30"/>
        <v>0</v>
      </c>
      <c r="K62" s="333">
        <f t="shared" si="30"/>
        <v>0</v>
      </c>
      <c r="L62" s="333">
        <f t="shared" si="30"/>
        <v>0</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390</v>
      </c>
      <c r="C64" s="333">
        <f>IF(C$4="","",C22+C23+C24)</f>
        <v>-1619130153</v>
      </c>
      <c r="D64" s="333">
        <f t="shared" ref="D64:M64" si="32">IF(D$4="","",D22+D23+D24)</f>
        <v>-696733035</v>
      </c>
      <c r="E64" s="333">
        <f t="shared" si="32"/>
        <v>1231075824</v>
      </c>
      <c r="F64" s="333">
        <f t="shared" si="32"/>
        <v>399357974</v>
      </c>
      <c r="G64" s="333">
        <f t="shared" si="32"/>
        <v>297220018</v>
      </c>
      <c r="H64" s="333">
        <f t="shared" si="32"/>
        <v>285348161</v>
      </c>
      <c r="I64" s="333">
        <f t="shared" si="32"/>
        <v>277826379</v>
      </c>
      <c r="J64" s="333">
        <f t="shared" si="32"/>
        <v>420994227</v>
      </c>
      <c r="K64" s="333">
        <f t="shared" si="32"/>
        <v>48831828</v>
      </c>
      <c r="L64" s="333">
        <f t="shared" si="32"/>
        <v>94550573</v>
      </c>
      <c r="M64" s="333" t="str">
        <f t="shared" si="32"/>
        <v/>
      </c>
    </row>
    <row r="65" spans="2:13">
      <c r="B65" s="24" t="s">
        <v>36</v>
      </c>
      <c r="C65" s="73">
        <f>IF(C$4="","",C25)</f>
        <v>2.4</v>
      </c>
      <c r="D65" s="73">
        <f t="shared" ref="D65:M65" si="33">IF(D$4="","",D25)</f>
        <v>0</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-1.1491086589730304E-2</v>
      </c>
      <c r="D68" s="92">
        <f t="shared" si="34"/>
        <v>5.525989250083474E-2</v>
      </c>
      <c r="E68" s="92">
        <f t="shared" si="34"/>
        <v>7.0105043845120729E-2</v>
      </c>
      <c r="F68" s="92">
        <f t="shared" si="34"/>
        <v>0.19902695425925132</v>
      </c>
      <c r="G68" s="92">
        <f t="shared" si="34"/>
        <v>2.0546801027856056</v>
      </c>
      <c r="H68" s="92">
        <f t="shared" si="34"/>
        <v>3.3047794420080878E-2</v>
      </c>
      <c r="I68" s="92">
        <f t="shared" si="34"/>
        <v>9.1895642895058804E-2</v>
      </c>
      <c r="J68" s="92">
        <f t="shared" si="34"/>
        <v>-6.3837593939212178E-3</v>
      </c>
      <c r="K68" s="92">
        <f t="shared" si="34"/>
        <v>-3.8457749107932648E-2</v>
      </c>
      <c r="L68" s="92" t="str">
        <f t="shared" si="34"/>
        <v/>
      </c>
      <c r="M68" s="92" t="str">
        <f t="shared" si="34"/>
        <v/>
      </c>
    </row>
    <row r="69" spans="2:13">
      <c r="B69" s="31" t="s">
        <v>58</v>
      </c>
      <c r="C69" s="92">
        <f>IF(D$36="","",C38/D38-1)</f>
        <v>-2.5593694176371251E-2</v>
      </c>
      <c r="D69" s="92">
        <f t="shared" ref="D69:M69" si="35">IF(E$36="","",D38/E38-1)</f>
        <v>2.5553753529178547E-2</v>
      </c>
      <c r="E69" s="92">
        <f t="shared" si="35"/>
        <v>6.4732785802524395E-2</v>
      </c>
      <c r="F69" s="92">
        <f t="shared" si="35"/>
        <v>0.21261216589100362</v>
      </c>
      <c r="G69" s="92">
        <f t="shared" si="35"/>
        <v>2.9054351307460262</v>
      </c>
      <c r="H69" s="92">
        <f t="shared" si="35"/>
        <v>0.10699660130864408</v>
      </c>
      <c r="I69" s="92">
        <f t="shared" si="35"/>
        <v>0.12188554569394983</v>
      </c>
      <c r="J69" s="92">
        <f t="shared" si="35"/>
        <v>-1.9148366325685284E-3</v>
      </c>
      <c r="K69" s="92">
        <f t="shared" si="35"/>
        <v>3.4048652270477042E-2</v>
      </c>
      <c r="L69" s="92" t="str">
        <f t="shared" si="35"/>
        <v/>
      </c>
      <c r="M69" s="92" t="str">
        <f t="shared" si="35"/>
        <v/>
      </c>
    </row>
    <row r="70" spans="2:13">
      <c r="B70" s="80" t="str">
        <f>B43</f>
        <v>Operating EBIT</v>
      </c>
      <c r="C70" s="101">
        <f>IF(D$36="","",C43/D43-1)</f>
        <v>-4.9108458576130776E-2</v>
      </c>
      <c r="D70" s="101">
        <f t="shared" ref="D70:M70" si="36">IF(E$36="","",D43/E43-1)</f>
        <v>2.3658069073596133E-2</v>
      </c>
      <c r="E70" s="101">
        <f t="shared" si="36"/>
        <v>0.1022261230790964</v>
      </c>
      <c r="F70" s="101">
        <f t="shared" si="36"/>
        <v>0.70176350860560421</v>
      </c>
      <c r="G70" s="101">
        <f t="shared" si="36"/>
        <v>1.9949749335853011</v>
      </c>
      <c r="H70" s="101">
        <f t="shared" si="36"/>
        <v>0.14778674967127237</v>
      </c>
      <c r="I70" s="101">
        <f t="shared" si="36"/>
        <v>0.3622041271820029</v>
      </c>
      <c r="J70" s="101">
        <f t="shared" si="36"/>
        <v>1.7789715454173516E-2</v>
      </c>
      <c r="K70" s="101">
        <f t="shared" si="36"/>
        <v>0.54357732930452696</v>
      </c>
      <c r="L70" s="101" t="str">
        <f t="shared" si="36"/>
        <v/>
      </c>
      <c r="M70" s="101" t="str">
        <f t="shared" si="36"/>
        <v/>
      </c>
    </row>
    <row r="71" spans="2:13">
      <c r="B71" s="43" t="s">
        <v>167</v>
      </c>
      <c r="C71" s="101">
        <f>IF(D$36="","",C44/D44-1)</f>
        <v>-6.4953345766827608</v>
      </c>
      <c r="D71" s="101">
        <f t="shared" ref="D71:M71" si="37">IF(E$36="","",D44/E44-1)</f>
        <v>-4.7529989422494978E-2</v>
      </c>
      <c r="E71" s="101">
        <f t="shared" si="37"/>
        <v>1.0021851176758774</v>
      </c>
      <c r="F71" s="101">
        <f t="shared" si="37"/>
        <v>-0.94932198345520402</v>
      </c>
      <c r="G71" s="101">
        <f t="shared" si="37"/>
        <v>0.60683444479838955</v>
      </c>
      <c r="H71" s="101">
        <f t="shared" si="37"/>
        <v>-36.350690936799523</v>
      </c>
      <c r="I71" s="101">
        <f t="shared" si="37"/>
        <v>-0.60458720806265143</v>
      </c>
      <c r="J71" s="101">
        <f t="shared" si="37"/>
        <v>-0.90691816027200745</v>
      </c>
      <c r="K71" s="101">
        <f t="shared" si="37"/>
        <v>-0.41373932235713051</v>
      </c>
      <c r="L71" s="101" t="str">
        <f t="shared" si="37"/>
        <v/>
      </c>
      <c r="M71" s="101" t="str">
        <f t="shared" si="37"/>
        <v/>
      </c>
    </row>
    <row r="72" spans="2:13">
      <c r="B72" s="80" t="str">
        <f>B47</f>
        <v>Reported Net Income</v>
      </c>
      <c r="C72" s="101">
        <f>IF(D$36="","",C47/D47-1)</f>
        <v>-0.17045044358098482</v>
      </c>
      <c r="D72" s="101">
        <f t="shared" ref="D72:M72" si="38">IF(E$36="","",D47/E47-1)</f>
        <v>4.8192404538665246E-2</v>
      </c>
      <c r="E72" s="101">
        <f t="shared" si="38"/>
        <v>7.8253948331090672E-2</v>
      </c>
      <c r="F72" s="101">
        <f t="shared" si="38"/>
        <v>0.3691335897347201</v>
      </c>
      <c r="G72" s="101">
        <f t="shared" si="38"/>
        <v>1.4052550033393638</v>
      </c>
      <c r="H72" s="101">
        <f t="shared" si="38"/>
        <v>0.7294256394297185</v>
      </c>
      <c r="I72" s="101">
        <f t="shared" si="38"/>
        <v>0.29172223362131877</v>
      </c>
      <c r="J72" s="101">
        <f t="shared" si="38"/>
        <v>1.3304245443311968</v>
      </c>
      <c r="K72" s="101">
        <f t="shared" si="38"/>
        <v>-1.9113599944086701</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10968339719.389999</v>
      </c>
      <c r="D76" s="349">
        <f t="shared" ref="D76:M76" si="39">IF(D$4="","",D79+D80)</f>
        <v>12386911594</v>
      </c>
      <c r="E76" s="349">
        <f t="shared" si="39"/>
        <v>12497542169</v>
      </c>
      <c r="F76" s="349">
        <f t="shared" si="39"/>
        <v>11532809144</v>
      </c>
      <c r="G76" s="349">
        <f t="shared" si="39"/>
        <v>9595373074</v>
      </c>
      <c r="H76" s="349">
        <f t="shared" si="39"/>
        <v>3514353524</v>
      </c>
      <c r="I76" s="349">
        <f t="shared" si="39"/>
        <v>3297633120</v>
      </c>
      <c r="J76" s="349">
        <f t="shared" si="39"/>
        <v>3506183194</v>
      </c>
      <c r="K76" s="349">
        <f t="shared" si="39"/>
        <v>3365659820</v>
      </c>
      <c r="L76" s="349">
        <f t="shared" si="39"/>
        <v>3721194030</v>
      </c>
      <c r="M76" s="349" t="str">
        <f t="shared" si="39"/>
        <v/>
      </c>
    </row>
    <row r="77" spans="2:13">
      <c r="B77" s="93" t="s">
        <v>85</v>
      </c>
      <c r="C77" s="318">
        <f t="shared" ref="C77:H78" si="40">IF(C$4="","",C28)</f>
        <v>91009309.849999994</v>
      </c>
      <c r="D77" s="346">
        <f t="shared" si="40"/>
        <v>64628136</v>
      </c>
      <c r="E77" s="346">
        <f t="shared" si="40"/>
        <v>65511539</v>
      </c>
      <c r="F77" s="346">
        <f t="shared" si="40"/>
        <v>109244674</v>
      </c>
      <c r="G77" s="346">
        <f t="shared" si="40"/>
        <v>114510542</v>
      </c>
      <c r="H77" s="346">
        <f t="shared" si="40"/>
        <v>58261577</v>
      </c>
      <c r="I77" s="355"/>
      <c r="J77" s="355"/>
      <c r="K77" s="355"/>
      <c r="L77" s="355"/>
      <c r="M77" s="355"/>
    </row>
    <row r="78" spans="2:13">
      <c r="B78" s="93" t="s">
        <v>86</v>
      </c>
      <c r="C78" s="318">
        <f t="shared" si="40"/>
        <v>2185835620.7199998</v>
      </c>
      <c r="D78" s="346">
        <f t="shared" si="40"/>
        <v>2100354952</v>
      </c>
      <c r="E78" s="346">
        <f t="shared" si="40"/>
        <v>2166477563</v>
      </c>
      <c r="F78" s="346">
        <f t="shared" si="40"/>
        <v>1886751987</v>
      </c>
      <c r="G78" s="346">
        <f t="shared" si="40"/>
        <v>1420570476</v>
      </c>
      <c r="H78" s="346">
        <f t="shared" si="40"/>
        <v>364381375</v>
      </c>
      <c r="I78" s="355"/>
      <c r="J78" s="355"/>
      <c r="K78" s="355"/>
      <c r="L78" s="355"/>
      <c r="M78" s="355"/>
    </row>
    <row r="79" spans="2:13">
      <c r="B79" s="26" t="s">
        <v>40</v>
      </c>
      <c r="C79" s="317">
        <f t="shared" ref="C79:M79" si="41">IF(C$4="","",C30)</f>
        <v>8514681613.9500008</v>
      </c>
      <c r="D79" s="333">
        <f t="shared" si="41"/>
        <v>8734763046</v>
      </c>
      <c r="E79" s="333">
        <f t="shared" si="41"/>
        <v>8874519390</v>
      </c>
      <c r="F79" s="333">
        <f t="shared" si="41"/>
        <v>8404513904</v>
      </c>
      <c r="G79" s="333">
        <f t="shared" si="41"/>
        <v>8026536570</v>
      </c>
      <c r="H79" s="333">
        <f t="shared" si="41"/>
        <v>2003002194</v>
      </c>
      <c r="I79" s="333">
        <f t="shared" si="41"/>
        <v>2135750535</v>
      </c>
      <c r="J79" s="333">
        <f t="shared" si="41"/>
        <v>2340923121</v>
      </c>
      <c r="K79" s="333">
        <f t="shared" si="41"/>
        <v>2123382866</v>
      </c>
      <c r="L79" s="333">
        <f t="shared" si="41"/>
        <v>2502070463</v>
      </c>
      <c r="M79" s="333" t="str">
        <f t="shared" si="41"/>
        <v/>
      </c>
    </row>
    <row r="80" spans="2:13">
      <c r="B80" s="26" t="s">
        <v>30</v>
      </c>
      <c r="C80" s="317">
        <f t="shared" ref="C80:M80" si="42">IF(C$4="","",C31)</f>
        <v>2453658105.4399986</v>
      </c>
      <c r="D80" s="333">
        <f t="shared" si="42"/>
        <v>3652148548</v>
      </c>
      <c r="E80" s="333">
        <f t="shared" si="42"/>
        <v>3623022779</v>
      </c>
      <c r="F80" s="333">
        <f t="shared" si="42"/>
        <v>3128295240</v>
      </c>
      <c r="G80" s="333">
        <f t="shared" si="42"/>
        <v>1568836504</v>
      </c>
      <c r="H80" s="333">
        <f t="shared" si="42"/>
        <v>1511351330</v>
      </c>
      <c r="I80" s="333">
        <f t="shared" si="42"/>
        <v>1161882585</v>
      </c>
      <c r="J80" s="333">
        <f t="shared" si="42"/>
        <v>1165260073</v>
      </c>
      <c r="K80" s="333">
        <f t="shared" si="42"/>
        <v>1242276954</v>
      </c>
      <c r="L80" s="333">
        <f t="shared" si="42"/>
        <v>1219123567</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B16" sqref="B16"/>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v>
      </c>
    </row>
    <row r="2" spans="2:8" ht="15" customHeight="1">
      <c r="B2" s="79" t="s">
        <v>155</v>
      </c>
      <c r="C2" s="37"/>
      <c r="D2" s="37"/>
      <c r="E2" s="37"/>
      <c r="F2" s="37"/>
      <c r="G2" s="37"/>
      <c r="H2" s="37"/>
    </row>
    <row r="3" spans="2:8" ht="15" customHeight="1">
      <c r="B3" s="16" t="s">
        <v>183</v>
      </c>
      <c r="C3" s="182" t="s">
        <v>135</v>
      </c>
      <c r="D3" s="183" t="s">
        <v>35</v>
      </c>
      <c r="F3" s="16" t="s">
        <v>184</v>
      </c>
      <c r="G3" s="182" t="s">
        <v>135</v>
      </c>
      <c r="H3" s="183" t="s">
        <v>35</v>
      </c>
    </row>
    <row r="4" spans="2:8" ht="15" customHeight="1">
      <c r="B4" s="4" t="s">
        <v>24</v>
      </c>
      <c r="C4" s="19">
        <f>63423634.85+27585675</f>
        <v>91009309.849999994</v>
      </c>
      <c r="D4" s="261">
        <v>0.6</v>
      </c>
      <c r="E4" s="25"/>
      <c r="F4" s="4" t="s">
        <v>77</v>
      </c>
      <c r="G4" s="19">
        <v>1081659074.0699999</v>
      </c>
      <c r="H4" s="261">
        <v>0.9</v>
      </c>
    </row>
    <row r="5" spans="2:8" ht="15" customHeight="1">
      <c r="B5" s="1" t="s">
        <v>33</v>
      </c>
      <c r="C5" s="19">
        <v>0</v>
      </c>
      <c r="D5" s="261">
        <v>0.6</v>
      </c>
      <c r="E5" s="25"/>
      <c r="F5" s="1" t="s">
        <v>29</v>
      </c>
      <c r="G5" s="19">
        <v>0</v>
      </c>
      <c r="H5" s="261">
        <v>0.7</v>
      </c>
    </row>
    <row r="6" spans="2:8" ht="15" customHeight="1">
      <c r="B6" s="4" t="s">
        <v>10</v>
      </c>
      <c r="C6" s="19">
        <v>2185835620.7199998</v>
      </c>
      <c r="D6" s="261">
        <v>0.5</v>
      </c>
      <c r="E6" s="25"/>
      <c r="F6" s="4" t="s">
        <v>176</v>
      </c>
      <c r="G6" s="19">
        <v>0</v>
      </c>
      <c r="H6" s="261">
        <v>0.6</v>
      </c>
    </row>
    <row r="7" spans="2:8" ht="15" customHeight="1">
      <c r="B7" s="1" t="s">
        <v>69</v>
      </c>
      <c r="C7" s="19">
        <v>0</v>
      </c>
      <c r="D7" s="261">
        <v>0.6</v>
      </c>
      <c r="E7" s="25"/>
      <c r="F7" s="4" t="s">
        <v>177</v>
      </c>
      <c r="G7" s="19">
        <v>22482125.719999999</v>
      </c>
      <c r="H7" s="261">
        <v>0.6</v>
      </c>
    </row>
    <row r="8" spans="2:8" ht="15" customHeight="1">
      <c r="B8" s="1" t="s">
        <v>172</v>
      </c>
      <c r="C8" s="19">
        <v>0</v>
      </c>
      <c r="D8" s="261">
        <v>0.6</v>
      </c>
      <c r="E8" s="25"/>
      <c r="F8" s="1" t="s">
        <v>178</v>
      </c>
      <c r="G8" s="19">
        <v>0</v>
      </c>
      <c r="H8" s="261">
        <v>0.6</v>
      </c>
    </row>
    <row r="9" spans="2:8" ht="15" customHeight="1">
      <c r="B9" s="4" t="s">
        <v>25</v>
      </c>
      <c r="C9" s="19">
        <v>28012999.57</v>
      </c>
      <c r="D9" s="261">
        <v>0.1</v>
      </c>
      <c r="E9" s="25"/>
      <c r="F9" s="4" t="s">
        <v>179</v>
      </c>
      <c r="G9" s="19">
        <v>0</v>
      </c>
      <c r="H9" s="261">
        <v>0.6</v>
      </c>
    </row>
    <row r="10" spans="2:8" ht="15" customHeight="1">
      <c r="B10" s="4" t="s">
        <v>11</v>
      </c>
      <c r="C10" s="19">
        <v>0</v>
      </c>
      <c r="D10" s="261">
        <v>0.9</v>
      </c>
      <c r="H10" s="262"/>
    </row>
    <row r="11" spans="2:8" ht="15" customHeight="1">
      <c r="B11" s="4" t="s">
        <v>12</v>
      </c>
      <c r="C11" s="19">
        <v>270038356.50999999</v>
      </c>
      <c r="D11" s="261">
        <v>0.05</v>
      </c>
      <c r="H11" s="262"/>
    </row>
    <row r="12" spans="2:8" ht="15" customHeight="1">
      <c r="B12" s="80" t="s">
        <v>72</v>
      </c>
      <c r="C12" s="81">
        <f>SUM(C4:C11)</f>
        <v>2574896286.6499996</v>
      </c>
      <c r="D12" s="20">
        <f>C4*D4+C5*D5+C9*D9+C6*D6+C8*D8+C7*D7+C10*D10+C11*D11</f>
        <v>1163826614.0525</v>
      </c>
      <c r="F12" s="80" t="s">
        <v>70</v>
      </c>
      <c r="G12" s="81">
        <f>SUM(G4:G9)</f>
        <v>1104141199.79</v>
      </c>
      <c r="H12" s="20">
        <f>G4*H4+G5*H5+G6*H6+G7*H7+G8*H8+G9*H9</f>
        <v>986982442.09500003</v>
      </c>
    </row>
    <row r="13" spans="2:8" ht="15" customHeight="1">
      <c r="F13" s="80"/>
      <c r="G13" s="81"/>
      <c r="H13" s="20"/>
    </row>
    <row r="14" spans="2:8" ht="15" customHeight="1">
      <c r="B14" s="16" t="s">
        <v>182</v>
      </c>
      <c r="C14" s="182" t="s">
        <v>135</v>
      </c>
      <c r="D14" s="183" t="s">
        <v>35</v>
      </c>
      <c r="F14" s="16" t="s">
        <v>185</v>
      </c>
      <c r="G14" s="182" t="s">
        <v>135</v>
      </c>
      <c r="H14" s="183" t="s">
        <v>35</v>
      </c>
    </row>
    <row r="15" spans="2:8" ht="15" customHeight="1">
      <c r="B15" s="4" t="s">
        <v>451</v>
      </c>
      <c r="C15" s="19">
        <v>0</v>
      </c>
      <c r="D15" s="261">
        <v>0.4</v>
      </c>
      <c r="F15" s="4" t="s">
        <v>78</v>
      </c>
      <c r="G15" s="19">
        <v>0</v>
      </c>
      <c r="H15" s="261">
        <v>0.8</v>
      </c>
    </row>
    <row r="16" spans="2:8" ht="15" customHeight="1">
      <c r="B16" s="1" t="s">
        <v>34</v>
      </c>
      <c r="C16" s="19">
        <v>0</v>
      </c>
      <c r="D16" s="261">
        <v>0.5</v>
      </c>
      <c r="F16" s="4" t="s">
        <v>176</v>
      </c>
      <c r="G16" s="19">
        <v>0</v>
      </c>
      <c r="H16" s="261">
        <v>0.6</v>
      </c>
    </row>
    <row r="17" spans="2:8" ht="15" customHeight="1">
      <c r="B17" s="1" t="s">
        <v>69</v>
      </c>
      <c r="C17" s="19">
        <v>0</v>
      </c>
      <c r="D17" s="261">
        <v>0.6</v>
      </c>
      <c r="F17" s="4" t="s">
        <v>177</v>
      </c>
      <c r="G17" s="19">
        <v>0</v>
      </c>
      <c r="H17" s="261">
        <v>0.6</v>
      </c>
    </row>
    <row r="18" spans="2:8" ht="15" customHeight="1">
      <c r="B18" s="4" t="s">
        <v>172</v>
      </c>
      <c r="C18" s="19">
        <v>0</v>
      </c>
      <c r="D18" s="261">
        <v>0.6</v>
      </c>
      <c r="F18" s="4" t="s">
        <v>180</v>
      </c>
      <c r="G18" s="19">
        <v>0</v>
      </c>
      <c r="H18" s="261">
        <v>0.1</v>
      </c>
    </row>
    <row r="19" spans="2:8" ht="15" customHeight="1">
      <c r="B19" s="4" t="s">
        <v>26</v>
      </c>
      <c r="C19" s="19">
        <f>4755026247.47+159772560.73+160044048.75</f>
        <v>5074842856.9499998</v>
      </c>
      <c r="D19" s="261">
        <v>0.1</v>
      </c>
      <c r="F19" s="4" t="s">
        <v>181</v>
      </c>
      <c r="G19" s="19">
        <f>142861296.29+17825955.91</f>
        <v>160687252.19999999</v>
      </c>
      <c r="H19" s="261">
        <v>0.1</v>
      </c>
    </row>
    <row r="20" spans="2:8" ht="15" customHeight="1">
      <c r="B20" s="4" t="s">
        <v>18</v>
      </c>
      <c r="C20" s="19">
        <v>0</v>
      </c>
      <c r="D20" s="261">
        <v>0.05</v>
      </c>
      <c r="F20" s="4" t="s">
        <v>178</v>
      </c>
      <c r="G20" s="19">
        <v>0</v>
      </c>
      <c r="H20" s="261">
        <v>0.2</v>
      </c>
    </row>
    <row r="21" spans="2:8" ht="15" customHeight="1">
      <c r="B21" s="4" t="s">
        <v>19</v>
      </c>
      <c r="C21" s="19">
        <v>650634797.63</v>
      </c>
      <c r="D21" s="261">
        <v>0.05</v>
      </c>
      <c r="F21" s="1" t="s">
        <v>179</v>
      </c>
      <c r="G21" s="19">
        <v>0</v>
      </c>
      <c r="H21" s="261">
        <v>0.1</v>
      </c>
    </row>
    <row r="22" spans="2:8" ht="15" customHeight="1">
      <c r="B22" s="4" t="s">
        <v>20</v>
      </c>
      <c r="C22" s="19">
        <v>703465374.02999997</v>
      </c>
      <c r="D22" s="261">
        <v>0.9</v>
      </c>
      <c r="H22" s="262"/>
    </row>
    <row r="23" spans="2:8" ht="15" customHeight="1">
      <c r="B23" s="4" t="s">
        <v>21</v>
      </c>
      <c r="C23" s="19">
        <f>699192456.06+479496.08</f>
        <v>699671952.13999999</v>
      </c>
      <c r="D23" s="261">
        <v>0</v>
      </c>
      <c r="H23" s="262"/>
    </row>
    <row r="24" spans="2:8" ht="15" customHeight="1">
      <c r="B24" s="80" t="s">
        <v>73</v>
      </c>
      <c r="C24" s="81">
        <f>SUM(C15:C23)</f>
        <v>7128614980.75</v>
      </c>
      <c r="D24" s="20">
        <f>C15*D15+C16*D16+C18*D18+C17*D17+C19*D19+C20*D20+C21*D21+C22*D22+C23*D23</f>
        <v>1173134862.2034998</v>
      </c>
      <c r="F24" s="80" t="s">
        <v>71</v>
      </c>
      <c r="G24" s="81">
        <f>SUM(G15:G21)</f>
        <v>160687252.19999999</v>
      </c>
      <c r="H24" s="20">
        <f>G15*H15+G16*H16+G17*H17+G18*H18+G19*H19+G20*H20+G21*H21</f>
        <v>16068725.219999999</v>
      </c>
    </row>
    <row r="26" spans="2:8" ht="15" customHeight="1">
      <c r="B26" s="16" t="s">
        <v>199</v>
      </c>
      <c r="C26" s="182" t="s">
        <v>135</v>
      </c>
      <c r="F26" s="184" t="s">
        <v>195</v>
      </c>
      <c r="G26" s="185" t="s">
        <v>135</v>
      </c>
      <c r="H26" s="186" t="s">
        <v>35</v>
      </c>
    </row>
    <row r="27" spans="2:8" ht="15" customHeight="1">
      <c r="B27" s="4" t="s">
        <v>5</v>
      </c>
      <c r="C27" s="19">
        <v>0</v>
      </c>
      <c r="F27" s="187" t="s">
        <v>30</v>
      </c>
      <c r="G27" s="85">
        <f>G32-G30</f>
        <v>2453658105.4399986</v>
      </c>
      <c r="H27" s="188">
        <f>H32-G30</f>
        <v>-5174668970.3790016</v>
      </c>
    </row>
    <row r="28" spans="2:8" ht="15" customHeight="1">
      <c r="B28" s="4" t="s">
        <v>6</v>
      </c>
      <c r="C28" s="19">
        <v>0</v>
      </c>
      <c r="F28" s="189" t="s">
        <v>243</v>
      </c>
      <c r="G28" s="12">
        <v>1268437841.4300001</v>
      </c>
      <c r="H28" s="188"/>
    </row>
    <row r="29" spans="2:8" ht="15" customHeight="1">
      <c r="B29" s="4" t="s">
        <v>7</v>
      </c>
      <c r="C29" s="19">
        <v>0</v>
      </c>
      <c r="F29" s="190" t="s">
        <v>75</v>
      </c>
      <c r="G29" s="14">
        <f>G27-G28</f>
        <v>1185220264.0099986</v>
      </c>
      <c r="H29" s="188">
        <f>H27-G28</f>
        <v>-6443106811.8090019</v>
      </c>
    </row>
    <row r="30" spans="2:8" ht="15" customHeight="1">
      <c r="B30" s="2" t="s">
        <v>8</v>
      </c>
      <c r="C30" s="19">
        <v>897606.82</v>
      </c>
      <c r="F30" s="187" t="s">
        <v>23</v>
      </c>
      <c r="G30" s="85">
        <f>C33+C42</f>
        <v>8514681613.9500008</v>
      </c>
      <c r="H30" s="188"/>
    </row>
    <row r="31" spans="2:8" ht="15" customHeight="1">
      <c r="B31" s="80" t="s">
        <v>202</v>
      </c>
      <c r="C31" s="81">
        <f>SUM(C27:C30)</f>
        <v>897606.82</v>
      </c>
      <c r="F31" s="190" t="s">
        <v>76</v>
      </c>
      <c r="G31" s="191">
        <f>C31+C40</f>
        <v>123521704.27</v>
      </c>
      <c r="H31" s="188"/>
    </row>
    <row r="32" spans="2:8" ht="15" customHeight="1">
      <c r="B32" s="4" t="s">
        <v>9</v>
      </c>
      <c r="C32" s="21">
        <f>C33-C31</f>
        <v>7738412327.2400007</v>
      </c>
      <c r="F32" s="192" t="s">
        <v>74</v>
      </c>
      <c r="G32" s="193">
        <f>G35+G40</f>
        <v>10968339719.389999</v>
      </c>
      <c r="H32" s="188">
        <f>H35+H40</f>
        <v>3340012643.5709996</v>
      </c>
    </row>
    <row r="33" spans="2:8" ht="15" customHeight="1">
      <c r="B33" s="83" t="s">
        <v>4</v>
      </c>
      <c r="C33" s="84">
        <v>7739309934.0600004</v>
      </c>
      <c r="F33" s="194"/>
      <c r="G33" s="2"/>
      <c r="H33" s="195"/>
    </row>
    <row r="34" spans="2:8" ht="15" customHeight="1">
      <c r="B34" s="83"/>
      <c r="C34" s="84"/>
      <c r="F34" s="196" t="s">
        <v>201</v>
      </c>
      <c r="G34" s="197" t="s">
        <v>135</v>
      </c>
      <c r="H34" s="198" t="s">
        <v>35</v>
      </c>
    </row>
    <row r="35" spans="2:8" ht="15" customHeight="1">
      <c r="B35" s="16" t="s">
        <v>200</v>
      </c>
      <c r="C35" s="182" t="s">
        <v>135</v>
      </c>
      <c r="F35" s="199" t="s">
        <v>31</v>
      </c>
      <c r="G35" s="193">
        <f>C12+C24</f>
        <v>9703511267.3999996</v>
      </c>
      <c r="H35" s="200">
        <f>D12+D24</f>
        <v>2336961476.2559996</v>
      </c>
    </row>
    <row r="36" spans="2:8" ht="15" customHeight="1">
      <c r="B36" s="4" t="s">
        <v>13</v>
      </c>
      <c r="C36" s="19">
        <v>0</v>
      </c>
      <c r="F36" s="190" t="s">
        <v>196</v>
      </c>
      <c r="G36" s="191">
        <f>C4+C15</f>
        <v>91009309.849999994</v>
      </c>
      <c r="H36" s="195"/>
    </row>
    <row r="37" spans="2:8" ht="15" customHeight="1">
      <c r="B37" s="4" t="s">
        <v>14</v>
      </c>
      <c r="C37" s="19">
        <v>122624097.45</v>
      </c>
      <c r="F37" s="190" t="s">
        <v>197</v>
      </c>
      <c r="G37" s="191">
        <f>C6</f>
        <v>2185835620.7199998</v>
      </c>
      <c r="H37" s="195"/>
    </row>
    <row r="38" spans="2:8" ht="15" customHeight="1">
      <c r="B38" s="4" t="s">
        <v>15</v>
      </c>
      <c r="C38" s="19">
        <v>0</v>
      </c>
      <c r="F38" s="190" t="s">
        <v>198</v>
      </c>
      <c r="G38" s="191">
        <f>C7+C17</f>
        <v>0</v>
      </c>
      <c r="H38" s="195"/>
    </row>
    <row r="39" spans="2:8" ht="15" customHeight="1">
      <c r="B39" s="2" t="s">
        <v>16</v>
      </c>
      <c r="C39" s="19">
        <v>0</v>
      </c>
      <c r="F39" s="190" t="s">
        <v>79</v>
      </c>
      <c r="G39" s="191">
        <f>C7+C17+C19+C20</f>
        <v>5074842856.9499998</v>
      </c>
      <c r="H39" s="188">
        <f>C7*D7+C17*D17+C19*D19+C20*D20</f>
        <v>507484285.69499999</v>
      </c>
    </row>
    <row r="40" spans="2:8" ht="15" customHeight="1">
      <c r="B40" s="80" t="s">
        <v>203</v>
      </c>
      <c r="C40" s="81">
        <f>SUM(C36:C39)</f>
        <v>122624097.45</v>
      </c>
      <c r="F40" s="199" t="s">
        <v>137</v>
      </c>
      <c r="G40" s="193">
        <f>G12+G24</f>
        <v>1264828451.99</v>
      </c>
      <c r="H40" s="200">
        <f>H12+H24</f>
        <v>1003051167.3150001</v>
      </c>
    </row>
    <row r="41" spans="2:8" ht="15" customHeight="1">
      <c r="B41" s="4" t="s">
        <v>17</v>
      </c>
      <c r="C41" s="21">
        <f>C42-C40</f>
        <v>652747582.43999994</v>
      </c>
      <c r="F41" s="190" t="s">
        <v>190</v>
      </c>
      <c r="G41" s="191">
        <f>C70</f>
        <v>1081659074.0699999</v>
      </c>
      <c r="H41" s="200">
        <f>H40-H42</f>
        <v>973493166.66300011</v>
      </c>
    </row>
    <row r="42" spans="2:8" ht="15" customHeight="1">
      <c r="B42" s="83" t="s">
        <v>22</v>
      </c>
      <c r="C42" s="84">
        <v>775371679.88999999</v>
      </c>
      <c r="F42" s="201" t="s">
        <v>191</v>
      </c>
      <c r="G42" s="202">
        <f>C82</f>
        <v>183169377.91999999</v>
      </c>
      <c r="H42" s="203">
        <f>D82</f>
        <v>29558000.651999995</v>
      </c>
    </row>
    <row r="44" spans="2:8" ht="15" customHeight="1">
      <c r="B44" s="79" t="s">
        <v>96</v>
      </c>
      <c r="C44" s="37"/>
      <c r="D44" s="37"/>
      <c r="E44" s="37"/>
      <c r="F44" s="37"/>
      <c r="G44" s="37"/>
      <c r="H44" s="37"/>
    </row>
    <row r="45" spans="2:8" ht="15" customHeight="1">
      <c r="B45" s="16" t="s">
        <v>270</v>
      </c>
      <c r="C45" s="234" t="s">
        <v>135</v>
      </c>
      <c r="D45" s="182" t="s">
        <v>402</v>
      </c>
      <c r="F45" s="256" t="s">
        <v>59</v>
      </c>
    </row>
    <row r="46" spans="2:8" ht="15" customHeight="1">
      <c r="B46" s="1" t="s">
        <v>272</v>
      </c>
      <c r="C46" s="76">
        <f>G29</f>
        <v>1185220264.0099986</v>
      </c>
      <c r="D46" s="76">
        <f>H29</f>
        <v>-6443106811.8090019</v>
      </c>
      <c r="F46" s="253"/>
    </row>
    <row r="47" spans="2:8" ht="15" customHeight="1">
      <c r="B47" s="1" t="str">
        <f>"Equity per share ("&amp;Market_currency&amp;")"</f>
        <v>Equity per share (CNY)</v>
      </c>
      <c r="C47" s="147">
        <f>C46*H1/Common_Shares*Exchange_Rate</f>
        <v>2.4489479310088997</v>
      </c>
      <c r="D47" s="147">
        <f>D46*H1/Common_Shares*Exchange_Rate</f>
        <v>-13.312996389940134</v>
      </c>
      <c r="F47" s="253"/>
    </row>
    <row r="48" spans="2:8" ht="15" customHeight="1">
      <c r="F48" s="253"/>
    </row>
    <row r="49" spans="2:8" ht="15" customHeight="1">
      <c r="B49" s="157" t="s">
        <v>142</v>
      </c>
      <c r="C49" s="235" t="s">
        <v>57</v>
      </c>
      <c r="D49" s="197" t="s">
        <v>95</v>
      </c>
      <c r="E49" s="2"/>
      <c r="F49" s="253"/>
    </row>
    <row r="50" spans="2:8" ht="15" customHeight="1">
      <c r="B50" s="8" t="s">
        <v>93</v>
      </c>
      <c r="C50" s="95">
        <f>G31/Normalized_FCF!C8</f>
        <v>4.1762542981319963E-2</v>
      </c>
      <c r="D50" s="95">
        <f>G31/Normalized_FCF!G8</f>
        <v>3.9727648442014103E-2</v>
      </c>
      <c r="F50" s="253"/>
    </row>
    <row r="51" spans="2:8" ht="15" customHeight="1">
      <c r="B51" s="1" t="s">
        <v>175</v>
      </c>
      <c r="C51" s="181"/>
      <c r="D51" s="92">
        <f>G29/G32</f>
        <v>0.10805831095063075</v>
      </c>
      <c r="F51" s="253"/>
    </row>
    <row r="52" spans="2:8" ht="15" customHeight="1">
      <c r="F52" s="253"/>
    </row>
    <row r="53" spans="2:8" ht="15" customHeight="1">
      <c r="B53" s="157" t="s">
        <v>141</v>
      </c>
      <c r="C53" s="235" t="s">
        <v>57</v>
      </c>
      <c r="D53" s="197" t="s">
        <v>95</v>
      </c>
      <c r="F53" s="253"/>
    </row>
    <row r="54" spans="2:8" ht="15" customHeight="1">
      <c r="B54" s="1" t="s">
        <v>138</v>
      </c>
      <c r="C54" s="92">
        <f>Normalized_FCF!C8/G35</f>
        <v>0.30480874656531537</v>
      </c>
      <c r="D54" s="92">
        <f>Normalized_FCF!G8/G35</f>
        <v>0.32042139111496037</v>
      </c>
      <c r="F54" s="253"/>
    </row>
    <row r="55" spans="2:8" ht="15" customHeight="1">
      <c r="B55" s="1" t="s">
        <v>140</v>
      </c>
      <c r="C55" s="92">
        <f>Normalized_FCF!C11/G40</f>
        <v>0</v>
      </c>
      <c r="D55" s="92">
        <f>Normalized_FCF!G11/G40</f>
        <v>0</v>
      </c>
      <c r="F55" s="253"/>
    </row>
    <row r="56" spans="2:8" ht="15" customHeight="1">
      <c r="F56" s="253"/>
    </row>
    <row r="57" spans="2:8" ht="15" customHeight="1">
      <c r="B57" s="157" t="s">
        <v>174</v>
      </c>
      <c r="C57" s="235" t="s">
        <v>57</v>
      </c>
      <c r="D57" s="197" t="s">
        <v>95</v>
      </c>
      <c r="F57" s="253"/>
    </row>
    <row r="58" spans="2:8" ht="15" customHeight="1">
      <c r="B58" s="2" t="s">
        <v>89</v>
      </c>
      <c r="C58" s="98"/>
      <c r="D58" s="23">
        <f>Normalized_FCF!G9/BS!$G$39</f>
        <v>0.11348486667154239</v>
      </c>
      <c r="F58" s="5"/>
    </row>
    <row r="59" spans="2:8" ht="15" customHeight="1">
      <c r="B59" s="1" t="s">
        <v>92</v>
      </c>
      <c r="C59" s="98"/>
      <c r="D59" s="92">
        <f>G39/G32</f>
        <v>0.46268104259923815</v>
      </c>
      <c r="F59" s="253"/>
    </row>
    <row r="60" spans="2:8" ht="15" customHeight="1">
      <c r="F60" s="253"/>
    </row>
    <row r="61" spans="2:8" ht="15" customHeight="1">
      <c r="B61" s="157" t="s">
        <v>273</v>
      </c>
      <c r="C61" s="235" t="s">
        <v>136</v>
      </c>
      <c r="D61" s="197" t="s">
        <v>95</v>
      </c>
      <c r="F61" s="253"/>
    </row>
    <row r="62" spans="2:8" ht="15" customHeight="1">
      <c r="B62" s="1" t="s">
        <v>244</v>
      </c>
      <c r="C62" s="92">
        <f>IF(G28&lt;=0,0,G28/G29)</f>
        <v>1.0702127528080294</v>
      </c>
      <c r="D62" s="92">
        <f>G28/G29</f>
        <v>1.0702127528080294</v>
      </c>
      <c r="F62" s="253" t="s">
        <v>271</v>
      </c>
    </row>
    <row r="64" spans="2:8" ht="15" customHeight="1">
      <c r="B64" s="79" t="s">
        <v>192</v>
      </c>
      <c r="C64" s="37"/>
      <c r="D64" s="37"/>
      <c r="E64" s="37"/>
      <c r="F64" s="37"/>
      <c r="G64" s="37"/>
      <c r="H64" s="37"/>
    </row>
    <row r="65" spans="2:6" ht="15" customHeight="1">
      <c r="B65" s="16" t="s">
        <v>187</v>
      </c>
      <c r="C65" s="234" t="s">
        <v>135</v>
      </c>
      <c r="D65" s="183" t="s">
        <v>284</v>
      </c>
      <c r="F65" s="256" t="s">
        <v>59</v>
      </c>
    </row>
    <row r="66" spans="2:6" ht="15" customHeight="1">
      <c r="B66" s="105" t="s">
        <v>186</v>
      </c>
      <c r="C66" s="20">
        <f>G4+G5+G15</f>
        <v>1081659074.0699999</v>
      </c>
      <c r="D66" s="76">
        <f>C66-D75</f>
        <v>51803895.882383943</v>
      </c>
      <c r="F66" s="5" t="s">
        <v>225</v>
      </c>
    </row>
    <row r="67" spans="2:6" ht="15" customHeight="1">
      <c r="B67" s="105" t="s">
        <v>176</v>
      </c>
      <c r="C67" s="20">
        <f>G6+G16</f>
        <v>0</v>
      </c>
      <c r="F67" s="253"/>
    </row>
    <row r="68" spans="2:6" ht="15" customHeight="1">
      <c r="B68" s="105" t="s">
        <v>180</v>
      </c>
      <c r="C68" s="20">
        <f>G18</f>
        <v>0</v>
      </c>
      <c r="F68" s="253"/>
    </row>
    <row r="69" spans="2:6" ht="15" customHeight="1">
      <c r="B69" s="105" t="s">
        <v>178</v>
      </c>
      <c r="C69" s="20">
        <f>G8+G20</f>
        <v>0</v>
      </c>
      <c r="F69" s="253"/>
    </row>
    <row r="70" spans="2:6" ht="15" customHeight="1">
      <c r="B70" s="80" t="s">
        <v>187</v>
      </c>
      <c r="C70" s="81">
        <f>SUM(C66:C69)</f>
        <v>1081659074.0699999</v>
      </c>
      <c r="F70" s="253"/>
    </row>
    <row r="71" spans="2:6" ht="15" customHeight="1">
      <c r="F71" s="253"/>
    </row>
    <row r="72" spans="2:6" ht="15" customHeight="1">
      <c r="B72" s="255" t="s">
        <v>315</v>
      </c>
      <c r="C72" s="234" t="s">
        <v>95</v>
      </c>
      <c r="D72" s="182" t="s">
        <v>57</v>
      </c>
      <c r="F72" s="253"/>
    </row>
    <row r="73" spans="2:6" ht="15" customHeight="1">
      <c r="B73" s="105" t="s">
        <v>314</v>
      </c>
      <c r="C73" s="349">
        <f>(Normalized_FCF!G25+Normalized_FCF!G35-Normalized_FCF!G91)/12</f>
        <v>-1058076344.85</v>
      </c>
      <c r="D73" s="349">
        <f>(Normalized_FCF!C25+Normalized_FCF!C35-Normalized_FCF!C91)/12</f>
        <v>-1029855178.187616</v>
      </c>
      <c r="F73" s="1" t="s">
        <v>348</v>
      </c>
    </row>
    <row r="74" spans="2:6" ht="15" customHeight="1">
      <c r="B74" s="257" t="s">
        <v>318</v>
      </c>
      <c r="C74" s="258">
        <f>-$C$66/C73</f>
        <v>1.0222883058815033</v>
      </c>
      <c r="D74" s="258">
        <f>-$C$66/D73</f>
        <v>1.050302117209869</v>
      </c>
      <c r="F74" s="253" t="s">
        <v>316</v>
      </c>
    </row>
    <row r="75" spans="2:6" ht="15" customHeight="1">
      <c r="B75" s="80" t="s">
        <v>317</v>
      </c>
      <c r="C75" s="320"/>
      <c r="D75" s="321">
        <f>MAX(-D73*D76,G5)</f>
        <v>1029855178.187616</v>
      </c>
      <c r="F75" s="253" t="s">
        <v>349</v>
      </c>
    </row>
    <row r="76" spans="2:6" ht="15" customHeight="1">
      <c r="B76" s="259" t="s">
        <v>319</v>
      </c>
      <c r="C76" s="260"/>
      <c r="D76" s="290">
        <f>IF(D74&lt;=3,1,IF(D74&gt;18,6,2))</f>
        <v>1</v>
      </c>
      <c r="F76" s="253" t="s">
        <v>320</v>
      </c>
    </row>
    <row r="77" spans="2:6" ht="15" customHeight="1">
      <c r="F77" s="253"/>
    </row>
    <row r="78" spans="2:6" ht="15" customHeight="1">
      <c r="B78" s="16" t="s">
        <v>188</v>
      </c>
      <c r="C78" s="234" t="s">
        <v>135</v>
      </c>
      <c r="D78" s="183" t="s">
        <v>35</v>
      </c>
      <c r="F78" s="253"/>
    </row>
    <row r="79" spans="2:6" ht="15" customHeight="1">
      <c r="B79" s="105" t="s">
        <v>177</v>
      </c>
      <c r="C79" s="20">
        <f>G7+G17</f>
        <v>22482125.719999999</v>
      </c>
      <c r="D79" s="76">
        <f>G7*H7+G17*H17</f>
        <v>13489275.431999998</v>
      </c>
      <c r="F79" s="253"/>
    </row>
    <row r="80" spans="2:6" ht="15" customHeight="1">
      <c r="B80" s="105" t="s">
        <v>181</v>
      </c>
      <c r="C80" s="20">
        <f>G19</f>
        <v>160687252.19999999</v>
      </c>
      <c r="D80" s="76">
        <f>G19*H19</f>
        <v>16068725.219999999</v>
      </c>
      <c r="F80" s="253"/>
    </row>
    <row r="81" spans="2:8" ht="15" customHeight="1">
      <c r="B81" s="105" t="s">
        <v>179</v>
      </c>
      <c r="C81" s="20">
        <f>G9+G21</f>
        <v>0</v>
      </c>
      <c r="D81" s="76">
        <f>G9*H9+G21*H21</f>
        <v>0</v>
      </c>
      <c r="F81" s="253"/>
    </row>
    <row r="82" spans="2:8" ht="15" customHeight="1">
      <c r="B82" s="80" t="s">
        <v>188</v>
      </c>
      <c r="C82" s="81">
        <f>SUM(C79:C81)</f>
        <v>183169377.91999999</v>
      </c>
      <c r="D82" s="81">
        <f>SUM(D79:D81)</f>
        <v>29558000.651999995</v>
      </c>
      <c r="F82" s="253"/>
    </row>
    <row r="84" spans="2:8" ht="15" customHeight="1">
      <c r="B84" s="79" t="s">
        <v>287</v>
      </c>
      <c r="C84" s="37"/>
      <c r="D84" s="37"/>
      <c r="E84" s="37"/>
      <c r="F84" s="37"/>
      <c r="G84" s="37"/>
      <c r="H84" s="37"/>
    </row>
    <row r="85" spans="2:8" ht="15" customHeight="1">
      <c r="B85" s="16" t="s">
        <v>288</v>
      </c>
      <c r="D85" s="241" t="s">
        <v>289</v>
      </c>
    </row>
    <row r="86" spans="2:8" ht="15" customHeight="1">
      <c r="B86" s="238" t="s">
        <v>285</v>
      </c>
      <c r="C86" s="76">
        <f>-DCF!C7*Exchange_Rate</f>
        <v>-123521704.27</v>
      </c>
      <c r="D86" s="223">
        <f>C86*scaling_factor/Common_Shares</f>
        <v>-0.25522532080514426</v>
      </c>
      <c r="E86" s="240" t="str">
        <f>Market_currency</f>
        <v>CNY</v>
      </c>
    </row>
    <row r="87" spans="2:8" ht="15" customHeight="1">
      <c r="B87" s="238" t="s">
        <v>286</v>
      </c>
      <c r="C87" s="76">
        <f>DCF!C8*Exchange_Rate</f>
        <v>51803895.882383943</v>
      </c>
      <c r="D87" s="223">
        <f>C87*scaling_factor/Common_Shares</f>
        <v>0.10703921244996059</v>
      </c>
      <c r="E87" s="240" t="str">
        <f>Market_currency</f>
        <v>CNY</v>
      </c>
    </row>
    <row r="88" spans="2:8" ht="15" customHeight="1">
      <c r="B88" s="239" t="s">
        <v>188</v>
      </c>
      <c r="C88" s="76">
        <f>DCF!C9*Exchange_Rate</f>
        <v>29558000.651999995</v>
      </c>
      <c r="D88" s="223">
        <f>C88*scaling_factor/Common_Shares</f>
        <v>6.1073883681813636E-2</v>
      </c>
      <c r="E88" s="240" t="str">
        <f>Market_currency</f>
        <v>CNY</v>
      </c>
    </row>
    <row r="89" spans="2:8" ht="15" customHeight="1">
      <c r="B89" s="80" t="s">
        <v>290</v>
      </c>
      <c r="C89" s="180">
        <f>SUM(C86:C88)</f>
        <v>-42159807.735616058</v>
      </c>
      <c r="D89" s="242">
        <f>SUM(D86:D88)</f>
        <v>-8.7112224673370042E-2</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9"/>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C94" sqref="C94"/>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v>
      </c>
      <c r="D3" s="9"/>
      <c r="E3" s="268"/>
      <c r="F3" s="9"/>
      <c r="G3" s="9"/>
    </row>
    <row r="4" spans="1:17" ht="15.75" customHeight="1">
      <c r="A4" s="10"/>
      <c r="B4" s="26" t="s">
        <v>2</v>
      </c>
      <c r="C4" s="327">
        <f>AVERAGE(G4:J4)</f>
        <v>14154446369.75</v>
      </c>
      <c r="D4" s="57"/>
      <c r="E4" s="266"/>
      <c r="F4" s="57"/>
      <c r="G4" s="333">
        <f>Data!C36</f>
        <v>14644597842</v>
      </c>
      <c r="H4" s="333">
        <f>Data!D36</f>
        <v>14814836410</v>
      </c>
      <c r="I4" s="333">
        <f>Data!E36</f>
        <v>14039040539</v>
      </c>
      <c r="J4" s="333">
        <f>Data!F36</f>
        <v>13119310688</v>
      </c>
      <c r="K4" s="333">
        <f>Data!G36</f>
        <v>10941631163</v>
      </c>
      <c r="L4" s="333">
        <f>Data!H36</f>
        <v>3581923735</v>
      </c>
      <c r="M4" s="333">
        <f>Data!I36</f>
        <v>3467335930</v>
      </c>
      <c r="N4" s="333">
        <f>Data!J36</f>
        <v>3175519522</v>
      </c>
      <c r="O4" s="333">
        <f>Data!K36</f>
        <v>3195921516</v>
      </c>
      <c r="P4" s="333">
        <f>Data!L36</f>
        <v>3323745278</v>
      </c>
      <c r="Q4" s="333" t="str">
        <f>Data!M36</f>
        <v/>
      </c>
    </row>
    <row r="5" spans="1:17" ht="15.75" customHeight="1">
      <c r="A5" s="10"/>
      <c r="B5" s="2" t="s">
        <v>46</v>
      </c>
      <c r="C5" s="328">
        <f>C25</f>
        <v>-10627750820.551392</v>
      </c>
      <c r="E5" s="268"/>
      <c r="G5" s="333">
        <f t="shared" ref="G5:Q5" si="1">G25</f>
        <v>-10995777063</v>
      </c>
      <c r="H5" s="333">
        <f t="shared" si="1"/>
        <v>-11024146849</v>
      </c>
      <c r="I5" s="333">
        <f t="shared" si="1"/>
        <v>-10199504511</v>
      </c>
      <c r="J5" s="333">
        <f t="shared" si="1"/>
        <v>-9541312707</v>
      </c>
      <c r="K5" s="333">
        <f t="shared" si="1"/>
        <v>-8470392189</v>
      </c>
      <c r="L5" s="333">
        <f t="shared" si="1"/>
        <v>-2851333924</v>
      </c>
      <c r="M5" s="333">
        <f t="shared" si="1"/>
        <v>-2818013131</v>
      </c>
      <c r="N5" s="333">
        <f t="shared" si="1"/>
        <v>-2656139210</v>
      </c>
      <c r="O5" s="333">
        <f t="shared" si="1"/>
        <v>-2654987246</v>
      </c>
      <c r="P5" s="333">
        <f t="shared" si="1"/>
        <v>-2859608606</v>
      </c>
      <c r="Q5" s="333" t="str">
        <f t="shared" si="1"/>
        <v/>
      </c>
    </row>
    <row r="6" spans="1:17" ht="15.75" customHeight="1">
      <c r="A6" s="10"/>
      <c r="B6" s="31" t="s">
        <v>48</v>
      </c>
      <c r="C6" s="329">
        <f>C4+C5</f>
        <v>3526695549.1986084</v>
      </c>
      <c r="E6" s="268"/>
      <c r="G6" s="329">
        <f>IF(G4="","",G4+G5)</f>
        <v>3648820779</v>
      </c>
      <c r="H6" s="329">
        <f t="shared" ref="H6:Q6" si="2">IF(H4="","",H4+H5)</f>
        <v>3790689561</v>
      </c>
      <c r="I6" s="329">
        <f t="shared" si="2"/>
        <v>3839536028</v>
      </c>
      <c r="J6" s="329">
        <f t="shared" si="2"/>
        <v>3577997981</v>
      </c>
      <c r="K6" s="329">
        <f t="shared" si="2"/>
        <v>2471238974</v>
      </c>
      <c r="L6" s="329">
        <f t="shared" si="2"/>
        <v>730589811</v>
      </c>
      <c r="M6" s="329">
        <f t="shared" si="2"/>
        <v>649322799</v>
      </c>
      <c r="N6" s="329">
        <f t="shared" si="2"/>
        <v>519380312</v>
      </c>
      <c r="O6" s="329">
        <f t="shared" si="2"/>
        <v>540934270</v>
      </c>
      <c r="P6" s="329">
        <f t="shared" si="2"/>
        <v>464136672</v>
      </c>
      <c r="Q6" s="329" t="str">
        <f t="shared" si="2"/>
        <v/>
      </c>
    </row>
    <row r="7" spans="1:17" ht="15.75" customHeight="1">
      <c r="A7" s="10"/>
      <c r="B7" s="8" t="s">
        <v>45</v>
      </c>
      <c r="C7" s="328">
        <f>C35</f>
        <v>-568980442.5</v>
      </c>
      <c r="E7" s="268"/>
      <c r="G7" s="328">
        <f t="shared" ref="G7:Q7" si="3">G35</f>
        <v>-539608200</v>
      </c>
      <c r="H7" s="328">
        <f t="shared" si="3"/>
        <v>-520902794</v>
      </c>
      <c r="I7" s="328">
        <f t="shared" si="3"/>
        <v>-645318285</v>
      </c>
      <c r="J7" s="328">
        <f t="shared" si="3"/>
        <v>-680028430</v>
      </c>
      <c r="K7" s="328">
        <f t="shared" si="3"/>
        <v>-768317542</v>
      </c>
      <c r="L7" s="328">
        <f t="shared" si="3"/>
        <v>-161996928</v>
      </c>
      <c r="M7" s="328">
        <f t="shared" si="3"/>
        <v>-153940810</v>
      </c>
      <c r="N7" s="328">
        <f t="shared" si="3"/>
        <v>-155718230</v>
      </c>
      <c r="O7" s="328">
        <f t="shared" si="3"/>
        <v>-183628555</v>
      </c>
      <c r="P7" s="328">
        <f t="shared" si="3"/>
        <v>-232657686</v>
      </c>
      <c r="Q7" s="328" t="str">
        <f t="shared" si="3"/>
        <v/>
      </c>
    </row>
    <row r="8" spans="1:17" ht="15.75" customHeight="1">
      <c r="A8" s="10"/>
      <c r="B8" s="29" t="s">
        <v>151</v>
      </c>
      <c r="C8" s="330">
        <f>C6+C7</f>
        <v>2957715106.6986084</v>
      </c>
      <c r="D8" s="59"/>
      <c r="E8" s="274"/>
      <c r="F8" s="59"/>
      <c r="G8" s="329">
        <f>IF(G$4="","",G6+G7)</f>
        <v>3109212579</v>
      </c>
      <c r="H8" s="329">
        <f t="shared" ref="H8:Q8" si="4">IF(H$4="","",H6+H7)</f>
        <v>3269786767</v>
      </c>
      <c r="I8" s="329">
        <f t="shared" si="4"/>
        <v>3194217743</v>
      </c>
      <c r="J8" s="329">
        <f t="shared" si="4"/>
        <v>2897969551</v>
      </c>
      <c r="K8" s="329">
        <f t="shared" si="4"/>
        <v>1702921432</v>
      </c>
      <c r="L8" s="329">
        <f t="shared" si="4"/>
        <v>568592883</v>
      </c>
      <c r="M8" s="329">
        <f t="shared" si="4"/>
        <v>495381989</v>
      </c>
      <c r="N8" s="329">
        <f t="shared" si="4"/>
        <v>363662082</v>
      </c>
      <c r="O8" s="329">
        <f t="shared" si="4"/>
        <v>357305715</v>
      </c>
      <c r="P8" s="329">
        <f t="shared" si="4"/>
        <v>231478986</v>
      </c>
      <c r="Q8" s="329" t="str">
        <f t="shared" si="4"/>
        <v/>
      </c>
    </row>
    <row r="9" spans="1:17" ht="15.75" customHeight="1">
      <c r="A9" s="10"/>
      <c r="B9" s="2" t="s">
        <v>65</v>
      </c>
      <c r="C9" s="328">
        <f>BS!$G$39*BS!D58</f>
        <v>575917865</v>
      </c>
      <c r="E9" s="268"/>
      <c r="G9" s="328">
        <f>IF(Data!C61="","",-Data!C61)</f>
        <v>575917865</v>
      </c>
      <c r="H9" s="328">
        <f>IF(Data!D61="","",-Data!D61)</f>
        <v>514817738</v>
      </c>
      <c r="I9" s="328">
        <f>IF(Data!E61="","",-Data!E61)</f>
        <v>504410326</v>
      </c>
      <c r="J9" s="328">
        <f>IF(Data!F61="","",-Data!F61)</f>
        <v>451827434</v>
      </c>
      <c r="K9" s="328">
        <f>IF(Data!G61="","",-Data!G61)</f>
        <v>413794059</v>
      </c>
      <c r="L9" s="328">
        <f>IF(Data!H61="","",-Data!H61)</f>
        <v>174070610</v>
      </c>
      <c r="M9" s="328">
        <f>IF(Data!I61="","",-Data!I61)</f>
        <v>173632673</v>
      </c>
      <c r="N9" s="328">
        <f>IF(Data!J61="","",-Data!J61)</f>
        <v>0</v>
      </c>
      <c r="O9" s="328">
        <f>IF(Data!K61="","",-Data!K61)</f>
        <v>0</v>
      </c>
      <c r="P9" s="328">
        <f>IF(Data!L61="","",-Data!L61)</f>
        <v>0</v>
      </c>
      <c r="Q9" s="328" t="str">
        <f>IF(Data!M61="","",-Data!M61)</f>
        <v/>
      </c>
    </row>
    <row r="10" spans="1:17" ht="15.75" customHeight="1">
      <c r="A10" s="10"/>
      <c r="B10" s="2" t="s">
        <v>80</v>
      </c>
      <c r="C10" s="328">
        <f>-C4*C78</f>
        <v>-575917865</v>
      </c>
      <c r="E10" s="268"/>
      <c r="G10" s="328">
        <f>Data!C62</f>
        <v>-575917865</v>
      </c>
      <c r="H10" s="328">
        <f>Data!D62</f>
        <v>-514817738</v>
      </c>
      <c r="I10" s="328">
        <f>Data!E62</f>
        <v>-504410326</v>
      </c>
      <c r="J10" s="328">
        <f>Data!F62</f>
        <v>-451827434</v>
      </c>
      <c r="K10" s="328">
        <f>Data!G62</f>
        <v>-413794059</v>
      </c>
      <c r="L10" s="328">
        <f>Data!H62</f>
        <v>-174070610</v>
      </c>
      <c r="M10" s="328">
        <f>Data!I62</f>
        <v>-173632673</v>
      </c>
      <c r="N10" s="328">
        <f>Data!J62</f>
        <v>0</v>
      </c>
      <c r="O10" s="328">
        <f>Data!K62</f>
        <v>0</v>
      </c>
      <c r="P10" s="328">
        <f>Data!L62</f>
        <v>0</v>
      </c>
      <c r="Q10" s="328" t="str">
        <f>Data!M62</f>
        <v/>
      </c>
    </row>
    <row r="11" spans="1:17" ht="15.75" customHeight="1">
      <c r="A11" s="10"/>
      <c r="B11" s="31" t="s">
        <v>193</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31406153.816265978</v>
      </c>
      <c r="E12" s="268"/>
      <c r="G12" s="328">
        <f>G50</f>
        <v>31406153.816265978</v>
      </c>
      <c r="H12" s="328">
        <f t="shared" ref="H12:Q12" si="6">H50</f>
        <v>61971192.331585214</v>
      </c>
      <c r="I12" s="328">
        <f t="shared" si="6"/>
        <v>58874284.747775584</v>
      </c>
      <c r="J12" s="328">
        <f t="shared" si="6"/>
        <v>20137430.77782803</v>
      </c>
      <c r="K12" s="328">
        <f t="shared" si="6"/>
        <v>6490894.562197201</v>
      </c>
      <c r="L12" s="328">
        <f t="shared" si="6"/>
        <v>-2599288.5787666151</v>
      </c>
      <c r="M12" s="328">
        <f t="shared" si="6"/>
        <v>-6040379.1363799218</v>
      </c>
      <c r="N12" s="328">
        <f t="shared" si="6"/>
        <v>0</v>
      </c>
      <c r="O12" s="328">
        <f t="shared" si="6"/>
        <v>0</v>
      </c>
      <c r="P12" s="328">
        <f t="shared" si="6"/>
        <v>0</v>
      </c>
      <c r="Q12" s="328" t="str">
        <f t="shared" si="6"/>
        <v/>
      </c>
    </row>
    <row r="13" spans="1:17" ht="15.75" customHeight="1">
      <c r="A13" s="10"/>
      <c r="B13" s="70" t="s">
        <v>163</v>
      </c>
      <c r="C13" s="329">
        <f>SUM(C8:C12)</f>
        <v>2989121260.5148745</v>
      </c>
      <c r="E13" s="268"/>
      <c r="G13" s="329">
        <f>IF(G$4="","",SUM(G8:G12))</f>
        <v>3140618732.8162661</v>
      </c>
      <c r="H13" s="329">
        <f t="shared" ref="H13:Q13" si="7">IF(H$4="","",SUM(H8:H12))</f>
        <v>3331757959.3315854</v>
      </c>
      <c r="I13" s="329">
        <f t="shared" si="7"/>
        <v>3253092027.7477756</v>
      </c>
      <c r="J13" s="329">
        <f t="shared" si="7"/>
        <v>2918106981.7778282</v>
      </c>
      <c r="K13" s="329">
        <f t="shared" si="7"/>
        <v>1709412326.5621972</v>
      </c>
      <c r="L13" s="329">
        <f t="shared" si="7"/>
        <v>565993594.42123342</v>
      </c>
      <c r="M13" s="329">
        <f t="shared" si="7"/>
        <v>489341609.8636201</v>
      </c>
      <c r="N13" s="329">
        <f t="shared" si="7"/>
        <v>363662082</v>
      </c>
      <c r="O13" s="329">
        <f t="shared" si="7"/>
        <v>357305715</v>
      </c>
      <c r="P13" s="329">
        <f t="shared" si="7"/>
        <v>231478986</v>
      </c>
      <c r="Q13" s="329" t="str">
        <f t="shared" si="7"/>
        <v/>
      </c>
    </row>
    <row r="14" spans="1:17" ht="15.75" customHeight="1">
      <c r="A14" s="10"/>
      <c r="B14" s="2" t="s">
        <v>63</v>
      </c>
      <c r="C14" s="328">
        <f>-SUM(C8+C11,C12)*C43</f>
        <v>-747280315.12871861</v>
      </c>
      <c r="E14" s="268"/>
      <c r="G14" s="328">
        <f>Data!C46</f>
        <v>-670547120</v>
      </c>
      <c r="H14" s="328">
        <f>Data!D46</f>
        <v>-664121997</v>
      </c>
      <c r="I14" s="328">
        <f>Data!E46</f>
        <v>-711879179</v>
      </c>
      <c r="J14" s="328">
        <f>Data!F46</f>
        <v>-541923819</v>
      </c>
      <c r="K14" s="328">
        <f>Data!G46</f>
        <v>-378467716</v>
      </c>
      <c r="L14" s="328">
        <f>Data!H46</f>
        <v>-98780687</v>
      </c>
      <c r="M14" s="328">
        <f>Data!I46</f>
        <v>-61018006</v>
      </c>
      <c r="N14" s="328">
        <f>Data!J46</f>
        <v>-18873927</v>
      </c>
      <c r="O14" s="328">
        <f>Data!K46</f>
        <v>-16833271</v>
      </c>
      <c r="P14" s="328">
        <f>Data!L46</f>
        <v>-42979625</v>
      </c>
      <c r="Q14" s="328" t="str">
        <f>Data!M46</f>
        <v/>
      </c>
    </row>
    <row r="15" spans="1:17" ht="15.75" customHeight="1">
      <c r="A15" s="10"/>
      <c r="B15" s="40" t="s">
        <v>242</v>
      </c>
      <c r="C15" s="328">
        <f>-C4*C83</f>
        <v>-141879704.29826272</v>
      </c>
      <c r="D15" s="60"/>
      <c r="E15" s="275"/>
      <c r="F15" s="60"/>
      <c r="G15" s="333">
        <f>Data!C48</f>
        <v>-146792828</v>
      </c>
      <c r="H15" s="333">
        <f>Data!D48</f>
        <v>0</v>
      </c>
      <c r="I15" s="333">
        <f>Data!E48</f>
        <v>0</v>
      </c>
      <c r="J15" s="333">
        <f>Data!F48</f>
        <v>0</v>
      </c>
      <c r="K15" s="333">
        <f>Data!G48</f>
        <v>0</v>
      </c>
      <c r="L15" s="333">
        <f>Data!H48</f>
        <v>0</v>
      </c>
      <c r="M15" s="333">
        <f>Data!I48</f>
        <v>0</v>
      </c>
      <c r="N15" s="333">
        <f>Data!J48</f>
        <v>0</v>
      </c>
      <c r="O15" s="333">
        <f>Data!K48</f>
        <v>0</v>
      </c>
      <c r="P15" s="333">
        <f>Data!L48</f>
        <v>0</v>
      </c>
      <c r="Q15" s="333" t="str">
        <f>Data!M48</f>
        <v/>
      </c>
    </row>
    <row r="16" spans="1:17" ht="15.75" customHeight="1">
      <c r="A16" s="10"/>
      <c r="B16" s="41" t="s">
        <v>153</v>
      </c>
      <c r="C16" s="332">
        <f>SUM(C13:C15)</f>
        <v>2099961241.0878935</v>
      </c>
      <c r="D16" s="61"/>
      <c r="E16" s="276"/>
      <c r="F16" s="61"/>
      <c r="G16" s="329">
        <f>IF(G$4="","",SUM(G13:G15))</f>
        <v>2323278784.8162661</v>
      </c>
      <c r="H16" s="329">
        <f t="shared" ref="H16:Q16" si="8">IF(H$4="","",SUM(H13:H15))</f>
        <v>2667635962.3315854</v>
      </c>
      <c r="I16" s="329">
        <f t="shared" si="8"/>
        <v>2541212848.7477756</v>
      </c>
      <c r="J16" s="329">
        <f t="shared" si="8"/>
        <v>2376183162.7778282</v>
      </c>
      <c r="K16" s="329">
        <f t="shared" si="8"/>
        <v>1330944610.5621972</v>
      </c>
      <c r="L16" s="329">
        <f t="shared" si="8"/>
        <v>467212907.42123342</v>
      </c>
      <c r="M16" s="329">
        <f t="shared" si="8"/>
        <v>428323603.8636201</v>
      </c>
      <c r="N16" s="329">
        <f t="shared" si="8"/>
        <v>344788155</v>
      </c>
      <c r="O16" s="329">
        <f t="shared" si="8"/>
        <v>340472444</v>
      </c>
      <c r="P16" s="329">
        <f t="shared" si="8"/>
        <v>188499361</v>
      </c>
      <c r="Q16" s="329" t="str">
        <f t="shared" si="8"/>
        <v/>
      </c>
    </row>
    <row r="17" spans="1:17" ht="15.75" customHeight="1">
      <c r="A17" s="10"/>
      <c r="B17" s="27" t="s">
        <v>52</v>
      </c>
      <c r="C17" s="328">
        <f>-C4*C85</f>
        <v>0</v>
      </c>
      <c r="D17" s="58"/>
      <c r="E17" s="267" t="s">
        <v>328</v>
      </c>
      <c r="F17" s="58"/>
      <c r="G17" s="335"/>
      <c r="H17" s="335"/>
      <c r="I17" s="335"/>
      <c r="J17" s="335"/>
      <c r="K17" s="335"/>
      <c r="L17" s="335"/>
      <c r="M17" s="335"/>
      <c r="N17" s="335"/>
      <c r="O17" s="335"/>
      <c r="P17" s="335"/>
      <c r="Q17" s="335"/>
    </row>
    <row r="18" spans="1:17" ht="15.75" customHeight="1">
      <c r="A18" s="10"/>
      <c r="B18" s="27" t="s">
        <v>98</v>
      </c>
      <c r="C18" s="328">
        <v>0</v>
      </c>
      <c r="D18" s="58"/>
      <c r="E18" s="267" t="s">
        <v>329</v>
      </c>
      <c r="F18" s="58"/>
      <c r="G18" s="336"/>
      <c r="H18" s="336"/>
      <c r="I18" s="336"/>
      <c r="J18" s="336"/>
      <c r="K18" s="336"/>
      <c r="L18" s="336"/>
      <c r="M18" s="336"/>
      <c r="N18" s="336"/>
      <c r="O18" s="336"/>
      <c r="P18" s="336"/>
      <c r="Q18" s="336"/>
    </row>
    <row r="19" spans="1:17" ht="15.75" customHeight="1">
      <c r="A19" s="10"/>
      <c r="B19" s="31" t="s">
        <v>66</v>
      </c>
      <c r="C19" s="329">
        <f>C16+C17</f>
        <v>2099961241.0878935</v>
      </c>
      <c r="D19" s="27"/>
      <c r="E19" s="265"/>
      <c r="F19" s="27"/>
      <c r="G19" s="334">
        <f>IF(G$4="","",G16+G17)</f>
        <v>2323278784.8162661</v>
      </c>
      <c r="H19" s="334">
        <f t="shared" ref="H19:Q19" si="9">IF(H$4="","",H16+H17)</f>
        <v>2667635962.3315854</v>
      </c>
      <c r="I19" s="334">
        <f t="shared" si="9"/>
        <v>2541212848.7477756</v>
      </c>
      <c r="J19" s="334">
        <f t="shared" si="9"/>
        <v>2376183162.7778282</v>
      </c>
      <c r="K19" s="334">
        <f t="shared" si="9"/>
        <v>1330944610.5621972</v>
      </c>
      <c r="L19" s="334">
        <f t="shared" si="9"/>
        <v>467212907.42123342</v>
      </c>
      <c r="M19" s="334">
        <f t="shared" si="9"/>
        <v>428323603.8636201</v>
      </c>
      <c r="N19" s="334">
        <f t="shared" si="9"/>
        <v>344788155</v>
      </c>
      <c r="O19" s="334">
        <f t="shared" si="9"/>
        <v>340472444</v>
      </c>
      <c r="P19" s="334">
        <f t="shared" si="9"/>
        <v>188499361</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204</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-8199195071.4115868</v>
      </c>
      <c r="D23" s="58"/>
      <c r="E23" s="267"/>
      <c r="F23" s="58"/>
      <c r="G23" s="333">
        <f>Data!C37</f>
        <v>-8483123346</v>
      </c>
      <c r="H23" s="333">
        <f>Data!D37</f>
        <v>-8491525016</v>
      </c>
      <c r="I23" s="333">
        <f>Data!E37</f>
        <v>-7873287284</v>
      </c>
      <c r="J23" s="333">
        <f>Data!F37</f>
        <v>-7328418046</v>
      </c>
      <c r="K23" s="333">
        <f>Data!G37</f>
        <v>-6166079008</v>
      </c>
      <c r="L23" s="333">
        <f>Data!H37</f>
        <v>-2359127300</v>
      </c>
      <c r="M23" s="333">
        <f>Data!I37</f>
        <v>-2362728713</v>
      </c>
      <c r="N23" s="333">
        <f>Data!J37</f>
        <v>-2190920673</v>
      </c>
      <c r="O23" s="333">
        <f>Data!K37</f>
        <v>-2209433704</v>
      </c>
      <c r="P23" s="333">
        <f>Data!L37</f>
        <v>-2369740058</v>
      </c>
      <c r="Q23" s="333" t="str">
        <f>Data!M37</f>
        <v/>
      </c>
    </row>
    <row r="24" spans="1:17" ht="15.75" customHeight="1">
      <c r="A24" s="10"/>
      <c r="B24" s="68" t="s">
        <v>62</v>
      </c>
      <c r="C24" s="328">
        <f>-C4*C29</f>
        <v>-2428555749.1398058</v>
      </c>
      <c r="D24" s="27"/>
      <c r="E24" s="265"/>
      <c r="F24" s="27"/>
      <c r="G24" s="333">
        <f>Data!C40</f>
        <v>-2512653717</v>
      </c>
      <c r="H24" s="333">
        <f>Data!D40</f>
        <v>-2532621833</v>
      </c>
      <c r="I24" s="333">
        <f>Data!E40</f>
        <v>-2326217227</v>
      </c>
      <c r="J24" s="333">
        <f>Data!F40</f>
        <v>-2212894661</v>
      </c>
      <c r="K24" s="333">
        <f>Data!G40</f>
        <v>-2304313181</v>
      </c>
      <c r="L24" s="333">
        <f>Data!H40</f>
        <v>-492206624</v>
      </c>
      <c r="M24" s="333">
        <f>Data!I40</f>
        <v>-455284418</v>
      </c>
      <c r="N24" s="333">
        <f>Data!J40</f>
        <v>-465218537</v>
      </c>
      <c r="O24" s="333">
        <f>Data!K40</f>
        <v>-445553542</v>
      </c>
      <c r="P24" s="333">
        <f>Data!L40</f>
        <v>-489868548</v>
      </c>
      <c r="Q24" s="333" t="str">
        <f>Data!M40</f>
        <v/>
      </c>
    </row>
    <row r="25" spans="1:17" ht="15.75" customHeight="1">
      <c r="A25" s="10"/>
      <c r="B25" s="70" t="s">
        <v>46</v>
      </c>
      <c r="C25" s="329">
        <f>C23+C24</f>
        <v>-10627750820.551392</v>
      </c>
      <c r="D25" s="9"/>
      <c r="E25" s="273"/>
      <c r="F25" s="9"/>
      <c r="G25" s="329">
        <f t="shared" ref="G25:Q25" si="10">IF(G$4="","",G23+G24)</f>
        <v>-10995777063</v>
      </c>
      <c r="H25" s="329">
        <f t="shared" si="10"/>
        <v>-11024146849</v>
      </c>
      <c r="I25" s="329">
        <f t="shared" si="10"/>
        <v>-10199504511</v>
      </c>
      <c r="J25" s="329">
        <f t="shared" si="10"/>
        <v>-9541312707</v>
      </c>
      <c r="K25" s="329">
        <f t="shared" si="10"/>
        <v>-8470392189</v>
      </c>
      <c r="L25" s="329">
        <f t="shared" si="10"/>
        <v>-2851333924</v>
      </c>
      <c r="M25" s="329">
        <f t="shared" si="10"/>
        <v>-2818013131</v>
      </c>
      <c r="N25" s="329">
        <f t="shared" si="10"/>
        <v>-2656139210</v>
      </c>
      <c r="O25" s="329">
        <f t="shared" si="10"/>
        <v>-2654987246</v>
      </c>
      <c r="P25" s="329">
        <f t="shared" si="10"/>
        <v>-2859608606</v>
      </c>
      <c r="Q25" s="329" t="str">
        <f t="shared" si="10"/>
        <v/>
      </c>
    </row>
    <row r="26" spans="1:17" ht="15.75" customHeight="1">
      <c r="A26" s="10"/>
      <c r="E26" s="268"/>
    </row>
    <row r="27" spans="1:17" ht="15.75" customHeight="1">
      <c r="A27" s="10"/>
      <c r="B27" s="64" t="s">
        <v>205</v>
      </c>
      <c r="E27" s="268"/>
    </row>
    <row r="28" spans="1:17" ht="15.75" customHeight="1">
      <c r="A28" s="10"/>
      <c r="B28" s="26" t="s">
        <v>43</v>
      </c>
      <c r="C28" s="63">
        <f>G28</f>
        <v>0.57926639143826886</v>
      </c>
      <c r="D28" s="26"/>
      <c r="E28" s="266" t="s">
        <v>330</v>
      </c>
      <c r="F28" s="26"/>
      <c r="G28" s="13">
        <f t="shared" ref="G28:Q28" si="11">IF(G$4="","",ABS(G23/G$4))</f>
        <v>0.57926639143826886</v>
      </c>
      <c r="H28" s="13">
        <f t="shared" si="11"/>
        <v>0.57317710307406633</v>
      </c>
      <c r="I28" s="13">
        <f t="shared" si="11"/>
        <v>0.56081377228937146</v>
      </c>
      <c r="J28" s="13">
        <f t="shared" si="11"/>
        <v>0.55859779681131982</v>
      </c>
      <c r="K28" s="13">
        <f t="shared" si="11"/>
        <v>0.56354294128018945</v>
      </c>
      <c r="L28" s="13">
        <f t="shared" si="11"/>
        <v>0.65862019253740478</v>
      </c>
      <c r="M28" s="13">
        <f t="shared" si="11"/>
        <v>0.68142480587394372</v>
      </c>
      <c r="N28" s="13">
        <f t="shared" si="11"/>
        <v>0.68994086095875051</v>
      </c>
      <c r="O28" s="13">
        <f t="shared" si="11"/>
        <v>0.69132914964861736</v>
      </c>
      <c r="P28" s="13">
        <f t="shared" si="11"/>
        <v>0.71297282426707065</v>
      </c>
      <c r="Q28" s="13" t="str">
        <f t="shared" si="11"/>
        <v/>
      </c>
    </row>
    <row r="29" spans="1:17" ht="15.75" customHeight="1">
      <c r="A29" s="10"/>
      <c r="B29" s="68" t="str">
        <f>B24</f>
        <v>Selling Expenses</v>
      </c>
      <c r="C29" s="63">
        <f>G29</f>
        <v>0.17157546722067235</v>
      </c>
      <c r="D29" s="26"/>
      <c r="E29" s="266" t="s">
        <v>330</v>
      </c>
      <c r="F29" s="26"/>
      <c r="G29" s="13">
        <f t="shared" ref="G29:Q29" si="12">IF(G$4="","",ABS(G24/G$4))</f>
        <v>0.17157546722067235</v>
      </c>
      <c r="H29" s="13">
        <f t="shared" si="12"/>
        <v>0.17095172453544494</v>
      </c>
      <c r="I29" s="13">
        <f t="shared" si="12"/>
        <v>0.16569631097921855</v>
      </c>
      <c r="J29" s="13">
        <f t="shared" si="12"/>
        <v>0.16867461360024771</v>
      </c>
      <c r="K29" s="13">
        <f t="shared" si="12"/>
        <v>0.21060051711414099</v>
      </c>
      <c r="L29" s="13">
        <f t="shared" si="12"/>
        <v>0.13741404351815437</v>
      </c>
      <c r="M29" s="13">
        <f t="shared" si="12"/>
        <v>0.13130669401277192</v>
      </c>
      <c r="N29" s="13">
        <f t="shared" si="12"/>
        <v>0.14650155156564645</v>
      </c>
      <c r="O29" s="13">
        <f t="shared" si="12"/>
        <v>0.13941316761672318</v>
      </c>
      <c r="P29" s="13">
        <f t="shared" si="12"/>
        <v>0.14738450363283223</v>
      </c>
      <c r="Q29" s="13" t="str">
        <f t="shared" si="12"/>
        <v/>
      </c>
    </row>
    <row r="30" spans="1:17" ht="15.75" customHeight="1">
      <c r="A30" s="10"/>
      <c r="B30" s="70" t="s">
        <v>46</v>
      </c>
      <c r="C30" s="71">
        <f>ABS(C25/$C$4)</f>
        <v>0.75084185865894115</v>
      </c>
      <c r="E30" s="268"/>
      <c r="G30" s="30">
        <f t="shared" ref="G30:Q30" si="13">IF(G$4="","",ABS(G25/G$4))</f>
        <v>0.75084185865894126</v>
      </c>
      <c r="H30" s="30">
        <f t="shared" si="13"/>
        <v>0.74412882760951127</v>
      </c>
      <c r="I30" s="30">
        <f t="shared" si="13"/>
        <v>0.7265100832685899</v>
      </c>
      <c r="J30" s="30">
        <f t="shared" si="13"/>
        <v>0.72727241041156754</v>
      </c>
      <c r="K30" s="30">
        <f t="shared" si="13"/>
        <v>0.77414345839433041</v>
      </c>
      <c r="L30" s="30">
        <f t="shared" si="13"/>
        <v>0.79603423605555912</v>
      </c>
      <c r="M30" s="30">
        <f t="shared" si="13"/>
        <v>0.81273149988671567</v>
      </c>
      <c r="N30" s="30">
        <f t="shared" si="13"/>
        <v>0.83644241252439699</v>
      </c>
      <c r="O30" s="30">
        <f t="shared" si="13"/>
        <v>0.83074231726534054</v>
      </c>
      <c r="P30" s="30">
        <f t="shared" si="13"/>
        <v>0.86035732789990294</v>
      </c>
      <c r="Q30" s="30" t="str">
        <f t="shared" si="13"/>
        <v/>
      </c>
    </row>
    <row r="31" spans="1:17" ht="15.75" customHeight="1">
      <c r="A31" s="10"/>
      <c r="E31" s="268"/>
    </row>
    <row r="32" spans="1:17" ht="15.75" customHeight="1">
      <c r="A32" s="10"/>
      <c r="B32" s="64" t="s">
        <v>45</v>
      </c>
      <c r="E32" s="268"/>
    </row>
    <row r="33" spans="1:17" ht="15.75" customHeight="1">
      <c r="A33" s="10"/>
      <c r="B33" s="8" t="s">
        <v>173</v>
      </c>
      <c r="C33" s="340">
        <f>AVERAGE(G33:J33)</f>
        <v>-515765096.5</v>
      </c>
      <c r="E33" s="266" t="s">
        <v>330</v>
      </c>
      <c r="G33" s="328">
        <f>Data!C41</f>
        <v>-516942154</v>
      </c>
      <c r="H33" s="328">
        <f>Data!D41</f>
        <v>-494670738</v>
      </c>
      <c r="I33" s="328">
        <f>Data!E41</f>
        <v>-534570349</v>
      </c>
      <c r="J33" s="328">
        <f>Data!F41</f>
        <v>-516877145</v>
      </c>
      <c r="K33" s="328">
        <f>Data!G41</f>
        <v>-684104925</v>
      </c>
      <c r="L33" s="328">
        <f>Data!H41</f>
        <v>-161996928</v>
      </c>
      <c r="M33" s="328">
        <f>Data!I41</f>
        <v>-153940810</v>
      </c>
      <c r="N33" s="328">
        <f>Data!J41</f>
        <v>-155718230</v>
      </c>
      <c r="O33" s="328">
        <f>Data!K41</f>
        <v>-183628555</v>
      </c>
      <c r="P33" s="328">
        <f>Data!L41</f>
        <v>-232657686</v>
      </c>
      <c r="Q33" s="328" t="str">
        <f>Data!M41</f>
        <v/>
      </c>
    </row>
    <row r="34" spans="1:17" ht="15.75" customHeight="1">
      <c r="A34" s="10"/>
      <c r="B34" s="27" t="s">
        <v>49</v>
      </c>
      <c r="C34" s="340">
        <f>AVERAGE(G34:I34)</f>
        <v>-53215346</v>
      </c>
      <c r="D34" s="58"/>
      <c r="E34" s="266" t="s">
        <v>330</v>
      </c>
      <c r="F34" s="58"/>
      <c r="G34" s="333">
        <f>Data!C42</f>
        <v>-22666046</v>
      </c>
      <c r="H34" s="333">
        <f>Data!D42</f>
        <v>-26232056</v>
      </c>
      <c r="I34" s="333">
        <f>Data!E42</f>
        <v>-110747936</v>
      </c>
      <c r="J34" s="333">
        <f>Data!F42</f>
        <v>-163151285</v>
      </c>
      <c r="K34" s="333">
        <f>Data!G42</f>
        <v>-84212617</v>
      </c>
      <c r="L34" s="333">
        <f>Data!H42</f>
        <v>0</v>
      </c>
      <c r="M34" s="333">
        <f>Data!I42</f>
        <v>0</v>
      </c>
      <c r="N34" s="333">
        <f>Data!J42</f>
        <v>0</v>
      </c>
      <c r="O34" s="333">
        <f>Data!K42</f>
        <v>0</v>
      </c>
      <c r="P34" s="333">
        <f>Data!L42</f>
        <v>0</v>
      </c>
      <c r="Q34" s="333" t="str">
        <f>Data!M42</f>
        <v/>
      </c>
    </row>
    <row r="35" spans="1:17" ht="15.75" customHeight="1">
      <c r="A35" s="10"/>
      <c r="B35" s="70" t="s">
        <v>45</v>
      </c>
      <c r="C35" s="329">
        <f>C33+C34</f>
        <v>-568980442.5</v>
      </c>
      <c r="D35" s="58"/>
      <c r="E35" s="267"/>
      <c r="F35" s="58"/>
      <c r="G35" s="329">
        <f t="shared" ref="G35:Q35" si="14">IF(G4="","",G33+G34)</f>
        <v>-539608200</v>
      </c>
      <c r="H35" s="329">
        <f t="shared" si="14"/>
        <v>-520902794</v>
      </c>
      <c r="I35" s="329">
        <f t="shared" si="14"/>
        <v>-645318285</v>
      </c>
      <c r="J35" s="329">
        <f t="shared" si="14"/>
        <v>-680028430</v>
      </c>
      <c r="K35" s="329">
        <f t="shared" si="14"/>
        <v>-768317542</v>
      </c>
      <c r="L35" s="329">
        <f t="shared" si="14"/>
        <v>-161996928</v>
      </c>
      <c r="M35" s="329">
        <f t="shared" si="14"/>
        <v>-153940810</v>
      </c>
      <c r="N35" s="329">
        <f t="shared" si="14"/>
        <v>-155718230</v>
      </c>
      <c r="O35" s="329">
        <f t="shared" si="14"/>
        <v>-183628555</v>
      </c>
      <c r="P35" s="329">
        <f t="shared" si="14"/>
        <v>-232657686</v>
      </c>
      <c r="Q35" s="329" t="str">
        <f t="shared" si="14"/>
        <v/>
      </c>
    </row>
    <row r="36" spans="1:17" ht="15.75" customHeight="1">
      <c r="A36" s="10"/>
      <c r="E36" s="268"/>
    </row>
    <row r="37" spans="1:17" ht="15.75" customHeight="1">
      <c r="A37" s="10"/>
      <c r="B37" s="64" t="s">
        <v>206</v>
      </c>
      <c r="E37" s="268"/>
    </row>
    <row r="38" spans="1:17" ht="15.75" customHeight="1">
      <c r="A38" s="10"/>
      <c r="B38" s="2" t="str">
        <f>B33</f>
        <v>G&amp;A and other Opex</v>
      </c>
      <c r="C38" s="23">
        <f>ABS(C33/$C$4)</f>
        <v>3.6438380069902347E-2</v>
      </c>
      <c r="D38" s="27"/>
      <c r="E38" s="265"/>
      <c r="F38" s="27"/>
      <c r="G38" s="13">
        <f t="shared" ref="G38:Q38" si="15">IF(G$4="","",ABS(G33/G$4))</f>
        <v>3.5299170354643326E-2</v>
      </c>
      <c r="H38" s="13">
        <f t="shared" si="15"/>
        <v>3.3390226142902109E-2</v>
      </c>
      <c r="I38" s="13">
        <f t="shared" si="15"/>
        <v>3.8077413304348037E-2</v>
      </c>
      <c r="J38" s="13">
        <f t="shared" si="15"/>
        <v>3.9398193799372275E-2</v>
      </c>
      <c r="K38" s="13">
        <f t="shared" si="15"/>
        <v>6.2523120621480591E-2</v>
      </c>
      <c r="L38" s="13">
        <f t="shared" si="15"/>
        <v>4.5226235951670815E-2</v>
      </c>
      <c r="M38" s="13">
        <f t="shared" si="15"/>
        <v>4.4397431661604245E-2</v>
      </c>
      <c r="N38" s="13">
        <f t="shared" si="15"/>
        <v>4.9037087922522302E-2</v>
      </c>
      <c r="O38" s="13">
        <f t="shared" si="15"/>
        <v>5.7457154088636261E-2</v>
      </c>
      <c r="P38" s="13">
        <f t="shared" si="15"/>
        <v>6.9998651081949734E-2</v>
      </c>
      <c r="Q38" s="13" t="str">
        <f t="shared" si="15"/>
        <v/>
      </c>
    </row>
    <row r="39" spans="1:17" ht="15.75" customHeight="1">
      <c r="A39" s="10"/>
      <c r="B39" s="27" t="str">
        <f>B34</f>
        <v>R&amp;D</v>
      </c>
      <c r="C39" s="23">
        <f>ABS(C34/$C$4)</f>
        <v>3.7596204478706082E-3</v>
      </c>
      <c r="D39" s="27"/>
      <c r="E39" s="265"/>
      <c r="F39" s="27"/>
      <c r="G39" s="13">
        <f t="shared" ref="G39:Q39" si="16">IF(G$4="","",ABS(G34/G$4))</f>
        <v>1.5477411018413134E-3</v>
      </c>
      <c r="H39" s="13">
        <f t="shared" si="16"/>
        <v>1.7706611989514369E-3</v>
      </c>
      <c r="I39" s="13">
        <f t="shared" si="16"/>
        <v>7.8885687160989253E-3</v>
      </c>
      <c r="J39" s="13">
        <f t="shared" si="16"/>
        <v>1.2435964730161592E-2</v>
      </c>
      <c r="K39" s="13">
        <f t="shared" si="16"/>
        <v>7.6965322396144818E-3</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4.0198000517772954E-2</v>
      </c>
      <c r="E40" s="268"/>
      <c r="G40" s="30">
        <f t="shared" ref="G40:Q40" si="17">IF(G$4="","",ABS(G35/G$4))</f>
        <v>3.6846911456484638E-2</v>
      </c>
      <c r="H40" s="30">
        <f t="shared" si="17"/>
        <v>3.5160887341853547E-2</v>
      </c>
      <c r="I40" s="30">
        <f t="shared" si="17"/>
        <v>4.5965982020446959E-2</v>
      </c>
      <c r="J40" s="30">
        <f t="shared" si="17"/>
        <v>5.1834158529533866E-2</v>
      </c>
      <c r="K40" s="30">
        <f t="shared" si="17"/>
        <v>7.0219652861095078E-2</v>
      </c>
      <c r="L40" s="30">
        <f t="shared" si="17"/>
        <v>4.5226235951670815E-2</v>
      </c>
      <c r="M40" s="30">
        <f t="shared" si="17"/>
        <v>4.4397431661604245E-2</v>
      </c>
      <c r="N40" s="30">
        <f t="shared" si="17"/>
        <v>4.9037087922522302E-2</v>
      </c>
      <c r="O40" s="30">
        <f t="shared" si="17"/>
        <v>5.7457154088636261E-2</v>
      </c>
      <c r="P40" s="30">
        <f t="shared" si="17"/>
        <v>6.9998651081949734E-2</v>
      </c>
      <c r="Q40" s="30" t="str">
        <f t="shared" si="17"/>
        <v/>
      </c>
    </row>
    <row r="41" spans="1:17" ht="15.75" customHeight="1">
      <c r="A41" s="10"/>
      <c r="E41" s="268"/>
    </row>
    <row r="42" spans="1:17" ht="15.75" customHeight="1">
      <c r="A42" s="10"/>
      <c r="B42" s="64" t="s">
        <v>207</v>
      </c>
      <c r="E42" s="268"/>
    </row>
    <row r="43" spans="1:17" ht="15.75" customHeight="1">
      <c r="A43" s="10"/>
      <c r="B43" s="27" t="s">
        <v>170</v>
      </c>
      <c r="C43" s="263">
        <v>0.25</v>
      </c>
      <c r="D43" s="27"/>
      <c r="E43" s="265" t="s">
        <v>331</v>
      </c>
      <c r="F43" s="27"/>
      <c r="G43" s="6">
        <f t="shared" ref="G43:Q43" si="18">IF(G$4="","",-G14/SUM(G8+G11,G12))</f>
        <v>0.21350796675618908</v>
      </c>
      <c r="H43" s="6">
        <f t="shared" si="18"/>
        <v>0.1993308052705112</v>
      </c>
      <c r="I43" s="6">
        <f t="shared" si="18"/>
        <v>0.21883155254382944</v>
      </c>
      <c r="J43" s="6">
        <f t="shared" si="18"/>
        <v>0.18571074411735178</v>
      </c>
      <c r="K43" s="6">
        <f t="shared" si="18"/>
        <v>0.221402238722086</v>
      </c>
      <c r="L43" s="6">
        <f t="shared" si="18"/>
        <v>0.17452615713965794</v>
      </c>
      <c r="M43" s="6">
        <f t="shared" si="18"/>
        <v>0.12469408848555873</v>
      </c>
      <c r="N43" s="6">
        <f t="shared" si="18"/>
        <v>5.1899628622815837E-2</v>
      </c>
      <c r="O43" s="6">
        <f t="shared" si="18"/>
        <v>4.7111675781620233E-2</v>
      </c>
      <c r="P43" s="6">
        <f t="shared" si="18"/>
        <v>0.18567398165464574</v>
      </c>
      <c r="Q43" s="6" t="str">
        <f t="shared" si="18"/>
        <v/>
      </c>
    </row>
    <row r="44" spans="1:17" ht="15.75" customHeight="1">
      <c r="A44" s="10"/>
    </row>
    <row r="45" spans="1:17" ht="15.75" customHeight="1">
      <c r="A45" s="10"/>
      <c r="B45" s="54" t="s">
        <v>208</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-7672861</v>
      </c>
      <c r="E47" s="268"/>
      <c r="G47" s="328">
        <f>Data!C51</f>
        <v>-7672861</v>
      </c>
      <c r="H47" s="328">
        <f>Data!D51</f>
        <v>-5921669</v>
      </c>
      <c r="I47" s="328">
        <f>Data!E51</f>
        <v>-3696844</v>
      </c>
      <c r="J47" s="328">
        <f>Data!F51</f>
        <v>-14186775</v>
      </c>
      <c r="K47" s="328">
        <f>Data!G51</f>
        <v>-35823675</v>
      </c>
      <c r="L47" s="328">
        <f>Data!H51</f>
        <v>-10770646</v>
      </c>
      <c r="M47" s="328">
        <f>Data!I51</f>
        <v>-12333775</v>
      </c>
      <c r="N47" s="328">
        <f>Data!J51</f>
        <v>0</v>
      </c>
      <c r="O47" s="328">
        <f>Data!K51</f>
        <v>0</v>
      </c>
      <c r="P47" s="328">
        <f>Data!L51</f>
        <v>0</v>
      </c>
      <c r="Q47" s="328" t="str">
        <f>Data!M51</f>
        <v/>
      </c>
    </row>
    <row r="48" spans="1:17" ht="15.75" customHeight="1">
      <c r="A48" s="10"/>
      <c r="B48" s="2" t="s">
        <v>342</v>
      </c>
      <c r="C48" s="328">
        <f>BS!D75*C53</f>
        <v>39079014.816265978</v>
      </c>
      <c r="E48" s="268"/>
      <c r="G48" s="337">
        <f>IFERROR(IF(G$4="","",($C$48/$C$49)*G49),0)</f>
        <v>39079014.816265978</v>
      </c>
      <c r="H48" s="337">
        <f t="shared" ref="H48:Q48" si="19">IFERROR(IF(H$4="","",($C$48/$C$49)*H49),0)</f>
        <v>67892861.331585214</v>
      </c>
      <c r="I48" s="337">
        <f t="shared" si="19"/>
        <v>62571128.747775584</v>
      </c>
      <c r="J48" s="337">
        <f t="shared" si="19"/>
        <v>34324205.77782803</v>
      </c>
      <c r="K48" s="337">
        <f t="shared" si="19"/>
        <v>42314569.562197201</v>
      </c>
      <c r="L48" s="337">
        <f t="shared" si="19"/>
        <v>8171357.4212333849</v>
      </c>
      <c r="M48" s="337">
        <f t="shared" si="19"/>
        <v>6293395.8636200782</v>
      </c>
      <c r="N48" s="337">
        <f t="shared" si="19"/>
        <v>0</v>
      </c>
      <c r="O48" s="337">
        <f t="shared" si="19"/>
        <v>0</v>
      </c>
      <c r="P48" s="337">
        <f t="shared" si="19"/>
        <v>0</v>
      </c>
      <c r="Q48" s="337" t="str">
        <f t="shared" si="19"/>
        <v/>
      </c>
    </row>
    <row r="49" spans="1:17" ht="15.75" customHeight="1">
      <c r="A49" s="10"/>
      <c r="B49" s="287" t="s">
        <v>339</v>
      </c>
      <c r="C49" s="342">
        <f>BS!$C$66*C53</f>
        <v>41044772</v>
      </c>
      <c r="D49" s="288"/>
      <c r="E49" s="289"/>
      <c r="F49" s="288"/>
      <c r="G49" s="342">
        <f>Data!C52</f>
        <v>41044772</v>
      </c>
      <c r="H49" s="342">
        <f>Data!D52</f>
        <v>71308016</v>
      </c>
      <c r="I49" s="342">
        <f>Data!E52</f>
        <v>65718589</v>
      </c>
      <c r="J49" s="342">
        <f>Data!F52</f>
        <v>36050786</v>
      </c>
      <c r="K49" s="342">
        <f>Data!G52</f>
        <v>44443082</v>
      </c>
      <c r="L49" s="342">
        <f>Data!H52</f>
        <v>8582394</v>
      </c>
      <c r="M49" s="342">
        <f>Data!I52</f>
        <v>6609967</v>
      </c>
      <c r="N49" s="342">
        <f>Data!J52</f>
        <v>0</v>
      </c>
      <c r="O49" s="342">
        <f>Data!K52</f>
        <v>0</v>
      </c>
      <c r="P49" s="342">
        <f>Data!L52</f>
        <v>0</v>
      </c>
      <c r="Q49" s="342" t="str">
        <f>Data!M52</f>
        <v/>
      </c>
    </row>
    <row r="50" spans="1:17" ht="15.75" customHeight="1">
      <c r="A50" s="10"/>
      <c r="B50" s="70" t="s">
        <v>68</v>
      </c>
      <c r="C50" s="329">
        <f>C47+C48</f>
        <v>31406153.816265978</v>
      </c>
      <c r="E50" s="268"/>
      <c r="G50" s="329">
        <f>IF(G$4="","",(G47+G48))</f>
        <v>31406153.816265978</v>
      </c>
      <c r="H50" s="329">
        <f t="shared" ref="H50:Q50" si="20">IF(H$4="","",(H47+H48))</f>
        <v>61971192.331585214</v>
      </c>
      <c r="I50" s="329">
        <f t="shared" si="20"/>
        <v>58874284.747775584</v>
      </c>
      <c r="J50" s="329">
        <f t="shared" si="20"/>
        <v>20137430.77782803</v>
      </c>
      <c r="K50" s="329">
        <f t="shared" si="20"/>
        <v>6490894.562197201</v>
      </c>
      <c r="L50" s="329">
        <f t="shared" si="20"/>
        <v>-2599288.5787666151</v>
      </c>
      <c r="M50" s="329">
        <f t="shared" si="20"/>
        <v>-6040379.1363799218</v>
      </c>
      <c r="N50" s="329">
        <f t="shared" si="20"/>
        <v>0</v>
      </c>
      <c r="O50" s="329">
        <f t="shared" si="20"/>
        <v>0</v>
      </c>
      <c r="P50" s="329">
        <f t="shared" si="20"/>
        <v>0</v>
      </c>
      <c r="Q50" s="329" t="str">
        <f t="shared" si="20"/>
        <v/>
      </c>
    </row>
    <row r="51" spans="1:17" ht="15.75" customHeight="1">
      <c r="A51" s="10"/>
      <c r="E51" s="268"/>
    </row>
    <row r="52" spans="1:17" ht="15.75" customHeight="1">
      <c r="A52" s="10"/>
      <c r="B52" s="72" t="s">
        <v>154</v>
      </c>
      <c r="E52" s="268"/>
      <c r="G52" s="97" t="s">
        <v>218</v>
      </c>
    </row>
    <row r="53" spans="1:17" ht="15.75" customHeight="1">
      <c r="A53" s="10"/>
      <c r="B53" s="8" t="s">
        <v>88</v>
      </c>
      <c r="C53" s="87">
        <f>G53</f>
        <v>3.7946126449583846E-2</v>
      </c>
      <c r="E53" s="265" t="s">
        <v>332</v>
      </c>
      <c r="G53" s="6">
        <f>IF(Normalized_FCF!G4="","",Normalized_FCF!G49/BS!$C$66)</f>
        <v>3.7946126449583846E-2</v>
      </c>
      <c r="H53" s="169"/>
      <c r="I53" s="169"/>
      <c r="J53" s="169"/>
      <c r="K53" s="169"/>
      <c r="L53" s="169"/>
      <c r="M53" s="169"/>
      <c r="N53" s="169"/>
      <c r="O53" s="169"/>
      <c r="P53" s="169"/>
      <c r="Q53" s="169"/>
    </row>
    <row r="54" spans="1:17" ht="15.75" customHeight="1">
      <c r="A54" s="10"/>
      <c r="B54" s="8" t="s">
        <v>87</v>
      </c>
      <c r="C54" s="82">
        <f>G54</f>
        <v>6.2117512427032839E-2</v>
      </c>
      <c r="E54" s="265" t="s">
        <v>333</v>
      </c>
      <c r="G54" s="23">
        <f>IFERROR(ABS(Normalized_FCF!G47/BS!$G$31),0)</f>
        <v>6.2117512427032839E-2</v>
      </c>
      <c r="H54" s="169"/>
      <c r="I54" s="169"/>
      <c r="J54" s="169"/>
      <c r="K54" s="169"/>
      <c r="L54" s="169"/>
      <c r="M54" s="169"/>
      <c r="N54" s="169"/>
      <c r="O54" s="169"/>
      <c r="P54" s="169"/>
      <c r="Q54" s="169"/>
    </row>
    <row r="55" spans="1:17" ht="15.75" customHeight="1">
      <c r="A55" s="10"/>
      <c r="B55" s="26" t="s">
        <v>90</v>
      </c>
      <c r="C55" s="42">
        <f>-C8/C47</f>
        <v>385.47747791842033</v>
      </c>
      <c r="E55" s="268"/>
      <c r="G55" s="42">
        <f t="shared" ref="G55:Q55" si="21">IF(G4="","",-G8/G47)</f>
        <v>405.22206501590478</v>
      </c>
      <c r="H55" s="42">
        <f t="shared" si="21"/>
        <v>552.17317398186219</v>
      </c>
      <c r="I55" s="42">
        <f t="shared" si="21"/>
        <v>864.03909469807218</v>
      </c>
      <c r="J55" s="42">
        <f t="shared" si="21"/>
        <v>204.27260959590888</v>
      </c>
      <c r="K55" s="42">
        <f t="shared" si="21"/>
        <v>47.53620146453428</v>
      </c>
      <c r="L55" s="42">
        <f t="shared" si="21"/>
        <v>52.790973076266738</v>
      </c>
      <c r="M55" s="42">
        <f t="shared" si="21"/>
        <v>40.164668886857427</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167</v>
      </c>
      <c r="E57" s="268"/>
      <c r="G57" s="97" t="s">
        <v>218</v>
      </c>
    </row>
    <row r="58" spans="1:17" ht="15.75" customHeight="1">
      <c r="A58" s="10"/>
      <c r="B58" s="40" t="s">
        <v>166</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158</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157</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193</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159</v>
      </c>
      <c r="C62" s="343">
        <v>0</v>
      </c>
      <c r="E62" s="266" t="s">
        <v>334</v>
      </c>
      <c r="G62" s="328">
        <f>Data!C58</f>
        <v>-222656878</v>
      </c>
      <c r="H62" s="328">
        <f>Data!D58</f>
        <v>40517438</v>
      </c>
      <c r="I62" s="328">
        <f>Data!E58</f>
        <v>42539332</v>
      </c>
      <c r="J62" s="328">
        <f>Data!F58</f>
        <v>21246453</v>
      </c>
      <c r="K62" s="328">
        <f>Data!G58</f>
        <v>419243973</v>
      </c>
      <c r="L62" s="328">
        <f>Data!H58</f>
        <v>260912986</v>
      </c>
      <c r="M62" s="328">
        <f>Data!I58</f>
        <v>-7380704</v>
      </c>
      <c r="N62" s="328">
        <f>Data!J58</f>
        <v>-18665820</v>
      </c>
      <c r="O62" s="328">
        <f>Data!K58</f>
        <v>-200531275</v>
      </c>
      <c r="P62" s="328">
        <f>Data!L58</f>
        <v>-342051382</v>
      </c>
      <c r="Q62" s="328" t="str">
        <f>Data!M58</f>
        <v/>
      </c>
    </row>
    <row r="63" spans="1:17" ht="15.75" customHeight="1">
      <c r="A63" s="10"/>
      <c r="B63" s="31" t="s">
        <v>194</v>
      </c>
      <c r="C63" s="329">
        <f>C61+C62</f>
        <v>0</v>
      </c>
      <c r="E63" s="268"/>
      <c r="G63" s="329">
        <f t="shared" ref="G63:Q63" si="23">IF(G4="","",G61+G62)</f>
        <v>-222656878</v>
      </c>
      <c r="H63" s="329">
        <f t="shared" si="23"/>
        <v>40517438</v>
      </c>
      <c r="I63" s="329">
        <f t="shared" si="23"/>
        <v>42539332</v>
      </c>
      <c r="J63" s="329">
        <f t="shared" si="23"/>
        <v>21246453</v>
      </c>
      <c r="K63" s="329">
        <f t="shared" si="23"/>
        <v>419243973</v>
      </c>
      <c r="L63" s="329">
        <f t="shared" si="23"/>
        <v>260912986</v>
      </c>
      <c r="M63" s="329">
        <f t="shared" si="23"/>
        <v>-7380704</v>
      </c>
      <c r="N63" s="329">
        <f t="shared" si="23"/>
        <v>-18665820</v>
      </c>
      <c r="O63" s="329">
        <f t="shared" si="23"/>
        <v>-200531275</v>
      </c>
      <c r="P63" s="329">
        <f t="shared" si="23"/>
        <v>-342051382</v>
      </c>
      <c r="Q63" s="329" t="str">
        <f t="shared" si="23"/>
        <v/>
      </c>
    </row>
    <row r="64" spans="1:17" ht="15.75" customHeight="1">
      <c r="A64" s="10"/>
      <c r="E64" s="268"/>
    </row>
    <row r="65" spans="1:17" ht="15.75" customHeight="1">
      <c r="A65" s="10"/>
      <c r="B65" s="96" t="s">
        <v>168</v>
      </c>
      <c r="E65" s="268"/>
      <c r="G65" s="97" t="s">
        <v>218</v>
      </c>
    </row>
    <row r="66" spans="1:17" ht="15.75" customHeight="1">
      <c r="A66" s="10"/>
      <c r="B66" s="40" t="s">
        <v>166</v>
      </c>
      <c r="C66" s="176">
        <f>G66</f>
        <v>0</v>
      </c>
      <c r="E66" s="268"/>
      <c r="G66" s="23">
        <f>IFERROR(G58/BS!$C$67,0)</f>
        <v>0</v>
      </c>
      <c r="H66" s="175"/>
      <c r="I66" s="175"/>
      <c r="J66" s="175"/>
      <c r="K66" s="175"/>
      <c r="L66" s="175"/>
      <c r="M66" s="175"/>
      <c r="N66" s="175"/>
      <c r="O66" s="175"/>
      <c r="P66" s="175"/>
      <c r="Q66" s="175"/>
    </row>
    <row r="67" spans="1:17" ht="15.75" customHeight="1">
      <c r="A67" s="10"/>
      <c r="B67" s="105" t="s">
        <v>156</v>
      </c>
      <c r="C67" s="176">
        <f>G67</f>
        <v>0</v>
      </c>
      <c r="E67" s="268"/>
      <c r="G67" s="23">
        <f>IFERROR(G59/BS!$C$68,0)</f>
        <v>0</v>
      </c>
      <c r="H67" s="175"/>
      <c r="I67" s="175"/>
      <c r="J67" s="175"/>
      <c r="K67" s="175"/>
      <c r="L67" s="175"/>
      <c r="M67" s="175"/>
      <c r="N67" s="175"/>
      <c r="O67" s="175"/>
      <c r="P67" s="175"/>
      <c r="Q67" s="175"/>
    </row>
    <row r="68" spans="1:17" ht="15.75" customHeight="1">
      <c r="A68" s="10"/>
      <c r="B68" s="105" t="s">
        <v>157</v>
      </c>
      <c r="C68" s="176">
        <f>G68</f>
        <v>0</v>
      </c>
      <c r="E68" s="268"/>
      <c r="G68" s="23">
        <f>IFERROR(G60/BS!$C$69,0)</f>
        <v>0</v>
      </c>
      <c r="H68" s="175"/>
      <c r="I68" s="175"/>
      <c r="J68" s="175"/>
      <c r="K68" s="175"/>
      <c r="L68" s="175"/>
      <c r="M68" s="175"/>
      <c r="N68" s="175"/>
      <c r="O68" s="175"/>
      <c r="P68" s="175"/>
      <c r="Q68" s="175"/>
    </row>
    <row r="69" spans="1:17" ht="15.75" customHeight="1">
      <c r="A69" s="10"/>
      <c r="B69" s="31" t="s">
        <v>193</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211</v>
      </c>
      <c r="C71" s="54"/>
      <c r="D71" s="56"/>
      <c r="E71" s="66" t="s">
        <v>59</v>
      </c>
      <c r="F71" s="56"/>
      <c r="G71" s="37"/>
      <c r="H71" s="37"/>
      <c r="I71" s="37"/>
      <c r="J71" s="37"/>
      <c r="K71" s="37"/>
      <c r="L71" s="37"/>
      <c r="M71" s="37"/>
      <c r="N71" s="37"/>
      <c r="O71" s="37"/>
      <c r="P71" s="37"/>
      <c r="Q71" s="37"/>
    </row>
    <row r="72" spans="1:17" ht="15.75" customHeight="1">
      <c r="A72" s="10"/>
      <c r="B72" s="72" t="s">
        <v>215</v>
      </c>
      <c r="C72" s="62"/>
      <c r="D72" s="27"/>
      <c r="E72" s="265"/>
      <c r="F72" s="27"/>
      <c r="G72" s="97"/>
      <c r="H72" s="12"/>
      <c r="I72" s="12"/>
      <c r="J72" s="12"/>
      <c r="K72" s="12"/>
      <c r="L72" s="12"/>
      <c r="M72" s="12"/>
      <c r="N72" s="12"/>
      <c r="O72" s="12"/>
      <c r="P72" s="12"/>
      <c r="Q72" s="12"/>
    </row>
    <row r="73" spans="1:17" ht="15.75" customHeight="1">
      <c r="A73" s="10"/>
      <c r="B73" s="2" t="s">
        <v>46</v>
      </c>
      <c r="C73" s="77">
        <f>ABS(C5/C$4)</f>
        <v>0.75084185865894115</v>
      </c>
      <c r="D73" s="27"/>
      <c r="E73" s="265"/>
      <c r="F73" s="27"/>
      <c r="G73" s="6">
        <f t="shared" ref="G73:Q73" si="24">IF(G$4="","",ABS(G5/G$4))</f>
        <v>0.75084185865894126</v>
      </c>
      <c r="H73" s="6">
        <f t="shared" si="24"/>
        <v>0.74412882760951127</v>
      </c>
      <c r="I73" s="6">
        <f t="shared" si="24"/>
        <v>0.7265100832685899</v>
      </c>
      <c r="J73" s="6">
        <f t="shared" si="24"/>
        <v>0.72727241041156754</v>
      </c>
      <c r="K73" s="6">
        <f t="shared" si="24"/>
        <v>0.77414345839433041</v>
      </c>
      <c r="L73" s="6">
        <f t="shared" si="24"/>
        <v>0.79603423605555912</v>
      </c>
      <c r="M73" s="6">
        <f t="shared" si="24"/>
        <v>0.81273149988671567</v>
      </c>
      <c r="N73" s="6">
        <f t="shared" si="24"/>
        <v>0.83644241252439699</v>
      </c>
      <c r="O73" s="6">
        <f t="shared" si="24"/>
        <v>0.83074231726534054</v>
      </c>
      <c r="P73" s="6">
        <f t="shared" si="24"/>
        <v>0.86035732789990294</v>
      </c>
      <c r="Q73" s="6" t="str">
        <f t="shared" si="24"/>
        <v/>
      </c>
    </row>
    <row r="74" spans="1:17" ht="15.75" customHeight="1">
      <c r="A74" s="10"/>
      <c r="B74" s="31" t="s">
        <v>48</v>
      </c>
      <c r="C74" s="78">
        <f>ABS(C6/C$4)</f>
        <v>0.2491581413410589</v>
      </c>
      <c r="D74" s="27"/>
      <c r="E74" s="265"/>
      <c r="F74" s="27"/>
      <c r="G74" s="65">
        <f t="shared" ref="G74:Q74" si="25">IF(G$4="","",ABS(G6/G$4))</f>
        <v>0.24915814134105876</v>
      </c>
      <c r="H74" s="65">
        <f t="shared" si="25"/>
        <v>0.25587117239048879</v>
      </c>
      <c r="I74" s="65">
        <f t="shared" si="25"/>
        <v>0.27348991673141004</v>
      </c>
      <c r="J74" s="65">
        <f t="shared" si="25"/>
        <v>0.27272758958843252</v>
      </c>
      <c r="K74" s="65">
        <f t="shared" si="25"/>
        <v>0.22585654160566954</v>
      </c>
      <c r="L74" s="65">
        <f t="shared" si="25"/>
        <v>0.20396576394444088</v>
      </c>
      <c r="M74" s="65">
        <f t="shared" si="25"/>
        <v>0.18726850011328439</v>
      </c>
      <c r="N74" s="65">
        <f t="shared" si="25"/>
        <v>0.16355758747560301</v>
      </c>
      <c r="O74" s="65">
        <f t="shared" si="25"/>
        <v>0.16925768273465949</v>
      </c>
      <c r="P74" s="65">
        <f t="shared" si="25"/>
        <v>0.13964267210009706</v>
      </c>
      <c r="Q74" s="65" t="str">
        <f t="shared" si="25"/>
        <v/>
      </c>
    </row>
    <row r="75" spans="1:17" ht="15.75" customHeight="1">
      <c r="A75" s="10"/>
      <c r="B75" s="8" t="s">
        <v>45</v>
      </c>
      <c r="C75" s="77">
        <f>ABS(C7/C$4)</f>
        <v>4.0198000517772954E-2</v>
      </c>
      <c r="D75" s="27"/>
      <c r="E75" s="265"/>
      <c r="F75" s="27"/>
      <c r="G75" s="6">
        <f t="shared" ref="G75:Q75" si="26">IF(G$4="","",ABS(G7/G$4))</f>
        <v>3.6846911456484638E-2</v>
      </c>
      <c r="H75" s="6">
        <f t="shared" si="26"/>
        <v>3.5160887341853547E-2</v>
      </c>
      <c r="I75" s="6">
        <f t="shared" si="26"/>
        <v>4.5965982020446959E-2</v>
      </c>
      <c r="J75" s="6">
        <f t="shared" si="26"/>
        <v>5.1834158529533866E-2</v>
      </c>
      <c r="K75" s="6">
        <f t="shared" si="26"/>
        <v>7.0219652861095078E-2</v>
      </c>
      <c r="L75" s="6">
        <f t="shared" si="26"/>
        <v>4.5226235951670815E-2</v>
      </c>
      <c r="M75" s="6">
        <f t="shared" si="26"/>
        <v>4.4397431661604245E-2</v>
      </c>
      <c r="N75" s="6">
        <f t="shared" si="26"/>
        <v>4.9037087922522302E-2</v>
      </c>
      <c r="O75" s="6">
        <f t="shared" si="26"/>
        <v>5.7457154088636261E-2</v>
      </c>
      <c r="P75" s="6">
        <f t="shared" si="26"/>
        <v>6.9998651081949734E-2</v>
      </c>
      <c r="Q75" s="6" t="str">
        <f t="shared" si="26"/>
        <v/>
      </c>
    </row>
    <row r="76" spans="1:17" ht="15.75" customHeight="1">
      <c r="A76" s="10"/>
      <c r="B76" s="29" t="s">
        <v>151</v>
      </c>
      <c r="C76" s="78">
        <f>ABS(C8/C$4)</f>
        <v>0.20896014082328593</v>
      </c>
      <c r="D76" s="27"/>
      <c r="E76" s="265"/>
      <c r="F76" s="27"/>
      <c r="G76" s="65">
        <f t="shared" ref="G76:Q76" si="27">IF(G$4="","",ABS(G8/G$4))</f>
        <v>0.21231122988457413</v>
      </c>
      <c r="H76" s="65">
        <f t="shared" si="27"/>
        <v>0.22071028504863524</v>
      </c>
      <c r="I76" s="65">
        <f t="shared" si="27"/>
        <v>0.22752393471096308</v>
      </c>
      <c r="J76" s="65">
        <f t="shared" si="27"/>
        <v>0.22089343105889864</v>
      </c>
      <c r="K76" s="65">
        <f t="shared" si="27"/>
        <v>0.15563688874457449</v>
      </c>
      <c r="L76" s="65">
        <f t="shared" si="27"/>
        <v>0.15873952799277005</v>
      </c>
      <c r="M76" s="65">
        <f t="shared" si="27"/>
        <v>0.14287106845168013</v>
      </c>
      <c r="N76" s="65">
        <f t="shared" si="27"/>
        <v>0.11452049955308069</v>
      </c>
      <c r="O76" s="65">
        <f t="shared" si="27"/>
        <v>0.11180052864602323</v>
      </c>
      <c r="P76" s="65">
        <f t="shared" si="27"/>
        <v>6.9644021018147345E-2</v>
      </c>
      <c r="Q76" s="65" t="str">
        <f t="shared" si="27"/>
        <v/>
      </c>
    </row>
    <row r="77" spans="1:17" ht="15.75" customHeight="1">
      <c r="A77" s="10"/>
      <c r="B77" s="2" t="s">
        <v>65</v>
      </c>
      <c r="C77" s="77">
        <f>ABS(C9/C$4)</f>
        <v>4.0688123714313247E-2</v>
      </c>
      <c r="D77" s="27"/>
      <c r="E77" s="265"/>
      <c r="F77" s="27"/>
      <c r="G77" s="6">
        <f t="shared" ref="G77:Q77" si="28">IF(G$4="","",G9/G$4)</f>
        <v>3.9326301153063785E-2</v>
      </c>
      <c r="H77" s="6">
        <f t="shared" si="28"/>
        <v>3.4750146660579968E-2</v>
      </c>
      <c r="I77" s="6">
        <f t="shared" si="28"/>
        <v>3.5929116708422096E-2</v>
      </c>
      <c r="J77" s="6">
        <f t="shared" si="28"/>
        <v>3.4439876053341624E-2</v>
      </c>
      <c r="K77" s="6">
        <f t="shared" si="28"/>
        <v>3.7818315462805736E-2</v>
      </c>
      <c r="L77" s="6">
        <f t="shared" si="28"/>
        <v>4.8596961543068702E-2</v>
      </c>
      <c r="M77" s="6">
        <f t="shared" si="28"/>
        <v>5.0076680340574907E-2</v>
      </c>
      <c r="N77" s="6">
        <f t="shared" si="28"/>
        <v>0</v>
      </c>
      <c r="O77" s="6">
        <f t="shared" si="28"/>
        <v>0</v>
      </c>
      <c r="P77" s="6">
        <f t="shared" si="28"/>
        <v>0</v>
      </c>
      <c r="Q77" s="6" t="str">
        <f t="shared" si="28"/>
        <v/>
      </c>
    </row>
    <row r="78" spans="1:17" ht="15.75" customHeight="1">
      <c r="A78" s="10"/>
      <c r="B78" s="2" t="s">
        <v>80</v>
      </c>
      <c r="C78" s="88">
        <f>MAX(AVERAGE(G78:J78),C77)</f>
        <v>4.0688123714313247E-2</v>
      </c>
      <c r="D78" s="27"/>
      <c r="E78" s="266" t="s">
        <v>465</v>
      </c>
      <c r="F78" s="27"/>
      <c r="G78" s="6">
        <f t="shared" ref="G78:Q78" si="29">IF(G$4="","",-G10/G$4)</f>
        <v>3.9326301153063785E-2</v>
      </c>
      <c r="H78" s="6">
        <f t="shared" si="29"/>
        <v>3.4750146660579968E-2</v>
      </c>
      <c r="I78" s="6">
        <f t="shared" si="29"/>
        <v>3.5929116708422096E-2</v>
      </c>
      <c r="J78" s="6">
        <f t="shared" si="29"/>
        <v>3.4439876053341624E-2</v>
      </c>
      <c r="K78" s="6">
        <f t="shared" si="29"/>
        <v>3.7818315462805736E-2</v>
      </c>
      <c r="L78" s="6">
        <f t="shared" si="29"/>
        <v>4.8596961543068702E-2</v>
      </c>
      <c r="M78" s="6">
        <f t="shared" si="29"/>
        <v>5.0076680340574907E-2</v>
      </c>
      <c r="N78" s="6">
        <f t="shared" si="29"/>
        <v>0</v>
      </c>
      <c r="O78" s="6">
        <f t="shared" si="29"/>
        <v>0</v>
      </c>
      <c r="P78" s="6">
        <f t="shared" si="29"/>
        <v>0</v>
      </c>
      <c r="Q78" s="6" t="str">
        <f t="shared" si="29"/>
        <v/>
      </c>
    </row>
    <row r="79" spans="1:17" ht="15.75" customHeight="1">
      <c r="A79" s="10"/>
      <c r="B79" s="31" t="s">
        <v>152</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2.2188189488912299E-3</v>
      </c>
      <c r="D80" s="27"/>
      <c r="E80" s="265"/>
      <c r="F80" s="27"/>
      <c r="G80" s="6">
        <f t="shared" ref="G80:Q80" si="31">IF(G$4="","",ABS(G12/G$4))</f>
        <v>2.1445555661620589E-3</v>
      </c>
      <c r="H80" s="6">
        <f t="shared" si="31"/>
        <v>4.1830493848554898E-3</v>
      </c>
      <c r="I80" s="6">
        <f t="shared" si="31"/>
        <v>4.1936117061721371E-3</v>
      </c>
      <c r="J80" s="6">
        <f t="shared" si="31"/>
        <v>1.5349457953036647E-3</v>
      </c>
      <c r="K80" s="6">
        <f t="shared" si="31"/>
        <v>5.9322915070896193E-4</v>
      </c>
      <c r="L80" s="6">
        <f t="shared" si="31"/>
        <v>7.2566831989420212E-4</v>
      </c>
      <c r="M80" s="6">
        <f t="shared" si="31"/>
        <v>1.7420807381590862E-3</v>
      </c>
      <c r="N80" s="6">
        <f t="shared" si="31"/>
        <v>0</v>
      </c>
      <c r="O80" s="6">
        <f t="shared" si="31"/>
        <v>0</v>
      </c>
      <c r="P80" s="6">
        <f t="shared" si="31"/>
        <v>0</v>
      </c>
      <c r="Q80" s="6" t="str">
        <f t="shared" si="31"/>
        <v/>
      </c>
    </row>
    <row r="81" spans="1:17" ht="15.75" customHeight="1">
      <c r="A81" s="10"/>
      <c r="B81" s="70" t="s">
        <v>163</v>
      </c>
      <c r="C81" s="78">
        <f>C13/C4</f>
        <v>0.21117895977217718</v>
      </c>
      <c r="D81" s="27"/>
      <c r="E81" s="265"/>
      <c r="F81" s="27"/>
      <c r="G81" s="65">
        <f t="shared" ref="G81:Q81" si="32">IF(G$4="","",G13/G$4)</f>
        <v>0.21445578545073618</v>
      </c>
      <c r="H81" s="65">
        <f t="shared" si="32"/>
        <v>0.22489333443349074</v>
      </c>
      <c r="I81" s="65">
        <f t="shared" si="32"/>
        <v>0.23171754641713521</v>
      </c>
      <c r="J81" s="65">
        <f t="shared" si="32"/>
        <v>0.2224283768542023</v>
      </c>
      <c r="K81" s="65">
        <f t="shared" si="32"/>
        <v>0.15623011789528343</v>
      </c>
      <c r="L81" s="65">
        <f t="shared" si="32"/>
        <v>0.15801385967287587</v>
      </c>
      <c r="M81" s="65">
        <f t="shared" si="32"/>
        <v>0.14112898771352106</v>
      </c>
      <c r="N81" s="65">
        <f t="shared" si="32"/>
        <v>0.11452049955308069</v>
      </c>
      <c r="O81" s="65">
        <f t="shared" si="32"/>
        <v>0.11180052864602323</v>
      </c>
      <c r="P81" s="65">
        <f t="shared" si="32"/>
        <v>6.9644021018147345E-2</v>
      </c>
      <c r="Q81" s="65" t="str">
        <f t="shared" si="32"/>
        <v/>
      </c>
    </row>
    <row r="82" spans="1:17" ht="15.75" customHeight="1">
      <c r="A82" s="10"/>
      <c r="B82" s="2" t="s">
        <v>63</v>
      </c>
      <c r="C82" s="77">
        <f>ABS(C14/C$4)</f>
        <v>5.2794739943044296E-2</v>
      </c>
      <c r="D82" s="27"/>
      <c r="E82" s="265"/>
      <c r="F82" s="27"/>
      <c r="G82" s="6">
        <f t="shared" ref="G82:Q82" si="33">IF(G$4="","",ABS(G14/G$4))</f>
        <v>4.5788018710688196E-2</v>
      </c>
      <c r="H82" s="6">
        <f t="shared" si="33"/>
        <v>4.4828169452598092E-2</v>
      </c>
      <c r="I82" s="6">
        <f t="shared" si="33"/>
        <v>5.0707110434108561E-2</v>
      </c>
      <c r="J82" s="6">
        <f t="shared" si="33"/>
        <v>4.1307339378408657E-2</v>
      </c>
      <c r="K82" s="6">
        <f t="shared" si="33"/>
        <v>3.4589697857831184E-2</v>
      </c>
      <c r="L82" s="6">
        <f t="shared" si="33"/>
        <v>2.7577551703512192E-2</v>
      </c>
      <c r="M82" s="6">
        <f t="shared" si="33"/>
        <v>1.7597950481827124E-2</v>
      </c>
      <c r="N82" s="6">
        <f t="shared" si="33"/>
        <v>5.9435713965042348E-3</v>
      </c>
      <c r="O82" s="6">
        <f t="shared" si="33"/>
        <v>5.2671102577851918E-3</v>
      </c>
      <c r="P82" s="6">
        <f t="shared" si="33"/>
        <v>1.2931082680879254E-2</v>
      </c>
      <c r="Q82" s="6" t="str">
        <f t="shared" si="33"/>
        <v/>
      </c>
    </row>
    <row r="83" spans="1:17" ht="15.75" customHeight="1">
      <c r="A83" s="10"/>
      <c r="B83" s="40" t="str">
        <f>B15</f>
        <v>NCI’s Share of Profits</v>
      </c>
      <c r="C83" s="264">
        <f>MIN(BS!C62,MAX(G83:K83))</f>
        <v>1.0023684472850819E-2</v>
      </c>
      <c r="D83" s="27"/>
      <c r="E83" s="265"/>
      <c r="F83" s="27"/>
      <c r="G83" s="6">
        <f t="shared" ref="G83:Q83" si="34">IF(G$4="","",-G15/G$4)</f>
        <v>1.0023684472850819E-2</v>
      </c>
      <c r="H83" s="6">
        <f t="shared" si="34"/>
        <v>0</v>
      </c>
      <c r="I83" s="6">
        <f t="shared" si="34"/>
        <v>0</v>
      </c>
      <c r="J83" s="6">
        <f t="shared" si="34"/>
        <v>0</v>
      </c>
      <c r="K83" s="6">
        <f t="shared" si="34"/>
        <v>0</v>
      </c>
      <c r="L83" s="6">
        <f t="shared" si="34"/>
        <v>0</v>
      </c>
      <c r="M83" s="6">
        <f t="shared" si="34"/>
        <v>0</v>
      </c>
      <c r="N83" s="6">
        <f t="shared" si="34"/>
        <v>0</v>
      </c>
      <c r="O83" s="6">
        <f t="shared" si="34"/>
        <v>0</v>
      </c>
      <c r="P83" s="6">
        <f t="shared" si="34"/>
        <v>0</v>
      </c>
      <c r="Q83" s="6" t="str">
        <f t="shared" si="34"/>
        <v/>
      </c>
    </row>
    <row r="84" spans="1:17" ht="15.75" customHeight="1">
      <c r="A84" s="10"/>
      <c r="B84" s="41" t="s">
        <v>153</v>
      </c>
      <c r="C84" s="78">
        <f>ABS(C16/C$4)</f>
        <v>0.14836053535628208</v>
      </c>
      <c r="D84" s="27"/>
      <c r="E84" s="265"/>
      <c r="F84" s="27"/>
      <c r="G84" s="65">
        <f t="shared" ref="G84:Q84" si="35">IF(G$4="","",ABS(G16/G$4))</f>
        <v>0.15864408226719717</v>
      </c>
      <c r="H84" s="65">
        <f t="shared" si="35"/>
        <v>0.18006516498089264</v>
      </c>
      <c r="I84" s="65">
        <f t="shared" si="35"/>
        <v>0.18101043598302666</v>
      </c>
      <c r="J84" s="65">
        <f t="shared" si="35"/>
        <v>0.18112103747579367</v>
      </c>
      <c r="K84" s="65">
        <f t="shared" si="35"/>
        <v>0.12164042003745225</v>
      </c>
      <c r="L84" s="65">
        <f t="shared" si="35"/>
        <v>0.13043630796936367</v>
      </c>
      <c r="M84" s="65">
        <f t="shared" si="35"/>
        <v>0.12353103723169394</v>
      </c>
      <c r="N84" s="65">
        <f t="shared" si="35"/>
        <v>0.10857692815657645</v>
      </c>
      <c r="O84" s="65">
        <f t="shared" si="35"/>
        <v>0.10653341838823804</v>
      </c>
      <c r="P84" s="65">
        <f t="shared" si="35"/>
        <v>5.6712938337268093E-2</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139</v>
      </c>
      <c r="C87" s="78">
        <f>ABS(C19/C$4)</f>
        <v>0.14836053535628208</v>
      </c>
      <c r="D87" s="75"/>
      <c r="E87" s="265"/>
      <c r="F87" s="75"/>
      <c r="G87" s="65">
        <f t="shared" ref="G87:Q87" si="36">IF(G$4="","",ABS(G19/G$4))</f>
        <v>0.15864408226719717</v>
      </c>
      <c r="H87" s="65">
        <f t="shared" si="36"/>
        <v>0.18006516498089264</v>
      </c>
      <c r="I87" s="65">
        <f t="shared" si="36"/>
        <v>0.18101043598302666</v>
      </c>
      <c r="J87" s="65">
        <f t="shared" si="36"/>
        <v>0.18112103747579367</v>
      </c>
      <c r="K87" s="65">
        <f t="shared" si="36"/>
        <v>0.12164042003745225</v>
      </c>
      <c r="L87" s="65">
        <f t="shared" si="36"/>
        <v>0.13043630796936367</v>
      </c>
      <c r="M87" s="65">
        <f t="shared" si="36"/>
        <v>0.12353103723169394</v>
      </c>
      <c r="N87" s="65">
        <f t="shared" si="36"/>
        <v>0.10857692815657645</v>
      </c>
      <c r="O87" s="65">
        <f t="shared" si="36"/>
        <v>0.10653341838823804</v>
      </c>
      <c r="P87" s="65">
        <f t="shared" si="36"/>
        <v>5.6712938337268093E-2</v>
      </c>
      <c r="Q87" s="65" t="str">
        <f t="shared" si="36"/>
        <v/>
      </c>
    </row>
    <row r="88" spans="1:17" ht="15.75" customHeight="1">
      <c r="A88" s="10"/>
      <c r="E88" s="268"/>
    </row>
    <row r="89" spans="1:17" ht="15.75" customHeight="1">
      <c r="A89" s="10"/>
      <c r="B89" s="64" t="s">
        <v>213</v>
      </c>
      <c r="E89" s="268"/>
    </row>
    <row r="90" spans="1:17" ht="15.75" customHeight="1">
      <c r="A90" s="10"/>
      <c r="B90" s="2" t="str">
        <f>"Dividend per share ("&amp;Market_currency&amp;")"</f>
        <v>Dividend per share (CNY)</v>
      </c>
      <c r="C90" s="113">
        <f>G90</f>
        <v>2.4</v>
      </c>
      <c r="E90" s="268"/>
      <c r="G90" s="112">
        <f>Data!C65</f>
        <v>2.4</v>
      </c>
      <c r="H90" s="112">
        <f>Data!D65</f>
        <v>0</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1161530875.2</v>
      </c>
      <c r="E91" s="268"/>
      <c r="G91" s="74">
        <f t="shared" ref="G91:Q91" si="37">IF(G$4="","",G90*Common_Shares/scaling_factor)</f>
        <v>1161530875.2</v>
      </c>
      <c r="H91" s="74">
        <f t="shared" si="37"/>
        <v>0</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212</v>
      </c>
      <c r="C92" s="23">
        <f>C90/(C19*scaling_factor/Common_Shares)</f>
        <v>0.55312014930250053</v>
      </c>
      <c r="E92" s="268"/>
      <c r="G92" s="170">
        <f t="shared" ref="G92:Q92" si="38">IF(G$4="","",G90/(G19*scaling_factor/Common_Shares))</f>
        <v>0.49995329135321925</v>
      </c>
      <c r="H92" s="170">
        <f t="shared" si="38"/>
        <v>0</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453</v>
      </c>
      <c r="C93" s="356">
        <v>0.1</v>
      </c>
      <c r="E93" s="268"/>
      <c r="G93" s="357"/>
      <c r="H93" s="357"/>
      <c r="I93" s="357"/>
      <c r="J93" s="357"/>
      <c r="K93" s="357"/>
      <c r="L93" s="357"/>
      <c r="M93" s="357"/>
      <c r="N93" s="357"/>
      <c r="O93" s="357"/>
      <c r="P93" s="357"/>
      <c r="Q93" s="357"/>
    </row>
    <row r="94" spans="1:17" ht="15.75" customHeight="1">
      <c r="A94" s="10"/>
      <c r="B94" s="2" t="s">
        <v>452</v>
      </c>
      <c r="C94" s="23">
        <f>(C90*(1-dividend_tax_rate))/Market_Price</f>
        <v>3.9165911151405261E-2</v>
      </c>
      <c r="E94" s="268"/>
      <c r="G94" s="23">
        <f t="shared" ref="G94:Q94" si="39">IF(G$4="","",(G90*(1-dividend_tax_rate))/Market_Price)</f>
        <v>3.9165911151405261E-2</v>
      </c>
      <c r="H94" s="23">
        <f t="shared" si="39"/>
        <v>0</v>
      </c>
      <c r="I94" s="23">
        <f t="shared" si="39"/>
        <v>0</v>
      </c>
      <c r="J94" s="23">
        <f t="shared" si="39"/>
        <v>0</v>
      </c>
      <c r="K94" s="23">
        <f t="shared" si="39"/>
        <v>0</v>
      </c>
      <c r="L94" s="23">
        <f t="shared" si="39"/>
        <v>0</v>
      </c>
      <c r="M94" s="23">
        <f t="shared" si="39"/>
        <v>0</v>
      </c>
      <c r="N94" s="23">
        <f t="shared" si="39"/>
        <v>0</v>
      </c>
      <c r="O94" s="23">
        <f t="shared" si="39"/>
        <v>0</v>
      </c>
      <c r="P94" s="23">
        <f t="shared" si="39"/>
        <v>0</v>
      </c>
      <c r="Q94" s="23" t="str">
        <f t="shared" si="39"/>
        <v/>
      </c>
    </row>
    <row r="95" spans="1:17" ht="15.75" customHeight="1">
      <c r="A95" s="10"/>
      <c r="E95" s="268"/>
    </row>
    <row r="96" spans="1:17" ht="15.75" customHeight="1">
      <c r="A96" s="10"/>
      <c r="B96" s="157" t="s">
        <v>84</v>
      </c>
      <c r="C96" s="62"/>
      <c r="D96" s="27"/>
      <c r="E96" s="265"/>
      <c r="F96" s="27"/>
      <c r="G96" s="12"/>
      <c r="H96" s="12"/>
      <c r="I96" s="12"/>
      <c r="J96" s="12"/>
      <c r="K96" s="12"/>
      <c r="L96" s="12"/>
      <c r="M96" s="12"/>
      <c r="N96" s="12"/>
      <c r="O96" s="12"/>
      <c r="P96" s="12"/>
      <c r="Q96" s="12"/>
    </row>
    <row r="97" spans="1:17" ht="15.75" customHeight="1">
      <c r="A97" s="10"/>
      <c r="B97" s="27" t="s">
        <v>143</v>
      </c>
      <c r="C97" s="77">
        <f>C4/G4-1</f>
        <v>-3.3469780292926132E-2</v>
      </c>
      <c r="D97" s="27"/>
      <c r="E97" s="265"/>
      <c r="F97" s="27"/>
      <c r="G97" s="6">
        <f t="shared" ref="G97:Q97" si="40">IF(H4="","",G4/H4-1)</f>
        <v>-1.1491086589730304E-2</v>
      </c>
      <c r="H97" s="6">
        <f t="shared" si="40"/>
        <v>5.525989250083474E-2</v>
      </c>
      <c r="I97" s="6">
        <f t="shared" si="40"/>
        <v>7.0105043845120729E-2</v>
      </c>
      <c r="J97" s="6">
        <f t="shared" si="40"/>
        <v>0.19902695425925132</v>
      </c>
      <c r="K97" s="6">
        <f t="shared" si="40"/>
        <v>2.0546801027856056</v>
      </c>
      <c r="L97" s="6">
        <f t="shared" si="40"/>
        <v>3.3047794420080878E-2</v>
      </c>
      <c r="M97" s="6">
        <f t="shared" si="40"/>
        <v>9.1895642895058804E-2</v>
      </c>
      <c r="N97" s="6">
        <f t="shared" si="40"/>
        <v>-6.3837593939212178E-3</v>
      </c>
      <c r="O97" s="6">
        <f t="shared" si="40"/>
        <v>-3.8457749107932648E-2</v>
      </c>
      <c r="P97" s="6" t="str">
        <f t="shared" si="40"/>
        <v/>
      </c>
      <c r="Q97" s="6" t="str">
        <f t="shared" si="40"/>
        <v/>
      </c>
    </row>
    <row r="98" spans="1:17" ht="15.75" customHeight="1">
      <c r="A98" s="10"/>
      <c r="B98" s="70" t="s">
        <v>163</v>
      </c>
      <c r="C98" s="77">
        <f>C13/G13-1</f>
        <v>-4.8238097390936763E-2</v>
      </c>
      <c r="D98" s="27"/>
      <c r="E98" s="265"/>
      <c r="F98" s="27"/>
      <c r="G98" s="6">
        <f t="shared" ref="G98:Q98" si="41">IF(H5="","",G13/H13-1)</f>
        <v>-5.7368881187775611E-2</v>
      </c>
      <c r="H98" s="6">
        <f t="shared" si="41"/>
        <v>2.4181895535944298E-2</v>
      </c>
      <c r="I98" s="6">
        <f t="shared" si="41"/>
        <v>0.11479532726584996</v>
      </c>
      <c r="J98" s="6">
        <f t="shared" si="41"/>
        <v>0.70708198158746138</v>
      </c>
      <c r="K98" s="6">
        <f t="shared" si="41"/>
        <v>2.0201973015439978</v>
      </c>
      <c r="L98" s="6">
        <f t="shared" si="41"/>
        <v>0.15664309556462253</v>
      </c>
      <c r="M98" s="6">
        <f t="shared" si="41"/>
        <v>0.34559425929816934</v>
      </c>
      <c r="N98" s="6">
        <f t="shared" si="41"/>
        <v>1.7789715454173516E-2</v>
      </c>
      <c r="O98" s="6">
        <f t="shared" si="41"/>
        <v>0.54357732930452696</v>
      </c>
      <c r="P98" s="6" t="str">
        <f t="shared" si="41"/>
        <v/>
      </c>
      <c r="Q98" s="6" t="str">
        <f t="shared" si="41"/>
        <v/>
      </c>
    </row>
    <row r="99" spans="1:17" ht="15.75" customHeight="1">
      <c r="A99" s="10"/>
    </row>
    <row r="100" spans="1:17" ht="15.75" customHeight="1">
      <c r="A100" s="3"/>
      <c r="B100" s="54" t="s">
        <v>214</v>
      </c>
      <c r="C100" s="54"/>
      <c r="D100" s="56"/>
      <c r="E100" s="66" t="s">
        <v>59</v>
      </c>
      <c r="F100" s="56"/>
      <c r="G100" s="37"/>
      <c r="H100" s="37"/>
      <c r="I100" s="37"/>
      <c r="J100" s="37"/>
      <c r="K100" s="37"/>
      <c r="L100" s="37"/>
      <c r="M100" s="37"/>
      <c r="N100" s="37"/>
      <c r="O100" s="37"/>
      <c r="P100" s="37"/>
      <c r="Q100" s="37"/>
    </row>
    <row r="101" spans="1:17" ht="15.75" customHeight="1">
      <c r="A101" s="10"/>
      <c r="B101" s="64" t="s">
        <v>28</v>
      </c>
      <c r="E101" s="268"/>
      <c r="G101" s="97" t="s">
        <v>218</v>
      </c>
    </row>
    <row r="102" spans="1:17" ht="15.75" customHeight="1">
      <c r="A102" s="10"/>
      <c r="B102" s="26" t="s">
        <v>3</v>
      </c>
      <c r="C102" s="344">
        <f>BS!G32</f>
        <v>10968339719.389999</v>
      </c>
      <c r="D102" s="26"/>
      <c r="E102" s="269"/>
      <c r="F102" s="26"/>
      <c r="G102" s="333">
        <f t="shared" ref="G102:Q102" si="42">IF(G$4="","",G106+G105)</f>
        <v>10968339719.389999</v>
      </c>
      <c r="H102" s="333">
        <f t="shared" si="42"/>
        <v>12386911594</v>
      </c>
      <c r="I102" s="333">
        <f t="shared" si="42"/>
        <v>12497542169</v>
      </c>
      <c r="J102" s="333">
        <f t="shared" si="42"/>
        <v>11532809144</v>
      </c>
      <c r="K102" s="333">
        <f t="shared" si="42"/>
        <v>9595373074</v>
      </c>
      <c r="L102" s="333">
        <f t="shared" si="42"/>
        <v>3514353524</v>
      </c>
      <c r="M102" s="333">
        <f t="shared" si="42"/>
        <v>3297633120</v>
      </c>
      <c r="N102" s="333">
        <f t="shared" si="42"/>
        <v>3506183194</v>
      </c>
      <c r="O102" s="333">
        <f t="shared" si="42"/>
        <v>3365659820</v>
      </c>
      <c r="P102" s="333">
        <f t="shared" si="42"/>
        <v>3721194030</v>
      </c>
      <c r="Q102" s="333" t="str">
        <f t="shared" si="42"/>
        <v/>
      </c>
    </row>
    <row r="103" spans="1:17" ht="15.75" customHeight="1">
      <c r="A103" s="10"/>
      <c r="B103" s="93" t="s">
        <v>209</v>
      </c>
      <c r="C103" s="345">
        <f>BS!C4</f>
        <v>91009309.849999994</v>
      </c>
      <c r="D103" s="89"/>
      <c r="E103" s="270"/>
      <c r="F103" s="89"/>
      <c r="G103" s="346">
        <f>IF(G$4="","",Data!D77)</f>
        <v>64628136</v>
      </c>
      <c r="H103" s="346">
        <f>IF(H$4="","",Data!E77)</f>
        <v>65511539</v>
      </c>
      <c r="I103" s="346">
        <f>IF(I$4="","",Data!F77)</f>
        <v>109244674</v>
      </c>
      <c r="J103" s="346">
        <f>IF(J$4="","",Data!G77)</f>
        <v>114510542</v>
      </c>
      <c r="K103" s="346">
        <f>IF(K$4="","",Data!H77)</f>
        <v>58261577</v>
      </c>
      <c r="L103" s="346">
        <f>IF(L$4="","",Data!I77)</f>
        <v>0</v>
      </c>
      <c r="M103" s="346">
        <f>IF(M$4="","",Data!J77)</f>
        <v>0</v>
      </c>
      <c r="N103" s="346">
        <f>IF(N$4="","",Data!K77)</f>
        <v>0</v>
      </c>
      <c r="O103" s="346">
        <f>IF(O$4="","",Data!L77)</f>
        <v>0</v>
      </c>
      <c r="P103" s="346">
        <f>IF(P$4="","",Data!M77)</f>
        <v>0</v>
      </c>
      <c r="Q103" s="346" t="str">
        <f>IF(Q$4="","",Data!N77)</f>
        <v/>
      </c>
    </row>
    <row r="104" spans="1:17" ht="15.75" customHeight="1">
      <c r="A104" s="10"/>
      <c r="B104" s="93" t="s">
        <v>210</v>
      </c>
      <c r="C104" s="345">
        <f>BS!C6+BS!C7</f>
        <v>2185835620.7199998</v>
      </c>
      <c r="D104" s="89"/>
      <c r="E104" s="270"/>
      <c r="F104" s="89"/>
      <c r="G104" s="346">
        <f>IF(G$4="","",Data!D78)</f>
        <v>2100354952</v>
      </c>
      <c r="H104" s="346">
        <f>IF(H$4="","",Data!E78)</f>
        <v>2166477563</v>
      </c>
      <c r="I104" s="346">
        <f>IF(I$4="","",Data!F78)</f>
        <v>1886751987</v>
      </c>
      <c r="J104" s="346">
        <f>IF(J$4="","",Data!G78)</f>
        <v>1420570476</v>
      </c>
      <c r="K104" s="346">
        <f>IF(K$4="","",Data!H78)</f>
        <v>364381375</v>
      </c>
      <c r="L104" s="346">
        <f>IF(L$4="","",Data!I78)</f>
        <v>0</v>
      </c>
      <c r="M104" s="346">
        <f>IF(M$4="","",Data!J78)</f>
        <v>0</v>
      </c>
      <c r="N104" s="346">
        <f>IF(N$4="","",Data!K78)</f>
        <v>0</v>
      </c>
      <c r="O104" s="346">
        <f>IF(O$4="","",Data!L78)</f>
        <v>0</v>
      </c>
      <c r="P104" s="346">
        <f>IF(P$4="","",Data!M78)</f>
        <v>0</v>
      </c>
      <c r="Q104" s="346" t="str">
        <f>IF(Q$4="","",Data!N78)</f>
        <v/>
      </c>
    </row>
    <row r="105" spans="1:17" ht="15.75" customHeight="1">
      <c r="A105" s="10"/>
      <c r="B105" s="26" t="s">
        <v>40</v>
      </c>
      <c r="C105" s="344">
        <f>BS!G30</f>
        <v>8514681613.9500008</v>
      </c>
      <c r="D105" s="26"/>
      <c r="E105" s="269"/>
      <c r="F105" s="26"/>
      <c r="G105" s="333">
        <f>Data!C79</f>
        <v>8514681613.9500008</v>
      </c>
      <c r="H105" s="333">
        <f>Data!D79</f>
        <v>8734763046</v>
      </c>
      <c r="I105" s="333">
        <f>Data!E79</f>
        <v>8874519390</v>
      </c>
      <c r="J105" s="333">
        <f>Data!F79</f>
        <v>8404513904</v>
      </c>
      <c r="K105" s="333">
        <f>Data!G79</f>
        <v>8026536570</v>
      </c>
      <c r="L105" s="333">
        <f>Data!H79</f>
        <v>2003002194</v>
      </c>
      <c r="M105" s="333">
        <f>Data!I79</f>
        <v>2135750535</v>
      </c>
      <c r="N105" s="333">
        <f>Data!J79</f>
        <v>2340923121</v>
      </c>
      <c r="O105" s="333">
        <f>Data!K79</f>
        <v>2123382866</v>
      </c>
      <c r="P105" s="333">
        <f>Data!L79</f>
        <v>2502070463</v>
      </c>
      <c r="Q105" s="333" t="str">
        <f>Data!M79</f>
        <v/>
      </c>
    </row>
    <row r="106" spans="1:17" ht="15.75" customHeight="1">
      <c r="A106" s="10"/>
      <c r="B106" s="26" t="s">
        <v>30</v>
      </c>
      <c r="C106" s="344">
        <f>BS!G27</f>
        <v>2453658105.4399986</v>
      </c>
      <c r="D106" s="26"/>
      <c r="E106" s="269"/>
      <c r="F106" s="26"/>
      <c r="G106" s="333">
        <f>Data!C80</f>
        <v>2453658105.4399986</v>
      </c>
      <c r="H106" s="333">
        <f>Data!D80</f>
        <v>3652148548</v>
      </c>
      <c r="I106" s="333">
        <f>Data!E80</f>
        <v>3623022779</v>
      </c>
      <c r="J106" s="333">
        <f>Data!F80</f>
        <v>3128295240</v>
      </c>
      <c r="K106" s="333">
        <f>Data!G80</f>
        <v>1568836504</v>
      </c>
      <c r="L106" s="333">
        <f>Data!H80</f>
        <v>1511351330</v>
      </c>
      <c r="M106" s="333">
        <f>Data!I80</f>
        <v>1161882585</v>
      </c>
      <c r="N106" s="333">
        <f>Data!J80</f>
        <v>1165260073</v>
      </c>
      <c r="O106" s="333">
        <f>Data!K80</f>
        <v>1242276954</v>
      </c>
      <c r="P106" s="333">
        <f>Data!L80</f>
        <v>1219123567</v>
      </c>
      <c r="Q106" s="333" t="str">
        <f>Data!M80</f>
        <v/>
      </c>
    </row>
    <row r="107" spans="1:17" ht="15.75" customHeight="1">
      <c r="A107" s="10"/>
      <c r="E107" s="268"/>
    </row>
    <row r="108" spans="1:17" ht="15.75" customHeight="1">
      <c r="A108" s="10"/>
      <c r="B108" s="91" t="s">
        <v>219</v>
      </c>
      <c r="C108" s="26"/>
      <c r="D108" s="26"/>
      <c r="E108" s="269"/>
      <c r="F108" s="26"/>
      <c r="G108" s="97" t="s">
        <v>218</v>
      </c>
      <c r="H108" s="12"/>
      <c r="I108" s="12"/>
      <c r="J108" s="12"/>
      <c r="K108" s="12"/>
      <c r="L108" s="12"/>
      <c r="M108" s="12"/>
      <c r="N108" s="12"/>
      <c r="O108" s="12"/>
      <c r="P108" s="12"/>
      <c r="Q108" s="12"/>
    </row>
    <row r="109" spans="1:17" ht="15.75" customHeight="1">
      <c r="A109" s="10"/>
      <c r="B109" s="26" t="s">
        <v>216</v>
      </c>
      <c r="C109" s="94">
        <f>C103/C$4</f>
        <v>6.4297329243833525E-3</v>
      </c>
      <c r="D109" s="26"/>
      <c r="E109" s="269"/>
      <c r="F109" s="26"/>
      <c r="G109" s="94">
        <f t="shared" ref="G109:Q109" si="43">IF(G$4="","",G103/G$4)</f>
        <v>4.4131041833494139E-3</v>
      </c>
      <c r="H109" s="94">
        <f t="shared" si="43"/>
        <v>4.4220224366284446E-3</v>
      </c>
      <c r="I109" s="94">
        <f t="shared" si="43"/>
        <v>7.7814914556676319E-3</v>
      </c>
      <c r="J109" s="94">
        <f t="shared" si="43"/>
        <v>8.728396233861643E-3</v>
      </c>
      <c r="K109" s="94">
        <f t="shared" si="43"/>
        <v>5.3247615581318601E-3</v>
      </c>
      <c r="L109" s="94">
        <f t="shared" si="43"/>
        <v>0</v>
      </c>
      <c r="M109" s="94">
        <f t="shared" si="43"/>
        <v>0</v>
      </c>
      <c r="N109" s="94">
        <f t="shared" si="43"/>
        <v>0</v>
      </c>
      <c r="O109" s="94">
        <f t="shared" si="43"/>
        <v>0</v>
      </c>
      <c r="P109" s="94">
        <f t="shared" si="43"/>
        <v>0</v>
      </c>
      <c r="Q109" s="94" t="str">
        <f t="shared" si="43"/>
        <v/>
      </c>
    </row>
    <row r="110" spans="1:17" ht="15.75" customHeight="1">
      <c r="A110" s="10"/>
      <c r="B110" s="26" t="s">
        <v>217</v>
      </c>
      <c r="C110" s="94">
        <f>C104/C$4</f>
        <v>0.15442748968207132</v>
      </c>
      <c r="D110" s="26"/>
      <c r="E110" s="269"/>
      <c r="F110" s="26"/>
      <c r="G110" s="94">
        <f t="shared" ref="G110:Q110" si="44">IF(G$4="","",G104/G$4)</f>
        <v>0.14342182521231708</v>
      </c>
      <c r="H110" s="94">
        <f t="shared" si="44"/>
        <v>0.14623702233644847</v>
      </c>
      <c r="I110" s="94">
        <f t="shared" si="44"/>
        <v>0.13439322877932178</v>
      </c>
      <c r="J110" s="94">
        <f t="shared" si="44"/>
        <v>0.1082808776911862</v>
      </c>
      <c r="K110" s="94">
        <f t="shared" si="44"/>
        <v>3.3302290085612161E-2</v>
      </c>
      <c r="L110" s="94">
        <f t="shared" si="44"/>
        <v>0</v>
      </c>
      <c r="M110" s="94">
        <f t="shared" si="44"/>
        <v>0</v>
      </c>
      <c r="N110" s="94">
        <f t="shared" si="44"/>
        <v>0</v>
      </c>
      <c r="O110" s="94">
        <f t="shared" si="44"/>
        <v>0</v>
      </c>
      <c r="P110" s="94">
        <f t="shared" si="44"/>
        <v>0</v>
      </c>
      <c r="Q110" s="94" t="str">
        <f t="shared" si="44"/>
        <v/>
      </c>
    </row>
    <row r="111" spans="1:17" ht="15.75" customHeight="1">
      <c r="A111" s="10"/>
      <c r="B111" s="26" t="s">
        <v>69</v>
      </c>
      <c r="C111" s="94">
        <f>BS!$G$38/C$4</f>
        <v>0</v>
      </c>
      <c r="D111" s="26"/>
      <c r="E111" s="269"/>
      <c r="F111" s="26"/>
      <c r="G111" s="94">
        <f>BS!$G$38/G$4</f>
        <v>0</v>
      </c>
      <c r="H111" s="204"/>
      <c r="I111" s="204"/>
      <c r="J111" s="204"/>
      <c r="K111" s="204"/>
      <c r="L111" s="204"/>
      <c r="M111" s="204"/>
      <c r="N111" s="204"/>
      <c r="O111" s="204"/>
      <c r="P111" s="204"/>
      <c r="Q111" s="204"/>
    </row>
    <row r="112" spans="1:17" ht="15.75" customHeight="1">
      <c r="A112" s="10"/>
      <c r="E112" s="268"/>
    </row>
    <row r="113" spans="1:17" ht="15.75" customHeight="1">
      <c r="A113" s="10"/>
      <c r="B113" s="64" t="s">
        <v>51</v>
      </c>
      <c r="E113" s="268"/>
    </row>
    <row r="114" spans="1:17" ht="15.75" customHeight="1">
      <c r="A114" s="10"/>
      <c r="B114" s="2" t="s">
        <v>388</v>
      </c>
      <c r="C114" s="169"/>
      <c r="E114" s="268"/>
      <c r="G114" s="295">
        <f>IF(G$4="","",Data!C$22/Data!C15)</f>
        <v>1.1301097053348144</v>
      </c>
      <c r="H114" s="295">
        <f>IF(H$4="","",Data!D$22/Data!D15)</f>
        <v>1.1421244767311443</v>
      </c>
      <c r="I114" s="295">
        <f>IF(I$4="","",Data!E$22/Data!E15)</f>
        <v>1.4506354245537583</v>
      </c>
      <c r="J114" s="295">
        <f>IF(J$4="","",Data!F$22/Data!F15)</f>
        <v>1.4858503664510887</v>
      </c>
      <c r="K114" s="295">
        <f>IF(K$4="","",Data!G$22/Data!G15)</f>
        <v>2.1056296742310616</v>
      </c>
      <c r="L114" s="295">
        <f>IF(L$4="","",Data!H$22/Data!H15)</f>
        <v>0.96876332816786648</v>
      </c>
      <c r="M114" s="295">
        <f>IF(M$4="","",Data!I$22/Data!I15)</f>
        <v>1.767034158859303</v>
      </c>
      <c r="N114" s="295">
        <f>IF(N$4="","",Data!J$22/Data!J15)</f>
        <v>2.5144917688633623</v>
      </c>
      <c r="O114" s="295">
        <f>IF(O$4="","",Data!K$22/Data!K15)</f>
        <v>4.0690767846879998</v>
      </c>
      <c r="P114" s="295">
        <f>IF(P$4="","",Data!L$22/Data!L15)</f>
        <v>-2.9196128327089879</v>
      </c>
      <c r="Q114" s="295" t="str">
        <f>IF(Q$4="","",Data!M$22/Data!M15)</f>
        <v/>
      </c>
    </row>
    <row r="115" spans="1:17" ht="15.75" customHeight="1">
      <c r="A115" s="10"/>
      <c r="B115" s="2" t="s">
        <v>389</v>
      </c>
      <c r="C115" s="169"/>
      <c r="E115" s="268"/>
      <c r="G115" s="295">
        <f>IF(G$4="","",Data!C$22/G19)</f>
        <v>1.0941634476299129</v>
      </c>
      <c r="H115" s="295">
        <f>IF(H$4="","",Data!D$22/H19)</f>
        <v>1.1609338233291711</v>
      </c>
      <c r="I115" s="295">
        <f>IF(I$4="","",Data!E$22/I19)</f>
        <v>1.4767154435131946</v>
      </c>
      <c r="J115" s="295">
        <f>IF(J$4="","",Data!F$22/J19)</f>
        <v>1.5002156268259466</v>
      </c>
      <c r="K115" s="295">
        <f>IF(K$4="","",Data!G$22/K19)</f>
        <v>2.7722647860164824</v>
      </c>
      <c r="L115" s="295">
        <f>IF(L$4="","",Data!H$22/L19)</f>
        <v>1.5106172149556596</v>
      </c>
      <c r="M115" s="295">
        <f>IF(M$4="","",Data!I$22/M19)</f>
        <v>1.7378913239556451</v>
      </c>
      <c r="N115" s="295">
        <f>IF(N$4="","",Data!J$22/N19)</f>
        <v>2.378364555476101</v>
      </c>
      <c r="O115" s="295">
        <f>IF(O$4="","",Data!K$22/O19)</f>
        <v>1.6724741518288628</v>
      </c>
      <c r="P115" s="295">
        <f>IF(P$4="","",Data!L$22/P19)</f>
        <v>2.3783234522476708</v>
      </c>
      <c r="Q115" s="295" t="str">
        <f>IF(Q$4="","",Data!M$22/Q19)</f>
        <v/>
      </c>
    </row>
    <row r="116" spans="1:17" ht="15.75" customHeight="1">
      <c r="A116" s="10"/>
      <c r="E116" s="268"/>
    </row>
    <row r="117" spans="1:17" ht="15.75" customHeight="1">
      <c r="A117" s="10"/>
      <c r="B117" s="91" t="s">
        <v>38</v>
      </c>
      <c r="C117" s="55"/>
      <c r="D117" s="55"/>
      <c r="E117" s="271"/>
      <c r="F117" s="55"/>
      <c r="G117" s="23" t="str">
        <f>IFERROR(IF(#REF!*G119*(1/#REF!)=G121,"","Error"),"")</f>
        <v/>
      </c>
      <c r="H117" s="23" t="str">
        <f>IFERROR(IF(#REF!*H119*(1/#REF!)=H121,"","Error"),"")</f>
        <v/>
      </c>
      <c r="I117" s="23" t="str">
        <f>IFERROR(IF(#REF!*I119*(1/#REF!)=I121,"","Error"),"")</f>
        <v/>
      </c>
      <c r="J117" s="23" t="str">
        <f>IFERROR(IF(#REF!*J119*(1/#REF!)=J121,"","Error"),"")</f>
        <v/>
      </c>
      <c r="K117" s="23" t="str">
        <f>IFERROR(IF(#REF!*K119*(1/#REF!)=K121,"","Error"),"")</f>
        <v/>
      </c>
      <c r="L117" s="23" t="str">
        <f>IFERROR(IF(#REF!*L119*(1/#REF!)=L121,"","Error"),"")</f>
        <v/>
      </c>
      <c r="M117" s="23" t="str">
        <f>IFERROR(IF(#REF!*M119*(1/#REF!)=M121,"","Error"),"")</f>
        <v/>
      </c>
      <c r="N117" s="23" t="str">
        <f>IFERROR(IF(#REF!*N119*(1/#REF!)=N121,"","Error"),"")</f>
        <v/>
      </c>
      <c r="O117" s="23" t="str">
        <f>IFERROR(IF(#REF!*O119*(1/#REF!)=O121,"","Error"),"")</f>
        <v/>
      </c>
      <c r="P117" s="23" t="str">
        <f>IFERROR(IF(#REF!*P119*(1/#REF!)=P121,"","Error"),"")</f>
        <v/>
      </c>
      <c r="Q117" s="23" t="str">
        <f>IFERROR(IF(#REF!*Q119*(1/#REF!)=Q121,"","Error"),"")</f>
        <v/>
      </c>
    </row>
    <row r="118" spans="1:17" ht="15.75" customHeight="1">
      <c r="A118" s="10"/>
      <c r="B118" s="7" t="s">
        <v>220</v>
      </c>
      <c r="C118" s="23">
        <f>IF(valuation_method="DDM",C13/(C4+C12),C81)</f>
        <v>0.21117895977217718</v>
      </c>
      <c r="E118" s="268"/>
      <c r="G118" s="23">
        <f t="shared" ref="G118:Q118" si="45">IF(G4="","",IF(valuation_method="DDM",G13/(G4+G12),G81))</f>
        <v>0.21445578545073618</v>
      </c>
      <c r="H118" s="23">
        <f t="shared" si="45"/>
        <v>0.22489333443349074</v>
      </c>
      <c r="I118" s="23">
        <f t="shared" si="45"/>
        <v>0.23171754641713521</v>
      </c>
      <c r="J118" s="23">
        <f t="shared" si="45"/>
        <v>0.2224283768542023</v>
      </c>
      <c r="K118" s="23">
        <f t="shared" si="45"/>
        <v>0.15623011789528343</v>
      </c>
      <c r="L118" s="23">
        <f t="shared" si="45"/>
        <v>0.15801385967287587</v>
      </c>
      <c r="M118" s="23">
        <f t="shared" si="45"/>
        <v>0.14112898771352106</v>
      </c>
      <c r="N118" s="23">
        <f t="shared" si="45"/>
        <v>0.11452049955308069</v>
      </c>
      <c r="O118" s="23">
        <f t="shared" si="45"/>
        <v>0.11180052864602323</v>
      </c>
      <c r="P118" s="23">
        <f t="shared" si="45"/>
        <v>6.9644021018147345E-2</v>
      </c>
      <c r="Q118" s="23" t="str">
        <f t="shared" si="45"/>
        <v/>
      </c>
    </row>
    <row r="119" spans="1:17" ht="15.75" customHeight="1">
      <c r="B119" s="7" t="s">
        <v>83</v>
      </c>
      <c r="C119" s="42">
        <f>IF(valuation_method="DDM",(C4+C12)/C102,C4/C102)</f>
        <v>1.2904821269100146</v>
      </c>
      <c r="E119" s="268"/>
      <c r="G119" s="42">
        <f t="shared" ref="G119:Q119" si="46">IF(G4="","",IF(valuation_method="DDM",(G4+G12)/G102,G4/G102))</f>
        <v>1.3351699725448014</v>
      </c>
      <c r="H119" s="42">
        <f t="shared" si="46"/>
        <v>1.1960072773245627</v>
      </c>
      <c r="I119" s="42">
        <f t="shared" si="46"/>
        <v>1.1233441223206007</v>
      </c>
      <c r="J119" s="42">
        <f t="shared" si="46"/>
        <v>1.1375641896255073</v>
      </c>
      <c r="K119" s="42">
        <f t="shared" si="46"/>
        <v>1.1403028395683616</v>
      </c>
      <c r="L119" s="42">
        <f t="shared" si="46"/>
        <v>1.0192269248208963</v>
      </c>
      <c r="M119" s="42">
        <f t="shared" si="46"/>
        <v>1.0514620043602667</v>
      </c>
      <c r="N119" s="42">
        <f t="shared" si="46"/>
        <v>0.9056912734720044</v>
      </c>
      <c r="O119" s="42">
        <f t="shared" si="46"/>
        <v>0.94956759949673109</v>
      </c>
      <c r="P119" s="42">
        <f t="shared" si="46"/>
        <v>0.89319322002674506</v>
      </c>
      <c r="Q119" s="42" t="str">
        <f t="shared" si="46"/>
        <v/>
      </c>
    </row>
    <row r="120" spans="1:17" ht="15.75" customHeight="1">
      <c r="B120" s="7" t="s">
        <v>91</v>
      </c>
      <c r="C120" s="15">
        <f>C102/C106</f>
        <v>4.4701988818540466</v>
      </c>
      <c r="D120" s="11"/>
      <c r="E120" s="272"/>
      <c r="F120" s="11"/>
      <c r="G120" s="15">
        <f t="shared" ref="G120:Q120" si="47">IF(G$4="","",G102/G106)</f>
        <v>4.4701988818540466</v>
      </c>
      <c r="H120" s="15">
        <f t="shared" si="47"/>
        <v>3.3916779208730037</v>
      </c>
      <c r="I120" s="15">
        <f t="shared" si="47"/>
        <v>3.4494793246785713</v>
      </c>
      <c r="J120" s="15">
        <f t="shared" si="47"/>
        <v>3.6866114798039331</v>
      </c>
      <c r="K120" s="15">
        <f t="shared" si="47"/>
        <v>6.1162352160566504</v>
      </c>
      <c r="L120" s="15">
        <f t="shared" si="47"/>
        <v>2.3253054761264544</v>
      </c>
      <c r="M120" s="15">
        <f t="shared" si="47"/>
        <v>2.8381810370279368</v>
      </c>
      <c r="N120" s="15">
        <f t="shared" si="47"/>
        <v>3.0089275992896738</v>
      </c>
      <c r="O120" s="15">
        <f t="shared" si="47"/>
        <v>2.7092668902557779</v>
      </c>
      <c r="P120" s="15">
        <f t="shared" si="47"/>
        <v>3.0523518129971481</v>
      </c>
      <c r="Q120" s="15" t="str">
        <f t="shared" si="47"/>
        <v/>
      </c>
    </row>
    <row r="121" spans="1:17" ht="15.75" customHeight="1">
      <c r="A121" s="10"/>
      <c r="B121" s="70" t="s">
        <v>221</v>
      </c>
      <c r="C121" s="102">
        <f>C13/C106</f>
        <v>1.2182305488640417</v>
      </c>
      <c r="D121" s="103"/>
      <c r="E121" s="271"/>
      <c r="F121" s="103"/>
      <c r="G121" s="102">
        <f t="shared" ref="G121:Q121" si="48">IF(G$4="","",G13/G106)</f>
        <v>1.279974062341126</v>
      </c>
      <c r="H121" s="102">
        <f t="shared" si="48"/>
        <v>0.91227339620567516</v>
      </c>
      <c r="I121" s="102">
        <f t="shared" si="48"/>
        <v>0.89789444510356353</v>
      </c>
      <c r="J121" s="102">
        <f t="shared" si="48"/>
        <v>0.93281060702500329</v>
      </c>
      <c r="K121" s="102">
        <f t="shared" si="48"/>
        <v>1.0896051450892279</v>
      </c>
      <c r="L121" s="102">
        <f t="shared" si="48"/>
        <v>0.37449505167089997</v>
      </c>
      <c r="M121" s="102">
        <f t="shared" si="48"/>
        <v>0.42116270282476098</v>
      </c>
      <c r="N121" s="102">
        <f t="shared" si="48"/>
        <v>0.31208662377295748</v>
      </c>
      <c r="O121" s="102">
        <f t="shared" si="48"/>
        <v>0.28762162402636021</v>
      </c>
      <c r="P121" s="102">
        <f t="shared" si="48"/>
        <v>0.18987327639774845</v>
      </c>
      <c r="Q121" s="102" t="str">
        <f t="shared" si="48"/>
        <v/>
      </c>
    </row>
    <row r="122" spans="1:17" ht="15.75" customHeight="1">
      <c r="A122" s="10"/>
      <c r="B122" s="27"/>
      <c r="C122" s="62"/>
      <c r="D122" s="27"/>
      <c r="E122" s="67"/>
      <c r="F122" s="27"/>
      <c r="G122" s="12"/>
      <c r="H122" s="12"/>
      <c r="I122" s="12"/>
      <c r="J122" s="12"/>
      <c r="K122" s="12"/>
      <c r="L122" s="12"/>
      <c r="M122" s="12"/>
      <c r="N122" s="12"/>
      <c r="O122" s="12"/>
      <c r="P122" s="12"/>
      <c r="Q122" s="12"/>
    </row>
    <row r="123" spans="1:17" ht="15.75" customHeight="1">
      <c r="A123" s="10"/>
      <c r="B123" s="54" t="s">
        <v>222</v>
      </c>
      <c r="C123" s="54"/>
      <c r="D123" s="56"/>
      <c r="E123" s="66" t="s">
        <v>59</v>
      </c>
      <c r="F123" s="56"/>
      <c r="G123" s="37"/>
      <c r="H123" s="37"/>
      <c r="I123" s="37"/>
      <c r="J123" s="37"/>
      <c r="K123" s="37"/>
      <c r="L123" s="37"/>
      <c r="M123" s="37"/>
      <c r="N123" s="37"/>
      <c r="O123" s="37"/>
      <c r="P123" s="37"/>
      <c r="Q123" s="37"/>
    </row>
    <row r="124" spans="1:17" ht="15.75" customHeight="1">
      <c r="A124" s="10"/>
      <c r="B124" s="178" t="s">
        <v>169</v>
      </c>
      <c r="C124" s="179"/>
      <c r="D124" s="27"/>
      <c r="E124" s="265"/>
      <c r="F124" s="27"/>
      <c r="G124" s="12"/>
      <c r="H124" s="12"/>
      <c r="I124" s="12"/>
      <c r="J124" s="12"/>
      <c r="K124" s="12"/>
      <c r="L124" s="12"/>
      <c r="M124" s="12"/>
      <c r="N124" s="12"/>
      <c r="O124" s="12"/>
      <c r="P124" s="12"/>
      <c r="Q124" s="12"/>
    </row>
    <row r="125" spans="1:17" ht="15.75" customHeight="1">
      <c r="A125" s="10"/>
      <c r="B125" s="27" t="str">
        <f>"FCFE per share ("&amp;Market_currency&amp;")"</f>
        <v>FCFE per share (CNY)</v>
      </c>
      <c r="C125" s="177">
        <f>C16*$C$3/Common_Shares*Exchange_Rate</f>
        <v>4.3390211024249705</v>
      </c>
      <c r="D125" s="27"/>
      <c r="E125" s="265"/>
      <c r="F125" s="27"/>
      <c r="G125" s="177">
        <f t="shared" ref="G125:Q125" si="49">IF(G$4="","",G16*$C$3/Common_Shares*Exchange_Rate)</f>
        <v>4.8004484449016038</v>
      </c>
      <c r="H125" s="177">
        <f t="shared" si="49"/>
        <v>5.5119725581925749</v>
      </c>
      <c r="I125" s="177">
        <f t="shared" si="49"/>
        <v>5.2507522332925598</v>
      </c>
      <c r="J125" s="177">
        <f t="shared" si="49"/>
        <v>4.9097615159690315</v>
      </c>
      <c r="K125" s="177">
        <f t="shared" si="49"/>
        <v>2.7500492096684588</v>
      </c>
      <c r="L125" s="177">
        <f t="shared" si="49"/>
        <v>0.96537337211796936</v>
      </c>
      <c r="M125" s="177">
        <f t="shared" si="49"/>
        <v>0.88501878961735259</v>
      </c>
      <c r="N125" s="177">
        <f t="shared" si="49"/>
        <v>0.71241461563173436</v>
      </c>
      <c r="O125" s="177">
        <f t="shared" si="49"/>
        <v>0.70349732671488441</v>
      </c>
      <c r="P125" s="177">
        <f t="shared" si="49"/>
        <v>0.389484667226003</v>
      </c>
      <c r="Q125" s="177" t="str">
        <f t="shared" si="49"/>
        <v/>
      </c>
    </row>
    <row r="126" spans="1:17" ht="15.75" customHeight="1">
      <c r="A126" s="10"/>
      <c r="B126" s="27" t="s">
        <v>268</v>
      </c>
      <c r="C126" s="77">
        <f>C19*Exchange_Rate*$C$3/(Market_Price*Common_Shares)</f>
        <v>7.8676719898911507E-2</v>
      </c>
      <c r="D126" s="27"/>
      <c r="E126" s="265"/>
      <c r="F126" s="27"/>
      <c r="G126" s="77">
        <f t="shared" ref="G126" si="50">IF(G$4="","",G125/Market_Price)</f>
        <v>8.7043489481443415E-2</v>
      </c>
      <c r="H126" s="77">
        <f t="shared" ref="H126" si="51">IF(H$4="","",H125/Market_Price)</f>
        <v>9.9945105316275165E-2</v>
      </c>
      <c r="I126" s="77">
        <f t="shared" ref="I126" si="52">IF(I$4="","",I125/Market_Price)</f>
        <v>9.5208562707027378E-2</v>
      </c>
      <c r="J126" s="77">
        <f t="shared" ref="J126" si="53">IF(J$4="","",J125/Market_Price)</f>
        <v>8.9025594124551799E-2</v>
      </c>
      <c r="K126" s="77">
        <f t="shared" ref="K126" si="54">IF(K$4="","",K125/Market_Price)</f>
        <v>4.9864899540679221E-2</v>
      </c>
      <c r="L126" s="77">
        <f t="shared" ref="L126" si="55">IF(L$4="","",L125/Market_Price)</f>
        <v>1.7504503574215222E-2</v>
      </c>
      <c r="M126" s="77">
        <f t="shared" ref="M126" si="56">IF(M$4="","",M125/Market_Price)</f>
        <v>1.6047484852535859E-2</v>
      </c>
      <c r="N126" s="77">
        <f t="shared" ref="N126" si="57">IF(N$4="","",N125/Market_Price)</f>
        <v>1.2917762749442147E-2</v>
      </c>
      <c r="O126" s="77">
        <f t="shared" ref="O126" si="58">IF(O$4="","",O125/Market_Price)</f>
        <v>1.2756071200632537E-2</v>
      </c>
      <c r="P126" s="77">
        <f t="shared" ref="P126" si="59">IF(P$4="","",P125/Market_Price)</f>
        <v>7.062278644170499E-3</v>
      </c>
      <c r="Q126" s="77" t="str">
        <f t="shared" ref="Q126" si="60">IF(Q$4="","",Q125/Market_Price)</f>
        <v/>
      </c>
    </row>
    <row r="127" spans="1:17" ht="15.75" customHeight="1">
      <c r="B127" s="2" t="s">
        <v>391</v>
      </c>
      <c r="C127" s="169"/>
      <c r="G127" s="23">
        <f>IF(G$4="","",(Data!C47*$C$3)/(Market_Price*Common_Shares))</f>
        <v>8.4274831102824424E-2</v>
      </c>
      <c r="H127" s="23">
        <f>IF(H$4="","",(Data!D47*$C$3)/(Market_Price*Common_Shares))</f>
        <v>0.10159107487998729</v>
      </c>
      <c r="I127" s="23">
        <f>IF(I$4="","",(Data!E47*$C$3)/(Market_Price*Common_Shares))</f>
        <v>9.6920254754851012E-2</v>
      </c>
      <c r="J127" s="23">
        <f>IF(J$4="","",(Data!F47*$C$3)/(Market_Price*Common_Shares))</f>
        <v>8.9886297105485305E-2</v>
      </c>
      <c r="K127" s="23">
        <f>IF(K$4="","",(Data!G47*$C$3)/(Market_Price*Common_Shares))</f>
        <v>6.5651955206870255E-2</v>
      </c>
      <c r="L127" s="23">
        <f>IF(L$4="","",(Data!H47*$C$3)/(Market_Price*Common_Shares))</f>
        <v>2.7295216147860242E-2</v>
      </c>
      <c r="M127" s="23">
        <f>IF(M$4="","",(Data!I47*$C$3)/(Market_Price*Common_Shares))</f>
        <v>1.5782821490295987E-2</v>
      </c>
      <c r="N127" s="23">
        <f>IF(N$4="","",(Data!J47*$C$3)/(Market_Price*Common_Shares))</f>
        <v>1.2218432941305923E-2</v>
      </c>
      <c r="O127" s="23">
        <f>IF(O$4="","",(Data!K47*$C$3)/(Market_Price*Common_Shares))</f>
        <v>5.2430073185709873E-3</v>
      </c>
      <c r="P127" s="23">
        <f>IF(P$4="","",(Data!L47*$C$3)/(Market_Price*Common_Shares))</f>
        <v>-5.7529487257918068E-3</v>
      </c>
      <c r="Q127" s="23" t="str">
        <f>IF(Q$4="","",(Data!M47*$C$3)/(Market_Price*Common_Shares))</f>
        <v/>
      </c>
    </row>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162</v>
      </c>
      <c r="C3" s="107">
        <f>scaling_factor</f>
        <v>1</v>
      </c>
      <c r="E3" s="109" t="s">
        <v>123</v>
      </c>
      <c r="H3" s="120"/>
    </row>
    <row r="4" spans="2:8">
      <c r="B4" s="100" t="s">
        <v>127</v>
      </c>
      <c r="C4" s="338">
        <f>Normalized_FCF!C19</f>
        <v>2099961241.0878935</v>
      </c>
      <c r="D4" t="str">
        <f>Reporting_currency</f>
        <v>CNY</v>
      </c>
      <c r="E4" s="100" t="s">
        <v>249</v>
      </c>
      <c r="F4" s="134">
        <f>Terminal_Growth</f>
        <v>0</v>
      </c>
      <c r="H4" s="120"/>
    </row>
    <row r="5" spans="2:8">
      <c r="B5" s="205" t="s">
        <v>122</v>
      </c>
      <c r="C5" s="206">
        <f>Equity_Cost</f>
        <v>0.06</v>
      </c>
      <c r="E5" s="148"/>
      <c r="H5" s="120"/>
    </row>
    <row r="6" spans="2:8" ht="13.35" customHeight="1">
      <c r="B6" s="149" t="s">
        <v>227</v>
      </c>
      <c r="C6" s="347">
        <f>(C4*(1+Terminal_Growth))/(Equity_Cost-Terminal_Growth)</f>
        <v>34999354018.131561</v>
      </c>
      <c r="D6" t="str">
        <f>Reporting_currency</f>
        <v>CNY</v>
      </c>
      <c r="E6" s="366" t="s">
        <v>248</v>
      </c>
      <c r="F6" s="366"/>
      <c r="H6" s="120"/>
    </row>
    <row r="7" spans="2:8">
      <c r="B7" s="148" t="s">
        <v>223</v>
      </c>
      <c r="C7" s="338">
        <f>BS!G31</f>
        <v>123521704.27</v>
      </c>
      <c r="D7" t="str">
        <f>Reporting_currency</f>
        <v>CNY</v>
      </c>
      <c r="E7" s="366"/>
      <c r="F7" s="366"/>
      <c r="H7" s="120"/>
    </row>
    <row r="8" spans="2:8">
      <c r="B8" s="148" t="s">
        <v>224</v>
      </c>
      <c r="C8" s="338">
        <f>BS!D66</f>
        <v>51803895.882383943</v>
      </c>
      <c r="D8" t="str">
        <f>Reporting_currency</f>
        <v>CNY</v>
      </c>
      <c r="E8" s="366"/>
      <c r="F8" s="366"/>
      <c r="H8" s="120"/>
    </row>
    <row r="9" spans="2:8">
      <c r="B9" s="205" t="s">
        <v>189</v>
      </c>
      <c r="C9" s="348">
        <f>BS!H42</f>
        <v>29558000.651999995</v>
      </c>
      <c r="D9" t="str">
        <f>Reporting_currency</f>
        <v>CNY</v>
      </c>
      <c r="E9" s="366"/>
      <c r="F9" s="366"/>
      <c r="H9" s="120"/>
    </row>
    <row r="10" spans="2:8" ht="13.15">
      <c r="B10" s="149" t="s">
        <v>226</v>
      </c>
      <c r="C10" s="347">
        <f>C6-C7+C8+C9</f>
        <v>34957194210.39595</v>
      </c>
      <c r="D10" t="str">
        <f>Reporting_currency</f>
        <v>CNY</v>
      </c>
      <c r="H10" s="120"/>
    </row>
    <row r="11" spans="2:8" ht="13.15" thickBot="1">
      <c r="B11" s="207" t="s">
        <v>165</v>
      </c>
      <c r="C11" s="208">
        <f>Exchange_Rate</f>
        <v>1</v>
      </c>
      <c r="D11" t="str">
        <f>Thesis!C15</f>
        <v>CNY</v>
      </c>
      <c r="H11" s="120"/>
    </row>
    <row r="12" spans="2:8" ht="13.5" thickTop="1">
      <c r="B12" s="149" t="s">
        <v>102</v>
      </c>
      <c r="C12" s="111">
        <f>(C10*scaling_factor)/Common_Shares*Exchange_Rate</f>
        <v>72.229906149076143</v>
      </c>
      <c r="D12" t="str">
        <f>Market_currency</f>
        <v>CNY</v>
      </c>
      <c r="H12" s="120"/>
    </row>
    <row r="13" spans="2:8">
      <c r="H13" s="120"/>
    </row>
    <row r="14" spans="2:8" ht="13.9">
      <c r="B14" s="36" t="s">
        <v>228</v>
      </c>
      <c r="C14" s="37"/>
      <c r="D14" s="37"/>
      <c r="E14" s="37"/>
      <c r="F14" s="37"/>
      <c r="H14" s="120"/>
    </row>
    <row r="15" spans="2:8" ht="13.15">
      <c r="B15" s="119" t="s">
        <v>134</v>
      </c>
      <c r="H15" s="120"/>
    </row>
    <row r="16" spans="2:8" ht="13.35" customHeight="1">
      <c r="B16" s="152" t="s">
        <v>132</v>
      </c>
      <c r="C16" s="161">
        <f>Scenarios!C65</f>
        <v>4.6574870890079501E-2</v>
      </c>
      <c r="H16" s="120"/>
    </row>
    <row r="17" spans="2:17" ht="13.35" customHeight="1">
      <c r="B17" s="118" t="s">
        <v>133</v>
      </c>
      <c r="C17" s="162">
        <f>Scenarios!C64</f>
        <v>10</v>
      </c>
      <c r="H17" s="120"/>
    </row>
    <row r="18" spans="2:17" ht="13.35" customHeight="1">
      <c r="B18" s="153" t="s">
        <v>106</v>
      </c>
      <c r="C18" s="140">
        <f>(F52-C7+C8+C9)*Exchange_Rate/Common_Shares*scaling_factor</f>
        <v>82.654783518406717</v>
      </c>
      <c r="D18" t="str">
        <f>Market_currency</f>
        <v>CNY</v>
      </c>
      <c r="H18" s="120"/>
    </row>
    <row r="19" spans="2:17">
      <c r="H19" s="120"/>
    </row>
    <row r="20" spans="2:17" ht="13.15">
      <c r="B20" s="128" t="s">
        <v>107</v>
      </c>
      <c r="C20" s="128" t="s">
        <v>108</v>
      </c>
      <c r="D20" s="128" t="s">
        <v>117</v>
      </c>
      <c r="E20" s="128" t="s">
        <v>109</v>
      </c>
      <c r="F20" s="129" t="s">
        <v>110</v>
      </c>
      <c r="H20" s="120"/>
    </row>
    <row r="21" spans="2:17">
      <c r="B21" s="122">
        <v>1</v>
      </c>
      <c r="C21" s="123">
        <f>C4*(1+D21)</f>
        <v>2197766664.7657332</v>
      </c>
      <c r="D21" s="138">
        <f>IF($C$17&lt;B21,0,DCF!$C$16)</f>
        <v>4.6574870890079501E-2</v>
      </c>
      <c r="E21" s="124">
        <f t="shared" ref="E21:E50" si="0">IF($C$17&lt;B21,0,1/(1+Equity_Cost)^B21)</f>
        <v>0.94339622641509424</v>
      </c>
      <c r="F21" s="125">
        <f t="shared" ref="F21:F51" si="1">C21*E21</f>
        <v>2073364778.0808802</v>
      </c>
      <c r="H21" s="120"/>
    </row>
    <row r="22" spans="2:17">
      <c r="B22" s="122">
        <v>2</v>
      </c>
      <c r="C22" s="123">
        <f t="shared" ref="C22:C50" si="2">IF(ROW()-ROW($C$21)&lt;$C$17, $C$21*(1+D22)^(ROW()-ROW($C$21)), 0)</f>
        <v>2300127363.423718</v>
      </c>
      <c r="D22" s="138">
        <f>IF($C$17&lt;B22,0,DCF!$C$16)</f>
        <v>4.6574870890079501E-2</v>
      </c>
      <c r="E22" s="124">
        <f t="shared" si="0"/>
        <v>0.88999644001423983</v>
      </c>
      <c r="F22" s="125">
        <f t="shared" si="1"/>
        <v>2047105165.0264487</v>
      </c>
      <c r="H22" s="120"/>
    </row>
    <row r="23" spans="2:17">
      <c r="B23" s="122">
        <v>3</v>
      </c>
      <c r="C23" s="123">
        <f t="shared" si="2"/>
        <v>2407255498.4059167</v>
      </c>
      <c r="D23" s="138">
        <f>IF($C$17&lt;B23,0,DCF!$C$16)</f>
        <v>4.6574870890079501E-2</v>
      </c>
      <c r="E23" s="124">
        <f t="shared" si="0"/>
        <v>0.8396192830323016</v>
      </c>
      <c r="F23" s="125">
        <f t="shared" si="1"/>
        <v>2021178135.6471417</v>
      </c>
      <c r="G23" s="338"/>
      <c r="H23" s="339"/>
      <c r="I23" s="338"/>
      <c r="J23" s="338"/>
      <c r="K23" s="338"/>
      <c r="L23" s="338"/>
      <c r="M23" s="338"/>
      <c r="N23" s="338"/>
      <c r="O23" s="338"/>
      <c r="P23" s="338"/>
      <c r="Q23" s="338"/>
    </row>
    <row r="24" spans="2:17">
      <c r="B24" s="122">
        <v>4</v>
      </c>
      <c r="C24" s="123">
        <f t="shared" si="2"/>
        <v>2519373112.4436064</v>
      </c>
      <c r="D24" s="138">
        <f>IF($C$17&lt;B24,0,DCF!$C$16)</f>
        <v>4.6574870890079501E-2</v>
      </c>
      <c r="E24" s="124">
        <f t="shared" si="0"/>
        <v>0.79209366323802044</v>
      </c>
      <c r="F24" s="125">
        <f t="shared" si="1"/>
        <v>1995579477.6988294</v>
      </c>
      <c r="G24" s="338"/>
      <c r="H24" s="339"/>
      <c r="I24" s="338"/>
      <c r="J24" s="338"/>
      <c r="K24" s="338"/>
      <c r="L24" s="338"/>
      <c r="M24" s="338"/>
      <c r="N24" s="338"/>
      <c r="O24" s="338"/>
      <c r="P24" s="338"/>
      <c r="Q24" s="338"/>
    </row>
    <row r="25" spans="2:17">
      <c r="B25" s="122">
        <v>5</v>
      </c>
      <c r="C25" s="123">
        <f t="shared" si="2"/>
        <v>2636712589.8796053</v>
      </c>
      <c r="D25" s="138">
        <f>IF($C$17&lt;B25,0,DCF!$C$16)</f>
        <v>4.6574870890079501E-2</v>
      </c>
      <c r="E25" s="124">
        <f t="shared" si="0"/>
        <v>0.74725817286605689</v>
      </c>
      <c r="F25" s="125">
        <f t="shared" si="1"/>
        <v>1970305032.2863626</v>
      </c>
      <c r="G25" s="338"/>
      <c r="H25" s="339"/>
      <c r="I25" s="338"/>
      <c r="J25" s="338"/>
      <c r="K25" s="338"/>
      <c r="L25" s="338"/>
      <c r="M25" s="338"/>
      <c r="N25" s="338"/>
      <c r="O25" s="338"/>
      <c r="P25" s="338"/>
      <c r="Q25" s="338"/>
    </row>
    <row r="26" spans="2:17">
      <c r="B26" s="122">
        <v>6</v>
      </c>
      <c r="C26" s="123">
        <f t="shared" si="2"/>
        <v>2759517138.3274951</v>
      </c>
      <c r="D26" s="138">
        <f>IF($C$17&lt;B26,0,DCF!$C$16)</f>
        <v>4.6574870890079501E-2</v>
      </c>
      <c r="E26" s="124">
        <f t="shared" si="0"/>
        <v>0.70496054043967626</v>
      </c>
      <c r="F26" s="125">
        <f t="shared" si="1"/>
        <v>1945350693.1878998</v>
      </c>
      <c r="H26" s="120"/>
    </row>
    <row r="27" spans="2:17">
      <c r="B27" s="122">
        <v>7</v>
      </c>
      <c r="C27" s="123">
        <f t="shared" si="2"/>
        <v>2888041292.7640605</v>
      </c>
      <c r="D27" s="138">
        <f>IF($C$17&lt;B27,0,DCF!$C$16)</f>
        <v>4.6574870890079501E-2</v>
      </c>
      <c r="E27" s="124">
        <f t="shared" si="0"/>
        <v>0.66505711362233599</v>
      </c>
      <c r="F27" s="125">
        <f t="shared" si="1"/>
        <v>1920712406.1877859</v>
      </c>
      <c r="H27" s="120"/>
    </row>
    <row r="28" spans="2:17">
      <c r="B28" s="122">
        <v>8</v>
      </c>
      <c r="C28" s="123">
        <f t="shared" si="2"/>
        <v>3022551443.0997648</v>
      </c>
      <c r="D28" s="138">
        <f>IF($C$17&lt;B28,0,DCF!$C$16)</f>
        <v>4.6574870890079501E-2</v>
      </c>
      <c r="E28" s="124">
        <f t="shared" si="0"/>
        <v>0.62741237134182648</v>
      </c>
      <c r="F28" s="125">
        <f t="shared" si="1"/>
        <v>1896386168.4178832</v>
      </c>
      <c r="H28" s="120"/>
    </row>
    <row r="29" spans="2:17">
      <c r="B29" s="122">
        <v>9</v>
      </c>
      <c r="C29" s="123">
        <f t="shared" si="2"/>
        <v>3163326386.3207598</v>
      </c>
      <c r="D29" s="138">
        <f>IF($C$17&lt;B29,0,DCF!$C$16)</f>
        <v>4.6574870890079501E-2</v>
      </c>
      <c r="E29" s="124">
        <f t="shared" si="0"/>
        <v>0.59189846353002495</v>
      </c>
      <c r="F29" s="125">
        <f t="shared" si="1"/>
        <v>1872368027.7072439</v>
      </c>
      <c r="H29" s="120"/>
    </row>
    <row r="30" spans="2:17">
      <c r="B30" s="122">
        <v>10</v>
      </c>
      <c r="C30" s="123">
        <f t="shared" si="2"/>
        <v>3310657904.3468313</v>
      </c>
      <c r="D30" s="138">
        <f>IF($C$17&lt;B30,0,DCF!$C$16)</f>
        <v>4.6574870890079501E-2</v>
      </c>
      <c r="E30" s="124">
        <f t="shared" si="0"/>
        <v>0.55839477691511785</v>
      </c>
      <c r="F30" s="125">
        <f t="shared" si="1"/>
        <v>1848654081.9400206</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130</v>
      </c>
      <c r="C51" s="123">
        <f>C$21*(1+Terminal_Growth)^$C$17/Equity_Cost</f>
        <v>36629444412.762222</v>
      </c>
      <c r="D51" s="139">
        <f>Terminal_Growth</f>
        <v>0</v>
      </c>
      <c r="E51" s="124">
        <f>1/(1+Equity_Cost)^C17</f>
        <v>0.55839477691511785</v>
      </c>
      <c r="F51" s="125">
        <f t="shared" si="1"/>
        <v>20453690441.389072</v>
      </c>
      <c r="H51" s="120"/>
    </row>
    <row r="52" spans="1:17">
      <c r="C52" s="114"/>
      <c r="E52" s="127" t="s">
        <v>100</v>
      </c>
      <c r="F52" s="137">
        <f>SUM(F21:F51)</f>
        <v>40044694407.569565</v>
      </c>
      <c r="H52" s="120"/>
    </row>
    <row r="53" spans="1:17">
      <c r="C53" s="114"/>
      <c r="H53" s="120"/>
    </row>
    <row r="54" spans="1:17" ht="13.15">
      <c r="B54" s="119" t="s">
        <v>128</v>
      </c>
      <c r="C54" s="136"/>
      <c r="D54" s="136"/>
      <c r="E54" s="117"/>
      <c r="F54" s="117"/>
      <c r="H54" s="120"/>
    </row>
    <row r="55" spans="1:17" ht="13.15">
      <c r="A55" s="133">
        <f>F52</f>
        <v>40044694407.569565</v>
      </c>
      <c r="B55" s="131">
        <f>C78</f>
        <v>0</v>
      </c>
      <c r="C55" s="131">
        <f>C77</f>
        <v>0.02</v>
      </c>
      <c r="D55" s="131">
        <f>C76</f>
        <v>0.04</v>
      </c>
      <c r="E55" s="131">
        <f>C75</f>
        <v>0.06</v>
      </c>
      <c r="F55" s="131">
        <f>C74</f>
        <v>0.1</v>
      </c>
      <c r="H55" s="120"/>
    </row>
    <row r="56" spans="1:17" ht="13.15">
      <c r="A56" s="143">
        <v>5</v>
      </c>
      <c r="B56" s="123">
        <f t="dataTable" ref="B56:F61" dt2D="1" dtr="1" r1="C16" r2="C17"/>
        <v>34999354018.131546</v>
      </c>
      <c r="C56" s="123">
        <v>36045912705.246384</v>
      </c>
      <c r="D56" s="123">
        <v>37119914696.671471</v>
      </c>
      <c r="E56" s="123">
        <v>38222572740.625626</v>
      </c>
      <c r="F56" s="123">
        <v>40518897188.447235</v>
      </c>
      <c r="H56" s="120"/>
    </row>
    <row r="57" spans="1:17" ht="13.15">
      <c r="A57" s="143">
        <v>10</v>
      </c>
      <c r="B57" s="123">
        <v>34999354018.131546</v>
      </c>
      <c r="C57" s="123">
        <v>37033589731.386833</v>
      </c>
      <c r="D57" s="123">
        <v>39264419221.231857</v>
      </c>
      <c r="E57" s="123">
        <v>41715676278.75441</v>
      </c>
      <c r="F57" s="123">
        <v>47388511260.723457</v>
      </c>
      <c r="H57" s="120"/>
    </row>
    <row r="58" spans="1:17" ht="13.15">
      <c r="A58" s="143">
        <v>15</v>
      </c>
      <c r="B58" s="123">
        <v>34999354018.131531</v>
      </c>
      <c r="C58" s="341">
        <v>38372840114.96933</v>
      </c>
      <c r="D58" s="123">
        <v>42327055490.009201</v>
      </c>
      <c r="E58" s="123">
        <v>46979666651.203575</v>
      </c>
      <c r="F58" s="123">
        <v>58973004692.709213</v>
      </c>
      <c r="G58" s="338"/>
      <c r="H58" s="339"/>
      <c r="I58" s="338"/>
      <c r="J58" s="338"/>
      <c r="K58" s="338"/>
      <c r="L58" s="338"/>
      <c r="M58" s="338"/>
      <c r="N58" s="338"/>
      <c r="O58" s="338"/>
      <c r="P58" s="338"/>
      <c r="Q58" s="338"/>
    </row>
    <row r="59" spans="1:17" ht="13.15">
      <c r="A59" s="144">
        <v>20</v>
      </c>
      <c r="B59" s="123">
        <v>34999354018.131531</v>
      </c>
      <c r="C59" s="341">
        <v>39869616531.197845</v>
      </c>
      <c r="D59" s="123">
        <v>45943125279.92202</v>
      </c>
      <c r="E59" s="123">
        <v>53566966683.819527</v>
      </c>
      <c r="F59" s="123">
        <v>75393318373.045044</v>
      </c>
      <c r="G59" s="338"/>
      <c r="H59" s="339"/>
      <c r="I59" s="338"/>
      <c r="J59" s="338"/>
      <c r="K59" s="338"/>
      <c r="L59" s="338"/>
      <c r="M59" s="338"/>
      <c r="N59" s="338"/>
      <c r="O59" s="338"/>
      <c r="P59" s="338"/>
      <c r="Q59" s="338"/>
    </row>
    <row r="60" spans="1:17" ht="13.15">
      <c r="A60" s="144">
        <v>25</v>
      </c>
      <c r="B60" s="123">
        <v>34999354018.131531</v>
      </c>
      <c r="C60" s="341">
        <v>41397320272.571182</v>
      </c>
      <c r="D60" s="123">
        <v>49852155420.087311</v>
      </c>
      <c r="E60" s="123">
        <v>61143120675.227715</v>
      </c>
      <c r="F60" s="123">
        <v>97006894419.689941</v>
      </c>
      <c r="G60" s="338"/>
      <c r="H60" s="339"/>
      <c r="I60" s="338"/>
      <c r="J60" s="338"/>
      <c r="K60" s="338"/>
      <c r="L60" s="338"/>
      <c r="M60" s="338"/>
      <c r="N60" s="338"/>
      <c r="O60" s="338"/>
      <c r="P60" s="338"/>
      <c r="Q60" s="338"/>
    </row>
    <row r="61" spans="1:17" ht="13.15">
      <c r="A61" s="144">
        <v>30</v>
      </c>
      <c r="B61" s="123">
        <v>34999354018.131523</v>
      </c>
      <c r="C61" s="341">
        <v>42876533947.068497</v>
      </c>
      <c r="D61" s="123">
        <v>53870461014.688095</v>
      </c>
      <c r="E61" s="123">
        <v>69458203869.114365</v>
      </c>
      <c r="F61" s="123">
        <v>124402241898.03172</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129</v>
      </c>
      <c r="C63" s="338"/>
      <c r="D63" s="114"/>
      <c r="E63" s="114"/>
      <c r="F63" s="114"/>
      <c r="G63" s="338"/>
      <c r="H63" s="339"/>
      <c r="I63" s="338"/>
      <c r="J63" s="338"/>
      <c r="K63" s="338"/>
      <c r="L63" s="338"/>
      <c r="M63" s="338"/>
      <c r="N63" s="338"/>
      <c r="O63" s="338"/>
      <c r="P63" s="338"/>
      <c r="Q63" s="338"/>
    </row>
    <row r="64" spans="1:17" ht="13.15">
      <c r="B64" s="132">
        <f>B55</f>
        <v>0</v>
      </c>
      <c r="C64" s="132">
        <f>C55</f>
        <v>0.02</v>
      </c>
      <c r="D64" s="132">
        <f>D55</f>
        <v>0.04</v>
      </c>
      <c r="E64" s="132">
        <f>E55</f>
        <v>0.06</v>
      </c>
      <c r="F64" s="132">
        <f>F55</f>
        <v>0.1</v>
      </c>
      <c r="H64" s="120"/>
    </row>
    <row r="65" spans="1:8" ht="13.15">
      <c r="A65" s="143">
        <v>0</v>
      </c>
      <c r="B65" s="124">
        <f>C12</f>
        <v>72.229906149076143</v>
      </c>
      <c r="C65" s="124">
        <f>C12</f>
        <v>72.229906149076143</v>
      </c>
      <c r="D65" s="124">
        <f>C12</f>
        <v>72.229906149076143</v>
      </c>
      <c r="E65" s="141">
        <f>C12</f>
        <v>72.229906149076143</v>
      </c>
      <c r="F65" s="124">
        <f>C12</f>
        <v>72.229906149076143</v>
      </c>
      <c r="H65" s="120"/>
    </row>
    <row r="66" spans="1:8" ht="13.15">
      <c r="A66" s="143">
        <f t="shared" ref="A66:A71" si="3">A56</f>
        <v>5</v>
      </c>
      <c r="B66" s="124">
        <f t="shared" ref="B66:F71" si="4">(B56-$C$7+$C$8+$C$9)/Common_Shares*$C$3*Exchange_Rate</f>
        <v>72.229906149076115</v>
      </c>
      <c r="C66" s="124">
        <f t="shared" si="4"/>
        <v>74.39234616914284</v>
      </c>
      <c r="D66" s="124">
        <f t="shared" si="4"/>
        <v>76.611490605554295</v>
      </c>
      <c r="E66" s="124">
        <f t="shared" si="4"/>
        <v>78.889845285565968</v>
      </c>
      <c r="F66" s="124">
        <f t="shared" si="4"/>
        <v>83.634599637294173</v>
      </c>
      <c r="H66" s="120"/>
    </row>
    <row r="67" spans="1:8" ht="13.15">
      <c r="A67" s="143">
        <f t="shared" si="3"/>
        <v>10</v>
      </c>
      <c r="B67" s="124">
        <f t="shared" si="4"/>
        <v>72.229906149076115</v>
      </c>
      <c r="C67" s="124">
        <f t="shared" si="4"/>
        <v>76.433122624894764</v>
      </c>
      <c r="D67" s="124">
        <f t="shared" si="4"/>
        <v>81.042548762367147</v>
      </c>
      <c r="E67" s="124">
        <f t="shared" si="4"/>
        <v>86.107430862071254</v>
      </c>
      <c r="F67" s="124">
        <f t="shared" si="4"/>
        <v>97.828861817904809</v>
      </c>
      <c r="H67" s="120"/>
    </row>
    <row r="68" spans="1:8" ht="13.15">
      <c r="A68" s="143">
        <f t="shared" si="3"/>
        <v>15</v>
      </c>
      <c r="B68" s="124">
        <f t="shared" si="4"/>
        <v>72.229906149076086</v>
      </c>
      <c r="C68" s="124">
        <f t="shared" si="4"/>
        <v>79.200333543885222</v>
      </c>
      <c r="D68" s="124">
        <f t="shared" si="4"/>
        <v>87.370686224748425</v>
      </c>
      <c r="E68" s="124">
        <f t="shared" si="4"/>
        <v>96.984091279473134</v>
      </c>
      <c r="F68" s="124">
        <f t="shared" si="4"/>
        <v>121.7651900123478</v>
      </c>
      <c r="H68" s="120"/>
    </row>
    <row r="69" spans="1:8" ht="13.15">
      <c r="A69" s="144">
        <f t="shared" si="3"/>
        <v>20</v>
      </c>
      <c r="B69" s="124">
        <f t="shared" si="4"/>
        <v>72.229906149076086</v>
      </c>
      <c r="C69" s="124">
        <f t="shared" si="4"/>
        <v>82.293030841604406</v>
      </c>
      <c r="D69" s="124">
        <f t="shared" si="4"/>
        <v>94.842349424658138</v>
      </c>
      <c r="E69" s="124">
        <f t="shared" si="4"/>
        <v>110.59502527686351</v>
      </c>
      <c r="F69" s="124">
        <f t="shared" si="4"/>
        <v>155.69347696039841</v>
      </c>
      <c r="H69" s="120"/>
    </row>
    <row r="70" spans="1:8" ht="13.15">
      <c r="A70" s="144">
        <f t="shared" si="3"/>
        <v>25</v>
      </c>
      <c r="B70" s="124">
        <f t="shared" si="4"/>
        <v>72.229906149076086</v>
      </c>
      <c r="C70" s="124">
        <f t="shared" si="4"/>
        <v>85.449631374211592</v>
      </c>
      <c r="D70" s="124">
        <f t="shared" si="4"/>
        <v>102.91933862632813</v>
      </c>
      <c r="E70" s="124">
        <f t="shared" si="4"/>
        <v>126.24916755375205</v>
      </c>
      <c r="F70" s="124">
        <f t="shared" si="4"/>
        <v>200.35228338516606</v>
      </c>
    </row>
    <row r="71" spans="1:8" ht="13.15">
      <c r="A71" s="144">
        <f t="shared" si="3"/>
        <v>30</v>
      </c>
      <c r="B71" s="124">
        <f t="shared" si="4"/>
        <v>72.229906149076072</v>
      </c>
      <c r="C71" s="124">
        <f t="shared" si="4"/>
        <v>88.506039855976894</v>
      </c>
      <c r="D71" s="124">
        <f t="shared" si="4"/>
        <v>111.22211699662442</v>
      </c>
      <c r="E71" s="124">
        <f t="shared" si="4"/>
        <v>143.43011391636313</v>
      </c>
      <c r="F71" s="124">
        <f t="shared" si="4"/>
        <v>256.95760946976043</v>
      </c>
    </row>
    <row r="73" spans="1:8" ht="13.15">
      <c r="B73" s="171" t="s">
        <v>116</v>
      </c>
      <c r="C73" s="171" t="s">
        <v>131</v>
      </c>
      <c r="D73" s="171" t="s">
        <v>111</v>
      </c>
      <c r="E73" s="172" t="s">
        <v>112</v>
      </c>
      <c r="F73" s="172" t="s">
        <v>118</v>
      </c>
    </row>
    <row r="74" spans="1:8">
      <c r="B74" s="127" t="str">
        <f>Scenarios!B54</f>
        <v>Snowball Scenario</v>
      </c>
      <c r="C74" s="142">
        <f>Scenarios!C56</f>
        <v>0.1</v>
      </c>
      <c r="D74" s="145">
        <f>Scenarios!C55</f>
        <v>15</v>
      </c>
      <c r="E74" s="135">
        <f>INDEX(B$65:F$71, MATCH(D74, A$65:A$71, 0), MATCH(C74, B$64:F$64, 0))</f>
        <v>121.7651900123478</v>
      </c>
      <c r="F74" s="142">
        <f>Scenarios!C58</f>
        <v>0.05</v>
      </c>
    </row>
    <row r="75" spans="1:8">
      <c r="B75" s="127" t="str">
        <f>Scenarios!B36</f>
        <v>Optimistic</v>
      </c>
      <c r="C75" s="142">
        <f>Scenarios!C38</f>
        <v>0.06</v>
      </c>
      <c r="D75" s="145">
        <f>Scenarios!C37</f>
        <v>10</v>
      </c>
      <c r="E75" s="135">
        <f>INDEX(B$65:F$71, MATCH(D75, A$65:A$71, 0), MATCH(C75, B$64:F$64, 0))</f>
        <v>86.107430862071254</v>
      </c>
      <c r="F75" s="142">
        <f>Scenarios!C40*(1-F$74-F$78)</f>
        <v>0.18</v>
      </c>
      <c r="H75" s="120"/>
    </row>
    <row r="76" spans="1:8">
      <c r="B76" s="127" t="str">
        <f>Scenarios!B24</f>
        <v>Base</v>
      </c>
      <c r="C76" s="142">
        <f>Scenarios!C26</f>
        <v>0.04</v>
      </c>
      <c r="D76" s="145">
        <f>Scenarios!C25</f>
        <v>10</v>
      </c>
      <c r="E76" s="135">
        <f>INDEX(B$65:F$71, MATCH(D76, A$65:A$71, 0), MATCH(C76, B$64:F$64, 0))</f>
        <v>81.042548762367147</v>
      </c>
      <c r="F76" s="142">
        <f>Scenarios!C28*(1-F$74-F$78)</f>
        <v>0.53999999999999992</v>
      </c>
      <c r="H76" s="120"/>
    </row>
    <row r="77" spans="1:8">
      <c r="B77" s="127" t="str">
        <f>Scenarios!B30</f>
        <v>Pessimistic</v>
      </c>
      <c r="C77" s="142">
        <f>Scenarios!C32</f>
        <v>0.02</v>
      </c>
      <c r="D77" s="145">
        <f>Scenarios!C31</f>
        <v>10</v>
      </c>
      <c r="E77" s="135">
        <f>INDEX(B$65:F$71, MATCH(D77, A$65:A$71, 0), MATCH(C77, B$64:F$64, 0))</f>
        <v>76.433122624894764</v>
      </c>
      <c r="F77" s="142">
        <f>Scenarios!C34*(1-F$74-F$78)</f>
        <v>0.18</v>
      </c>
      <c r="H77" s="120"/>
    </row>
    <row r="78" spans="1:8">
      <c r="B78" s="127" t="str">
        <f>Scenarios!B48</f>
        <v>Devil's advocate</v>
      </c>
      <c r="C78" s="142">
        <f>Scenarios!C50</f>
        <v>0</v>
      </c>
      <c r="D78" s="145">
        <f>Scenarios!C49</f>
        <v>15</v>
      </c>
      <c r="E78" s="135">
        <f>INDEX(B$65:F$71, MATCH(D78, A$65:A$71, 0), MATCH(C78, B$64:F$64, 0))</f>
        <v>72.229906149076086</v>
      </c>
      <c r="F78" s="142">
        <f>Scenarios!C52</f>
        <v>0.05</v>
      </c>
    </row>
    <row r="79" spans="1:8">
      <c r="B79" s="155"/>
      <c r="C79" s="155"/>
      <c r="D79" s="155"/>
      <c r="E79" s="155"/>
      <c r="F79" s="156"/>
    </row>
    <row r="80" spans="1:8">
      <c r="B80" s="155" t="s">
        <v>307</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tabSelected="1" zoomScale="75" zoomScaleNormal="85" workbookViewId="0">
      <selection activeCell="C4" sqref="C4"/>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440</v>
      </c>
      <c r="C2" s="37"/>
      <c r="D2" s="37"/>
      <c r="E2" s="37"/>
      <c r="F2" s="37"/>
      <c r="H2" s="130" t="s">
        <v>59</v>
      </c>
    </row>
    <row r="3" spans="2:8" ht="13.15">
      <c r="B3" s="109" t="s">
        <v>439</v>
      </c>
      <c r="C3" s="107">
        <f>scaling_factor</f>
        <v>1</v>
      </c>
      <c r="E3" s="109" t="s">
        <v>123</v>
      </c>
      <c r="H3" s="120"/>
    </row>
    <row r="4" spans="2:8">
      <c r="B4" s="100" t="s">
        <v>437</v>
      </c>
      <c r="C4" s="114">
        <f>Normalized_FCF!C91*(1-dividend_tax_rate)</f>
        <v>1045377787.6800001</v>
      </c>
      <c r="D4" t="str">
        <f>Market_currency</f>
        <v>CNY</v>
      </c>
      <c r="E4" s="100" t="s">
        <v>249</v>
      </c>
      <c r="F4" s="134">
        <f>Thesis!E22</f>
        <v>0</v>
      </c>
      <c r="H4" s="120"/>
    </row>
    <row r="5" spans="2:8">
      <c r="B5" s="205" t="s">
        <v>122</v>
      </c>
      <c r="C5" s="206">
        <f>Equity_Cost</f>
        <v>0.06</v>
      </c>
      <c r="E5" s="148"/>
      <c r="H5" s="120"/>
    </row>
    <row r="6" spans="2:8" ht="13.35" customHeight="1">
      <c r="B6" s="149" t="s">
        <v>438</v>
      </c>
      <c r="C6" s="319">
        <f>(C4*(1+Terminal_Growth))/(Equity_Cost-Terminal_Growth)</f>
        <v>17422963128</v>
      </c>
      <c r="D6" t="str">
        <f>Reporting_currency</f>
        <v>CNY</v>
      </c>
      <c r="E6" s="366"/>
      <c r="F6" s="366"/>
      <c r="H6" s="120"/>
    </row>
    <row r="7" spans="2:8" ht="13.15">
      <c r="B7" s="149" t="s">
        <v>441</v>
      </c>
      <c r="C7" s="111">
        <f>(C6*scaling_factor)/Common_Shares*Exchange_Rate</f>
        <v>36</v>
      </c>
      <c r="D7" t="str">
        <f>Market_currency</f>
        <v>CNY</v>
      </c>
      <c r="H7" s="120"/>
    </row>
    <row r="8" spans="2:8">
      <c r="H8" s="120"/>
    </row>
    <row r="9" spans="2:8" ht="13.9">
      <c r="B9" s="36" t="s">
        <v>228</v>
      </c>
      <c r="C9" s="37"/>
      <c r="D9" s="37"/>
      <c r="E9" s="37"/>
      <c r="F9" s="37"/>
      <c r="H9" s="120"/>
    </row>
    <row r="10" spans="2:8" ht="13.15">
      <c r="B10" s="119" t="s">
        <v>134</v>
      </c>
      <c r="H10" s="120"/>
    </row>
    <row r="11" spans="2:8" ht="13.35" customHeight="1">
      <c r="B11" s="152" t="s">
        <v>132</v>
      </c>
      <c r="C11" s="161">
        <f>Scenarios!C65</f>
        <v>4.6574870890079501E-2</v>
      </c>
      <c r="H11" s="120"/>
    </row>
    <row r="12" spans="2:8" ht="13.35" customHeight="1">
      <c r="B12" s="118" t="s">
        <v>133</v>
      </c>
      <c r="C12" s="162">
        <f>Scenarios!C64</f>
        <v>10</v>
      </c>
      <c r="H12" s="120"/>
    </row>
    <row r="13" spans="2:8" ht="13.35" customHeight="1">
      <c r="B13" s="153" t="s">
        <v>106</v>
      </c>
      <c r="C13" s="140">
        <f>F47/Common_Shares*scaling_factor</f>
        <v>41.189588754285957</v>
      </c>
      <c r="D13" t="str">
        <f>Market_currency</f>
        <v>CNY</v>
      </c>
      <c r="H13" s="120"/>
    </row>
    <row r="14" spans="2:8">
      <c r="H14" s="120"/>
    </row>
    <row r="15" spans="2:8" ht="13.15">
      <c r="B15" s="128" t="s">
        <v>107</v>
      </c>
      <c r="C15" s="128" t="s">
        <v>443</v>
      </c>
      <c r="D15" s="128" t="s">
        <v>117</v>
      </c>
      <c r="E15" s="128" t="s">
        <v>109</v>
      </c>
      <c r="F15" s="129" t="s">
        <v>442</v>
      </c>
      <c r="H15" s="120"/>
    </row>
    <row r="16" spans="2:8">
      <c r="B16" s="122">
        <v>1</v>
      </c>
      <c r="C16" s="123">
        <f>C4*(1+D16)</f>
        <v>1094066123.1725531</v>
      </c>
      <c r="D16" s="138">
        <f>IF($C$12&lt;B16,0,DDM!$C$11)</f>
        <v>4.6574870890079501E-2</v>
      </c>
      <c r="E16" s="124">
        <f t="shared" ref="E16:E45" si="0">IF($C$12&lt;B16,0,1/(1+Equity_Cost)^B16)</f>
        <v>0.94339622641509424</v>
      </c>
      <c r="F16" s="125">
        <f t="shared" ref="F16:F46" si="1">C16*E16</f>
        <v>1032137852.0495783</v>
      </c>
      <c r="H16" s="120"/>
    </row>
    <row r="17" spans="2:8">
      <c r="B17" s="122">
        <v>2</v>
      </c>
      <c r="C17" s="123">
        <f t="shared" ref="C17:C45" si="2">IF(ROW()-ROW($C$16)&lt;$C$12, $C$16*(1+D17)^(ROW()-ROW($C$16)), 0)</f>
        <v>1145022111.6045246</v>
      </c>
      <c r="D17" s="138">
        <f>IF($C$12&lt;B17,0,DDM!$C$11)</f>
        <v>4.6574870890079501E-2</v>
      </c>
      <c r="E17" s="124">
        <f t="shared" si="0"/>
        <v>0.88999644001423983</v>
      </c>
      <c r="F17" s="125">
        <f t="shared" si="1"/>
        <v>1019065603.0656145</v>
      </c>
      <c r="H17" s="120"/>
    </row>
    <row r="18" spans="2:8">
      <c r="B18" s="122">
        <v>3</v>
      </c>
      <c r="C18" s="123">
        <f t="shared" si="2"/>
        <v>1198351368.6187916</v>
      </c>
      <c r="D18" s="138">
        <f>IF($C$12&lt;B18,0,DDM!$C$11)</f>
        <v>4.6574870890079501E-2</v>
      </c>
      <c r="E18" s="124">
        <f t="shared" si="0"/>
        <v>0.8396192830323016</v>
      </c>
      <c r="F18" s="125">
        <f t="shared" si="1"/>
        <v>1006158916.9404871</v>
      </c>
      <c r="H18" s="120"/>
    </row>
    <row r="19" spans="2:8">
      <c r="B19" s="122">
        <v>4</v>
      </c>
      <c r="C19" s="123">
        <f t="shared" si="2"/>
        <v>1254164428.893162</v>
      </c>
      <c r="D19" s="138">
        <f>IF($C$12&lt;B19,0,DDM!$C$11)</f>
        <v>4.6574870890079501E-2</v>
      </c>
      <c r="E19" s="124">
        <f t="shared" si="0"/>
        <v>0.79209366323802044</v>
      </c>
      <c r="F19" s="125">
        <f t="shared" si="1"/>
        <v>993415696.78480446</v>
      </c>
      <c r="H19" s="120"/>
    </row>
    <row r="20" spans="2:8">
      <c r="B20" s="122">
        <v>5</v>
      </c>
      <c r="C20" s="123">
        <f t="shared" si="2"/>
        <v>1312576975.2437913</v>
      </c>
      <c r="D20" s="138">
        <f>IF($C$12&lt;B20,0,DDM!$C$11)</f>
        <v>4.6574870890079501E-2</v>
      </c>
      <c r="E20" s="124">
        <f t="shared" si="0"/>
        <v>0.74725817286605689</v>
      </c>
      <c r="F20" s="125">
        <f t="shared" si="1"/>
        <v>980833872.26673114</v>
      </c>
      <c r="H20" s="120"/>
    </row>
    <row r="21" spans="2:8">
      <c r="B21" s="122">
        <v>6</v>
      </c>
      <c r="C21" s="123">
        <f t="shared" si="2"/>
        <v>1373710078.3990619</v>
      </c>
      <c r="D21" s="138">
        <f>IF($C$12&lt;B21,0,DDM!$C$11)</f>
        <v>4.6574870890079501E-2</v>
      </c>
      <c r="E21" s="124">
        <f t="shared" si="0"/>
        <v>0.70496054043967626</v>
      </c>
      <c r="F21" s="125">
        <f t="shared" si="1"/>
        <v>968411399.27563274</v>
      </c>
      <c r="H21" s="120"/>
    </row>
    <row r="22" spans="2:8">
      <c r="B22" s="122">
        <v>7</v>
      </c>
      <c r="C22" s="123">
        <f t="shared" si="2"/>
        <v>1437690447.9408996</v>
      </c>
      <c r="D22" s="138">
        <f>IF($C$12&lt;B22,0,DDM!$C$11)</f>
        <v>4.6574870890079501E-2</v>
      </c>
      <c r="E22" s="124">
        <f t="shared" si="0"/>
        <v>0.66505711362233599</v>
      </c>
      <c r="F22" s="125">
        <f t="shared" si="1"/>
        <v>956146259.58997798</v>
      </c>
      <c r="H22" s="120"/>
    </row>
    <row r="23" spans="2:8">
      <c r="B23" s="122">
        <v>8</v>
      </c>
      <c r="C23" s="123">
        <f t="shared" si="2"/>
        <v>1504650694.9336476</v>
      </c>
      <c r="D23" s="138">
        <f>IF($C$12&lt;B23,0,DDM!$C$11)</f>
        <v>4.6574870890079501E-2</v>
      </c>
      <c r="E23" s="124">
        <f t="shared" si="0"/>
        <v>0.62741237134182648</v>
      </c>
      <c r="F23" s="125">
        <f t="shared" si="1"/>
        <v>944036460.54944694</v>
      </c>
      <c r="H23" s="120"/>
    </row>
    <row r="24" spans="2:8">
      <c r="B24" s="122">
        <v>9</v>
      </c>
      <c r="C24" s="123">
        <f t="shared" si="2"/>
        <v>1574729606.7848506</v>
      </c>
      <c r="D24" s="138">
        <f>IF($C$12&lt;B24,0,DDM!$C$11)</f>
        <v>4.6574870890079501E-2</v>
      </c>
      <c r="E24" s="124">
        <f t="shared" si="0"/>
        <v>0.59189846353002495</v>
      </c>
      <c r="F24" s="125">
        <f t="shared" si="1"/>
        <v>932080034.73119342</v>
      </c>
      <c r="H24" s="120"/>
    </row>
    <row r="25" spans="2:8">
      <c r="B25" s="122">
        <v>10</v>
      </c>
      <c r="C25" s="123">
        <f t="shared" si="2"/>
        <v>1648072434.9076407</v>
      </c>
      <c r="D25" s="138">
        <f>IF($C$12&lt;B25,0,DDM!$C$11)</f>
        <v>4.6574870890079501E-2</v>
      </c>
      <c r="E25" s="124">
        <f t="shared" si="0"/>
        <v>0.55839477691511785</v>
      </c>
      <c r="F25" s="125">
        <f t="shared" si="1"/>
        <v>920275039.63020706</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130</v>
      </c>
      <c r="C46" s="123">
        <f>C$16*(1+F4)^$C$12/Equity_Cost</f>
        <v>18234435386.209217</v>
      </c>
      <c r="D46" s="139">
        <f>Terminal_Growth</f>
        <v>0</v>
      </c>
      <c r="E46" s="124">
        <f>1/(1+Equity_Cost)^C12</f>
        <v>0.55839477691511785</v>
      </c>
      <c r="F46" s="125">
        <f t="shared" si="1"/>
        <v>10182013479.655426</v>
      </c>
      <c r="H46" s="120"/>
    </row>
    <row r="47" spans="2:8">
      <c r="C47" s="114"/>
      <c r="E47" s="127" t="s">
        <v>100</v>
      </c>
      <c r="F47" s="137">
        <f>SUM(F16:F46)</f>
        <v>19934574614.539101</v>
      </c>
      <c r="H47" s="120"/>
    </row>
    <row r="48" spans="2:8">
      <c r="C48" s="114"/>
      <c r="H48" s="120"/>
    </row>
    <row r="49" spans="1:8" ht="13.15">
      <c r="B49" s="119" t="s">
        <v>128</v>
      </c>
      <c r="C49" s="136"/>
      <c r="D49" s="136"/>
      <c r="E49" s="117"/>
      <c r="F49" s="117"/>
      <c r="H49" s="120"/>
    </row>
    <row r="50" spans="1:8" ht="13.15">
      <c r="A50" s="133">
        <f>F47</f>
        <v>19934574614.539101</v>
      </c>
      <c r="B50" s="131">
        <f>C73</f>
        <v>0</v>
      </c>
      <c r="C50" s="131">
        <f>C72</f>
        <v>0.02</v>
      </c>
      <c r="D50" s="131">
        <f>C71</f>
        <v>0.04</v>
      </c>
      <c r="E50" s="131">
        <f>C70</f>
        <v>0.06</v>
      </c>
      <c r="F50" s="131">
        <f>C69</f>
        <v>0.1</v>
      </c>
      <c r="H50" s="120"/>
    </row>
    <row r="51" spans="1:8" ht="13.15">
      <c r="A51" s="143">
        <v>5</v>
      </c>
      <c r="B51" s="123">
        <f t="dataTable" ref="B51:F56" dt2D="1" dtr="1" r1="C11" r2="C12"/>
        <v>17422963127.999992</v>
      </c>
      <c r="C51" s="123">
        <v>17943948555.543709</v>
      </c>
      <c r="D51" s="123">
        <v>18478595483.207108</v>
      </c>
      <c r="E51" s="123">
        <v>19027507626.91848</v>
      </c>
      <c r="F51" s="123">
        <v>20170636616.20195</v>
      </c>
      <c r="H51" s="120"/>
    </row>
    <row r="52" spans="1:8" ht="13.15">
      <c r="A52" s="143">
        <v>10</v>
      </c>
      <c r="B52" s="123">
        <v>17422963127.999992</v>
      </c>
      <c r="C52" s="123">
        <v>18435622213.289017</v>
      </c>
      <c r="D52" s="123">
        <v>19546147279.731369</v>
      </c>
      <c r="E52" s="123">
        <v>20766402982.403481</v>
      </c>
      <c r="F52" s="123">
        <v>23590386381.379131</v>
      </c>
      <c r="H52" s="120"/>
    </row>
    <row r="53" spans="1:8" ht="13.15">
      <c r="A53" s="143">
        <v>15</v>
      </c>
      <c r="B53" s="123">
        <v>17422963127.999989</v>
      </c>
      <c r="C53" s="123">
        <v>19102311948.19754</v>
      </c>
      <c r="D53" s="123">
        <v>21070752526.952206</v>
      </c>
      <c r="E53" s="123">
        <v>23386860209.065884</v>
      </c>
      <c r="F53" s="123">
        <v>29357241444.403549</v>
      </c>
      <c r="H53" s="120"/>
    </row>
    <row r="54" spans="1:8" ht="13.15">
      <c r="A54" s="144">
        <v>20</v>
      </c>
      <c r="B54" s="123">
        <v>17422963127.999989</v>
      </c>
      <c r="C54" s="123">
        <v>19847419423.532639</v>
      </c>
      <c r="D54" s="123">
        <v>22870861482.82856</v>
      </c>
      <c r="E54" s="123">
        <v>26666071748.852703</v>
      </c>
      <c r="F54" s="123">
        <v>37531407163.418671</v>
      </c>
      <c r="H54" s="120"/>
    </row>
    <row r="55" spans="1:8" ht="13.15">
      <c r="A55" s="144">
        <v>25</v>
      </c>
      <c r="B55" s="123">
        <v>17422963127.999989</v>
      </c>
      <c r="C55" s="123">
        <v>20607922772.899208</v>
      </c>
      <c r="D55" s="123">
        <v>24816808484.109135</v>
      </c>
      <c r="E55" s="123">
        <v>30437542833.032501</v>
      </c>
      <c r="F55" s="123">
        <v>48290821132.311729</v>
      </c>
      <c r="H55" s="120"/>
    </row>
    <row r="56" spans="1:8" ht="13.15">
      <c r="A56" s="144">
        <v>30</v>
      </c>
      <c r="B56" s="123">
        <v>17422963127.999985</v>
      </c>
      <c r="C56" s="123">
        <v>21344287372.538639</v>
      </c>
      <c r="D56" s="123">
        <v>26817153695.494934</v>
      </c>
      <c r="E56" s="123">
        <v>34576858884.931274</v>
      </c>
      <c r="F56" s="123">
        <v>61928447950.984589</v>
      </c>
      <c r="H56" s="120"/>
    </row>
    <row r="57" spans="1:8">
      <c r="C57" s="114"/>
      <c r="D57" s="114"/>
      <c r="E57" s="114"/>
      <c r="F57" s="114"/>
      <c r="H57" s="120"/>
    </row>
    <row r="58" spans="1:8" ht="13.15">
      <c r="B58" s="119" t="s">
        <v>129</v>
      </c>
      <c r="C58" s="114"/>
      <c r="D58" s="114"/>
      <c r="E58" s="114"/>
      <c r="F58" s="114"/>
      <c r="H58" s="120"/>
    </row>
    <row r="59" spans="1:8" ht="13.15">
      <c r="B59" s="132">
        <f>B50</f>
        <v>0</v>
      </c>
      <c r="C59" s="132">
        <f>C50</f>
        <v>0.02</v>
      </c>
      <c r="D59" s="132">
        <f>D50</f>
        <v>0.04</v>
      </c>
      <c r="E59" s="132">
        <f>E50</f>
        <v>0.06</v>
      </c>
      <c r="F59" s="132">
        <f>F50</f>
        <v>0.1</v>
      </c>
      <c r="H59" s="120"/>
    </row>
    <row r="60" spans="1:8" ht="13.15">
      <c r="A60" s="143">
        <v>0</v>
      </c>
      <c r="B60" s="124">
        <f>C7</f>
        <v>36</v>
      </c>
      <c r="C60" s="124">
        <f>C7</f>
        <v>36</v>
      </c>
      <c r="D60" s="124">
        <f>C7</f>
        <v>36</v>
      </c>
      <c r="E60" s="141">
        <f>C7</f>
        <v>36</v>
      </c>
      <c r="F60" s="124">
        <f>C7</f>
        <v>36</v>
      </c>
      <c r="H60" s="120"/>
    </row>
    <row r="61" spans="1:8" ht="13.15">
      <c r="A61" s="143">
        <f t="shared" ref="A61:A66" si="3">A51</f>
        <v>5</v>
      </c>
      <c r="B61" s="124">
        <f t="shared" ref="B61:F66" si="4">B51/Common_Shares*$C$3*Exchange_Rate</f>
        <v>35.999999999999986</v>
      </c>
      <c r="C61" s="124">
        <f t="shared" si="4"/>
        <v>37.076480232081309</v>
      </c>
      <c r="D61" s="124">
        <f t="shared" si="4"/>
        <v>38.181188383873845</v>
      </c>
      <c r="E61" s="124">
        <f t="shared" si="4"/>
        <v>39.31537187656874</v>
      </c>
      <c r="F61" s="124">
        <f t="shared" si="4"/>
        <v>41.677349188457185</v>
      </c>
      <c r="H61" s="120"/>
    </row>
    <row r="62" spans="1:8" ht="13.15">
      <c r="A62" s="143">
        <f t="shared" si="3"/>
        <v>10</v>
      </c>
      <c r="B62" s="124">
        <f t="shared" si="4"/>
        <v>35.999999999999986</v>
      </c>
      <c r="C62" s="124">
        <f t="shared" si="4"/>
        <v>38.092395352189982</v>
      </c>
      <c r="D62" s="124">
        <f t="shared" si="4"/>
        <v>40.387005178211801</v>
      </c>
      <c r="E62" s="124">
        <f t="shared" si="4"/>
        <v>42.908344687080906</v>
      </c>
      <c r="F62" s="124">
        <f t="shared" si="4"/>
        <v>48.743368363377549</v>
      </c>
      <c r="H62" s="120"/>
    </row>
    <row r="63" spans="1:8" ht="13.15">
      <c r="A63" s="143">
        <f t="shared" si="3"/>
        <v>15</v>
      </c>
      <c r="B63" s="124">
        <f t="shared" si="4"/>
        <v>35.999999999999979</v>
      </c>
      <c r="C63" s="124">
        <f t="shared" si="4"/>
        <v>39.469935457187148</v>
      </c>
      <c r="D63" s="124">
        <f t="shared" si="4"/>
        <v>43.537203482410966</v>
      </c>
      <c r="E63" s="124">
        <f t="shared" si="4"/>
        <v>48.322834717668229</v>
      </c>
      <c r="F63" s="124">
        <f t="shared" si="4"/>
        <v>60.659067245575116</v>
      </c>
      <c r="H63" s="120"/>
    </row>
    <row r="64" spans="1:8" ht="13.15">
      <c r="A64" s="144">
        <f t="shared" si="3"/>
        <v>20</v>
      </c>
      <c r="B64" s="124">
        <f t="shared" si="4"/>
        <v>35.999999999999979</v>
      </c>
      <c r="C64" s="124">
        <f t="shared" si="4"/>
        <v>41.009505329142826</v>
      </c>
      <c r="D64" s="124">
        <f t="shared" si="4"/>
        <v>47.256658200615817</v>
      </c>
      <c r="E64" s="124">
        <f t="shared" si="4"/>
        <v>55.098468377972985</v>
      </c>
      <c r="F64" s="124">
        <f t="shared" si="4"/>
        <v>77.548844473630581</v>
      </c>
      <c r="H64" s="120"/>
    </row>
    <row r="65" spans="1:8" ht="13.15">
      <c r="A65" s="144">
        <f t="shared" si="3"/>
        <v>25</v>
      </c>
      <c r="B65" s="124">
        <f t="shared" si="4"/>
        <v>35.999999999999979</v>
      </c>
      <c r="C65" s="124">
        <f t="shared" si="4"/>
        <v>42.580886751238467</v>
      </c>
      <c r="D65" s="124">
        <f t="shared" si="4"/>
        <v>51.277449126443955</v>
      </c>
      <c r="E65" s="124">
        <f t="shared" si="4"/>
        <v>62.891227740028654</v>
      </c>
      <c r="F65" s="124">
        <f t="shared" si="4"/>
        <v>99.780361583235646</v>
      </c>
    </row>
    <row r="66" spans="1:8" ht="13.15">
      <c r="A66" s="144">
        <f t="shared" si="3"/>
        <v>30</v>
      </c>
      <c r="B66" s="124">
        <f t="shared" si="4"/>
        <v>35.999999999999972</v>
      </c>
      <c r="C66" s="124">
        <f t="shared" si="4"/>
        <v>44.102391755425579</v>
      </c>
      <c r="D66" s="124">
        <f t="shared" si="4"/>
        <v>55.410639737067442</v>
      </c>
      <c r="E66" s="124">
        <f t="shared" si="4"/>
        <v>71.444042595549817</v>
      </c>
      <c r="F66" s="124">
        <f t="shared" si="4"/>
        <v>127.95895335694044</v>
      </c>
    </row>
    <row r="68" spans="1:8" ht="13.15">
      <c r="B68" s="171" t="s">
        <v>116</v>
      </c>
      <c r="C68" s="171" t="s">
        <v>131</v>
      </c>
      <c r="D68" s="171" t="s">
        <v>111</v>
      </c>
      <c r="E68" s="172" t="s">
        <v>112</v>
      </c>
      <c r="F68" s="172" t="s">
        <v>118</v>
      </c>
    </row>
    <row r="69" spans="1:8">
      <c r="B69" s="127" t="str">
        <f>Scenarios!B54</f>
        <v>Snowball Scenario</v>
      </c>
      <c r="C69" s="142">
        <f>Scenarios!C56</f>
        <v>0.1</v>
      </c>
      <c r="D69" s="145">
        <f>Scenarios!C55</f>
        <v>15</v>
      </c>
      <c r="E69" s="135">
        <f>INDEX(B$60:F$66, MATCH(D69, A$60:A$66, 0), MATCH(C69, B$59:F$59, 0))</f>
        <v>60.659067245575116</v>
      </c>
      <c r="F69" s="142">
        <f>Scenarios!C58</f>
        <v>0.05</v>
      </c>
    </row>
    <row r="70" spans="1:8">
      <c r="B70" s="127" t="str">
        <f>Scenarios!B36</f>
        <v>Optimistic</v>
      </c>
      <c r="C70" s="142">
        <f>Scenarios!C38</f>
        <v>0.06</v>
      </c>
      <c r="D70" s="145">
        <f>Scenarios!C37</f>
        <v>10</v>
      </c>
      <c r="E70" s="135">
        <f>INDEX(B$60:F$66, MATCH(D70, A$60:A$66, 0), MATCH(C70, B$59:F$59, 0))</f>
        <v>42.908344687080906</v>
      </c>
      <c r="F70" s="142">
        <f>Scenarios!C40*(1-F$69-F$73)</f>
        <v>0.18</v>
      </c>
      <c r="H70" s="120"/>
    </row>
    <row r="71" spans="1:8">
      <c r="B71" s="127" t="str">
        <f>Scenarios!B24</f>
        <v>Base</v>
      </c>
      <c r="C71" s="142">
        <f>Scenarios!C26</f>
        <v>0.04</v>
      </c>
      <c r="D71" s="145">
        <f>Scenarios!C25</f>
        <v>10</v>
      </c>
      <c r="E71" s="135">
        <f>INDEX(B$60:F$66, MATCH(D71, A$60:A$66, 0), MATCH(C71, B$59:F$59, 0))</f>
        <v>40.387005178211801</v>
      </c>
      <c r="F71" s="142">
        <f>Scenarios!C28*(1-F$69-F$73)</f>
        <v>0.53999999999999992</v>
      </c>
      <c r="H71" s="120"/>
    </row>
    <row r="72" spans="1:8">
      <c r="B72" s="127" t="str">
        <f>Scenarios!B30</f>
        <v>Pessimistic</v>
      </c>
      <c r="C72" s="142">
        <f>Scenarios!C32</f>
        <v>0.02</v>
      </c>
      <c r="D72" s="145">
        <f>Scenarios!C31</f>
        <v>10</v>
      </c>
      <c r="E72" s="135">
        <f>INDEX(B$60:F$66, MATCH(D72, A$60:A$66, 0), MATCH(C72, B$59:F$59, 0))</f>
        <v>38.092395352189982</v>
      </c>
      <c r="F72" s="142">
        <f>Scenarios!C34*(1-F$69-F$73)</f>
        <v>0.18</v>
      </c>
      <c r="H72" s="120"/>
    </row>
    <row r="73" spans="1:8">
      <c r="B73" s="127" t="str">
        <f>Scenarios!B48</f>
        <v>Devil's advocate</v>
      </c>
      <c r="C73" s="142">
        <f>Scenarios!C50</f>
        <v>0</v>
      </c>
      <c r="D73" s="145">
        <f>Scenarios!C49</f>
        <v>15</v>
      </c>
      <c r="E73" s="135">
        <f>INDEX(B$60:F$66, MATCH(D73, A$60:A$66, 0), MATCH(C73, B$59:F$59, 0))</f>
        <v>35.999999999999979</v>
      </c>
      <c r="F73" s="142">
        <f>Scenarios!C52</f>
        <v>0.05</v>
      </c>
    </row>
    <row r="74" spans="1:8">
      <c r="B74" s="155"/>
      <c r="C74" s="155"/>
      <c r="D74" s="155"/>
      <c r="E74" s="155"/>
      <c r="F74" s="156"/>
    </row>
    <row r="75" spans="1:8">
      <c r="B75" s="155" t="s">
        <v>307</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3" zoomScale="75" zoomScaleNormal="100" workbookViewId="0">
      <selection activeCell="C81" sqref="C81"/>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144</v>
      </c>
      <c r="C2" s="37"/>
      <c r="D2" s="37"/>
      <c r="E2" s="37"/>
      <c r="F2" s="37"/>
      <c r="H2" s="248" t="s">
        <v>294</v>
      </c>
      <c r="I2" s="249"/>
    </row>
    <row r="3" spans="2:9" ht="13.15">
      <c r="B3" s="159" t="s">
        <v>147</v>
      </c>
      <c r="H3" s="247">
        <v>0</v>
      </c>
      <c r="I3" s="124">
        <f>-Market_Price</f>
        <v>-55.15</v>
      </c>
    </row>
    <row r="4" spans="2:9">
      <c r="B4" s="152" t="s">
        <v>145</v>
      </c>
      <c r="C4" s="120">
        <v>3</v>
      </c>
      <c r="D4" s="120"/>
      <c r="E4" s="155" t="s">
        <v>149</v>
      </c>
      <c r="F4" s="155"/>
      <c r="H4" s="247">
        <v>1</v>
      </c>
      <c r="I4" s="124">
        <f t="shared" ref="I4:I13" si="0">IF(ROW()-3 &lt; $C$76, $C$77, IF(ROW()-3 = $C$76, $C$77 + $C$60, ""))</f>
        <v>2.16</v>
      </c>
    </row>
    <row r="5" spans="2:9">
      <c r="H5" s="247">
        <v>2</v>
      </c>
      <c r="I5" s="124">
        <f t="shared" si="0"/>
        <v>2.16</v>
      </c>
    </row>
    <row r="6" spans="2:9" ht="13.15">
      <c r="B6" s="159" t="s">
        <v>95</v>
      </c>
      <c r="C6" s="107">
        <f>DCF!C3</f>
        <v>1</v>
      </c>
      <c r="E6" s="100" t="s">
        <v>278</v>
      </c>
      <c r="F6" s="100"/>
      <c r="H6" s="247">
        <v>3</v>
      </c>
      <c r="I6" s="124">
        <f t="shared" si="0"/>
        <v>84.880030767403326</v>
      </c>
    </row>
    <row r="7" spans="2:9" ht="12.75" customHeight="1">
      <c r="B7" s="100" t="s">
        <v>274</v>
      </c>
      <c r="C7" s="338">
        <f>Normalized_FCF!G8</f>
        <v>3109212579</v>
      </c>
      <c r="D7" t="str">
        <f>Reporting_currency</f>
        <v>CNY</v>
      </c>
      <c r="E7" s="36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重庆啤酒(600132.SS). Each scenario should include the Compound Growth Rate, the Probability Assessment, and the Business Narrative.</v>
      </c>
      <c r="F7" s="368"/>
      <c r="H7" s="247">
        <v>4</v>
      </c>
      <c r="I7" s="124" t="str">
        <f t="shared" si="0"/>
        <v/>
      </c>
    </row>
    <row r="8" spans="2:9">
      <c r="B8" s="100" t="s">
        <v>66</v>
      </c>
      <c r="C8" s="338">
        <f>Normalized_FCF!G19</f>
        <v>2323278784.8162661</v>
      </c>
      <c r="D8" t="str">
        <f>Reporting_currency</f>
        <v>CNY</v>
      </c>
      <c r="E8" s="368"/>
      <c r="F8" s="368"/>
      <c r="H8" s="247">
        <v>5</v>
      </c>
      <c r="I8" s="124" t="str">
        <f t="shared" si="0"/>
        <v/>
      </c>
    </row>
    <row r="9" spans="2:9">
      <c r="B9" s="100" t="s">
        <v>57</v>
      </c>
      <c r="C9" s="338">
        <f>Normalized_FCF!C19</f>
        <v>2099961241.0878935</v>
      </c>
      <c r="D9" t="str">
        <f>Reporting_currency</f>
        <v>CNY</v>
      </c>
      <c r="E9" s="368"/>
      <c r="F9" s="368"/>
      <c r="H9" s="247">
        <v>6</v>
      </c>
      <c r="I9" s="124" t="str">
        <f t="shared" si="0"/>
        <v/>
      </c>
    </row>
    <row r="10" spans="2:9">
      <c r="E10" s="368"/>
      <c r="F10" s="368"/>
      <c r="H10" s="247">
        <v>7</v>
      </c>
      <c r="I10" s="124" t="str">
        <f t="shared" si="0"/>
        <v/>
      </c>
    </row>
    <row r="11" spans="2:9" ht="13.15">
      <c r="B11" s="159" t="s">
        <v>444</v>
      </c>
      <c r="E11" s="368"/>
      <c r="F11" s="368"/>
      <c r="H11" s="247">
        <v>8</v>
      </c>
      <c r="I11" s="124" t="str">
        <f t="shared" si="0"/>
        <v/>
      </c>
    </row>
    <row r="12" spans="2:9">
      <c r="B12" s="118" t="s">
        <v>143</v>
      </c>
      <c r="C12" s="158">
        <f ca="1">(Normalized_FCF!G4/OFFSET(Normalized_FCF!G4, 0, $C$4))^(1/$C$4) - 1</f>
        <v>3.7342435425912202E-2</v>
      </c>
      <c r="D12" s="158"/>
      <c r="E12" s="368"/>
      <c r="F12" s="368"/>
      <c r="H12" s="247">
        <v>9</v>
      </c>
      <c r="I12" s="124" t="str">
        <f t="shared" si="0"/>
        <v/>
      </c>
    </row>
    <row r="13" spans="2:9">
      <c r="B13" s="148" t="s">
        <v>151</v>
      </c>
      <c r="C13" s="158">
        <f ca="1">(Normalized_FCF!G8/OFFSET(Normalized_FCF!G8, 0, $C$4))^(1/$C$4) - 1</f>
        <v>2.3730241339145586E-2</v>
      </c>
      <c r="E13" s="368"/>
      <c r="F13" s="368"/>
      <c r="H13" s="247">
        <v>10</v>
      </c>
      <c r="I13" s="124" t="str">
        <f t="shared" si="0"/>
        <v/>
      </c>
    </row>
    <row r="14" spans="2:9">
      <c r="B14" s="100" t="s">
        <v>66</v>
      </c>
      <c r="C14" s="158">
        <f ca="1">(Normalized_FCF!G19/OFFSET(Normalized_FCF!G19, 0, $C$4))^(1/$C$4) - 1</f>
        <v>-7.4772485650086429E-3</v>
      </c>
      <c r="E14" s="368"/>
      <c r="F14" s="368"/>
    </row>
    <row r="16" spans="2:9" ht="13.9">
      <c r="B16" s="36" t="s">
        <v>161</v>
      </c>
      <c r="C16" s="37"/>
      <c r="D16" s="37"/>
      <c r="E16" s="37"/>
      <c r="F16" s="37"/>
    </row>
    <row r="17" spans="2:6" ht="13.15">
      <c r="B17" s="109" t="s">
        <v>150</v>
      </c>
      <c r="E17" s="159" t="s">
        <v>326</v>
      </c>
    </row>
    <row r="18" spans="2:6">
      <c r="B18" s="152" t="s">
        <v>132</v>
      </c>
      <c r="C18" s="150">
        <v>10</v>
      </c>
      <c r="E18" s="368" t="s">
        <v>327</v>
      </c>
      <c r="F18" s="369"/>
    </row>
    <row r="19" spans="2:6">
      <c r="E19" s="369"/>
      <c r="F19" s="369"/>
    </row>
    <row r="20" spans="2:6" ht="13.15">
      <c r="B20" s="159" t="s">
        <v>302</v>
      </c>
      <c r="E20" s="369"/>
      <c r="F20" s="369"/>
    </row>
    <row r="21" spans="2:6">
      <c r="B21" s="100" t="s">
        <v>276</v>
      </c>
      <c r="C21" s="160">
        <f>Market_Price</f>
        <v>55.15</v>
      </c>
      <c r="D21" t="str">
        <f>Market_currency</f>
        <v>CNY</v>
      </c>
      <c r="E21" s="369"/>
      <c r="F21" s="369"/>
    </row>
    <row r="22" spans="2:6">
      <c r="B22" s="100" t="s">
        <v>277</v>
      </c>
      <c r="C22" s="160">
        <f>IF(valuation_method="DCF",DCF!C12,DDM!C7)</f>
        <v>72.229906149076143</v>
      </c>
      <c r="D22" t="str">
        <f>Market_currency</f>
        <v>CNY</v>
      </c>
      <c r="E22" s="369"/>
      <c r="F22" s="369"/>
    </row>
    <row r="24" spans="2:6" ht="13.15">
      <c r="B24" s="159" t="s">
        <v>114</v>
      </c>
      <c r="E24" s="159" t="s">
        <v>148</v>
      </c>
      <c r="F24" s="159"/>
    </row>
    <row r="25" spans="2:6">
      <c r="B25" s="152" t="s">
        <v>132</v>
      </c>
      <c r="C25" s="166">
        <f>C18</f>
        <v>10</v>
      </c>
      <c r="D25" s="163"/>
      <c r="E25" s="367"/>
      <c r="F25" s="367"/>
    </row>
    <row r="26" spans="2:6">
      <c r="B26" s="118" t="s">
        <v>133</v>
      </c>
      <c r="C26" s="164">
        <v>0.04</v>
      </c>
      <c r="D26" s="164"/>
      <c r="E26" s="367"/>
      <c r="F26" s="367"/>
    </row>
    <row r="27" spans="2:6">
      <c r="B27" s="100" t="s">
        <v>112</v>
      </c>
      <c r="C27" s="160">
        <f>IF(valuation_method="DCF",DCF!E76,DDM!E71)</f>
        <v>81.042548762367147</v>
      </c>
      <c r="D27" s="160" t="str">
        <f>Market_currency</f>
        <v>CNY</v>
      </c>
      <c r="E27" s="367"/>
      <c r="F27" s="367"/>
    </row>
    <row r="28" spans="2:6">
      <c r="B28" s="100" t="s">
        <v>146</v>
      </c>
      <c r="C28" s="165">
        <v>0.6</v>
      </c>
      <c r="D28" s="165"/>
      <c r="E28" s="367"/>
      <c r="F28" s="367"/>
    </row>
    <row r="30" spans="2:6" ht="13.15">
      <c r="B30" s="159" t="s">
        <v>115</v>
      </c>
      <c r="E30" s="159" t="s">
        <v>148</v>
      </c>
      <c r="F30" s="159"/>
    </row>
    <row r="31" spans="2:6">
      <c r="B31" s="152" t="s">
        <v>132</v>
      </c>
      <c r="C31" s="166">
        <f>C18</f>
        <v>10</v>
      </c>
      <c r="D31" s="163"/>
      <c r="E31" s="367"/>
      <c r="F31" s="367"/>
    </row>
    <row r="32" spans="2:6">
      <c r="B32" s="118" t="s">
        <v>133</v>
      </c>
      <c r="C32" s="164">
        <v>0.02</v>
      </c>
      <c r="D32" s="164"/>
      <c r="E32" s="367"/>
      <c r="F32" s="367"/>
    </row>
    <row r="33" spans="2:6">
      <c r="B33" s="100" t="s">
        <v>112</v>
      </c>
      <c r="C33" s="160">
        <f>IF(valuation_method="DCF",DCF!E77,DDM!E72)</f>
        <v>76.433122624894764</v>
      </c>
      <c r="D33" t="str">
        <f>Market_currency</f>
        <v>CNY</v>
      </c>
      <c r="E33" s="367"/>
      <c r="F33" s="367"/>
    </row>
    <row r="34" spans="2:6">
      <c r="B34" s="100" t="s">
        <v>146</v>
      </c>
      <c r="C34" s="165">
        <v>0.2</v>
      </c>
      <c r="D34" s="165"/>
      <c r="E34" s="367"/>
      <c r="F34" s="367"/>
    </row>
    <row r="36" spans="2:6" ht="13.15">
      <c r="B36" s="159" t="s">
        <v>113</v>
      </c>
      <c r="E36" s="159" t="s">
        <v>148</v>
      </c>
      <c r="F36" s="159"/>
    </row>
    <row r="37" spans="2:6">
      <c r="B37" s="152" t="s">
        <v>132</v>
      </c>
      <c r="C37" s="166">
        <f>C18</f>
        <v>10</v>
      </c>
      <c r="D37" s="163"/>
      <c r="E37" s="367"/>
      <c r="F37" s="367"/>
    </row>
    <row r="38" spans="2:6">
      <c r="B38" s="118" t="s">
        <v>133</v>
      </c>
      <c r="C38" s="164">
        <v>0.06</v>
      </c>
      <c r="D38" s="164"/>
      <c r="E38" s="367"/>
      <c r="F38" s="367"/>
    </row>
    <row r="39" spans="2:6">
      <c r="B39" s="100" t="s">
        <v>112</v>
      </c>
      <c r="C39" s="160">
        <f>IF(valuation_method="DCF",DCF!E75,DDM!E70)</f>
        <v>86.107430862071254</v>
      </c>
      <c r="D39" t="str">
        <f>Market_currency</f>
        <v>CNY</v>
      </c>
      <c r="E39" s="367"/>
      <c r="F39" s="367"/>
    </row>
    <row r="40" spans="2:6">
      <c r="B40" s="100" t="s">
        <v>146</v>
      </c>
      <c r="C40" s="167">
        <f>1-C28-C34</f>
        <v>0.2</v>
      </c>
      <c r="D40" s="165"/>
      <c r="E40" s="367"/>
      <c r="F40" s="367"/>
    </row>
    <row r="42" spans="2:6" ht="13.15">
      <c r="B42" s="100" t="s">
        <v>119</v>
      </c>
      <c r="C42" s="154">
        <f>C27*C28+C33*C34+C39*C40</f>
        <v>81.133639954813503</v>
      </c>
      <c r="D42" t="str">
        <f>Market_currency</f>
        <v>CNY</v>
      </c>
    </row>
    <row r="44" spans="2:6" ht="13.9">
      <c r="B44" s="36" t="s">
        <v>160</v>
      </c>
      <c r="C44" s="37"/>
      <c r="D44" s="37"/>
      <c r="E44" s="37"/>
      <c r="F44" s="37"/>
    </row>
    <row r="45" spans="2:6" ht="13.15">
      <c r="B45" s="109" t="s">
        <v>150</v>
      </c>
    </row>
    <row r="46" spans="2:6">
      <c r="B46" s="152" t="s">
        <v>132</v>
      </c>
      <c r="C46" s="150">
        <v>15</v>
      </c>
      <c r="E46" s="100"/>
      <c r="F46" s="100"/>
    </row>
    <row r="47" spans="2:6" ht="13.15">
      <c r="B47" s="159"/>
      <c r="E47" s="159"/>
      <c r="F47" s="159"/>
    </row>
    <row r="48" spans="2:6" ht="13.15">
      <c r="B48" s="159" t="s">
        <v>164</v>
      </c>
      <c r="E48" s="159" t="s">
        <v>148</v>
      </c>
      <c r="F48" s="159"/>
    </row>
    <row r="49" spans="2:6" ht="12.75" customHeight="1">
      <c r="B49" s="152" t="s">
        <v>132</v>
      </c>
      <c r="C49" s="166">
        <f>C46</f>
        <v>15</v>
      </c>
      <c r="D49" s="163"/>
      <c r="E49" s="367"/>
      <c r="F49" s="367"/>
    </row>
    <row r="50" spans="2:6">
      <c r="B50" s="118" t="s">
        <v>133</v>
      </c>
      <c r="C50" s="164">
        <v>0</v>
      </c>
      <c r="D50" s="164"/>
      <c r="E50" s="367"/>
      <c r="F50" s="367"/>
    </row>
    <row r="51" spans="2:6">
      <c r="B51" s="100" t="s">
        <v>112</v>
      </c>
      <c r="C51" s="160">
        <f>IF(valuation_method="DCF",DCF!E78,DDM!E73)</f>
        <v>72.229906149076086</v>
      </c>
      <c r="D51" t="str">
        <f>Market_currency</f>
        <v>CNY</v>
      </c>
      <c r="E51" s="367"/>
      <c r="F51" s="367"/>
    </row>
    <row r="52" spans="2:6">
      <c r="B52" s="100" t="s">
        <v>146</v>
      </c>
      <c r="C52" s="165">
        <v>0.05</v>
      </c>
      <c r="D52" s="165"/>
      <c r="E52" s="367"/>
      <c r="F52" s="367"/>
    </row>
    <row r="54" spans="2:6" ht="13.15">
      <c r="B54" s="159" t="s">
        <v>313</v>
      </c>
      <c r="E54" s="159" t="s">
        <v>148</v>
      </c>
      <c r="F54" s="159"/>
    </row>
    <row r="55" spans="2:6">
      <c r="B55" s="152" t="s">
        <v>132</v>
      </c>
      <c r="C55" s="166">
        <f>C46</f>
        <v>15</v>
      </c>
      <c r="D55" s="163"/>
      <c r="E55" s="367"/>
      <c r="F55" s="367"/>
    </row>
    <row r="56" spans="2:6">
      <c r="B56" s="118" t="s">
        <v>133</v>
      </c>
      <c r="C56" s="164">
        <v>0.1</v>
      </c>
      <c r="D56" s="164"/>
      <c r="E56" s="367"/>
      <c r="F56" s="367"/>
    </row>
    <row r="57" spans="2:6">
      <c r="B57" s="100" t="s">
        <v>112</v>
      </c>
      <c r="C57" s="160">
        <f>IF(valuation_method="DCF",DCF!E74,DDM!E69)</f>
        <v>121.7651900123478</v>
      </c>
      <c r="D57" t="str">
        <f>Market_currency</f>
        <v>CNY</v>
      </c>
      <c r="E57" s="367"/>
      <c r="F57" s="367"/>
    </row>
    <row r="58" spans="2:6">
      <c r="B58" s="100" t="s">
        <v>146</v>
      </c>
      <c r="C58" s="165">
        <v>0.05</v>
      </c>
      <c r="D58" s="165"/>
      <c r="E58" s="367"/>
      <c r="F58" s="367"/>
    </row>
    <row r="60" spans="2:6" ht="13.15">
      <c r="B60" s="100" t="s">
        <v>119</v>
      </c>
      <c r="C60" s="154">
        <f>C51*C52+C57*C58+C42*(1-C52-C58)</f>
        <v>82.72003076740333</v>
      </c>
      <c r="D60" t="str">
        <f>Market_currency</f>
        <v>CNY</v>
      </c>
      <c r="E60" s="100" t="s">
        <v>295</v>
      </c>
      <c r="F60" s="277">
        <f>Thesis!F28</f>
        <v>3</v>
      </c>
    </row>
    <row r="62" spans="2:6" ht="13.9">
      <c r="B62" s="36" t="s">
        <v>346</v>
      </c>
      <c r="C62" s="37"/>
      <c r="D62" s="37"/>
      <c r="E62" s="37"/>
      <c r="F62" s="37"/>
    </row>
    <row r="63" spans="2:6" ht="13.15">
      <c r="B63" s="109" t="s">
        <v>303</v>
      </c>
      <c r="E63" s="252" t="s">
        <v>308</v>
      </c>
    </row>
    <row r="64" spans="2:6">
      <c r="B64" s="152" t="s">
        <v>132</v>
      </c>
      <c r="C64" s="166">
        <f>C18</f>
        <v>10</v>
      </c>
      <c r="D64" s="150"/>
      <c r="E64" s="251" t="s">
        <v>392</v>
      </c>
    </row>
    <row r="65" spans="2:6">
      <c r="B65" s="118" t="s">
        <v>133</v>
      </c>
      <c r="C65" s="151">
        <v>4.6574870890079501E-2</v>
      </c>
      <c r="D65" s="151"/>
      <c r="E65" s="251" t="s">
        <v>309</v>
      </c>
    </row>
    <row r="66" spans="2:6">
      <c r="B66" s="100" t="s">
        <v>102</v>
      </c>
      <c r="C66" s="160">
        <f>IF(valuation_method="DCF",DCF!C18,DDM!C13)</f>
        <v>82.654783518406717</v>
      </c>
      <c r="D66" s="160" t="str">
        <f>Market_currency</f>
        <v>CNY</v>
      </c>
      <c r="E66" s="251" t="s">
        <v>310</v>
      </c>
    </row>
    <row r="68" spans="2:6" ht="13.15">
      <c r="B68" s="109" t="s">
        <v>347</v>
      </c>
      <c r="E68" s="252" t="s">
        <v>311</v>
      </c>
    </row>
    <row r="69" spans="2:6">
      <c r="B69" s="100" t="s">
        <v>304</v>
      </c>
      <c r="C69" s="244" t="str">
        <f>IF(C60&lt;C22,"Y","N")</f>
        <v>N</v>
      </c>
      <c r="E69" s="134"/>
    </row>
    <row r="70" spans="2:6">
      <c r="B70" s="100" t="s">
        <v>292</v>
      </c>
      <c r="C70" s="244" t="str">
        <f>IF(C69="Y","N",IF(C65&gt;8%,"N","Y"))</f>
        <v>Y</v>
      </c>
      <c r="E70" s="251" t="s">
        <v>293</v>
      </c>
    </row>
    <row r="71" spans="2:6">
      <c r="B71" s="100" t="s">
        <v>291</v>
      </c>
      <c r="C71" s="244" t="str">
        <f>IF(C65&gt;8%,"Y","N")</f>
        <v>N</v>
      </c>
      <c r="E71" s="251"/>
    </row>
    <row r="72" spans="2:6">
      <c r="B72" s="100" t="s">
        <v>283</v>
      </c>
      <c r="C72" s="243" t="str">
        <f>IF(F72&gt;50%,"Y","N")</f>
        <v>N</v>
      </c>
      <c r="E72" s="134" t="s">
        <v>343</v>
      </c>
      <c r="F72" s="291">
        <f>BS!D89/C60</f>
        <v>-1.0530971019379444E-3</v>
      </c>
    </row>
    <row r="74" spans="2:6" ht="13.9">
      <c r="B74" s="36" t="s">
        <v>126</v>
      </c>
      <c r="C74" s="37"/>
      <c r="D74" s="37"/>
      <c r="E74" s="37"/>
      <c r="F74" s="37"/>
    </row>
    <row r="75" spans="2:6" ht="13.15">
      <c r="B75" s="109" t="s">
        <v>124</v>
      </c>
    </row>
    <row r="76" spans="2:6">
      <c r="B76" s="246" t="s">
        <v>296</v>
      </c>
      <c r="C76" s="245">
        <f>F60</f>
        <v>3</v>
      </c>
      <c r="D76" s="134"/>
    </row>
    <row r="77" spans="2:6">
      <c r="B77" s="100" t="s">
        <v>455</v>
      </c>
      <c r="C77" s="173">
        <f>Normalized_FCF!C90*(1-dividend_tax_rate)</f>
        <v>2.16</v>
      </c>
      <c r="D77" t="str">
        <f>Market_currency</f>
        <v>CNY</v>
      </c>
    </row>
    <row r="79" spans="2:6" ht="13.15">
      <c r="B79" s="109" t="s">
        <v>300</v>
      </c>
    </row>
    <row r="80" spans="2:6">
      <c r="B80" s="148" t="s">
        <v>298</v>
      </c>
      <c r="C80" s="167">
        <f>Thesis!F29</f>
        <v>0.33699999999999997</v>
      </c>
    </row>
    <row r="81" spans="2:8">
      <c r="B81" s="100" t="s">
        <v>120</v>
      </c>
      <c r="C81" s="116">
        <f>PV(C80, C76, -C77, 0)</f>
        <v>3.7276755289734038</v>
      </c>
      <c r="D81" s="116"/>
      <c r="E81" s="100"/>
      <c r="F81" s="100"/>
    </row>
    <row r="82" spans="2:8">
      <c r="B82" s="100" t="s">
        <v>121</v>
      </c>
      <c r="C82" s="116">
        <f>C60/(1+C80)^C76</f>
        <v>34.611184744795338</v>
      </c>
      <c r="D82" s="116"/>
    </row>
    <row r="83" spans="2:8" ht="13.15">
      <c r="B83" s="110" t="s">
        <v>101</v>
      </c>
      <c r="C83" s="111">
        <f>C81+C82</f>
        <v>38.338860273768745</v>
      </c>
      <c r="D83" t="str">
        <f>Market_currency</f>
        <v>CNY</v>
      </c>
      <c r="E83" s="146" t="s">
        <v>125</v>
      </c>
      <c r="F83" s="291">
        <f>(1-C83/C60)</f>
        <v>0.5365226545723607</v>
      </c>
    </row>
    <row r="84" spans="2:8">
      <c r="E84" s="120"/>
    </row>
    <row r="85" spans="2:8" ht="13.15">
      <c r="B85" s="109" t="s">
        <v>301</v>
      </c>
    </row>
    <row r="86" spans="2:8">
      <c r="B86" s="148" t="s">
        <v>299</v>
      </c>
      <c r="C86" s="116">
        <f>Market_Price</f>
        <v>55.15</v>
      </c>
      <c r="D86" t="str">
        <f>Market_currency</f>
        <v>CNY</v>
      </c>
    </row>
    <row r="87" spans="2:8" ht="13.15">
      <c r="B87" s="100" t="s">
        <v>297</v>
      </c>
      <c r="C87" s="237">
        <f ca="1">IRR(OFFSET($I$3, 0, 0, $C$76 + 1, 1))</f>
        <v>0.17920703932311821</v>
      </c>
    </row>
    <row r="88" spans="2:8">
      <c r="B88" s="100"/>
    </row>
    <row r="89" spans="2:8" ht="13.15">
      <c r="B89" s="109" t="s">
        <v>409</v>
      </c>
    </row>
    <row r="90" spans="2:8">
      <c r="B90" s="148" t="s">
        <v>410</v>
      </c>
      <c r="C90" s="167">
        <f>Thesis!F30</f>
        <v>0.187</v>
      </c>
    </row>
    <row r="91" spans="2:8">
      <c r="B91" s="100" t="s">
        <v>120</v>
      </c>
      <c r="C91" s="116">
        <f>PV(C90, C76, -C77, 0)</f>
        <v>4.644270784953914</v>
      </c>
      <c r="D91" s="116"/>
      <c r="E91" s="100"/>
      <c r="F91" s="100"/>
    </row>
    <row r="92" spans="2:8">
      <c r="B92" s="100" t="s">
        <v>121</v>
      </c>
      <c r="C92" s="116">
        <f>C60/(1+C90)^C76</f>
        <v>49.460503195272771</v>
      </c>
      <c r="D92" s="116"/>
    </row>
    <row r="93" spans="2:8" ht="13.15">
      <c r="B93" s="110" t="s">
        <v>101</v>
      </c>
      <c r="C93" s="111">
        <f>C91+C92</f>
        <v>54.104773980226682</v>
      </c>
      <c r="D93" t="str">
        <f>Market_currency</f>
        <v>CNY</v>
      </c>
      <c r="E93" s="146" t="s">
        <v>125</v>
      </c>
      <c r="F93" s="291">
        <f>(1-C93/C60)</f>
        <v>0.34592899110057851</v>
      </c>
    </row>
    <row r="95" spans="2:8" ht="13.15">
      <c r="B95" s="109" t="s">
        <v>394</v>
      </c>
      <c r="G95" s="2"/>
      <c r="H95" s="281"/>
    </row>
    <row r="96" spans="2:8">
      <c r="B96" s="148" t="s">
        <v>400</v>
      </c>
      <c r="C96" s="134">
        <f>Thesis!F31</f>
        <v>0.06</v>
      </c>
      <c r="G96" s="2"/>
      <c r="H96" s="281"/>
    </row>
    <row r="97" spans="2:8">
      <c r="B97" s="100" t="s">
        <v>120</v>
      </c>
      <c r="C97" s="116">
        <f>PV(C96, C76, -C77, 0)</f>
        <v>5.773705810837142</v>
      </c>
      <c r="D97" s="116"/>
      <c r="G97" s="2"/>
      <c r="H97" s="281"/>
    </row>
    <row r="98" spans="2:8">
      <c r="B98" s="100" t="s">
        <v>121</v>
      </c>
      <c r="C98" s="116">
        <f>C60/(1+C96)^C76</f>
        <v>69.453332925337108</v>
      </c>
      <c r="D98" s="116"/>
      <c r="G98" s="2"/>
      <c r="H98" s="281"/>
    </row>
    <row r="99" spans="2:8" ht="13.15">
      <c r="B99" s="110" t="s">
        <v>395</v>
      </c>
      <c r="C99" s="111">
        <f>C97+C98</f>
        <v>75.227038736174251</v>
      </c>
      <c r="D99" t="s">
        <v>393</v>
      </c>
      <c r="E99" s="146" t="s">
        <v>125</v>
      </c>
      <c r="F99" s="291">
        <f>(1-C99/C60)</f>
        <v>9.058255856188302E-2</v>
      </c>
    </row>
    <row r="100" spans="2:8">
      <c r="B100" s="100"/>
    </row>
    <row r="101" spans="2:8" ht="13.15">
      <c r="B101" s="109" t="s">
        <v>419</v>
      </c>
    </row>
    <row r="102" spans="2:8">
      <c r="B102" s="148" t="s">
        <v>418</v>
      </c>
      <c r="C102" s="134">
        <f>Thesis!F32</f>
        <v>8.6999999999999994E-2</v>
      </c>
    </row>
    <row r="103" spans="2:8">
      <c r="B103" s="100" t="s">
        <v>120</v>
      </c>
      <c r="C103" s="116">
        <f>PV(C102, C76, -C77, 0)</f>
        <v>5.4969625262505959</v>
      </c>
      <c r="D103" s="116"/>
    </row>
    <row r="104" spans="2:8">
      <c r="B104" s="100" t="s">
        <v>121</v>
      </c>
      <c r="C104" s="116">
        <f>C60/(1+C102)^C76</f>
        <v>64.405366365094082</v>
      </c>
      <c r="D104" s="116"/>
    </row>
    <row r="105" spans="2:8" ht="13.15">
      <c r="B105" s="110" t="s">
        <v>395</v>
      </c>
      <c r="C105" s="111">
        <f>C103+C104</f>
        <v>69.902328891344681</v>
      </c>
      <c r="D105" t="s">
        <v>393</v>
      </c>
      <c r="E105" s="146" t="s">
        <v>125</v>
      </c>
      <c r="F105" s="291">
        <f>(1-C105/C66)</f>
        <v>0.15428574226707814</v>
      </c>
    </row>
    <row r="106" spans="2:8">
      <c r="B106" s="100"/>
    </row>
    <row r="107" spans="2:8" ht="14.65">
      <c r="E107" s="285" t="s">
        <v>321</v>
      </c>
      <c r="F107" s="282"/>
    </row>
    <row r="108" spans="2:8" ht="13.9">
      <c r="E108" s="278" t="s">
        <v>322</v>
      </c>
      <c r="F108" s="283" t="s">
        <v>323</v>
      </c>
    </row>
    <row r="109" spans="2:8" ht="13.9">
      <c r="E109" s="279" t="s">
        <v>322</v>
      </c>
      <c r="F109" s="283" t="s">
        <v>324</v>
      </c>
    </row>
    <row r="110" spans="2:8" ht="13.9">
      <c r="E110" s="280" t="s">
        <v>322</v>
      </c>
      <c r="F110" s="284" t="s">
        <v>325</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10</vt:i4>
      </vt:variant>
    </vt:vector>
  </HeadingPairs>
  <TitlesOfParts>
    <vt:vector size="17" baseType="lpstr">
      <vt:lpstr>Thesis</vt:lpstr>
      <vt:lpstr>Data</vt:lpstr>
      <vt:lpstr>BS</vt:lpstr>
      <vt:lpstr>Normalized_FCF</vt:lpstr>
      <vt:lpstr>DCF</vt:lpstr>
      <vt:lpstr>DDM</vt:lpstr>
      <vt:lpstr>Scenarios</vt:lpstr>
      <vt:lpstr>Common_Shares</vt:lpstr>
      <vt:lpstr>dividend_tax_rate</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2025-07-03T02:58:18Z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