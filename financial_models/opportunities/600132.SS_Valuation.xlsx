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85B246B-22F4-4899-B039-92CCE7F332C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28" i="4" s="1"/>
  <c r="C6" i="4"/>
  <c r="D6" i="4"/>
  <c r="E6" i="4"/>
  <c r="F6" i="4"/>
  <c r="G6" i="4"/>
  <c r="H6" i="4"/>
  <c r="I6" i="4"/>
  <c r="J6" i="4"/>
  <c r="K6" i="4"/>
  <c r="L6" i="4"/>
  <c r="C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F70" i="8"/>
  <c r="E67" i="8"/>
  <c r="B70" i="8"/>
  <c r="C66" i="8"/>
  <c r="E70" i="8"/>
  <c r="F71" i="8"/>
  <c r="C69" i="8"/>
  <c r="B68" i="8"/>
  <c r="B67" i="8"/>
  <c r="D66" i="8"/>
  <c r="B66" i="8"/>
  <c r="G54" i="2"/>
  <c r="E66" i="8" l="1"/>
  <c r="F69" i="8"/>
  <c r="C70" i="8"/>
  <c r="C71" i="8"/>
  <c r="C68"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<sst xmlns="http://schemas.openxmlformats.org/spreadsheetml/2006/main" count="626" uniqueCount="439">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</sst>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483971198</v>
      </c>
      <c r="E6" s="48"/>
    </row>
    <row r="7" spans="1:10">
      <c r="B7" s="2" t="s">
        <v>314</v>
      </c>
      <c r="C7" s="279">
        <v>6</v>
      </c>
      <c r="D7" s="48"/>
      <c r="E7" s="48"/>
    </row>
    <row r="8" spans="1:10">
      <c r="B8" s="1" t="s">
        <v>269</v>
      </c>
      <c r="C8" s="33">
        <f>EOMONTH(EDATE(BS!C1,C7+2),0)</f>
        <v>45716</v>
      </c>
      <c r="E8" s="48"/>
    </row>
    <row r="9" spans="1:10">
      <c r="E9" s="34"/>
    </row>
    <row r="10" spans="1:10">
      <c r="B10" s="45" t="s">
        <v>428</v>
      </c>
      <c r="C10" s="46"/>
      <c r="E10" s="34"/>
    </row>
    <row r="11" spans="1:10">
      <c r="B11" s="1" t="s">
        <v>427</v>
      </c>
      <c r="C11" s="49" t="s">
        <v>433</v>
      </c>
      <c r="D11" s="49" t="s">
        <v>434</v>
      </c>
      <c r="E11" s="34"/>
    </row>
    <row r="12" spans="1:10">
      <c r="B12" s="4" t="s">
        <v>95</v>
      </c>
      <c r="C12" s="50">
        <v>57.32</v>
      </c>
      <c r="D12" s="50"/>
      <c r="E12" s="48"/>
    </row>
    <row r="13" spans="1:10">
      <c r="B13" s="1" t="s">
        <v>426</v>
      </c>
      <c r="C13" s="48" t="s">
        <v>424</v>
      </c>
      <c r="D13" s="48"/>
      <c r="E13" s="5"/>
    </row>
    <row r="14" spans="1:10">
      <c r="B14" s="4" t="s">
        <v>430</v>
      </c>
      <c r="C14" s="35">
        <f>Thesis!C12*Common_Shares/1000000</f>
        <v>27741.229069360001</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(CNY):</v>
      </c>
      <c r="C25" s="252">
        <f>C139</f>
        <v>28.081736799883384</v>
      </c>
      <c r="D25" s="1" t="s">
        <v>315</v>
      </c>
      <c r="E25" s="330">
        <v>3</v>
      </c>
    </row>
    <row r="26" spans="1:6">
      <c r="B26" s="1" t="s">
        <v>407</v>
      </c>
      <c r="C26" s="280">
        <f ca="1">Scenarios!C87</f>
        <v>9.1161384857910033E-2</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v>
      </c>
    </row>
    <row r="34" spans="2:6" ht="24.4" customHeight="1">
      <c r="B34" s="346" t="s">
        <v>232</v>
      </c>
      <c r="C34" s="346"/>
      <c r="D34" s="346"/>
      <c r="E34" s="346"/>
      <c r="F34" s="346"/>
    </row>
    <row r="35" spans="2:6">
      <c r="B35" s="47" t="s">
        <v>233</v>
      </c>
      <c r="C35" s="188">
        <f>Normalized_FCF!C8</f>
        <v>3123489756.696907</v>
      </c>
      <c r="D35" s="1" t="str">
        <f>Reporting_currency</f>
        <v>CNY</v>
      </c>
    </row>
    <row r="36" spans="2:6">
      <c r="B36" s="47"/>
      <c r="C36" s="76"/>
    </row>
    <row r="37" spans="2:6" ht="24.4" customHeight="1">
      <c r="B37" s="346" t="s">
        <v>234</v>
      </c>
      <c r="C37" s="346"/>
      <c r="D37" s="346"/>
      <c r="E37" s="346"/>
      <c r="F37" s="346"/>
    </row>
    <row r="38" spans="2:6">
      <c r="B38" s="47" t="s">
        <v>235</v>
      </c>
      <c r="C38" s="188">
        <f>Normalized_FCF!C9</f>
        <v>575917865</v>
      </c>
      <c r="D38" s="1" t="str">
        <f>Reporting_currency</f>
        <v>CNY</v>
      </c>
    </row>
    <row r="39" spans="2:6">
      <c r="B39" s="52" t="s">
        <v>236</v>
      </c>
      <c r="C39" s="188">
        <f>Normalized_FCF!C10</f>
        <v>-575917865</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38554805.997018404</v>
      </c>
      <c r="D45" s="1" t="str">
        <f>Reporting_currency</f>
        <v>CNY</v>
      </c>
      <c r="E45" s="321"/>
      <c r="F45" s="321"/>
    </row>
    <row r="46" spans="2:6">
      <c r="B46" s="47" t="s">
        <v>349</v>
      </c>
      <c r="C46" s="322">
        <f>Normalized_FCF!C47</f>
        <v>-7672861</v>
      </c>
      <c r="D46" s="1" t="str">
        <f>Reporting_currency</f>
        <v>CNY</v>
      </c>
      <c r="E46" s="321"/>
      <c r="F46" s="321"/>
    </row>
    <row r="47" spans="2:6">
      <c r="B47" s="47" t="s">
        <v>239</v>
      </c>
      <c r="C47" s="188">
        <f>Normalized_FCF!C12</f>
        <v>30881944.997018404</v>
      </c>
      <c r="D47" s="1" t="str">
        <f>Reporting_currency</f>
        <v>CNY</v>
      </c>
    </row>
    <row r="49" spans="2:6">
      <c r="B49" s="1" t="s">
        <v>247</v>
      </c>
    </row>
    <row r="50" spans="2:6">
      <c r="B50" s="47" t="s">
        <v>266</v>
      </c>
      <c r="C50" s="188">
        <f>Normalized_FCF!C15</f>
        <v>-141879704.29826272</v>
      </c>
      <c r="D50" s="1" t="str">
        <f>Reporting_currency</f>
        <v>CNY</v>
      </c>
    </row>
    <row r="52" spans="2:6">
      <c r="B52" s="346" t="s">
        <v>242</v>
      </c>
      <c r="C52" s="346"/>
      <c r="D52" s="346"/>
      <c r="E52" s="346"/>
      <c r="F52" s="346"/>
    </row>
    <row r="53" spans="2:6">
      <c r="B53" s="47" t="s">
        <v>240</v>
      </c>
      <c r="C53" s="188">
        <f>Normalized_FCF!C14</f>
        <v>-788592925.42348135</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2898672440.9970183</v>
      </c>
      <c r="D61" s="1" t="str">
        <f>Reporting_currency</f>
        <v>CNY</v>
      </c>
    </row>
    <row r="62" spans="2:6">
      <c r="B62" s="47" t="s">
        <v>249</v>
      </c>
      <c r="C62" s="188">
        <f>Normalized_FCF!C19</f>
        <v>2223899071.9721813</v>
      </c>
      <c r="D62" s="1" t="str">
        <f>Reporting_currency</f>
        <v>CNY</v>
      </c>
    </row>
    <row r="63" spans="2:6">
      <c r="B63" s="254" t="s">
        <v>398</v>
      </c>
      <c r="C63" s="92">
        <f>Normalized_FCF!C125</f>
        <v>8.0165845082489973E-2</v>
      </c>
    </row>
    <row r="64" spans="2:6">
      <c r="B64" s="254" t="s">
        <v>316</v>
      </c>
      <c r="C64" s="92">
        <f>Normalized_FCF!C93</f>
        <v>4.1870202372644799E-2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57.438828001604072</v>
      </c>
      <c r="D82" s="1" t="str">
        <f>Market_currency</f>
        <v>CNY</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123521704.27</v>
      </c>
      <c r="D91" s="1" t="str">
        <f>Reporting_currency</f>
        <v>CNY</v>
      </c>
    </row>
    <row r="92" spans="1:6">
      <c r="B92" s="47" t="s">
        <v>285</v>
      </c>
      <c r="C92" s="248">
        <f>C91*scaling_factor*Exchange_Rate/Common_Shares</f>
        <v>0.25522532080514426</v>
      </c>
      <c r="D92" s="1" t="str">
        <f>Market_currency</f>
        <v>CNY</v>
      </c>
    </row>
    <row r="93" spans="1:6">
      <c r="B93" s="336" t="s">
        <v>412</v>
      </c>
      <c r="C93" s="337">
        <f>BS!G30/BS!G27</f>
        <v>3.4701988818540461</v>
      </c>
    </row>
    <row r="94" spans="1:6">
      <c r="B94" s="336" t="s">
        <v>413</v>
      </c>
      <c r="C94" s="337">
        <f>BS!G31/BS!G27</f>
        <v>5.0341856510546588E-2</v>
      </c>
    </row>
    <row r="95" spans="1:6">
      <c r="B95" s="336" t="s">
        <v>415</v>
      </c>
      <c r="C95" s="338">
        <f>BS!C50</f>
        <v>3.9546057100127742E-2</v>
      </c>
    </row>
    <row r="97" spans="1:6">
      <c r="B97" s="1" t="s">
        <v>255</v>
      </c>
    </row>
    <row r="98" spans="1:6">
      <c r="B98" s="47" t="s">
        <v>265</v>
      </c>
      <c r="C98" s="188">
        <f>BS!C66</f>
        <v>1081659074.0699999</v>
      </c>
      <c r="D98" s="1" t="str">
        <f>Reporting_currency</f>
        <v>CNY</v>
      </c>
    </row>
    <row r="99" spans="1:6">
      <c r="B99" s="47" t="s">
        <v>267</v>
      </c>
      <c r="C99" s="188">
        <f>Valuation_Model!C8</f>
        <v>65618450.04890883</v>
      </c>
      <c r="D99" s="1" t="str">
        <f>Reporting_currency</f>
        <v>CNY</v>
      </c>
    </row>
    <row r="100" spans="1:6">
      <c r="B100" s="47" t="s">
        <v>286</v>
      </c>
      <c r="C100" s="248">
        <f>C99*scaling_factor*Exchange_Rate/Common_Shares</f>
        <v>0.13558337834994227</v>
      </c>
      <c r="D100" s="1" t="str">
        <f>Market_currency</f>
        <v>CNY</v>
      </c>
    </row>
    <row r="102" spans="1:6">
      <c r="B102" s="1" t="s">
        <v>257</v>
      </c>
    </row>
    <row r="103" spans="1:6">
      <c r="B103" s="47" t="s">
        <v>258</v>
      </c>
      <c r="C103" s="188">
        <f>Valuation_Model!C9</f>
        <v>29558000.651999995</v>
      </c>
      <c r="D103" s="1" t="str">
        <f>Reporting_currency</f>
        <v>CNY</v>
      </c>
    </row>
    <row r="104" spans="1:6">
      <c r="B104" s="47" t="s">
        <v>287</v>
      </c>
      <c r="C104" s="248">
        <f>C103*scaling_factor*Exchange_Rate/Common_Shares</f>
        <v>6.1073883681813636E-2</v>
      </c>
      <c r="D104" s="1" t="str">
        <f>Market_currency</f>
        <v>CNY</v>
      </c>
    </row>
    <row r="106" spans="1:6" ht="24.4" customHeight="1">
      <c r="B106" s="345" t="s">
        <v>374</v>
      </c>
      <c r="C106" s="345"/>
      <c r="D106" s="345"/>
      <c r="E106" s="345"/>
      <c r="F106" s="345"/>
    </row>
    <row r="108" spans="1:6">
      <c r="B108" s="47" t="s">
        <v>283</v>
      </c>
      <c r="C108" s="248">
        <f>Valuation_Model!C12</f>
        <v>57.380259942830683</v>
      </c>
      <c r="D108" s="1" t="str">
        <f>Market_currency</f>
        <v>CNY</v>
      </c>
    </row>
    <row r="109" spans="1:6">
      <c r="B109" s="336" t="s">
        <v>414</v>
      </c>
      <c r="C109" s="248">
        <f>BS!D47</f>
        <v>-13.312996389940134</v>
      </c>
      <c r="D109" s="1" t="str">
        <f>Market_currency</f>
        <v>CNY</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99.94 CNY</v>
      </c>
      <c r="F116" s="259">
        <f>Valuation_Model!F74</f>
        <v>0.05</v>
      </c>
    </row>
    <row r="117" spans="1:6">
      <c r="B117" s="242" t="str">
        <f>Valuation_Model!B75</f>
        <v>Optimistic</v>
      </c>
      <c r="C117" s="243">
        <f>Valuation_Model!C75</f>
        <v>0.06</v>
      </c>
      <c r="D117" s="244">
        <f>Valuation_Model!D75</f>
        <v>10</v>
      </c>
      <c r="E117" s="245" t="str">
        <f>ROUND(Valuation_Model!E75,2)&amp;" "&amp;Market_currency</f>
        <v>69.66 CNY</v>
      </c>
      <c r="F117" s="246">
        <f>Valuation_Model!F75</f>
        <v>0.18</v>
      </c>
    </row>
    <row r="118" spans="1:6">
      <c r="B118" s="242" t="str">
        <f>Valuation_Model!B76</f>
        <v>Base</v>
      </c>
      <c r="C118" s="243">
        <f>Valuation_Model!C76</f>
        <v>0.04</v>
      </c>
      <c r="D118" s="244">
        <f>Valuation_Model!D76</f>
        <v>10</v>
      </c>
      <c r="E118" s="245" t="str">
        <f>ROUND(Valuation_Model!E76,2)&amp;" "&amp;Market_currency</f>
        <v>65.17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61.09 CNY</v>
      </c>
      <c r="F119" s="246">
        <f>Valuation_Model!F77</f>
        <v>0.18</v>
      </c>
    </row>
    <row r="120" spans="1:6">
      <c r="B120" s="242" t="str">
        <f>Valuation_Model!B78</f>
        <v>Devil's advocate</v>
      </c>
      <c r="C120" s="243">
        <f>Valuation_Model!C78</f>
        <v>0</v>
      </c>
      <c r="D120" s="244">
        <f>Valuation_Model!D78</f>
        <v>15</v>
      </c>
      <c r="E120" s="245" t="str">
        <f>ROUND(Valuation_Model!E78,2)&amp;" "&amp;Market_currency</f>
        <v>57.38 CNY</v>
      </c>
      <c r="F120" s="246">
        <f>Valuation_Model!F78</f>
        <v>0.05</v>
      </c>
    </row>
    <row r="122" spans="1:6">
      <c r="B122" s="235" t="s">
        <v>259</v>
      </c>
      <c r="C122" s="241">
        <f>Scenarios!C60</f>
        <v>66.592285778879997</v>
      </c>
      <c r="D122" s="236" t="str">
        <f>Market_currency</f>
        <v>CNY</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2.4</v>
      </c>
      <c r="D133" s="236" t="str">
        <f>Market_currency</f>
        <v>CNY</v>
      </c>
    </row>
    <row r="135" spans="2:6">
      <c r="B135" s="234" t="s">
        <v>418</v>
      </c>
      <c r="C135" s="270" t="str">
        <f>C11</f>
        <v>600132.SS</v>
      </c>
      <c r="D135" s="270" t="str">
        <f>IF(D11="","",D11)</f>
        <v/>
      </c>
    </row>
    <row r="136" spans="2:6">
      <c r="B136" s="1" t="s">
        <v>416</v>
      </c>
      <c r="C136" s="337">
        <f>C24</f>
        <v>0.4</v>
      </c>
    </row>
    <row r="137" spans="2:6">
      <c r="B137" s="236" t="str">
        <f>"PV("&amp;C131&amp;" yrs of Dividends)"</f>
        <v>PV(3 yrs of Dividends)</v>
      </c>
      <c r="C137" s="240">
        <f>Scenarios!C81</f>
        <v>3.8134110787171998</v>
      </c>
    </row>
    <row r="138" spans="2:6">
      <c r="B138" s="236" t="str">
        <f>"+ PV(Equity Value realized at year "&amp;C131&amp;")"</f>
        <v>+ PV(Equity Value realized at year 3)</v>
      </c>
      <c r="C138" s="240">
        <f>Scenarios!C82</f>
        <v>24.268325721166185</v>
      </c>
    </row>
    <row r="139" spans="2:6">
      <c r="B139" s="80" t="s">
        <v>261</v>
      </c>
      <c r="C139" s="239">
        <f>Scenarios!C83</f>
        <v>28.081736799883384</v>
      </c>
      <c r="D139" s="342" t="str">
        <f>IF($D$11="","",C139*$E$22)</f>
        <v/>
      </c>
    </row>
    <row r="140" spans="2:6">
      <c r="B140" s="290" t="s">
        <v>426</v>
      </c>
      <c r="C140" s="340" t="str">
        <f>Market_currency</f>
        <v>CNY</v>
      </c>
      <c r="D140" s="340" t="str">
        <f>IF($D$11="","",D$13)</f>
        <v/>
      </c>
    </row>
    <row r="141" spans="2:6">
      <c r="B141" s="238" t="s">
        <v>263</v>
      </c>
      <c r="C141" s="92">
        <f>Scenarios!F83</f>
        <v>0.57830345555145946</v>
      </c>
    </row>
    <row r="143" spans="2:6">
      <c r="B143" s="234" t="s">
        <v>421</v>
      </c>
    </row>
    <row r="144" spans="2:6">
      <c r="B144" s="1" t="s">
        <v>420</v>
      </c>
      <c r="C144" s="337">
        <f>Scenarios!C90</f>
        <v>0.2</v>
      </c>
    </row>
    <row r="145" spans="1:6">
      <c r="B145" s="236" t="str">
        <f>"PV("&amp;C131&amp;" yrs of Dividends)"</f>
        <v>PV(3 yrs of Dividends)</v>
      </c>
      <c r="C145" s="240">
        <f>Scenarios!C91</f>
        <v>5.0555555555555554</v>
      </c>
    </row>
    <row r="146" spans="1:6">
      <c r="B146" s="236" t="str">
        <f>"+ PV(Equity Value realized at year "&amp;C131&amp;")"</f>
        <v>+ PV(Equity Value realized at year 3)</v>
      </c>
      <c r="C146" s="240">
        <f>Scenarios!C92</f>
        <v>38.537202418333329</v>
      </c>
    </row>
    <row r="147" spans="1:6">
      <c r="B147" s="80" t="s">
        <v>261</v>
      </c>
      <c r="C147" s="239">
        <f>Scenarios!C93</f>
        <v>43.592757973888887</v>
      </c>
      <c r="D147" s="342" t="str">
        <f>IF($D$11="","",C147*$E$22)</f>
        <v/>
      </c>
    </row>
    <row r="148" spans="1:6">
      <c r="B148" s="290" t="s">
        <v>426</v>
      </c>
      <c r="C148" s="340" t="str">
        <f>Market_currency</f>
        <v>CNY</v>
      </c>
      <c r="D148" s="340" t="str">
        <f>IF($D$11="","",D$13)</f>
        <v/>
      </c>
    </row>
    <row r="149" spans="1:6">
      <c r="B149" s="238" t="s">
        <v>263</v>
      </c>
      <c r="C149" s="92">
        <f>Scenarios!F93</f>
        <v>0.345378260199104</v>
      </c>
    </row>
    <row r="151" spans="1:6">
      <c r="B151" s="234" t="s">
        <v>408</v>
      </c>
    </row>
    <row r="152" spans="1:6">
      <c r="B152" s="1" t="s">
        <v>419</v>
      </c>
      <c r="C152" s="92">
        <f>Scenarios!C96</f>
        <v>0.08</v>
      </c>
    </row>
    <row r="153" spans="1:6">
      <c r="B153" s="236" t="str">
        <f>"PV("&amp;C131&amp;" yrs of Dividends)"</f>
        <v>PV(3 yrs of Dividends)</v>
      </c>
      <c r="C153" s="240">
        <f>Scenarios!C97</f>
        <v>6.1850327693949119</v>
      </c>
    </row>
    <row r="154" spans="1:6">
      <c r="B154" s="236" t="str">
        <f>"+ PV(Equity Value realized at year "&amp;C131&amp;")"</f>
        <v>+ PV(Equity Value realized at year 3)</v>
      </c>
      <c r="C154" s="240">
        <f>Scenarios!C98</f>
        <v>52.863103454503879</v>
      </c>
    </row>
    <row r="155" spans="1:6">
      <c r="B155" s="80" t="s">
        <v>409</v>
      </c>
      <c r="C155" s="239">
        <f>Scenarios!C99</f>
        <v>59.048136223898794</v>
      </c>
      <c r="D155" s="342" t="str">
        <f>IF($D$11="","",C155*$E$22)</f>
        <v/>
      </c>
    </row>
    <row r="156" spans="1:6">
      <c r="B156" s="290" t="s">
        <v>426</v>
      </c>
      <c r="C156" s="340" t="str">
        <f>Market_currency</f>
        <v>CNY</v>
      </c>
      <c r="D156" s="340" t="str">
        <f>IF($D$11="","",D$13)</f>
        <v/>
      </c>
    </row>
    <row r="157" spans="1:6">
      <c r="B157" s="238" t="s">
        <v>263</v>
      </c>
      <c r="C157" s="92">
        <f>Scenarios!F99</f>
        <v>0.1132886409700905</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381</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380</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436</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5"/>
      <c r="J77" s="335"/>
      <c r="K77" s="335"/>
      <c r="L77" s="335"/>
      <c r="M77" s="335"/>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5"/>
      <c r="J78" s="335"/>
      <c r="K78" s="335"/>
      <c r="L78" s="335"/>
      <c r="M78" s="335"/>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4">
        <v>0.6</v>
      </c>
      <c r="E4" s="25"/>
      <c r="F4" s="4" t="s">
        <v>78</v>
      </c>
      <c r="G4" s="19">
        <v>1081659074.0699999</v>
      </c>
      <c r="H4" s="294">
        <v>0.9</v>
      </c>
    </row>
    <row r="5" spans="2:8" ht="15" customHeight="1">
      <c r="B5" s="1" t="s">
        <v>33</v>
      </c>
      <c r="C5" s="19">
        <v>0</v>
      </c>
      <c r="D5" s="294">
        <v>0.6</v>
      </c>
      <c r="E5" s="25"/>
      <c r="F5" s="1" t="s">
        <v>29</v>
      </c>
      <c r="G5" s="19">
        <v>0</v>
      </c>
      <c r="H5" s="294">
        <v>0.7</v>
      </c>
    </row>
    <row r="6" spans="2:8" ht="15" customHeight="1">
      <c r="B6" s="4" t="s">
        <v>10</v>
      </c>
      <c r="C6" s="19">
        <v>2185835620.7199998</v>
      </c>
      <c r="D6" s="294">
        <v>0.5</v>
      </c>
      <c r="E6" s="25"/>
      <c r="F6" s="4" t="s">
        <v>178</v>
      </c>
      <c r="G6" s="19">
        <v>0</v>
      </c>
      <c r="H6" s="294">
        <v>0.6</v>
      </c>
    </row>
    <row r="7" spans="2:8" ht="15" customHeight="1">
      <c r="B7" s="1" t="s">
        <v>69</v>
      </c>
      <c r="C7" s="19">
        <v>0</v>
      </c>
      <c r="D7" s="294">
        <v>0.6</v>
      </c>
      <c r="E7" s="25"/>
      <c r="F7" s="4" t="s">
        <v>179</v>
      </c>
      <c r="G7" s="19">
        <v>22482125.719999999</v>
      </c>
      <c r="H7" s="294">
        <v>0.6</v>
      </c>
    </row>
    <row r="8" spans="2:8" ht="15" customHeight="1">
      <c r="B8" s="1" t="s">
        <v>174</v>
      </c>
      <c r="C8" s="19">
        <v>0</v>
      </c>
      <c r="D8" s="294">
        <v>0.6</v>
      </c>
      <c r="E8" s="25"/>
      <c r="F8" s="1" t="s">
        <v>180</v>
      </c>
      <c r="G8" s="19">
        <v>0</v>
      </c>
      <c r="H8" s="294">
        <v>0.6</v>
      </c>
    </row>
    <row r="9" spans="2:8" ht="15" customHeight="1">
      <c r="B9" s="4" t="s">
        <v>25</v>
      </c>
      <c r="C9" s="19">
        <v>28012999.57</v>
      </c>
      <c r="D9" s="294">
        <v>0.1</v>
      </c>
      <c r="E9" s="25"/>
      <c r="F9" s="4" t="s">
        <v>181</v>
      </c>
      <c r="G9" s="19">
        <v>0</v>
      </c>
      <c r="H9" s="294">
        <v>0.6</v>
      </c>
    </row>
    <row r="10" spans="2:8" ht="15" customHeight="1">
      <c r="B10" s="4" t="s">
        <v>11</v>
      </c>
      <c r="C10" s="19">
        <v>0</v>
      </c>
      <c r="D10" s="294">
        <v>0.9</v>
      </c>
      <c r="H10" s="295"/>
    </row>
    <row r="11" spans="2:8" ht="15" customHeight="1">
      <c r="B11" s="4" t="s">
        <v>12</v>
      </c>
      <c r="C11" s="19">
        <v>270038356.50999999</v>
      </c>
      <c r="D11" s="294">
        <v>0.05</v>
      </c>
      <c r="H11" s="295"/>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4755026247.47+159772560.73+160044048.75</f>
        <v>5074842856.9499998</v>
      </c>
      <c r="D19" s="294">
        <v>0.1</v>
      </c>
      <c r="F19" s="4" t="s">
        <v>183</v>
      </c>
      <c r="G19" s="19">
        <f>142861296.29+17825955.91</f>
        <v>160687252.19999999</v>
      </c>
      <c r="H19" s="294">
        <v>0.1</v>
      </c>
    </row>
    <row r="20" spans="2:8" ht="15" customHeight="1">
      <c r="B20" s="4" t="s">
        <v>18</v>
      </c>
      <c r="C20" s="19">
        <v>0</v>
      </c>
      <c r="D20" s="294">
        <v>0.05</v>
      </c>
      <c r="F20" s="4" t="s">
        <v>180</v>
      </c>
      <c r="G20" s="19">
        <v>0</v>
      </c>
      <c r="H20" s="294">
        <v>0.2</v>
      </c>
    </row>
    <row r="21" spans="2:8" ht="15" customHeight="1">
      <c r="B21" s="4" t="s">
        <v>19</v>
      </c>
      <c r="C21" s="19">
        <v>650634797.63</v>
      </c>
      <c r="D21" s="294">
        <v>0.05</v>
      </c>
      <c r="F21" s="1" t="s">
        <v>181</v>
      </c>
      <c r="G21" s="19">
        <v>0</v>
      </c>
      <c r="H21" s="294">
        <v>0.1</v>
      </c>
    </row>
    <row r="22" spans="2:8" ht="15" customHeight="1">
      <c r="B22" s="4" t="s">
        <v>20</v>
      </c>
      <c r="C22" s="19">
        <v>703465374.02999997</v>
      </c>
      <c r="D22" s="294">
        <v>0.9</v>
      </c>
      <c r="H22" s="295"/>
    </row>
    <row r="23" spans="2:8" ht="15" customHeight="1">
      <c r="B23" s="4" t="s">
        <v>21</v>
      </c>
      <c r="C23" s="19">
        <f>699192456.06+479496.08</f>
        <v>699671952.13999999</v>
      </c>
      <c r="D23" s="294">
        <v>0</v>
      </c>
      <c r="H23" s="295"/>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2">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1185220264.0099986</v>
      </c>
      <c r="D46" s="188">
        <f>H29</f>
        <v>-6443106811.8090019</v>
      </c>
      <c r="F46" s="283"/>
    </row>
    <row r="47" spans="2:8" ht="15" customHeight="1">
      <c r="B47" s="1" t="str">
        <f>"Equity per share ("&amp;Market_currency&amp;")"</f>
        <v>Equity per share (CNY)</v>
      </c>
      <c r="C47" s="148">
        <f>C46*H1/Common_Shares*Exchange_Rate</f>
        <v>2.4489479310088997</v>
      </c>
      <c r="D47" s="148">
        <f>D46*H1/Common_Shares*Exchange_Rate</f>
        <v>-13.312996389940134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3.9546057100127742E-2</v>
      </c>
      <c r="D50" s="95">
        <f>G31/Normalized_FCF!G8</f>
        <v>3.9727648442014103E-2</v>
      </c>
      <c r="F50" s="283"/>
    </row>
    <row r="51" spans="2:8" ht="15" customHeight="1">
      <c r="B51" s="1" t="s">
        <v>177</v>
      </c>
      <c r="C51" s="202"/>
      <c r="D51" s="92">
        <f>G29/G32</f>
        <v>0.10805831095063075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0.32189273249886463</v>
      </c>
      <c r="D54" s="92">
        <f>Normalized_FCF!G8/G35</f>
        <v>0.32042139111496037</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0.11348486667154239</v>
      </c>
      <c r="F58" s="5"/>
    </row>
    <row r="59" spans="2:8" ht="15" customHeight="1">
      <c r="B59" s="1" t="s">
        <v>93</v>
      </c>
      <c r="C59" s="98"/>
      <c r="D59" s="92">
        <f>G39/G32</f>
        <v>0.46268104259923815</v>
      </c>
      <c r="F59" s="283"/>
    </row>
    <row r="60" spans="2:8" ht="15" customHeight="1">
      <c r="F60" s="283"/>
    </row>
    <row r="61" spans="2:8" ht="15" customHeight="1">
      <c r="B61" s="158" t="s">
        <v>275</v>
      </c>
      <c r="C61" s="262" t="s">
        <v>138</v>
      </c>
      <c r="D61" s="218" t="s">
        <v>96</v>
      </c>
      <c r="F61" s="283"/>
    </row>
    <row r="62" spans="2:8" ht="15" customHeight="1">
      <c r="B62" s="1" t="s">
        <v>246</v>
      </c>
      <c r="C62" s="92">
        <f>IF(G28&lt;=0,0,G28/G29)</f>
        <v>1.0702127528080294</v>
      </c>
      <c r="D62" s="92">
        <f>G28/G29</f>
        <v>1.0702127528080294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1081659074.0699999</v>
      </c>
      <c r="D66" s="188">
        <f>C66-D75</f>
        <v>65618450.04890883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1081659074.0699999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-1058076344.85</v>
      </c>
      <c r="D73" s="188">
        <f>(Normalized_FCF!C25+Normalized_FCF!C35-Normalized_FCF!C91)/12</f>
        <v>-1016040624.0210911</v>
      </c>
      <c r="F73" s="1" t="s">
        <v>359</v>
      </c>
    </row>
    <row r="74" spans="2:6" ht="15" customHeight="1">
      <c r="B74" s="288" t="s">
        <v>329</v>
      </c>
      <c r="C74" s="289">
        <f>-$C$66/C73</f>
        <v>1.0222883058815033</v>
      </c>
      <c r="D74" s="289">
        <f>-$C$66/D73</f>
        <v>1.0645825063462686</v>
      </c>
      <c r="F74" s="283" t="s">
        <v>327</v>
      </c>
    </row>
    <row r="75" spans="2:6" ht="15" customHeight="1">
      <c r="B75" s="80" t="s">
        <v>328</v>
      </c>
      <c r="C75" s="293"/>
      <c r="D75" s="292">
        <f>MAX(-D73*D76,G5)</f>
        <v>1016040624.0210911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22482125.719999999</v>
      </c>
      <c r="D79" s="188">
        <f>G7*H7+G17*H17</f>
        <v>13489275.431999998</v>
      </c>
      <c r="F79" s="283"/>
    </row>
    <row r="80" spans="2:6" ht="15" customHeight="1">
      <c r="B80" s="105" t="s">
        <v>183</v>
      </c>
      <c r="C80" s="20">
        <f>G19</f>
        <v>160687252.19999999</v>
      </c>
      <c r="D80" s="188">
        <f>G19*H19</f>
        <v>16068725.219999999</v>
      </c>
      <c r="F80" s="283"/>
    </row>
    <row r="81" spans="2:8" ht="15" customHeight="1">
      <c r="B81" s="105" t="s">
        <v>181</v>
      </c>
      <c r="C81" s="20">
        <f>G9+G21</f>
        <v>0</v>
      </c>
      <c r="D81" s="188">
        <f>G9*H9+G21*H21</f>
        <v>0</v>
      </c>
      <c r="F81" s="283"/>
    </row>
    <row r="82" spans="2:8" ht="15" customHeight="1">
      <c r="B82" s="80" t="s">
        <v>190</v>
      </c>
      <c r="C82" s="81">
        <f>SUM(C79:C81)</f>
        <v>183169377.91999999</v>
      </c>
      <c r="D82" s="81">
        <f>SUM(D79:D81)</f>
        <v>29558000.651999995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-123521704.27</v>
      </c>
      <c r="D86" s="248">
        <f>C86*scaling_factor/Common_Shares</f>
        <v>-0.25522532080514426</v>
      </c>
      <c r="E86" s="269" t="str">
        <f>Market_currency</f>
        <v>CNY</v>
      </c>
    </row>
    <row r="87" spans="2:8" ht="15" customHeight="1">
      <c r="B87" s="267" t="s">
        <v>294</v>
      </c>
      <c r="C87" s="188">
        <f>Valuation_Model!C8*Exchange_Rate</f>
        <v>65618450.04890883</v>
      </c>
      <c r="D87" s="248">
        <f>C87*scaling_factor/Common_Shares</f>
        <v>0.13558337834994227</v>
      </c>
      <c r="E87" s="269" t="str">
        <f>Market_currency</f>
        <v>CNY</v>
      </c>
    </row>
    <row r="88" spans="2:8" ht="15" customHeight="1">
      <c r="B88" s="268" t="s">
        <v>190</v>
      </c>
      <c r="C88" s="188">
        <f>Valuation_Model!C9*Exchange_Rate</f>
        <v>29558000.651999995</v>
      </c>
      <c r="D88" s="248">
        <f>C88*scaling_factor/Common_Shares</f>
        <v>6.1073883681813636E-2</v>
      </c>
      <c r="E88" s="269" t="str">
        <f>Market_currency</f>
        <v>CNY</v>
      </c>
    </row>
    <row r="89" spans="2:8" ht="15" customHeight="1">
      <c r="B89" s="80" t="s">
        <v>298</v>
      </c>
      <c r="C89" s="187">
        <f>SUM(C86:C88)</f>
        <v>-28345253.569091171</v>
      </c>
      <c r="D89" s="271">
        <f>SUM(D86:D88)</f>
        <v>-5.8568058773388353E-2</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14154446369.75</v>
      </c>
      <c r="D4" s="57"/>
      <c r="E4" s="300"/>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302"/>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302"/>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302"/>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8"/>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302"/>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302"/>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302"/>
      <c r="G13" s="184">
        <f>IF(G$4="","",SUM(G8:G12))</f>
        <v>3716012388.9970183</v>
      </c>
      <c r="H13" s="184">
        <f t="shared" ref="H13:Q13" si="7">IF(H$4="","",SUM(H8:H12))</f>
        <v>3845664977.4262524</v>
      </c>
      <c r="I13" s="184">
        <f t="shared" si="7"/>
        <v>3756663019.9602156</v>
      </c>
      <c r="J13" s="184">
        <f t="shared" si="7"/>
        <v>3369473988.3216343</v>
      </c>
      <c r="K13" s="184">
        <f t="shared" si="7"/>
        <v>2122638774.7702808</v>
      </c>
      <c r="L13" s="184">
        <f t="shared" si="7"/>
        <v>739954593.22336733</v>
      </c>
      <c r="M13" s="184">
        <f t="shared" si="7"/>
        <v>662889862.78214574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302"/>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9"/>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10"/>
      <c r="F16" s="61"/>
      <c r="G16" s="184">
        <f>IF(G$4="","",SUM(G13:G15))</f>
        <v>2898672440.9970183</v>
      </c>
      <c r="H16" s="184">
        <f t="shared" ref="H16:Q16" si="8">IF(H$4="","",SUM(H13:H15))</f>
        <v>3181542980.4262524</v>
      </c>
      <c r="I16" s="184">
        <f t="shared" si="8"/>
        <v>3044783840.9602156</v>
      </c>
      <c r="J16" s="184">
        <f t="shared" si="8"/>
        <v>2827550169.3216343</v>
      </c>
      <c r="K16" s="184">
        <f t="shared" si="8"/>
        <v>1744171058.7702808</v>
      </c>
      <c r="L16" s="184">
        <f t="shared" si="8"/>
        <v>641173906.22336733</v>
      </c>
      <c r="M16" s="184">
        <f t="shared" si="8"/>
        <v>601871856.78214574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9"/>
      <c r="F19" s="27"/>
      <c r="G19" s="186">
        <f>IF(G$4="","",G16+G17)</f>
        <v>2898672440.9970183</v>
      </c>
      <c r="H19" s="186">
        <f t="shared" ref="H19:Q19" si="9">IF(H$4="","",H16+H17)</f>
        <v>3181542980.4262524</v>
      </c>
      <c r="I19" s="186">
        <f t="shared" si="9"/>
        <v>3044783840.9602156</v>
      </c>
      <c r="J19" s="186">
        <f t="shared" si="9"/>
        <v>2827550169.3216343</v>
      </c>
      <c r="K19" s="186">
        <f t="shared" si="9"/>
        <v>1744171058.7702808</v>
      </c>
      <c r="L19" s="186">
        <f t="shared" si="9"/>
        <v>641173906.22336733</v>
      </c>
      <c r="M19" s="186">
        <f t="shared" si="9"/>
        <v>601871856.78214574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-8039212664.4388895</v>
      </c>
      <c r="D23" s="58"/>
      <c r="E23" s="301"/>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9"/>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7"/>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0.56796376590325659</v>
      </c>
      <c r="D28" s="26"/>
      <c r="E28" s="300" t="s">
        <v>341</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300" t="s">
        <v>341</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302"/>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-515765096.5</v>
      </c>
      <c r="E33" s="300" t="s">
        <v>341</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300" t="s">
        <v>341</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301"/>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3.6438380069902347E-2</v>
      </c>
      <c r="D38" s="27"/>
      <c r="E38" s="299"/>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9"/>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302"/>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-7672861</v>
      </c>
      <c r="E47" s="302"/>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353</v>
      </c>
      <c r="C48" s="191">
        <f>BS!D75*C53</f>
        <v>38554805.997018404</v>
      </c>
      <c r="E48" s="302"/>
      <c r="G48" s="328">
        <f>IFERROR(IF(G$4="","",($C$48/$C$49)*G49),0)</f>
        <v>38554805.997018404</v>
      </c>
      <c r="H48" s="328">
        <f t="shared" ref="H48:Q48" si="19">IFERROR(IF(H$4="","",($C$48/$C$49)*H49),0)</f>
        <v>66982141.426252395</v>
      </c>
      <c r="I48" s="328">
        <f t="shared" si="19"/>
        <v>61731794.960215338</v>
      </c>
      <c r="J48" s="328">
        <f t="shared" si="19"/>
        <v>33863778.321634412</v>
      </c>
      <c r="K48" s="328">
        <f t="shared" si="19"/>
        <v>41746958.77028092</v>
      </c>
      <c r="L48" s="328">
        <f t="shared" si="19"/>
        <v>8061746.2233673697</v>
      </c>
      <c r="M48" s="328">
        <f t="shared" si="19"/>
        <v>6208975.7821457442</v>
      </c>
      <c r="N48" s="328">
        <f t="shared" si="19"/>
        <v>0</v>
      </c>
      <c r="O48" s="328">
        <f t="shared" si="19"/>
        <v>0</v>
      </c>
      <c r="P48" s="328">
        <f t="shared" si="19"/>
        <v>0</v>
      </c>
      <c r="Q48" s="328" t="str">
        <f t="shared" si="19"/>
        <v/>
      </c>
    </row>
    <row r="49" spans="1:17" ht="15.75" customHeight="1">
      <c r="A49" s="10"/>
      <c r="B49" s="323" t="s">
        <v>350</v>
      </c>
      <c r="C49" s="324">
        <f>BS!$C$66*C53</f>
        <v>41044772</v>
      </c>
      <c r="D49" s="325"/>
      <c r="E49" s="326"/>
      <c r="F49" s="325"/>
      <c r="G49" s="324">
        <f>Data!C52</f>
        <v>41044772</v>
      </c>
      <c r="H49" s="324">
        <f>Data!D52</f>
        <v>71308016</v>
      </c>
      <c r="I49" s="324">
        <f>Data!E52</f>
        <v>65718589</v>
      </c>
      <c r="J49" s="324">
        <f>Data!F52</f>
        <v>36050786</v>
      </c>
      <c r="K49" s="324">
        <f>Data!G52</f>
        <v>44443082</v>
      </c>
      <c r="L49" s="324">
        <f>Data!H52</f>
        <v>8582394</v>
      </c>
      <c r="M49" s="324">
        <f>Data!I52</f>
        <v>6609967</v>
      </c>
      <c r="N49" s="324">
        <f>Data!J52</f>
        <v>0</v>
      </c>
      <c r="O49" s="324">
        <f>Data!K52</f>
        <v>0</v>
      </c>
      <c r="P49" s="324">
        <f>Data!L52</f>
        <v>0</v>
      </c>
      <c r="Q49" s="324" t="str">
        <f>Data!M52</f>
        <v/>
      </c>
    </row>
    <row r="50" spans="1:17" ht="15.75" customHeight="1">
      <c r="A50" s="10"/>
      <c r="B50" s="70" t="s">
        <v>68</v>
      </c>
      <c r="C50" s="184">
        <f>C47+C48</f>
        <v>30881944.997018404</v>
      </c>
      <c r="E50" s="302"/>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3.7946126449583846E-2</v>
      </c>
      <c r="E53" s="299" t="s">
        <v>343</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9" t="s">
        <v>344</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302"/>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302"/>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0.73718829498715255</v>
      </c>
      <c r="D73" s="27"/>
      <c r="E73" s="299"/>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9"/>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9"/>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9"/>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9"/>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9"/>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9"/>
      <c r="F81" s="27"/>
      <c r="G81" s="65">
        <f t="shared" ref="G81:Q81" si="32">IF(G$4="","",G13/G$4)</f>
        <v>0.25374629123236653</v>
      </c>
      <c r="H81" s="65">
        <f t="shared" si="32"/>
        <v>0.25958200759006911</v>
      </c>
      <c r="I81" s="65">
        <f t="shared" si="32"/>
        <v>0.26758687743114118</v>
      </c>
      <c r="J81" s="65">
        <f t="shared" si="32"/>
        <v>0.25683315750755353</v>
      </c>
      <c r="K81" s="65">
        <f t="shared" si="32"/>
        <v>0.19399655710824484</v>
      </c>
      <c r="L81" s="65">
        <f t="shared" si="32"/>
        <v>0.20658022000665721</v>
      </c>
      <c r="M81" s="65">
        <f t="shared" si="32"/>
        <v>0.19118132080791655</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9"/>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8">
        <f>MIN(BS!C62,MAX(G83:K83))</f>
        <v>1.0023684472850819E-2</v>
      </c>
      <c r="D83" s="27"/>
      <c r="E83" s="299"/>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9"/>
      <c r="F84" s="27"/>
      <c r="G84" s="65">
        <f t="shared" ref="G84:Q84" si="35">IF(G$4="","",ABS(G16/G$4))</f>
        <v>0.19793458804882752</v>
      </c>
      <c r="H84" s="65">
        <f t="shared" si="35"/>
        <v>0.21475383813747104</v>
      </c>
      <c r="I84" s="65">
        <f t="shared" si="35"/>
        <v>0.21687976699703265</v>
      </c>
      <c r="J84" s="65">
        <f t="shared" si="35"/>
        <v>0.21552581812914487</v>
      </c>
      <c r="K84" s="65">
        <f t="shared" si="35"/>
        <v>0.15940685925041365</v>
      </c>
      <c r="L84" s="65">
        <f t="shared" si="35"/>
        <v>0.17900266830314501</v>
      </c>
      <c r="M84" s="65">
        <f t="shared" si="35"/>
        <v>0.17358337032608945</v>
      </c>
      <c r="N84" s="65">
        <f t="shared" si="35"/>
        <v>0.10857692815657645</v>
      </c>
      <c r="O84" s="65">
        <f t="shared" si="35"/>
        <v>0.10653341838823804</v>
      </c>
      <c r="P84" s="65">
        <f t="shared" si="35"/>
        <v>5.6712938337268093E-2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9"/>
      <c r="F87" s="75"/>
      <c r="G87" s="65">
        <f t="shared" ref="G87:Q87" si="36">IF(G$4="","",ABS(G19/G$4))</f>
        <v>0.19793458804882752</v>
      </c>
      <c r="H87" s="65">
        <f t="shared" si="36"/>
        <v>0.21475383813747104</v>
      </c>
      <c r="I87" s="65">
        <f t="shared" si="36"/>
        <v>0.21687976699703265</v>
      </c>
      <c r="J87" s="65">
        <f t="shared" si="36"/>
        <v>0.21552581812914487</v>
      </c>
      <c r="K87" s="65">
        <f t="shared" si="36"/>
        <v>0.15940685925041365</v>
      </c>
      <c r="L87" s="65">
        <f t="shared" si="36"/>
        <v>0.17900266830314501</v>
      </c>
      <c r="M87" s="65">
        <f t="shared" si="36"/>
        <v>0.17358337032608945</v>
      </c>
      <c r="N87" s="65">
        <f t="shared" si="36"/>
        <v>0.10857692815657645</v>
      </c>
      <c r="O87" s="65">
        <f t="shared" si="36"/>
        <v>0.10653341838823804</v>
      </c>
      <c r="P87" s="65">
        <f t="shared" si="36"/>
        <v>5.6712938337268093E-2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2.4</v>
      </c>
      <c r="E90" s="302"/>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302"/>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302"/>
      <c r="G92" s="171">
        <f t="shared" ref="G92:Q92" si="38">IF(G$4="","",G90/(G19*scaling_factor/Common_Shares))</f>
        <v>0.40071132521634056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4.1870202372644799E-2</v>
      </c>
      <c r="E93" s="302"/>
      <c r="G93" s="23">
        <f t="shared" ref="G93:Q93" si="39">IF(G$4="","",G90/Market_Price)</f>
        <v>4.1870202372644799E-2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-3.3469780292926132E-2</v>
      </c>
      <c r="D96" s="27"/>
      <c r="E96" s="299"/>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-0.15114069290137222</v>
      </c>
      <c r="D97" s="27"/>
      <c r="E97" s="299"/>
      <c r="F97" s="27"/>
      <c r="G97" s="6">
        <f t="shared" ref="G97:Q97" si="41">IF(H5="","",G13/H13-1)</f>
        <v>-3.3713958233565489E-2</v>
      </c>
      <c r="H97" s="6">
        <f t="shared" si="41"/>
        <v>2.3691759679573154E-2</v>
      </c>
      <c r="I97" s="6">
        <f t="shared" si="41"/>
        <v>0.11491082376078632</v>
      </c>
      <c r="J97" s="6">
        <f t="shared" si="41"/>
        <v>0.58739867959224012</v>
      </c>
      <c r="K97" s="6">
        <f t="shared" si="41"/>
        <v>1.8686067958896064</v>
      </c>
      <c r="L97" s="6">
        <f t="shared" si="41"/>
        <v>0.11625570817719444</v>
      </c>
      <c r="M97" s="6">
        <f t="shared" si="41"/>
        <v>0.82281820292209007</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10968339719.389999</v>
      </c>
      <c r="D101" s="26"/>
      <c r="E101" s="303"/>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4"/>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4"/>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303"/>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303"/>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303"/>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303"/>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1.1301097053348144</v>
      </c>
      <c r="H113" s="334">
        <f>IF(H$4="","",Data!D$22/Data!D15)</f>
        <v>1.1421244767311443</v>
      </c>
      <c r="I113" s="334">
        <f>IF(I$4="","",Data!E$22/Data!E15)</f>
        <v>1.4506354245537583</v>
      </c>
      <c r="J113" s="334">
        <f>IF(J$4="","",Data!F$22/Data!F15)</f>
        <v>1.4858503664510887</v>
      </c>
      <c r="K113" s="334">
        <f>IF(K$4="","",Data!G$22/Data!G15)</f>
        <v>2.1056296742310616</v>
      </c>
      <c r="L113" s="334">
        <f>IF(L$4="","",Data!H$22/Data!H15)</f>
        <v>0.96876332816786648</v>
      </c>
      <c r="M113" s="334">
        <f>IF(M$4="","",Data!I$22/Data!I15)</f>
        <v>1.767034158859303</v>
      </c>
      <c r="N113" s="334">
        <f>IF(N$4="","",Data!J$22/Data!J15)</f>
        <v>2.5144917688633623</v>
      </c>
      <c r="O113" s="334">
        <f>IF(O$4="","",Data!K$22/Data!K15)</f>
        <v>4.0690767846879998</v>
      </c>
      <c r="P113" s="334">
        <f>IF(P$4="","",Data!L$22/Data!L15)</f>
        <v>-2.9196128327089879</v>
      </c>
      <c r="Q113" s="334" t="str">
        <f>IF(Q$4="","",Data!M$22/Data!M15)</f>
        <v/>
      </c>
    </row>
    <row r="114" spans="1:17" ht="15.75" customHeight="1">
      <c r="A114" s="10"/>
      <c r="B114" s="2" t="s">
        <v>400</v>
      </c>
      <c r="C114" s="170"/>
      <c r="E114" s="302"/>
      <c r="G114" s="334">
        <f>IF(G$4="","",Data!C$22/G19)</f>
        <v>0.87696929430413517</v>
      </c>
      <c r="H114" s="334">
        <f>IF(H$4="","",Data!D$22/H19)</f>
        <v>0.97341096318776787</v>
      </c>
      <c r="I114" s="334">
        <f>IF(I$4="","",Data!E$22/I19)</f>
        <v>1.2324842928148716</v>
      </c>
      <c r="J114" s="334">
        <f>IF(J$4="","",Data!F$22/J19)</f>
        <v>1.2607334616648864</v>
      </c>
      <c r="K114" s="334">
        <f>IF(K$4="","",Data!G$22/K19)</f>
        <v>2.1154638803612684</v>
      </c>
      <c r="L114" s="334">
        <f>IF(L$4="","",Data!H$22/L19)</f>
        <v>1.1007619838386338</v>
      </c>
      <c r="M114" s="334">
        <f>IF(M$4="","",Data!I$22/M19)</f>
        <v>1.2367746832021034</v>
      </c>
      <c r="N114" s="334">
        <f>IF(N$4="","",Data!J$22/N19)</f>
        <v>2.378364555476101</v>
      </c>
      <c r="O114" s="334">
        <f>IF(O$4="","",Data!K$22/O19)</f>
        <v>1.6724741518288628</v>
      </c>
      <c r="P114" s="334">
        <f>IF(P$4="","",Data!L$22/P19)</f>
        <v>2.3783234522476708</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302"/>
      <c r="G117" s="23">
        <f t="shared" ref="G117:Q117" si="45">G81</f>
        <v>0.25374629123236653</v>
      </c>
      <c r="H117" s="23">
        <f t="shared" si="45"/>
        <v>0.25958200759006911</v>
      </c>
      <c r="I117" s="23">
        <f t="shared" si="45"/>
        <v>0.26758687743114118</v>
      </c>
      <c r="J117" s="23">
        <f t="shared" si="45"/>
        <v>0.25683315750755353</v>
      </c>
      <c r="K117" s="23">
        <f t="shared" si="45"/>
        <v>0.19399655710824484</v>
      </c>
      <c r="L117" s="23">
        <f t="shared" si="45"/>
        <v>0.20658022000665721</v>
      </c>
      <c r="M117" s="23">
        <f t="shared" si="45"/>
        <v>0.19118132080791655</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302"/>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6"/>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5"/>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9"/>
      <c r="F124" s="27"/>
      <c r="G124" s="178">
        <f t="shared" ref="G124:Q124" si="49">IF(G$4="","",G16*$C$3/Common_Shares*Exchange_Rate)</f>
        <v>5.9893490624560233</v>
      </c>
      <c r="H124" s="178">
        <f t="shared" si="49"/>
        <v>6.5738271070136127</v>
      </c>
      <c r="I124" s="178">
        <f t="shared" si="49"/>
        <v>6.2912500858371647</v>
      </c>
      <c r="J124" s="178">
        <f t="shared" si="49"/>
        <v>5.842393475079553</v>
      </c>
      <c r="K124" s="178">
        <f t="shared" si="49"/>
        <v>3.6038736726028908</v>
      </c>
      <c r="L124" s="178">
        <f t="shared" si="49"/>
        <v>1.3248183133066678</v>
      </c>
      <c r="M124" s="178">
        <f t="shared" si="49"/>
        <v>1.2436108993042716</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8.0165845082489973E-2</v>
      </c>
      <c r="D125" s="27"/>
      <c r="E125" s="299"/>
      <c r="F125" s="27"/>
      <c r="G125" s="77">
        <f t="shared" ref="G125" si="50">IF(G$4="","",G124/Market_Price)</f>
        <v>0.10448969055226838</v>
      </c>
      <c r="H125" s="77">
        <f t="shared" ref="H125" si="51">IF(H$4="","",H124/Market_Price)</f>
        <v>0.11468644638893254</v>
      </c>
      <c r="I125" s="77">
        <f t="shared" ref="I125" si="52">IF(I$4="","",I124/Market_Price)</f>
        <v>0.10975663094621711</v>
      </c>
      <c r="J125" s="77">
        <f t="shared" ref="J125" si="53">IF(J$4="","",J124/Market_Price)</f>
        <v>0.10192591547591684</v>
      </c>
      <c r="K125" s="77">
        <f t="shared" ref="K125" si="54">IF(K$4="","",K124/Market_Price)</f>
        <v>6.28728833322207E-2</v>
      </c>
      <c r="L125" s="77">
        <f t="shared" ref="L125" si="55">IF(L$4="","",L124/Market_Price)</f>
        <v>2.3112671202140053E-2</v>
      </c>
      <c r="M125" s="77">
        <f t="shared" ref="M125" si="56">IF(M$4="","",M124/Market_Price)</f>
        <v>2.1695933344456936E-2</v>
      </c>
      <c r="N125" s="77">
        <f t="shared" ref="N125" si="57">IF(N$4="","",N124/Market_Price)</f>
        <v>1.2428726720721116E-2</v>
      </c>
      <c r="O125" s="77">
        <f t="shared" ref="O125" si="58">IF(O$4="","",O124/Market_Price)</f>
        <v>1.2273156432569512E-2</v>
      </c>
      <c r="P125" s="77">
        <f t="shared" ref="P125" si="59">IF(P$4="","",P124/Market_Price)</f>
        <v>6.794917432414567E-3</v>
      </c>
      <c r="Q125" s="77" t="str">
        <f t="shared" ref="Q125" si="60">IF(Q$4="","",Q124/Market_Price)</f>
        <v/>
      </c>
    </row>
    <row r="126" spans="1:17" ht="15.75" customHeight="1">
      <c r="B126" s="2" t="s">
        <v>402</v>
      </c>
      <c r="C126" s="170"/>
      <c r="G126" s="23">
        <f>IF(G$4="","",(Data!C47*$C$3)/(Market_Price*Common_Shares))</f>
        <v>8.1084384775309951E-2</v>
      </c>
      <c r="H126" s="23">
        <f>IF(H$4="","",(Data!D47*$C$3)/(Market_Price*Common_Shares))</f>
        <v>9.7745076406687004E-2</v>
      </c>
      <c r="I126" s="23">
        <f>IF(I$4="","",(Data!E47*$C$3)/(Market_Price*Common_Shares))</f>
        <v>9.3251082514480693E-2</v>
      </c>
      <c r="J126" s="23">
        <f>IF(J$4="","",(Data!F47*$C$3)/(Market_Price*Common_Shares))</f>
        <v>8.6483413910808007E-2</v>
      </c>
      <c r="K126" s="23">
        <f>IF(K$4="","",(Data!G47*$C$3)/(Market_Price*Common_Shares))</f>
        <v>6.3166527035221465E-2</v>
      </c>
      <c r="L126" s="23">
        <f>IF(L$4="","",(Data!H47*$C$3)/(Market_Price*Common_Shares))</f>
        <v>2.6261883645402866E-2</v>
      </c>
      <c r="M126" s="23">
        <f>IF(M$4="","",(Data!I47*$C$3)/(Market_Price*Common_Shares))</f>
        <v>1.5185321095426094E-2</v>
      </c>
      <c r="N126" s="23">
        <f>IF(N$4="","",(Data!J47*$C$3)/(Market_Price*Common_Shares))</f>
        <v>1.1755871889620058E-2</v>
      </c>
      <c r="O126" s="23">
        <f>IF(O$4="","",(Data!K47*$C$3)/(Market_Price*Common_Shares))</f>
        <v>5.0445194281086873E-3</v>
      </c>
      <c r="P126" s="23">
        <f>IF(P$4="","",(Data!L47*$C$3)/(Market_Price*Common_Shares))</f>
        <v>-5.5351556564448385E-3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27798738399.652267</v>
      </c>
      <c r="D6" t="str">
        <f>Reporting_currency</f>
        <v>CNY</v>
      </c>
      <c r="E6" s="351" t="s">
        <v>250</v>
      </c>
      <c r="F6" s="351"/>
      <c r="H6" s="121"/>
    </row>
    <row r="7" spans="2:8">
      <c r="B7" s="149" t="s">
        <v>225</v>
      </c>
      <c r="C7" s="226">
        <f>BS!G31</f>
        <v>123521704.27</v>
      </c>
      <c r="D7" t="str">
        <f>Reporting_currency</f>
        <v>CNY</v>
      </c>
      <c r="E7" s="351"/>
      <c r="F7" s="351"/>
      <c r="H7" s="121"/>
    </row>
    <row r="8" spans="2:8">
      <c r="B8" s="149" t="s">
        <v>226</v>
      </c>
      <c r="C8" s="201">
        <f>BS!D66</f>
        <v>65618450.04890883</v>
      </c>
      <c r="D8" t="str">
        <f>Reporting_currency</f>
        <v>CNY</v>
      </c>
      <c r="E8" s="351"/>
      <c r="F8" s="351"/>
      <c r="H8" s="121"/>
    </row>
    <row r="9" spans="2:8">
      <c r="B9" s="227" t="s">
        <v>191</v>
      </c>
      <c r="C9" s="229">
        <f>BS!H42</f>
        <v>29558000.651999995</v>
      </c>
      <c r="D9" t="str">
        <f>Reporting_currency</f>
        <v>CNY</v>
      </c>
      <c r="E9" s="351"/>
      <c r="F9" s="351"/>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-57.32</v>
      </c>
    </row>
    <row r="4" spans="2:9">
      <c r="B4" s="153" t="s">
        <v>147</v>
      </c>
      <c r="C4" s="121">
        <v>3</v>
      </c>
      <c r="D4" s="121"/>
      <c r="E4" s="156" t="s">
        <v>151</v>
      </c>
      <c r="F4" s="156"/>
      <c r="H4" s="276">
        <v>1</v>
      </c>
      <c r="I4" s="264">
        <f t="shared" ref="I4:I13" si="0">IF(ROW()-3 &lt; $C$76, $C$77, IF(ROW()-3 = $C$76, $C$77 + $C$60, ""))</f>
        <v>2.4</v>
      </c>
    </row>
    <row r="5" spans="2:9">
      <c r="H5" s="276">
        <v>2</v>
      </c>
      <c r="I5" s="264">
        <f t="shared" si="0"/>
        <v>2.4</v>
      </c>
    </row>
    <row r="6" spans="2:9" ht="13.15">
      <c r="B6" s="160" t="s">
        <v>96</v>
      </c>
      <c r="C6" s="107">
        <f>Valuation_Model!C3</f>
        <v>1</v>
      </c>
      <c r="E6" s="100" t="s">
        <v>282</v>
      </c>
      <c r="F6" s="100"/>
      <c r="H6" s="276">
        <v>3</v>
      </c>
      <c r="I6" s="264">
        <f t="shared" si="0"/>
        <v>68.992285778880003</v>
      </c>
    </row>
    <row r="7" spans="2:9" ht="12.75" customHeight="1">
      <c r="B7" s="100" t="s">
        <v>276</v>
      </c>
      <c r="C7" s="115">
        <f>Normalized_FCF!G8</f>
        <v>3109212579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3"/>
      <c r="H7" s="276">
        <v>4</v>
      </c>
      <c r="I7" s="264" t="str">
        <f t="shared" si="0"/>
        <v/>
      </c>
    </row>
    <row r="8" spans="2:9">
      <c r="B8" s="100" t="s">
        <v>66</v>
      </c>
      <c r="C8" s="115">
        <f>Normalized_FCF!G19</f>
        <v>2898672440.9970183</v>
      </c>
      <c r="D8" t="str">
        <f>Reporting_currency</f>
        <v>CNY</v>
      </c>
      <c r="E8" s="353"/>
      <c r="F8" s="353"/>
      <c r="H8" s="276">
        <v>5</v>
      </c>
      <c r="I8" s="264" t="str">
        <f t="shared" si="0"/>
        <v/>
      </c>
    </row>
    <row r="9" spans="2:9">
      <c r="B9" s="100" t="s">
        <v>57</v>
      </c>
      <c r="C9" s="201">
        <f>Normalized_FCF!C19</f>
        <v>2223899071.9721813</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3.7342435425912202E-2</v>
      </c>
      <c r="D12" s="159"/>
      <c r="E12" s="353"/>
      <c r="F12" s="353"/>
      <c r="H12" s="276">
        <v>9</v>
      </c>
      <c r="I12" s="264" t="str">
        <f t="shared" si="0"/>
        <v/>
      </c>
    </row>
    <row r="13" spans="2:9">
      <c r="B13" s="149" t="s">
        <v>153</v>
      </c>
      <c r="C13" s="159">
        <f ca="1">(Normalized_FCF!G8/OFFSET(Normalized_FCF!G8, 0, $C$4))^(1/$C$4) - 1</f>
        <v>2.3730241339145586E-2</v>
      </c>
      <c r="E13" s="353"/>
      <c r="F13" s="353"/>
      <c r="H13" s="276">
        <v>10</v>
      </c>
      <c r="I13" s="264" t="str">
        <f t="shared" si="0"/>
        <v/>
      </c>
    </row>
    <row r="14" spans="2:9">
      <c r="B14" s="100" t="s">
        <v>66</v>
      </c>
      <c r="C14" s="159">
        <f ca="1">(Normalized_FCF!G19/OFFSET(Normalized_FCF!G19, 0, $C$4))^(1/$C$4) - 1</f>
        <v>8.315107055794968E-3</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57.32</v>
      </c>
      <c r="D21" t="str">
        <f>Market_currency</f>
        <v>CNY</v>
      </c>
      <c r="E21" s="354"/>
      <c r="F21" s="354"/>
    </row>
    <row r="22" spans="2:6">
      <c r="B22" s="100" t="s">
        <v>281</v>
      </c>
      <c r="C22" s="161">
        <f>Valuation_Model!C12</f>
        <v>57.380259942830683</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65.168450335018306</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61.088521054715052</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69.664528319209367</v>
      </c>
      <c r="D39" t="str">
        <f>Market_currency</f>
        <v>CNY</v>
      </c>
      <c r="E39" s="352"/>
      <c r="F39" s="352"/>
    </row>
    <row r="40" spans="2:6">
      <c r="B40" s="100" t="s">
        <v>148</v>
      </c>
      <c r="C40" s="168">
        <f>1-C28-C34</f>
        <v>0.2</v>
      </c>
      <c r="D40" s="166"/>
      <c r="E40" s="352"/>
      <c r="F40" s="352"/>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57.380259942830648</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99.935214270443552</v>
      </c>
      <c r="D57" t="str">
        <f>Market_currency</f>
        <v>CNY</v>
      </c>
      <c r="E57" s="352"/>
      <c r="F57" s="352"/>
    </row>
    <row r="58" spans="2:6">
      <c r="B58" s="100" t="s">
        <v>148</v>
      </c>
      <c r="C58" s="166">
        <v>0.05</v>
      </c>
      <c r="D58" s="166"/>
      <c r="E58" s="352"/>
      <c r="F58" s="352"/>
    </row>
    <row r="60" spans="2:6" ht="13.15">
      <c r="B60" s="100" t="s">
        <v>121</v>
      </c>
      <c r="C60" s="155">
        <f>C51*C52+C57*C58+C42*(1-C52-C58)</f>
        <v>66.592285778879997</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66.598280217741973</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-8.7950215386604794E-4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2.4</v>
      </c>
      <c r="D77" t="str">
        <f>Market_currency</f>
        <v>CNY</v>
      </c>
    </row>
    <row r="79" spans="2:6" ht="13.15">
      <c r="B79" s="109" t="s">
        <v>308</v>
      </c>
    </row>
    <row r="80" spans="2:6">
      <c r="B80" s="149" t="s">
        <v>306</v>
      </c>
      <c r="C80" s="168">
        <f>Thesis!C132</f>
        <v>0.4</v>
      </c>
    </row>
    <row r="81" spans="2:8">
      <c r="B81" s="100" t="s">
        <v>122</v>
      </c>
      <c r="C81" s="117">
        <f>PV(C80, C76, -C77, 0)</f>
        <v>3.8134110787171998</v>
      </c>
      <c r="D81" s="117"/>
      <c r="E81" s="100"/>
      <c r="F81" s="100"/>
    </row>
    <row r="82" spans="2:8">
      <c r="B82" s="100" t="s">
        <v>123</v>
      </c>
      <c r="C82" s="117">
        <f>C60/(1+C80)^C76</f>
        <v>24.268325721166185</v>
      </c>
      <c r="D82" s="117"/>
    </row>
    <row r="83" spans="2:8" ht="13.15">
      <c r="B83" s="111" t="s">
        <v>102</v>
      </c>
      <c r="C83" s="112">
        <f>C81+C82</f>
        <v>28.081736799883384</v>
      </c>
      <c r="D83" t="str">
        <f>Market_currency</f>
        <v>CNY</v>
      </c>
      <c r="E83" s="147" t="s">
        <v>127</v>
      </c>
      <c r="F83" s="329">
        <f>(1-C83/C60)</f>
        <v>0.57830345555145946</v>
      </c>
    </row>
    <row r="84" spans="2:8">
      <c r="E84" s="121"/>
    </row>
    <row r="85" spans="2:8" ht="13.15">
      <c r="B85" s="109" t="s">
        <v>309</v>
      </c>
    </row>
    <row r="86" spans="2:8">
      <c r="B86" s="149" t="s">
        <v>307</v>
      </c>
      <c r="C86" s="266">
        <f>Market_Price</f>
        <v>57.32</v>
      </c>
      <c r="D86" t="str">
        <f>Market_currency</f>
        <v>CNY</v>
      </c>
    </row>
    <row r="87" spans="2:8" ht="13.15">
      <c r="B87" s="100" t="s">
        <v>305</v>
      </c>
      <c r="C87" s="265">
        <f ca="1">IRR(OFFSET($I$3, 0, 0, $C$76 + 1, 1))</f>
        <v>9.1161384857910033E-2</v>
      </c>
    </row>
    <row r="88" spans="2:8">
      <c r="B88" s="100"/>
    </row>
    <row r="89" spans="2:8" ht="13.15">
      <c r="B89" s="109" t="s">
        <v>422</v>
      </c>
    </row>
    <row r="90" spans="2:8">
      <c r="B90" s="149" t="s">
        <v>423</v>
      </c>
      <c r="C90" s="168">
        <f>Thesis!E24</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9">
        <f>(1-C93/C60)</f>
        <v>0.345378260199104</v>
      </c>
    </row>
    <row r="95" spans="2:8" ht="13.15">
      <c r="B95" s="109" t="s">
        <v>405</v>
      </c>
      <c r="G95" s="2"/>
      <c r="H95" s="316"/>
    </row>
    <row r="96" spans="2:8">
      <c r="B96" s="149" t="s">
        <v>411</v>
      </c>
      <c r="C96" s="135">
        <f>Thesis!C72</f>
        <v>0.08</v>
      </c>
      <c r="G96" s="2"/>
      <c r="H96" s="316"/>
    </row>
    <row r="97" spans="2:8">
      <c r="B97" s="100" t="s">
        <v>122</v>
      </c>
      <c r="C97" s="117">
        <f>PV(C96, C76, -C77, 0)</f>
        <v>6.1850327693949119</v>
      </c>
      <c r="D97" s="117"/>
      <c r="G97" s="2"/>
      <c r="H97" s="316"/>
    </row>
    <row r="98" spans="2:8">
      <c r="B98" s="100" t="s">
        <v>123</v>
      </c>
      <c r="C98" s="117">
        <f>C60/(1+C96)^C76</f>
        <v>52.863103454503879</v>
      </c>
      <c r="D98" s="117"/>
      <c r="G98" s="2"/>
      <c r="H98" s="316"/>
    </row>
    <row r="99" spans="2:8" ht="13.15">
      <c r="B99" s="111" t="s">
        <v>406</v>
      </c>
      <c r="C99" s="112">
        <f>C97+C98</f>
        <v>59.048136223898794</v>
      </c>
      <c r="D99" t="s">
        <v>404</v>
      </c>
      <c r="E99" s="147" t="s">
        <v>127</v>
      </c>
      <c r="F99" s="329">
        <f>(1-C99/C60)</f>
        <v>0.1132886409700905</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