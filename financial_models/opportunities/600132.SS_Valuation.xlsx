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62575E9-DF88-4A9F-8AEC-30A1A5081F40}"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O94" i="2"/>
  <c r="Q92" i="2"/>
  <c r="Q94" i="2"/>
  <c r="J94" i="2"/>
  <c r="F71" i="4"/>
  <c r="K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<sst xmlns="http://schemas.openxmlformats.org/spreadsheetml/2006/main" count="836" uniqueCount="561">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</sst>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B19FE72-2F66-4EB5-967B-552201CDF67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483971198</v>
          </cell>
        </row>
        <row r="12">
          <cell r="C12">
            <v>55.41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重庆啤酒</v>
      </c>
    </row>
    <row r="6" spans="1:10">
      <c r="B6" s="4" t="s">
        <v>480</v>
      </c>
      <c r="C6" s="34">
        <f>Common_Shares</f>
        <v>483971198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600132.SS</v>
      </c>
      <c r="D11" s="49"/>
      <c r="E11" s="34"/>
    </row>
    <row r="12" spans="1:10">
      <c r="B12" s="4" t="s">
        <v>484</v>
      </c>
      <c r="C12" s="366">
        <f>Market_Price</f>
        <v>55.25</v>
      </c>
      <c r="D12" s="50"/>
      <c r="E12" s="48"/>
    </row>
    <row r="13" spans="1:10">
      <c r="B13" s="1" t="s">
        <v>485</v>
      </c>
      <c r="C13" s="32" t="str">
        <f>Market_currency</f>
        <v>CNY</v>
      </c>
      <c r="D13" s="48"/>
      <c r="E13" s="5"/>
    </row>
    <row r="14" spans="1:10">
      <c r="B14" s="4" t="s">
        <v>486</v>
      </c>
      <c r="C14" s="35">
        <f>投资主题!C12*Common_Shares/1000000</f>
        <v>26739.4086895</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66.857539212261699</v>
      </c>
      <c r="D26" s="1" t="s">
        <v>446</v>
      </c>
      <c r="E26" s="301">
        <f ca="1">Scenarios!C87</f>
        <v>0.1024185153106183</v>
      </c>
    </row>
    <row r="27" spans="2:6">
      <c r="D27" s="5"/>
      <c r="E27" s="5"/>
    </row>
    <row r="28" spans="2:6">
      <c r="B28" s="45" t="s">
        <v>448</v>
      </c>
      <c r="C28" s="309" t="str">
        <f>C145&amp;" ("&amp;Market_currency&amp;")"</f>
        <v>600132.SS (CNY)</v>
      </c>
      <c r="D28" s="309" t="str">
        <f>IF(D11="","",D145&amp;" ("&amp;D13&amp;")")</f>
        <v/>
      </c>
      <c r="E28" s="305" t="s">
        <v>453</v>
      </c>
      <c r="F28" s="361">
        <f>Thesis!F28</f>
        <v>3</v>
      </c>
    </row>
    <row r="29" spans="2:6">
      <c r="B29" s="1" t="s">
        <v>449</v>
      </c>
      <c r="C29" s="310">
        <f>C149</f>
        <v>25.155911013083504</v>
      </c>
      <c r="D29" s="310" t="str">
        <f>D149</f>
        <v/>
      </c>
      <c r="E29" s="306" t="s">
        <v>455</v>
      </c>
      <c r="F29" s="362">
        <f>Thesis!F29</f>
        <v>0.45</v>
      </c>
    </row>
    <row r="30" spans="2:6">
      <c r="B30" s="1" t="s">
        <v>450</v>
      </c>
      <c r="C30" s="311">
        <f>C157</f>
        <v>34.354091585007595</v>
      </c>
      <c r="D30" s="311" t="str">
        <f>D157</f>
        <v/>
      </c>
      <c r="E30" s="307" t="s">
        <v>454</v>
      </c>
      <c r="F30" s="224">
        <f>Thesis!F30</f>
        <v>0.3</v>
      </c>
    </row>
    <row r="31" spans="2:6">
      <c r="B31" s="1" t="s">
        <v>451</v>
      </c>
      <c r="C31" s="311">
        <f>C165</f>
        <v>59.434818438436224</v>
      </c>
      <c r="D31" s="311" t="str">
        <f>D165</f>
        <v/>
      </c>
      <c r="E31" s="307" t="s">
        <v>491</v>
      </c>
      <c r="F31" s="224">
        <f>Thesis!F31</f>
        <v>7.4999999999999997E-2</v>
      </c>
    </row>
    <row r="32" spans="2:6">
      <c r="B32" s="1" t="s">
        <v>452</v>
      </c>
      <c r="C32" s="311">
        <f>C173</f>
        <v>57.551879180502802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495</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498</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7.8534318595927063E-2</v>
      </c>
      <c r="F69" s="314"/>
    </row>
    <row r="70" spans="1:6">
      <c r="B70" s="227" t="s">
        <v>434</v>
      </c>
      <c r="C70" s="92">
        <f>Normalized_FCF!C94</f>
        <v>3.9095022624434393E-2</v>
      </c>
      <c r="E70" s="47" t="s">
        <v>503</v>
      </c>
      <c r="F70" s="315">
        <f>Normalized_FCF!C92</f>
        <v>0.55312014930250053</v>
      </c>
    </row>
    <row r="72" spans="1:6">
      <c r="B72" s="210" t="s">
        <v>513</v>
      </c>
      <c r="C72" s="323" t="s">
        <v>429</v>
      </c>
      <c r="D72" s="323" t="s">
        <v>504</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57.853614698999607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514</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515</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c r="B116" s="371" t="s">
        <v>516</v>
      </c>
      <c r="C116" s="371"/>
      <c r="D116" s="371"/>
      <c r="E116" s="371"/>
      <c r="F116" s="371"/>
    </row>
    <row r="118" spans="1:6">
      <c r="B118" s="47" t="s">
        <v>517</v>
      </c>
      <c r="C118" s="223">
        <f>IF(valuation_method="DCF",DCF!C12,DDM!C7)</f>
        <v>57.766502474326238</v>
      </c>
      <c r="D118" s="1" t="str">
        <f>Market_currency</f>
        <v>CNY</v>
      </c>
    </row>
    <row r="119" spans="1:6">
      <c r="B119" s="296" t="s">
        <v>550</v>
      </c>
      <c r="C119" s="223">
        <f>BS!D47</f>
        <v>-13.312996389940134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2.16</v>
      </c>
      <c r="D143" s="212" t="str">
        <f>Market_currency</f>
        <v>CNY</v>
      </c>
    </row>
    <row r="145" spans="2:4">
      <c r="B145" s="210" t="s">
        <v>531</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532</v>
      </c>
      <c r="C150" s="298" t="str">
        <f>Market_currency</f>
        <v>CNY</v>
      </c>
      <c r="D150" s="298" t="str">
        <f>IF($D$11="","",D$13)</f>
        <v/>
      </c>
    </row>
    <row r="151" spans="2:4">
      <c r="B151" s="214" t="s">
        <v>533</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532</v>
      </c>
      <c r="C158" s="298" t="str">
        <f>Market_currency</f>
        <v>CNY</v>
      </c>
      <c r="D158" s="298" t="str">
        <f>IF($D$11="","",D$13)</f>
        <v/>
      </c>
    </row>
    <row r="159" spans="2:4">
      <c r="B159" s="214" t="s">
        <v>533</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532</v>
      </c>
      <c r="C166" s="298" t="str">
        <f>Market_currency</f>
        <v>CNY</v>
      </c>
      <c r="D166" s="298" t="str">
        <f>IF($D$11="","",D$13)</f>
        <v/>
      </c>
    </row>
    <row r="167" spans="2:4">
      <c r="B167" s="214" t="s">
        <v>533</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532</v>
      </c>
      <c r="C174" s="298" t="str">
        <f>Market_currency</f>
        <v>CNY</v>
      </c>
      <c r="D174" s="298" t="str">
        <f>IF($D$11="","",D$13)</f>
        <v/>
      </c>
    </row>
    <row r="175" spans="2:4">
      <c r="B175" s="214" t="s">
        <v>533</v>
      </c>
      <c r="C175" s="92">
        <f>Scenarios!F105</f>
        <v>0.13903087623244537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483971198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55.25</v>
      </c>
      <c r="D12" s="50"/>
      <c r="E12" s="48"/>
    </row>
    <row r="13" spans="1:10">
      <c r="B13" s="1" t="s">
        <v>464</v>
      </c>
      <c r="C13" s="48" t="s">
        <v>394</v>
      </c>
      <c r="D13" s="48"/>
      <c r="E13" s="5"/>
    </row>
    <row r="14" spans="1:10">
      <c r="B14" s="4" t="s">
        <v>465</v>
      </c>
      <c r="C14" s="35">
        <f>Thesis!C12*Common_Shares/1000000</f>
        <v>26739.4086895</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66.857539212261699</v>
      </c>
      <c r="D26" s="1" t="s">
        <v>380</v>
      </c>
      <c r="E26" s="301">
        <f ca="1">Scenarios!C87</f>
        <v>0.1024185153106183</v>
      </c>
    </row>
    <row r="27" spans="2:6">
      <c r="D27" s="5"/>
      <c r="E27" s="5"/>
    </row>
    <row r="28" spans="2:6">
      <c r="B28" s="45" t="s">
        <v>410</v>
      </c>
      <c r="C28" s="309" t="str">
        <f>C145&amp;" ("&amp;Market_currency&amp;")"</f>
        <v>600132.SS (CNY)</v>
      </c>
      <c r="D28" s="309" t="str">
        <f>IF(D11="","",D145&amp;" ("&amp;D13&amp;")")</f>
        <v/>
      </c>
      <c r="E28" s="305" t="s">
        <v>406</v>
      </c>
      <c r="F28" s="303">
        <v>3</v>
      </c>
    </row>
    <row r="29" spans="2:6">
      <c r="B29" s="1" t="s">
        <v>402</v>
      </c>
      <c r="C29" s="310">
        <f>C149</f>
        <v>25.155911013083504</v>
      </c>
      <c r="D29" s="310" t="str">
        <f>D149</f>
        <v/>
      </c>
      <c r="E29" s="306" t="s">
        <v>401</v>
      </c>
      <c r="F29" s="302">
        <v>0.45</v>
      </c>
    </row>
    <row r="30" spans="2:6">
      <c r="B30" s="1" t="s">
        <v>403</v>
      </c>
      <c r="C30" s="311">
        <f>C157</f>
        <v>34.354091585007595</v>
      </c>
      <c r="D30" s="311" t="str">
        <f>D157</f>
        <v/>
      </c>
      <c r="E30" s="307" t="s">
        <v>414</v>
      </c>
      <c r="F30" s="312">
        <v>0.3</v>
      </c>
    </row>
    <row r="31" spans="2:6">
      <c r="B31" s="1" t="s">
        <v>404</v>
      </c>
      <c r="C31" s="311">
        <f>C165</f>
        <v>59.434818438436224</v>
      </c>
      <c r="D31" s="311" t="str">
        <f>D165</f>
        <v/>
      </c>
      <c r="E31" s="307" t="s">
        <v>413</v>
      </c>
      <c r="F31" s="312">
        <v>7.4999999999999997E-2</v>
      </c>
    </row>
    <row r="32" spans="2:6">
      <c r="B32" s="1" t="s">
        <v>405</v>
      </c>
      <c r="C32" s="311">
        <f>C173</f>
        <v>57.551879180502802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229</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242</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7.8534318595927063E-2</v>
      </c>
      <c r="F69" s="314"/>
    </row>
    <row r="70" spans="1:6">
      <c r="B70" s="227" t="s">
        <v>434</v>
      </c>
      <c r="C70" s="92">
        <f>Normalized_FCF!C94</f>
        <v>3.9095022624434393E-2</v>
      </c>
      <c r="E70" s="47" t="s">
        <v>425</v>
      </c>
      <c r="F70" s="315">
        <f>Normalized_FCF!C92</f>
        <v>0.55312014930250053</v>
      </c>
    </row>
    <row r="72" spans="1:6">
      <c r="B72" s="210" t="s">
        <v>427</v>
      </c>
      <c r="C72" s="323" t="s">
        <v>429</v>
      </c>
      <c r="D72" s="323" t="s">
        <v>430</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57.853614698999607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250</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252</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ht="24.6" customHeight="1">
      <c r="B116" s="371" t="s">
        <v>352</v>
      </c>
      <c r="C116" s="371"/>
      <c r="D116" s="371"/>
      <c r="E116" s="371"/>
      <c r="F116" s="371"/>
    </row>
    <row r="118" spans="1:6">
      <c r="B118" s="47" t="s">
        <v>426</v>
      </c>
      <c r="C118" s="223">
        <f>IF(valuation_method="DCF",DCF!C12,DDM!C7)</f>
        <v>57.766502474326238</v>
      </c>
      <c r="D118" s="1" t="str">
        <f>Market_currency</f>
        <v>CNY</v>
      </c>
    </row>
    <row r="119" spans="1:6">
      <c r="B119" s="296" t="s">
        <v>549</v>
      </c>
      <c r="C119" s="223">
        <f>BS!D47</f>
        <v>-13.312996389940134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2.16</v>
      </c>
      <c r="D143" s="212" t="str">
        <f>Market_currency</f>
        <v>CNY</v>
      </c>
    </row>
    <row r="145" spans="2:4">
      <c r="B145" s="210" t="s">
        <v>388</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396</v>
      </c>
      <c r="C150" s="298" t="str">
        <f>Market_currency</f>
        <v>CNY</v>
      </c>
      <c r="D150" s="298" t="str">
        <f>IF($D$11="","",D$13)</f>
        <v/>
      </c>
    </row>
    <row r="151" spans="2:4">
      <c r="B151" s="214" t="s">
        <v>258</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396</v>
      </c>
      <c r="C158" s="298" t="str">
        <f>Market_currency</f>
        <v>CNY</v>
      </c>
      <c r="D158" s="298" t="str">
        <f>IF($D$11="","",D$13)</f>
        <v/>
      </c>
    </row>
    <row r="159" spans="2:4">
      <c r="B159" s="214" t="s">
        <v>258</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396</v>
      </c>
      <c r="C166" s="298" t="str">
        <f>Market_currency</f>
        <v>CNY</v>
      </c>
      <c r="D166" s="298" t="str">
        <f>IF($D$11="","",D$13)</f>
        <v/>
      </c>
    </row>
    <row r="167" spans="2:4">
      <c r="B167" s="214" t="s">
        <v>258</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396</v>
      </c>
      <c r="C174" s="298" t="str">
        <f>Market_currency</f>
        <v>CNY</v>
      </c>
      <c r="D174" s="298" t="str">
        <f>IF($D$11="","",D$13)</f>
        <v/>
      </c>
    </row>
    <row r="175" spans="2:4">
      <c r="B175" s="214" t="s">
        <v>258</v>
      </c>
      <c r="C175" s="92">
        <f>Scenarios!F105</f>
        <v>0.13903087623244537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41</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52</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59</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47</v>
      </c>
      <c r="C8" s="351">
        <v>22666046</v>
      </c>
      <c r="D8" s="351">
        <v>26232056</v>
      </c>
      <c r="E8" s="351">
        <v>110747936</v>
      </c>
      <c r="F8" s="351">
        <v>163151285</v>
      </c>
      <c r="G8" s="351">
        <v>84212617</v>
      </c>
      <c r="H8" s="351">
        <v>0</v>
      </c>
      <c r="I8" s="351">
        <v>0</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7672861</v>
      </c>
      <c r="D12" s="351">
        <v>5921669</v>
      </c>
      <c r="E12" s="351">
        <v>3696844</v>
      </c>
      <c r="F12" s="351">
        <v>14186775</v>
      </c>
      <c r="G12" s="351">
        <v>35823675</v>
      </c>
      <c r="H12" s="351">
        <v>10770646</v>
      </c>
      <c r="I12" s="351">
        <v>12333775</v>
      </c>
      <c r="J12" s="351"/>
      <c r="K12" s="351"/>
      <c r="L12" s="351"/>
      <c r="M12" s="351"/>
    </row>
    <row r="13" spans="2:13">
      <c r="B13" s="40" t="s">
        <v>65</v>
      </c>
      <c r="C13" s="351">
        <v>41044772</v>
      </c>
      <c r="D13" s="351">
        <v>71308016</v>
      </c>
      <c r="E13" s="351">
        <v>65718589</v>
      </c>
      <c r="F13" s="351">
        <v>36050786</v>
      </c>
      <c r="G13" s="351">
        <v>44443082</v>
      </c>
      <c r="H13" s="351">
        <v>8582394</v>
      </c>
      <c r="I13" s="351">
        <v>6609967</v>
      </c>
      <c r="J13" s="351"/>
      <c r="K13" s="351"/>
      <c r="L13" s="351"/>
      <c r="M13" s="351"/>
    </row>
    <row r="14" spans="2:13">
      <c r="B14" s="40" t="s">
        <v>48</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40</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42</v>
      </c>
      <c r="C16" s="351">
        <v>146792828</v>
      </c>
      <c r="D16" s="351"/>
      <c r="E16" s="351"/>
      <c r="F16" s="351"/>
      <c r="G16" s="351"/>
      <c r="H16" s="351"/>
      <c r="I16" s="351"/>
      <c r="J16" s="351"/>
      <c r="K16" s="351"/>
      <c r="L16" s="351"/>
      <c r="M16" s="351"/>
    </row>
    <row r="18" spans="2:13">
      <c r="B18" s="16" t="s">
        <v>49</v>
      </c>
      <c r="C18" s="9"/>
    </row>
    <row r="19" spans="2:13">
      <c r="B19" s="27" t="s">
        <v>45</v>
      </c>
      <c r="C19" s="351">
        <v>575917865</v>
      </c>
      <c r="D19" s="351">
        <v>514817738</v>
      </c>
      <c r="E19" s="351">
        <v>504410326</v>
      </c>
      <c r="F19" s="351">
        <v>451827434</v>
      </c>
      <c r="G19" s="351">
        <v>413794059</v>
      </c>
      <c r="H19" s="351">
        <v>174070610</v>
      </c>
      <c r="I19" s="351">
        <v>173632673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356</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355</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26</v>
      </c>
      <c r="C27" s="97" t="s">
        <v>559</v>
      </c>
    </row>
    <row r="28" spans="2:13">
      <c r="B28" s="26" t="s">
        <v>22</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30</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38</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28</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168</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41</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56</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52</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59</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62</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47</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148</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164</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66</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48</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40</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42</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65</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49</v>
      </c>
      <c r="C60" s="9"/>
    </row>
    <row r="61" spans="2:13">
      <c r="B61" s="27" t="s">
        <v>45</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51</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34</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56</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164</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83</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84</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38</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28</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63423634.85+27585675</f>
        <v>91009309.849999994</v>
      </c>
      <c r="D4" s="261">
        <v>0.6</v>
      </c>
      <c r="E4" s="25"/>
      <c r="F4" s="4" t="s">
        <v>75</v>
      </c>
      <c r="G4" s="19">
        <v>1081659074.0699999</v>
      </c>
      <c r="H4" s="261">
        <v>0.9</v>
      </c>
    </row>
    <row r="5" spans="2:8" ht="15" customHeight="1">
      <c r="B5" s="1" t="s">
        <v>31</v>
      </c>
      <c r="C5" s="19">
        <v>0</v>
      </c>
      <c r="D5" s="261">
        <v>0.6</v>
      </c>
      <c r="E5" s="25"/>
      <c r="F5" s="1" t="s">
        <v>27</v>
      </c>
      <c r="G5" s="19">
        <v>0</v>
      </c>
      <c r="H5" s="261">
        <v>0.7</v>
      </c>
    </row>
    <row r="6" spans="2:8" ht="15" customHeight="1">
      <c r="B6" s="4" t="s">
        <v>8</v>
      </c>
      <c r="C6" s="19">
        <v>2185835620.7199998</v>
      </c>
      <c r="D6" s="261">
        <v>0.5</v>
      </c>
      <c r="E6" s="25"/>
      <c r="F6" s="4" t="s">
        <v>173</v>
      </c>
      <c r="G6" s="19">
        <v>0</v>
      </c>
      <c r="H6" s="261">
        <v>0.6</v>
      </c>
    </row>
    <row r="7" spans="2:8" ht="15" customHeight="1">
      <c r="B7" s="1" t="s">
        <v>67</v>
      </c>
      <c r="C7" s="19">
        <v>0</v>
      </c>
      <c r="D7" s="261">
        <v>0.6</v>
      </c>
      <c r="E7" s="25"/>
      <c r="F7" s="4" t="s">
        <v>174</v>
      </c>
      <c r="G7" s="19">
        <v>22482125.719999999</v>
      </c>
      <c r="H7" s="261">
        <v>0.6</v>
      </c>
    </row>
    <row r="8" spans="2:8" ht="15" customHeight="1">
      <c r="B8" s="1" t="s">
        <v>169</v>
      </c>
      <c r="C8" s="19">
        <v>0</v>
      </c>
      <c r="D8" s="261">
        <v>0.6</v>
      </c>
      <c r="E8" s="25"/>
      <c r="F8" s="1" t="s">
        <v>175</v>
      </c>
      <c r="G8" s="19">
        <v>0</v>
      </c>
      <c r="H8" s="261">
        <v>0.6</v>
      </c>
    </row>
    <row r="9" spans="2:8" ht="15" customHeight="1">
      <c r="B9" s="4" t="s">
        <v>23</v>
      </c>
      <c r="C9" s="19">
        <v>28012999.57</v>
      </c>
      <c r="D9" s="261">
        <v>0.1</v>
      </c>
      <c r="E9" s="25"/>
      <c r="F9" s="4" t="s">
        <v>176</v>
      </c>
      <c r="G9" s="19">
        <v>0</v>
      </c>
      <c r="H9" s="261">
        <v>0.6</v>
      </c>
    </row>
    <row r="10" spans="2:8" ht="15" customHeight="1">
      <c r="B10" s="4" t="s">
        <v>9</v>
      </c>
      <c r="C10" s="19">
        <v>0</v>
      </c>
      <c r="D10" s="261">
        <v>0.9</v>
      </c>
      <c r="H10" s="262"/>
    </row>
    <row r="11" spans="2:8" ht="15" customHeight="1">
      <c r="B11" s="4" t="s">
        <v>10</v>
      </c>
      <c r="C11" s="19">
        <v>270038356.50999999</v>
      </c>
      <c r="D11" s="261">
        <v>0.05</v>
      </c>
      <c r="H11" s="262"/>
    </row>
    <row r="12" spans="2:8" ht="15" customHeight="1">
      <c r="B12" s="80" t="s">
        <v>70</v>
      </c>
      <c r="C12" s="81">
        <f>SUM(C4:C11)</f>
        <v>2574896286.6499996</v>
      </c>
      <c r="D12" s="20">
        <f>C4*D4+C5*D5+C9*D9+C6*D6+C8*D8+C7*D7+C10*D10+C11*D11</f>
        <v>1163826614.0525</v>
      </c>
      <c r="F12" s="80" t="s">
        <v>68</v>
      </c>
      <c r="G12" s="81">
        <f>SUM(G4:G9)</f>
        <v>1104141199.79</v>
      </c>
      <c r="H12" s="20">
        <f>G4*H4+G5*H5+G6*H6+G7*H7+G8*H8+G9*H9</f>
        <v>986982442.09500003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4755026247.47+159772560.73+160044048.75</f>
        <v>5074842856.9499998</v>
      </c>
      <c r="D19" s="261">
        <v>0.1</v>
      </c>
      <c r="F19" s="4" t="s">
        <v>178</v>
      </c>
      <c r="G19" s="19">
        <f>142861296.29+17825955.91</f>
        <v>160687252.19999999</v>
      </c>
      <c r="H19" s="261">
        <v>0.1</v>
      </c>
    </row>
    <row r="20" spans="2:8" ht="15" customHeight="1">
      <c r="B20" s="4" t="s">
        <v>16</v>
      </c>
      <c r="C20" s="19">
        <v>0</v>
      </c>
      <c r="D20" s="261">
        <v>0.05</v>
      </c>
      <c r="F20" s="4" t="s">
        <v>175</v>
      </c>
      <c r="G20" s="19">
        <v>0</v>
      </c>
      <c r="H20" s="261">
        <v>0.2</v>
      </c>
    </row>
    <row r="21" spans="2:8" ht="15" customHeight="1">
      <c r="B21" s="4" t="s">
        <v>17</v>
      </c>
      <c r="C21" s="19">
        <v>650634797.63</v>
      </c>
      <c r="D21" s="261">
        <v>0.05</v>
      </c>
      <c r="F21" s="1" t="s">
        <v>176</v>
      </c>
      <c r="G21" s="19">
        <v>0</v>
      </c>
      <c r="H21" s="261">
        <v>0.1</v>
      </c>
    </row>
    <row r="22" spans="2:8" ht="15" customHeight="1">
      <c r="B22" s="4" t="s">
        <v>18</v>
      </c>
      <c r="C22" s="19">
        <v>703465374.02999997</v>
      </c>
      <c r="D22" s="261">
        <v>0.9</v>
      </c>
      <c r="H22" s="262"/>
    </row>
    <row r="23" spans="2:8" ht="15" customHeight="1">
      <c r="B23" s="4" t="s">
        <v>19</v>
      </c>
      <c r="C23" s="19">
        <f>699192456.06+479496.08</f>
        <v>699671952.13999999</v>
      </c>
      <c r="D23" s="261">
        <v>0</v>
      </c>
      <c r="H23" s="262"/>
    </row>
    <row r="24" spans="2:8" ht="15" customHeight="1">
      <c r="B24" s="80" t="s">
        <v>71</v>
      </c>
      <c r="C24" s="81">
        <f>SUM(C15:C23)</f>
        <v>7128614980.75</v>
      </c>
      <c r="D24" s="20">
        <f>C15*D15+C16*D16+C18*D18+C17*D17+C19*D19+C20*D20+C21*D21+C22*D22+C23*D23</f>
        <v>1173134862.2034998</v>
      </c>
      <c r="F24" s="80" t="s">
        <v>69</v>
      </c>
      <c r="G24" s="81">
        <f>SUM(G15:G21)</f>
        <v>160687252.19999999</v>
      </c>
      <c r="H24" s="20">
        <f>G15*H15+G16*H16+G17*H17+G18*H18+G19*H19+G20*H20+G21*H21</f>
        <v>16068725.219999999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2453658105.4399986</v>
      </c>
      <c r="H27" s="188">
        <f>H32-G30</f>
        <v>-5174668970.3790016</v>
      </c>
    </row>
    <row r="28" spans="2:8" ht="15" customHeight="1">
      <c r="B28" s="4" t="s">
        <v>4</v>
      </c>
      <c r="C28" s="19">
        <v>0</v>
      </c>
      <c r="F28" s="189" t="s">
        <v>240</v>
      </c>
      <c r="G28" s="12">
        <v>1268437841.4300001</v>
      </c>
      <c r="H28" s="188"/>
    </row>
    <row r="29" spans="2:8" ht="15" customHeight="1">
      <c r="B29" s="4" t="s">
        <v>5</v>
      </c>
      <c r="C29" s="19">
        <v>0</v>
      </c>
      <c r="F29" s="190" t="s">
        <v>73</v>
      </c>
      <c r="G29" s="14">
        <f>G27-G28</f>
        <v>1185220264.0099986</v>
      </c>
      <c r="H29" s="188">
        <f>H27-G28</f>
        <v>-6443106811.8090019</v>
      </c>
    </row>
    <row r="30" spans="2:8" ht="15" customHeight="1">
      <c r="B30" s="2" t="s">
        <v>6</v>
      </c>
      <c r="C30" s="19">
        <v>897606.82</v>
      </c>
      <c r="F30" s="187" t="s">
        <v>21</v>
      </c>
      <c r="G30" s="85">
        <f>C33+C42</f>
        <v>8514681613.9500008</v>
      </c>
      <c r="H30" s="188"/>
    </row>
    <row r="31" spans="2:8" ht="15" customHeight="1">
      <c r="B31" s="80" t="s">
        <v>199</v>
      </c>
      <c r="C31" s="81">
        <f>SUM(C27:C30)</f>
        <v>897606.82</v>
      </c>
      <c r="F31" s="190" t="s">
        <v>74</v>
      </c>
      <c r="G31" s="191">
        <f>C31+C40</f>
        <v>123521704.27</v>
      </c>
      <c r="H31" s="188"/>
    </row>
    <row r="32" spans="2:8" ht="15" customHeight="1">
      <c r="B32" s="4" t="s">
        <v>7</v>
      </c>
      <c r="C32" s="21">
        <f>C33-C31</f>
        <v>7738412327.2400007</v>
      </c>
      <c r="F32" s="192" t="s">
        <v>72</v>
      </c>
      <c r="G32" s="193">
        <f>G35+G40</f>
        <v>10968339719.389999</v>
      </c>
      <c r="H32" s="188">
        <f>H35+H40</f>
        <v>3340012643.5709996</v>
      </c>
    </row>
    <row r="33" spans="2:8" ht="15" customHeight="1">
      <c r="B33" s="83" t="s">
        <v>2</v>
      </c>
      <c r="C33" s="84">
        <v>7739309934.0600004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9703511267.3999996</v>
      </c>
      <c r="H35" s="200">
        <f>D12+D24</f>
        <v>2336961476.2559996</v>
      </c>
    </row>
    <row r="36" spans="2:8" ht="15" customHeight="1">
      <c r="B36" s="4" t="s">
        <v>11</v>
      </c>
      <c r="C36" s="19">
        <v>0</v>
      </c>
      <c r="F36" s="190" t="s">
        <v>193</v>
      </c>
      <c r="G36" s="191">
        <f>C4+C15</f>
        <v>91009309.849999994</v>
      </c>
      <c r="H36" s="195"/>
    </row>
    <row r="37" spans="2:8" ht="15" customHeight="1">
      <c r="B37" s="4" t="s">
        <v>12</v>
      </c>
      <c r="C37" s="19">
        <v>122624097.45</v>
      </c>
      <c r="F37" s="190" t="s">
        <v>194</v>
      </c>
      <c r="G37" s="191">
        <f>C6</f>
        <v>2185835620.7199998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5074842856.9499998</v>
      </c>
      <c r="H39" s="188">
        <f>C7*D7+C17*D17+C19*D19+C20*D20</f>
        <v>507484285.69499999</v>
      </c>
    </row>
    <row r="40" spans="2:8" ht="15" customHeight="1">
      <c r="B40" s="80" t="s">
        <v>200</v>
      </c>
      <c r="C40" s="81">
        <f>SUM(C36:C39)</f>
        <v>122624097.45</v>
      </c>
      <c r="F40" s="199" t="s">
        <v>134</v>
      </c>
      <c r="G40" s="193">
        <f>G12+G24</f>
        <v>1264828451.99</v>
      </c>
      <c r="H40" s="200">
        <f>H12+H24</f>
        <v>1003051167.3150001</v>
      </c>
    </row>
    <row r="41" spans="2:8" ht="15" customHeight="1">
      <c r="B41" s="4" t="s">
        <v>15</v>
      </c>
      <c r="C41" s="21">
        <f>C42-C40</f>
        <v>652747582.43999994</v>
      </c>
      <c r="F41" s="190" t="s">
        <v>187</v>
      </c>
      <c r="G41" s="191">
        <f>C70</f>
        <v>1081659074.0699999</v>
      </c>
      <c r="H41" s="200">
        <f>H40-H42</f>
        <v>973493166.66300011</v>
      </c>
    </row>
    <row r="42" spans="2:8" ht="15" customHeight="1">
      <c r="B42" s="83" t="s">
        <v>20</v>
      </c>
      <c r="C42" s="84">
        <v>775371679.88999999</v>
      </c>
      <c r="F42" s="201" t="s">
        <v>188</v>
      </c>
      <c r="G42" s="202">
        <f>C82</f>
        <v>183169377.91999999</v>
      </c>
      <c r="H42" s="203">
        <f>D82</f>
        <v>29558000.651999995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4.1762542981319963E-2</v>
      </c>
      <c r="D50" s="95">
        <f>G31/Normalized_FCF!G8</f>
        <v>3.9727648442014103E-2</v>
      </c>
      <c r="F50" s="253"/>
    </row>
    <row r="51" spans="2:8" ht="15" customHeight="1">
      <c r="B51" s="1" t="s">
        <v>172</v>
      </c>
      <c r="C51" s="181"/>
      <c r="D51" s="92">
        <f>G29/G32</f>
        <v>0.10805831095063075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0.30480874656531537</v>
      </c>
      <c r="D54" s="92">
        <f>Normalized_FCF!G8/G35</f>
        <v>0.32042139111496037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0.11348486667154239</v>
      </c>
      <c r="F58" s="5"/>
    </row>
    <row r="59" spans="2:8" ht="15" customHeight="1">
      <c r="B59" s="1" t="s">
        <v>90</v>
      </c>
      <c r="C59" s="98"/>
      <c r="D59" s="92">
        <f>G39/G32</f>
        <v>0.46268104259923815</v>
      </c>
      <c r="F59" s="253"/>
    </row>
    <row r="60" spans="2:8" ht="15" customHeight="1">
      <c r="F60" s="253"/>
    </row>
    <row r="61" spans="2:8" ht="15" customHeight="1">
      <c r="B61" s="157" t="s">
        <v>269</v>
      </c>
      <c r="C61" s="235" t="s">
        <v>133</v>
      </c>
      <c r="D61" s="197" t="s">
        <v>92</v>
      </c>
      <c r="F61" s="253"/>
    </row>
    <row r="62" spans="2:8" ht="15" customHeight="1">
      <c r="B62" s="1" t="s">
        <v>241</v>
      </c>
      <c r="C62" s="92">
        <f>IF(G28&lt;=0,0,G28/G29)</f>
        <v>1.0702127528080294</v>
      </c>
      <c r="D62" s="92">
        <f>G28/G29</f>
        <v>1.0702127528080294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1081659074.0699999</v>
      </c>
      <c r="D66" s="76">
        <f>C66-D75</f>
        <v>51803895.882383943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1081659074.0699999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-1058076344.85</v>
      </c>
      <c r="D73" s="349">
        <f>(Normalized_FCF!C25+Normalized_FCF!C35-Normalized_FCF!C91)/12</f>
        <v>-1029855178.187616</v>
      </c>
      <c r="F73" s="1" t="s">
        <v>342</v>
      </c>
    </row>
    <row r="74" spans="2:6" ht="15" customHeight="1">
      <c r="B74" s="257" t="s">
        <v>312</v>
      </c>
      <c r="C74" s="258">
        <f>-$C$66/C73</f>
        <v>1.0222883058815033</v>
      </c>
      <c r="D74" s="258">
        <f>-$C$66/D73</f>
        <v>1.050302117209869</v>
      </c>
      <c r="F74" s="253" t="s">
        <v>310</v>
      </c>
    </row>
    <row r="75" spans="2:6" ht="15" customHeight="1">
      <c r="B75" s="80" t="s">
        <v>311</v>
      </c>
      <c r="C75" s="320"/>
      <c r="D75" s="321">
        <f>MAX(-D73*D76,G5)</f>
        <v>1029855178.187616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22482125.719999999</v>
      </c>
      <c r="D79" s="76">
        <f>G7*H7+G17*H17</f>
        <v>13489275.431999998</v>
      </c>
      <c r="F79" s="253"/>
    </row>
    <row r="80" spans="2:6" ht="15" customHeight="1">
      <c r="B80" s="105" t="s">
        <v>178</v>
      </c>
      <c r="C80" s="20">
        <f>G19</f>
        <v>160687252.19999999</v>
      </c>
      <c r="D80" s="76">
        <f>G19*H19</f>
        <v>16068725.219999999</v>
      </c>
      <c r="F80" s="253"/>
    </row>
    <row r="81" spans="2:8" ht="15" customHeight="1">
      <c r="B81" s="105" t="s">
        <v>176</v>
      </c>
      <c r="C81" s="20">
        <f>G9+G21</f>
        <v>0</v>
      </c>
      <c r="D81" s="76">
        <f>G9*H9+G21*H21</f>
        <v>0</v>
      </c>
      <c r="F81" s="253"/>
    </row>
    <row r="82" spans="2:8" ht="15" customHeight="1">
      <c r="B82" s="80" t="s">
        <v>185</v>
      </c>
      <c r="C82" s="81">
        <f>SUM(C79:C81)</f>
        <v>183169377.91999999</v>
      </c>
      <c r="D82" s="81">
        <f>SUM(D79:D81)</f>
        <v>29558000.651999995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-123521704.27</v>
      </c>
      <c r="D86" s="223">
        <f>C86*scaling_factor/Common_Shares</f>
        <v>-0.25522532080514426</v>
      </c>
      <c r="E86" s="240" t="str">
        <f>Market_currency</f>
        <v>CNY</v>
      </c>
    </row>
    <row r="87" spans="2:8" ht="15" customHeight="1">
      <c r="B87" s="238" t="s">
        <v>282</v>
      </c>
      <c r="C87" s="76">
        <f>DCF!C8*Exchange_Rate</f>
        <v>51803895.882383943</v>
      </c>
      <c r="D87" s="223">
        <f>C87*scaling_factor/Common_Shares</f>
        <v>0.10703921244996059</v>
      </c>
      <c r="E87" s="240" t="str">
        <f>Market_currency</f>
        <v>CNY</v>
      </c>
    </row>
    <row r="88" spans="2:8" ht="15" customHeight="1">
      <c r="B88" s="239" t="s">
        <v>185</v>
      </c>
      <c r="C88" s="76">
        <f>DCF!C9*Exchange_Rate</f>
        <v>29558000.651999995</v>
      </c>
      <c r="D88" s="223">
        <f>C88*scaling_factor/Common_Shares</f>
        <v>6.1073883681813636E-2</v>
      </c>
      <c r="E88" s="240" t="str">
        <f>Market_currency</f>
        <v>CNY</v>
      </c>
    </row>
    <row r="89" spans="2:8" ht="15" customHeight="1">
      <c r="B89" s="80" t="s">
        <v>286</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44</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46</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43</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148</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63</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78</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160</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61</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239</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60</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44</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0.57926639143826886</v>
      </c>
      <c r="D28" s="26"/>
      <c r="E28" s="266" t="s">
        <v>324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324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44</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-515765096.5</v>
      </c>
      <c r="E33" s="266" t="s">
        <v>324</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47</v>
      </c>
      <c r="C34" s="340">
        <f>AVERAGE(G34:I34)</f>
        <v>-53215346</v>
      </c>
      <c r="D34" s="58"/>
      <c r="E34" s="266" t="s">
        <v>324</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43</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336</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333</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66</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3.7946126449583846E-2</v>
      </c>
      <c r="E53" s="265" t="s">
        <v>326</v>
      </c>
      <c r="G53" s="6">
        <f>IF(Normalized_FCF!G4="","",Normalized_FCF!G49/BS!$C$66)</f>
        <v>3.7946126449583846E-2</v>
      </c>
      <c r="H53" s="169"/>
      <c r="I53" s="169"/>
      <c r="J53" s="169"/>
      <c r="K53" s="169"/>
      <c r="L53" s="169"/>
      <c r="M53" s="169"/>
      <c r="N53" s="169"/>
      <c r="O53" s="169"/>
      <c r="P53" s="169"/>
      <c r="Q53" s="169"/>
    </row>
    <row r="54" spans="1:17" ht="15.75" customHeight="1">
      <c r="A54" s="10"/>
      <c r="B54" s="8" t="s">
        <v>85</v>
      </c>
      <c r="C54" s="82">
        <f>G54</f>
        <v>6.2117512427032839E-2</v>
      </c>
      <c r="E54" s="265" t="s">
        <v>327</v>
      </c>
      <c r="G54" s="23">
        <f>IFERROR(ABS(Normalized_FCF!G47/BS!$G$31),0)</f>
        <v>6.2117512427032839E-2</v>
      </c>
      <c r="H54" s="169"/>
      <c r="I54" s="169"/>
      <c r="J54" s="169"/>
      <c r="K54" s="169"/>
      <c r="L54" s="169"/>
      <c r="M54" s="169"/>
      <c r="N54" s="169"/>
      <c r="O54" s="169"/>
      <c r="P54" s="169"/>
      <c r="Q54" s="169"/>
    </row>
    <row r="55" spans="1:17" ht="15.75" customHeight="1">
      <c r="A55" s="10"/>
      <c r="B55" s="26" t="s">
        <v>88</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191</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46</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43</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148</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63</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78</v>
      </c>
      <c r="C78" s="88">
        <f>MAX(AVERAGE(G78:J78),C77)</f>
        <v>4.0688123714313247E-2</v>
      </c>
      <c r="D78" s="27"/>
      <c r="E78" s="266" t="s">
        <v>560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160</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61</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3.9095022624434393E-2</v>
      </c>
      <c r="E94" s="268"/>
      <c r="G94" s="23">
        <f t="shared" ref="G94:Q94" si="39">IF(G$4="","",(G90*(1-dividend_tax_rate))/Market_Price)</f>
        <v>3.9095022624434393E-2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160</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206</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28</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373</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81</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89</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218</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264</v>
      </c>
      <c r="C126" s="77">
        <f>C19*Exchange_Rate*$C$3/(Market_Price*Common_Shares)</f>
        <v>7.8534318595927063E-2</v>
      </c>
      <c r="D126" s="27"/>
      <c r="E126" s="265"/>
      <c r="F126" s="27"/>
      <c r="G126" s="77">
        <f t="shared" ref="G126" si="50">IF(G$4="","",G125/Market_Price)</f>
        <v>8.6885944704101423E-2</v>
      </c>
      <c r="H126" s="77">
        <f t="shared" ref="H126" si="51">IF(H$4="","",H125/Market_Price)</f>
        <v>9.9764209198055648E-2</v>
      </c>
      <c r="I126" s="77">
        <f t="shared" ref="I126" si="52">IF(I$4="","",I125/Market_Price)</f>
        <v>9.5036239516607418E-2</v>
      </c>
      <c r="J126" s="77">
        <f t="shared" ref="J126" si="53">IF(J$4="","",J125/Market_Price)</f>
        <v>8.8864461827493788E-2</v>
      </c>
      <c r="K126" s="77">
        <f t="shared" ref="K126" si="54">IF(K$4="","",K125/Market_Price)</f>
        <v>4.9774646328840884E-2</v>
      </c>
      <c r="L126" s="77">
        <f t="shared" ref="L126" si="55">IF(L$4="","",L125/Market_Price)</f>
        <v>1.7472821214804875E-2</v>
      </c>
      <c r="M126" s="77">
        <f t="shared" ref="M126" si="56">IF(M$4="","",M125/Market_Price)</f>
        <v>1.6018439631083306E-2</v>
      </c>
      <c r="N126" s="77">
        <f t="shared" ref="N126" si="57">IF(N$4="","",N125/Market_Price)</f>
        <v>1.2894382183379807E-2</v>
      </c>
      <c r="O126" s="77">
        <f t="shared" ref="O126" si="58">IF(O$4="","",O125/Market_Price)</f>
        <v>1.2732983288957184E-2</v>
      </c>
      <c r="P126" s="77">
        <f t="shared" ref="P126" si="59">IF(P$4="","",P125/Market_Price)</f>
        <v>7.0494962393846698E-3</v>
      </c>
      <c r="Q126" s="77" t="str">
        <f t="shared" ref="Q126" si="60">IF(Q$4="","",Q125/Market_Price)</f>
        <v/>
      </c>
    </row>
    <row r="127" spans="1:17" ht="15.75" customHeight="1">
      <c r="B127" s="2" t="s">
        <v>375</v>
      </c>
      <c r="C127" s="169"/>
      <c r="G127" s="23">
        <f>IF(G$4="","",(Data!C47*$C$3)/(Market_Price*Common_Shares))</f>
        <v>8.4122297471869084E-2</v>
      </c>
      <c r="H127" s="23">
        <f>IF(H$4="","",(Data!D47*$C$3)/(Market_Price*Common_Shares))</f>
        <v>0.10140719963133574</v>
      </c>
      <c r="I127" s="23">
        <f>IF(I$4="","",(Data!E47*$C$3)/(Market_Price*Common_Shares))</f>
        <v>9.6744833479276635E-2</v>
      </c>
      <c r="J127" s="23">
        <f>IF(J$4="","",(Data!F47*$C$3)/(Market_Price*Common_Shares))</f>
        <v>8.9723606974977638E-2</v>
      </c>
      <c r="K127" s="23">
        <f>IF(K$4="","",(Data!G47*$C$3)/(Market_Price*Common_Shares))</f>
        <v>6.5533128138622526E-2</v>
      </c>
      <c r="L127" s="23">
        <f>IF(L$4="","",(Data!H47*$C$3)/(Market_Price*Common_Shares))</f>
        <v>2.7245813041710268E-2</v>
      </c>
      <c r="M127" s="23">
        <f>IF(M$4="","",(Data!I47*$C$3)/(Market_Price*Common_Shares))</f>
        <v>1.5754255297553369E-2</v>
      </c>
      <c r="N127" s="23">
        <f>IF(N$4="","",(Data!J47*$C$3)/(Market_Price*Common_Shares))</f>
        <v>1.2196318130552428E-2</v>
      </c>
      <c r="O127" s="23">
        <f>IF(O$4="","",(Data!K47*$C$3)/(Market_Price*Common_Shares))</f>
        <v>5.2335177125645239E-3</v>
      </c>
      <c r="P127" s="23">
        <f>IF(P$4="","",(Data!L47*$C$3)/(Market_Price*Common_Shares))</f>
        <v>-5.7425361489125458E-3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2099961241.0878935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27999483214.505249</v>
      </c>
      <c r="D6" t="str">
        <f>Reporting_currency</f>
        <v>CNY</v>
      </c>
      <c r="E6" s="378" t="s">
        <v>245</v>
      </c>
      <c r="F6" s="378"/>
      <c r="H6" s="120"/>
    </row>
    <row r="7" spans="2:8">
      <c r="B7" s="148" t="s">
        <v>220</v>
      </c>
      <c r="C7" s="338">
        <f>BS!G31</f>
        <v>123521704.27</v>
      </c>
      <c r="D7" t="str">
        <f>Reporting_currency</f>
        <v>CNY</v>
      </c>
      <c r="E7" s="378"/>
      <c r="F7" s="378"/>
      <c r="H7" s="120"/>
    </row>
    <row r="8" spans="2:8">
      <c r="B8" s="148" t="s">
        <v>221</v>
      </c>
      <c r="C8" s="338">
        <f>BS!D66</f>
        <v>51803895.882383943</v>
      </c>
      <c r="D8" t="str">
        <f>Reporting_currency</f>
        <v>CNY</v>
      </c>
      <c r="E8" s="378"/>
      <c r="F8" s="378"/>
      <c r="H8" s="120"/>
    </row>
    <row r="9" spans="2:8">
      <c r="B9" s="205" t="s">
        <v>186</v>
      </c>
      <c r="C9" s="348">
        <f>BS!H42</f>
        <v>29558000.651999995</v>
      </c>
      <c r="D9" t="str">
        <f>Reporting_currency</f>
        <v>CNY</v>
      </c>
      <c r="E9" s="378"/>
      <c r="F9" s="378"/>
      <c r="H9" s="120"/>
    </row>
    <row r="10" spans="2:8" ht="13.15">
      <c r="B10" s="149" t="s">
        <v>223</v>
      </c>
      <c r="C10" s="347">
        <f>C6-C7+C8+C9</f>
        <v>27957323406.769634</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57.766502474326238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66.845462388545215</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0.64796151846522443</v>
      </c>
      <c r="F26" s="125">
        <f t="shared" si="1"/>
        <v>1788060915.1814945</v>
      </c>
      <c r="H26" s="120"/>
    </row>
    <row r="27" spans="2:17">
      <c r="B27" s="122">
        <v>7</v>
      </c>
      <c r="C27" s="123">
        <f t="shared" si="2"/>
        <v>2888041292.7640605</v>
      </c>
      <c r="D27" s="138">
        <f>IF($C$17&lt;B27,0,DCF!$C$16)</f>
        <v>4.6574870890079501E-2</v>
      </c>
      <c r="E27" s="124">
        <f t="shared" si="0"/>
        <v>0.60275490089788319</v>
      </c>
      <c r="F27" s="125">
        <f t="shared" si="1"/>
        <v>1740781043.2089958</v>
      </c>
      <c r="H27" s="120"/>
    </row>
    <row r="28" spans="2:17">
      <c r="B28" s="122">
        <v>8</v>
      </c>
      <c r="C28" s="123">
        <f t="shared" si="2"/>
        <v>3022551443.0997648</v>
      </c>
      <c r="D28" s="138">
        <f>IF($C$17&lt;B28,0,DCF!$C$16)</f>
        <v>4.6574870890079501E-2</v>
      </c>
      <c r="E28" s="124">
        <f t="shared" si="0"/>
        <v>0.56070223339337966</v>
      </c>
      <c r="F28" s="125">
        <f t="shared" si="1"/>
        <v>1694751344.6924207</v>
      </c>
      <c r="H28" s="120"/>
    </row>
    <row r="29" spans="2:17">
      <c r="B29" s="122">
        <v>9</v>
      </c>
      <c r="C29" s="123">
        <f t="shared" si="2"/>
        <v>3163326386.3207598</v>
      </c>
      <c r="D29" s="138">
        <f>IF($C$17&lt;B29,0,DCF!$C$16)</f>
        <v>4.6574870890079501E-2</v>
      </c>
      <c r="E29" s="124">
        <f t="shared" si="0"/>
        <v>0.52158347292407414</v>
      </c>
      <c r="F29" s="125">
        <f t="shared" si="1"/>
        <v>1649938762.5695434</v>
      </c>
      <c r="H29" s="120"/>
    </row>
    <row r="30" spans="2:17">
      <c r="B30" s="122">
        <v>10</v>
      </c>
      <c r="C30" s="123">
        <f t="shared" si="2"/>
        <v>3310657904.3468313</v>
      </c>
      <c r="D30" s="138">
        <f>IF($C$17&lt;B30,0,DCF!$C$16)</f>
        <v>4.6574870890079501E-2</v>
      </c>
      <c r="E30" s="124">
        <f t="shared" si="0"/>
        <v>0.48519392830146441</v>
      </c>
      <c r="F30" s="125">
        <f t="shared" si="1"/>
        <v>1606311113.8723328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29303555530.209778</v>
      </c>
      <c r="D51" s="139">
        <f>Terminal_Growth</f>
        <v>0</v>
      </c>
      <c r="E51" s="124">
        <f>1/(1+Equity_Cost)^C17</f>
        <v>0.48519392830146441</v>
      </c>
      <c r="F51" s="125">
        <f t="shared" si="1"/>
        <v>14217907220.902584</v>
      </c>
      <c r="H51" s="120"/>
    </row>
    <row r="52" spans="1:17">
      <c r="C52" s="114"/>
      <c r="E52" s="127" t="s">
        <v>97</v>
      </c>
      <c r="F52" s="137">
        <f>SUM(F21:F51)</f>
        <v>32393438320.783783</v>
      </c>
      <c r="H52" s="120"/>
    </row>
    <row r="53" spans="1:17">
      <c r="C53" s="114"/>
      <c r="H53" s="120"/>
    </row>
    <row r="54" spans="1:17" ht="13.15">
      <c r="B54" s="119" t="s">
        <v>125</v>
      </c>
      <c r="C54" s="136"/>
      <c r="D54" s="136"/>
      <c r="E54" s="117"/>
      <c r="F54" s="117"/>
      <c r="H54" s="120"/>
    </row>
    <row r="55" spans="1:17" ht="13.15">
      <c r="A55" s="133">
        <f>F52</f>
        <v>32393438320.783783</v>
      </c>
      <c r="B55" s="131">
        <f>C78</f>
        <v>0</v>
      </c>
      <c r="C55" s="131">
        <f>C77</f>
        <v>0.02</v>
      </c>
      <c r="D55" s="131">
        <f>C76</f>
        <v>0.04</v>
      </c>
      <c r="E55" s="131">
        <f>C75</f>
        <v>0.06</v>
      </c>
      <c r="F55" s="131">
        <f>C74</f>
        <v>0.1</v>
      </c>
      <c r="H55" s="120"/>
    </row>
    <row r="56" spans="1:17" ht="13.15">
      <c r="A56" s="143">
        <v>5</v>
      </c>
      <c r="B56" s="123">
        <f t="dataTable" ref="B56:F61" dt2D="1" dtr="1" r1="C16" r2="C17"/>
        <v>27999483214.505253</v>
      </c>
      <c r="C56" s="123">
        <v>28887360919.806915</v>
      </c>
      <c r="D56" s="123">
        <v>29801104235.473763</v>
      </c>
      <c r="E56" s="123">
        <v>30741850215.508045</v>
      </c>
      <c r="F56" s="123">
        <v>32709075178.03614</v>
      </c>
      <c r="H56" s="120"/>
    </row>
    <row r="57" spans="1:17" ht="13.15">
      <c r="A57" s="143">
        <v>10</v>
      </c>
      <c r="B57" s="123">
        <v>27999483214.505257</v>
      </c>
      <c r="C57" s="123">
        <v>29767805594.709114</v>
      </c>
      <c r="D57" s="123">
        <v>31712236219.101742</v>
      </c>
      <c r="E57" s="123">
        <v>33853920106.265247</v>
      </c>
      <c r="F57" s="123">
        <v>38825708200.293465</v>
      </c>
      <c r="H57" s="120"/>
    </row>
    <row r="58" spans="1:17" ht="13.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ht="13.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ht="13.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ht="13.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57.766502474326238</v>
      </c>
      <c r="C65" s="124">
        <f>C12</f>
        <v>57.766502474326238</v>
      </c>
      <c r="D65" s="124">
        <f>C12</f>
        <v>57.766502474326238</v>
      </c>
      <c r="E65" s="141">
        <f>C12</f>
        <v>57.766502474326238</v>
      </c>
      <c r="F65" s="124">
        <f>C12</f>
        <v>57.766502474326238</v>
      </c>
      <c r="H65" s="120"/>
    </row>
    <row r="66" spans="1:8" ht="13.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ht="13.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ht="13.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ht="13.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ht="13.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ht="13.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100.03416856320922</v>
      </c>
      <c r="F74" s="142">
        <f>Scenarios!C58</f>
        <v>0.05</v>
      </c>
    </row>
    <row r="75" spans="1:8">
      <c r="B75" s="127" t="str">
        <f>Scenarios!B36</f>
        <v>Optimistic</v>
      </c>
      <c r="C75" s="142">
        <f>Scenarios!C38</f>
        <v>0.06</v>
      </c>
      <c r="D75" s="145">
        <f>Scenarios!C37</f>
        <v>10</v>
      </c>
      <c r="E75" s="135">
        <f>INDEX(B$65:F$71, MATCH(D75, A$65:A$71, 0), MATCH(C75, B$64:F$64, 0))</f>
        <v>69.863166317036971</v>
      </c>
      <c r="F75" s="142">
        <f>Scenarios!C40*(1-F$74-F$78)</f>
        <v>0.18</v>
      </c>
      <c r="H75" s="120"/>
    </row>
    <row r="76" spans="1:8">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c r="B77" s="127" t="str">
        <f>Scenarios!B30</f>
        <v>Pessimistic</v>
      </c>
      <c r="C77" s="142">
        <f>Scenarios!C32</f>
        <v>0.02</v>
      </c>
      <c r="D77" s="145">
        <f>Scenarios!C31</f>
        <v>10</v>
      </c>
      <c r="E77" s="135">
        <f>INDEX(B$65:F$71, MATCH(D77, A$65:A$71, 0), MATCH(C77, B$64:F$64, 0))</f>
        <v>61.420278540983546</v>
      </c>
      <c r="F77" s="142">
        <f>Scenarios!C34*(1-F$74-F$78)</f>
        <v>0.18</v>
      </c>
      <c r="H77" s="120"/>
    </row>
    <row r="78" spans="1:8">
      <c r="B78" s="127" t="str">
        <f>Scenarios!B48</f>
        <v>Devil's advocate</v>
      </c>
      <c r="C78" s="142">
        <f>Scenarios!C50</f>
        <v>0</v>
      </c>
      <c r="D78" s="145">
        <f>Scenarios!C49</f>
        <v>15</v>
      </c>
      <c r="E78" s="135">
        <f>INDEX(B$65:F$71, MATCH(D78, A$65:A$71, 0), MATCH(C78, B$64:F$64, 0))</f>
        <v>57.766502474326238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1045377787.6800001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13938370502.400002</v>
      </c>
      <c r="D6" t="str">
        <f>Reporting_currency</f>
        <v>CNY</v>
      </c>
      <c r="E6" s="378"/>
      <c r="F6" s="378"/>
      <c r="H6" s="120"/>
    </row>
    <row r="7" spans="2:8" ht="13.15">
      <c r="B7" s="149" t="s">
        <v>421</v>
      </c>
      <c r="C7" s="111">
        <f>(C6*scaling_factor)/Common_Shares*Exchange_Rate</f>
        <v>28.800000000000004</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33.319580096937791</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c r="B18" s="122">
        <v>3</v>
      </c>
      <c r="C18" s="123">
        <f t="shared" si="2"/>
        <v>1198351368.6187916</v>
      </c>
      <c r="D18" s="138">
        <f>IF($C$12&lt;B18,0,DDM!$C$11)</f>
        <v>4.6574870890079501E-2</v>
      </c>
      <c r="E18" s="124">
        <f t="shared" si="0"/>
        <v>0.80496056950960304</v>
      </c>
      <c r="F18" s="125">
        <f t="shared" si="1"/>
        <v>964625600.15599477</v>
      </c>
      <c r="H18" s="120"/>
    </row>
    <row r="19" spans="2:8">
      <c r="B19" s="122">
        <v>4</v>
      </c>
      <c r="C19" s="123">
        <f t="shared" si="2"/>
        <v>1254164428.893162</v>
      </c>
      <c r="D19" s="138">
        <f>IF($C$12&lt;B19,0,DDM!$C$11)</f>
        <v>4.6574870890079501E-2</v>
      </c>
      <c r="E19" s="124">
        <f t="shared" si="0"/>
        <v>0.7488005297763749</v>
      </c>
      <c r="F19" s="125">
        <f t="shared" si="1"/>
        <v>939118988.78188443</v>
      </c>
      <c r="H19" s="120"/>
    </row>
    <row r="20" spans="2:8">
      <c r="B20" s="122">
        <v>5</v>
      </c>
      <c r="C20" s="123">
        <f t="shared" si="2"/>
        <v>1312576975.2437913</v>
      </c>
      <c r="D20" s="138">
        <f>IF($C$12&lt;B20,0,DDM!$C$11)</f>
        <v>4.6574870890079501E-2</v>
      </c>
      <c r="E20" s="124">
        <f t="shared" si="0"/>
        <v>0.69655863235011617</v>
      </c>
      <c r="F20" s="125">
        <f t="shared" si="1"/>
        <v>914286822.73006761</v>
      </c>
      <c r="H20" s="120"/>
    </row>
    <row r="21" spans="2:8">
      <c r="B21" s="122">
        <v>6</v>
      </c>
      <c r="C21" s="123">
        <f t="shared" si="2"/>
        <v>1373710078.3990619</v>
      </c>
      <c r="D21" s="138">
        <f>IF($C$12&lt;B21,0,DDM!$C$11)</f>
        <v>4.6574870890079501E-2</v>
      </c>
      <c r="E21" s="124">
        <f t="shared" si="0"/>
        <v>0.64796151846522443</v>
      </c>
      <c r="F21" s="125">
        <f t="shared" si="1"/>
        <v>890111268.33043861</v>
      </c>
      <c r="H21" s="120"/>
    </row>
    <row r="22" spans="2:8">
      <c r="B22" s="122">
        <v>7</v>
      </c>
      <c r="C22" s="123">
        <f t="shared" si="2"/>
        <v>1437690447.9408996</v>
      </c>
      <c r="D22" s="138">
        <f>IF($C$12&lt;B22,0,DDM!$C$11)</f>
        <v>4.6574870890079501E-2</v>
      </c>
      <c r="E22" s="124">
        <f t="shared" si="0"/>
        <v>0.60275490089788319</v>
      </c>
      <c r="F22" s="125">
        <f t="shared" si="1"/>
        <v>866574963.47045028</v>
      </c>
      <c r="H22" s="120"/>
    </row>
    <row r="23" spans="2:8">
      <c r="B23" s="122">
        <v>8</v>
      </c>
      <c r="C23" s="123">
        <f t="shared" si="2"/>
        <v>1504650694.9336476</v>
      </c>
      <c r="D23" s="138">
        <f>IF($C$12&lt;B23,0,DDM!$C$11)</f>
        <v>4.6574870890079501E-2</v>
      </c>
      <c r="E23" s="124">
        <f t="shared" si="0"/>
        <v>0.56070223339337966</v>
      </c>
      <c r="F23" s="125">
        <f t="shared" si="1"/>
        <v>843661005.12619698</v>
      </c>
      <c r="H23" s="120"/>
    </row>
    <row r="24" spans="2:8">
      <c r="B24" s="122">
        <v>9</v>
      </c>
      <c r="C24" s="123">
        <f t="shared" si="2"/>
        <v>1574729606.7848506</v>
      </c>
      <c r="D24" s="138">
        <f>IF($C$12&lt;B24,0,DDM!$C$11)</f>
        <v>4.6574870890079501E-2</v>
      </c>
      <c r="E24" s="124">
        <f t="shared" si="0"/>
        <v>0.52158347292407414</v>
      </c>
      <c r="F24" s="125">
        <f t="shared" si="1"/>
        <v>821352937.22320402</v>
      </c>
      <c r="H24" s="120"/>
    </row>
    <row r="25" spans="2:8">
      <c r="B25" s="122">
        <v>10</v>
      </c>
      <c r="C25" s="123">
        <f t="shared" si="2"/>
        <v>1648072434.9076407</v>
      </c>
      <c r="D25" s="138">
        <f>IF($C$12&lt;B25,0,DDM!$C$11)</f>
        <v>4.6574870890079501E-2</v>
      </c>
      <c r="E25" s="124">
        <f t="shared" si="0"/>
        <v>0.48519392830146441</v>
      </c>
      <c r="F25" s="125">
        <f t="shared" si="1"/>
        <v>799634738.81819773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14587548308.967375</v>
      </c>
      <c r="D46" s="139">
        <f>Terminal_Growth</f>
        <v>0</v>
      </c>
      <c r="E46" s="124">
        <f>1/(1+Equity_Cost)^C12</f>
        <v>0.48519392830146441</v>
      </c>
      <c r="F46" s="125">
        <f t="shared" si="1"/>
        <v>7077789868.3152647</v>
      </c>
      <c r="H46" s="120"/>
    </row>
    <row r="47" spans="2:8">
      <c r="C47" s="114"/>
      <c r="E47" s="127" t="s">
        <v>97</v>
      </c>
      <c r="F47" s="137">
        <f>SUM(F16:F46)</f>
        <v>16125717096.371941</v>
      </c>
      <c r="H47" s="120"/>
    </row>
    <row r="48" spans="2:8">
      <c r="C48" s="114"/>
      <c r="H48" s="120"/>
    </row>
    <row r="49" spans="1:8" ht="13.15">
      <c r="B49" s="119" t="s">
        <v>125</v>
      </c>
      <c r="C49" s="136"/>
      <c r="D49" s="136"/>
      <c r="E49" s="117"/>
      <c r="F49" s="117"/>
      <c r="H49" s="120"/>
    </row>
    <row r="50" spans="1:8" ht="13.15">
      <c r="A50" s="133">
        <f>F47</f>
        <v>16125717096.371941</v>
      </c>
      <c r="B50" s="131">
        <f>C73</f>
        <v>0</v>
      </c>
      <c r="C50" s="131">
        <f>C72</f>
        <v>0.02</v>
      </c>
      <c r="D50" s="131">
        <f>C71</f>
        <v>0.04</v>
      </c>
      <c r="E50" s="131">
        <f>C70</f>
        <v>0.06</v>
      </c>
      <c r="F50" s="131">
        <f>C69</f>
        <v>0.1</v>
      </c>
      <c r="H50" s="120"/>
    </row>
    <row r="51" spans="1:8" ht="13.15">
      <c r="A51" s="143">
        <v>5</v>
      </c>
      <c r="B51" s="123">
        <f t="dataTable" ref="B51:F56" dt2D="1" dtr="1" r1="C11" r2="C12"/>
        <v>13938370502.400002</v>
      </c>
      <c r="C51" s="123">
        <v>14380363246.426941</v>
      </c>
      <c r="D51" s="123">
        <v>14835232101.694168</v>
      </c>
      <c r="E51" s="123">
        <v>15303543102.933226</v>
      </c>
      <c r="F51" s="123">
        <v>16282843691.419859</v>
      </c>
      <c r="H51" s="120"/>
    </row>
    <row r="52" spans="1:8" ht="13.15">
      <c r="A52" s="143">
        <v>10</v>
      </c>
      <c r="B52" s="123">
        <v>13938370502.400005</v>
      </c>
      <c r="C52" s="123">
        <v>14818655767.457985</v>
      </c>
      <c r="D52" s="123">
        <v>15786609149.003151</v>
      </c>
      <c r="E52" s="123">
        <v>16852756809.287123</v>
      </c>
      <c r="F52" s="123">
        <v>19327753364.869476</v>
      </c>
      <c r="H52" s="120"/>
    </row>
    <row r="53" spans="1:8" ht="13.15">
      <c r="A53" s="143">
        <v>15</v>
      </c>
      <c r="B53" s="123">
        <v>13938370502.400003</v>
      </c>
      <c r="C53" s="123">
        <v>15373585425.942345</v>
      </c>
      <c r="D53" s="123">
        <v>17055253754.325405</v>
      </c>
      <c r="E53" s="123">
        <v>19032583577.291401</v>
      </c>
      <c r="F53" s="123">
        <v>24121699466.091644</v>
      </c>
      <c r="H53" s="120"/>
    </row>
    <row r="54" spans="1:8" ht="13.15">
      <c r="A54" s="144">
        <v>20</v>
      </c>
      <c r="B54" s="123">
        <v>13938370502.400005</v>
      </c>
      <c r="C54" s="123">
        <v>15952108648.334368</v>
      </c>
      <c r="D54" s="123">
        <v>18452467593.50029</v>
      </c>
      <c r="E54" s="123">
        <v>21576989077.146626</v>
      </c>
      <c r="F54" s="123">
        <v>30459561066.28447</v>
      </c>
      <c r="H54" s="120"/>
    </row>
    <row r="55" spans="1:8" ht="13.15">
      <c r="A55" s="144">
        <v>25</v>
      </c>
      <c r="B55" s="123">
        <v>13938370502.400005</v>
      </c>
      <c r="C55" s="123">
        <v>16502729233.843262</v>
      </c>
      <c r="D55" s="123">
        <v>19860908984.078453</v>
      </c>
      <c r="E55" s="123">
        <v>24305731661.673901</v>
      </c>
      <c r="F55" s="123">
        <v>38238123365.272263</v>
      </c>
      <c r="H55" s="120"/>
    </row>
    <row r="56" spans="1:8" ht="13.15">
      <c r="A56" s="144">
        <v>30</v>
      </c>
      <c r="B56" s="123">
        <v>13938370502.400005</v>
      </c>
      <c r="C56" s="123">
        <v>16999816363.996758</v>
      </c>
      <c r="D56" s="123">
        <v>21210789997.555889</v>
      </c>
      <c r="E56" s="123">
        <v>27097985543.859734</v>
      </c>
      <c r="F56" s="123">
        <v>47429986806.793129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28.800000000000004</v>
      </c>
      <c r="C60" s="124">
        <f>C7</f>
        <v>28.800000000000004</v>
      </c>
      <c r="D60" s="124">
        <f>C7</f>
        <v>28.800000000000004</v>
      </c>
      <c r="E60" s="141">
        <f>C7</f>
        <v>28.800000000000004</v>
      </c>
      <c r="F60" s="124">
        <f>C7</f>
        <v>28.800000000000004</v>
      </c>
      <c r="H60" s="120"/>
    </row>
    <row r="61" spans="1:8" ht="13.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ht="13.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ht="13.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ht="13.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ht="13.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ht="13.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49.841187999976071</v>
      </c>
      <c r="F69" s="142">
        <f>Scenarios!C58</f>
        <v>0.05</v>
      </c>
    </row>
    <row r="70" spans="1:8">
      <c r="B70" s="127" t="str">
        <f>Scenarios!B36</f>
        <v>Optimistic</v>
      </c>
      <c r="C70" s="142">
        <f>Scenarios!C38</f>
        <v>0.06</v>
      </c>
      <c r="D70" s="145">
        <f>Scenarios!C37</f>
        <v>10</v>
      </c>
      <c r="E70" s="135">
        <f>INDEX(B$60:F$66, MATCH(D70, A$60:A$66, 0), MATCH(C70, B$59:F$59, 0))</f>
        <v>34.821817659668092</v>
      </c>
      <c r="F70" s="142">
        <f>Scenarios!C40*(1-F$69-F$73)</f>
        <v>0.18</v>
      </c>
      <c r="H70" s="120"/>
    </row>
    <row r="71" spans="1:8">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c r="B72" s="127" t="str">
        <f>Scenarios!B30</f>
        <v>Pessimistic</v>
      </c>
      <c r="C72" s="142">
        <f>Scenarios!C32</f>
        <v>0.02</v>
      </c>
      <c r="D72" s="145">
        <f>Scenarios!C31</f>
        <v>10</v>
      </c>
      <c r="E72" s="135">
        <f>INDEX(B$60:F$66, MATCH(D72, A$60:A$66, 0), MATCH(C72, B$59:F$59, 0))</f>
        <v>30.618879447156658</v>
      </c>
      <c r="F72" s="142">
        <f>Scenarios!C34*(1-F$69-F$73)</f>
        <v>0.18</v>
      </c>
      <c r="H72" s="120"/>
    </row>
    <row r="73" spans="1:8">
      <c r="B73" s="127" t="str">
        <f>Scenarios!B48</f>
        <v>Devil's advocate</v>
      </c>
      <c r="C73" s="142">
        <f>Scenarios!C50</f>
        <v>0</v>
      </c>
      <c r="D73" s="145">
        <f>Scenarios!C49</f>
        <v>15</v>
      </c>
      <c r="E73" s="135">
        <f>INDEX(B$60:F$66, MATCH(D73, A$60:A$66, 0), MATCH(C73, B$59:F$59, 0))</f>
        <v>28.800000000000008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-55.25</v>
      </c>
    </row>
    <row r="4" spans="2:9">
      <c r="B4" s="152" t="s">
        <v>142</v>
      </c>
      <c r="C4" s="120">
        <v>3</v>
      </c>
      <c r="D4" s="120"/>
      <c r="E4" s="155" t="s">
        <v>146</v>
      </c>
      <c r="F4" s="155"/>
      <c r="H4" s="247">
        <v>1</v>
      </c>
      <c r="I4" s="124">
        <f t="shared" ref="I4:I13" si="0">IF(ROW()-3 &lt; $C$76, $C$77, IF(ROW()-3 = $C$76, $C$77 + $C$60, ""))</f>
        <v>2.16</v>
      </c>
    </row>
    <row r="5" spans="2:9">
      <c r="H5" s="247">
        <v>2</v>
      </c>
      <c r="I5" s="124">
        <f t="shared" si="0"/>
        <v>2.16</v>
      </c>
    </row>
    <row r="6" spans="2:9" ht="13.15">
      <c r="B6" s="159" t="s">
        <v>92</v>
      </c>
      <c r="C6" s="107">
        <f>DCF!C3</f>
        <v>1</v>
      </c>
      <c r="E6" s="100" t="s">
        <v>274</v>
      </c>
      <c r="F6" s="100"/>
      <c r="H6" s="247">
        <v>3</v>
      </c>
      <c r="I6" s="124">
        <f t="shared" si="0"/>
        <v>69.017539212261696</v>
      </c>
    </row>
    <row r="7" spans="2:9" ht="12.75" customHeight="1">
      <c r="B7" s="100" t="s">
        <v>270</v>
      </c>
      <c r="C7" s="338">
        <f>Normalized_FCF!G8</f>
        <v>3109212579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80"/>
      <c r="H7" s="247">
        <v>4</v>
      </c>
      <c r="I7" s="124" t="str">
        <f t="shared" si="0"/>
        <v/>
      </c>
    </row>
    <row r="8" spans="2:9">
      <c r="B8" s="100" t="s">
        <v>64</v>
      </c>
      <c r="C8" s="338">
        <f>Normalized_FCF!G19</f>
        <v>2323278784.8162661</v>
      </c>
      <c r="D8" t="str">
        <f>Reporting_currency</f>
        <v>CNY</v>
      </c>
      <c r="E8" s="380"/>
      <c r="F8" s="380"/>
      <c r="H8" s="247">
        <v>5</v>
      </c>
      <c r="I8" s="124" t="str">
        <f t="shared" si="0"/>
        <v/>
      </c>
    </row>
    <row r="9" spans="2:9">
      <c r="B9" s="100" t="s">
        <v>55</v>
      </c>
      <c r="C9" s="338">
        <f>Normalized_FCF!C19</f>
        <v>2099961241.0878935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3.7342435425912202E-2</v>
      </c>
      <c r="D12" s="158"/>
      <c r="E12" s="380"/>
      <c r="F12" s="380"/>
      <c r="H12" s="247">
        <v>9</v>
      </c>
      <c r="I12" s="124" t="str">
        <f t="shared" si="0"/>
        <v/>
      </c>
    </row>
    <row r="13" spans="2:9">
      <c r="B13" s="148" t="s">
        <v>148</v>
      </c>
      <c r="C13" s="158">
        <f ca="1">(Normalized_FCF!G8/OFFSET(Normalized_FCF!G8, 0, $C$4))^(1/$C$4) - 1</f>
        <v>2.3730241339145586E-2</v>
      </c>
      <c r="E13" s="380"/>
      <c r="F13" s="380"/>
      <c r="H13" s="247">
        <v>10</v>
      </c>
      <c r="I13" s="124" t="str">
        <f t="shared" si="0"/>
        <v/>
      </c>
    </row>
    <row r="14" spans="2:9">
      <c r="B14" s="100" t="s">
        <v>64</v>
      </c>
      <c r="C14" s="158">
        <f ca="1">(Normalized_FCF!G19/OFFSET(Normalized_FCF!G19, 0, $C$4))^(1/$C$4) - 1</f>
        <v>-7.4772485650086429E-3</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55.25</v>
      </c>
      <c r="D21" t="str">
        <f>Market_currency</f>
        <v>CNY</v>
      </c>
      <c r="E21" s="381"/>
      <c r="F21" s="381"/>
    </row>
    <row r="22" spans="2:6">
      <c r="B22" s="100" t="s">
        <v>273</v>
      </c>
      <c r="C22" s="160">
        <f>IF(valuation_method="DCF",DCF!C12,DDM!C7)</f>
        <v>57.766502474326238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65.437936270261531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61.420278540983546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69.863166317036971</v>
      </c>
      <c r="D39" t="str">
        <f>Market_currency</f>
        <v>CNY</v>
      </c>
      <c r="E39" s="379"/>
      <c r="F39" s="379"/>
    </row>
    <row r="40" spans="2:6">
      <c r="B40" s="100" t="s">
        <v>143</v>
      </c>
      <c r="C40" s="167">
        <f>1-C28-C34</f>
        <v>0.2</v>
      </c>
      <c r="D40" s="165"/>
      <c r="E40" s="379"/>
      <c r="F40" s="379"/>
    </row>
    <row r="42" spans="2:6" ht="13.15">
      <c r="B42" s="100" t="s">
        <v>116</v>
      </c>
      <c r="C42" s="154">
        <f>C27*C28+C33*C34+C39*C40</f>
        <v>65.519450733761033</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57.766502474326238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100.03416856320922</v>
      </c>
      <c r="D57" t="str">
        <f>Market_currency</f>
        <v>CNY</v>
      </c>
      <c r="E57" s="379"/>
      <c r="F57" s="379"/>
    </row>
    <row r="58" spans="2:6">
      <c r="B58" s="100" t="s">
        <v>143</v>
      </c>
      <c r="C58" s="165">
        <v>0.05</v>
      </c>
      <c r="D58" s="165"/>
      <c r="E58" s="379"/>
      <c r="F58" s="379"/>
    </row>
    <row r="60" spans="2:6" ht="13.15">
      <c r="B60" s="100" t="s">
        <v>116</v>
      </c>
      <c r="C60" s="154">
        <f>C51*C52+C57*C58+C42*(1-C52-C58)</f>
        <v>66.857539212261699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66.845462388545215</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-1.3029529010453562E-3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2.16</v>
      </c>
      <c r="D77" t="str">
        <f>Market_currency</f>
        <v>CNY</v>
      </c>
    </row>
    <row r="79" spans="2:6" ht="13.15">
      <c r="B79" s="109" t="s">
        <v>296</v>
      </c>
    </row>
    <row r="80" spans="2:6">
      <c r="B80" s="148" t="s">
        <v>294</v>
      </c>
      <c r="C80" s="167">
        <f>Thesis!F29</f>
        <v>0.45</v>
      </c>
    </row>
    <row r="81" spans="2:8">
      <c r="B81" s="100" t="s">
        <v>117</v>
      </c>
      <c r="C81" s="116">
        <f>PV(C80, C76, -C77, 0)</f>
        <v>3.2255197015047767</v>
      </c>
      <c r="D81" s="116"/>
      <c r="E81" s="100"/>
      <c r="F81" s="100"/>
    </row>
    <row r="82" spans="2:8">
      <c r="B82" s="100" t="s">
        <v>118</v>
      </c>
      <c r="C82" s="116">
        <f>C60/(1+C80)^C76</f>
        <v>21.930391311578727</v>
      </c>
      <c r="D82" s="116"/>
    </row>
    <row r="83" spans="2:8" ht="13.15">
      <c r="B83" s="110" t="s">
        <v>98</v>
      </c>
      <c r="C83" s="111">
        <f>C81+C82</f>
        <v>25.155911013083504</v>
      </c>
      <c r="D83" t="str">
        <f>Market_currency</f>
        <v>CNY</v>
      </c>
      <c r="E83" s="146" t="s">
        <v>122</v>
      </c>
      <c r="F83" s="291">
        <f>(1-C83/C60)</f>
        <v>0.62373860435967265</v>
      </c>
    </row>
    <row r="84" spans="2:8">
      <c r="E84" s="120"/>
    </row>
    <row r="85" spans="2:8" ht="13.15">
      <c r="B85" s="109" t="s">
        <v>297</v>
      </c>
    </row>
    <row r="86" spans="2:8">
      <c r="B86" s="148" t="s">
        <v>295</v>
      </c>
      <c r="C86" s="116">
        <f>Market_Price</f>
        <v>55.25</v>
      </c>
      <c r="D86" t="str">
        <f>Market_currency</f>
        <v>CNY</v>
      </c>
    </row>
    <row r="87" spans="2:8" ht="13.15">
      <c r="B87" s="100" t="s">
        <v>293</v>
      </c>
      <c r="C87" s="237">
        <f ca="1">IRR(OFFSET($I$3, 0, 0, $C$76 + 1, 1))</f>
        <v>0.1024185153106183</v>
      </c>
    </row>
    <row r="88" spans="2:8">
      <c r="B88" s="100"/>
    </row>
    <row r="89" spans="2:8" ht="13.15">
      <c r="B89" s="109" t="s">
        <v>392</v>
      </c>
    </row>
    <row r="90" spans="2:8">
      <c r="B90" s="148" t="s">
        <v>393</v>
      </c>
      <c r="C90" s="167">
        <f>Thesis!F30</f>
        <v>0.3</v>
      </c>
    </row>
    <row r="91" spans="2:8">
      <c r="B91" s="100" t="s">
        <v>117</v>
      </c>
      <c r="C91" s="116">
        <f>PV(C90, C76, -C77, 0)</f>
        <v>3.9228038233955407</v>
      </c>
      <c r="D91" s="116"/>
      <c r="E91" s="100"/>
      <c r="F91" s="100"/>
    </row>
    <row r="92" spans="2:8">
      <c r="B92" s="100" t="s">
        <v>118</v>
      </c>
      <c r="C92" s="116">
        <f>C60/(1+C90)^C76</f>
        <v>30.431287761612055</v>
      </c>
      <c r="D92" s="116"/>
    </row>
    <row r="93" spans="2:8" ht="13.15">
      <c r="B93" s="110" t="s">
        <v>98</v>
      </c>
      <c r="C93" s="111">
        <f>C91+C92</f>
        <v>34.354091585007595</v>
      </c>
      <c r="D93" t="str">
        <f>Market_currency</f>
        <v>CNY</v>
      </c>
      <c r="E93" s="146" t="s">
        <v>122</v>
      </c>
      <c r="F93" s="291">
        <f>(1-C93/C60)</f>
        <v>0.48615979604126625</v>
      </c>
    </row>
    <row r="95" spans="2:8" ht="13.15">
      <c r="B95" s="109" t="s">
        <v>378</v>
      </c>
      <c r="G95" s="2"/>
      <c r="H95" s="281"/>
    </row>
    <row r="96" spans="2:8">
      <c r="B96" s="148" t="s">
        <v>383</v>
      </c>
      <c r="C96" s="134">
        <f>Thesis!F31</f>
        <v>7.4999999999999997E-2</v>
      </c>
      <c r="G96" s="2"/>
      <c r="H96" s="281"/>
    </row>
    <row r="97" spans="2:8">
      <c r="B97" s="100" t="s">
        <v>117</v>
      </c>
      <c r="C97" s="116">
        <f>PV(C96, C76, -C77, 0)</f>
        <v>5.6171355981234337</v>
      </c>
      <c r="D97" s="116"/>
      <c r="G97" s="2"/>
      <c r="H97" s="281"/>
    </row>
    <row r="98" spans="2:8">
      <c r="B98" s="100" t="s">
        <v>118</v>
      </c>
      <c r="C98" s="116">
        <f>C60/(1+C96)^C76</f>
        <v>53.817682840312791</v>
      </c>
      <c r="D98" s="116"/>
      <c r="G98" s="2"/>
      <c r="H98" s="281"/>
    </row>
    <row r="99" spans="2:8" ht="13.15">
      <c r="B99" s="110" t="s">
        <v>379</v>
      </c>
      <c r="C99" s="111">
        <f>C97+C98</f>
        <v>59.434818438436224</v>
      </c>
      <c r="D99" t="s">
        <v>377</v>
      </c>
      <c r="E99" s="146" t="s">
        <v>122</v>
      </c>
      <c r="F99" s="291">
        <f>(1-C99/C60)</f>
        <v>0.11102294313075978</v>
      </c>
    </row>
    <row r="100" spans="2:8">
      <c r="B100" s="100"/>
    </row>
    <row r="101" spans="2:8" ht="13.15">
      <c r="B101" s="109" t="s">
        <v>399</v>
      </c>
    </row>
    <row r="102" spans="2:8">
      <c r="B102" s="148" t="s">
        <v>398</v>
      </c>
      <c r="C102" s="134">
        <f>Thesis!F32</f>
        <v>8.6999999999999994E-2</v>
      </c>
    </row>
    <row r="103" spans="2:8">
      <c r="B103" s="100" t="s">
        <v>117</v>
      </c>
      <c r="C103" s="116">
        <f>PV(C102, C76, -C77, 0)</f>
        <v>5.4969625262505959</v>
      </c>
      <c r="D103" s="116"/>
    </row>
    <row r="104" spans="2:8">
      <c r="B104" s="100" t="s">
        <v>118</v>
      </c>
      <c r="C104" s="116">
        <f>C60/(1+C102)^C76</f>
        <v>52.054916654252203</v>
      </c>
      <c r="D104" s="116"/>
    </row>
    <row r="105" spans="2:8" ht="13.15">
      <c r="B105" s="110" t="s">
        <v>379</v>
      </c>
      <c r="C105" s="111">
        <f>C103+C104</f>
        <v>57.551879180502802</v>
      </c>
      <c r="D105" t="s">
        <v>377</v>
      </c>
      <c r="E105" s="146" t="s">
        <v>122</v>
      </c>
      <c r="F105" s="291">
        <f>(1-C105/C66)</f>
        <v>0.13903087623244537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0168E-58D6-4786-B9DC-728423F29F9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