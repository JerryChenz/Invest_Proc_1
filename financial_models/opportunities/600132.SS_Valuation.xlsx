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8BB006-26CA-4E6B-9F35-BC06FD39653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<sst xmlns="http://schemas.openxmlformats.org/spreadsheetml/2006/main" count="836" uniqueCount="561">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</sst>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56.51</v>
      </c>
      <c r="D12" s="50"/>
      <c r="E12" s="48"/>
    </row>
    <row r="13" spans="1:10">
      <c r="B13" s="1" t="s">
        <v>485</v>
      </c>
      <c r="C13" s="32" t="str">
        <f>Market_currency</f>
        <v>CNY</v>
      </c>
      <c r="D13" s="48"/>
      <c r="E13" s="5"/>
    </row>
    <row r="14" spans="1:10">
      <c r="B14" s="4" t="s">
        <v>486</v>
      </c>
      <c r="C14" s="35">
        <f>投资主题!C12*Common_Shares/1000000</f>
        <v>27349.212398979998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9.3872552740446258E-2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7.6783243716598309E-2</v>
      </c>
      <c r="F69" s="314"/>
    </row>
    <row r="70" spans="1:6">
      <c r="B70" s="227" t="s">
        <v>434</v>
      </c>
      <c r="C70" s="92">
        <f>Normalized_FCF!C94</f>
        <v>3.8223323305609631E-2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56.51</v>
      </c>
      <c r="D12" s="50"/>
      <c r="E12" s="48"/>
    </row>
    <row r="13" spans="1:10">
      <c r="B13" s="1" t="s">
        <v>464</v>
      </c>
      <c r="C13" s="48" t="s">
        <v>394</v>
      </c>
      <c r="D13" s="48"/>
      <c r="E13" s="5"/>
    </row>
    <row r="14" spans="1:10">
      <c r="B14" s="4" t="s">
        <v>465</v>
      </c>
      <c r="C14" s="35">
        <f>Thesis!C12*Common_Shares/1000000</f>
        <v>27349.212398979998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9.3872552740446258E-2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7.6783243716598309E-2</v>
      </c>
      <c r="F69" s="314"/>
    </row>
    <row r="70" spans="1:6">
      <c r="B70" s="227" t="s">
        <v>434</v>
      </c>
      <c r="C70" s="92">
        <f>Normalized_FCF!C94</f>
        <v>3.8223323305609631E-2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3.8223323305609631E-2</v>
      </c>
      <c r="E94" s="268"/>
      <c r="G94" s="23">
        <f t="shared" ref="G94:Q94" si="39">IF(G$4="","",(G90*(1-dividend_tax_rate))/Market_Price)</f>
        <v>3.8223323305609631E-2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7.6783243716598309E-2</v>
      </c>
      <c r="D126" s="27"/>
      <c r="E126" s="265"/>
      <c r="F126" s="27"/>
      <c r="G126" s="77">
        <f t="shared" ref="G126" si="50">IF(G$4="","",G125/Market_Price)</f>
        <v>8.494865413027082E-2</v>
      </c>
      <c r="H126" s="77">
        <f t="shared" ref="H126" si="51">IF(H$4="","",H125/Market_Price)</f>
        <v>9.7539772751593964E-2</v>
      </c>
      <c r="I126" s="77">
        <f t="shared" ref="I126" si="52">IF(I$4="","",I125/Market_Price)</f>
        <v>9.2917222319811713E-2</v>
      </c>
      <c r="J126" s="77">
        <f t="shared" ref="J126" si="53">IF(J$4="","",J125/Market_Price)</f>
        <v>8.6883056378853865E-2</v>
      </c>
      <c r="K126" s="77">
        <f t="shared" ref="K126" si="54">IF(K$4="","",K125/Market_Price)</f>
        <v>4.8664824096061918E-2</v>
      </c>
      <c r="L126" s="77">
        <f t="shared" ref="L126" si="55">IF(L$4="","",L125/Market_Price)</f>
        <v>1.7083230793098026E-2</v>
      </c>
      <c r="M126" s="77">
        <f t="shared" ref="M126" si="56">IF(M$4="","",M125/Market_Price)</f>
        <v>1.5661277466242303E-2</v>
      </c>
      <c r="N126" s="77">
        <f t="shared" ref="N126" si="57">IF(N$4="","",N125/Market_Price)</f>
        <v>1.2606876935617314E-2</v>
      </c>
      <c r="O126" s="77">
        <f t="shared" ref="O126" si="58">IF(O$4="","",O125/Market_Price)</f>
        <v>1.2449076742432922E-2</v>
      </c>
      <c r="P126" s="77">
        <f t="shared" ref="P126" si="59">IF(P$4="","",P125/Market_Price)</f>
        <v>6.8923140546098566E-3</v>
      </c>
      <c r="Q126" s="77" t="str">
        <f t="shared" ref="Q126" si="60">IF(Q$4="","",Q125/Market_Price)</f>
        <v/>
      </c>
    </row>
    <row r="127" spans="1:17" ht="15.75" customHeight="1">
      <c r="B127" s="2" t="s">
        <v>375</v>
      </c>
      <c r="C127" s="169"/>
      <c r="G127" s="23">
        <f>IF(G$4="","",(Data!C47*$C$3)/(Market_Price*Common_Shares))</f>
        <v>8.2246627770673625E-2</v>
      </c>
      <c r="H127" s="23">
        <f>IF(H$4="","",(Data!D47*$C$3)/(Market_Price*Common_Shares))</f>
        <v>9.9146129528071128E-2</v>
      </c>
      <c r="I127" s="23">
        <f>IF(I$4="","",(Data!E47*$C$3)/(Market_Price*Common_Shares))</f>
        <v>9.4587719867811601E-2</v>
      </c>
      <c r="J127" s="23">
        <f>IF(J$4="","",(Data!F47*$C$3)/(Market_Price*Common_Shares))</f>
        <v>8.7723045219740128E-2</v>
      </c>
      <c r="K127" s="23">
        <f>IF(K$4="","",(Data!G47*$C$3)/(Market_Price*Common_Shares))</f>
        <v>6.4071940004581385E-2</v>
      </c>
      <c r="L127" s="23">
        <f>IF(L$4="","",(Data!H47*$C$3)/(Market_Price*Common_Shares))</f>
        <v>2.6638314821350068E-2</v>
      </c>
      <c r="M127" s="23">
        <f>IF(M$4="","",(Data!I47*$C$3)/(Market_Price*Common_Shares))</f>
        <v>1.5402983634574832E-2</v>
      </c>
      <c r="N127" s="23">
        <f>IF(N$4="","",(Data!J47*$C$3)/(Market_Price*Common_Shares))</f>
        <v>1.1924377574111161E-2</v>
      </c>
      <c r="O127" s="23">
        <f>IF(O$4="","",(Data!K47*$C$3)/(Market_Price*Common_Shares))</f>
        <v>5.1168262894919474E-3</v>
      </c>
      <c r="P127" s="23">
        <f>IF(P$4="","",(Data!L47*$C$3)/(Market_Price*Common_Shares))</f>
        <v>-5.6144951730210261E-3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-56.51</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56.51</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56.51</v>
      </c>
      <c r="D86" t="str">
        <f>Market_currency</f>
        <v>CNY</v>
      </c>
    </row>
    <row r="87" spans="2:8" ht="13.15">
      <c r="B87" s="100" t="s">
        <v>293</v>
      </c>
      <c r="C87" s="237">
        <f ca="1">IRR(OFFSET($I$3, 0, 0, $C$76 + 1, 1))</f>
        <v>9.3872552740446258E-2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