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525A44C-BE3D-4D09-A4AA-9ABD11512C9F}"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D37" i="4"/>
  <c r="E37" i="4"/>
  <c r="F37" i="4"/>
  <c r="F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I118" i="2"/>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<sst xmlns="http://schemas.openxmlformats.org/spreadsheetml/2006/main" count="685" uniqueCount="466">
  <si>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</si>
  <si>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</si>
  <si>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</si>
  <si>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</si>
  <si>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</si>
  <si>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</si>
  <si>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</si>
  <si>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</si>
  <si>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</si>
  <si>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</si>
  <si>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</si>
  <si>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</si>
  <si>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</si>
  <si>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</si>
  <si>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</si>
  <si>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</si>
  <si>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</si>
  <si>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</si>
  <si>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</si>
  <si>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</si>
  <si>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</si>
  <si>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</si>
  <si>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</si>
  <si>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</si>
  <si>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</si>
  <si>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</si>
  <si>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</si>
  <si>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</si>
  <si>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</si>
  <si>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</si>
  <si>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</si>
  <si>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</si>
  <si>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</si>
  <si>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</si>
  <si>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</si>
  <si>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</si>
  <si>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</si>
  <si>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</si>
  <si>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</si>
  <si>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</si>
  <si>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</si>
  <si>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</si>
  <si>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</si>
  <si>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</si>
  <si>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</si>
  <si>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</si>
  <si>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</si>
  <si>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</si>
  <si>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</si>
  <si>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</si>
  <si>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</si>
  <si>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</si>
  <si>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</si>
  <si>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</si>
  <si>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</si>
  <si>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</si>
  <si>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</si>
  <si>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</si>
  <si>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</si>
  <si>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</si>
  <si>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</si>
  <si>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</si>
  <si>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</si>
  <si>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</si>
  <si>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</si>
  <si>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</si>
  <si>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</si>
  <si>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</si>
  <si>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</si>
  <si>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</si>
  <si>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</si>
  <si>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</si>
  <si>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</si>
  <si>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</si>
  <si>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</si>
  <si>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</si>
  <si>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</si>
  <si>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</si>
  <si>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</si>
  <si>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</si>
  <si>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</si>
  <si>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</si>
  <si>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</si>
  <si>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</si>
  <si>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</si>
  <si>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</si>
  <si>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</si>
  <si>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</si>
  <si>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</si>
  <si>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</si>
  <si>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</si>
  <si>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</si>
  <si>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</si>
  <si>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</si>
  <si>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</si>
  <si>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</si>
  <si>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</si>
  <si>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</si>
  <si>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</si>
  <si>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</si>
  <si>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</si>
  <si>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</si>
  <si>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</si>
  <si>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</si>
  <si>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</si>
  <si>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</si>
  <si>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</si>
  <si>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</si>
  <si>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</si>
  <si>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</si>
  <si>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</si>
  <si>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</si>
  <si>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</si>
  <si>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</si>
  <si>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</si>
  <si>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</si>
  <si>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</si>
  <si>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</si>
  <si>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</si>
  <si>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</si>
  <si>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</si>
  <si>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</si>
  <si>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</si>
  <si>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</si>
  <si>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</si>
  <si>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</si>
  <si>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</si>
  <si>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</si>
  <si>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</si>
  <si>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</si>
  <si>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</si>
  <si>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</si>
  <si>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</si>
  <si>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</si>
  <si>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</si>
  <si>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</si>
  <si>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</si>
  <si>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</si>
  <si>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</si>
  <si>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</si>
  <si>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</si>
  <si>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</si>
  <si>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</si>
  <si>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</si>
  <si>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</si>
  <si>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</si>
  <si>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</si>
  <si>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</si>
  <si>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</si>
  <si>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</si>
  <si>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</si>
  <si>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</si>
  <si>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</si>
  <si>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</si>
  <si>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</si>
  <si>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</si>
  <si>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</si>
  <si>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</si>
  <si>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</si>
  <si>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</si>
  <si>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</si>
  <si>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</si>
  <si>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</si>
  <si>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</si>
  <si>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</si>
  <si>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</si>
  <si>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</si>
  <si>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</si>
  <si>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</si>
  <si>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</si>
  <si>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</si>
  <si>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</si>
  <si>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</si>
  <si>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</si>
  <si>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</si>
  <si>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</si>
  <si>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</si>
  <si>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</si>
  <si>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</si>
  <si>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</si>
  <si>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</si>
  <si>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</si>
  <si>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</si>
  <si>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</si>
  <si>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</si>
  <si>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</si>
  <si>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</si>
  <si>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</si>
  <si>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</si>
  <si>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</si>
  <si>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</si>
  <si>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</si>
  <si>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</si>
  <si>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</si>
  <si>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</si>
  <si>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</si>
  <si>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</si>
  <si>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</si>
  <si>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</si>
  <si>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</si>
  <si>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</si>
  <si>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</si>
  <si>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</si>
  <si>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</si>
  <si>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</si>
  <si>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</si>
  <si>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</si>
  <si>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</si>
  <si>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</si>
  <si>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</si>
  <si>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</si>
  <si>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</si>
  <si>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</si>
  <si>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</si>
  <si>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</si>
  <si>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</si>
  <si>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</si>
  <si>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</si>
  <si>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</si>
  <si>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</si>
  <si>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</si>
  <si>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</si>
  <si>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</si>
  <si>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</si>
  <si>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</si>
  <si>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</si>
  <si>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</si>
  <si>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</si>
  <si>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</si>
  <si>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</si>
  <si>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</si>
  <si>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</si>
  <si>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</si>
  <si>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</si>
  <si>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</si>
  <si>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</si>
  <si>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</si>
  <si>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</si>
  <si>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</si>
  <si>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</si>
  <si>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</si>
  <si>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</si>
  <si>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</si>
  <si>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</si>
  <si>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</si>
  <si>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</si>
  <si>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</si>
  <si>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</si>
  <si>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</si>
  <si>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</si>
  <si>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</si>
  <si>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</si>
  <si>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</si>
  <si>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</si>
  <si>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</si>
  <si>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</si>
  <si>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</si>
  <si>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</si>
  <si>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</si>
  <si>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</si>
  <si>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</si>
  <si>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</si>
  <si>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</si>
  <si>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</si>
  <si>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</si>
  <si>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</si>
  <si>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</si>
  <si>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</si>
  <si>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</si>
  <si>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</si>
  <si>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</si>
  <si>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</si>
  <si>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</si>
  <si>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</si>
  <si>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</si>
  <si>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</si>
  <si>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</si>
  <si>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</si>
  <si>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</si>
  <si>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</si>
  <si>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</si>
  <si>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</si>
  <si>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</si>
  <si>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</si>
  <si>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</si>
  <si>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</si>
  <si>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</si>
  <si>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</si>
  <si>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</si>
  <si>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</si>
  <si>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</si>
  <si>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</si>
  <si>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</si>
  <si>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</si>
  <si>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</si>
  <si>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</si>
  <si>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</si>
  <si>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</si>
  <si>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</si>
  <si>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</si>
  <si>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</si>
  <si>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</si>
  <si>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</si>
  <si>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</si>
  <si>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</si>
  <si>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</si>
  <si>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</si>
  <si>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</si>
  <si>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</si>
  <si>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</si>
  <si>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</si>
  <si>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</si>
  <si>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</si>
  <si>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</si>
  <si>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</si>
  <si>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</si>
  <si>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</si>
  <si>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</si>
  <si>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</si>
  <si>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</si>
  <si>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</si>
  <si>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</si>
  <si>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</si>
  <si>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</si>
  <si>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</si>
  <si>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</si>
  <si>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</si>
  <si>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</si>
  <si>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</si>
  <si>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</si>
  <si>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</si>
  <si>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</si>
  <si>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</si>
  <si>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</si>
  <si>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</si>
  <si>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</si>
  <si>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</si>
  <si>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</si>
  <si>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</si>
  <si>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</si>
  <si>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</si>
  <si>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</si>
  <si>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</si>
  <si>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</si>
  <si>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</si>
  <si>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</si>
  <si>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</si>
  <si>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</si>
  <si>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</si>
  <si>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</si>
  <si>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</si>
  <si>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</si>
  <si>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</si>
  <si>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</si>
  <si>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</si>
  <si>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</si>
  <si>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</si>
  <si>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</si>
  <si>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</si>
  <si>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</si>
  <si>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</si>
  <si>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</si>
  <si>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</si>
  <si>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</si>
  <si>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</si>
  <si>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</si>
  <si>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</si>
  <si>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</si>
  <si>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</si>
  <si>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</si>
  <si>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</si>
  <si>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</si>
  <si>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</si>
  <si>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</si>
  <si>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</si>
  <si>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</si>
  <si>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</si>
  <si>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</si>
  <si>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</si>
  <si>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</si>
  <si>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</si>
  <si>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</si>
  <si>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</si>
  <si>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</si>
  <si>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</si>
  <si>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</si>
  <si>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</si>
  <si>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</si>
  <si>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</si>
  <si>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</si>
  <si>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</si>
  <si>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</si>
  <si>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</si>
  <si>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</si>
  <si>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</si>
  <si>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</si>
  <si>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</si>
  <si>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</si>
  <si>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</si>
  <si>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</si>
  <si>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</si>
  <si>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</si>
  <si>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</si>
  <si>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</si>
  <si>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</si>
  <si>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</si>
  <si>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</si>
  <si>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</si>
  <si>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</si>
  <si>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</si>
  <si>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</si>
  <si>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</si>
  <si>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</si>
  <si>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</si>
  <si>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</si>
  <si>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</si>
  <si>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</si>
  <si>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</si>
  <si>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</si>
  <si>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</si>
  <si>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</si>
  <si>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</si>
  <si>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</si>
  <si>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</si>
  <si>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</si>
  <si>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</si>
  <si>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</si>
  <si>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</si>
  <si>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</si>
  <si>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</si>
  <si>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</si>
  <si>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</si>
  <si>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</si>
  <si>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</si>
  <si>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</si>
  <si>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</si>
  <si>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</si>
  <si>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</si>
  <si>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</si>
  <si>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</si>
  <si>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</si>
  <si>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</si>
  <si>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</si>
  <si>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</si>
  <si>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</si>
  <si>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</si>
  <si>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</si>
  <si>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</si>
  <si>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</si>
  <si>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</si>
  <si>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</si>
  <si>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</si>
  <si>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</si>
  <si>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</si>
  <si>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</si>
  <si>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</si>
  <si>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</si>
  <si>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重庆啤酒</t>
  </si>
  <si>
    <t>600132.SS</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</si>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</sst>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483971198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56.58</v>
      </c>
      <c r="D12" s="50"/>
      <c r="E12" s="48"/>
    </row>
    <row r="13" spans="1:10">
      <c r="B13" s="1" t="s">
        <v>416</v>
      </c>
      <c r="C13" s="48" t="s">
        <v>414</v>
      </c>
      <c r="D13" s="48"/>
      <c r="E13" s="5"/>
    </row>
    <row r="14" spans="1:10">
      <c r="B14" s="4" t="s">
        <v>420</v>
      </c>
      <c r="C14" s="35">
        <f>Thesis!C12*Common_Shares/1000000</f>
        <v>27383.090382840001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82.72003076740333</v>
      </c>
      <c r="D26" s="1" t="s">
        <v>399</v>
      </c>
      <c r="E26" s="301">
        <f ca="1">Scenarios!C87</f>
        <v>0.17264221100414634</v>
      </c>
    </row>
    <row r="27" spans="2:6">
      <c r="D27" s="5"/>
      <c r="E27" s="5"/>
    </row>
    <row r="28" spans="2:6">
      <c r="B28" s="45" t="s">
        <v>433</v>
      </c>
      <c r="C28" s="309" t="str">
        <f>C145&amp;" ("&amp;Market_currency&amp;")"</f>
        <v>600132.SS (CNY)</v>
      </c>
      <c r="D28" s="309" t="str">
        <f>IF(D11="","",D145&amp;" ("&amp;D13&amp;")")</f>
        <v/>
      </c>
      <c r="E28" s="305" t="s">
        <v>429</v>
      </c>
      <c r="F28" s="303">
        <v>3</v>
      </c>
    </row>
    <row r="29" spans="2:6">
      <c r="B29" s="1" t="s">
        <v>425</v>
      </c>
      <c r="C29" s="310">
        <f>C149</f>
        <v>38.753046443654675</v>
      </c>
      <c r="D29" s="310" t="str">
        <f>D149</f>
        <v/>
      </c>
      <c r="E29" s="306" t="s">
        <v>424</v>
      </c>
      <c r="F29" s="302">
        <v>0.33700000000000002</v>
      </c>
    </row>
    <row r="30" spans="2:6">
      <c r="B30" s="1" t="s">
        <v>426</v>
      </c>
      <c r="C30" s="311">
        <f>C157</f>
        <v>54.620804067443785</v>
      </c>
      <c r="D30" s="311" t="str">
        <f>D157</f>
        <v/>
      </c>
      <c r="E30" s="307" t="s">
        <v>437</v>
      </c>
      <c r="F30" s="312">
        <v>0.187</v>
      </c>
    </row>
    <row r="31" spans="2:6">
      <c r="B31" s="1" t="s">
        <v>427</v>
      </c>
      <c r="C31" s="311">
        <f>C165</f>
        <v>75.868561604045041</v>
      </c>
      <c r="D31" s="311" t="str">
        <f>D165</f>
        <v/>
      </c>
      <c r="E31" s="307" t="s">
        <v>436</v>
      </c>
      <c r="F31" s="312">
        <v>0.06</v>
      </c>
    </row>
    <row r="32" spans="2:6">
      <c r="B32" s="1" t="s">
        <v>428</v>
      </c>
      <c r="C32" s="311">
        <f>C173</f>
        <v>70.513102505372515</v>
      </c>
      <c r="D32" s="311" t="str">
        <f>D173</f>
        <v/>
      </c>
      <c r="E32" s="307" t="s">
        <v>438</v>
      </c>
      <c r="F32" s="312">
        <v>8.6999999999999994E-2</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v>
      </c>
    </row>
    <row r="40" spans="1:6" ht="24.6" customHeight="1">
      <c r="B40" s="359" t="s">
        <v>231</v>
      </c>
      <c r="C40" s="359"/>
      <c r="D40" s="359"/>
      <c r="E40" s="359"/>
      <c r="F40" s="359"/>
    </row>
    <row r="41" spans="1:6">
      <c r="B41" s="47" t="s">
        <v>232</v>
      </c>
      <c r="C41" s="349">
        <f>Normalized_FCF!C8</f>
        <v>2957715106.6986084</v>
      </c>
      <c r="D41" s="1" t="str">
        <f>Reporting_currency</f>
        <v>CNY</v>
      </c>
    </row>
    <row r="42" spans="1:6">
      <c r="B42" s="47"/>
      <c r="C42" s="76"/>
    </row>
    <row r="43" spans="1:6" ht="24.6" customHeight="1">
      <c r="B43" s="359" t="s">
        <v>233</v>
      </c>
      <c r="C43" s="359"/>
      <c r="D43" s="359"/>
      <c r="E43" s="359"/>
      <c r="F43" s="359"/>
    </row>
    <row r="44" spans="1:6">
      <c r="B44" s="47" t="s">
        <v>234</v>
      </c>
      <c r="C44" s="349">
        <f>Normalized_FCF!C9</f>
        <v>575917865</v>
      </c>
      <c r="D44" s="1" t="str">
        <f>Reporting_currency</f>
        <v>CNY</v>
      </c>
    </row>
    <row r="45" spans="1:6">
      <c r="B45" s="52" t="s">
        <v>235</v>
      </c>
      <c r="C45" s="349">
        <f>Normalized_FCF!C10</f>
        <v>-575917865</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39079014.816265978</v>
      </c>
      <c r="D51" s="1" t="str">
        <f>Reporting_currency</f>
        <v>CNY</v>
      </c>
      <c r="E51" s="286"/>
      <c r="F51" s="286"/>
    </row>
    <row r="52" spans="2:6">
      <c r="B52" s="47" t="s">
        <v>341</v>
      </c>
      <c r="C52" s="350">
        <f>Normalized_FCF!C47</f>
        <v>-7672861</v>
      </c>
      <c r="D52" s="1" t="str">
        <f>Reporting_currency</f>
        <v>CNY</v>
      </c>
      <c r="E52" s="286"/>
      <c r="F52" s="286"/>
    </row>
    <row r="53" spans="2:6">
      <c r="B53" s="47" t="s">
        <v>238</v>
      </c>
      <c r="C53" s="349">
        <f>Normalized_FCF!C12</f>
        <v>31406153.816265978</v>
      </c>
      <c r="D53" s="1" t="str">
        <f>Reporting_currency</f>
        <v>CNY</v>
      </c>
    </row>
    <row r="55" spans="2:6">
      <c r="B55" s="1" t="s">
        <v>246</v>
      </c>
    </row>
    <row r="56" spans="2:6">
      <c r="B56" s="47" t="s">
        <v>265</v>
      </c>
      <c r="C56" s="349">
        <f>Normalized_FCF!C15</f>
        <v>-141879704.29826272</v>
      </c>
      <c r="D56" s="1" t="str">
        <f>Reporting_currency</f>
        <v>CNY</v>
      </c>
    </row>
    <row r="58" spans="2:6">
      <c r="B58" s="359" t="s">
        <v>241</v>
      </c>
      <c r="C58" s="359"/>
      <c r="D58" s="359"/>
      <c r="E58" s="359"/>
      <c r="F58" s="359"/>
    </row>
    <row r="59" spans="2:6">
      <c r="B59" s="47" t="s">
        <v>239</v>
      </c>
      <c r="C59" s="349">
        <f>Normalized_FCF!C14</f>
        <v>-747280315.12871861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2323278784.8162661</v>
      </c>
      <c r="D67" s="1" t="str">
        <f>Reporting_currency</f>
        <v>CNY</v>
      </c>
    </row>
    <row r="68" spans="1:6">
      <c r="B68" s="47" t="s">
        <v>248</v>
      </c>
      <c r="C68" s="349">
        <f>Normalized_FCF!C19</f>
        <v>2099961241.0878935</v>
      </c>
      <c r="D68" s="1" t="str">
        <f>Reporting_currency</f>
        <v>CNY</v>
      </c>
    </row>
    <row r="69" spans="1:6">
      <c r="B69" s="227" t="s">
        <v>390</v>
      </c>
      <c r="C69" s="92">
        <f>Normalized_FCF!C125</f>
        <v>7.6688248540561513E-2</v>
      </c>
      <c r="F69" s="314"/>
    </row>
    <row r="70" spans="1:6">
      <c r="B70" s="227" t="s">
        <v>308</v>
      </c>
      <c r="C70" s="92">
        <f>Normalized_FCF!C93</f>
        <v>4.2417815482502653E-2</v>
      </c>
      <c r="E70" s="47" t="s">
        <v>448</v>
      </c>
      <c r="F70" s="315">
        <f>Normalized_FCF!C92</f>
        <v>0.55312014930250053</v>
      </c>
    </row>
    <row r="72" spans="1:6">
      <c r="B72" s="210" t="s">
        <v>450</v>
      </c>
      <c r="C72" s="323" t="s">
        <v>452</v>
      </c>
      <c r="D72" s="323" t="s">
        <v>453</v>
      </c>
    </row>
    <row r="73" spans="1:6">
      <c r="B73" s="47" t="s">
        <v>451</v>
      </c>
      <c r="C73" s="92">
        <f>Normalized_FCF!C120</f>
        <v>1.2182305488640417</v>
      </c>
      <c r="D73" s="92">
        <f>Normalized_FCF!G120</f>
        <v>1.279974062341126</v>
      </c>
    </row>
    <row r="74" spans="1:6">
      <c r="B74" s="259" t="str">
        <f>Normalized_FCF!B117</f>
        <v>Pre-tax Profit/Sales</v>
      </c>
      <c r="C74" s="322">
        <f>Normalized_FCF!C117</f>
        <v>0.21117895977217718</v>
      </c>
      <c r="D74" s="322">
        <f>Normalized_FCF!G117</f>
        <v>0.21445578545073618</v>
      </c>
    </row>
    <row r="75" spans="1:6">
      <c r="B75" s="259" t="str">
        <f>Normalized_FCF!B118</f>
        <v>Sales/Total Assets</v>
      </c>
      <c r="C75" s="324">
        <f>Normalized_FCF!C118</f>
        <v>1.2904821269100146</v>
      </c>
      <c r="D75" s="324">
        <f>Normalized_FCF!G118</f>
        <v>1.3351699725448014</v>
      </c>
    </row>
    <row r="76" spans="1:6">
      <c r="B76" s="259" t="str">
        <f>Normalized_FCF!B119</f>
        <v>Total Assets/Equity</v>
      </c>
      <c r="C76" s="324">
        <f>Normalized_FCF!C119</f>
        <v>4.4701988818540466</v>
      </c>
      <c r="D76" s="324">
        <f>Normalized_FCF!G119</f>
        <v>4.4701988818540466</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72.317018373749505</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123521704.27</v>
      </c>
      <c r="D102" s="1" t="str">
        <f>Reporting_currency</f>
        <v>CNY</v>
      </c>
    </row>
    <row r="103" spans="2:6">
      <c r="B103" s="47" t="s">
        <v>281</v>
      </c>
      <c r="C103" s="223">
        <f>C102*scaling_factor*Exchange_Rate/Common_Shares</f>
        <v>0.25522532080514426</v>
      </c>
      <c r="D103" s="1" t="str">
        <f>Market_currency</f>
        <v>CNY</v>
      </c>
    </row>
    <row r="104" spans="2:6">
      <c r="B104" s="296" t="s">
        <v>404</v>
      </c>
      <c r="C104" s="325">
        <f>IF(BS!G31/BS!G27&gt;300%,"nm",BS!G31/BS!G27)</f>
        <v>5.0341856510546588E-2</v>
      </c>
    </row>
    <row r="105" spans="2:6">
      <c r="B105" s="296" t="s">
        <v>406</v>
      </c>
      <c r="C105" s="326">
        <f>IF(BS!C50&gt;30,"nm",BS!C50)</f>
        <v>4.1762542981319963E-2</v>
      </c>
    </row>
    <row r="107" spans="2:6">
      <c r="B107" s="1" t="s">
        <v>254</v>
      </c>
    </row>
    <row r="108" spans="2:6">
      <c r="B108" s="47" t="s">
        <v>264</v>
      </c>
      <c r="C108" s="349">
        <f>BS!C66</f>
        <v>1081659074.0699999</v>
      </c>
      <c r="D108" s="1" t="str">
        <f>Reporting_currency</f>
        <v>CNY</v>
      </c>
    </row>
    <row r="109" spans="2:6">
      <c r="B109" s="47" t="s">
        <v>266</v>
      </c>
      <c r="C109" s="349">
        <f>DCF!C8</f>
        <v>51803895.882383943</v>
      </c>
      <c r="D109" s="1" t="str">
        <f>Reporting_currency</f>
        <v>CNY</v>
      </c>
    </row>
    <row r="110" spans="2:6">
      <c r="B110" s="47" t="s">
        <v>282</v>
      </c>
      <c r="C110" s="223">
        <f>C109*scaling_factor*Exchange_Rate/Common_Shares</f>
        <v>0.10703921244996059</v>
      </c>
      <c r="D110" s="1" t="str">
        <f>Market_currency</f>
        <v>CNY</v>
      </c>
    </row>
    <row r="112" spans="2:6">
      <c r="B112" s="1" t="s">
        <v>256</v>
      </c>
    </row>
    <row r="113" spans="1:6">
      <c r="B113" s="47" t="s">
        <v>257</v>
      </c>
      <c r="C113" s="349">
        <f>DCF!C9</f>
        <v>29558000.651999995</v>
      </c>
      <c r="D113" s="1" t="str">
        <f>Reporting_currency</f>
        <v>CNY</v>
      </c>
    </row>
    <row r="114" spans="1:6">
      <c r="B114" s="47" t="s">
        <v>283</v>
      </c>
      <c r="C114" s="223">
        <f>C113*scaling_factor*Exchange_Rate/Common_Shares</f>
        <v>6.1073883681813636E-2</v>
      </c>
      <c r="D114" s="1" t="str">
        <f>Market_currency</f>
        <v>CNY</v>
      </c>
    </row>
    <row r="116" spans="1:6" ht="24.6" customHeight="1">
      <c r="B116" s="358" t="s">
        <v>366</v>
      </c>
      <c r="C116" s="358"/>
      <c r="D116" s="358"/>
      <c r="E116" s="358"/>
      <c r="F116" s="358"/>
    </row>
    <row r="118" spans="1:6">
      <c r="B118" s="47" t="s">
        <v>449</v>
      </c>
      <c r="C118" s="223">
        <f>IF(valuation_method="DCF",DCF!C12,DDM!C7)</f>
        <v>72.229906149076143</v>
      </c>
      <c r="D118" s="1" t="str">
        <f>Market_currency</f>
        <v>CNY</v>
      </c>
    </row>
    <row r="119" spans="1:6">
      <c r="B119" s="296" t="s">
        <v>405</v>
      </c>
      <c r="C119" s="223">
        <f>BS!D47</f>
        <v>-13.312996389940134</v>
      </c>
      <c r="D119" s="1" t="str">
        <f>Market_currency</f>
        <v>CNY</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258</v>
      </c>
      <c r="C132" s="217">
        <f>Scenarios!C60</f>
        <v>82.72003076740333</v>
      </c>
      <c r="D132" s="212" t="str">
        <f>Market_currency</f>
        <v>CNY</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0.33700000000000002</v>
      </c>
    </row>
    <row r="143" spans="1:6">
      <c r="B143" s="212" t="s">
        <v>261</v>
      </c>
      <c r="C143" s="213">
        <f>Scenarios!C77</f>
        <v>2.4</v>
      </c>
      <c r="D143" s="212" t="str">
        <f>Market_currency</f>
        <v>CNY</v>
      </c>
    </row>
    <row r="145" spans="2:4">
      <c r="B145" s="210" t="s">
        <v>408</v>
      </c>
      <c r="C145" s="241" t="str">
        <f>C11</f>
        <v>600132.SS</v>
      </c>
      <c r="D145" s="241" t="str">
        <f>IF(D11="","",D11)</f>
        <v/>
      </c>
    </row>
    <row r="146" spans="2:4">
      <c r="B146" s="1" t="s">
        <v>407</v>
      </c>
      <c r="C146" s="297">
        <f>F29</f>
        <v>0.33700000000000002</v>
      </c>
    </row>
    <row r="147" spans="2:4">
      <c r="B147" s="212" t="str">
        <f>"PV("&amp;C141&amp;" yrs of Dividends)"</f>
        <v>PV(3 yrs of Dividends)</v>
      </c>
      <c r="C147" s="216">
        <f>Scenarios!C81</f>
        <v>4.1418616988593371</v>
      </c>
    </row>
    <row r="148" spans="2:4">
      <c r="B148" s="212" t="str">
        <f>"+ PV(Equity Value realized at year "&amp;C141&amp;")"</f>
        <v>+ PV(Equity Value realized at year 3)</v>
      </c>
      <c r="C148" s="216">
        <f>Scenarios!C82</f>
        <v>34.611184744795338</v>
      </c>
    </row>
    <row r="149" spans="2:4">
      <c r="B149" s="80" t="s">
        <v>260</v>
      </c>
      <c r="C149" s="215">
        <f>Scenarios!C83</f>
        <v>38.753046443654675</v>
      </c>
      <c r="D149" s="300" t="str">
        <f>IF($D$11="","",C149*$E$25)</f>
        <v/>
      </c>
    </row>
    <row r="150" spans="2:4">
      <c r="B150" s="259" t="s">
        <v>416</v>
      </c>
      <c r="C150" s="298" t="str">
        <f>Market_currency</f>
        <v>CNY</v>
      </c>
      <c r="D150" s="298" t="str">
        <f>IF($D$11="","",D$13)</f>
        <v/>
      </c>
    </row>
    <row r="151" spans="2:4">
      <c r="B151" s="214" t="s">
        <v>262</v>
      </c>
      <c r="C151" s="92">
        <f>Scenarios!F83</f>
        <v>0.53151557024171581</v>
      </c>
    </row>
    <row r="153" spans="2:4">
      <c r="B153" s="210" t="s">
        <v>411</v>
      </c>
    </row>
    <row r="154" spans="2:4">
      <c r="B154" s="1" t="s">
        <v>410</v>
      </c>
      <c r="C154" s="297">
        <f>Scenarios!C90</f>
        <v>0.187</v>
      </c>
    </row>
    <row r="155" spans="2:4">
      <c r="B155" s="212" t="str">
        <f>"PV("&amp;C141&amp;" yrs of Dividends)"</f>
        <v>PV(3 yrs of Dividends)</v>
      </c>
      <c r="C155" s="216">
        <f>Scenarios!C91</f>
        <v>5.160300872171014</v>
      </c>
    </row>
    <row r="156" spans="2:4">
      <c r="B156" s="212" t="str">
        <f>"+ PV(Equity Value realized at year "&amp;C141&amp;")"</f>
        <v>+ PV(Equity Value realized at year 3)</v>
      </c>
      <c r="C156" s="216">
        <f>Scenarios!C92</f>
        <v>49.460503195272771</v>
      </c>
    </row>
    <row r="157" spans="2:4">
      <c r="B157" s="80" t="s">
        <v>260</v>
      </c>
      <c r="C157" s="215">
        <f>Scenarios!C93</f>
        <v>54.620804067443785</v>
      </c>
      <c r="D157" s="300" t="str">
        <f>IF($D$11="","",C157*$E$25)</f>
        <v/>
      </c>
    </row>
    <row r="158" spans="2:4">
      <c r="B158" s="259" t="s">
        <v>416</v>
      </c>
      <c r="C158" s="298" t="str">
        <f>Market_currency</f>
        <v>CNY</v>
      </c>
      <c r="D158" s="298" t="str">
        <f>IF($D$11="","",D$13)</f>
        <v/>
      </c>
    </row>
    <row r="159" spans="2:4">
      <c r="B159" s="214" t="s">
        <v>262</v>
      </c>
      <c r="C159" s="92">
        <f>Scenarios!F93</f>
        <v>0.33969071867212519</v>
      </c>
    </row>
    <row r="161" spans="2:4">
      <c r="B161" s="210" t="s">
        <v>400</v>
      </c>
    </row>
    <row r="162" spans="2:4">
      <c r="B162" s="1" t="s">
        <v>409</v>
      </c>
      <c r="C162" s="92">
        <f>Scenarios!C96</f>
        <v>0.06</v>
      </c>
    </row>
    <row r="163" spans="2:4">
      <c r="B163" s="212" t="str">
        <f>"PV("&amp;C141&amp;" yrs of Dividends)"</f>
        <v>PV(3 yrs of Dividends)</v>
      </c>
      <c r="C163" s="216">
        <f>Scenarios!C97</f>
        <v>6.4152286787079351</v>
      </c>
    </row>
    <row r="164" spans="2:4">
      <c r="B164" s="212" t="str">
        <f>"+ PV(Equity Value realized at year "&amp;C141&amp;")"</f>
        <v>+ PV(Equity Value realized at year 3)</v>
      </c>
      <c r="C164" s="216">
        <f>Scenarios!C98</f>
        <v>69.453332925337108</v>
      </c>
    </row>
    <row r="165" spans="2:4">
      <c r="B165" s="80" t="s">
        <v>401</v>
      </c>
      <c r="C165" s="215">
        <f>Scenarios!C99</f>
        <v>75.868561604045041</v>
      </c>
      <c r="D165" s="300" t="str">
        <f>IF($D$11="","",C165*$E$25)</f>
        <v/>
      </c>
    </row>
    <row r="166" spans="2:4">
      <c r="B166" s="259" t="s">
        <v>416</v>
      </c>
      <c r="C166" s="298" t="str">
        <f>Market_currency</f>
        <v>CNY</v>
      </c>
      <c r="D166" s="298" t="str">
        <f>IF($D$11="","",D$13)</f>
        <v/>
      </c>
    </row>
    <row r="167" spans="2:4">
      <c r="B167" s="214" t="s">
        <v>262</v>
      </c>
      <c r="C167" s="92">
        <f>Scenarios!F99</f>
        <v>8.2827207627903632E-2</v>
      </c>
    </row>
    <row r="169" spans="2:4">
      <c r="B169" s="210" t="s">
        <v>432</v>
      </c>
    </row>
    <row r="170" spans="2:4">
      <c r="B170" s="1" t="s">
        <v>423</v>
      </c>
      <c r="C170" s="92">
        <f>F32</f>
        <v>8.6999999999999994E-2</v>
      </c>
    </row>
    <row r="171" spans="2:4">
      <c r="B171" s="212" t="str">
        <f>"PV("&amp;C141&amp;" yrs of Dividends)"</f>
        <v>PV(3 yrs of Dividends)</v>
      </c>
      <c r="C171" s="216">
        <f>Scenarios!C103</f>
        <v>6.1077361402784396</v>
      </c>
    </row>
    <row r="172" spans="2:4">
      <c r="B172" s="212" t="str">
        <f>"+ PV(Equity Value realized at year "&amp;C141&amp;")"</f>
        <v>+ PV(Equity Value realized at year 3)</v>
      </c>
      <c r="C172" s="216">
        <f>Scenarios!C104</f>
        <v>64.405366365094082</v>
      </c>
    </row>
    <row r="173" spans="2:4">
      <c r="B173" s="80" t="s">
        <v>401</v>
      </c>
      <c r="C173" s="215">
        <f>Scenarios!C105</f>
        <v>70.513102505372515</v>
      </c>
      <c r="D173" s="300" t="str">
        <f>IF($D$11="","",C173*$E$25)</f>
        <v/>
      </c>
    </row>
    <row r="174" spans="2:4">
      <c r="B174" s="259" t="s">
        <v>416</v>
      </c>
      <c r="C174" s="298" t="str">
        <f>Market_currency</f>
        <v>CNY</v>
      </c>
      <c r="D174" s="298" t="str">
        <f>IF($D$11="","",D$13)</f>
        <v/>
      </c>
    </row>
    <row r="175" spans="2:4">
      <c r="B175" s="214" t="s">
        <v>262</v>
      </c>
      <c r="C175" s="92">
        <f>Scenarios!F105</f>
        <v>0.14689628955752243</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373</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372</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463</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172</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152</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168</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168</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177</v>
      </c>
      <c r="G6" s="19">
        <v>0</v>
      </c>
      <c r="H6" s="261">
        <v>0.6</v>
      </c>
    </row>
    <row r="7" spans="2:8" ht="15" customHeight="1">
      <c r="B7" s="1" t="s">
        <v>69</v>
      </c>
      <c r="C7" s="19">
        <v>0</v>
      </c>
      <c r="D7" s="261">
        <v>0.6</v>
      </c>
      <c r="E7" s="25"/>
      <c r="F7" s="4" t="s">
        <v>178</v>
      </c>
      <c r="G7" s="19">
        <v>22482125.719999999</v>
      </c>
      <c r="H7" s="261">
        <v>0.6</v>
      </c>
    </row>
    <row r="8" spans="2:8" ht="15" customHeight="1">
      <c r="B8" s="1" t="s">
        <v>173</v>
      </c>
      <c r="C8" s="19">
        <v>0</v>
      </c>
      <c r="D8" s="261">
        <v>0.6</v>
      </c>
      <c r="E8" s="25"/>
      <c r="F8" s="1" t="s">
        <v>179</v>
      </c>
      <c r="G8" s="19">
        <v>0</v>
      </c>
      <c r="H8" s="261">
        <v>0.6</v>
      </c>
    </row>
    <row r="9" spans="2:8" ht="15" customHeight="1">
      <c r="B9" s="4" t="s">
        <v>25</v>
      </c>
      <c r="C9" s="19">
        <v>28012999.57</v>
      </c>
      <c r="D9" s="261">
        <v>0.1</v>
      </c>
      <c r="E9" s="25"/>
      <c r="F9" s="4" t="s">
        <v>180</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4755026247.47+159772560.73+160044048.75</f>
        <v>5074842856.9499998</v>
      </c>
      <c r="D19" s="261">
        <v>0.1</v>
      </c>
      <c r="F19" s="4" t="s">
        <v>182</v>
      </c>
      <c r="G19" s="19">
        <f>142861296.29+17825955.91</f>
        <v>160687252.19999999</v>
      </c>
      <c r="H19" s="261">
        <v>0.1</v>
      </c>
    </row>
    <row r="20" spans="2:8" ht="15" customHeight="1">
      <c r="B20" s="4" t="s">
        <v>18</v>
      </c>
      <c r="C20" s="19">
        <v>0</v>
      </c>
      <c r="D20" s="261">
        <v>0.05</v>
      </c>
      <c r="F20" s="4" t="s">
        <v>179</v>
      </c>
      <c r="G20" s="19">
        <v>0</v>
      </c>
      <c r="H20" s="261">
        <v>0.2</v>
      </c>
    </row>
    <row r="21" spans="2:8" ht="15" customHeight="1">
      <c r="B21" s="4" t="s">
        <v>19</v>
      </c>
      <c r="C21" s="19">
        <v>650634797.63</v>
      </c>
      <c r="D21" s="261">
        <v>0.05</v>
      </c>
      <c r="F21" s="1" t="s">
        <v>180</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244</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203</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9703511267.3999996</v>
      </c>
      <c r="H35" s="200">
        <f>D12+D24</f>
        <v>2336961476.2559996</v>
      </c>
    </row>
    <row r="36" spans="2:8" ht="15" customHeight="1">
      <c r="B36" s="4" t="s">
        <v>13</v>
      </c>
      <c r="C36" s="19">
        <v>0</v>
      </c>
      <c r="F36" s="190" t="s">
        <v>197</v>
      </c>
      <c r="G36" s="191">
        <f>C4+C15</f>
        <v>91009309.849999994</v>
      </c>
      <c r="H36" s="195"/>
    </row>
    <row r="37" spans="2:8" ht="15" customHeight="1">
      <c r="B37" s="4" t="s">
        <v>14</v>
      </c>
      <c r="C37" s="19">
        <v>122624097.45</v>
      </c>
      <c r="F37" s="190" t="s">
        <v>198</v>
      </c>
      <c r="G37" s="191">
        <f>C6</f>
        <v>2185835620.7199998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204</v>
      </c>
      <c r="C40" s="81">
        <f>SUM(C36:C39)</f>
        <v>122624097.45</v>
      </c>
      <c r="F40" s="199" t="s">
        <v>138</v>
      </c>
      <c r="G40" s="193">
        <f>G12+G24</f>
        <v>1264828451.99</v>
      </c>
      <c r="H40" s="200">
        <f>H12+H24</f>
        <v>1003051167.3150001</v>
      </c>
    </row>
    <row r="41" spans="2:8" ht="15" customHeight="1">
      <c r="B41" s="4" t="s">
        <v>17</v>
      </c>
      <c r="C41" s="21">
        <f>C42-C40</f>
        <v>652747582.43999994</v>
      </c>
      <c r="F41" s="190" t="s">
        <v>191</v>
      </c>
      <c r="G41" s="191">
        <f>C70</f>
        <v>1081659074.0699999</v>
      </c>
      <c r="H41" s="200">
        <f>H40-H42</f>
        <v>973493166.66300011</v>
      </c>
    </row>
    <row r="42" spans="2:8" ht="15" customHeight="1">
      <c r="B42" s="83" t="s">
        <v>22</v>
      </c>
      <c r="C42" s="84">
        <v>775371679.88999999</v>
      </c>
      <c r="F42" s="201" t="s">
        <v>192</v>
      </c>
      <c r="G42" s="202">
        <f>C82</f>
        <v>183169377.91999999</v>
      </c>
      <c r="H42" s="203">
        <f>D82</f>
        <v>29558000.651999995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176</v>
      </c>
      <c r="C51" s="181"/>
      <c r="D51" s="92">
        <f>G29/G32</f>
        <v>0.10805831095063075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0.30480874656531537</v>
      </c>
      <c r="D54" s="92">
        <f>Normalized_FCF!G8/G35</f>
        <v>0.32042139111496037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274</v>
      </c>
      <c r="C61" s="235" t="s">
        <v>137</v>
      </c>
      <c r="D61" s="197" t="s">
        <v>95</v>
      </c>
      <c r="F61" s="253"/>
    </row>
    <row r="62" spans="2:8" ht="15" customHeight="1">
      <c r="B62" s="1" t="s">
        <v>245</v>
      </c>
      <c r="C62" s="92">
        <f>IF(G28&lt;=0,0,G28/G29)</f>
        <v>1.0702127528080294</v>
      </c>
      <c r="D62" s="92">
        <f>G28/G29</f>
        <v>1.0702127528080294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1081659074.0699999</v>
      </c>
      <c r="D66" s="76">
        <f>C66-D75</f>
        <v>51803895.882383943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1081659074.0699999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-1058076344.85</v>
      </c>
      <c r="D73" s="349">
        <f>(Normalized_FCF!C25+Normalized_FCF!C35-Normalized_FCF!C91)/12</f>
        <v>-1029855178.187616</v>
      </c>
      <c r="F73" s="1" t="s">
        <v>351</v>
      </c>
    </row>
    <row r="74" spans="2:6" ht="15" customHeight="1">
      <c r="B74" s="257" t="s">
        <v>321</v>
      </c>
      <c r="C74" s="258">
        <f>-$C$66/C73</f>
        <v>1.0222883058815033</v>
      </c>
      <c r="D74" s="258">
        <f>-$C$66/D73</f>
        <v>1.050302117209869</v>
      </c>
      <c r="F74" s="253" t="s">
        <v>319</v>
      </c>
    </row>
    <row r="75" spans="2:6" ht="15" customHeight="1">
      <c r="B75" s="80" t="s">
        <v>320</v>
      </c>
      <c r="C75" s="320"/>
      <c r="D75" s="321">
        <f>MAX(-D73*D76,G5)</f>
        <v>1029855178.187616</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22482125.719999999</v>
      </c>
      <c r="D79" s="76">
        <f>G7*H7+G17*H17</f>
        <v>13489275.431999998</v>
      </c>
      <c r="F79" s="253"/>
    </row>
    <row r="80" spans="2:6" ht="15" customHeight="1">
      <c r="B80" s="105" t="s">
        <v>182</v>
      </c>
      <c r="C80" s="20">
        <f>G19</f>
        <v>160687252.19999999</v>
      </c>
      <c r="D80" s="76">
        <f>G19*H19</f>
        <v>16068725.219999999</v>
      </c>
      <c r="F80" s="253"/>
    </row>
    <row r="81" spans="2:8" ht="15" customHeight="1">
      <c r="B81" s="105" t="s">
        <v>180</v>
      </c>
      <c r="C81" s="20">
        <f>G9+G21</f>
        <v>0</v>
      </c>
      <c r="D81" s="76">
        <f>G9*H9+G21*H21</f>
        <v>0</v>
      </c>
      <c r="F81" s="253"/>
    </row>
    <row r="82" spans="2:8" ht="15" customHeight="1">
      <c r="B82" s="80" t="s">
        <v>189</v>
      </c>
      <c r="C82" s="81">
        <f>SUM(C79:C81)</f>
        <v>183169377.91999999</v>
      </c>
      <c r="D82" s="81">
        <f>SUM(D79:D81)</f>
        <v>29558000.651999995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-123521704.27</v>
      </c>
      <c r="D86" s="223">
        <f>C86*scaling_factor/Common_Shares</f>
        <v>-0.25522532080514426</v>
      </c>
      <c r="E86" s="240" t="str">
        <f>Market_currency</f>
        <v>CNY</v>
      </c>
    </row>
    <row r="87" spans="2:8" ht="15" customHeight="1">
      <c r="B87" s="238" t="s">
        <v>287</v>
      </c>
      <c r="C87" s="76">
        <f>DCF!C8*Exchange_Rate</f>
        <v>51803895.882383943</v>
      </c>
      <c r="D87" s="223">
        <f>C87*scaling_factor/Common_Shares</f>
        <v>0.10703921244996059</v>
      </c>
      <c r="E87" s="240" t="str">
        <f>Market_currency</f>
        <v>CNY</v>
      </c>
    </row>
    <row r="88" spans="2:8" ht="15" customHeight="1">
      <c r="B88" s="239" t="s">
        <v>189</v>
      </c>
      <c r="C88" s="76">
        <f>DCF!C9*Exchange_Rate</f>
        <v>29558000.651999995</v>
      </c>
      <c r="D88" s="223">
        <f>C88*scaling_factor/Common_Shares</f>
        <v>6.1073883681813636E-2</v>
      </c>
      <c r="E88" s="240" t="str">
        <f>Market_currency</f>
        <v>CNY</v>
      </c>
    </row>
    <row r="89" spans="2:8" ht="15" customHeight="1">
      <c r="B89" s="80" t="s">
        <v>291</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152</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164</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243</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0.57926639143826886</v>
      </c>
      <c r="D28" s="26"/>
      <c r="E28" s="266" t="s">
        <v>333</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333</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-515765096.5</v>
      </c>
      <c r="E33" s="266" t="s">
        <v>333</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333</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345</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342</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3.7946126449583846E-2</v>
      </c>
      <c r="E53" s="265" t="s">
        <v>335</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336</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195</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152</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164</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4.2417815482502653E-2</v>
      </c>
      <c r="E93" s="268"/>
      <c r="G93" s="23">
        <f t="shared" ref="G93:Q93" si="39">IF(G$4="","",G90/Market_Price)</f>
        <v>4.2417815482502653E-2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-3.3469780292926132E-2</v>
      </c>
      <c r="D96" s="27"/>
      <c r="E96" s="26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164</v>
      </c>
      <c r="C97" s="77">
        <f>C13/G13-1</f>
        <v>-4.8238097390936763E-2</v>
      </c>
      <c r="D97" s="27"/>
      <c r="E97" s="265"/>
      <c r="F97" s="27"/>
      <c r="G97" s="6">
        <f t="shared" ref="G97:Q97" si="41">IF(H5="","",G13/H13-1)</f>
        <v>-5.7368881187775611E-2</v>
      </c>
      <c r="H97" s="6">
        <f t="shared" si="41"/>
        <v>2.4181895535944298E-2</v>
      </c>
      <c r="I97" s="6">
        <f t="shared" si="41"/>
        <v>0.11479532726584996</v>
      </c>
      <c r="J97" s="6">
        <f t="shared" si="41"/>
        <v>0.70708198158746138</v>
      </c>
      <c r="K97" s="6">
        <f t="shared" si="41"/>
        <v>2.0201973015439978</v>
      </c>
      <c r="L97" s="6">
        <f t="shared" si="41"/>
        <v>0.15664309556462253</v>
      </c>
      <c r="M97" s="6">
        <f t="shared" si="41"/>
        <v>0.34559425929816934</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10968339719.389999</v>
      </c>
      <c r="D101" s="26"/>
      <c r="E101" s="269"/>
      <c r="F101" s="26"/>
      <c r="G101" s="333">
        <f t="shared" ref="G101:Q101" si="42">IF(G$4="","",G105+G104)</f>
        <v>10968339719.389999</v>
      </c>
      <c r="H101" s="333">
        <f t="shared" si="42"/>
        <v>12386911594</v>
      </c>
      <c r="I101" s="333">
        <f t="shared" si="42"/>
        <v>12497542169</v>
      </c>
      <c r="J101" s="333">
        <f t="shared" si="42"/>
        <v>11532809144</v>
      </c>
      <c r="K101" s="333">
        <f t="shared" si="42"/>
        <v>9595373074</v>
      </c>
      <c r="L101" s="333">
        <f t="shared" si="42"/>
        <v>3514353524</v>
      </c>
      <c r="M101" s="333">
        <f t="shared" si="42"/>
        <v>3297633120</v>
      </c>
      <c r="N101" s="333">
        <f t="shared" si="42"/>
        <v>3506183194</v>
      </c>
      <c r="O101" s="333">
        <f t="shared" si="42"/>
        <v>3365659820</v>
      </c>
      <c r="P101" s="333">
        <f t="shared" si="42"/>
        <v>3721194030</v>
      </c>
      <c r="Q101" s="333" t="str">
        <f t="shared" si="42"/>
        <v/>
      </c>
    </row>
    <row r="102" spans="1:17" ht="15.75" customHeight="1">
      <c r="A102" s="10"/>
      <c r="B102" s="93" t="s">
        <v>210</v>
      </c>
      <c r="C102" s="345">
        <f>BS!C4</f>
        <v>91009309.849999994</v>
      </c>
      <c r="D102" s="89"/>
      <c r="E102" s="270"/>
      <c r="F102" s="89"/>
      <c r="G102" s="346">
        <f>IF(G$4="","",Data!D77)</f>
        <v>64628136</v>
      </c>
      <c r="H102" s="346">
        <f>IF(H$4="","",Data!E77)</f>
        <v>65511539</v>
      </c>
      <c r="I102" s="346">
        <f>IF(I$4="","",Data!F77)</f>
        <v>109244674</v>
      </c>
      <c r="J102" s="346">
        <f>IF(J$4="","",Data!G77)</f>
        <v>114510542</v>
      </c>
      <c r="K102" s="346">
        <f>IF(K$4="","",Data!H77)</f>
        <v>58261577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2185835620.7199998</v>
      </c>
      <c r="D103" s="89"/>
      <c r="E103" s="270"/>
      <c r="F103" s="89"/>
      <c r="G103" s="346">
        <f>IF(G$4="","",Data!D78)</f>
        <v>2100354952</v>
      </c>
      <c r="H103" s="346">
        <f>IF(H$4="","",Data!E78)</f>
        <v>2166477563</v>
      </c>
      <c r="I103" s="346">
        <f>IF(I$4="","",Data!F78)</f>
        <v>1886751987</v>
      </c>
      <c r="J103" s="346">
        <f>IF(J$4="","",Data!G78)</f>
        <v>1420570476</v>
      </c>
      <c r="K103" s="346">
        <f>IF(K$4="","",Data!H78)</f>
        <v>364381375</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8514681613.9500008</v>
      </c>
      <c r="D104" s="26"/>
      <c r="E104" s="269"/>
      <c r="F104" s="26"/>
      <c r="G104" s="333">
        <f>Data!C79</f>
        <v>8514681613.9500008</v>
      </c>
      <c r="H104" s="333">
        <f>Data!D79</f>
        <v>8734763046</v>
      </c>
      <c r="I104" s="333">
        <f>Data!E79</f>
        <v>8874519390</v>
      </c>
      <c r="J104" s="333">
        <f>Data!F79</f>
        <v>8404513904</v>
      </c>
      <c r="K104" s="333">
        <f>Data!G79</f>
        <v>8026536570</v>
      </c>
      <c r="L104" s="333">
        <f>Data!H79</f>
        <v>2003002194</v>
      </c>
      <c r="M104" s="333">
        <f>Data!I79</f>
        <v>2135750535</v>
      </c>
      <c r="N104" s="333">
        <f>Data!J79</f>
        <v>2340923121</v>
      </c>
      <c r="O104" s="333">
        <f>Data!K79</f>
        <v>2123382866</v>
      </c>
      <c r="P104" s="333">
        <f>Data!L79</f>
        <v>2502070463</v>
      </c>
      <c r="Q104" s="333" t="str">
        <f>Data!M79</f>
        <v/>
      </c>
    </row>
    <row r="105" spans="1:17" ht="15.75" customHeight="1">
      <c r="A105" s="10"/>
      <c r="B105" s="26" t="s">
        <v>30</v>
      </c>
      <c r="C105" s="344">
        <f>BS!G27</f>
        <v>2453658105.4399986</v>
      </c>
      <c r="D105" s="26"/>
      <c r="E105" s="269"/>
      <c r="F105" s="26"/>
      <c r="G105" s="333">
        <f>Data!C80</f>
        <v>2453658105.4399986</v>
      </c>
      <c r="H105" s="333">
        <f>Data!D80</f>
        <v>3652148548</v>
      </c>
      <c r="I105" s="333">
        <f>Data!E80</f>
        <v>3623022779</v>
      </c>
      <c r="J105" s="333">
        <f>Data!F80</f>
        <v>3128295240</v>
      </c>
      <c r="K105" s="333">
        <f>Data!G80</f>
        <v>1568836504</v>
      </c>
      <c r="L105" s="333">
        <f>Data!H80</f>
        <v>1511351330</v>
      </c>
      <c r="M105" s="333">
        <f>Data!I80</f>
        <v>1161882585</v>
      </c>
      <c r="N105" s="333">
        <f>Data!J80</f>
        <v>1165260073</v>
      </c>
      <c r="O105" s="333">
        <f>Data!K80</f>
        <v>1242276954</v>
      </c>
      <c r="P105" s="333">
        <f>Data!L80</f>
        <v>1219123567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6.4297329243833525E-3</v>
      </c>
      <c r="D108" s="26"/>
      <c r="E108" s="26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0.15442748968207132</v>
      </c>
      <c r="D109" s="26"/>
      <c r="E109" s="26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1.1301097053348144</v>
      </c>
      <c r="H113" s="295">
        <f>IF(H$4="","",Data!D$22/Data!D15)</f>
        <v>1.1421244767311443</v>
      </c>
      <c r="I113" s="295">
        <f>IF(I$4="","",Data!E$22/Data!E15)</f>
        <v>1.4506354245537583</v>
      </c>
      <c r="J113" s="295">
        <f>IF(J$4="","",Data!F$22/Data!F15)</f>
        <v>1.4858503664510887</v>
      </c>
      <c r="K113" s="295">
        <f>IF(K$4="","",Data!G$22/Data!G15)</f>
        <v>2.1056296742310616</v>
      </c>
      <c r="L113" s="295">
        <f>IF(L$4="","",Data!H$22/Data!H15)</f>
        <v>0.96876332816786648</v>
      </c>
      <c r="M113" s="295">
        <f>IF(M$4="","",Data!I$22/Data!I15)</f>
        <v>1.767034158859303</v>
      </c>
      <c r="N113" s="295">
        <f>IF(N$4="","",Data!J$22/Data!J15)</f>
        <v>2.5144917688633623</v>
      </c>
      <c r="O113" s="295">
        <f>IF(O$4="","",Data!K$22/Data!K15)</f>
        <v>4.0690767846879998</v>
      </c>
      <c r="P113" s="295">
        <f>IF(P$4="","",Data!L$22/Data!L15)</f>
        <v>-2.9196128327089879</v>
      </c>
      <c r="Q113" s="295" t="str">
        <f>IF(Q$4="","",Data!M$22/Data!M15)</f>
        <v/>
      </c>
    </row>
    <row r="114" spans="1:17" ht="15.75" customHeight="1">
      <c r="A114" s="10"/>
      <c r="B114" s="2" t="s">
        <v>392</v>
      </c>
      <c r="C114" s="169"/>
      <c r="E114" s="268"/>
      <c r="G114" s="295">
        <f>IF(G$4="","",Data!C$22/G19)</f>
        <v>1.0941634476299129</v>
      </c>
      <c r="H114" s="295">
        <f>IF(H$4="","",Data!D$22/H19)</f>
        <v>1.1609338233291711</v>
      </c>
      <c r="I114" s="295">
        <f>IF(I$4="","",Data!E$22/I19)</f>
        <v>1.4767154435131946</v>
      </c>
      <c r="J114" s="295">
        <f>IF(J$4="","",Data!F$22/J19)</f>
        <v>1.5002156268259466</v>
      </c>
      <c r="K114" s="295">
        <f>IF(K$4="","",Data!G$22/K19)</f>
        <v>2.7722647860164824</v>
      </c>
      <c r="L114" s="295">
        <f>IF(L$4="","",Data!H$22/L19)</f>
        <v>1.5106172149556596</v>
      </c>
      <c r="M114" s="295">
        <f>IF(M$4="","",Data!I$22/M19)</f>
        <v>1.7378913239556451</v>
      </c>
      <c r="N114" s="295">
        <f>IF(N$4="","",Data!J$22/N19)</f>
        <v>2.378364555476101</v>
      </c>
      <c r="O114" s="295">
        <f>IF(O$4="","",Data!K$22/O19)</f>
        <v>1.6724741518288628</v>
      </c>
      <c r="P114" s="295">
        <f>IF(P$4="","",Data!L$22/P19)</f>
        <v>2.3783234522476708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0.21117895977217718</v>
      </c>
      <c r="E117" s="268"/>
      <c r="G117" s="23">
        <f t="shared" ref="G117:Q117" si="45">IF(G4="","",IF(valuation_method="DDM",G13/(G4+G12),G81))</f>
        <v>0.21445578545073618</v>
      </c>
      <c r="H117" s="23">
        <f t="shared" si="45"/>
        <v>0.22489333443349074</v>
      </c>
      <c r="I117" s="23">
        <f t="shared" si="45"/>
        <v>0.23171754641713521</v>
      </c>
      <c r="J117" s="23">
        <f t="shared" si="45"/>
        <v>0.2224283768542023</v>
      </c>
      <c r="K117" s="23">
        <f t="shared" si="45"/>
        <v>0.15623011789528343</v>
      </c>
      <c r="L117" s="23">
        <f t="shared" si="45"/>
        <v>0.15801385967287587</v>
      </c>
      <c r="M117" s="23">
        <f t="shared" si="45"/>
        <v>0.14112898771352106</v>
      </c>
      <c r="N117" s="23">
        <f t="shared" si="45"/>
        <v>0.11452049955308069</v>
      </c>
      <c r="O117" s="23">
        <f t="shared" si="45"/>
        <v>0.11180052864602323</v>
      </c>
      <c r="P117" s="23">
        <f t="shared" si="45"/>
        <v>6.9644021018147345E-2</v>
      </c>
      <c r="Q117" s="23" t="str">
        <f t="shared" si="45"/>
        <v/>
      </c>
    </row>
    <row r="118" spans="1:17" ht="15.75" customHeight="1">
      <c r="B118" s="7" t="s">
        <v>83</v>
      </c>
      <c r="C118" s="42">
        <f>IF(valuation_method="DDM",(C4+C12)/C101,C4/C101)</f>
        <v>1.2904821269100146</v>
      </c>
      <c r="E118" s="268"/>
      <c r="G118" s="42">
        <f t="shared" ref="G118:Q118" si="46">IF(G4="","",IF(valuation_method="DDM",(G4+G12)/G101,G4/G101))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91</v>
      </c>
      <c r="C119" s="15">
        <f>C101/C105</f>
        <v>4.4701988818540466</v>
      </c>
      <c r="D119" s="11"/>
      <c r="E119" s="27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222</v>
      </c>
      <c r="C120" s="102">
        <f>C13/C105</f>
        <v>1.2182305488640417</v>
      </c>
      <c r="D120" s="103"/>
      <c r="E120" s="271"/>
      <c r="F120" s="103"/>
      <c r="G120" s="102">
        <f>IF(G$4="","",G13/G105)</f>
        <v>1.279974062341126</v>
      </c>
      <c r="H120" s="102">
        <f t="shared" ref="H120:Q120" si="48">IF(H$4="","",H13/H105)</f>
        <v>0.91227339620567516</v>
      </c>
      <c r="I120" s="102">
        <f t="shared" si="48"/>
        <v>0.89789444510356353</v>
      </c>
      <c r="J120" s="102">
        <f t="shared" si="48"/>
        <v>0.93281060702500329</v>
      </c>
      <c r="K120" s="102">
        <f t="shared" si="48"/>
        <v>1.0896051450892279</v>
      </c>
      <c r="L120" s="102">
        <f t="shared" si="48"/>
        <v>0.37449505167089997</v>
      </c>
      <c r="M120" s="102">
        <f t="shared" si="48"/>
        <v>0.42116270282476098</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4.3390211024249705</v>
      </c>
      <c r="D124" s="27"/>
      <c r="E124" s="265"/>
      <c r="F124" s="27"/>
      <c r="G124" s="177">
        <f t="shared" ref="G124:Q124" si="49">IF(G$4="","",G16*$C$3/Common_Shares*Exchange_Rate)</f>
        <v>4.8004484449016038</v>
      </c>
      <c r="H124" s="177">
        <f t="shared" si="49"/>
        <v>5.5119725581925749</v>
      </c>
      <c r="I124" s="177">
        <f t="shared" si="49"/>
        <v>5.2507522332925598</v>
      </c>
      <c r="J124" s="177">
        <f t="shared" si="49"/>
        <v>4.9097615159690315</v>
      </c>
      <c r="K124" s="177">
        <f t="shared" si="49"/>
        <v>2.7500492096684588</v>
      </c>
      <c r="L124" s="177">
        <f t="shared" si="49"/>
        <v>0.96537337211796936</v>
      </c>
      <c r="M124" s="177">
        <f t="shared" si="49"/>
        <v>0.88501878961735259</v>
      </c>
      <c r="N124" s="177">
        <f t="shared" si="49"/>
        <v>0.71241461563173436</v>
      </c>
      <c r="O124" s="177">
        <f t="shared" si="49"/>
        <v>0.70349732671488441</v>
      </c>
      <c r="P124" s="177">
        <f t="shared" si="49"/>
        <v>0.389484667226003</v>
      </c>
      <c r="Q124" s="177" t="str">
        <f t="shared" si="49"/>
        <v/>
      </c>
    </row>
    <row r="125" spans="1:17" ht="15.75" customHeight="1">
      <c r="A125" s="10"/>
      <c r="B125" s="27" t="s">
        <v>269</v>
      </c>
      <c r="C125" s="77">
        <f>C19*Exchange_Rate*$C$3/(Market_Price*Common_Shares)</f>
        <v>7.6688248540561513E-2</v>
      </c>
      <c r="D125" s="27"/>
      <c r="E125" s="265"/>
      <c r="F125" s="27"/>
      <c r="G125" s="77">
        <f t="shared" ref="G125" si="50">IF(G$4="","",G124/Market_Price)</f>
        <v>8.484355682045959E-2</v>
      </c>
      <c r="H125" s="77">
        <f t="shared" ref="H125" si="51">IF(H$4="","",H124/Market_Price)</f>
        <v>9.7419097882512809E-2</v>
      </c>
      <c r="I125" s="77">
        <f t="shared" ref="I125" si="52">IF(I$4="","",I124/Market_Price)</f>
        <v>9.280226640672605E-2</v>
      </c>
      <c r="J125" s="77">
        <f t="shared" ref="J125" si="53">IF(J$4="","",J124/Market_Price)</f>
        <v>8.6775565853111206E-2</v>
      </c>
      <c r="K125" s="77">
        <f t="shared" ref="K125" si="54">IF(K$4="","",K124/Market_Price)</f>
        <v>4.860461664313289E-2</v>
      </c>
      <c r="L125" s="77">
        <f t="shared" ref="L125" si="55">IF(L$4="","",L124/Market_Price)</f>
        <v>1.7062095654258914E-2</v>
      </c>
      <c r="M125" s="77">
        <f t="shared" ref="M125" si="56">IF(M$4="","",M124/Market_Price)</f>
        <v>1.5641901548556957E-2</v>
      </c>
      <c r="N125" s="77">
        <f t="shared" ref="N125" si="57">IF(N$4="","",N124/Market_Price)</f>
        <v>1.2591279880377065E-2</v>
      </c>
      <c r="O125" s="77">
        <f t="shared" ref="O125" si="58">IF(O$4="","",O124/Market_Price)</f>
        <v>1.2433674915427437E-2</v>
      </c>
      <c r="P125" s="77">
        <f t="shared" ref="P125" si="59">IF(P$4="","",P124/Market_Price)</f>
        <v>6.8837869781902261E-3</v>
      </c>
      <c r="Q125" s="77" t="str">
        <f t="shared" ref="Q125" si="60">IF(Q$4="","",Q124/Market_Price)</f>
        <v/>
      </c>
    </row>
    <row r="126" spans="1:17" ht="15.75" customHeight="1">
      <c r="B126" s="2" t="s">
        <v>394</v>
      </c>
      <c r="C126" s="169"/>
      <c r="G126" s="23">
        <f>IF(G$4="","",(Data!C47*$C$3)/(Market_Price*Common_Shares))</f>
        <v>8.2144873370815955E-2</v>
      </c>
      <c r="H126" s="23">
        <f>IF(H$4="","",(Data!D47*$C$3)/(Market_Price*Common_Shares))</f>
        <v>9.902346729641745E-2</v>
      </c>
      <c r="I126" s="23">
        <f>IF(I$4="","",(Data!E47*$C$3)/(Market_Price*Common_Shares))</f>
        <v>9.4470697238070583E-2</v>
      </c>
      <c r="J126" s="23">
        <f>IF(J$4="","",(Data!F47*$C$3)/(Market_Price*Common_Shares))</f>
        <v>8.7614515471324053E-2</v>
      </c>
      <c r="K126" s="23">
        <f>IF(K$4="","",(Data!G47*$C$3)/(Market_Price*Common_Shares))</f>
        <v>6.3992671079160374E-2</v>
      </c>
      <c r="L126" s="23">
        <f>IF(L$4="","",(Data!H47*$C$3)/(Market_Price*Common_Shares))</f>
        <v>2.6605358263600078E-2</v>
      </c>
      <c r="M126" s="23">
        <f>IF(M$4="","",(Data!I47*$C$3)/(Market_Price*Common_Shares))</f>
        <v>1.5383927274475498E-2</v>
      </c>
      <c r="N126" s="23">
        <f>IF(N$4="","",(Data!J47*$C$3)/(Market_Price*Common_Shares))</f>
        <v>1.1909624897720425E-2</v>
      </c>
      <c r="O126" s="23">
        <f>IF(O$4="","",(Data!K47*$C$3)/(Market_Price*Common_Shares))</f>
        <v>5.1104958221843402E-3</v>
      </c>
      <c r="P126" s="23">
        <f>IF(P$4="","",(Data!L47*$C$3)/(Market_Price*Common_Shares))</f>
        <v>-5.6075489965962911E-3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2099961241.0878935</v>
      </c>
      <c r="D4" t="str">
        <f>Reporting_currency</f>
        <v>CNY</v>
      </c>
      <c r="E4" s="100" t="s">
        <v>250</v>
      </c>
      <c r="F4" s="134">
        <f>Terminal_Growth</f>
        <v>0</v>
      </c>
      <c r="H4" s="120"/>
    </row>
    <row r="5" spans="2:8">
      <c r="B5" s="205" t="s">
        <v>123</v>
      </c>
      <c r="C5" s="206">
        <f>Equity_Cost</f>
        <v>0.06</v>
      </c>
      <c r="E5" s="148"/>
      <c r="H5" s="120"/>
    </row>
    <row r="6" spans="2:8" ht="13.35" customHeight="1">
      <c r="B6" s="149" t="s">
        <v>228</v>
      </c>
      <c r="C6" s="347">
        <f>(C4*(1+Terminal_Growth))/(Equity_Cost-Terminal_Growth)</f>
        <v>34999354018.131561</v>
      </c>
      <c r="D6" t="str">
        <f>Reporting_currency</f>
        <v>CNY</v>
      </c>
      <c r="E6" s="364" t="s">
        <v>249</v>
      </c>
      <c r="F6" s="364"/>
      <c r="H6" s="120"/>
    </row>
    <row r="7" spans="2:8">
      <c r="B7" s="148" t="s">
        <v>224</v>
      </c>
      <c r="C7" s="338">
        <f>BS!G31</f>
        <v>123521704.27</v>
      </c>
      <c r="D7" t="str">
        <f>Reporting_currency</f>
        <v>CNY</v>
      </c>
      <c r="E7" s="364"/>
      <c r="F7" s="364"/>
      <c r="H7" s="120"/>
    </row>
    <row r="8" spans="2:8">
      <c r="B8" s="148" t="s">
        <v>225</v>
      </c>
      <c r="C8" s="338">
        <f>BS!D66</f>
        <v>51803895.882383943</v>
      </c>
      <c r="D8" t="str">
        <f>Reporting_currency</f>
        <v>CNY</v>
      </c>
      <c r="E8" s="364"/>
      <c r="F8" s="364"/>
      <c r="H8" s="120"/>
    </row>
    <row r="9" spans="2:8">
      <c r="B9" s="205" t="s">
        <v>190</v>
      </c>
      <c r="C9" s="348">
        <f>BS!H42</f>
        <v>29558000.651999995</v>
      </c>
      <c r="D9" t="str">
        <f>Reporting_currency</f>
        <v>CNY</v>
      </c>
      <c r="E9" s="364"/>
      <c r="F9" s="364"/>
      <c r="H9" s="120"/>
    </row>
    <row r="10" spans="2:8" ht="13.15">
      <c r="B10" s="149" t="s">
        <v>227</v>
      </c>
      <c r="C10" s="347">
        <f>C6-C7+C8+C9</f>
        <v>34957194210.39595</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4.6574870890079501E-2</v>
      </c>
      <c r="H16" s="120"/>
    </row>
    <row r="17" spans="2:17" ht="13.35" customHeight="1">
      <c r="B17" s="118" t="s">
        <v>134</v>
      </c>
      <c r="C17" s="162">
        <f>Scenarios!C64</f>
        <v>10</v>
      </c>
      <c r="H17" s="120"/>
    </row>
    <row r="18" spans="2:17" ht="13.3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129</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1161530875.2</v>
      </c>
      <c r="D4" t="str">
        <f>Market_currency</f>
        <v>CNY</v>
      </c>
      <c r="E4" s="100" t="s">
        <v>250</v>
      </c>
      <c r="F4" s="134">
        <f>Thesis!E22</f>
        <v>0</v>
      </c>
      <c r="H4" s="120"/>
    </row>
    <row r="5" spans="2:8">
      <c r="B5" s="205" t="s">
        <v>123</v>
      </c>
      <c r="C5" s="206">
        <f>Equity_Cost</f>
        <v>0.06</v>
      </c>
      <c r="E5" s="148"/>
      <c r="H5" s="120"/>
    </row>
    <row r="6" spans="2:8" ht="13.35" customHeight="1">
      <c r="B6" s="149" t="s">
        <v>441</v>
      </c>
      <c r="C6" s="319">
        <f>(C4*(1+Terminal_Growth))/(Equity_Cost-Terminal_Growth)</f>
        <v>19358847920</v>
      </c>
      <c r="D6" t="str">
        <f>Reporting_currency</f>
        <v>CNY</v>
      </c>
      <c r="E6" s="364"/>
      <c r="F6" s="364"/>
      <c r="H6" s="120"/>
    </row>
    <row r="7" spans="2:8" ht="13.15">
      <c r="B7" s="149" t="s">
        <v>444</v>
      </c>
      <c r="C7" s="111">
        <f>(C6*scaling_factor)/Common_Shares*Exchange_Rate</f>
        <v>40</v>
      </c>
      <c r="D7" t="str">
        <f>Market_currency</f>
        <v>CNY</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4.6574870890079501E-2</v>
      </c>
      <c r="H11" s="120"/>
    </row>
    <row r="12" spans="2:8" ht="13.35" customHeight="1">
      <c r="B12" s="118" t="s">
        <v>134</v>
      </c>
      <c r="C12" s="162">
        <f>Scenarios!C64</f>
        <v>10</v>
      </c>
      <c r="H12" s="120"/>
    </row>
    <row r="13" spans="2:8" ht="13.35" customHeight="1">
      <c r="B13" s="153" t="s">
        <v>106</v>
      </c>
      <c r="C13" s="140">
        <f>F47/Common_Shares*scaling_factor</f>
        <v>45.766209726984385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1215629025.7472811</v>
      </c>
      <c r="D16" s="138">
        <f>IF($C$12&lt;B16,0,DDM!$C$11)</f>
        <v>4.6574870890079501E-2</v>
      </c>
      <c r="E16" s="124">
        <f t="shared" ref="E16:E45" si="0">IF($C$12&lt;B16,0,1/(1+Equity_Cost)^B16)</f>
        <v>0.94339622641509424</v>
      </c>
      <c r="F16" s="125">
        <f t="shared" ref="F16:F46" si="1">C16*E16</f>
        <v>1146819835.6106424</v>
      </c>
      <c r="H16" s="120"/>
    </row>
    <row r="17" spans="2:8">
      <c r="B17" s="122">
        <v>2</v>
      </c>
      <c r="C17" s="123">
        <f t="shared" ref="C17:C45" si="2">IF(ROW()-ROW($C$16)&lt;$C$12, $C$16*(1+D17)^(ROW()-ROW($C$16)), 0)</f>
        <v>1272246790.6716938</v>
      </c>
      <c r="D17" s="138">
        <f>IF($C$12&lt;B17,0,DDM!$C$11)</f>
        <v>4.6574870890079501E-2</v>
      </c>
      <c r="E17" s="124">
        <f t="shared" si="0"/>
        <v>0.88999644001423983</v>
      </c>
      <c r="F17" s="125">
        <f t="shared" si="1"/>
        <v>1132295114.5173492</v>
      </c>
      <c r="H17" s="120"/>
    </row>
    <row r="18" spans="2:8">
      <c r="B18" s="122">
        <v>3</v>
      </c>
      <c r="C18" s="123">
        <f t="shared" si="2"/>
        <v>1331501520.687546</v>
      </c>
      <c r="D18" s="138">
        <f>IF($C$12&lt;B18,0,DDM!$C$11)</f>
        <v>4.6574870890079501E-2</v>
      </c>
      <c r="E18" s="124">
        <f t="shared" si="0"/>
        <v>0.8396192830323016</v>
      </c>
      <c r="F18" s="125">
        <f t="shared" si="1"/>
        <v>1117954352.1560967</v>
      </c>
      <c r="H18" s="120"/>
    </row>
    <row r="19" spans="2:8">
      <c r="B19" s="122">
        <v>4</v>
      </c>
      <c r="C19" s="123">
        <f t="shared" si="2"/>
        <v>1393516032.1035132</v>
      </c>
      <c r="D19" s="138">
        <f>IF($C$12&lt;B19,0,DDM!$C$11)</f>
        <v>4.6574870890079501E-2</v>
      </c>
      <c r="E19" s="124">
        <f t="shared" si="0"/>
        <v>0.79209366323802044</v>
      </c>
      <c r="F19" s="125">
        <f t="shared" si="1"/>
        <v>1103795218.6497827</v>
      </c>
      <c r="H19" s="120"/>
    </row>
    <row r="20" spans="2:8">
      <c r="B20" s="122">
        <v>5</v>
      </c>
      <c r="C20" s="123">
        <f t="shared" si="2"/>
        <v>1458418861.3819902</v>
      </c>
      <c r="D20" s="138">
        <f>IF($C$12&lt;B20,0,DDM!$C$11)</f>
        <v>4.6574870890079501E-2</v>
      </c>
      <c r="E20" s="124">
        <f t="shared" si="0"/>
        <v>0.74725817286605689</v>
      </c>
      <c r="F20" s="125">
        <f t="shared" si="1"/>
        <v>1089815413.6297011</v>
      </c>
      <c r="H20" s="120"/>
    </row>
    <row r="21" spans="2:8">
      <c r="B21" s="122">
        <v>6</v>
      </c>
      <c r="C21" s="123">
        <f t="shared" si="2"/>
        <v>1526344531.5545132</v>
      </c>
      <c r="D21" s="138">
        <f>IF($C$12&lt;B21,0,DDM!$C$11)</f>
        <v>4.6574870890079501E-2</v>
      </c>
      <c r="E21" s="124">
        <f t="shared" si="0"/>
        <v>0.70496054043967626</v>
      </c>
      <c r="F21" s="125">
        <f t="shared" si="1"/>
        <v>1076012665.861814</v>
      </c>
      <c r="H21" s="120"/>
    </row>
    <row r="22" spans="2:8">
      <c r="B22" s="122">
        <v>7</v>
      </c>
      <c r="C22" s="123">
        <f t="shared" si="2"/>
        <v>1597433831.0454438</v>
      </c>
      <c r="D22" s="138">
        <f>IF($C$12&lt;B22,0,DDM!$C$11)</f>
        <v>4.6574870890079501E-2</v>
      </c>
      <c r="E22" s="124">
        <f t="shared" si="0"/>
        <v>0.66505711362233599</v>
      </c>
      <c r="F22" s="125">
        <f t="shared" si="1"/>
        <v>1062384732.8777531</v>
      </c>
      <c r="H22" s="120"/>
    </row>
    <row r="23" spans="2:8">
      <c r="B23" s="122">
        <v>8</v>
      </c>
      <c r="C23" s="123">
        <f t="shared" si="2"/>
        <v>1671834105.4818304</v>
      </c>
      <c r="D23" s="138">
        <f>IF($C$12&lt;B23,0,DDM!$C$11)</f>
        <v>4.6574870890079501E-2</v>
      </c>
      <c r="E23" s="124">
        <f t="shared" si="0"/>
        <v>0.62741237134182648</v>
      </c>
      <c r="F23" s="125">
        <f t="shared" si="1"/>
        <v>1048929400.6104964</v>
      </c>
      <c r="H23" s="120"/>
    </row>
    <row r="24" spans="2:8">
      <c r="B24" s="122">
        <v>9</v>
      </c>
      <c r="C24" s="123">
        <f t="shared" si="2"/>
        <v>1749699563.0942783</v>
      </c>
      <c r="D24" s="138">
        <f>IF($C$12&lt;B24,0,DDM!$C$11)</f>
        <v>4.6574870890079501E-2</v>
      </c>
      <c r="E24" s="124">
        <f t="shared" si="0"/>
        <v>0.59189846353002495</v>
      </c>
      <c r="F24" s="125">
        <f t="shared" si="1"/>
        <v>1035644483.0346593</v>
      </c>
      <c r="H24" s="120"/>
    </row>
    <row r="25" spans="2:8">
      <c r="B25" s="122">
        <v>10</v>
      </c>
      <c r="C25" s="123">
        <f t="shared" si="2"/>
        <v>1831191594.3418229</v>
      </c>
      <c r="D25" s="138">
        <f>IF($C$12&lt;B25,0,DDM!$C$11)</f>
        <v>4.6574870890079501E-2</v>
      </c>
      <c r="E25" s="124">
        <f t="shared" si="0"/>
        <v>0.55839477691511785</v>
      </c>
      <c r="F25" s="125">
        <f t="shared" si="1"/>
        <v>1022527821.8113412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20260483762.454685</v>
      </c>
      <c r="D46" s="139">
        <f>Terminal_Growth</f>
        <v>0</v>
      </c>
      <c r="E46" s="124">
        <f>1/(1+Equity_Cost)^C12</f>
        <v>0.55839477691511785</v>
      </c>
      <c r="F46" s="125">
        <f t="shared" si="1"/>
        <v>11313348310.728252</v>
      </c>
      <c r="H46" s="120"/>
    </row>
    <row r="47" spans="2:8">
      <c r="C47" s="114"/>
      <c r="E47" s="127" t="s">
        <v>100</v>
      </c>
      <c r="F47" s="137">
        <f>SUM(F16:F46)</f>
        <v>22149527349.487885</v>
      </c>
      <c r="H47" s="120"/>
    </row>
    <row r="48" spans="2:8">
      <c r="C48" s="114"/>
      <c r="H48" s="120"/>
    </row>
    <row r="49" spans="1:8" ht="13.15">
      <c r="B49" s="119" t="s">
        <v>129</v>
      </c>
      <c r="C49" s="136"/>
      <c r="D49" s="136"/>
      <c r="E49" s="117"/>
      <c r="F49" s="117"/>
      <c r="H49" s="120"/>
    </row>
    <row r="50" spans="1:8" ht="13.15">
      <c r="A50" s="133">
        <f>F47</f>
        <v>22149527349.487885</v>
      </c>
      <c r="B50" s="131">
        <f>C73</f>
        <v>0</v>
      </c>
      <c r="C50" s="131">
        <f>C72</f>
        <v>0.02</v>
      </c>
      <c r="D50" s="131">
        <f>C71</f>
        <v>0.04</v>
      </c>
      <c r="E50" s="131">
        <f>C70</f>
        <v>0.06</v>
      </c>
      <c r="F50" s="131">
        <f>C69</f>
        <v>0.1</v>
      </c>
      <c r="H50" s="120"/>
    </row>
    <row r="51" spans="1:8" ht="13.15">
      <c r="A51" s="143">
        <v>5</v>
      </c>
      <c r="B51" s="123">
        <f t="dataTable" ref="B51:F56" dt2D="1" dtr="1" r1="C11" r2="C12"/>
        <v>19358847919.999992</v>
      </c>
      <c r="C51" s="123">
        <v>19937720617.270786</v>
      </c>
      <c r="D51" s="123">
        <v>20531772759.119011</v>
      </c>
      <c r="E51" s="123">
        <v>21141675141.020531</v>
      </c>
      <c r="F51" s="123">
        <v>22411818462.446606</v>
      </c>
      <c r="H51" s="120"/>
    </row>
    <row r="52" spans="1:8" ht="13.15">
      <c r="A52" s="143">
        <v>10</v>
      </c>
      <c r="B52" s="123">
        <v>19358847919.999992</v>
      </c>
      <c r="C52" s="123">
        <v>20484024681.432236</v>
      </c>
      <c r="D52" s="123">
        <v>21717941421.923744</v>
      </c>
      <c r="E52" s="123">
        <v>23073781091.559425</v>
      </c>
      <c r="F52" s="123">
        <v>26211540423.754593</v>
      </c>
      <c r="H52" s="120"/>
    </row>
    <row r="53" spans="1:8" ht="13.15">
      <c r="A53" s="143">
        <v>15</v>
      </c>
      <c r="B53" s="123">
        <v>19358847919.999989</v>
      </c>
      <c r="C53" s="123">
        <v>21224791053.552818</v>
      </c>
      <c r="D53" s="123">
        <v>23411947252.169121</v>
      </c>
      <c r="E53" s="123">
        <v>25985400232.295429</v>
      </c>
      <c r="F53" s="123">
        <v>32619157160.448387</v>
      </c>
      <c r="H53" s="120"/>
    </row>
    <row r="54" spans="1:8" ht="13.15">
      <c r="A54" s="144">
        <v>20</v>
      </c>
      <c r="B54" s="123">
        <v>19358847919.999989</v>
      </c>
      <c r="C54" s="123">
        <v>22052688248.369595</v>
      </c>
      <c r="D54" s="123">
        <v>25412068314.253967</v>
      </c>
      <c r="E54" s="123">
        <v>29628968609.836342</v>
      </c>
      <c r="F54" s="123">
        <v>41701563514.909637</v>
      </c>
      <c r="H54" s="120"/>
    </row>
    <row r="55" spans="1:8" ht="13.15">
      <c r="A55" s="144">
        <v>25</v>
      </c>
      <c r="B55" s="123">
        <v>19358847919.999989</v>
      </c>
      <c r="C55" s="123">
        <v>22897691969.888008</v>
      </c>
      <c r="D55" s="123">
        <v>27574231649.010162</v>
      </c>
      <c r="E55" s="123">
        <v>33819492036.702785</v>
      </c>
      <c r="F55" s="123">
        <v>53656467924.790802</v>
      </c>
      <c r="H55" s="120"/>
    </row>
    <row r="56" spans="1:8" ht="13.15">
      <c r="A56" s="144">
        <v>30</v>
      </c>
      <c r="B56" s="123">
        <v>19358847919.999985</v>
      </c>
      <c r="C56" s="123">
        <v>23715874858.376266</v>
      </c>
      <c r="D56" s="123">
        <v>29796837439.438824</v>
      </c>
      <c r="E56" s="123">
        <v>38418732094.368088</v>
      </c>
      <c r="F56" s="123">
        <v>68809386612.205093</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40</v>
      </c>
      <c r="C60" s="124">
        <f>C7</f>
        <v>40</v>
      </c>
      <c r="D60" s="124">
        <f>C7</f>
        <v>40</v>
      </c>
      <c r="E60" s="141">
        <f>C7</f>
        <v>40</v>
      </c>
      <c r="F60" s="124">
        <f>C7</f>
        <v>40</v>
      </c>
      <c r="H60" s="120"/>
    </row>
    <row r="61" spans="1:8" ht="13.15">
      <c r="A61" s="143">
        <f t="shared" ref="A61:A66" si="3">A51</f>
        <v>5</v>
      </c>
      <c r="B61" s="124">
        <f t="shared" ref="B61:F66" si="4">B51/Common_Shares*$C$3*Exchange_Rate</f>
        <v>39.999999999999986</v>
      </c>
      <c r="C61" s="124">
        <f t="shared" si="4"/>
        <v>41.196089146757004</v>
      </c>
      <c r="D61" s="124">
        <f t="shared" si="4"/>
        <v>42.423542648748722</v>
      </c>
      <c r="E61" s="124">
        <f t="shared" si="4"/>
        <v>43.68374652952081</v>
      </c>
      <c r="F61" s="124">
        <f t="shared" si="4"/>
        <v>46.308165764952413</v>
      </c>
      <c r="H61" s="120"/>
    </row>
    <row r="62" spans="1:8" ht="13.15">
      <c r="A62" s="143">
        <f t="shared" si="3"/>
        <v>10</v>
      </c>
      <c r="B62" s="124">
        <f t="shared" si="4"/>
        <v>39.999999999999986</v>
      </c>
      <c r="C62" s="124">
        <f t="shared" si="4"/>
        <v>42.324883724655521</v>
      </c>
      <c r="D62" s="124">
        <f t="shared" si="4"/>
        <v>44.874450198013115</v>
      </c>
      <c r="E62" s="124">
        <f t="shared" si="4"/>
        <v>47.675938541201013</v>
      </c>
      <c r="F62" s="124">
        <f t="shared" si="4"/>
        <v>54.159298181530616</v>
      </c>
      <c r="H62" s="120"/>
    </row>
    <row r="63" spans="1:8" ht="13.15">
      <c r="A63" s="143">
        <f t="shared" si="3"/>
        <v>15</v>
      </c>
      <c r="B63" s="124">
        <f t="shared" si="4"/>
        <v>39.999999999999979</v>
      </c>
      <c r="C63" s="124">
        <f t="shared" si="4"/>
        <v>43.855483841319042</v>
      </c>
      <c r="D63" s="124">
        <f t="shared" si="4"/>
        <v>48.374670536012189</v>
      </c>
      <c r="E63" s="124">
        <f t="shared" si="4"/>
        <v>53.692038575186928</v>
      </c>
      <c r="F63" s="124">
        <f t="shared" si="4"/>
        <v>67.39896360619457</v>
      </c>
      <c r="H63" s="120"/>
    </row>
    <row r="64" spans="1:8" ht="13.15">
      <c r="A64" s="144">
        <f t="shared" si="3"/>
        <v>20</v>
      </c>
      <c r="B64" s="124">
        <f t="shared" si="4"/>
        <v>39.999999999999979</v>
      </c>
      <c r="C64" s="124">
        <f t="shared" si="4"/>
        <v>45.566117032380909</v>
      </c>
      <c r="D64" s="124">
        <f t="shared" si="4"/>
        <v>52.507398000684262</v>
      </c>
      <c r="E64" s="124">
        <f t="shared" si="4"/>
        <v>61.220520419969993</v>
      </c>
      <c r="F64" s="124">
        <f t="shared" si="4"/>
        <v>86.165382748478422</v>
      </c>
      <c r="H64" s="120"/>
    </row>
    <row r="65" spans="1:8" ht="13.15">
      <c r="A65" s="144">
        <f t="shared" si="3"/>
        <v>25</v>
      </c>
      <c r="B65" s="124">
        <f t="shared" si="4"/>
        <v>39.999999999999979</v>
      </c>
      <c r="C65" s="124">
        <f t="shared" si="4"/>
        <v>47.312096390264962</v>
      </c>
      <c r="D65" s="124">
        <f t="shared" si="4"/>
        <v>56.974943473826642</v>
      </c>
      <c r="E65" s="124">
        <f t="shared" si="4"/>
        <v>69.87914193336519</v>
      </c>
      <c r="F65" s="124">
        <f t="shared" si="4"/>
        <v>110.86706842581737</v>
      </c>
    </row>
    <row r="66" spans="1:8" ht="13.15">
      <c r="A66" s="144">
        <f t="shared" si="3"/>
        <v>30</v>
      </c>
      <c r="B66" s="124">
        <f t="shared" si="4"/>
        <v>39.999999999999972</v>
      </c>
      <c r="C66" s="124">
        <f t="shared" si="4"/>
        <v>49.00265750602842</v>
      </c>
      <c r="D66" s="124">
        <f t="shared" si="4"/>
        <v>61.567377485630509</v>
      </c>
      <c r="E66" s="124">
        <f t="shared" si="4"/>
        <v>79.382269550610914</v>
      </c>
      <c r="F66" s="124">
        <f t="shared" si="4"/>
        <v>142.17661484104494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67.39896360619457</v>
      </c>
      <c r="F69" s="142">
        <f>Scenarios!C58</f>
        <v>0.05</v>
      </c>
    </row>
    <row r="70" spans="1:8">
      <c r="B70" s="127" t="str">
        <f>Scenarios!B36</f>
        <v>Optimistic</v>
      </c>
      <c r="C70" s="142">
        <f>Scenarios!C38</f>
        <v>0.06</v>
      </c>
      <c r="D70" s="145">
        <f>Scenarios!C37</f>
        <v>10</v>
      </c>
      <c r="E70" s="135">
        <f>INDEX(B$60:F$66, MATCH(D70, A$60:A$66, 0), MATCH(C70, B$59:F$59, 0))</f>
        <v>47.675938541201013</v>
      </c>
      <c r="F70" s="142">
        <f>Scenarios!C40*(1-F$69-F$73)</f>
        <v>0.18</v>
      </c>
      <c r="H70" s="120"/>
    </row>
    <row r="71" spans="1:8">
      <c r="B71" s="127" t="str">
        <f>Scenarios!B24</f>
        <v>Base</v>
      </c>
      <c r="C71" s="142">
        <f>Scenarios!C26</f>
        <v>0.04</v>
      </c>
      <c r="D71" s="145">
        <f>Scenarios!C25</f>
        <v>10</v>
      </c>
      <c r="E71" s="135">
        <f>INDEX(B$60:F$66, MATCH(D71, A$60:A$66, 0), MATCH(C71, B$59:F$59, 0))</f>
        <v>44.874450198013115</v>
      </c>
      <c r="F71" s="142">
        <f>Scenarios!C28*(1-F$69-F$73)</f>
        <v>0.53999999999999992</v>
      </c>
      <c r="H71" s="120"/>
    </row>
    <row r="72" spans="1:8">
      <c r="B72" s="127" t="str">
        <f>Scenarios!B30</f>
        <v>Pessimistic</v>
      </c>
      <c r="C72" s="142">
        <f>Scenarios!C32</f>
        <v>0.02</v>
      </c>
      <c r="D72" s="145">
        <f>Scenarios!C31</f>
        <v>10</v>
      </c>
      <c r="E72" s="135">
        <f>INDEX(B$60:F$66, MATCH(D72, A$60:A$66, 0), MATCH(C72, B$59:F$59, 0))</f>
        <v>42.324883724655521</v>
      </c>
      <c r="F72" s="142">
        <f>Scenarios!C34*(1-F$69-F$73)</f>
        <v>0.18</v>
      </c>
      <c r="H72" s="120"/>
    </row>
    <row r="73" spans="1:8">
      <c r="B73" s="127" t="str">
        <f>Scenarios!B48</f>
        <v>Devil's advocate</v>
      </c>
      <c r="C73" s="142">
        <f>Scenarios!C50</f>
        <v>0</v>
      </c>
      <c r="D73" s="145">
        <f>Scenarios!C49</f>
        <v>15</v>
      </c>
      <c r="E73" s="135">
        <f>INDEX(B$60:F$66, MATCH(D73, A$60:A$66, 0), MATCH(C73, B$59:F$59, 0))</f>
        <v>39.999999999999979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-56.58</v>
      </c>
    </row>
    <row r="4" spans="2:9">
      <c r="B4" s="152" t="s">
        <v>146</v>
      </c>
      <c r="C4" s="120">
        <v>3</v>
      </c>
      <c r="D4" s="120"/>
      <c r="E4" s="155" t="s">
        <v>150</v>
      </c>
      <c r="F4" s="155"/>
      <c r="H4" s="247">
        <v>1</v>
      </c>
      <c r="I4" s="124">
        <f t="shared" ref="I4:I13" si="0">IF(ROW()-3 &lt; $C$76, $C$77, IF(ROW()-3 = $C$76, $C$77 + $C$60, ""))</f>
        <v>2.4</v>
      </c>
    </row>
    <row r="5" spans="2:9">
      <c r="H5" s="247">
        <v>2</v>
      </c>
      <c r="I5" s="124">
        <f t="shared" si="0"/>
        <v>2.4</v>
      </c>
    </row>
    <row r="6" spans="2:9" ht="13.15">
      <c r="B6" s="159" t="s">
        <v>95</v>
      </c>
      <c r="C6" s="107">
        <f>DCF!C3</f>
        <v>1</v>
      </c>
      <c r="E6" s="100" t="s">
        <v>279</v>
      </c>
      <c r="F6" s="100"/>
      <c r="H6" s="247">
        <v>3</v>
      </c>
      <c r="I6" s="124">
        <f t="shared" si="0"/>
        <v>85.120030767403335</v>
      </c>
    </row>
    <row r="7" spans="2:9" ht="12.75" customHeight="1">
      <c r="B7" s="100" t="s">
        <v>275</v>
      </c>
      <c r="C7" s="338">
        <f>Normalized_FCF!G8</f>
        <v>3109212579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6"/>
      <c r="H7" s="247">
        <v>4</v>
      </c>
      <c r="I7" s="124" t="str">
        <f t="shared" si="0"/>
        <v/>
      </c>
    </row>
    <row r="8" spans="2:9">
      <c r="B8" s="100" t="s">
        <v>66</v>
      </c>
      <c r="C8" s="338">
        <f>Normalized_FCF!G19</f>
        <v>2323278784.8162661</v>
      </c>
      <c r="D8" t="str">
        <f>Reporting_currency</f>
        <v>CNY</v>
      </c>
      <c r="E8" s="366"/>
      <c r="F8" s="366"/>
      <c r="H8" s="247">
        <v>5</v>
      </c>
      <c r="I8" s="124" t="str">
        <f t="shared" si="0"/>
        <v/>
      </c>
    </row>
    <row r="9" spans="2:9">
      <c r="B9" s="100" t="s">
        <v>57</v>
      </c>
      <c r="C9" s="338">
        <f>Normalized_FCF!C19</f>
        <v>2099961241.0878935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3.7342435425912202E-2</v>
      </c>
      <c r="D12" s="158"/>
      <c r="E12" s="366"/>
      <c r="F12" s="366"/>
      <c r="H12" s="247">
        <v>9</v>
      </c>
      <c r="I12" s="124" t="str">
        <f t="shared" si="0"/>
        <v/>
      </c>
    </row>
    <row r="13" spans="2:9">
      <c r="B13" s="148" t="s">
        <v>152</v>
      </c>
      <c r="C13" s="158">
        <f ca="1">(Normalized_FCF!G8/OFFSET(Normalized_FCF!G8, 0, $C$4))^(1/$C$4) - 1</f>
        <v>2.3730241339145586E-2</v>
      </c>
      <c r="E13" s="366"/>
      <c r="F13" s="366"/>
      <c r="H13" s="247">
        <v>10</v>
      </c>
      <c r="I13" s="124" t="str">
        <f t="shared" si="0"/>
        <v/>
      </c>
    </row>
    <row r="14" spans="2:9">
      <c r="B14" s="100" t="s">
        <v>66</v>
      </c>
      <c r="C14" s="158">
        <f ca="1">(Normalized_FCF!G19/OFFSET(Normalized_FCF!G19, 0, $C$4))^(1/$C$4) - 1</f>
        <v>-7.4772485650086429E-3</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56.58</v>
      </c>
      <c r="D21" t="str">
        <f>Market_currency</f>
        <v>CNY</v>
      </c>
      <c r="E21" s="367"/>
      <c r="F21" s="367"/>
    </row>
    <row r="22" spans="2:6">
      <c r="B22" s="100" t="s">
        <v>278</v>
      </c>
      <c r="C22" s="160">
        <f>IF(valuation_method="DCF",DCF!C12,DDM!C7)</f>
        <v>72.229906149076143</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81.042548762367147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76.433122624894764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86.107430862071254</v>
      </c>
      <c r="D39" t="str">
        <f>Market_currency</f>
        <v>CNY</v>
      </c>
      <c r="E39" s="365"/>
      <c r="F39" s="365"/>
    </row>
    <row r="40" spans="2:6">
      <c r="B40" s="100" t="s">
        <v>147</v>
      </c>
      <c r="C40" s="167">
        <f>1-C28-C34</f>
        <v>0.2</v>
      </c>
      <c r="D40" s="165"/>
      <c r="E40" s="365"/>
      <c r="F40" s="365"/>
    </row>
    <row r="42" spans="2:6" ht="13.15">
      <c r="B42" s="100" t="s">
        <v>120</v>
      </c>
      <c r="C42" s="154">
        <f>C27*C28+C33*C34+C39*C40</f>
        <v>81.133639954813503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72.229906149076086</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121.7651900123478</v>
      </c>
      <c r="D57" t="str">
        <f>Market_currency</f>
        <v>CNY</v>
      </c>
      <c r="E57" s="365"/>
      <c r="F57" s="365"/>
    </row>
    <row r="58" spans="2:6">
      <c r="B58" s="100" t="s">
        <v>147</v>
      </c>
      <c r="C58" s="165">
        <v>0.05</v>
      </c>
      <c r="D58" s="165"/>
      <c r="E58" s="365"/>
      <c r="F58" s="365"/>
    </row>
    <row r="60" spans="2:6" ht="13.15">
      <c r="B60" s="100" t="s">
        <v>120</v>
      </c>
      <c r="C60" s="154">
        <f>C51*C52+C57*C58+C42*(1-C52-C58)</f>
        <v>82.72003076740333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82.654783518406717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-1.0530971019379444E-3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2.4</v>
      </c>
      <c r="D77" t="str">
        <f>Market_currency</f>
        <v>CNY</v>
      </c>
    </row>
    <row r="79" spans="2:6" ht="13.15">
      <c r="B79" s="109" t="s">
        <v>301</v>
      </c>
    </row>
    <row r="80" spans="2:6">
      <c r="B80" s="148" t="s">
        <v>299</v>
      </c>
      <c r="C80" s="167">
        <f>Thesis!F29</f>
        <v>0.33700000000000002</v>
      </c>
    </row>
    <row r="81" spans="2:8">
      <c r="B81" s="100" t="s">
        <v>121</v>
      </c>
      <c r="C81" s="116">
        <f>PV(C80, C76, -C77, 0)</f>
        <v>4.1418616988593371</v>
      </c>
      <c r="D81" s="116"/>
      <c r="E81" s="100"/>
      <c r="F81" s="100"/>
    </row>
    <row r="82" spans="2:8">
      <c r="B82" s="100" t="s">
        <v>122</v>
      </c>
      <c r="C82" s="116">
        <f>C60/(1+C80)^C76</f>
        <v>34.611184744795338</v>
      </c>
      <c r="D82" s="116"/>
    </row>
    <row r="83" spans="2:8" ht="13.15">
      <c r="B83" s="110" t="s">
        <v>101</v>
      </c>
      <c r="C83" s="111">
        <f>C81+C82</f>
        <v>38.753046443654675</v>
      </c>
      <c r="D83" t="str">
        <f>Market_currency</f>
        <v>CNY</v>
      </c>
      <c r="E83" s="146" t="s">
        <v>126</v>
      </c>
      <c r="F83" s="291">
        <f>(1-C83/C60)</f>
        <v>0.53151557024171581</v>
      </c>
    </row>
    <row r="84" spans="2:8">
      <c r="E84" s="120"/>
    </row>
    <row r="85" spans="2:8" ht="13.15">
      <c r="B85" s="109" t="s">
        <v>302</v>
      </c>
    </row>
    <row r="86" spans="2:8">
      <c r="B86" s="148" t="s">
        <v>300</v>
      </c>
      <c r="C86" s="116">
        <f>Market_Price</f>
        <v>56.58</v>
      </c>
      <c r="D86" t="str">
        <f>Market_currency</f>
        <v>CNY</v>
      </c>
    </row>
    <row r="87" spans="2:8" ht="13.15">
      <c r="B87" s="100" t="s">
        <v>298</v>
      </c>
      <c r="C87" s="237">
        <f ca="1">IRR(OFFSET($I$3, 0, 0, $C$76 + 1, 1))</f>
        <v>0.17264221100414634</v>
      </c>
    </row>
    <row r="88" spans="2:8">
      <c r="B88" s="100"/>
    </row>
    <row r="89" spans="2:8" ht="13.15">
      <c r="B89" s="109" t="s">
        <v>412</v>
      </c>
    </row>
    <row r="90" spans="2:8">
      <c r="B90" s="148" t="s">
        <v>413</v>
      </c>
      <c r="C90" s="167">
        <f>Thesis!F30</f>
        <v>0.187</v>
      </c>
    </row>
    <row r="91" spans="2:8">
      <c r="B91" s="100" t="s">
        <v>121</v>
      </c>
      <c r="C91" s="116">
        <f>PV(C90, C76, -C77, 0)</f>
        <v>5.160300872171014</v>
      </c>
      <c r="D91" s="116"/>
      <c r="E91" s="100"/>
      <c r="F91" s="100"/>
    </row>
    <row r="92" spans="2:8">
      <c r="B92" s="100" t="s">
        <v>122</v>
      </c>
      <c r="C92" s="116">
        <f>C60/(1+C90)^C76</f>
        <v>49.460503195272771</v>
      </c>
      <c r="D92" s="116"/>
    </row>
    <row r="93" spans="2:8" ht="13.15">
      <c r="B93" s="110" t="s">
        <v>101</v>
      </c>
      <c r="C93" s="111">
        <f>C91+C92</f>
        <v>54.620804067443785</v>
      </c>
      <c r="D93" t="str">
        <f>Market_currency</f>
        <v>CNY</v>
      </c>
      <c r="E93" s="146" t="s">
        <v>126</v>
      </c>
      <c r="F93" s="291">
        <f>(1-C93/C60)</f>
        <v>0.33969071867212519</v>
      </c>
    </row>
    <row r="95" spans="2:8" ht="13.15">
      <c r="B95" s="109" t="s">
        <v>397</v>
      </c>
      <c r="G95" s="2"/>
      <c r="H95" s="281"/>
    </row>
    <row r="96" spans="2:8">
      <c r="B96" s="148" t="s">
        <v>403</v>
      </c>
      <c r="C96" s="134">
        <f>Thesis!F31</f>
        <v>0.06</v>
      </c>
      <c r="G96" s="2"/>
      <c r="H96" s="281"/>
    </row>
    <row r="97" spans="2:8">
      <c r="B97" s="100" t="s">
        <v>121</v>
      </c>
      <c r="C97" s="116">
        <f>PV(C96, C76, -C77, 0)</f>
        <v>6.4152286787079351</v>
      </c>
      <c r="D97" s="116"/>
      <c r="G97" s="2"/>
      <c r="H97" s="281"/>
    </row>
    <row r="98" spans="2:8">
      <c r="B98" s="100" t="s">
        <v>122</v>
      </c>
      <c r="C98" s="116">
        <f>C60/(1+C96)^C76</f>
        <v>69.453332925337108</v>
      </c>
      <c r="D98" s="116"/>
      <c r="G98" s="2"/>
      <c r="H98" s="281"/>
    </row>
    <row r="99" spans="2:8" ht="13.15">
      <c r="B99" s="110" t="s">
        <v>398</v>
      </c>
      <c r="C99" s="111">
        <f>C97+C98</f>
        <v>75.868561604045041</v>
      </c>
      <c r="D99" t="s">
        <v>396</v>
      </c>
      <c r="E99" s="146" t="s">
        <v>126</v>
      </c>
      <c r="F99" s="291">
        <f>(1-C99/C60)</f>
        <v>8.2827207627903632E-2</v>
      </c>
    </row>
    <row r="100" spans="2:8">
      <c r="B100" s="100"/>
    </row>
    <row r="101" spans="2:8" ht="13.15">
      <c r="B101" s="109" t="s">
        <v>422</v>
      </c>
    </row>
    <row r="102" spans="2:8">
      <c r="B102" s="148" t="s">
        <v>421</v>
      </c>
      <c r="C102" s="134">
        <f>Thesis!F32</f>
        <v>8.6999999999999994E-2</v>
      </c>
    </row>
    <row r="103" spans="2:8">
      <c r="B103" s="100" t="s">
        <v>121</v>
      </c>
      <c r="C103" s="116">
        <f>PV(C102, C76, -C77, 0)</f>
        <v>6.1077361402784396</v>
      </c>
      <c r="D103" s="116"/>
    </row>
    <row r="104" spans="2:8">
      <c r="B104" s="100" t="s">
        <v>122</v>
      </c>
      <c r="C104" s="116">
        <f>C60/(1+C102)^C76</f>
        <v>64.405366365094082</v>
      </c>
      <c r="D104" s="116"/>
    </row>
    <row r="105" spans="2:8" ht="13.15">
      <c r="B105" s="110" t="s">
        <v>398</v>
      </c>
      <c r="C105" s="111">
        <f>C103+C104</f>
        <v>70.513102505372515</v>
      </c>
      <c r="D105" t="s">
        <v>396</v>
      </c>
      <c r="E105" s="146" t="s">
        <v>126</v>
      </c>
      <c r="F105" s="291">
        <f>(1-C105/C66)</f>
        <v>0.14689628955752243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