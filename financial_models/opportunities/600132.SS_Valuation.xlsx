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_v4/financial_models/opportunities/"/>
    </mc:Choice>
  </mc:AlternateContent>
  <xr:revisionPtr revIDLastSave="0" documentId="13_ncr:1_{34428E6D-7FC0-4941-AD1B-D71B3A68FBB4}" xr6:coauthVersionLast="47" xr6:coauthVersionMax="47" xr10:uidLastSave="{00000000-0000-0000-0000-000000000000}"/>
  <bookViews>
    <workbookView xWindow="0" yWindow="0" windowWidth="28800" windowHeight="18000"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6" i="4"/>
  <c r="D6" i="4"/>
  <c r="E6" i="4"/>
  <c r="F6" i="4"/>
  <c r="G6" i="4"/>
  <c r="H6" i="4"/>
  <c r="I6" i="4"/>
  <c r="J6" i="4"/>
  <c r="K6" i="4"/>
  <c r="L6" i="4"/>
  <c r="C25" i="4"/>
  <c r="C28" i="4"/>
  <c r="C29" i="4"/>
  <c r="C30" i="4"/>
  <c r="C3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58" i="2" l="1"/>
  <c r="C66" i="2"/>
  <c r="F55" i="8"/>
  <c r="F64" i="8" s="1"/>
  <c r="C116" i="6"/>
  <c r="C103" i="6"/>
  <c r="C104" i="6" s="1"/>
  <c r="G67" i="2"/>
  <c r="C67" i="2" l="1"/>
  <c r="C59" i="2" s="1"/>
  <c r="C77" i="8"/>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M9" i="2"/>
  <c r="I62" i="4"/>
  <c r="M10" i="2" s="1"/>
  <c r="O9" i="2"/>
  <c r="K62" i="4"/>
  <c r="O10" i="2" s="1"/>
  <c r="N9" i="2"/>
  <c r="J62" i="4"/>
  <c r="N10" i="2" s="1"/>
  <c r="L9" i="2"/>
  <c r="H62" i="4"/>
  <c r="L10" i="2" s="1"/>
  <c r="H9" i="2"/>
  <c r="D62" i="4"/>
  <c r="H10" i="2" s="1"/>
  <c r="K9" i="2"/>
  <c r="G62" i="4"/>
  <c r="K10" i="2" s="1"/>
  <c r="G9" i="2"/>
  <c r="D58" i="3" s="1"/>
  <c r="C62" i="4"/>
  <c r="G10" i="2" s="1"/>
  <c r="J9" i="2"/>
  <c r="F62" i="4"/>
  <c r="J10" i="2" s="1"/>
  <c r="I9" i="2"/>
  <c r="E62" i="4"/>
  <c r="I10" i="2" s="1"/>
  <c r="K45" i="4"/>
  <c r="C77" i="9"/>
  <c r="C91" i="9" s="1"/>
  <c r="C145" i="6" s="1"/>
  <c r="L45" i="4"/>
  <c r="C70" i="3"/>
  <c r="C69" i="2" s="1"/>
  <c r="C98" i="6"/>
  <c r="J45" i="4"/>
  <c r="I45" i="4"/>
  <c r="G35" i="3"/>
  <c r="G40"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F71" i="4" s="1"/>
  <c r="L38" i="4"/>
  <c r="L43" i="4" s="1"/>
  <c r="L44" i="4" s="1"/>
  <c r="L58" i="4" s="1"/>
  <c r="P62" i="2" s="1"/>
  <c r="E38" i="4"/>
  <c r="E43" i="4" s="1"/>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83" i="2" s="1"/>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D69" i="8"/>
  <c r="F66" i="8"/>
  <c r="F68" i="8"/>
  <c r="D67" i="8"/>
  <c r="F67" i="8"/>
  <c r="C67" i="8"/>
  <c r="D71" i="8"/>
  <c r="D70" i="8"/>
  <c r="D68" i="8"/>
  <c r="C68" i="8"/>
  <c r="F70" i="8"/>
  <c r="E67" i="8"/>
  <c r="E70" i="8"/>
  <c r="F71" i="8"/>
  <c r="E69" i="8"/>
  <c r="C69" i="8"/>
  <c r="B68" i="8"/>
  <c r="B67" i="8"/>
  <c r="G54" i="2"/>
  <c r="C54" i="2" s="1"/>
  <c r="B66" i="8" l="1"/>
  <c r="C66" i="8"/>
  <c r="E66" i="8"/>
  <c r="E68" i="8"/>
  <c r="D66" i="8"/>
  <c r="B70" i="8"/>
  <c r="C70" i="8"/>
  <c r="B69" i="8"/>
  <c r="F69"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<sst xmlns="http://schemas.openxmlformats.org/spreadsheetml/2006/main" count="626" uniqueCount="439">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</sst>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1">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45780</v>
      </c>
      <c r="D1" s="52"/>
      <c r="E1" s="327" t="s">
        <v>361</v>
      </c>
      <c r="F1" s="280" t="s">
        <v>431</v>
      </c>
    </row>
    <row r="2" spans="1:10" ht="16" x14ac:dyDescent="0.25">
      <c r="A2" s="245" t="s">
        <v>268</v>
      </c>
      <c r="B2" s="36"/>
      <c r="C2" s="36"/>
      <c r="D2" s="36"/>
      <c r="E2" s="36"/>
      <c r="F2" s="36"/>
      <c r="G2" s="22"/>
      <c r="H2" s="22"/>
      <c r="I2" s="22"/>
      <c r="J2" s="22"/>
    </row>
    <row r="4" spans="1:10" x14ac:dyDescent="0.15">
      <c r="B4" s="45" t="s">
        <v>425</v>
      </c>
      <c r="C4" s="46"/>
      <c r="D4" s="5"/>
      <c r="E4" s="2"/>
      <c r="F4" s="2"/>
    </row>
    <row r="5" spans="1:10" ht="14" x14ac:dyDescent="0.2">
      <c r="B5" s="4" t="s">
        <v>323</v>
      </c>
      <c r="C5" s="329" t="s">
        <v>432</v>
      </c>
    </row>
    <row r="6" spans="1:10" x14ac:dyDescent="0.15">
      <c r="B6" s="4" t="s">
        <v>0</v>
      </c>
      <c r="C6" s="51">
        <v>483971198</v>
      </c>
      <c r="E6" s="48"/>
    </row>
    <row r="7" spans="1:10" x14ac:dyDescent="0.15">
      <c r="B7" s="2" t="s">
        <v>314</v>
      </c>
      <c r="C7" s="275">
        <v>6</v>
      </c>
      <c r="D7" s="48"/>
      <c r="E7" s="48"/>
    </row>
    <row r="8" spans="1:10" x14ac:dyDescent="0.15">
      <c r="B8" s="1" t="s">
        <v>269</v>
      </c>
      <c r="C8" s="33">
        <f>EOMONTH(EDATE(BS!C1,C7+2),0)</f>
        <v>45900</v>
      </c>
      <c r="E8" s="48"/>
    </row>
    <row r="9" spans="1:10" x14ac:dyDescent="0.15">
      <c r="E9" s="34"/>
    </row>
    <row r="10" spans="1:10" x14ac:dyDescent="0.15">
      <c r="B10" s="45" t="s">
        <v>428</v>
      </c>
      <c r="C10" s="46"/>
      <c r="E10" s="34"/>
    </row>
    <row r="11" spans="1:10" x14ac:dyDescent="0.15">
      <c r="B11" s="1" t="s">
        <v>427</v>
      </c>
      <c r="C11" s="49" t="s">
        <v>433</v>
      </c>
      <c r="D11" s="49" t="s">
        <v>434</v>
      </c>
      <c r="E11" s="34"/>
    </row>
    <row r="12" spans="1:10" x14ac:dyDescent="0.15">
      <c r="B12" s="4" t="s">
        <v>95</v>
      </c>
      <c r="C12" s="50">
        <v>57.12</v>
      </c>
      <c r="D12" s="50"/>
      <c r="E12" s="48"/>
    </row>
    <row r="13" spans="1:10" x14ac:dyDescent="0.15">
      <c r="B13" s="1" t="s">
        <v>426</v>
      </c>
      <c r="C13" s="48" t="s">
        <v>424</v>
      </c>
      <c r="D13" s="48"/>
      <c r="E13" s="5"/>
    </row>
    <row r="14" spans="1:10" x14ac:dyDescent="0.15">
      <c r="B14" s="4" t="s">
        <v>430</v>
      </c>
      <c r="C14" s="35">
        <f>Thesis!C12*Common_Shares/1000000</f>
        <v>27644.434829759997</v>
      </c>
      <c r="D14" s="35" t="str">
        <f>IF(D11="","",Thesis!D12*Common_Shares/1000000)</f>
        <v/>
      </c>
      <c r="E14" s="5"/>
    </row>
    <row r="15" spans="1:10" x14ac:dyDescent="0.15">
      <c r="B15" s="4" t="s">
        <v>429</v>
      </c>
      <c r="C15" s="32" t="str">
        <f>IF(C22=C13,C13,C22&amp;"/"&amp;C13)</f>
        <v>CNY</v>
      </c>
      <c r="D15" s="32" t="str">
        <f>IF(D11="","",IF(C22=D13,D13,C22&amp;"/"&amp;D13))</f>
        <v/>
      </c>
      <c r="E15" s="5"/>
    </row>
    <row r="16" spans="1:10" x14ac:dyDescent="0.15">
      <c r="B16" s="4" t="s">
        <v>1</v>
      </c>
      <c r="C16" s="50">
        <v>1</v>
      </c>
      <c r="D16" s="50"/>
      <c r="E16" s="5"/>
    </row>
    <row r="17" spans="1:6" x14ac:dyDescent="0.15">
      <c r="D17" s="5"/>
      <c r="E17" s="5"/>
    </row>
    <row r="18" spans="1:6" ht="24.5" customHeight="1" x14ac:dyDescent="0.15">
      <c r="B18" s="341" t="s">
        <v>367</v>
      </c>
      <c r="C18" s="341"/>
      <c r="D18" s="341"/>
      <c r="E18" s="341"/>
      <c r="F18" s="341"/>
    </row>
    <row r="20" spans="1:6" x14ac:dyDescent="0.15">
      <c r="B20" s="45" t="s">
        <v>313</v>
      </c>
      <c r="C20" s="46"/>
      <c r="D20" s="5"/>
    </row>
    <row r="21" spans="1:6" x14ac:dyDescent="0.15">
      <c r="B21" s="2" t="s">
        <v>356</v>
      </c>
      <c r="C21" s="32" t="str">
        <f>IF(Scenarios!C69="Y",Scenarios!B69,"")&amp;IF(Scenarios!C70="Y",Scenarios!B70,"")&amp;IF(Scenarios!C71="Y",Scenarios!B71,"")&amp;" "&amp;IF(Scenarios!C72="Y",Scenarios!B72,"")</f>
        <v xml:space="preserve">Low Growth </v>
      </c>
      <c r="E21" s="5"/>
    </row>
    <row r="22" spans="1:6" x14ac:dyDescent="0.15">
      <c r="B22" s="4" t="s">
        <v>355</v>
      </c>
      <c r="C22" s="48" t="s">
        <v>424</v>
      </c>
      <c r="D22" s="32" t="str">
        <f>IF(D11="","",Market_currency&amp;"/"&amp;D13&amp;":")</f>
        <v/>
      </c>
      <c r="E22" s="337" t="str">
        <f>IF(D11="","",1/Exchange_Rate*D16)</f>
        <v/>
      </c>
    </row>
    <row r="23" spans="1:6" x14ac:dyDescent="0.15">
      <c r="B23" s="2" t="s">
        <v>56</v>
      </c>
      <c r="C23" s="48" t="s">
        <v>435</v>
      </c>
      <c r="E23" s="5"/>
    </row>
    <row r="24" spans="1:6" x14ac:dyDescent="0.15">
      <c r="B24" s="2" t="s">
        <v>277</v>
      </c>
      <c r="C24" s="247">
        <v>0.4</v>
      </c>
      <c r="D24" s="1" t="s">
        <v>417</v>
      </c>
      <c r="E24" s="335">
        <v>0.2</v>
      </c>
    </row>
    <row r="25" spans="1:6" x14ac:dyDescent="0.15">
      <c r="B25" s="2" t="str">
        <f>"Target Buy Price ("&amp;Market_currency&amp;"):"</f>
        <v>Target Buy Price (CNY):</v>
      </c>
      <c r="C25" s="250">
        <f>C139</f>
        <v>28.081736799883384</v>
      </c>
      <c r="D25" s="1" t="s">
        <v>315</v>
      </c>
      <c r="E25" s="326">
        <v>3</v>
      </c>
    </row>
    <row r="26" spans="1:6" x14ac:dyDescent="0.15">
      <c r="B26" s="1" t="s">
        <v>407</v>
      </c>
      <c r="C26" s="276">
        <f ca="1">Scenarios!C87</f>
        <v>9.2482801640861867E-2</v>
      </c>
      <c r="D26" s="5"/>
      <c r="E26" s="5"/>
    </row>
    <row r="27" spans="1:6" x14ac:dyDescent="0.15">
      <c r="D27" s="5"/>
      <c r="E27" s="5"/>
    </row>
    <row r="28" spans="1:6" ht="16" x14ac:dyDescent="0.25">
      <c r="A28" s="245" t="s">
        <v>362</v>
      </c>
      <c r="B28" s="36"/>
      <c r="C28" s="36"/>
      <c r="D28" s="36"/>
      <c r="E28" s="36"/>
      <c r="F28" s="36"/>
    </row>
    <row r="30" spans="1:6" ht="24.5" customHeight="1" x14ac:dyDescent="0.15">
      <c r="B30" s="341" t="s">
        <v>368</v>
      </c>
      <c r="C30" s="341"/>
      <c r="D30" s="341"/>
      <c r="E30" s="341"/>
      <c r="F30" s="341"/>
    </row>
    <row r="31" spans="1:6" ht="24.5" customHeight="1" x14ac:dyDescent="0.15">
      <c r="B31" s="344" t="s">
        <v>347</v>
      </c>
      <c r="C31" s="344"/>
      <c r="D31" s="344"/>
      <c r="E31" s="344"/>
      <c r="F31" s="344"/>
    </row>
    <row r="33" spans="2:6" x14ac:dyDescent="0.15">
      <c r="B33" s="232" t="s">
        <v>231</v>
      </c>
      <c r="C33" s="108">
        <f>scaling_factor</f>
        <v>1</v>
      </c>
    </row>
    <row r="34" spans="2:6" ht="24.5" customHeight="1" x14ac:dyDescent="0.15">
      <c r="B34" s="342" t="s">
        <v>232</v>
      </c>
      <c r="C34" s="342"/>
      <c r="D34" s="342"/>
      <c r="E34" s="342"/>
      <c r="F34" s="342"/>
    </row>
    <row r="35" spans="2:6" x14ac:dyDescent="0.15">
      <c r="B35" s="47" t="s">
        <v>233</v>
      </c>
      <c r="C35" s="76">
        <f>Normalized_FCF!C8</f>
        <v>3123489756.696907</v>
      </c>
      <c r="D35" s="1" t="str">
        <f>Reporting_currency</f>
        <v>CNY</v>
      </c>
    </row>
    <row r="36" spans="2:6" x14ac:dyDescent="0.15">
      <c r="B36" s="47"/>
      <c r="C36" s="76"/>
    </row>
    <row r="37" spans="2:6" ht="24.5" customHeight="1" x14ac:dyDescent="0.15">
      <c r="B37" s="342" t="s">
        <v>234</v>
      </c>
      <c r="C37" s="342"/>
      <c r="D37" s="342"/>
      <c r="E37" s="342"/>
      <c r="F37" s="342"/>
    </row>
    <row r="38" spans="2:6" x14ac:dyDescent="0.15">
      <c r="B38" s="47" t="s">
        <v>235</v>
      </c>
      <c r="C38" s="76">
        <f>Normalized_FCF!C9</f>
        <v>575917865</v>
      </c>
      <c r="D38" s="1" t="str">
        <f>Reporting_currency</f>
        <v>CNY</v>
      </c>
    </row>
    <row r="39" spans="2:6" x14ac:dyDescent="0.15">
      <c r="B39" s="52" t="s">
        <v>236</v>
      </c>
      <c r="C39" s="76">
        <f>Normalized_FCF!C10</f>
        <v>-575917865</v>
      </c>
      <c r="D39" s="1" t="str">
        <f>Reporting_currency</f>
        <v>CNY</v>
      </c>
    </row>
    <row r="41" spans="2:6" x14ac:dyDescent="0.15">
      <c r="B41" s="342" t="s">
        <v>237</v>
      </c>
      <c r="C41" s="342"/>
      <c r="D41" s="342"/>
      <c r="E41" s="342"/>
      <c r="F41" s="342"/>
    </row>
    <row r="42" spans="2:6" x14ac:dyDescent="0.15">
      <c r="B42" s="47" t="s">
        <v>238</v>
      </c>
      <c r="C42" s="76">
        <f>Normalized_FCF!C11</f>
        <v>0</v>
      </c>
      <c r="D42" s="1" t="str">
        <f>Reporting_currency</f>
        <v>CNY</v>
      </c>
    </row>
    <row r="44" spans="2:6" x14ac:dyDescent="0.15">
      <c r="B44" s="342" t="s">
        <v>241</v>
      </c>
      <c r="C44" s="342"/>
      <c r="D44" s="342"/>
      <c r="E44" s="342"/>
      <c r="F44" s="342"/>
    </row>
    <row r="45" spans="2:6" x14ac:dyDescent="0.15">
      <c r="B45" s="47" t="s">
        <v>348</v>
      </c>
      <c r="C45" s="318">
        <f>Normalized_FCF!C48</f>
        <v>38554805.997018404</v>
      </c>
      <c r="D45" s="1" t="str">
        <f>Reporting_currency</f>
        <v>CNY</v>
      </c>
      <c r="E45" s="317"/>
      <c r="F45" s="317"/>
    </row>
    <row r="46" spans="2:6" x14ac:dyDescent="0.15">
      <c r="B46" s="47" t="s">
        <v>349</v>
      </c>
      <c r="C46" s="318">
        <f>Normalized_FCF!C47</f>
        <v>-7672861</v>
      </c>
      <c r="D46" s="1" t="str">
        <f>Reporting_currency</f>
        <v>CNY</v>
      </c>
      <c r="E46" s="317"/>
      <c r="F46" s="317"/>
    </row>
    <row r="47" spans="2:6" x14ac:dyDescent="0.15">
      <c r="B47" s="47" t="s">
        <v>239</v>
      </c>
      <c r="C47" s="76">
        <f>Normalized_FCF!C12</f>
        <v>30881944.997018404</v>
      </c>
      <c r="D47" s="1" t="str">
        <f>Reporting_currency</f>
        <v>CNY</v>
      </c>
    </row>
    <row r="49" spans="2:6" x14ac:dyDescent="0.15">
      <c r="B49" s="1" t="s">
        <v>247</v>
      </c>
    </row>
    <row r="50" spans="2:6" x14ac:dyDescent="0.15">
      <c r="B50" s="47" t="s">
        <v>266</v>
      </c>
      <c r="C50" s="76">
        <f>Normalized_FCF!C15</f>
        <v>-141879704.29826272</v>
      </c>
      <c r="D50" s="1" t="str">
        <f>Reporting_currency</f>
        <v>CNY</v>
      </c>
    </row>
    <row r="52" spans="2:6" x14ac:dyDescent="0.15">
      <c r="B52" s="342" t="s">
        <v>242</v>
      </c>
      <c r="C52" s="342"/>
      <c r="D52" s="342"/>
      <c r="E52" s="342"/>
      <c r="F52" s="342"/>
    </row>
    <row r="53" spans="2:6" x14ac:dyDescent="0.15">
      <c r="B53" s="47" t="s">
        <v>240</v>
      </c>
      <c r="C53" s="76">
        <f>Normalized_FCF!C14</f>
        <v>-788592925.42348135</v>
      </c>
      <c r="D53" s="1" t="str">
        <f>Reporting_currency</f>
        <v>CNY</v>
      </c>
    </row>
    <row r="55" spans="2:6" x14ac:dyDescent="0.15">
      <c r="B55" s="342" t="s">
        <v>346</v>
      </c>
      <c r="C55" s="343"/>
      <c r="D55" s="343"/>
      <c r="E55" s="343"/>
      <c r="F55" s="343"/>
    </row>
    <row r="56" spans="2:6" x14ac:dyDescent="0.15">
      <c r="B56" s="47" t="s">
        <v>243</v>
      </c>
      <c r="C56" s="1">
        <f>Normalized_FCF!C17</f>
        <v>0</v>
      </c>
      <c r="D56" s="1" t="str">
        <f>Reporting_currency</f>
        <v>CNY</v>
      </c>
    </row>
    <row r="58" spans="2:6" ht="24.5" customHeight="1" x14ac:dyDescent="0.15">
      <c r="B58" s="341" t="s">
        <v>351</v>
      </c>
      <c r="C58" s="341"/>
      <c r="D58" s="341"/>
      <c r="E58" s="341"/>
      <c r="F58" s="341"/>
    </row>
    <row r="59" spans="2:6" ht="24.5" customHeight="1" x14ac:dyDescent="0.15">
      <c r="B59" s="341" t="s">
        <v>369</v>
      </c>
      <c r="C59" s="341"/>
      <c r="D59" s="341"/>
      <c r="E59" s="341"/>
      <c r="F59" s="341"/>
    </row>
    <row r="61" spans="2:6" x14ac:dyDescent="0.15">
      <c r="B61" s="47" t="s">
        <v>271</v>
      </c>
      <c r="C61" s="76">
        <f>Normalized_FCF!G19</f>
        <v>2322754575.9970183</v>
      </c>
      <c r="D61" s="1" t="str">
        <f>Reporting_currency</f>
        <v>CNY</v>
      </c>
    </row>
    <row r="62" spans="2:6" x14ac:dyDescent="0.15">
      <c r="B62" s="47" t="s">
        <v>249</v>
      </c>
      <c r="C62" s="76">
        <f>Normalized_FCF!C19</f>
        <v>2223899071.9721813</v>
      </c>
      <c r="D62" s="1" t="str">
        <f>Reporting_currency</f>
        <v>CNY</v>
      </c>
    </row>
    <row r="63" spans="2:6" x14ac:dyDescent="0.15">
      <c r="B63" s="252" t="s">
        <v>398</v>
      </c>
      <c r="C63" s="92">
        <f>Normalized_FCF!C125</f>
        <v>8.0446537817372654E-2</v>
      </c>
    </row>
    <row r="64" spans="2:6" x14ac:dyDescent="0.15">
      <c r="B64" s="252" t="s">
        <v>316</v>
      </c>
      <c r="C64" s="92">
        <f>Normalized_FCF!C93</f>
        <v>4.2016806722689079E-2</v>
      </c>
    </row>
    <row r="66" spans="1:6" ht="16" x14ac:dyDescent="0.25">
      <c r="A66" s="245" t="s">
        <v>363</v>
      </c>
      <c r="B66" s="36"/>
      <c r="C66" s="36"/>
      <c r="D66" s="36"/>
      <c r="E66" s="36"/>
      <c r="F66" s="36"/>
    </row>
    <row r="67" spans="1:6" x14ac:dyDescent="0.15">
      <c r="A67" s="231"/>
    </row>
    <row r="68" spans="1:6" ht="24.5" customHeight="1" x14ac:dyDescent="0.15">
      <c r="A68" s="17"/>
      <c r="B68" s="341" t="s">
        <v>370</v>
      </c>
      <c r="C68" s="341"/>
      <c r="D68" s="341"/>
      <c r="E68" s="341"/>
      <c r="F68" s="341"/>
    </row>
    <row r="69" spans="1:6" x14ac:dyDescent="0.15">
      <c r="B69" s="344" t="s">
        <v>253</v>
      </c>
      <c r="C69" s="344"/>
      <c r="D69" s="344"/>
      <c r="E69" s="344"/>
      <c r="F69" s="344"/>
    </row>
    <row r="71" spans="1:6" x14ac:dyDescent="0.15">
      <c r="B71" s="232" t="s">
        <v>231</v>
      </c>
    </row>
    <row r="72" spans="1:6" x14ac:dyDescent="0.15">
      <c r="B72" s="1" t="s">
        <v>288</v>
      </c>
      <c r="C72" s="307">
        <v>0.08</v>
      </c>
    </row>
    <row r="73" spans="1:6" x14ac:dyDescent="0.15">
      <c r="B73" s="1" t="s">
        <v>290</v>
      </c>
      <c r="C73" s="261">
        <f>IF(D73="Y",1%,0)</f>
        <v>0</v>
      </c>
      <c r="D73" s="282" t="s">
        <v>431</v>
      </c>
    </row>
    <row r="74" spans="1:6" x14ac:dyDescent="0.15">
      <c r="B74" s="1" t="s">
        <v>289</v>
      </c>
      <c r="C74" s="261">
        <f>IF(D74="Y",1%,0)</f>
        <v>0</v>
      </c>
      <c r="D74" s="282" t="s">
        <v>431</v>
      </c>
    </row>
    <row r="75" spans="1:6" x14ac:dyDescent="0.15">
      <c r="B75" s="80" t="s">
        <v>248</v>
      </c>
      <c r="C75" s="261">
        <f>SUM(C72:C74)</f>
        <v>0.08</v>
      </c>
    </row>
    <row r="76" spans="1:6" x14ac:dyDescent="0.15">
      <c r="C76" s="122"/>
    </row>
    <row r="77" spans="1:6" x14ac:dyDescent="0.15">
      <c r="B77" s="328" t="s">
        <v>364</v>
      </c>
      <c r="C77" s="122"/>
    </row>
    <row r="78" spans="1:6" ht="24.5" customHeight="1" x14ac:dyDescent="0.15">
      <c r="B78" s="341" t="s">
        <v>371</v>
      </c>
      <c r="C78" s="341"/>
      <c r="D78" s="341"/>
      <c r="E78" s="341"/>
      <c r="F78" s="341"/>
    </row>
    <row r="79" spans="1:6" ht="24.5" customHeight="1" x14ac:dyDescent="0.15">
      <c r="B79" s="341" t="s">
        <v>372</v>
      </c>
      <c r="C79" s="341"/>
      <c r="D79" s="341"/>
      <c r="E79" s="341"/>
      <c r="F79" s="341"/>
    </row>
    <row r="81" spans="1:6" x14ac:dyDescent="0.15">
      <c r="B81" s="47" t="s">
        <v>252</v>
      </c>
      <c r="C81" s="261">
        <v>0</v>
      </c>
    </row>
    <row r="82" spans="1:6" x14ac:dyDescent="0.15">
      <c r="B82" s="47" t="s">
        <v>284</v>
      </c>
      <c r="C82" s="246">
        <f>Valuation_Model!C6*scaling_factor*Exchange_Rate/Common_Shares</f>
        <v>57.438828001604072</v>
      </c>
      <c r="D82" s="1" t="str">
        <f>Market_currency</f>
        <v>CNY</v>
      </c>
    </row>
    <row r="84" spans="1:6" ht="16" x14ac:dyDescent="0.25">
      <c r="A84" s="245" t="s">
        <v>365</v>
      </c>
      <c r="B84" s="36"/>
      <c r="C84" s="36"/>
      <c r="D84" s="36"/>
      <c r="E84" s="36"/>
      <c r="F84" s="36"/>
    </row>
    <row r="85" spans="1:6" x14ac:dyDescent="0.15">
      <c r="A85" s="231"/>
    </row>
    <row r="86" spans="1:6" x14ac:dyDescent="0.15">
      <c r="B86" s="341" t="s">
        <v>373</v>
      </c>
      <c r="C86" s="341"/>
      <c r="D86" s="341"/>
      <c r="E86" s="341"/>
      <c r="F86" s="341"/>
    </row>
    <row r="87" spans="1:6" x14ac:dyDescent="0.15">
      <c r="B87" s="1" t="s">
        <v>254</v>
      </c>
    </row>
    <row r="89" spans="1:6" x14ac:dyDescent="0.15">
      <c r="B89" s="232" t="s">
        <v>231</v>
      </c>
    </row>
    <row r="90" spans="1:6" ht="24.5" customHeight="1" x14ac:dyDescent="0.15">
      <c r="B90" s="341" t="s">
        <v>352</v>
      </c>
      <c r="C90" s="341"/>
      <c r="D90" s="341"/>
      <c r="E90" s="341"/>
      <c r="F90" s="341"/>
    </row>
    <row r="91" spans="1:6" x14ac:dyDescent="0.15">
      <c r="B91" s="47" t="s">
        <v>256</v>
      </c>
      <c r="C91" s="76">
        <f>Valuation_Model!C7</f>
        <v>123521704.27</v>
      </c>
      <c r="D91" s="1" t="str">
        <f>Reporting_currency</f>
        <v>CNY</v>
      </c>
    </row>
    <row r="92" spans="1:6" x14ac:dyDescent="0.15">
      <c r="B92" s="47" t="s">
        <v>285</v>
      </c>
      <c r="C92" s="246">
        <f>C91*scaling_factor*Exchange_Rate/Common_Shares</f>
        <v>0.25522532080514426</v>
      </c>
      <c r="D92" s="1" t="str">
        <f>Market_currency</f>
        <v>CNY</v>
      </c>
    </row>
    <row r="93" spans="1:6" x14ac:dyDescent="0.15">
      <c r="B93" s="332" t="s">
        <v>412</v>
      </c>
      <c r="C93" s="333">
        <f>BS!G30/BS!G27</f>
        <v>3.4701988818540461</v>
      </c>
    </row>
    <row r="94" spans="1:6" x14ac:dyDescent="0.15">
      <c r="B94" s="332" t="s">
        <v>413</v>
      </c>
      <c r="C94" s="333">
        <f>BS!G31/BS!G27</f>
        <v>5.0341856510546588E-2</v>
      </c>
    </row>
    <row r="95" spans="1:6" x14ac:dyDescent="0.15">
      <c r="B95" s="332" t="s">
        <v>415</v>
      </c>
      <c r="C95" s="334">
        <f>BS!C50</f>
        <v>3.9546057100127742E-2</v>
      </c>
    </row>
    <row r="97" spans="1:6" x14ac:dyDescent="0.15">
      <c r="B97" s="1" t="s">
        <v>255</v>
      </c>
    </row>
    <row r="98" spans="1:6" x14ac:dyDescent="0.15">
      <c r="B98" s="47" t="s">
        <v>265</v>
      </c>
      <c r="C98" s="76">
        <f>BS!C66</f>
        <v>1081659074.0699999</v>
      </c>
      <c r="D98" s="1" t="str">
        <f>Reporting_currency</f>
        <v>CNY</v>
      </c>
    </row>
    <row r="99" spans="1:6" x14ac:dyDescent="0.15">
      <c r="B99" s="47" t="s">
        <v>267</v>
      </c>
      <c r="C99" s="76">
        <f>Valuation_Model!C8</f>
        <v>65618450.04890883</v>
      </c>
      <c r="D99" s="1" t="str">
        <f>Reporting_currency</f>
        <v>CNY</v>
      </c>
    </row>
    <row r="100" spans="1:6" x14ac:dyDescent="0.15">
      <c r="B100" s="47" t="s">
        <v>286</v>
      </c>
      <c r="C100" s="246">
        <f>C99*scaling_factor*Exchange_Rate/Common_Shares</f>
        <v>0.13558337834994227</v>
      </c>
      <c r="D100" s="1" t="str">
        <f>Market_currency</f>
        <v>CNY</v>
      </c>
    </row>
    <row r="102" spans="1:6" x14ac:dyDescent="0.15">
      <c r="B102" s="1" t="s">
        <v>257</v>
      </c>
    </row>
    <row r="103" spans="1:6" x14ac:dyDescent="0.15">
      <c r="B103" s="47" t="s">
        <v>258</v>
      </c>
      <c r="C103" s="76">
        <f>Valuation_Model!C9</f>
        <v>29558000.651999995</v>
      </c>
      <c r="D103" s="1" t="str">
        <f>Reporting_currency</f>
        <v>CNY</v>
      </c>
    </row>
    <row r="104" spans="1:6" x14ac:dyDescent="0.15">
      <c r="B104" s="47" t="s">
        <v>287</v>
      </c>
      <c r="C104" s="246">
        <f>C103*scaling_factor*Exchange_Rate/Common_Shares</f>
        <v>6.1073883681813636E-2</v>
      </c>
      <c r="D104" s="1" t="str">
        <f>Market_currency</f>
        <v>CNY</v>
      </c>
    </row>
    <row r="106" spans="1:6" ht="24.5" customHeight="1" x14ac:dyDescent="0.15">
      <c r="B106" s="341" t="s">
        <v>374</v>
      </c>
      <c r="C106" s="341"/>
      <c r="D106" s="341"/>
      <c r="E106" s="341"/>
      <c r="F106" s="341"/>
    </row>
    <row r="108" spans="1:6" x14ac:dyDescent="0.15">
      <c r="B108" s="47" t="s">
        <v>283</v>
      </c>
      <c r="C108" s="246">
        <f>Valuation_Model!C12</f>
        <v>57.380259942830683</v>
      </c>
      <c r="D108" s="1" t="str">
        <f>Market_currency</f>
        <v>CNY</v>
      </c>
    </row>
    <row r="109" spans="1:6" x14ac:dyDescent="0.15">
      <c r="B109" s="332" t="s">
        <v>414</v>
      </c>
      <c r="C109" s="246">
        <f>BS!D47</f>
        <v>-13.312996389940134</v>
      </c>
      <c r="D109" s="1" t="str">
        <f>Market_currency</f>
        <v>CNY</v>
      </c>
    </row>
    <row r="111" spans="1:6" ht="16" x14ac:dyDescent="0.25">
      <c r="A111" s="245" t="s">
        <v>366</v>
      </c>
      <c r="B111" s="36"/>
      <c r="C111" s="36"/>
      <c r="D111" s="36"/>
      <c r="E111" s="36"/>
      <c r="F111" s="36"/>
    </row>
    <row r="113" spans="1:6" ht="24.5" customHeight="1" x14ac:dyDescent="0.15">
      <c r="B113" s="342" t="s">
        <v>375</v>
      </c>
      <c r="C113" s="342"/>
      <c r="D113" s="342"/>
      <c r="E113" s="342"/>
      <c r="F113" s="342"/>
    </row>
    <row r="115" spans="1:6" ht="14" x14ac:dyDescent="0.2">
      <c r="B115" s="258" t="s">
        <v>118</v>
      </c>
      <c r="C115" s="258" t="s">
        <v>133</v>
      </c>
      <c r="D115" s="258" t="s">
        <v>113</v>
      </c>
      <c r="E115" s="258" t="s">
        <v>260</v>
      </c>
      <c r="F115" s="258" t="s">
        <v>148</v>
      </c>
    </row>
    <row r="116" spans="1:6" x14ac:dyDescent="0.15">
      <c r="B116" s="253" t="str">
        <f>Valuation_Model!B74</f>
        <v>Snowball Scenario</v>
      </c>
      <c r="C116" s="254">
        <f>Valuation_Model!C74</f>
        <v>0.1</v>
      </c>
      <c r="D116" s="255">
        <f>Valuation_Model!D74</f>
        <v>15</v>
      </c>
      <c r="E116" s="256" t="str">
        <f>ROUND(Valuation_Model!E74,2)&amp;" "&amp;Market_currency</f>
        <v>99.94 CNY</v>
      </c>
      <c r="F116" s="257">
        <f>Valuation_Model!F74</f>
        <v>0.05</v>
      </c>
    </row>
    <row r="117" spans="1:6" x14ac:dyDescent="0.15">
      <c r="B117" s="240" t="str">
        <f>Valuation_Model!B75</f>
        <v>Optimistic</v>
      </c>
      <c r="C117" s="241">
        <f>Valuation_Model!C75</f>
        <v>0.06</v>
      </c>
      <c r="D117" s="242">
        <f>Valuation_Model!D75</f>
        <v>10</v>
      </c>
      <c r="E117" s="243" t="str">
        <f>ROUND(Valuation_Model!E75,2)&amp;" "&amp;Market_currency</f>
        <v>69.66 CNY</v>
      </c>
      <c r="F117" s="244">
        <f>Valuation_Model!F75</f>
        <v>0.18</v>
      </c>
    </row>
    <row r="118" spans="1:6" x14ac:dyDescent="0.15">
      <c r="B118" s="240" t="str">
        <f>Valuation_Model!B76</f>
        <v>Base</v>
      </c>
      <c r="C118" s="241">
        <f>Valuation_Model!C76</f>
        <v>0.04</v>
      </c>
      <c r="D118" s="242">
        <f>Valuation_Model!D76</f>
        <v>10</v>
      </c>
      <c r="E118" s="243" t="str">
        <f>ROUND(Valuation_Model!E76,2)&amp;" "&amp;Market_currency</f>
        <v>65.17 CNY</v>
      </c>
      <c r="F118" s="244">
        <f>Valuation_Model!F76</f>
        <v>0.53999999999999992</v>
      </c>
    </row>
    <row r="119" spans="1:6" x14ac:dyDescent="0.15">
      <c r="B119" s="240" t="str">
        <f>Valuation_Model!B77</f>
        <v>Pessimistic</v>
      </c>
      <c r="C119" s="241">
        <f>Valuation_Model!C77</f>
        <v>0.02</v>
      </c>
      <c r="D119" s="242">
        <f>Valuation_Model!D77</f>
        <v>10</v>
      </c>
      <c r="E119" s="243" t="str">
        <f>ROUND(Valuation_Model!E77,2)&amp;" "&amp;Market_currency</f>
        <v>61.09 CNY</v>
      </c>
      <c r="F119" s="244">
        <f>Valuation_Model!F77</f>
        <v>0.18</v>
      </c>
    </row>
    <row r="120" spans="1:6" x14ac:dyDescent="0.15">
      <c r="B120" s="240" t="str">
        <f>Valuation_Model!B78</f>
        <v>Devil's advocate</v>
      </c>
      <c r="C120" s="241">
        <f>Valuation_Model!C78</f>
        <v>0</v>
      </c>
      <c r="D120" s="242">
        <f>Valuation_Model!D78</f>
        <v>15</v>
      </c>
      <c r="E120" s="243" t="str">
        <f>ROUND(Valuation_Model!E78,2)&amp;" "&amp;Market_currency</f>
        <v>57.38 CNY</v>
      </c>
      <c r="F120" s="244">
        <f>Valuation_Model!F78</f>
        <v>0.05</v>
      </c>
    </row>
    <row r="122" spans="1:6" x14ac:dyDescent="0.15">
      <c r="B122" s="233" t="s">
        <v>259</v>
      </c>
      <c r="C122" s="239">
        <f>Scenarios!C60</f>
        <v>66.592285778879997</v>
      </c>
      <c r="D122" s="234" t="str">
        <f>Market_currency</f>
        <v>CNY</v>
      </c>
    </row>
    <row r="124" spans="1:6" ht="24.5" customHeight="1" x14ac:dyDescent="0.15">
      <c r="B124" s="345" t="s">
        <v>378</v>
      </c>
      <c r="C124" s="345"/>
      <c r="D124" s="345"/>
      <c r="E124" s="345"/>
      <c r="F124" s="345"/>
    </row>
    <row r="126" spans="1:6" ht="16" x14ac:dyDescent="0.25">
      <c r="A126" s="245" t="s">
        <v>410</v>
      </c>
      <c r="B126" s="36"/>
      <c r="C126" s="36"/>
      <c r="D126" s="36"/>
      <c r="E126" s="36"/>
      <c r="F126" s="36"/>
    </row>
    <row r="128" spans="1:6" x14ac:dyDescent="0.15">
      <c r="B128" s="346" t="s">
        <v>376</v>
      </c>
      <c r="C128" s="346"/>
      <c r="D128" s="346"/>
      <c r="E128" s="346"/>
      <c r="F128" s="346"/>
    </row>
    <row r="129" spans="2:6" ht="24.5" customHeight="1" x14ac:dyDescent="0.15">
      <c r="B129" s="341" t="s">
        <v>377</v>
      </c>
      <c r="C129" s="341"/>
      <c r="D129" s="341"/>
      <c r="E129" s="341"/>
      <c r="F129" s="341"/>
    </row>
    <row r="130" spans="2:6" x14ac:dyDescent="0.15">
      <c r="B130" s="232" t="s">
        <v>231</v>
      </c>
    </row>
    <row r="131" spans="2:6" x14ac:dyDescent="0.15">
      <c r="B131" s="1" t="s">
        <v>264</v>
      </c>
      <c r="C131" s="249">
        <f>E25</f>
        <v>3</v>
      </c>
    </row>
    <row r="132" spans="2:6" x14ac:dyDescent="0.15">
      <c r="B132" s="1" t="s">
        <v>278</v>
      </c>
      <c r="C132" s="248">
        <f>C24</f>
        <v>0.4</v>
      </c>
    </row>
    <row r="133" spans="2:6" x14ac:dyDescent="0.15">
      <c r="B133" s="234" t="s">
        <v>262</v>
      </c>
      <c r="C133" s="235">
        <f>Scenarios!C77</f>
        <v>2.4</v>
      </c>
      <c r="D133" s="234" t="str">
        <f>Market_currency</f>
        <v>CNY</v>
      </c>
    </row>
    <row r="135" spans="2:6" x14ac:dyDescent="0.15">
      <c r="B135" s="232" t="s">
        <v>418</v>
      </c>
      <c r="C135" s="266" t="str">
        <f>C11</f>
        <v>600132.SS</v>
      </c>
      <c r="D135" s="266" t="str">
        <f>IF(D11="","",D11)</f>
        <v/>
      </c>
    </row>
    <row r="136" spans="2:6" x14ac:dyDescent="0.15">
      <c r="B136" s="1" t="s">
        <v>416</v>
      </c>
      <c r="C136" s="333">
        <f>C24</f>
        <v>0.4</v>
      </c>
    </row>
    <row r="137" spans="2:6" x14ac:dyDescent="0.15">
      <c r="B137" s="234" t="str">
        <f>"PV("&amp;C131&amp;" yrs of Dividends)"</f>
        <v>PV(3 yrs of Dividends)</v>
      </c>
      <c r="C137" s="238">
        <f>Scenarios!C81</f>
        <v>3.8134110787171998</v>
      </c>
    </row>
    <row r="138" spans="2:6" x14ac:dyDescent="0.15">
      <c r="B138" s="234" t="str">
        <f>"+ PV(Equity Value realized at year "&amp;C131&amp;")"</f>
        <v>+ PV(Equity Value realized at year 3)</v>
      </c>
      <c r="C138" s="238">
        <f>Scenarios!C82</f>
        <v>24.268325721166185</v>
      </c>
    </row>
    <row r="139" spans="2:6" x14ac:dyDescent="0.15">
      <c r="B139" s="80" t="s">
        <v>261</v>
      </c>
      <c r="C139" s="237">
        <f>Scenarios!C83</f>
        <v>28.081736799883384</v>
      </c>
      <c r="D139" s="338" t="str">
        <f>IF($D$11="","",C139*$E$22)</f>
        <v/>
      </c>
    </row>
    <row r="140" spans="2:6" x14ac:dyDescent="0.15">
      <c r="B140" s="286" t="s">
        <v>426</v>
      </c>
      <c r="C140" s="336" t="str">
        <f>Market_currency</f>
        <v>CNY</v>
      </c>
      <c r="D140" s="336" t="str">
        <f>IF($D$11="","",D$13)</f>
        <v/>
      </c>
    </row>
    <row r="141" spans="2:6" x14ac:dyDescent="0.15">
      <c r="B141" s="236" t="s">
        <v>263</v>
      </c>
      <c r="C141" s="92">
        <f>Scenarios!F83</f>
        <v>0.57830345555145946</v>
      </c>
    </row>
    <row r="143" spans="2:6" x14ac:dyDescent="0.15">
      <c r="B143" s="232" t="s">
        <v>421</v>
      </c>
    </row>
    <row r="144" spans="2:6" x14ac:dyDescent="0.15">
      <c r="B144" s="1" t="s">
        <v>420</v>
      </c>
      <c r="C144" s="333">
        <f>Scenarios!C90</f>
        <v>0.2</v>
      </c>
    </row>
    <row r="145" spans="1:6" x14ac:dyDescent="0.15">
      <c r="B145" s="234" t="str">
        <f>"PV("&amp;C131&amp;" yrs of Dividends)"</f>
        <v>PV(3 yrs of Dividends)</v>
      </c>
      <c r="C145" s="238">
        <f>Scenarios!C91</f>
        <v>5.0555555555555554</v>
      </c>
    </row>
    <row r="146" spans="1:6" x14ac:dyDescent="0.15">
      <c r="B146" s="234" t="str">
        <f>"+ PV(Equity Value realized at year "&amp;C131&amp;")"</f>
        <v>+ PV(Equity Value realized at year 3)</v>
      </c>
      <c r="C146" s="238">
        <f>Scenarios!C92</f>
        <v>38.537202418333329</v>
      </c>
    </row>
    <row r="147" spans="1:6" x14ac:dyDescent="0.15">
      <c r="B147" s="80" t="s">
        <v>261</v>
      </c>
      <c r="C147" s="237">
        <f>Scenarios!C93</f>
        <v>43.592757973888887</v>
      </c>
      <c r="D147" s="338" t="str">
        <f>IF($D$11="","",C147*$E$22)</f>
        <v/>
      </c>
    </row>
    <row r="148" spans="1:6" x14ac:dyDescent="0.15">
      <c r="B148" s="286" t="s">
        <v>426</v>
      </c>
      <c r="C148" s="336" t="str">
        <f>Market_currency</f>
        <v>CNY</v>
      </c>
      <c r="D148" s="336" t="str">
        <f>IF($D$11="","",D$13)</f>
        <v/>
      </c>
    </row>
    <row r="149" spans="1:6" x14ac:dyDescent="0.15">
      <c r="B149" s="236" t="s">
        <v>263</v>
      </c>
      <c r="C149" s="92">
        <f>Scenarios!F93</f>
        <v>0.345378260199104</v>
      </c>
    </row>
    <row r="151" spans="1:6" x14ac:dyDescent="0.15">
      <c r="B151" s="232" t="s">
        <v>408</v>
      </c>
    </row>
    <row r="152" spans="1:6" x14ac:dyDescent="0.15">
      <c r="B152" s="1" t="s">
        <v>419</v>
      </c>
      <c r="C152" s="92">
        <f>Scenarios!C96</f>
        <v>0.08</v>
      </c>
    </row>
    <row r="153" spans="1:6" x14ac:dyDescent="0.15">
      <c r="B153" s="234" t="str">
        <f>"PV("&amp;C131&amp;" yrs of Dividends)"</f>
        <v>PV(3 yrs of Dividends)</v>
      </c>
      <c r="C153" s="238">
        <f>Scenarios!C97</f>
        <v>6.1850327693949119</v>
      </c>
    </row>
    <row r="154" spans="1:6" x14ac:dyDescent="0.15">
      <c r="B154" s="234" t="str">
        <f>"+ PV(Equity Value realized at year "&amp;C131&amp;")"</f>
        <v>+ PV(Equity Value realized at year 3)</v>
      </c>
      <c r="C154" s="238">
        <f>Scenarios!C98</f>
        <v>52.863103454503879</v>
      </c>
    </row>
    <row r="155" spans="1:6" x14ac:dyDescent="0.15">
      <c r="B155" s="80" t="s">
        <v>409</v>
      </c>
      <c r="C155" s="237">
        <f>Scenarios!C99</f>
        <v>59.048136223898794</v>
      </c>
      <c r="D155" s="338" t="str">
        <f>IF($D$11="","",C155*$E$22)</f>
        <v/>
      </c>
    </row>
    <row r="156" spans="1:6" x14ac:dyDescent="0.15">
      <c r="B156" s="286" t="s">
        <v>426</v>
      </c>
      <c r="C156" s="336" t="str">
        <f>Market_currency</f>
        <v>CNY</v>
      </c>
      <c r="D156" s="336" t="str">
        <f>IF($D$11="","",D$13)</f>
        <v/>
      </c>
    </row>
    <row r="157" spans="1:6" x14ac:dyDescent="0.15">
      <c r="B157" s="236" t="s">
        <v>263</v>
      </c>
      <c r="C157" s="92">
        <f>Scenarios!F99</f>
        <v>0.1132886409700905</v>
      </c>
    </row>
    <row r="159" spans="1:6" ht="16" x14ac:dyDescent="0.25">
      <c r="A159" s="245" t="s">
        <v>382</v>
      </c>
      <c r="B159" s="36"/>
      <c r="C159" s="36"/>
      <c r="D159" s="36"/>
      <c r="E159" s="36"/>
      <c r="F159" s="36"/>
    </row>
    <row r="161" spans="2:6" x14ac:dyDescent="0.15">
      <c r="B161" s="340" t="s">
        <v>384</v>
      </c>
      <c r="C161" s="341"/>
      <c r="D161" s="341"/>
      <c r="E161" s="341"/>
      <c r="F161" s="341"/>
    </row>
    <row r="163" spans="2:6" x14ac:dyDescent="0.15">
      <c r="B163" s="232" t="s">
        <v>383</v>
      </c>
    </row>
    <row r="164" spans="2:6" x14ac:dyDescent="0.15">
      <c r="B164" s="343" t="s">
        <v>388</v>
      </c>
      <c r="C164" s="343"/>
      <c r="D164" s="343"/>
      <c r="E164" s="343"/>
      <c r="F164" s="343"/>
    </row>
    <row r="165" spans="2:6" x14ac:dyDescent="0.15">
      <c r="B165" s="236" t="s">
        <v>385</v>
      </c>
    </row>
    <row r="166" spans="2:6" x14ac:dyDescent="0.15">
      <c r="B166" s="236" t="s">
        <v>386</v>
      </c>
    </row>
    <row r="167" spans="2:6" x14ac:dyDescent="0.15">
      <c r="B167" s="236" t="s">
        <v>387</v>
      </c>
    </row>
    <row r="169" spans="2:6" x14ac:dyDescent="0.15">
      <c r="B169" s="1" t="s">
        <v>392</v>
      </c>
    </row>
    <row r="170" spans="2:6" ht="46.5" customHeight="1" x14ac:dyDescent="0.15">
      <c r="B170" s="342" t="s">
        <v>389</v>
      </c>
      <c r="C170" s="342"/>
      <c r="D170" s="342"/>
      <c r="E170" s="342"/>
      <c r="F170" s="342"/>
    </row>
    <row r="172" spans="2:6" x14ac:dyDescent="0.15">
      <c r="B172" s="1" t="s">
        <v>393</v>
      </c>
    </row>
    <row r="173" spans="2:6" ht="24.5" customHeight="1" x14ac:dyDescent="0.15">
      <c r="B173" s="339" t="s">
        <v>390</v>
      </c>
      <c r="C173" s="339"/>
      <c r="D173" s="339"/>
      <c r="E173" s="339"/>
      <c r="F173" s="339"/>
    </row>
    <row r="174" spans="2:6" ht="24.5" customHeight="1" x14ac:dyDescent="0.15">
      <c r="B174" s="339" t="s">
        <v>391</v>
      </c>
      <c r="C174" s="339"/>
      <c r="D174" s="339"/>
      <c r="E174" s="339"/>
      <c r="F174" s="339"/>
    </row>
    <row r="176" spans="2:6" x14ac:dyDescent="0.15">
      <c r="B176" s="1" t="s">
        <v>397</v>
      </c>
    </row>
    <row r="177" spans="2:2" x14ac:dyDescent="0.15">
      <c r="B177" s="236" t="s">
        <v>394</v>
      </c>
    </row>
    <row r="178" spans="2:2" x14ac:dyDescent="0.15">
      <c r="B178" s="236" t="s">
        <v>395</v>
      </c>
    </row>
    <row r="179" spans="2:2" x14ac:dyDescent="0.15">
      <c r="B179" s="236"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1" sqref="C1"/>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x14ac:dyDescent="0.15">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x14ac:dyDescent="0.15">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x14ac:dyDescent="0.15">
      <c r="B7" s="69" t="s">
        <v>61</v>
      </c>
      <c r="C7" s="188">
        <v>2512653717</v>
      </c>
      <c r="D7" s="188">
        <v>2532621833</v>
      </c>
      <c r="E7" s="188">
        <v>2326217227</v>
      </c>
      <c r="F7" s="188">
        <v>2212894661</v>
      </c>
      <c r="G7" s="188">
        <v>2304313181</v>
      </c>
      <c r="H7" s="188">
        <v>492206624</v>
      </c>
      <c r="I7" s="188">
        <v>455284418</v>
      </c>
      <c r="J7" s="188">
        <v>465218537</v>
      </c>
      <c r="K7" s="188">
        <v>445553542</v>
      </c>
      <c r="L7" s="188">
        <v>489868548</v>
      </c>
      <c r="M7" s="188"/>
    </row>
    <row r="8" spans="2:13" x14ac:dyDescent="0.15">
      <c r="B8" s="40" t="s">
        <v>49</v>
      </c>
      <c r="C8" s="181">
        <v>22666046</v>
      </c>
      <c r="D8" s="181">
        <v>26232056</v>
      </c>
      <c r="E8" s="181">
        <v>110747936</v>
      </c>
      <c r="F8" s="181">
        <v>163151285</v>
      </c>
      <c r="G8" s="181">
        <v>84212617</v>
      </c>
      <c r="H8" s="181">
        <v>0</v>
      </c>
      <c r="I8" s="181">
        <v>0</v>
      </c>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7672861</v>
      </c>
      <c r="D12" s="181">
        <v>5921669</v>
      </c>
      <c r="E12" s="181">
        <v>3696844</v>
      </c>
      <c r="F12" s="181">
        <v>14186775</v>
      </c>
      <c r="G12" s="181">
        <v>35823675</v>
      </c>
      <c r="H12" s="181">
        <v>10770646</v>
      </c>
      <c r="I12" s="181">
        <v>12333775</v>
      </c>
      <c r="J12" s="181"/>
      <c r="K12" s="181"/>
      <c r="L12" s="181"/>
      <c r="M12" s="181"/>
    </row>
    <row r="13" spans="2:13" x14ac:dyDescent="0.15">
      <c r="B13" s="40" t="s">
        <v>67</v>
      </c>
      <c r="C13" s="181">
        <v>41044772</v>
      </c>
      <c r="D13" s="181">
        <v>71308016</v>
      </c>
      <c r="E13" s="181">
        <v>65718589</v>
      </c>
      <c r="F13" s="181">
        <v>36050786</v>
      </c>
      <c r="G13" s="181">
        <v>44443082</v>
      </c>
      <c r="H13" s="181">
        <v>8582394</v>
      </c>
      <c r="I13" s="181">
        <v>6609967</v>
      </c>
      <c r="J13" s="181"/>
      <c r="K13" s="181"/>
      <c r="L13" s="181"/>
      <c r="M13" s="181"/>
    </row>
    <row r="14" spans="2:13" x14ac:dyDescent="0.15">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x14ac:dyDescent="0.15">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x14ac:dyDescent="0.15">
      <c r="B16" s="28" t="s">
        <v>44</v>
      </c>
      <c r="C16" s="181">
        <v>146792828</v>
      </c>
      <c r="D16" s="181"/>
      <c r="E16" s="181"/>
      <c r="F16" s="181"/>
      <c r="G16" s="181"/>
      <c r="H16" s="181"/>
      <c r="I16" s="181"/>
      <c r="J16" s="181"/>
      <c r="K16" s="181"/>
      <c r="L16" s="181"/>
      <c r="M16" s="181"/>
    </row>
    <row r="18" spans="2:13" x14ac:dyDescent="0.15">
      <c r="B18" s="16" t="s">
        <v>51</v>
      </c>
      <c r="C18" s="9"/>
    </row>
    <row r="19" spans="2:13" ht="13" x14ac:dyDescent="0.15">
      <c r="B19" s="27" t="s">
        <v>47</v>
      </c>
      <c r="C19" s="181">
        <v>575917865</v>
      </c>
      <c r="D19" s="181">
        <v>514817738</v>
      </c>
      <c r="E19" s="181">
        <v>504410326</v>
      </c>
      <c r="F19" s="181">
        <v>451827434</v>
      </c>
      <c r="G19" s="181">
        <v>413794059</v>
      </c>
      <c r="H19" s="181">
        <v>174070610</v>
      </c>
      <c r="I19" s="181">
        <v>173632673</v>
      </c>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379</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ht="13" x14ac:dyDescent="0.15">
      <c r="B23" s="27" t="s">
        <v>381</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ht="13" x14ac:dyDescent="0.15">
      <c r="B24" s="27" t="s">
        <v>380</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x14ac:dyDescent="0.15">
      <c r="B25" s="24" t="str">
        <f>"Dividend per share ("&amp;Market_currency&amp;")"</f>
        <v>Dividend per share (CNY)</v>
      </c>
      <c r="C25" s="39">
        <f>(9+15)/10</f>
        <v>2.4</v>
      </c>
      <c r="D25" s="39"/>
      <c r="E25" s="39"/>
      <c r="F25" s="39"/>
      <c r="G25" s="39"/>
      <c r="H25" s="39"/>
      <c r="I25" s="39"/>
      <c r="J25" s="39"/>
      <c r="K25" s="39"/>
      <c r="L25" s="39"/>
      <c r="M25" s="39"/>
    </row>
    <row r="27" spans="2:13" x14ac:dyDescent="0.15">
      <c r="B27" s="16" t="s">
        <v>28</v>
      </c>
      <c r="C27" s="97" t="s">
        <v>436</v>
      </c>
    </row>
    <row r="28" spans="2:13" ht="13" x14ac:dyDescent="0.15">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ht="13" x14ac:dyDescent="0.15">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ht="13" x14ac:dyDescent="0.15">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ht="13" x14ac:dyDescent="0.15">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ht="13" x14ac:dyDescent="0.15">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x14ac:dyDescent="0.15">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ht="13" x14ac:dyDescent="0.15">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x14ac:dyDescent="0.15">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x14ac:dyDescent="0.15">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x14ac:dyDescent="0.15">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x14ac:dyDescent="0.15">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x14ac:dyDescent="0.15">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x14ac:dyDescent="0.15">
      <c r="B45" s="40" t="s">
        <v>68</v>
      </c>
      <c r="C45" s="76">
        <f t="shared" ref="C45:M45" si="19">IF(C$4="","",C51+C52)</f>
        <v>33371911</v>
      </c>
      <c r="D45" s="76">
        <f t="shared" si="19"/>
        <v>65386347</v>
      </c>
      <c r="E45" s="76">
        <f t="shared" si="19"/>
        <v>62021745</v>
      </c>
      <c r="F45" s="76">
        <f t="shared" si="19"/>
        <v>21864011</v>
      </c>
      <c r="G45" s="76">
        <f t="shared" si="19"/>
        <v>8619407</v>
      </c>
      <c r="H45" s="76">
        <f t="shared" si="19"/>
        <v>-2188252</v>
      </c>
      <c r="I45" s="76">
        <f t="shared" si="19"/>
        <v>-5723808</v>
      </c>
      <c r="J45" s="76">
        <f t="shared" si="19"/>
        <v>0</v>
      </c>
      <c r="K45" s="76">
        <f t="shared" si="19"/>
        <v>0</v>
      </c>
      <c r="L45" s="76">
        <f t="shared" si="19"/>
        <v>0</v>
      </c>
      <c r="M45" s="76" t="str">
        <f t="shared" si="19"/>
        <v/>
      </c>
    </row>
    <row r="46" spans="2:13" x14ac:dyDescent="0.15">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x14ac:dyDescent="0.15">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x14ac:dyDescent="0.15">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x14ac:dyDescent="0.15">
      <c r="B50" s="16" t="s">
        <v>68</v>
      </c>
    </row>
    <row r="51" spans="2:13" x14ac:dyDescent="0.15">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x14ac:dyDescent="0.15">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-222656878</v>
      </c>
      <c r="D58" s="76">
        <f t="shared" ref="D58:M58" si="28">IF(D$4="","",D44-D55-D56-D57)</f>
        <v>40517438</v>
      </c>
      <c r="E58" s="76">
        <f t="shared" si="28"/>
        <v>42539332</v>
      </c>
      <c r="F58" s="76">
        <f t="shared" si="28"/>
        <v>21246453</v>
      </c>
      <c r="G58" s="76">
        <f t="shared" si="28"/>
        <v>419243973</v>
      </c>
      <c r="H58" s="76">
        <f t="shared" si="28"/>
        <v>260912986</v>
      </c>
      <c r="I58" s="76">
        <f t="shared" si="28"/>
        <v>-7380704</v>
      </c>
      <c r="J58" s="76">
        <f t="shared" si="28"/>
        <v>-18665820</v>
      </c>
      <c r="K58" s="76">
        <f t="shared" si="28"/>
        <v>-200531275</v>
      </c>
      <c r="L58" s="76">
        <f t="shared" si="28"/>
        <v>-342051382</v>
      </c>
      <c r="M58" s="76" t="str">
        <f t="shared" si="28"/>
        <v/>
      </c>
    </row>
    <row r="60" spans="2:13" x14ac:dyDescent="0.15">
      <c r="B60" s="16" t="s">
        <v>51</v>
      </c>
      <c r="C60" s="9"/>
    </row>
    <row r="61" spans="2:13" ht="13" x14ac:dyDescent="0.15">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ht="13" x14ac:dyDescent="0.15">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401</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x14ac:dyDescent="0.15">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ht="13" x14ac:dyDescent="0.15">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x14ac:dyDescent="0.15">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x14ac:dyDescent="0.15">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x14ac:dyDescent="0.15">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10968339719.389999</v>
      </c>
      <c r="D76" s="76">
        <f t="shared" ref="D76:M76" si="39">IF(D$4="","",D79+D80)</f>
        <v>12386911594</v>
      </c>
      <c r="E76" s="76">
        <f t="shared" si="39"/>
        <v>12497542169</v>
      </c>
      <c r="F76" s="76">
        <f t="shared" si="39"/>
        <v>11532809144</v>
      </c>
      <c r="G76" s="76">
        <f t="shared" si="39"/>
        <v>9595373074</v>
      </c>
      <c r="H76" s="76">
        <f t="shared" si="39"/>
        <v>3514353524</v>
      </c>
      <c r="I76" s="76">
        <f t="shared" si="39"/>
        <v>3297633120</v>
      </c>
      <c r="J76" s="76">
        <f t="shared" si="39"/>
        <v>3506183194</v>
      </c>
      <c r="K76" s="76">
        <f t="shared" si="39"/>
        <v>3365659820</v>
      </c>
      <c r="L76" s="76">
        <f t="shared" si="39"/>
        <v>3721194030</v>
      </c>
      <c r="M76" s="76" t="str">
        <f t="shared" si="39"/>
        <v/>
      </c>
    </row>
    <row r="77" spans="2:13" ht="13" x14ac:dyDescent="0.15">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31"/>
      <c r="J77" s="331"/>
      <c r="K77" s="331"/>
      <c r="L77" s="331"/>
      <c r="M77" s="331"/>
    </row>
    <row r="78" spans="2:13" ht="13" x14ac:dyDescent="0.15">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31"/>
      <c r="J78" s="331"/>
      <c r="K78" s="331"/>
      <c r="L78" s="331"/>
      <c r="M78" s="331"/>
    </row>
    <row r="79" spans="2:13" ht="13" x14ac:dyDescent="0.15">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ht="13" x14ac:dyDescent="0.15">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C2" sqref="C2"/>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63423634.85+27585675</f>
        <v>91009309.849999994</v>
      </c>
      <c r="D4" s="290">
        <v>0.6</v>
      </c>
      <c r="E4" s="25"/>
      <c r="F4" s="4" t="s">
        <v>78</v>
      </c>
      <c r="G4" s="19">
        <v>1081659074.0699999</v>
      </c>
      <c r="H4" s="290">
        <v>0.9</v>
      </c>
    </row>
    <row r="5" spans="2:8" ht="15" customHeight="1" x14ac:dyDescent="0.15">
      <c r="B5" s="1" t="s">
        <v>33</v>
      </c>
      <c r="C5" s="19">
        <v>0</v>
      </c>
      <c r="D5" s="290">
        <v>0.6</v>
      </c>
      <c r="E5" s="25"/>
      <c r="F5" s="1" t="s">
        <v>29</v>
      </c>
      <c r="G5" s="19">
        <v>0</v>
      </c>
      <c r="H5" s="290">
        <v>0.7</v>
      </c>
    </row>
    <row r="6" spans="2:8" ht="15" customHeight="1" x14ac:dyDescent="0.15">
      <c r="B6" s="4" t="s">
        <v>10</v>
      </c>
      <c r="C6" s="19">
        <v>2185835620.7199998</v>
      </c>
      <c r="D6" s="290">
        <v>0.5</v>
      </c>
      <c r="E6" s="25"/>
      <c r="F6" s="4" t="s">
        <v>178</v>
      </c>
      <c r="G6" s="19">
        <v>0</v>
      </c>
      <c r="H6" s="290">
        <v>0.6</v>
      </c>
    </row>
    <row r="7" spans="2:8" ht="15" customHeight="1" x14ac:dyDescent="0.15">
      <c r="B7" s="1" t="s">
        <v>69</v>
      </c>
      <c r="C7" s="19">
        <v>0</v>
      </c>
      <c r="D7" s="290">
        <v>0.6</v>
      </c>
      <c r="E7" s="25"/>
      <c r="F7" s="4" t="s">
        <v>179</v>
      </c>
      <c r="G7" s="19">
        <v>22482125.719999999</v>
      </c>
      <c r="H7" s="290">
        <v>0.6</v>
      </c>
    </row>
    <row r="8" spans="2:8" ht="15" customHeight="1" x14ac:dyDescent="0.15">
      <c r="B8" s="1" t="s">
        <v>174</v>
      </c>
      <c r="C8" s="19">
        <v>0</v>
      </c>
      <c r="D8" s="290">
        <v>0.6</v>
      </c>
      <c r="E8" s="25"/>
      <c r="F8" s="1" t="s">
        <v>180</v>
      </c>
      <c r="G8" s="19">
        <v>0</v>
      </c>
      <c r="H8" s="290">
        <v>0.6</v>
      </c>
    </row>
    <row r="9" spans="2:8" ht="15" customHeight="1" x14ac:dyDescent="0.15">
      <c r="B9" s="4" t="s">
        <v>25</v>
      </c>
      <c r="C9" s="19">
        <v>28012999.57</v>
      </c>
      <c r="D9" s="290">
        <v>0.1</v>
      </c>
      <c r="E9" s="25"/>
      <c r="F9" s="4" t="s">
        <v>181</v>
      </c>
      <c r="G9" s="19">
        <v>0</v>
      </c>
      <c r="H9" s="290">
        <v>0.6</v>
      </c>
    </row>
    <row r="10" spans="2:8" ht="15" customHeight="1" x14ac:dyDescent="0.15">
      <c r="B10" s="4" t="s">
        <v>11</v>
      </c>
      <c r="C10" s="19">
        <v>0</v>
      </c>
      <c r="D10" s="290">
        <v>0.9</v>
      </c>
      <c r="H10" s="291"/>
    </row>
    <row r="11" spans="2:8" ht="15" customHeight="1" x14ac:dyDescent="0.15">
      <c r="B11" s="4" t="s">
        <v>12</v>
      </c>
      <c r="C11" s="19">
        <v>270038356.50999999</v>
      </c>
      <c r="D11" s="290">
        <v>0.05</v>
      </c>
      <c r="H11" s="291"/>
    </row>
    <row r="12" spans="2:8" ht="15" customHeight="1" x14ac:dyDescent="0.15">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90">
        <v>0.4</v>
      </c>
      <c r="F15" s="4" t="s">
        <v>79</v>
      </c>
      <c r="G15" s="19">
        <v>0</v>
      </c>
      <c r="H15" s="290">
        <v>0.8</v>
      </c>
    </row>
    <row r="16" spans="2:8" ht="15" customHeight="1" x14ac:dyDescent="0.15">
      <c r="B16" s="1" t="s">
        <v>34</v>
      </c>
      <c r="C16" s="19">
        <v>0</v>
      </c>
      <c r="D16" s="290">
        <v>0.5</v>
      </c>
      <c r="F16" s="4" t="s">
        <v>178</v>
      </c>
      <c r="G16" s="19">
        <v>0</v>
      </c>
      <c r="H16" s="290">
        <v>0.6</v>
      </c>
    </row>
    <row r="17" spans="2:8" ht="15" customHeight="1" x14ac:dyDescent="0.15">
      <c r="B17" s="1" t="s">
        <v>69</v>
      </c>
      <c r="C17" s="19">
        <v>0</v>
      </c>
      <c r="D17" s="290">
        <v>0.6</v>
      </c>
      <c r="F17" s="4" t="s">
        <v>179</v>
      </c>
      <c r="G17" s="19">
        <v>0</v>
      </c>
      <c r="H17" s="290">
        <v>0.6</v>
      </c>
    </row>
    <row r="18" spans="2:8" ht="15" customHeight="1" x14ac:dyDescent="0.15">
      <c r="B18" s="4" t="s">
        <v>174</v>
      </c>
      <c r="C18" s="19">
        <v>0</v>
      </c>
      <c r="D18" s="290">
        <v>0.6</v>
      </c>
      <c r="F18" s="4" t="s">
        <v>182</v>
      </c>
      <c r="G18" s="19">
        <v>0</v>
      </c>
      <c r="H18" s="290">
        <v>0.1</v>
      </c>
    </row>
    <row r="19" spans="2:8" ht="15" customHeight="1" x14ac:dyDescent="0.15">
      <c r="B19" s="4" t="s">
        <v>26</v>
      </c>
      <c r="C19" s="19">
        <f>4755026247.47+159772560.73+160044048.75</f>
        <v>5074842856.9499998</v>
      </c>
      <c r="D19" s="290">
        <v>0.1</v>
      </c>
      <c r="F19" s="4" t="s">
        <v>183</v>
      </c>
      <c r="G19" s="19">
        <f>142861296.29+17825955.91</f>
        <v>160687252.19999999</v>
      </c>
      <c r="H19" s="290">
        <v>0.1</v>
      </c>
    </row>
    <row r="20" spans="2:8" ht="15" customHeight="1" x14ac:dyDescent="0.15">
      <c r="B20" s="4" t="s">
        <v>18</v>
      </c>
      <c r="C20" s="19">
        <v>0</v>
      </c>
      <c r="D20" s="290">
        <v>0.05</v>
      </c>
      <c r="F20" s="4" t="s">
        <v>180</v>
      </c>
      <c r="G20" s="19">
        <v>0</v>
      </c>
      <c r="H20" s="290">
        <v>0.2</v>
      </c>
    </row>
    <row r="21" spans="2:8" ht="15" customHeight="1" x14ac:dyDescent="0.15">
      <c r="B21" s="4" t="s">
        <v>19</v>
      </c>
      <c r="C21" s="19">
        <v>650634797.63</v>
      </c>
      <c r="D21" s="290">
        <v>0.05</v>
      </c>
      <c r="F21" s="1" t="s">
        <v>181</v>
      </c>
      <c r="G21" s="19">
        <v>0</v>
      </c>
      <c r="H21" s="290">
        <v>0.1</v>
      </c>
    </row>
    <row r="22" spans="2:8" ht="15" customHeight="1" x14ac:dyDescent="0.15">
      <c r="B22" s="4" t="s">
        <v>20</v>
      </c>
      <c r="C22" s="19">
        <v>703465374.02999997</v>
      </c>
      <c r="D22" s="290">
        <v>0.9</v>
      </c>
      <c r="H22" s="291"/>
    </row>
    <row r="23" spans="2:8" ht="15" customHeight="1" x14ac:dyDescent="0.15">
      <c r="B23" s="4" t="s">
        <v>21</v>
      </c>
      <c r="C23" s="19">
        <f>699192456.06+479496.08</f>
        <v>699671952.13999999</v>
      </c>
      <c r="D23" s="290">
        <v>0</v>
      </c>
      <c r="H23" s="291"/>
    </row>
    <row r="24" spans="2:8" ht="15" customHeight="1" x14ac:dyDescent="0.15">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2453658105.4399986</v>
      </c>
      <c r="H27" s="207">
        <f>H32-G30</f>
        <v>-5174668970.3790016</v>
      </c>
    </row>
    <row r="28" spans="2:8" ht="15" customHeight="1" x14ac:dyDescent="0.15">
      <c r="B28" s="4" t="s">
        <v>6</v>
      </c>
      <c r="C28" s="19">
        <v>0</v>
      </c>
      <c r="F28" s="208" t="s">
        <v>245</v>
      </c>
      <c r="G28" s="12">
        <v>1268437841.4300001</v>
      </c>
      <c r="H28" s="207"/>
    </row>
    <row r="29" spans="2:8" ht="15" customHeight="1" x14ac:dyDescent="0.15">
      <c r="B29" s="4" t="s">
        <v>7</v>
      </c>
      <c r="C29" s="19">
        <v>0</v>
      </c>
      <c r="F29" s="209" t="s">
        <v>76</v>
      </c>
      <c r="G29" s="14">
        <f>G27-G28</f>
        <v>1185220264.0099986</v>
      </c>
      <c r="H29" s="207">
        <f>H27-G28</f>
        <v>-6443106811.8090019</v>
      </c>
    </row>
    <row r="30" spans="2:8" ht="15" customHeight="1" x14ac:dyDescent="0.15">
      <c r="B30" s="2" t="s">
        <v>8</v>
      </c>
      <c r="C30" s="19">
        <v>897606.82</v>
      </c>
      <c r="F30" s="206" t="s">
        <v>23</v>
      </c>
      <c r="G30" s="85">
        <f>C33+C42</f>
        <v>8514681613.9500008</v>
      </c>
      <c r="H30" s="207"/>
    </row>
    <row r="31" spans="2:8" ht="15" customHeight="1" x14ac:dyDescent="0.15">
      <c r="B31" s="80" t="s">
        <v>204</v>
      </c>
      <c r="C31" s="81">
        <f>SUM(C27:C30)</f>
        <v>897606.82</v>
      </c>
      <c r="F31" s="209" t="s">
        <v>77</v>
      </c>
      <c r="G31" s="210">
        <f>C31+C40</f>
        <v>123521704.27</v>
      </c>
      <c r="H31" s="207"/>
    </row>
    <row r="32" spans="2:8" ht="15" customHeight="1" x14ac:dyDescent="0.15">
      <c r="B32" s="4" t="s">
        <v>9</v>
      </c>
      <c r="C32" s="21">
        <f>C33-C31</f>
        <v>7738412327.2400007</v>
      </c>
      <c r="F32" s="211" t="s">
        <v>75</v>
      </c>
      <c r="G32" s="212">
        <f>G35+G40</f>
        <v>10968339719.389999</v>
      </c>
      <c r="H32" s="207">
        <f>H35+H40</f>
        <v>3340012643.5709996</v>
      </c>
    </row>
    <row r="33" spans="2:8" ht="15" customHeight="1" x14ac:dyDescent="0.15">
      <c r="B33" s="83" t="s">
        <v>4</v>
      </c>
      <c r="C33" s="84">
        <v>7739309934.0600004</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9703511267.3999996</v>
      </c>
      <c r="H35" s="219">
        <f>D12+D24</f>
        <v>2336961476.2559996</v>
      </c>
    </row>
    <row r="36" spans="2:8" ht="15" customHeight="1" x14ac:dyDescent="0.15">
      <c r="B36" s="4" t="s">
        <v>13</v>
      </c>
      <c r="C36" s="19">
        <v>0</v>
      </c>
      <c r="F36" s="209" t="s">
        <v>198</v>
      </c>
      <c r="G36" s="210">
        <f>C4+C15</f>
        <v>91009309.849999994</v>
      </c>
      <c r="H36" s="214"/>
    </row>
    <row r="37" spans="2:8" ht="15" customHeight="1" x14ac:dyDescent="0.15">
      <c r="B37" s="4" t="s">
        <v>14</v>
      </c>
      <c r="C37" s="19">
        <v>122624097.45</v>
      </c>
      <c r="F37" s="209" t="s">
        <v>199</v>
      </c>
      <c r="G37" s="210">
        <f>C6</f>
        <v>2185835620.7199998</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5074842856.9499998</v>
      </c>
      <c r="H39" s="207">
        <f>C7*D7+C17*D17+C19*D19+C20*D20</f>
        <v>507484285.69499999</v>
      </c>
    </row>
    <row r="40" spans="2:8" ht="15" customHeight="1" x14ac:dyDescent="0.15">
      <c r="B40" s="80" t="s">
        <v>205</v>
      </c>
      <c r="C40" s="81">
        <f>SUM(C36:C39)</f>
        <v>122624097.45</v>
      </c>
      <c r="F40" s="218" t="s">
        <v>139</v>
      </c>
      <c r="G40" s="212">
        <f>G12+G24</f>
        <v>1264828451.99</v>
      </c>
      <c r="H40" s="219">
        <f>H12+H24</f>
        <v>1003051167.3150001</v>
      </c>
    </row>
    <row r="41" spans="2:8" ht="15" customHeight="1" x14ac:dyDescent="0.15">
      <c r="B41" s="4" t="s">
        <v>17</v>
      </c>
      <c r="C41" s="21">
        <f>C42-C40</f>
        <v>652747582.43999994</v>
      </c>
      <c r="F41" s="209" t="s">
        <v>192</v>
      </c>
      <c r="G41" s="210">
        <f>C70</f>
        <v>1081659074.0699999</v>
      </c>
      <c r="H41" s="219">
        <f>H40-H42</f>
        <v>973493166.66300011</v>
      </c>
    </row>
    <row r="42" spans="2:8" ht="15" customHeight="1" x14ac:dyDescent="0.15">
      <c r="B42" s="83" t="s">
        <v>22</v>
      </c>
      <c r="C42" s="84">
        <v>775371679.88999999</v>
      </c>
      <c r="F42" s="220" t="s">
        <v>193</v>
      </c>
      <c r="G42" s="221">
        <f>C82</f>
        <v>183169377.91999999</v>
      </c>
      <c r="H42" s="222">
        <f>D82</f>
        <v>29558000.651999995</v>
      </c>
    </row>
    <row r="44" spans="2:8" ht="15" customHeight="1" x14ac:dyDescent="0.15">
      <c r="B44" s="79" t="s">
        <v>97</v>
      </c>
      <c r="C44" s="37"/>
      <c r="D44" s="37"/>
      <c r="E44" s="37"/>
      <c r="F44" s="37"/>
      <c r="G44" s="37"/>
      <c r="H44" s="37"/>
    </row>
    <row r="45" spans="2:8" ht="15" customHeight="1" x14ac:dyDescent="0.15">
      <c r="B45" s="16" t="s">
        <v>272</v>
      </c>
      <c r="C45" s="259" t="s">
        <v>137</v>
      </c>
      <c r="D45" s="201" t="s">
        <v>414</v>
      </c>
      <c r="F45" s="283" t="s">
        <v>59</v>
      </c>
    </row>
    <row r="46" spans="2:8" ht="15" customHeight="1" x14ac:dyDescent="0.15">
      <c r="B46" s="1" t="s">
        <v>274</v>
      </c>
      <c r="C46" s="76">
        <f>G29</f>
        <v>1185220264.0099986</v>
      </c>
      <c r="D46" s="76">
        <f>H29</f>
        <v>-6443106811.8090019</v>
      </c>
      <c r="F46" s="279"/>
    </row>
    <row r="47" spans="2:8" ht="15" customHeight="1" x14ac:dyDescent="0.15">
      <c r="B47" s="1" t="str">
        <f>"Equity per share ("&amp;Market_currency&amp;")"</f>
        <v>Equity per share (CNY)</v>
      </c>
      <c r="C47" s="148">
        <f>C46*H1/Common_Shares*Exchange_Rate</f>
        <v>2.4489479310088997</v>
      </c>
      <c r="D47" s="148">
        <f>D46*H1/Common_Shares*Exchange_Rate</f>
        <v>-13.312996389940134</v>
      </c>
      <c r="F47" s="279"/>
    </row>
    <row r="48" spans="2:8" ht="15" customHeight="1" x14ac:dyDescent="0.15">
      <c r="F48" s="279"/>
    </row>
    <row r="49" spans="2:8" ht="15" customHeight="1" x14ac:dyDescent="0.15">
      <c r="B49" s="158" t="s">
        <v>144</v>
      </c>
      <c r="C49" s="260" t="s">
        <v>57</v>
      </c>
      <c r="D49" s="216" t="s">
        <v>96</v>
      </c>
      <c r="E49" s="2"/>
      <c r="F49" s="279"/>
    </row>
    <row r="50" spans="2:8" ht="15" customHeight="1" x14ac:dyDescent="0.15">
      <c r="B50" s="8" t="s">
        <v>94</v>
      </c>
      <c r="C50" s="95">
        <f>G31/Normalized_FCF!C8</f>
        <v>3.9546057100127742E-2</v>
      </c>
      <c r="D50" s="95">
        <f>G31/Normalized_FCF!G8</f>
        <v>3.9727648442014103E-2</v>
      </c>
      <c r="F50" s="279"/>
    </row>
    <row r="51" spans="2:8" ht="15" customHeight="1" x14ac:dyDescent="0.15">
      <c r="B51" s="1" t="s">
        <v>177</v>
      </c>
      <c r="C51" s="200"/>
      <c r="D51" s="92">
        <f>G29/G32</f>
        <v>0.10805831095063075</v>
      </c>
      <c r="F51" s="279"/>
    </row>
    <row r="52" spans="2:8" ht="15" customHeight="1" x14ac:dyDescent="0.15">
      <c r="F52" s="279"/>
    </row>
    <row r="53" spans="2:8" ht="15" customHeight="1" x14ac:dyDescent="0.15">
      <c r="B53" s="158" t="s">
        <v>143</v>
      </c>
      <c r="C53" s="260" t="s">
        <v>57</v>
      </c>
      <c r="D53" s="216" t="s">
        <v>96</v>
      </c>
      <c r="F53" s="279"/>
    </row>
    <row r="54" spans="2:8" ht="15" customHeight="1" x14ac:dyDescent="0.15">
      <c r="B54" s="1" t="s">
        <v>140</v>
      </c>
      <c r="C54" s="92">
        <f>Normalized_FCF!C8/G35</f>
        <v>0.32189273249886463</v>
      </c>
      <c r="D54" s="92">
        <f>Normalized_FCF!G8/G35</f>
        <v>0.32042139111496037</v>
      </c>
      <c r="F54" s="279"/>
    </row>
    <row r="55" spans="2:8" ht="15" customHeight="1" x14ac:dyDescent="0.15">
      <c r="B55" s="1" t="s">
        <v>142</v>
      </c>
      <c r="C55" s="92">
        <f>Normalized_FCF!C11/G40</f>
        <v>0</v>
      </c>
      <c r="D55" s="92">
        <f>Normalized_FCF!G11/G40</f>
        <v>0</v>
      </c>
      <c r="F55" s="279"/>
    </row>
    <row r="56" spans="2:8" ht="15" customHeight="1" x14ac:dyDescent="0.15">
      <c r="F56" s="279"/>
    </row>
    <row r="57" spans="2:8" ht="15" customHeight="1" x14ac:dyDescent="0.15">
      <c r="B57" s="158" t="s">
        <v>176</v>
      </c>
      <c r="C57" s="260" t="s">
        <v>57</v>
      </c>
      <c r="D57" s="216" t="s">
        <v>96</v>
      </c>
      <c r="F57" s="279"/>
    </row>
    <row r="58" spans="2:8" ht="15" customHeight="1" x14ac:dyDescent="0.15">
      <c r="B58" s="2" t="s">
        <v>90</v>
      </c>
      <c r="C58" s="98"/>
      <c r="D58" s="23">
        <f>Normalized_FCF!G9/BS!$G$39</f>
        <v>0.11348486667154239</v>
      </c>
      <c r="F58" s="5"/>
    </row>
    <row r="59" spans="2:8" ht="15" customHeight="1" x14ac:dyDescent="0.15">
      <c r="B59" s="1" t="s">
        <v>93</v>
      </c>
      <c r="C59" s="98"/>
      <c r="D59" s="92">
        <f>G39/G32</f>
        <v>0.46268104259923815</v>
      </c>
      <c r="F59" s="279"/>
    </row>
    <row r="60" spans="2:8" ht="15" customHeight="1" x14ac:dyDescent="0.15">
      <c r="F60" s="279"/>
    </row>
    <row r="61" spans="2:8" ht="15" customHeight="1" x14ac:dyDescent="0.15">
      <c r="B61" s="158" t="s">
        <v>275</v>
      </c>
      <c r="C61" s="260" t="s">
        <v>138</v>
      </c>
      <c r="D61" s="216" t="s">
        <v>96</v>
      </c>
      <c r="F61" s="279"/>
    </row>
    <row r="62" spans="2:8" ht="15" customHeight="1" x14ac:dyDescent="0.15">
      <c r="B62" s="1" t="s">
        <v>246</v>
      </c>
      <c r="C62" s="92">
        <f>IF(G28&lt;=0,0,G28/G29)</f>
        <v>1.0702127528080294</v>
      </c>
      <c r="D62" s="92">
        <f>G28/G29</f>
        <v>1.0702127528080294</v>
      </c>
      <c r="F62" s="279" t="s">
        <v>273</v>
      </c>
    </row>
    <row r="64" spans="2:8" ht="15" customHeight="1" x14ac:dyDescent="0.15">
      <c r="B64" s="79" t="s">
        <v>194</v>
      </c>
      <c r="C64" s="37"/>
      <c r="D64" s="37"/>
      <c r="E64" s="37"/>
      <c r="F64" s="37"/>
      <c r="G64" s="37"/>
      <c r="H64" s="37"/>
    </row>
    <row r="65" spans="2:6" ht="15" customHeight="1" x14ac:dyDescent="0.15">
      <c r="B65" s="16" t="s">
        <v>189</v>
      </c>
      <c r="C65" s="259" t="s">
        <v>137</v>
      </c>
      <c r="D65" s="202" t="s">
        <v>292</v>
      </c>
      <c r="F65" s="283" t="s">
        <v>59</v>
      </c>
    </row>
    <row r="66" spans="2:6" ht="15" customHeight="1" x14ac:dyDescent="0.15">
      <c r="B66" s="105" t="s">
        <v>188</v>
      </c>
      <c r="C66" s="20">
        <f>G4+G5+G15</f>
        <v>1081659074.0699999</v>
      </c>
      <c r="D66" s="76">
        <f>C66-D75</f>
        <v>65618450.04890883</v>
      </c>
      <c r="F66" s="5" t="s">
        <v>227</v>
      </c>
    </row>
    <row r="67" spans="2:6" ht="15" customHeight="1" x14ac:dyDescent="0.15">
      <c r="B67" s="105" t="s">
        <v>178</v>
      </c>
      <c r="C67" s="20">
        <f>G6+G16</f>
        <v>0</v>
      </c>
      <c r="F67" s="279"/>
    </row>
    <row r="68" spans="2:6" ht="15" customHeight="1" x14ac:dyDescent="0.15">
      <c r="B68" s="105" t="s">
        <v>182</v>
      </c>
      <c r="C68" s="20">
        <f>G18</f>
        <v>0</v>
      </c>
      <c r="F68" s="279"/>
    </row>
    <row r="69" spans="2:6" ht="15" customHeight="1" x14ac:dyDescent="0.15">
      <c r="B69" s="105" t="s">
        <v>180</v>
      </c>
      <c r="C69" s="20">
        <f>G8+G20</f>
        <v>0</v>
      </c>
      <c r="F69" s="279"/>
    </row>
    <row r="70" spans="2:6" ht="15" customHeight="1" x14ac:dyDescent="0.15">
      <c r="B70" s="80" t="s">
        <v>189</v>
      </c>
      <c r="C70" s="81">
        <f>SUM(C66:C69)</f>
        <v>1081659074.0699999</v>
      </c>
      <c r="F70" s="279"/>
    </row>
    <row r="71" spans="2:6" ht="15" customHeight="1" x14ac:dyDescent="0.15">
      <c r="F71" s="279"/>
    </row>
    <row r="72" spans="2:6" ht="15" customHeight="1" x14ac:dyDescent="0.15">
      <c r="B72" s="281" t="s">
        <v>326</v>
      </c>
      <c r="C72" s="259" t="s">
        <v>96</v>
      </c>
      <c r="D72" s="201" t="s">
        <v>57</v>
      </c>
      <c r="F72" s="279"/>
    </row>
    <row r="73" spans="2:6" ht="15" customHeight="1" x14ac:dyDescent="0.15">
      <c r="B73" s="105" t="s">
        <v>325</v>
      </c>
      <c r="C73" s="76">
        <f>(Normalized_FCF!G25+Normalized_FCF!G35-Normalized_FCF!G91)/12</f>
        <v>-1058076344.85</v>
      </c>
      <c r="D73" s="76">
        <f>(Normalized_FCF!C25+Normalized_FCF!C35-Normalized_FCF!C91)/12</f>
        <v>-1016040624.0210911</v>
      </c>
      <c r="F73" s="1" t="s">
        <v>359</v>
      </c>
    </row>
    <row r="74" spans="2:6" ht="15" customHeight="1" x14ac:dyDescent="0.15">
      <c r="B74" s="284" t="s">
        <v>329</v>
      </c>
      <c r="C74" s="285">
        <f>-$C$66/C73</f>
        <v>1.0222883058815033</v>
      </c>
      <c r="D74" s="285">
        <f>-$C$66/D73</f>
        <v>1.0645825063462686</v>
      </c>
      <c r="F74" s="279" t="s">
        <v>327</v>
      </c>
    </row>
    <row r="75" spans="2:6" ht="15" customHeight="1" x14ac:dyDescent="0.15">
      <c r="B75" s="80" t="s">
        <v>328</v>
      </c>
      <c r="C75" s="289"/>
      <c r="D75" s="288">
        <f>MAX(-D73*D76,G5)</f>
        <v>1016040624.0210911</v>
      </c>
      <c r="F75" s="279" t="s">
        <v>360</v>
      </c>
    </row>
    <row r="76" spans="2:6" ht="15" customHeight="1" x14ac:dyDescent="0.15">
      <c r="B76" s="286" t="s">
        <v>330</v>
      </c>
      <c r="C76" s="287"/>
      <c r="D76" s="323">
        <f>IF(D74&lt;=3,1,IF(D74&gt;18,6,2))</f>
        <v>1</v>
      </c>
      <c r="F76" s="279" t="s">
        <v>331</v>
      </c>
    </row>
    <row r="77" spans="2:6" ht="15" customHeight="1" x14ac:dyDescent="0.15">
      <c r="F77" s="279"/>
    </row>
    <row r="78" spans="2:6" ht="15" customHeight="1" x14ac:dyDescent="0.15">
      <c r="B78" s="16" t="s">
        <v>190</v>
      </c>
      <c r="C78" s="259" t="s">
        <v>137</v>
      </c>
      <c r="D78" s="202" t="s">
        <v>35</v>
      </c>
      <c r="F78" s="279"/>
    </row>
    <row r="79" spans="2:6" ht="15" customHeight="1" x14ac:dyDescent="0.15">
      <c r="B79" s="105" t="s">
        <v>179</v>
      </c>
      <c r="C79" s="20">
        <f>G7+G17</f>
        <v>22482125.719999999</v>
      </c>
      <c r="D79" s="76">
        <f>G7*H7+G17*H17</f>
        <v>13489275.431999998</v>
      </c>
      <c r="F79" s="279"/>
    </row>
    <row r="80" spans="2:6" ht="15" customHeight="1" x14ac:dyDescent="0.15">
      <c r="B80" s="105" t="s">
        <v>183</v>
      </c>
      <c r="C80" s="20">
        <f>G19</f>
        <v>160687252.19999999</v>
      </c>
      <c r="D80" s="76">
        <f>G19*H19</f>
        <v>16068725.219999999</v>
      </c>
      <c r="F80" s="279"/>
    </row>
    <row r="81" spans="2:8" ht="15" customHeight="1" x14ac:dyDescent="0.15">
      <c r="B81" s="105" t="s">
        <v>181</v>
      </c>
      <c r="C81" s="20">
        <f>G9+G21</f>
        <v>0</v>
      </c>
      <c r="D81" s="76">
        <f>G9*H9+G21*H21</f>
        <v>0</v>
      </c>
      <c r="F81" s="279"/>
    </row>
    <row r="82" spans="2:8" ht="15" customHeight="1" x14ac:dyDescent="0.15">
      <c r="B82" s="80" t="s">
        <v>190</v>
      </c>
      <c r="C82" s="81">
        <f>SUM(C79:C81)</f>
        <v>183169377.91999999</v>
      </c>
      <c r="D82" s="81">
        <f>SUM(D79:D81)</f>
        <v>29558000.651999995</v>
      </c>
      <c r="F82" s="279"/>
    </row>
    <row r="84" spans="2:8" ht="15" customHeight="1" x14ac:dyDescent="0.15">
      <c r="B84" s="79" t="s">
        <v>295</v>
      </c>
      <c r="C84" s="37"/>
      <c r="D84" s="37"/>
      <c r="E84" s="37"/>
      <c r="F84" s="37"/>
      <c r="G84" s="37"/>
      <c r="H84" s="37"/>
    </row>
    <row r="85" spans="2:8" ht="15" customHeight="1" x14ac:dyDescent="0.15">
      <c r="B85" s="16" t="s">
        <v>296</v>
      </c>
      <c r="D85" s="266" t="s">
        <v>297</v>
      </c>
    </row>
    <row r="86" spans="2:8" ht="15" customHeight="1" x14ac:dyDescent="0.15">
      <c r="B86" s="263" t="s">
        <v>293</v>
      </c>
      <c r="C86" s="76">
        <f>-Valuation_Model!C7*Exchange_Rate</f>
        <v>-123521704.27</v>
      </c>
      <c r="D86" s="246">
        <f>C86*scaling_factor/Common_Shares</f>
        <v>-0.25522532080514426</v>
      </c>
      <c r="E86" s="265" t="str">
        <f>Market_currency</f>
        <v>CNY</v>
      </c>
    </row>
    <row r="87" spans="2:8" ht="15" customHeight="1" x14ac:dyDescent="0.15">
      <c r="B87" s="263" t="s">
        <v>294</v>
      </c>
      <c r="C87" s="76">
        <f>Valuation_Model!C8*Exchange_Rate</f>
        <v>65618450.04890883</v>
      </c>
      <c r="D87" s="246">
        <f>C87*scaling_factor/Common_Shares</f>
        <v>0.13558337834994227</v>
      </c>
      <c r="E87" s="265" t="str">
        <f>Market_currency</f>
        <v>CNY</v>
      </c>
    </row>
    <row r="88" spans="2:8" ht="15" customHeight="1" x14ac:dyDescent="0.15">
      <c r="B88" s="264" t="s">
        <v>190</v>
      </c>
      <c r="C88" s="76">
        <f>Valuation_Model!C9*Exchange_Rate</f>
        <v>29558000.651999995</v>
      </c>
      <c r="D88" s="246">
        <f>C88*scaling_factor/Common_Shares</f>
        <v>6.1073883681813636E-2</v>
      </c>
      <c r="E88" s="265" t="str">
        <f>Market_currency</f>
        <v>CNY</v>
      </c>
    </row>
    <row r="89" spans="2:8" ht="15" customHeight="1" x14ac:dyDescent="0.15">
      <c r="B89" s="80" t="s">
        <v>298</v>
      </c>
      <c r="C89" s="187">
        <f>SUM(C86:C88)</f>
        <v>-28345253.569091171</v>
      </c>
      <c r="D89" s="267">
        <f>SUM(D86:D88)</f>
        <v>-5.8568058773388353E-2</v>
      </c>
      <c r="E89" s="265"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98"/>
      <c r="F3" s="9"/>
      <c r="G3" s="9"/>
    </row>
    <row r="4" spans="1:17" ht="15.75" customHeight="1" x14ac:dyDescent="0.15">
      <c r="A4" s="10"/>
      <c r="B4" s="26" t="s">
        <v>2</v>
      </c>
      <c r="C4" s="189">
        <f>AVERAGE(G4:J4)</f>
        <v>14154446369.75</v>
      </c>
      <c r="D4" s="57"/>
      <c r="E4" s="296"/>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x14ac:dyDescent="0.15">
      <c r="A5" s="10"/>
      <c r="B5" s="2" t="s">
        <v>46</v>
      </c>
      <c r="C5" s="190">
        <f>C25</f>
        <v>-10434492185.803093</v>
      </c>
      <c r="E5" s="298"/>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x14ac:dyDescent="0.15">
      <c r="A6" s="10"/>
      <c r="B6" s="31" t="s">
        <v>48</v>
      </c>
      <c r="C6" s="184">
        <f>C4+C5</f>
        <v>3719954183.946907</v>
      </c>
      <c r="E6" s="298"/>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x14ac:dyDescent="0.15">
      <c r="A7" s="10"/>
      <c r="B7" s="8" t="s">
        <v>45</v>
      </c>
      <c r="C7" s="190">
        <f>C35</f>
        <v>-596464427.25</v>
      </c>
      <c r="E7" s="298"/>
      <c r="G7" s="190">
        <f t="shared" ref="G7:Q7" si="3">G35</f>
        <v>-539608200</v>
      </c>
      <c r="H7" s="190">
        <f t="shared" si="3"/>
        <v>-520902794</v>
      </c>
      <c r="I7" s="190">
        <f t="shared" si="3"/>
        <v>-645318285</v>
      </c>
      <c r="J7" s="190">
        <f t="shared" si="3"/>
        <v>-680028430</v>
      </c>
      <c r="K7" s="190">
        <f t="shared" si="3"/>
        <v>-768317542</v>
      </c>
      <c r="L7" s="190">
        <f t="shared" si="3"/>
        <v>-161996928</v>
      </c>
      <c r="M7" s="190">
        <f t="shared" si="3"/>
        <v>-153940810</v>
      </c>
      <c r="N7" s="190">
        <f t="shared" si="3"/>
        <v>-155718230</v>
      </c>
      <c r="O7" s="190">
        <f t="shared" si="3"/>
        <v>-183628555</v>
      </c>
      <c r="P7" s="190">
        <f t="shared" si="3"/>
        <v>-232657686</v>
      </c>
      <c r="Q7" s="190" t="str">
        <f t="shared" si="3"/>
        <v/>
      </c>
    </row>
    <row r="8" spans="1:17" ht="15.75" customHeight="1" x14ac:dyDescent="0.15">
      <c r="A8" s="10"/>
      <c r="B8" s="29" t="s">
        <v>153</v>
      </c>
      <c r="C8" s="191">
        <f>C6+C7</f>
        <v>3123489756.696907</v>
      </c>
      <c r="D8" s="59"/>
      <c r="E8" s="304"/>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x14ac:dyDescent="0.15">
      <c r="A9" s="10"/>
      <c r="B9" s="2" t="s">
        <v>65</v>
      </c>
      <c r="C9" s="190">
        <f>BS!$G$39*BS!D58</f>
        <v>575917865</v>
      </c>
      <c r="E9" s="298"/>
      <c r="G9" s="190">
        <f>IF(Data!C61="","",-Data!C61)</f>
        <v>575917865</v>
      </c>
      <c r="H9" s="190">
        <f>IF(Data!D61="","",-Data!D61)</f>
        <v>514817738</v>
      </c>
      <c r="I9" s="190">
        <f>IF(Data!E61="","",-Data!E61)</f>
        <v>504410326</v>
      </c>
      <c r="J9" s="190">
        <f>IF(Data!F61="","",-Data!F61)</f>
        <v>451827434</v>
      </c>
      <c r="K9" s="190">
        <f>IF(Data!G61="","",-Data!G61)</f>
        <v>413794059</v>
      </c>
      <c r="L9" s="190">
        <f>IF(Data!H61="","",-Data!H61)</f>
        <v>174070610</v>
      </c>
      <c r="M9" s="190">
        <f>IF(Data!I61="","",-Data!I61)</f>
        <v>173632673</v>
      </c>
      <c r="N9" s="190">
        <f>IF(Data!J61="","",-Data!J61)</f>
        <v>0</v>
      </c>
      <c r="O9" s="190">
        <f>IF(Data!K61="","",-Data!K61)</f>
        <v>0</v>
      </c>
      <c r="P9" s="190">
        <f>IF(Data!L61="","",-Data!L61)</f>
        <v>0</v>
      </c>
      <c r="Q9" s="190" t="str">
        <f>IF(Data!M61="","",-Data!M61)</f>
        <v/>
      </c>
    </row>
    <row r="10" spans="1:17" ht="15.75" customHeight="1" x14ac:dyDescent="0.15">
      <c r="A10" s="10"/>
      <c r="B10" s="2" t="s">
        <v>81</v>
      </c>
      <c r="C10" s="190">
        <f>-C4*C78</f>
        <v>-575917865</v>
      </c>
      <c r="E10" s="298"/>
      <c r="G10" s="190">
        <f>Data!C62</f>
        <v>-575917865</v>
      </c>
      <c r="H10" s="190">
        <f>Data!D62</f>
        <v>-514817738</v>
      </c>
      <c r="I10" s="190">
        <f>Data!E62</f>
        <v>-504410326</v>
      </c>
      <c r="J10" s="190">
        <f>Data!F62</f>
        <v>-451827434</v>
      </c>
      <c r="K10" s="190">
        <f>Data!G62</f>
        <v>-413794059</v>
      </c>
      <c r="L10" s="190">
        <f>Data!H62</f>
        <v>-174070610</v>
      </c>
      <c r="M10" s="190">
        <f>Data!I62</f>
        <v>-173632673</v>
      </c>
      <c r="N10" s="190">
        <f>Data!J62</f>
        <v>0</v>
      </c>
      <c r="O10" s="190">
        <f>Data!K62</f>
        <v>0</v>
      </c>
      <c r="P10" s="190">
        <f>Data!L62</f>
        <v>0</v>
      </c>
      <c r="Q10" s="190" t="str">
        <f>Data!M62</f>
        <v/>
      </c>
    </row>
    <row r="11" spans="1:17" ht="15.75" customHeight="1" x14ac:dyDescent="0.15">
      <c r="A11" s="10"/>
      <c r="B11" s="31" t="s">
        <v>195</v>
      </c>
      <c r="C11" s="192">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30881944.997018404</v>
      </c>
      <c r="E12" s="298"/>
      <c r="G12" s="190">
        <f>G50</f>
        <v>30881944.997018404</v>
      </c>
      <c r="H12" s="190">
        <f t="shared" ref="H12:Q12" si="6">H50</f>
        <v>61060472.426252395</v>
      </c>
      <c r="I12" s="190">
        <f t="shared" si="6"/>
        <v>58034950.960215338</v>
      </c>
      <c r="J12" s="190">
        <f t="shared" si="6"/>
        <v>19677003.321634412</v>
      </c>
      <c r="K12" s="190">
        <f t="shared" si="6"/>
        <v>5923283.77028092</v>
      </c>
      <c r="L12" s="190">
        <f t="shared" si="6"/>
        <v>-2708899.7766326303</v>
      </c>
      <c r="M12" s="190">
        <f t="shared" si="6"/>
        <v>-6124799.2178542558</v>
      </c>
      <c r="N12" s="190">
        <f t="shared" si="6"/>
        <v>0</v>
      </c>
      <c r="O12" s="190">
        <f t="shared" si="6"/>
        <v>0</v>
      </c>
      <c r="P12" s="190">
        <f t="shared" si="6"/>
        <v>0</v>
      </c>
      <c r="Q12" s="190" t="str">
        <f t="shared" si="6"/>
        <v/>
      </c>
    </row>
    <row r="13" spans="1:17" ht="15.75" customHeight="1" x14ac:dyDescent="0.15">
      <c r="A13" s="10"/>
      <c r="B13" s="70" t="s">
        <v>165</v>
      </c>
      <c r="C13" s="184">
        <f>SUM(C8:C12)</f>
        <v>3154371701.6939254</v>
      </c>
      <c r="E13" s="298"/>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x14ac:dyDescent="0.15">
      <c r="A14" s="10"/>
      <c r="B14" s="2" t="s">
        <v>63</v>
      </c>
      <c r="C14" s="190">
        <f>-SUM(C8+C11,C12)*C43</f>
        <v>-788592925.42348135</v>
      </c>
      <c r="E14" s="298"/>
      <c r="G14" s="190">
        <f>Data!C46</f>
        <v>-670547120</v>
      </c>
      <c r="H14" s="190">
        <f>Data!D46</f>
        <v>-664121997</v>
      </c>
      <c r="I14" s="190">
        <f>Data!E46</f>
        <v>-711879179</v>
      </c>
      <c r="J14" s="190">
        <f>Data!F46</f>
        <v>-541923819</v>
      </c>
      <c r="K14" s="190">
        <f>Data!G46</f>
        <v>-378467716</v>
      </c>
      <c r="L14" s="190">
        <f>Data!H46</f>
        <v>-98780687</v>
      </c>
      <c r="M14" s="190">
        <f>Data!I46</f>
        <v>-61018006</v>
      </c>
      <c r="N14" s="190">
        <f>Data!J46</f>
        <v>-18873927</v>
      </c>
      <c r="O14" s="190">
        <f>Data!K46</f>
        <v>-16833271</v>
      </c>
      <c r="P14" s="190">
        <f>Data!L46</f>
        <v>-42979625</v>
      </c>
      <c r="Q14" s="190" t="str">
        <f>Data!M46</f>
        <v/>
      </c>
    </row>
    <row r="15" spans="1:17" ht="15.75" customHeight="1" x14ac:dyDescent="0.15">
      <c r="A15" s="10"/>
      <c r="B15" s="40" t="s">
        <v>244</v>
      </c>
      <c r="C15" s="190">
        <f>-C4*C83</f>
        <v>-141879704.29826272</v>
      </c>
      <c r="D15" s="60"/>
      <c r="E15" s="305"/>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x14ac:dyDescent="0.15">
      <c r="A16" s="10"/>
      <c r="B16" s="41" t="s">
        <v>155</v>
      </c>
      <c r="C16" s="193">
        <f>SUM(C13:C15)</f>
        <v>2223899071.9721813</v>
      </c>
      <c r="D16" s="61"/>
      <c r="E16" s="306"/>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x14ac:dyDescent="0.15">
      <c r="A17" s="10"/>
      <c r="B17" s="27" t="s">
        <v>52</v>
      </c>
      <c r="C17" s="190">
        <f>-C4*C85</f>
        <v>0</v>
      </c>
      <c r="D17" s="58"/>
      <c r="E17" s="297" t="s">
        <v>339</v>
      </c>
      <c r="F17" s="58"/>
      <c r="G17" s="194"/>
      <c r="H17" s="194"/>
      <c r="I17" s="194"/>
      <c r="J17" s="194"/>
      <c r="K17" s="194"/>
      <c r="L17" s="194"/>
      <c r="M17" s="194"/>
      <c r="N17" s="194"/>
      <c r="O17" s="194"/>
      <c r="P17" s="194"/>
      <c r="Q17" s="194"/>
    </row>
    <row r="18" spans="1:17" ht="15.75" customHeight="1" x14ac:dyDescent="0.15">
      <c r="A18" s="10"/>
      <c r="B18" s="27" t="s">
        <v>99</v>
      </c>
      <c r="C18" s="190">
        <v>0</v>
      </c>
      <c r="D18" s="58"/>
      <c r="E18" s="297" t="s">
        <v>340</v>
      </c>
      <c r="F18" s="58"/>
      <c r="G18" s="195"/>
      <c r="H18" s="195"/>
      <c r="I18" s="195"/>
      <c r="J18" s="195"/>
      <c r="K18" s="195"/>
      <c r="L18" s="195"/>
      <c r="M18" s="195"/>
      <c r="N18" s="195"/>
      <c r="O18" s="195"/>
      <c r="P18" s="195"/>
      <c r="Q18" s="195"/>
    </row>
    <row r="19" spans="1:17" ht="15.75" customHeight="1" x14ac:dyDescent="0.15">
      <c r="A19" s="10"/>
      <c r="B19" s="31" t="s">
        <v>66</v>
      </c>
      <c r="C19" s="184">
        <f>C16+C17</f>
        <v>2223899071.9721813</v>
      </c>
      <c r="D19" s="27"/>
      <c r="E19" s="295"/>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5"/>
      <c r="F22" s="27"/>
      <c r="G22" s="12"/>
      <c r="H22" s="12"/>
      <c r="I22" s="12"/>
      <c r="J22" s="12"/>
      <c r="K22" s="12"/>
      <c r="L22" s="12"/>
      <c r="M22" s="12"/>
      <c r="N22" s="12"/>
      <c r="O22" s="12"/>
      <c r="P22" s="12"/>
      <c r="Q22" s="12"/>
    </row>
    <row r="23" spans="1:17" ht="15.75" customHeight="1" x14ac:dyDescent="0.15">
      <c r="A23" s="10"/>
      <c r="B23" s="27" t="s">
        <v>43</v>
      </c>
      <c r="C23" s="196">
        <f>-C4*C28</f>
        <v>-8039212664.4388895</v>
      </c>
      <c r="D23" s="58"/>
      <c r="E23" s="297"/>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x14ac:dyDescent="0.2">
      <c r="A24" s="10"/>
      <c r="B24" s="68" t="s">
        <v>62</v>
      </c>
      <c r="C24" s="190">
        <f>-C4*C29</f>
        <v>-2395279521.3642035</v>
      </c>
      <c r="D24" s="27"/>
      <c r="E24" s="295"/>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x14ac:dyDescent="0.15">
      <c r="A25" s="10"/>
      <c r="B25" s="70" t="s">
        <v>46</v>
      </c>
      <c r="C25" s="184">
        <f>C23+C24</f>
        <v>-10434492185.803093</v>
      </c>
      <c r="D25" s="9"/>
      <c r="E25" s="303"/>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x14ac:dyDescent="0.15">
      <c r="A26" s="10"/>
      <c r="E26" s="298"/>
    </row>
    <row r="27" spans="1:17" ht="15.75" customHeight="1" x14ac:dyDescent="0.15">
      <c r="A27" s="10"/>
      <c r="B27" s="64" t="s">
        <v>207</v>
      </c>
      <c r="E27" s="298"/>
    </row>
    <row r="28" spans="1:17" ht="15.75" customHeight="1" x14ac:dyDescent="0.15">
      <c r="A28" s="10"/>
      <c r="B28" s="26" t="s">
        <v>43</v>
      </c>
      <c r="C28" s="63">
        <f>AVERAGE(G28:J28)</f>
        <v>0.56796376590325659</v>
      </c>
      <c r="D28" s="26"/>
      <c r="E28" s="296" t="s">
        <v>341</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x14ac:dyDescent="0.2">
      <c r="A29" s="10"/>
      <c r="B29" s="68" t="str">
        <f>B24</f>
        <v>Selling Expenses</v>
      </c>
      <c r="C29" s="63">
        <f>AVERAGE(G29:J29)</f>
        <v>0.1692245290838959</v>
      </c>
      <c r="D29" s="26"/>
      <c r="E29" s="296" t="s">
        <v>341</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x14ac:dyDescent="0.15">
      <c r="A30" s="10"/>
      <c r="B30" s="70" t="s">
        <v>46</v>
      </c>
      <c r="C30" s="71">
        <f>ABS(C25/$C$4)</f>
        <v>0.73718829498715255</v>
      </c>
      <c r="E30" s="29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x14ac:dyDescent="0.15">
      <c r="A31" s="10"/>
      <c r="E31" s="298"/>
    </row>
    <row r="32" spans="1:17" ht="15.75" customHeight="1" x14ac:dyDescent="0.15">
      <c r="A32" s="10"/>
      <c r="B32" s="64" t="s">
        <v>45</v>
      </c>
      <c r="E32" s="298"/>
    </row>
    <row r="33" spans="1:17" ht="15.75" customHeight="1" x14ac:dyDescent="0.15">
      <c r="A33" s="10"/>
      <c r="B33" s="8" t="s">
        <v>175</v>
      </c>
      <c r="C33" s="197">
        <f>AVERAGE(G33:J33)</f>
        <v>-515765096.5</v>
      </c>
      <c r="E33" s="296" t="s">
        <v>341</v>
      </c>
      <c r="G33" s="190">
        <f>Data!C41</f>
        <v>-516942154</v>
      </c>
      <c r="H33" s="190">
        <f>Data!D41</f>
        <v>-494670738</v>
      </c>
      <c r="I33" s="190">
        <f>Data!E41</f>
        <v>-534570349</v>
      </c>
      <c r="J33" s="190">
        <f>Data!F41</f>
        <v>-516877145</v>
      </c>
      <c r="K33" s="190">
        <f>Data!G41</f>
        <v>-684104925</v>
      </c>
      <c r="L33" s="190">
        <f>Data!H41</f>
        <v>-161996928</v>
      </c>
      <c r="M33" s="190">
        <f>Data!I41</f>
        <v>-153940810</v>
      </c>
      <c r="N33" s="190">
        <f>Data!J41</f>
        <v>-155718230</v>
      </c>
      <c r="O33" s="190">
        <f>Data!K41</f>
        <v>-183628555</v>
      </c>
      <c r="P33" s="190">
        <f>Data!L41</f>
        <v>-232657686</v>
      </c>
      <c r="Q33" s="190" t="str">
        <f>Data!M41</f>
        <v/>
      </c>
    </row>
    <row r="34" spans="1:17" ht="15.75" customHeight="1" x14ac:dyDescent="0.15">
      <c r="A34" s="10"/>
      <c r="B34" s="27" t="s">
        <v>49</v>
      </c>
      <c r="C34" s="197">
        <f>AVERAGE(G34:J34)</f>
        <v>-80699330.75</v>
      </c>
      <c r="D34" s="58"/>
      <c r="E34" s="296" t="s">
        <v>341</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-596464427.25</v>
      </c>
      <c r="D35" s="58"/>
      <c r="E35" s="297"/>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x14ac:dyDescent="0.15">
      <c r="A36" s="10"/>
      <c r="E36" s="298"/>
    </row>
    <row r="37" spans="1:17" ht="15.75" customHeight="1" x14ac:dyDescent="0.15">
      <c r="A37" s="10"/>
      <c r="B37" s="64" t="s">
        <v>208</v>
      </c>
      <c r="E37" s="298"/>
    </row>
    <row r="38" spans="1:17" ht="15.75" customHeight="1" x14ac:dyDescent="0.15">
      <c r="A38" s="10"/>
      <c r="B38" s="2" t="str">
        <f>B33</f>
        <v>G&amp;A and other Opex</v>
      </c>
      <c r="C38" s="23">
        <f>ABS(C33/$C$4)</f>
        <v>3.6438380069902347E-2</v>
      </c>
      <c r="D38" s="27"/>
      <c r="E38" s="29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x14ac:dyDescent="0.15">
      <c r="A39" s="10"/>
      <c r="B39" s="27" t="str">
        <f>B34</f>
        <v>R&amp;D</v>
      </c>
      <c r="C39" s="23">
        <f>ABS(C34/$C$4)</f>
        <v>5.701341376549038E-3</v>
      </c>
      <c r="D39" s="27"/>
      <c r="E39" s="29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4.2139721446451381E-2</v>
      </c>
      <c r="E40" s="29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x14ac:dyDescent="0.15">
      <c r="A41" s="10"/>
      <c r="E41" s="298"/>
    </row>
    <row r="42" spans="1:17" ht="15.75" customHeight="1" x14ac:dyDescent="0.15">
      <c r="A42" s="10"/>
      <c r="B42" s="64" t="s">
        <v>209</v>
      </c>
      <c r="E42" s="298"/>
    </row>
    <row r="43" spans="1:17" ht="15.75" customHeight="1" x14ac:dyDescent="0.15">
      <c r="A43" s="10"/>
      <c r="B43" s="27" t="s">
        <v>172</v>
      </c>
      <c r="C43" s="292">
        <v>0.25</v>
      </c>
      <c r="D43" s="27"/>
      <c r="E43" s="295" t="s">
        <v>342</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8"/>
    </row>
    <row r="47" spans="1:17" ht="15.75" customHeight="1" x14ac:dyDescent="0.15">
      <c r="A47" s="10"/>
      <c r="B47" s="2" t="s">
        <v>39</v>
      </c>
      <c r="C47" s="190">
        <f>-BS!G31*Normalized_FCF!C54</f>
        <v>-7672861</v>
      </c>
      <c r="E47" s="298"/>
      <c r="G47" s="190">
        <f>Data!C51</f>
        <v>-7672861</v>
      </c>
      <c r="H47" s="190">
        <f>Data!D51</f>
        <v>-5921669</v>
      </c>
      <c r="I47" s="190">
        <f>Data!E51</f>
        <v>-3696844</v>
      </c>
      <c r="J47" s="190">
        <f>Data!F51</f>
        <v>-14186775</v>
      </c>
      <c r="K47" s="190">
        <f>Data!G51</f>
        <v>-35823675</v>
      </c>
      <c r="L47" s="190">
        <f>Data!H51</f>
        <v>-10770646</v>
      </c>
      <c r="M47" s="190">
        <f>Data!I51</f>
        <v>-12333775</v>
      </c>
      <c r="N47" s="190">
        <f>Data!J51</f>
        <v>0</v>
      </c>
      <c r="O47" s="190">
        <f>Data!K51</f>
        <v>0</v>
      </c>
      <c r="P47" s="190">
        <f>Data!L51</f>
        <v>0</v>
      </c>
      <c r="Q47" s="190" t="str">
        <f>Data!M51</f>
        <v/>
      </c>
    </row>
    <row r="48" spans="1:17" ht="15.75" customHeight="1" x14ac:dyDescent="0.15">
      <c r="A48" s="10"/>
      <c r="B48" s="2" t="s">
        <v>353</v>
      </c>
      <c r="C48" s="190">
        <f>BS!D75*C53</f>
        <v>38554805.997018404</v>
      </c>
      <c r="E48" s="298"/>
      <c r="G48" s="324">
        <f>IFERROR(IF(G$4="","",($C$48/$C$49)*G49),0)</f>
        <v>38554805.997018404</v>
      </c>
      <c r="H48" s="324">
        <f t="shared" ref="H48:Q48" si="19">IFERROR(IF(H$4="","",($C$48/$C$49)*H49),0)</f>
        <v>66982141.426252395</v>
      </c>
      <c r="I48" s="324">
        <f t="shared" si="19"/>
        <v>61731794.960215338</v>
      </c>
      <c r="J48" s="324">
        <f t="shared" si="19"/>
        <v>33863778.321634412</v>
      </c>
      <c r="K48" s="324">
        <f t="shared" si="19"/>
        <v>41746958.77028092</v>
      </c>
      <c r="L48" s="324">
        <f t="shared" si="19"/>
        <v>8061746.2233673697</v>
      </c>
      <c r="M48" s="324">
        <f t="shared" si="19"/>
        <v>6208975.7821457442</v>
      </c>
      <c r="N48" s="324">
        <f t="shared" si="19"/>
        <v>0</v>
      </c>
      <c r="O48" s="324">
        <f t="shared" si="19"/>
        <v>0</v>
      </c>
      <c r="P48" s="324">
        <f t="shared" si="19"/>
        <v>0</v>
      </c>
      <c r="Q48" s="324" t="str">
        <f t="shared" si="19"/>
        <v/>
      </c>
    </row>
    <row r="49" spans="1:17" ht="15.75" customHeight="1" x14ac:dyDescent="0.15">
      <c r="A49" s="10"/>
      <c r="B49" s="319" t="s">
        <v>350</v>
      </c>
      <c r="C49" s="320">
        <f>BS!$C$66*C53</f>
        <v>41044772</v>
      </c>
      <c r="D49" s="321"/>
      <c r="E49" s="322"/>
      <c r="F49" s="321"/>
      <c r="G49" s="320">
        <f>Data!C52</f>
        <v>41044772</v>
      </c>
      <c r="H49" s="320">
        <f>Data!D52</f>
        <v>71308016</v>
      </c>
      <c r="I49" s="320">
        <f>Data!E52</f>
        <v>65718589</v>
      </c>
      <c r="J49" s="320">
        <f>Data!F52</f>
        <v>36050786</v>
      </c>
      <c r="K49" s="320">
        <f>Data!G52</f>
        <v>44443082</v>
      </c>
      <c r="L49" s="320">
        <f>Data!H52</f>
        <v>8582394</v>
      </c>
      <c r="M49" s="320">
        <f>Data!I52</f>
        <v>6609967</v>
      </c>
      <c r="N49" s="320">
        <f>Data!J52</f>
        <v>0</v>
      </c>
      <c r="O49" s="320">
        <f>Data!K52</f>
        <v>0</v>
      </c>
      <c r="P49" s="320">
        <f>Data!L52</f>
        <v>0</v>
      </c>
      <c r="Q49" s="320" t="str">
        <f>Data!M52</f>
        <v/>
      </c>
    </row>
    <row r="50" spans="1:17" ht="15.75" customHeight="1" x14ac:dyDescent="0.15">
      <c r="A50" s="10"/>
      <c r="B50" s="70" t="s">
        <v>68</v>
      </c>
      <c r="C50" s="184">
        <f>C47+C48</f>
        <v>30881944.997018404</v>
      </c>
      <c r="E50" s="298"/>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x14ac:dyDescent="0.15">
      <c r="A51" s="10"/>
      <c r="E51" s="298"/>
    </row>
    <row r="52" spans="1:17" ht="15.75" customHeight="1" x14ac:dyDescent="0.15">
      <c r="A52" s="10"/>
      <c r="B52" s="72" t="s">
        <v>156</v>
      </c>
      <c r="E52" s="298"/>
      <c r="G52" s="97" t="s">
        <v>220</v>
      </c>
    </row>
    <row r="53" spans="1:17" ht="15.75" customHeight="1" x14ac:dyDescent="0.15">
      <c r="A53" s="10"/>
      <c r="B53" s="8" t="s">
        <v>89</v>
      </c>
      <c r="C53" s="87">
        <f>G53</f>
        <v>3.7946126449583846E-2</v>
      </c>
      <c r="E53" s="295" t="s">
        <v>343</v>
      </c>
      <c r="G53" s="6">
        <f>IF(Normalized_FCF!G4="","",Normalized_FCF!G49/BS!$C$66)</f>
        <v>3.7946126449583846E-2</v>
      </c>
      <c r="H53" s="170"/>
      <c r="I53" s="170"/>
      <c r="J53" s="170"/>
      <c r="K53" s="170"/>
      <c r="L53" s="170"/>
      <c r="M53" s="170"/>
      <c r="N53" s="170"/>
      <c r="O53" s="170"/>
      <c r="P53" s="170"/>
      <c r="Q53" s="170"/>
    </row>
    <row r="54" spans="1:17" ht="15.75" customHeight="1" x14ac:dyDescent="0.15">
      <c r="A54" s="10"/>
      <c r="B54" s="8" t="s">
        <v>88</v>
      </c>
      <c r="C54" s="82">
        <f>G54</f>
        <v>6.2117512427032839E-2</v>
      </c>
      <c r="E54" s="295" t="s">
        <v>344</v>
      </c>
      <c r="G54" s="23">
        <f>IFERROR(ABS(Normalized_FCF!G47/BS!$G$31),0)</f>
        <v>6.2117512427032839E-2</v>
      </c>
      <c r="H54" s="170"/>
      <c r="I54" s="170"/>
      <c r="J54" s="170"/>
      <c r="K54" s="170"/>
      <c r="L54" s="170"/>
      <c r="M54" s="170"/>
      <c r="N54" s="170"/>
      <c r="O54" s="170"/>
      <c r="P54" s="170"/>
      <c r="Q54" s="170"/>
    </row>
    <row r="55" spans="1:17" ht="15.75" customHeight="1" x14ac:dyDescent="0.15">
      <c r="A55" s="10"/>
      <c r="B55" s="26" t="s">
        <v>91</v>
      </c>
      <c r="C55" s="42">
        <f>-C8/C47</f>
        <v>407.08280219033122</v>
      </c>
      <c r="E55" s="29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x14ac:dyDescent="0.15">
      <c r="A56" s="10"/>
      <c r="E56" s="298"/>
    </row>
    <row r="57" spans="1:17" ht="15.75" customHeight="1" x14ac:dyDescent="0.15">
      <c r="A57" s="10"/>
      <c r="B57" s="64" t="s">
        <v>169</v>
      </c>
      <c r="E57" s="298"/>
      <c r="G57" s="97" t="s">
        <v>220</v>
      </c>
    </row>
    <row r="58" spans="1:17" ht="15.75" customHeight="1" x14ac:dyDescent="0.15">
      <c r="A58" s="10"/>
      <c r="B58" s="40" t="s">
        <v>168</v>
      </c>
      <c r="C58" s="190">
        <f>BS!$C67*C66</f>
        <v>0</v>
      </c>
      <c r="E58" s="298"/>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8"/>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8"/>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93">
        <v>0</v>
      </c>
      <c r="E62" s="296" t="s">
        <v>345</v>
      </c>
      <c r="G62" s="190">
        <f>Data!C58</f>
        <v>-222656878</v>
      </c>
      <c r="H62" s="190">
        <f>Data!D58</f>
        <v>40517438</v>
      </c>
      <c r="I62" s="190">
        <f>Data!E58</f>
        <v>42539332</v>
      </c>
      <c r="J62" s="190">
        <f>Data!F58</f>
        <v>21246453</v>
      </c>
      <c r="K62" s="190">
        <f>Data!G58</f>
        <v>419243973</v>
      </c>
      <c r="L62" s="190">
        <f>Data!H58</f>
        <v>260912986</v>
      </c>
      <c r="M62" s="190">
        <f>Data!I58</f>
        <v>-7380704</v>
      </c>
      <c r="N62" s="190">
        <f>Data!J58</f>
        <v>-18665820</v>
      </c>
      <c r="O62" s="190">
        <f>Data!K58</f>
        <v>-200531275</v>
      </c>
      <c r="P62" s="190">
        <f>Data!L58</f>
        <v>-342051382</v>
      </c>
      <c r="Q62" s="190" t="str">
        <f>Data!M58</f>
        <v/>
      </c>
    </row>
    <row r="63" spans="1:17" ht="15.75" customHeight="1" x14ac:dyDescent="0.15">
      <c r="A63" s="10"/>
      <c r="B63" s="31" t="s">
        <v>196</v>
      </c>
      <c r="C63" s="184">
        <f>C61+C62</f>
        <v>0</v>
      </c>
      <c r="E63" s="298"/>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x14ac:dyDescent="0.15">
      <c r="A64" s="10"/>
      <c r="E64" s="298"/>
    </row>
    <row r="65" spans="1:17" ht="15.75" customHeight="1" x14ac:dyDescent="0.15">
      <c r="A65" s="10"/>
      <c r="B65" s="96" t="s">
        <v>170</v>
      </c>
      <c r="E65" s="298"/>
      <c r="G65" s="97" t="s">
        <v>220</v>
      </c>
    </row>
    <row r="66" spans="1:17" ht="15.75" customHeight="1" x14ac:dyDescent="0.15">
      <c r="A66" s="10"/>
      <c r="B66" s="40" t="s">
        <v>168</v>
      </c>
      <c r="C66" s="177">
        <f>G66</f>
        <v>0</v>
      </c>
      <c r="E66" s="298"/>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8"/>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8"/>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437</v>
      </c>
      <c r="F71" s="56"/>
      <c r="G71" s="37"/>
      <c r="H71" s="37"/>
      <c r="I71" s="37"/>
      <c r="J71" s="37"/>
      <c r="K71" s="37"/>
      <c r="L71" s="37"/>
      <c r="M71" s="37"/>
      <c r="N71" s="37"/>
      <c r="O71" s="37"/>
      <c r="P71" s="37"/>
      <c r="Q71" s="37"/>
    </row>
    <row r="72" spans="1:17" ht="15.75" customHeight="1" x14ac:dyDescent="0.15">
      <c r="A72" s="10"/>
      <c r="B72" s="72" t="s">
        <v>217</v>
      </c>
      <c r="C72" s="62"/>
      <c r="D72" s="27"/>
      <c r="E72" s="295"/>
      <c r="F72" s="27"/>
      <c r="G72" s="97"/>
      <c r="H72" s="12"/>
      <c r="I72" s="12"/>
      <c r="J72" s="12"/>
      <c r="K72" s="12"/>
      <c r="L72" s="12"/>
      <c r="M72" s="12"/>
      <c r="N72" s="12"/>
      <c r="O72" s="12"/>
      <c r="P72" s="12"/>
      <c r="Q72" s="12"/>
    </row>
    <row r="73" spans="1:17" ht="15.75" customHeight="1" x14ac:dyDescent="0.15">
      <c r="A73" s="10"/>
      <c r="B73" s="2" t="s">
        <v>46</v>
      </c>
      <c r="C73" s="77">
        <f>ABS(C5/C$4)</f>
        <v>0.73718829498715255</v>
      </c>
      <c r="D73" s="27"/>
      <c r="E73" s="29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x14ac:dyDescent="0.15">
      <c r="A74" s="10"/>
      <c r="B74" s="31" t="s">
        <v>48</v>
      </c>
      <c r="C74" s="78">
        <f>ABS(C6/C$4)</f>
        <v>0.26281170501284751</v>
      </c>
      <c r="D74" s="27"/>
      <c r="E74" s="29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x14ac:dyDescent="0.15">
      <c r="A75" s="10"/>
      <c r="B75" s="8" t="s">
        <v>45</v>
      </c>
      <c r="C75" s="77">
        <f>ABS(C7/C$4)</f>
        <v>4.2139721446451381E-2</v>
      </c>
      <c r="D75" s="27"/>
      <c r="E75" s="29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x14ac:dyDescent="0.15">
      <c r="A76" s="10"/>
      <c r="B76" s="29" t="s">
        <v>153</v>
      </c>
      <c r="C76" s="78">
        <f>ABS(C8/C$4)</f>
        <v>0.22067198356639611</v>
      </c>
      <c r="D76" s="27"/>
      <c r="E76" s="29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x14ac:dyDescent="0.15">
      <c r="A77" s="10"/>
      <c r="B77" s="2" t="s">
        <v>65</v>
      </c>
      <c r="C77" s="77">
        <f>ABS(C9/C$4)</f>
        <v>4.0688123714313247E-2</v>
      </c>
      <c r="D77" s="27"/>
      <c r="E77" s="29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x14ac:dyDescent="0.15">
      <c r="A78" s="10"/>
      <c r="B78" s="2" t="s">
        <v>81</v>
      </c>
      <c r="C78" s="88">
        <f>MAX(AVERAGE(G78:J78),C77)</f>
        <v>4.0688123714313247E-2</v>
      </c>
      <c r="D78" s="27"/>
      <c r="E78" s="296" t="s">
        <v>438</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x14ac:dyDescent="0.15">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2.1817840267505887E-3</v>
      </c>
      <c r="D80" s="27"/>
      <c r="E80" s="295"/>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x14ac:dyDescent="0.15">
      <c r="A81" s="10"/>
      <c r="B81" s="70" t="s">
        <v>165</v>
      </c>
      <c r="C81" s="78">
        <f>C13/C4</f>
        <v>0.22285376759314668</v>
      </c>
      <c r="D81" s="27"/>
      <c r="E81" s="295"/>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x14ac:dyDescent="0.15">
      <c r="A82" s="10"/>
      <c r="B82" s="2" t="s">
        <v>63</v>
      </c>
      <c r="C82" s="77">
        <f>ABS(C14/C$4)</f>
        <v>5.571344189828667E-2</v>
      </c>
      <c r="D82" s="27"/>
      <c r="E82" s="29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x14ac:dyDescent="0.15">
      <c r="A83" s="10"/>
      <c r="B83" s="40" t="str">
        <f>B15</f>
        <v>NCI’s Share of Profits</v>
      </c>
      <c r="C83" s="294">
        <f>MIN(BS!C62,MAX(G83:K83))</f>
        <v>1.0023684472850819E-2</v>
      </c>
      <c r="D83" s="27"/>
      <c r="E83" s="29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155</v>
      </c>
      <c r="C84" s="78">
        <f>ABS(C16/C$4)</f>
        <v>0.15711664122200919</v>
      </c>
      <c r="D84" s="27"/>
      <c r="E84" s="295"/>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x14ac:dyDescent="0.15">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x14ac:dyDescent="0.15">
      <c r="A86" s="10"/>
      <c r="B86" s="8" t="s">
        <v>99</v>
      </c>
      <c r="C86" s="77">
        <v>0</v>
      </c>
      <c r="E86" s="297"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0.15711664122200919</v>
      </c>
      <c r="D87" s="75"/>
      <c r="E87" s="295"/>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x14ac:dyDescent="0.15">
      <c r="A88" s="10"/>
      <c r="E88" s="298"/>
    </row>
    <row r="89" spans="1:17" ht="15.75" customHeight="1" x14ac:dyDescent="0.15">
      <c r="A89" s="10"/>
      <c r="B89" s="64" t="s">
        <v>215</v>
      </c>
      <c r="E89" s="298"/>
    </row>
    <row r="90" spans="1:17" ht="15.75" customHeight="1" x14ac:dyDescent="0.15">
      <c r="A90" s="10"/>
      <c r="B90" s="2" t="str">
        <f>"Dividend per share ("&amp;Market_currency&amp;")"</f>
        <v>Dividend per share (CNY)</v>
      </c>
      <c r="C90" s="114">
        <f>G90</f>
        <v>2.4</v>
      </c>
      <c r="E90" s="298"/>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(CNY)</v>
      </c>
      <c r="C91" s="74">
        <f>C90*Common_Shares/scaling_factor</f>
        <v>1161530875.2</v>
      </c>
      <c r="E91" s="29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0.52229477939839231</v>
      </c>
      <c r="E92" s="298"/>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317</v>
      </c>
      <c r="C93" s="23">
        <f>C90/Market_Price</f>
        <v>4.2016806722689079E-2</v>
      </c>
      <c r="E93" s="298"/>
      <c r="G93" s="23">
        <f t="shared" ref="G93:Q93" si="39">IF(G$4="","",G90/Market_Price)</f>
        <v>4.2016806722689079E-2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8"/>
    </row>
    <row r="95" spans="1:17" ht="15.75" customHeight="1" x14ac:dyDescent="0.15">
      <c r="A95" s="10"/>
      <c r="B95" s="158" t="s">
        <v>85</v>
      </c>
      <c r="C95" s="62"/>
      <c r="D95" s="27"/>
      <c r="E95" s="295"/>
      <c r="F95" s="27"/>
      <c r="G95" s="12"/>
      <c r="H95" s="12"/>
      <c r="I95" s="12"/>
      <c r="J95" s="12"/>
      <c r="K95" s="12"/>
      <c r="L95" s="12"/>
      <c r="M95" s="12"/>
      <c r="N95" s="12"/>
      <c r="O95" s="12"/>
      <c r="P95" s="12"/>
      <c r="Q95" s="12"/>
    </row>
    <row r="96" spans="1:17" ht="15.75" customHeight="1" x14ac:dyDescent="0.15">
      <c r="A96" s="10"/>
      <c r="B96" s="27" t="s">
        <v>145</v>
      </c>
      <c r="C96" s="77">
        <f>C4/G4-1</f>
        <v>-3.3469780292926132E-2</v>
      </c>
      <c r="D96" s="27"/>
      <c r="E96" s="29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x14ac:dyDescent="0.15">
      <c r="A97" s="10"/>
      <c r="B97" s="70" t="s">
        <v>165</v>
      </c>
      <c r="C97" s="77">
        <f>C13/G13-1</f>
        <v>4.5467350067964762E-3</v>
      </c>
      <c r="D97" s="27"/>
      <c r="E97" s="295"/>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8"/>
      <c r="G100" s="97" t="s">
        <v>220</v>
      </c>
    </row>
    <row r="101" spans="1:17" ht="15.75" customHeight="1" x14ac:dyDescent="0.15">
      <c r="A101" s="10"/>
      <c r="B101" s="26" t="s">
        <v>3</v>
      </c>
      <c r="C101" s="198">
        <f>BS!G32</f>
        <v>10968339719.389999</v>
      </c>
      <c r="D101" s="26"/>
      <c r="E101" s="299"/>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x14ac:dyDescent="0.15">
      <c r="A102" s="10"/>
      <c r="B102" s="93" t="s">
        <v>211</v>
      </c>
      <c r="C102" s="199">
        <f>BS!C4</f>
        <v>91009309.849999994</v>
      </c>
      <c r="D102" s="89"/>
      <c r="E102" s="300"/>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2185835620.7199998</v>
      </c>
      <c r="D103" s="89"/>
      <c r="E103" s="300"/>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8514681613.9500008</v>
      </c>
      <c r="D104" s="26"/>
      <c r="E104" s="299"/>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x14ac:dyDescent="0.15">
      <c r="A105" s="10"/>
      <c r="B105" s="26" t="s">
        <v>30</v>
      </c>
      <c r="C105" s="198">
        <f>BS!G27</f>
        <v>2453658105.4399986</v>
      </c>
      <c r="D105" s="26"/>
      <c r="E105" s="299"/>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x14ac:dyDescent="0.15">
      <c r="A106" s="10"/>
      <c r="E106" s="298"/>
    </row>
    <row r="107" spans="1:17" ht="15.75" customHeight="1" x14ac:dyDescent="0.15">
      <c r="A107" s="10"/>
      <c r="B107" s="91" t="s">
        <v>221</v>
      </c>
      <c r="C107" s="26"/>
      <c r="D107" s="26"/>
      <c r="E107" s="299"/>
      <c r="F107" s="26"/>
      <c r="G107" s="97" t="s">
        <v>220</v>
      </c>
      <c r="H107" s="12"/>
      <c r="I107" s="12"/>
      <c r="J107" s="12"/>
      <c r="K107" s="12"/>
      <c r="L107" s="12"/>
      <c r="M107" s="12"/>
      <c r="N107" s="12"/>
      <c r="O107" s="12"/>
      <c r="P107" s="12"/>
      <c r="Q107" s="12"/>
    </row>
    <row r="108" spans="1:17" ht="15.75" customHeight="1" x14ac:dyDescent="0.15">
      <c r="A108" s="10"/>
      <c r="B108" s="26" t="s">
        <v>218</v>
      </c>
      <c r="C108" s="94">
        <f>C102/C$4</f>
        <v>6.4297329243833525E-3</v>
      </c>
      <c r="D108" s="26"/>
      <c r="E108" s="29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0.15442748968207132</v>
      </c>
      <c r="D109" s="26"/>
      <c r="E109" s="29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9"/>
      <c r="F110" s="26"/>
      <c r="G110" s="94">
        <f>BS!$G$38/G$4</f>
        <v>0</v>
      </c>
      <c r="H110" s="223"/>
      <c r="I110" s="223"/>
      <c r="J110" s="223"/>
      <c r="K110" s="223"/>
      <c r="L110" s="223"/>
      <c r="M110" s="223"/>
      <c r="N110" s="223"/>
      <c r="O110" s="223"/>
      <c r="P110" s="223"/>
      <c r="Q110" s="223"/>
    </row>
    <row r="111" spans="1:17" ht="15.75" customHeight="1" x14ac:dyDescent="0.15">
      <c r="A111" s="10"/>
      <c r="E111" s="298"/>
    </row>
    <row r="112" spans="1:17" ht="15.75" customHeight="1" x14ac:dyDescent="0.15">
      <c r="A112" s="10"/>
      <c r="B112" s="64" t="s">
        <v>51</v>
      </c>
      <c r="E112" s="298"/>
    </row>
    <row r="113" spans="1:17" ht="15.75" customHeight="1" x14ac:dyDescent="0.15">
      <c r="A113" s="10"/>
      <c r="B113" s="2" t="s">
        <v>399</v>
      </c>
      <c r="C113" s="170"/>
      <c r="E113" s="298"/>
      <c r="G113" s="330">
        <f>IF(G$4="","",Data!C$22/Data!C15)</f>
        <v>1.1301097053348144</v>
      </c>
      <c r="H113" s="330">
        <f>IF(H$4="","",Data!D$22/Data!D15)</f>
        <v>1.1421244767311443</v>
      </c>
      <c r="I113" s="330">
        <f>IF(I$4="","",Data!E$22/Data!E15)</f>
        <v>1.4506354245537583</v>
      </c>
      <c r="J113" s="330">
        <f>IF(J$4="","",Data!F$22/Data!F15)</f>
        <v>1.4858503664510887</v>
      </c>
      <c r="K113" s="330">
        <f>IF(K$4="","",Data!G$22/Data!G15)</f>
        <v>2.1056296742310616</v>
      </c>
      <c r="L113" s="330">
        <f>IF(L$4="","",Data!H$22/Data!H15)</f>
        <v>0.96876332816786648</v>
      </c>
      <c r="M113" s="330">
        <f>IF(M$4="","",Data!I$22/Data!I15)</f>
        <v>1.767034158859303</v>
      </c>
      <c r="N113" s="330">
        <f>IF(N$4="","",Data!J$22/Data!J15)</f>
        <v>2.5144917688633623</v>
      </c>
      <c r="O113" s="330">
        <f>IF(O$4="","",Data!K$22/Data!K15)</f>
        <v>4.0690767846879998</v>
      </c>
      <c r="P113" s="330">
        <f>IF(P$4="","",Data!L$22/Data!L15)</f>
        <v>-2.9196128327089879</v>
      </c>
      <c r="Q113" s="330" t="str">
        <f>IF(Q$4="","",Data!M$22/Data!M15)</f>
        <v/>
      </c>
    </row>
    <row r="114" spans="1:17" ht="15.75" customHeight="1" x14ac:dyDescent="0.15">
      <c r="A114" s="10"/>
      <c r="B114" s="2" t="s">
        <v>400</v>
      </c>
      <c r="C114" s="170"/>
      <c r="E114" s="298"/>
      <c r="G114" s="330">
        <f>IF(G$4="","",Data!C$22/G19)</f>
        <v>1.0944103829432141</v>
      </c>
      <c r="H114" s="330">
        <f>IF(H$4="","",Data!D$22/H19)</f>
        <v>1.1613302966984029</v>
      </c>
      <c r="I114" s="330">
        <f>IF(I$4="","",Data!E$22/I19)</f>
        <v>1.477203347027797</v>
      </c>
      <c r="J114" s="330">
        <f>IF(J$4="","",Data!F$22/J19)</f>
        <v>1.5005063764384885</v>
      </c>
      <c r="K114" s="330">
        <f>IF(K$4="","",Data!G$22/K19)</f>
        <v>2.773447584133756</v>
      </c>
      <c r="L114" s="330">
        <f>IF(L$4="","",Data!H$22/L19)</f>
        <v>1.5109716987792317</v>
      </c>
      <c r="M114" s="330">
        <f>IF(M$4="","",Data!I$22/M19)</f>
        <v>1.7382339197122179</v>
      </c>
      <c r="N114" s="330">
        <f>IF(N$4="","",Data!J$22/N19)</f>
        <v>2.378364555476101</v>
      </c>
      <c r="O114" s="330">
        <f>IF(O$4="","",Data!K$22/O19)</f>
        <v>1.6724741518288628</v>
      </c>
      <c r="P114" s="330">
        <f>IF(P$4="","",Data!L$22/P19)</f>
        <v>2.3783234522476708</v>
      </c>
      <c r="Q114" s="330" t="str">
        <f>IF(Q$4="","",Data!M$22/Q19)</f>
        <v/>
      </c>
    </row>
    <row r="115" spans="1:17" ht="15.75" customHeight="1" x14ac:dyDescent="0.15">
      <c r="A115" s="10"/>
      <c r="E115" s="298"/>
    </row>
    <row r="116" spans="1:17" ht="15.75" customHeight="1" x14ac:dyDescent="0.15">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0.22285376759314668</v>
      </c>
      <c r="E117" s="298"/>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x14ac:dyDescent="0.15">
      <c r="B118" s="7" t="s">
        <v>84</v>
      </c>
      <c r="C118" s="42">
        <f>C4/C101</f>
        <v>1.2904821269100146</v>
      </c>
      <c r="E118" s="298"/>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x14ac:dyDescent="0.15">
      <c r="B119" s="7" t="s">
        <v>92</v>
      </c>
      <c r="C119" s="15">
        <f>C101/C105</f>
        <v>4.4701988818540466</v>
      </c>
      <c r="D119" s="11"/>
      <c r="E119" s="30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x14ac:dyDescent="0.15">
      <c r="A120" s="10"/>
      <c r="B120" s="70" t="s">
        <v>223</v>
      </c>
      <c r="C120" s="102">
        <f>C8/C105</f>
        <v>1.2729930668709819</v>
      </c>
      <c r="D120" s="103"/>
      <c r="E120" s="301"/>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8">
        <f>C16*$C$3/Common_Shares*Exchange_Rate</f>
        <v>4.5951062401283256</v>
      </c>
      <c r="D124" s="27"/>
      <c r="E124" s="295"/>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x14ac:dyDescent="0.15">
      <c r="A125" s="10"/>
      <c r="B125" s="27" t="s">
        <v>270</v>
      </c>
      <c r="C125" s="77">
        <f>C19*Exchange_Rate*$C$3/(Market_Price*Common_Shares)</f>
        <v>8.0446537817372654E-2</v>
      </c>
      <c r="D125" s="27"/>
      <c r="E125" s="295"/>
      <c r="F125" s="27"/>
      <c r="G125" s="77">
        <f t="shared" ref="G125" si="50">IF(G$4="","",G124/Market_Price)</f>
        <v>8.4022501827257789E-2</v>
      </c>
      <c r="H125" s="77">
        <f t="shared" ref="H125" si="51">IF(H$4="","",H124/Market_Price)</f>
        <v>9.6465174956496091E-2</v>
      </c>
      <c r="I125" s="77">
        <f t="shared" ref="I125" si="52">IF(I$4="","",I124/Market_Price)</f>
        <v>9.1894572292917101E-2</v>
      </c>
      <c r="J125" s="77">
        <f t="shared" ref="J125" si="53">IF(J$4="","",J124/Market_Price)</f>
        <v>8.5938553273084209E-2</v>
      </c>
      <c r="K125" s="77">
        <f t="shared" ref="K125" si="54">IF(K$4="","",K124/Market_Price)</f>
        <v>4.8124586665019939E-2</v>
      </c>
      <c r="L125" s="77">
        <f t="shared" ref="L125" si="55">IF(L$4="","",L124/Market_Price)</f>
        <v>1.6896829293124766E-2</v>
      </c>
      <c r="M125" s="77">
        <f t="shared" ref="M125" si="56">IF(M$4="","",M124/Market_Price)</f>
        <v>1.549097264673085E-2</v>
      </c>
      <c r="N125" s="77">
        <f t="shared" ref="N125" si="57">IF(N$4="","",N124/Market_Price)</f>
        <v>1.2472244671423922E-2</v>
      </c>
      <c r="O125" s="77">
        <f t="shared" ref="O125" si="58">IF(O$4="","",O124/Market_Price)</f>
        <v>1.2316129669378229E-2</v>
      </c>
      <c r="P125" s="77">
        <f t="shared" ref="P125" si="59">IF(P$4="","",P124/Market_Price)</f>
        <v>6.8187091601191003E-3</v>
      </c>
      <c r="Q125" s="77" t="str">
        <f t="shared" ref="Q125" si="60">IF(Q$4="","",Q124/Market_Price)</f>
        <v/>
      </c>
    </row>
    <row r="126" spans="1:17" ht="15.75" customHeight="1" x14ac:dyDescent="0.15">
      <c r="B126" s="2" t="s">
        <v>402</v>
      </c>
      <c r="C126" s="170"/>
      <c r="G126" s="23">
        <f>IF(G$4="","",(Data!C47*$C$3)/(Market_Price*Common_Shares))</f>
        <v>8.1368293685587664E-2</v>
      </c>
      <c r="H126" s="23">
        <f>IF(H$4="","",(Data!D47*$C$3)/(Market_Price*Common_Shares))</f>
        <v>9.8087321071976541E-2</v>
      </c>
      <c r="I126" s="23">
        <f>IF(I$4="","",(Data!E47*$C$3)/(Market_Price*Common_Shares))</f>
        <v>9.3577591907038404E-2</v>
      </c>
      <c r="J126" s="23">
        <f>IF(J$4="","",(Data!F47*$C$3)/(Market_Price*Common_Shares))</f>
        <v>8.6786226984725406E-2</v>
      </c>
      <c r="K126" s="23">
        <f>IF(K$4="","",(Data!G47*$C$3)/(Market_Price*Common_Shares))</f>
        <v>6.3387698348370006E-2</v>
      </c>
      <c r="L126" s="23">
        <f>IF(L$4="","",(Data!H47*$C$3)/(Market_Price*Common_Shares))</f>
        <v>2.6353837019511422E-2</v>
      </c>
      <c r="M126" s="23">
        <f>IF(M$4="","",(Data!I47*$C$3)/(Market_Price*Common_Shares))</f>
        <v>1.5238490987216803E-2</v>
      </c>
      <c r="N126" s="23">
        <f>IF(N$4="","",(Data!J47*$C$3)/(Market_Price*Common_Shares))</f>
        <v>1.1797033906040297E-2</v>
      </c>
      <c r="O126" s="23">
        <f>IF(O$4="","",(Data!K47*$C$3)/(Market_Price*Common_Shares))</f>
        <v>5.0621823112603284E-3</v>
      </c>
      <c r="P126" s="23">
        <f>IF(P$4="","",(Data!L47*$C$3)/(Market_Price*Common_Shares))</f>
        <v>-5.5545364535612429E-3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v>
      </c>
      <c r="E3" s="109" t="s">
        <v>125</v>
      </c>
      <c r="H3" s="121"/>
    </row>
    <row r="4" spans="2:8" x14ac:dyDescent="0.15">
      <c r="B4" s="100" t="s">
        <v>129</v>
      </c>
      <c r="C4" s="110">
        <f>Normalized_FCF!C19</f>
        <v>2223899071.9721813</v>
      </c>
      <c r="D4" t="str">
        <f>Reporting_currency</f>
        <v>CNY</v>
      </c>
      <c r="E4" s="100" t="s">
        <v>251</v>
      </c>
      <c r="F4" s="135">
        <f>Thesis!C81</f>
        <v>0</v>
      </c>
      <c r="H4" s="121"/>
    </row>
    <row r="5" spans="2:8" x14ac:dyDescent="0.15">
      <c r="B5" s="225" t="s">
        <v>124</v>
      </c>
      <c r="C5" s="226">
        <f>Thesis!C75</f>
        <v>0.08</v>
      </c>
      <c r="E5" s="149"/>
      <c r="H5" s="121"/>
    </row>
    <row r="6" spans="2:8" ht="13.25" customHeight="1" x14ac:dyDescent="0.15">
      <c r="B6" s="150" t="s">
        <v>229</v>
      </c>
      <c r="C6" s="230">
        <f>(C4*(1+Terminal_Growth))/(Equity_Cost-Terminal_Growth)</f>
        <v>27798738399.652267</v>
      </c>
      <c r="D6" t="str">
        <f>Reporting_currency</f>
        <v>CNY</v>
      </c>
      <c r="E6" s="347" t="s">
        <v>250</v>
      </c>
      <c r="F6" s="347"/>
      <c r="H6" s="121"/>
    </row>
    <row r="7" spans="2:8" x14ac:dyDescent="0.15">
      <c r="B7" s="149" t="s">
        <v>225</v>
      </c>
      <c r="C7" s="224">
        <f>BS!G31</f>
        <v>123521704.27</v>
      </c>
      <c r="D7" t="str">
        <f>Reporting_currency</f>
        <v>CNY</v>
      </c>
      <c r="E7" s="347"/>
      <c r="F7" s="347"/>
      <c r="H7" s="121"/>
    </row>
    <row r="8" spans="2:8" x14ac:dyDescent="0.15">
      <c r="B8" s="149" t="s">
        <v>226</v>
      </c>
      <c r="C8" s="115">
        <f>BS!D66</f>
        <v>65618450.04890883</v>
      </c>
      <c r="D8" t="str">
        <f>Reporting_currency</f>
        <v>CNY</v>
      </c>
      <c r="E8" s="347"/>
      <c r="F8" s="347"/>
      <c r="H8" s="121"/>
    </row>
    <row r="9" spans="2:8" x14ac:dyDescent="0.15">
      <c r="B9" s="225" t="s">
        <v>191</v>
      </c>
      <c r="C9" s="227">
        <f>BS!H42</f>
        <v>29558000.651999995</v>
      </c>
      <c r="D9" t="str">
        <f>Reporting_currency</f>
        <v>CNY</v>
      </c>
      <c r="E9" s="347"/>
      <c r="F9" s="347"/>
      <c r="H9" s="121"/>
    </row>
    <row r="10" spans="2:8" x14ac:dyDescent="0.15">
      <c r="B10" s="150" t="s">
        <v>228</v>
      </c>
      <c r="C10" s="230">
        <f>C6-C7+C8+C9</f>
        <v>27770393146.083176</v>
      </c>
      <c r="D10" t="str">
        <f>Reporting_currency</f>
        <v>CNY</v>
      </c>
      <c r="H10" s="121"/>
    </row>
    <row r="11" spans="2:8" ht="14" thickBot="1" x14ac:dyDescent="0.2">
      <c r="B11" s="228" t="s">
        <v>167</v>
      </c>
      <c r="C11" s="229">
        <f>Exchange_Rate</f>
        <v>1</v>
      </c>
      <c r="D11" t="str">
        <f>Thesis!C15</f>
        <v>CNY</v>
      </c>
      <c r="H11" s="121"/>
    </row>
    <row r="12" spans="2:8" ht="14" thickTop="1" x14ac:dyDescent="0.15">
      <c r="B12" s="150" t="s">
        <v>103</v>
      </c>
      <c r="C12" s="112">
        <f>(C10*scaling_factor)/Common_Shares*Exchange_Rate</f>
        <v>57.380259942830683</v>
      </c>
      <c r="D12" t="str">
        <f>Market_currency</f>
        <v>CNY</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4.6574870890079501E-2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66.598280217741973</v>
      </c>
      <c r="D18" t="str">
        <f>Market_currency</f>
        <v>CNY</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2327476884.1218534</v>
      </c>
      <c r="D21" s="139">
        <f>IF($C$17&lt;B21,0,Valuation_Model!$C$16)</f>
        <v>4.6574870890079501E-2</v>
      </c>
      <c r="E21" s="125">
        <f t="shared" ref="E21:E50" si="0">IF($C$17&lt;B21,0,1/(1+Equity_Cost)^B21)</f>
        <v>0.92592592592592582</v>
      </c>
      <c r="F21" s="126">
        <f t="shared" ref="F21:F51" si="1">C21*E21</f>
        <v>2155071189.0017157</v>
      </c>
      <c r="H21" s="121"/>
    </row>
    <row r="22" spans="2:8" x14ac:dyDescent="0.15">
      <c r="B22" s="123">
        <v>2</v>
      </c>
      <c r="C22" s="124">
        <f t="shared" ref="C22:C50" si="2">IF(ROW()-ROW($C$21)&lt;$C$17, $C$21*(1+D22)^(ROW()-ROW($C$21)), 0)</f>
        <v>2435878819.4994731</v>
      </c>
      <c r="D22" s="139">
        <f>IF($C$17&lt;B22,0,Valuation_Model!$C$16)</f>
        <v>4.6574870890079501E-2</v>
      </c>
      <c r="E22" s="125">
        <f t="shared" si="0"/>
        <v>0.85733882030178321</v>
      </c>
      <c r="F22" s="126">
        <f t="shared" si="1"/>
        <v>2088373473.5077786</v>
      </c>
      <c r="H22" s="121"/>
    </row>
    <row r="23" spans="2:8" x14ac:dyDescent="0.15">
      <c r="B23" s="123">
        <v>3</v>
      </c>
      <c r="C23" s="124">
        <f t="shared" si="2"/>
        <v>2549329561.0215406</v>
      </c>
      <c r="D23" s="139">
        <f>IF($C$17&lt;B23,0,Valuation_Model!$C$16)</f>
        <v>4.6574870890079501E-2</v>
      </c>
      <c r="E23" s="125">
        <f t="shared" si="0"/>
        <v>0.79383224102016958</v>
      </c>
      <c r="F23" s="126">
        <f t="shared" si="1"/>
        <v>2023739998.5246947</v>
      </c>
      <c r="H23" s="121"/>
    </row>
    <row r="24" spans="2:8" x14ac:dyDescent="0.15">
      <c r="B24" s="123">
        <v>4</v>
      </c>
      <c r="C24" s="124">
        <f t="shared" si="2"/>
        <v>2668064256.1823821</v>
      </c>
      <c r="D24" s="139">
        <f>IF($C$17&lt;B24,0,Valuation_Model!$C$16)</f>
        <v>4.6574870890079501E-2</v>
      </c>
      <c r="E24" s="125">
        <f t="shared" si="0"/>
        <v>0.73502985279645328</v>
      </c>
      <c r="F24" s="126">
        <f t="shared" si="1"/>
        <v>1961106877.4732149</v>
      </c>
      <c r="H24" s="121"/>
    </row>
    <row r="25" spans="2:8" x14ac:dyDescent="0.15">
      <c r="B25" s="123">
        <v>5</v>
      </c>
      <c r="C25" s="124">
        <f t="shared" si="2"/>
        <v>2792329004.4405127</v>
      </c>
      <c r="D25" s="139">
        <f>IF($C$17&lt;B25,0,Valuation_Model!$C$16)</f>
        <v>4.6574870890079501E-2</v>
      </c>
      <c r="E25" s="125">
        <f t="shared" si="0"/>
        <v>0.68058319703375303</v>
      </c>
      <c r="F25" s="126">
        <f t="shared" si="1"/>
        <v>1900412201.0122008</v>
      </c>
      <c r="H25" s="121"/>
    </row>
    <row r="26" spans="2:8" x14ac:dyDescent="0.15">
      <c r="B26" s="123">
        <v>6</v>
      </c>
      <c r="C26" s="124">
        <f t="shared" si="2"/>
        <v>2922381367.3049536</v>
      </c>
      <c r="D26" s="139">
        <f>IF($C$17&lt;B26,0,Valuation_Model!$C$16)</f>
        <v>4.6574870890079501E-2</v>
      </c>
      <c r="E26" s="125">
        <f t="shared" si="0"/>
        <v>0.63016962688310452</v>
      </c>
      <c r="F26" s="126">
        <f t="shared" si="1"/>
        <v>1841595975.8446994</v>
      </c>
      <c r="H26" s="121"/>
    </row>
    <row r="27" spans="2:8" x14ac:dyDescent="0.15">
      <c r="B27" s="123">
        <v>7</v>
      </c>
      <c r="C27" s="124">
        <f t="shared" si="2"/>
        <v>3058490902.1787567</v>
      </c>
      <c r="D27" s="139">
        <f>IF($C$17&lt;B27,0,Valuation_Model!$C$16)</f>
        <v>4.6574870890079501E-2</v>
      </c>
      <c r="E27" s="125">
        <f t="shared" si="0"/>
        <v>0.58349039526213387</v>
      </c>
      <c r="F27" s="126">
        <f t="shared" si="1"/>
        <v>1784600065.4179232</v>
      </c>
      <c r="H27" s="121"/>
    </row>
    <row r="28" spans="2:8" x14ac:dyDescent="0.15">
      <c r="B28" s="123">
        <v>8</v>
      </c>
      <c r="C28" s="124">
        <f t="shared" si="2"/>
        <v>3200939721.066215</v>
      </c>
      <c r="D28" s="139">
        <f>IF($C$17&lt;B28,0,Valuation_Model!$C$16)</f>
        <v>4.6574870890079501E-2</v>
      </c>
      <c r="E28" s="125">
        <f t="shared" si="0"/>
        <v>0.54026888450197574</v>
      </c>
      <c r="F28" s="126">
        <f t="shared" si="1"/>
        <v>1729368132.4585094</v>
      </c>
      <c r="H28" s="121"/>
    </row>
    <row r="29" spans="2:8" x14ac:dyDescent="0.15">
      <c r="B29" s="123">
        <v>9</v>
      </c>
      <c r="C29" s="124">
        <f t="shared" si="2"/>
        <v>3350023075.3018012</v>
      </c>
      <c r="D29" s="139">
        <f>IF($C$17&lt;B29,0,Valuation_Model!$C$16)</f>
        <v>4.6574870890079501E-2</v>
      </c>
      <c r="E29" s="125">
        <f t="shared" si="0"/>
        <v>0.50024896713145905</v>
      </c>
      <c r="F29" s="126">
        <f t="shared" si="1"/>
        <v>1675845583.2862802</v>
      </c>
      <c r="H29" s="121"/>
    </row>
    <row r="30" spans="2:8" x14ac:dyDescent="0.15">
      <c r="B30" s="123">
        <v>10</v>
      </c>
      <c r="C30" s="124">
        <f t="shared" si="2"/>
        <v>3506049967.5127697</v>
      </c>
      <c r="D30" s="139">
        <f>IF($C$17&lt;B30,0,Valuation_Model!$C$16)</f>
        <v>4.6574870890079501E-2</v>
      </c>
      <c r="E30" s="125">
        <f t="shared" si="0"/>
        <v>0.46319348808468425</v>
      </c>
      <c r="F30" s="126">
        <f t="shared" si="1"/>
        <v>1623979513.8514338</v>
      </c>
      <c r="H30" s="121"/>
    </row>
    <row r="31" spans="2:8" x14ac:dyDescent="0.15">
      <c r="B31" s="123">
        <v>11</v>
      </c>
      <c r="C31" s="124">
        <f t="shared" si="2"/>
        <v>0</v>
      </c>
      <c r="D31" s="139">
        <f>IF($C$17&lt;B31,0,Valuation_Model!$C$16)</f>
        <v>0</v>
      </c>
      <c r="E31" s="125">
        <f t="shared" si="0"/>
        <v>0</v>
      </c>
      <c r="F31" s="126">
        <f t="shared" si="1"/>
        <v>0</v>
      </c>
      <c r="H31" s="121"/>
    </row>
    <row r="32" spans="2:8" x14ac:dyDescent="0.15">
      <c r="B32" s="123">
        <v>12</v>
      </c>
      <c r="C32" s="124">
        <f t="shared" si="2"/>
        <v>0</v>
      </c>
      <c r="D32" s="139">
        <f>IF($C$17&lt;B32,0,Valuation_Model!$C$16)</f>
        <v>0</v>
      </c>
      <c r="E32" s="125">
        <f t="shared" si="0"/>
        <v>0</v>
      </c>
      <c r="F32" s="126">
        <f t="shared" si="1"/>
        <v>0</v>
      </c>
      <c r="H32" s="121"/>
    </row>
    <row r="33" spans="2:8" x14ac:dyDescent="0.15">
      <c r="B33" s="123">
        <v>13</v>
      </c>
      <c r="C33" s="124">
        <f t="shared" si="2"/>
        <v>0</v>
      </c>
      <c r="D33" s="139">
        <f>IF($C$17&lt;B33,0,Valuation_Model!$C$16)</f>
        <v>0</v>
      </c>
      <c r="E33" s="125">
        <f t="shared" si="0"/>
        <v>0</v>
      </c>
      <c r="F33" s="126">
        <f t="shared" si="1"/>
        <v>0</v>
      </c>
      <c r="H33" s="121"/>
    </row>
    <row r="34" spans="2:8" x14ac:dyDescent="0.15">
      <c r="B34" s="123">
        <v>14</v>
      </c>
      <c r="C34" s="124">
        <f t="shared" si="2"/>
        <v>0</v>
      </c>
      <c r="D34" s="139">
        <f>IF($C$17&lt;B34,0,Valuation_Model!$C$16)</f>
        <v>0</v>
      </c>
      <c r="E34" s="125">
        <f t="shared" si="0"/>
        <v>0</v>
      </c>
      <c r="F34" s="126">
        <f t="shared" si="1"/>
        <v>0</v>
      </c>
      <c r="H34" s="121"/>
    </row>
    <row r="35" spans="2:8" x14ac:dyDescent="0.15">
      <c r="B35" s="123">
        <v>15</v>
      </c>
      <c r="C35" s="124">
        <f t="shared" si="2"/>
        <v>0</v>
      </c>
      <c r="D35" s="139">
        <f>IF($C$17&lt;B35,0,Valuation_Model!$C$16)</f>
        <v>0</v>
      </c>
      <c r="E35" s="125">
        <f t="shared" si="0"/>
        <v>0</v>
      </c>
      <c r="F35" s="126">
        <f t="shared" si="1"/>
        <v>0</v>
      </c>
      <c r="H35" s="121"/>
    </row>
    <row r="36" spans="2:8" x14ac:dyDescent="0.15">
      <c r="B36" s="123">
        <v>16</v>
      </c>
      <c r="C36" s="124">
        <f t="shared" si="2"/>
        <v>0</v>
      </c>
      <c r="D36" s="139">
        <f>IF($C$17&lt;B36,0,Valuation_Model!$C$16)</f>
        <v>0</v>
      </c>
      <c r="E36" s="125">
        <f t="shared" si="0"/>
        <v>0</v>
      </c>
      <c r="F36" s="126">
        <f t="shared" si="1"/>
        <v>0</v>
      </c>
      <c r="H36" s="121"/>
    </row>
    <row r="37" spans="2:8" x14ac:dyDescent="0.15">
      <c r="B37" s="123">
        <v>17</v>
      </c>
      <c r="C37" s="124">
        <f t="shared" si="2"/>
        <v>0</v>
      </c>
      <c r="D37" s="139">
        <f>IF($C$17&lt;B37,0,Valuation_Model!$C$16)</f>
        <v>0</v>
      </c>
      <c r="E37" s="125">
        <f t="shared" si="0"/>
        <v>0</v>
      </c>
      <c r="F37" s="126">
        <f t="shared" si="1"/>
        <v>0</v>
      </c>
      <c r="H37" s="121"/>
    </row>
    <row r="38" spans="2:8" x14ac:dyDescent="0.15">
      <c r="B38" s="123">
        <v>18</v>
      </c>
      <c r="C38" s="124">
        <f t="shared" si="2"/>
        <v>0</v>
      </c>
      <c r="D38" s="139">
        <f>IF($C$17&lt;B38,0,Valuation_Model!$C$16)</f>
        <v>0</v>
      </c>
      <c r="E38" s="125">
        <f t="shared" si="0"/>
        <v>0</v>
      </c>
      <c r="F38" s="126">
        <f t="shared" si="1"/>
        <v>0</v>
      </c>
      <c r="H38" s="121"/>
    </row>
    <row r="39" spans="2:8" x14ac:dyDescent="0.15">
      <c r="B39" s="123">
        <v>19</v>
      </c>
      <c r="C39" s="124">
        <f t="shared" si="2"/>
        <v>0</v>
      </c>
      <c r="D39" s="139">
        <f>IF($C$17&lt;B39,0,Valuation_Model!$C$16)</f>
        <v>0</v>
      </c>
      <c r="E39" s="125">
        <f t="shared" si="0"/>
        <v>0</v>
      </c>
      <c r="F39" s="126">
        <f t="shared" si="1"/>
        <v>0</v>
      </c>
      <c r="H39" s="121"/>
    </row>
    <row r="40" spans="2:8" x14ac:dyDescent="0.15">
      <c r="B40" s="123">
        <v>20</v>
      </c>
      <c r="C40" s="124">
        <f t="shared" si="2"/>
        <v>0</v>
      </c>
      <c r="D40" s="139">
        <f>IF($C$17&lt;B40,0,Valuation_Model!$C$16)</f>
        <v>0</v>
      </c>
      <c r="E40" s="125">
        <f t="shared" si="0"/>
        <v>0</v>
      </c>
      <c r="F40" s="126">
        <f t="shared" si="1"/>
        <v>0</v>
      </c>
      <c r="H40" s="121"/>
    </row>
    <row r="41" spans="2:8" x14ac:dyDescent="0.15">
      <c r="B41" s="123">
        <v>21</v>
      </c>
      <c r="C41" s="124">
        <f t="shared" si="2"/>
        <v>0</v>
      </c>
      <c r="D41" s="139">
        <f>IF($C$17&lt;B41,0,Valuation_Model!$C$16)</f>
        <v>0</v>
      </c>
      <c r="E41" s="125">
        <f t="shared" si="0"/>
        <v>0</v>
      </c>
      <c r="F41" s="126">
        <f t="shared" si="1"/>
        <v>0</v>
      </c>
      <c r="H41" s="121"/>
    </row>
    <row r="42" spans="2:8" x14ac:dyDescent="0.15">
      <c r="B42" s="123">
        <v>22</v>
      </c>
      <c r="C42" s="124">
        <f t="shared" si="2"/>
        <v>0</v>
      </c>
      <c r="D42" s="139">
        <f>IF($C$17&lt;B42,0,Valuation_Model!$C$16)</f>
        <v>0</v>
      </c>
      <c r="E42" s="125">
        <f t="shared" si="0"/>
        <v>0</v>
      </c>
      <c r="F42" s="126">
        <f t="shared" si="1"/>
        <v>0</v>
      </c>
      <c r="H42" s="121"/>
    </row>
    <row r="43" spans="2:8" x14ac:dyDescent="0.15">
      <c r="B43" s="123">
        <v>23</v>
      </c>
      <c r="C43" s="124">
        <f t="shared" si="2"/>
        <v>0</v>
      </c>
      <c r="D43" s="139">
        <f>IF($C$17&lt;B43,0,Valuation_Model!$C$16)</f>
        <v>0</v>
      </c>
      <c r="E43" s="125">
        <f t="shared" si="0"/>
        <v>0</v>
      </c>
      <c r="F43" s="126">
        <f t="shared" si="1"/>
        <v>0</v>
      </c>
      <c r="H43" s="121"/>
    </row>
    <row r="44" spans="2:8" x14ac:dyDescent="0.15">
      <c r="B44" s="123">
        <v>24</v>
      </c>
      <c r="C44" s="124">
        <f t="shared" si="2"/>
        <v>0</v>
      </c>
      <c r="D44" s="139">
        <f>IF($C$17&lt;B44,0,Valuation_Model!$C$16)</f>
        <v>0</v>
      </c>
      <c r="E44" s="125">
        <f t="shared" si="0"/>
        <v>0</v>
      </c>
      <c r="F44" s="126">
        <f t="shared" si="1"/>
        <v>0</v>
      </c>
      <c r="H44" s="121"/>
    </row>
    <row r="45" spans="2:8" x14ac:dyDescent="0.15">
      <c r="B45" s="123">
        <v>25</v>
      </c>
      <c r="C45" s="124">
        <f t="shared" si="2"/>
        <v>0</v>
      </c>
      <c r="D45" s="139">
        <f>IF($C$17&lt;B45,0,Valuation_Model!$C$16)</f>
        <v>0</v>
      </c>
      <c r="E45" s="125">
        <f t="shared" si="0"/>
        <v>0</v>
      </c>
      <c r="F45" s="126">
        <f t="shared" si="1"/>
        <v>0</v>
      </c>
      <c r="H45" s="121"/>
    </row>
    <row r="46" spans="2:8" x14ac:dyDescent="0.15">
      <c r="B46" s="123">
        <v>26</v>
      </c>
      <c r="C46" s="124">
        <f t="shared" si="2"/>
        <v>0</v>
      </c>
      <c r="D46" s="139">
        <f>IF($C$17&lt;B46,0,Valuation_Model!$C$16)</f>
        <v>0</v>
      </c>
      <c r="E46" s="125">
        <f t="shared" si="0"/>
        <v>0</v>
      </c>
      <c r="F46" s="126">
        <f t="shared" si="1"/>
        <v>0</v>
      </c>
      <c r="H46" s="121"/>
    </row>
    <row r="47" spans="2:8" x14ac:dyDescent="0.15">
      <c r="B47" s="123">
        <v>27</v>
      </c>
      <c r="C47" s="124">
        <f t="shared" si="2"/>
        <v>0</v>
      </c>
      <c r="D47" s="139">
        <f>IF($C$17&lt;B47,0,Valuation_Model!$C$16)</f>
        <v>0</v>
      </c>
      <c r="E47" s="125">
        <f t="shared" si="0"/>
        <v>0</v>
      </c>
      <c r="F47" s="126">
        <f t="shared" si="1"/>
        <v>0</v>
      </c>
      <c r="H47" s="121"/>
    </row>
    <row r="48" spans="2:8" x14ac:dyDescent="0.15">
      <c r="B48" s="123">
        <v>28</v>
      </c>
      <c r="C48" s="124">
        <f t="shared" si="2"/>
        <v>0</v>
      </c>
      <c r="D48" s="139">
        <f>IF($C$17&lt;B48,0,Valuation_Model!$C$16)</f>
        <v>0</v>
      </c>
      <c r="E48" s="125">
        <f t="shared" si="0"/>
        <v>0</v>
      </c>
      <c r="F48" s="126">
        <f t="shared" si="1"/>
        <v>0</v>
      </c>
      <c r="H48" s="121"/>
    </row>
    <row r="49" spans="1:8" x14ac:dyDescent="0.15">
      <c r="B49" s="123">
        <v>29</v>
      </c>
      <c r="C49" s="124">
        <f t="shared" si="2"/>
        <v>0</v>
      </c>
      <c r="D49" s="139">
        <f>IF($C$17&lt;B49,0,Valuation_Model!$C$16)</f>
        <v>0</v>
      </c>
      <c r="E49" s="125">
        <f t="shared" si="0"/>
        <v>0</v>
      </c>
      <c r="F49" s="126">
        <f t="shared" si="1"/>
        <v>0</v>
      </c>
      <c r="H49" s="121"/>
    </row>
    <row r="50" spans="1:8" x14ac:dyDescent="0.15">
      <c r="B50" s="123">
        <v>30</v>
      </c>
      <c r="C50" s="124">
        <f t="shared" si="2"/>
        <v>0</v>
      </c>
      <c r="D50" s="139">
        <f>IF($C$17&lt;B50,0,Valuation_Model!$C$16)</f>
        <v>0</v>
      </c>
      <c r="E50" s="125">
        <f t="shared" si="0"/>
        <v>0</v>
      </c>
      <c r="F50" s="126">
        <f t="shared" si="1"/>
        <v>0</v>
      </c>
      <c r="H50" s="121"/>
    </row>
    <row r="51" spans="1:8" x14ac:dyDescent="0.15">
      <c r="B51" s="127" t="s">
        <v>132</v>
      </c>
      <c r="C51" s="124">
        <f>C$21*(1+Terminal_Growth)^$C$17/Equity_Cost</f>
        <v>29093461051.523167</v>
      </c>
      <c r="D51" s="140">
        <f>Terminal_Growth</f>
        <v>0</v>
      </c>
      <c r="E51" s="125">
        <f>1/(1+Equity_Cost)^C17</f>
        <v>0.46319348808468425</v>
      </c>
      <c r="F51" s="126">
        <f t="shared" si="1"/>
        <v>13475901704.910921</v>
      </c>
      <c r="H51" s="121"/>
    </row>
    <row r="52" spans="1:8" x14ac:dyDescent="0.15">
      <c r="C52" s="115"/>
      <c r="E52" s="128" t="s">
        <v>101</v>
      </c>
      <c r="F52" s="138">
        <f>SUM(F21:F51)</f>
        <v>32259994715.289375</v>
      </c>
      <c r="H52" s="121"/>
    </row>
    <row r="53" spans="1:8" x14ac:dyDescent="0.15">
      <c r="C53" s="115"/>
      <c r="H53" s="121"/>
    </row>
    <row r="54" spans="1:8" x14ac:dyDescent="0.15">
      <c r="B54" s="120" t="s">
        <v>130</v>
      </c>
      <c r="C54" s="137"/>
      <c r="D54" s="137"/>
      <c r="E54" s="118"/>
      <c r="F54" s="118"/>
      <c r="H54" s="121"/>
    </row>
    <row r="55" spans="1:8" x14ac:dyDescent="0.15">
      <c r="A55" s="134">
        <f>F52</f>
        <v>32259994715.289375</v>
      </c>
      <c r="B55" s="132">
        <f>C78</f>
        <v>0</v>
      </c>
      <c r="C55" s="132">
        <f>C77</f>
        <v>0.02</v>
      </c>
      <c r="D55" s="132">
        <f>C76</f>
        <v>0.04</v>
      </c>
      <c r="E55" s="132">
        <f>C75</f>
        <v>0.06</v>
      </c>
      <c r="F55" s="132">
        <f>C74</f>
        <v>0.1</v>
      </c>
      <c r="H55" s="121"/>
    </row>
    <row r="56" spans="1:8" x14ac:dyDescent="0.15">
      <c r="A56" s="144">
        <v>5</v>
      </c>
      <c r="B56" s="124">
        <f t="dataTable" ref="B56:F61" dt2D="1" dtr="1" r1="C16" r2="C17"/>
        <v>27798738399.65226</v>
      </c>
      <c r="C56" s="124">
        <v>28695671219.365395</v>
      </c>
      <c r="D56" s="124">
        <v>29619466785.62315</v>
      </c>
      <c r="E56" s="124">
        <v>30571303922.523273</v>
      </c>
      <c r="F56" s="124">
        <v>32564001283.448776</v>
      </c>
      <c r="H56" s="121"/>
    </row>
    <row r="57" spans="1:8" x14ac:dyDescent="0.15">
      <c r="A57" s="144">
        <v>10</v>
      </c>
      <c r="B57" s="124">
        <v>27798738399.65226</v>
      </c>
      <c r="C57" s="124">
        <v>29593429972.467758</v>
      </c>
      <c r="D57" s="124">
        <v>31567998234.011402</v>
      </c>
      <c r="E57" s="124">
        <v>33743970482.321777</v>
      </c>
      <c r="F57" s="124">
        <v>38798508845.216896</v>
      </c>
      <c r="H57" s="121"/>
    </row>
    <row r="58" spans="1:8" x14ac:dyDescent="0.15">
      <c r="A58" s="144">
        <v>15</v>
      </c>
      <c r="B58" s="124">
        <v>27798738399.652252</v>
      </c>
      <c r="C58" s="124">
        <v>30704655354.608322</v>
      </c>
      <c r="D58" s="124">
        <v>34108156080.274689</v>
      </c>
      <c r="E58" s="124">
        <v>38108095740.426071</v>
      </c>
      <c r="F58" s="124">
        <v>48394110626.422348</v>
      </c>
      <c r="H58" s="121"/>
    </row>
    <row r="59" spans="1:8" x14ac:dyDescent="0.15">
      <c r="A59" s="145">
        <v>20</v>
      </c>
      <c r="B59" s="124">
        <v>27798738399.652252</v>
      </c>
      <c r="C59" s="124">
        <v>31836815814.524704</v>
      </c>
      <c r="D59" s="124">
        <v>36842194153.850533</v>
      </c>
      <c r="E59" s="124">
        <v>43086376429.357841</v>
      </c>
      <c r="F59" s="124">
        <v>60791517277.615776</v>
      </c>
      <c r="H59" s="121"/>
    </row>
    <row r="60" spans="1:8" x14ac:dyDescent="0.15">
      <c r="A60" s="145">
        <v>25</v>
      </c>
      <c r="B60" s="124">
        <v>27798738399.652248</v>
      </c>
      <c r="C60" s="124">
        <v>32889787865.84174</v>
      </c>
      <c r="D60" s="124">
        <v>39535314666.333603</v>
      </c>
      <c r="E60" s="124">
        <v>48303463227.242409</v>
      </c>
      <c r="F60" s="124">
        <v>75659502977.678207</v>
      </c>
      <c r="H60" s="121"/>
    </row>
    <row r="61" spans="1:8" x14ac:dyDescent="0.15">
      <c r="A61" s="145">
        <v>30</v>
      </c>
      <c r="B61" s="124">
        <v>27798738399.652245</v>
      </c>
      <c r="C61" s="124">
        <v>33818655692.128422</v>
      </c>
      <c r="D61" s="124">
        <v>42057445893.31308</v>
      </c>
      <c r="E61" s="124">
        <v>53519887035.514709</v>
      </c>
      <c r="F61" s="124">
        <v>92826806405.596954</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0.04</v>
      </c>
      <c r="E64" s="133">
        <f>E55</f>
        <v>0.06</v>
      </c>
      <c r="F64" s="133">
        <f>F55</f>
        <v>0.1</v>
      </c>
      <c r="H64" s="121"/>
    </row>
    <row r="65" spans="1:8" x14ac:dyDescent="0.15">
      <c r="A65" s="144">
        <v>0</v>
      </c>
      <c r="B65" s="125">
        <f>C12</f>
        <v>57.380259942830683</v>
      </c>
      <c r="C65" s="125">
        <f>C12</f>
        <v>57.380259942830683</v>
      </c>
      <c r="D65" s="125">
        <f>C12</f>
        <v>57.380259942830683</v>
      </c>
      <c r="E65" s="142">
        <f>C12</f>
        <v>57.380259942830683</v>
      </c>
      <c r="F65" s="125">
        <f>C12</f>
        <v>57.380259942830683</v>
      </c>
      <c r="H65" s="121"/>
    </row>
    <row r="66" spans="1:8" x14ac:dyDescent="0.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x14ac:dyDescent="0.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x14ac:dyDescent="0.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x14ac:dyDescent="0.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x14ac:dyDescent="0.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x14ac:dyDescent="0.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v>
      </c>
      <c r="D74" s="146">
        <f>Scenarios!C55</f>
        <v>15</v>
      </c>
      <c r="E74" s="136">
        <f>INDEX(B$65:F$71, MATCH(D74, A$65:A$71, 0), MATCH(C74, B$64:F$64, 0))</f>
        <v>99.935214270443552</v>
      </c>
      <c r="F74" s="143">
        <f>Scenarios!C58</f>
        <v>0.05</v>
      </c>
    </row>
    <row r="75" spans="1:8" x14ac:dyDescent="0.15">
      <c r="B75" s="128" t="str">
        <f>Scenarios!B36</f>
        <v>Optimistic</v>
      </c>
      <c r="C75" s="143">
        <f>Scenarios!C38</f>
        <v>0.06</v>
      </c>
      <c r="D75" s="146">
        <f>Scenarios!C37</f>
        <v>10</v>
      </c>
      <c r="E75" s="136">
        <f>INDEX(B$65:F$71, MATCH(D75, A$65:A$71, 0), MATCH(C75, B$64:F$64, 0))</f>
        <v>69.664528319209367</v>
      </c>
      <c r="F75" s="143">
        <f>Scenarios!C40*(1-F$74-F$78)</f>
        <v>0.18</v>
      </c>
      <c r="H75" s="121"/>
    </row>
    <row r="76" spans="1:8" x14ac:dyDescent="0.15">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x14ac:dyDescent="0.15">
      <c r="B77" s="128" t="str">
        <f>Scenarios!B30</f>
        <v>Pessimistic</v>
      </c>
      <c r="C77" s="143">
        <f>Scenarios!C32</f>
        <v>0.02</v>
      </c>
      <c r="D77" s="146">
        <f>Scenarios!C31</f>
        <v>10</v>
      </c>
      <c r="E77" s="136">
        <f>INDEX(B$65:F$71, MATCH(D77, A$65:A$71, 0), MATCH(C77, B$64:F$64, 0))</f>
        <v>61.088521054715052</v>
      </c>
      <c r="F77" s="143">
        <f>Scenarios!C34*(1-F$74-F$78)</f>
        <v>0.18</v>
      </c>
      <c r="H77" s="121"/>
    </row>
    <row r="78" spans="1:8" x14ac:dyDescent="0.15">
      <c r="B78" s="128" t="str">
        <f>Scenarios!B48</f>
        <v>Devil's advocate</v>
      </c>
      <c r="C78" s="143">
        <f>Scenarios!C50</f>
        <v>0</v>
      </c>
      <c r="D78" s="146">
        <f>Scenarios!C49</f>
        <v>15</v>
      </c>
      <c r="E78" s="136">
        <f>INDEX(B$65:F$71, MATCH(D78, A$65:A$71, 0), MATCH(C78, B$64:F$64, 0))</f>
        <v>57.380259942830648</v>
      </c>
      <c r="F78" s="143">
        <f>Scenarios!C52</f>
        <v>0.05</v>
      </c>
    </row>
    <row r="79" spans="1:8" x14ac:dyDescent="0.15">
      <c r="B79" s="156"/>
      <c r="C79" s="156"/>
      <c r="D79" s="156"/>
      <c r="E79" s="156"/>
      <c r="F79" s="157"/>
    </row>
    <row r="80" spans="1:8" x14ac:dyDescent="0.15">
      <c r="B80" s="156" t="s">
        <v>318</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3" t="s">
        <v>302</v>
      </c>
      <c r="I2" s="274"/>
    </row>
    <row r="3" spans="2:9" x14ac:dyDescent="0.15">
      <c r="B3" s="160" t="s">
        <v>149</v>
      </c>
      <c r="H3" s="272">
        <v>0</v>
      </c>
      <c r="I3" s="125">
        <f>-Market_Price</f>
        <v>-57.12</v>
      </c>
    </row>
    <row r="4" spans="2:9" x14ac:dyDescent="0.15">
      <c r="B4" s="153" t="s">
        <v>147</v>
      </c>
      <c r="C4" s="121">
        <v>3</v>
      </c>
      <c r="D4" s="121"/>
      <c r="E4" s="156" t="s">
        <v>151</v>
      </c>
      <c r="F4" s="156"/>
      <c r="H4" s="272">
        <v>1</v>
      </c>
      <c r="I4" s="125">
        <f t="shared" ref="I4:I13" si="0">IF(ROW()-3 &lt; $C$76, $C$77, IF(ROW()-3 = $C$76, $C$77 + $C$60, ""))</f>
        <v>2.4</v>
      </c>
    </row>
    <row r="5" spans="2:9" x14ac:dyDescent="0.15">
      <c r="H5" s="272">
        <v>2</v>
      </c>
      <c r="I5" s="125">
        <f t="shared" si="0"/>
        <v>2.4</v>
      </c>
    </row>
    <row r="6" spans="2:9" x14ac:dyDescent="0.15">
      <c r="B6" s="160" t="s">
        <v>96</v>
      </c>
      <c r="C6" s="107">
        <f>Valuation_Model!C3</f>
        <v>1</v>
      </c>
      <c r="E6" s="100" t="s">
        <v>282</v>
      </c>
      <c r="F6" s="100"/>
      <c r="H6" s="272">
        <v>3</v>
      </c>
      <c r="I6" s="125">
        <f t="shared" si="0"/>
        <v>68.992285778880003</v>
      </c>
    </row>
    <row r="7" spans="2:9" ht="12.75" customHeight="1" x14ac:dyDescent="0.15">
      <c r="B7" s="100" t="s">
        <v>276</v>
      </c>
      <c r="C7" s="115">
        <f>Normalized_FCF!G8</f>
        <v>3109212579</v>
      </c>
      <c r="D7" t="str">
        <f>Reporting_currency</f>
        <v>CNY</v>
      </c>
      <c r="E7" s="349"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49"/>
      <c r="H7" s="272">
        <v>4</v>
      </c>
      <c r="I7" s="125" t="str">
        <f t="shared" si="0"/>
        <v/>
      </c>
    </row>
    <row r="8" spans="2:9" x14ac:dyDescent="0.15">
      <c r="B8" s="100" t="s">
        <v>66</v>
      </c>
      <c r="C8" s="115">
        <f>Normalized_FCF!G19</f>
        <v>2322754575.9970183</v>
      </c>
      <c r="D8" t="str">
        <f>Reporting_currency</f>
        <v>CNY</v>
      </c>
      <c r="E8" s="349"/>
      <c r="F8" s="349"/>
      <c r="H8" s="272">
        <v>5</v>
      </c>
      <c r="I8" s="125" t="str">
        <f t="shared" si="0"/>
        <v/>
      </c>
    </row>
    <row r="9" spans="2:9" x14ac:dyDescent="0.15">
      <c r="B9" s="100" t="s">
        <v>57</v>
      </c>
      <c r="C9" s="115">
        <f>Normalized_FCF!C19</f>
        <v>2223899071.9721813</v>
      </c>
      <c r="D9" t="str">
        <f>Reporting_currency</f>
        <v>CNY</v>
      </c>
      <c r="E9" s="349"/>
      <c r="F9" s="349"/>
      <c r="H9" s="272">
        <v>6</v>
      </c>
      <c r="I9" s="125" t="str">
        <f t="shared" si="0"/>
        <v/>
      </c>
    </row>
    <row r="10" spans="2:9" x14ac:dyDescent="0.15">
      <c r="E10" s="349"/>
      <c r="F10" s="349"/>
      <c r="H10" s="272">
        <v>7</v>
      </c>
      <c r="I10" s="125" t="str">
        <f t="shared" si="0"/>
        <v/>
      </c>
    </row>
    <row r="11" spans="2:9" x14ac:dyDescent="0.15">
      <c r="B11" s="160" t="s">
        <v>279</v>
      </c>
      <c r="E11" s="349"/>
      <c r="F11" s="349"/>
      <c r="H11" s="272">
        <v>8</v>
      </c>
      <c r="I11" s="125" t="str">
        <f t="shared" si="0"/>
        <v/>
      </c>
    </row>
    <row r="12" spans="2:9" ht="14" x14ac:dyDescent="0.15">
      <c r="B12" s="119" t="s">
        <v>145</v>
      </c>
      <c r="C12" s="159">
        <f ca="1">(Normalized_FCF!G4/OFFSET(Normalized_FCF!G4, 0, $C$4))^(1/$C$4) - 1</f>
        <v>3.7342435425912202E-2</v>
      </c>
      <c r="D12" s="159"/>
      <c r="E12" s="349"/>
      <c r="F12" s="349"/>
      <c r="H12" s="272">
        <v>9</v>
      </c>
      <c r="I12" s="125" t="str">
        <f t="shared" si="0"/>
        <v/>
      </c>
    </row>
    <row r="13" spans="2:9" x14ac:dyDescent="0.15">
      <c r="B13" s="149" t="s">
        <v>153</v>
      </c>
      <c r="C13" s="159">
        <f ca="1">(Normalized_FCF!G8/OFFSET(Normalized_FCF!G8, 0, $C$4))^(1/$C$4) - 1</f>
        <v>2.3730241339145586E-2</v>
      </c>
      <c r="E13" s="349"/>
      <c r="F13" s="349"/>
      <c r="H13" s="272">
        <v>10</v>
      </c>
      <c r="I13" s="125" t="str">
        <f t="shared" si="0"/>
        <v/>
      </c>
    </row>
    <row r="14" spans="2:9" x14ac:dyDescent="0.15">
      <c r="B14" s="100" t="s">
        <v>66</v>
      </c>
      <c r="C14" s="159">
        <f ca="1">(Normalized_FCF!G19/OFFSET(Normalized_FCF!G19, 0, $C$4))^(1/$C$4) - 1</f>
        <v>-7.4877931429291333E-3</v>
      </c>
      <c r="E14" s="349"/>
      <c r="F14" s="349"/>
    </row>
    <row r="16" spans="2:9" ht="16" x14ac:dyDescent="0.25">
      <c r="B16" s="36" t="s">
        <v>163</v>
      </c>
      <c r="C16" s="37"/>
      <c r="D16" s="37"/>
      <c r="E16" s="37"/>
      <c r="F16" s="37"/>
    </row>
    <row r="17" spans="2:6" x14ac:dyDescent="0.15">
      <c r="B17" s="109" t="s">
        <v>152</v>
      </c>
      <c r="E17" s="160" t="s">
        <v>337</v>
      </c>
    </row>
    <row r="18" spans="2:6" x14ac:dyDescent="0.15">
      <c r="B18" s="153" t="s">
        <v>134</v>
      </c>
      <c r="C18" s="151">
        <v>10</v>
      </c>
      <c r="E18" s="349" t="s">
        <v>338</v>
      </c>
      <c r="F18" s="350"/>
    </row>
    <row r="19" spans="2:6" x14ac:dyDescent="0.15">
      <c r="E19" s="350"/>
      <c r="F19" s="350"/>
    </row>
    <row r="20" spans="2:6" x14ac:dyDescent="0.15">
      <c r="B20" s="160" t="s">
        <v>310</v>
      </c>
      <c r="E20" s="350"/>
      <c r="F20" s="350"/>
    </row>
    <row r="21" spans="2:6" x14ac:dyDescent="0.15">
      <c r="B21" s="100" t="s">
        <v>280</v>
      </c>
      <c r="C21" s="161">
        <f>Market_Price</f>
        <v>57.12</v>
      </c>
      <c r="D21" t="str">
        <f>Market_currency</f>
        <v>CNY</v>
      </c>
      <c r="E21" s="350"/>
      <c r="F21" s="350"/>
    </row>
    <row r="22" spans="2:6" x14ac:dyDescent="0.15">
      <c r="B22" s="100" t="s">
        <v>281</v>
      </c>
      <c r="C22" s="161">
        <f>Valuation_Model!C12</f>
        <v>57.380259942830683</v>
      </c>
      <c r="D22" t="str">
        <f>Market_currency</f>
        <v>CNY</v>
      </c>
      <c r="E22" s="350"/>
      <c r="F22" s="350"/>
    </row>
    <row r="24" spans="2:6" x14ac:dyDescent="0.15">
      <c r="B24" s="160" t="s">
        <v>116</v>
      </c>
      <c r="E24" s="160" t="s">
        <v>150</v>
      </c>
      <c r="F24" s="160"/>
    </row>
    <row r="25" spans="2:6" x14ac:dyDescent="0.15">
      <c r="B25" s="153" t="s">
        <v>134</v>
      </c>
      <c r="C25" s="167">
        <f>C18</f>
        <v>10</v>
      </c>
      <c r="D25" s="164"/>
      <c r="E25" s="348"/>
      <c r="F25" s="348"/>
    </row>
    <row r="26" spans="2:6" ht="14" x14ac:dyDescent="0.15">
      <c r="B26" s="119" t="s">
        <v>135</v>
      </c>
      <c r="C26" s="165">
        <v>0.04</v>
      </c>
      <c r="D26" s="165"/>
      <c r="E26" s="348"/>
      <c r="F26" s="348"/>
    </row>
    <row r="27" spans="2:6" x14ac:dyDescent="0.15">
      <c r="B27" s="100" t="s">
        <v>114</v>
      </c>
      <c r="C27" s="161">
        <f>Valuation_Model!E76</f>
        <v>65.168450335018306</v>
      </c>
      <c r="D27" s="161" t="str">
        <f>Market_currency</f>
        <v>CNY</v>
      </c>
      <c r="E27" s="348"/>
      <c r="F27" s="348"/>
    </row>
    <row r="28" spans="2:6" x14ac:dyDescent="0.15">
      <c r="B28" s="100" t="s">
        <v>148</v>
      </c>
      <c r="C28" s="166">
        <v>0.6</v>
      </c>
      <c r="D28" s="166"/>
      <c r="E28" s="348"/>
      <c r="F28" s="348"/>
    </row>
    <row r="30" spans="2:6" x14ac:dyDescent="0.15">
      <c r="B30" s="160" t="s">
        <v>117</v>
      </c>
      <c r="E30" s="160" t="s">
        <v>150</v>
      </c>
      <c r="F30" s="160"/>
    </row>
    <row r="31" spans="2:6" x14ac:dyDescent="0.15">
      <c r="B31" s="153" t="s">
        <v>134</v>
      </c>
      <c r="C31" s="167">
        <f>C18</f>
        <v>10</v>
      </c>
      <c r="D31" s="164"/>
      <c r="E31" s="348"/>
      <c r="F31" s="348"/>
    </row>
    <row r="32" spans="2:6" ht="14" x14ac:dyDescent="0.15">
      <c r="B32" s="119" t="s">
        <v>135</v>
      </c>
      <c r="C32" s="165">
        <v>0.02</v>
      </c>
      <c r="D32" s="165"/>
      <c r="E32" s="348"/>
      <c r="F32" s="348"/>
    </row>
    <row r="33" spans="2:6" x14ac:dyDescent="0.15">
      <c r="B33" s="100" t="s">
        <v>114</v>
      </c>
      <c r="C33" s="161">
        <f>Valuation_Model!E77</f>
        <v>61.088521054715052</v>
      </c>
      <c r="D33" t="str">
        <f>Market_currency</f>
        <v>CNY</v>
      </c>
      <c r="E33" s="348"/>
      <c r="F33" s="348"/>
    </row>
    <row r="34" spans="2:6" x14ac:dyDescent="0.15">
      <c r="B34" s="100" t="s">
        <v>148</v>
      </c>
      <c r="C34" s="166">
        <v>0.2</v>
      </c>
      <c r="D34" s="166"/>
      <c r="E34" s="348"/>
      <c r="F34" s="348"/>
    </row>
    <row r="36" spans="2:6" x14ac:dyDescent="0.15">
      <c r="B36" s="160" t="s">
        <v>115</v>
      </c>
      <c r="E36" s="160" t="s">
        <v>150</v>
      </c>
      <c r="F36" s="160"/>
    </row>
    <row r="37" spans="2:6" x14ac:dyDescent="0.15">
      <c r="B37" s="153" t="s">
        <v>134</v>
      </c>
      <c r="C37" s="167">
        <f>C18</f>
        <v>10</v>
      </c>
      <c r="D37" s="164"/>
      <c r="E37" s="348"/>
      <c r="F37" s="348"/>
    </row>
    <row r="38" spans="2:6" ht="14" x14ac:dyDescent="0.15">
      <c r="B38" s="119" t="s">
        <v>135</v>
      </c>
      <c r="C38" s="165">
        <v>0.06</v>
      </c>
      <c r="D38" s="165"/>
      <c r="E38" s="348"/>
      <c r="F38" s="348"/>
    </row>
    <row r="39" spans="2:6" x14ac:dyDescent="0.15">
      <c r="B39" s="100" t="s">
        <v>114</v>
      </c>
      <c r="C39" s="161">
        <f>Valuation_Model!E75</f>
        <v>69.664528319209367</v>
      </c>
      <c r="D39" t="str">
        <f>Market_currency</f>
        <v>CNY</v>
      </c>
      <c r="E39" s="348"/>
      <c r="F39" s="348"/>
    </row>
    <row r="40" spans="2:6" x14ac:dyDescent="0.15">
      <c r="B40" s="100" t="s">
        <v>148</v>
      </c>
      <c r="C40" s="168">
        <f>1-C28-C34</f>
        <v>0.2</v>
      </c>
      <c r="D40" s="166"/>
      <c r="E40" s="348"/>
      <c r="F40" s="348"/>
    </row>
    <row r="42" spans="2:6" x14ac:dyDescent="0.15">
      <c r="B42" s="100" t="s">
        <v>121</v>
      </c>
      <c r="C42" s="155">
        <f>C27*C28+C33*C34+C39*C40</f>
        <v>65.251680075795875</v>
      </c>
      <c r="D42" t="str">
        <f>Market_currency</f>
        <v>CNY</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48"/>
      <c r="F49" s="348"/>
    </row>
    <row r="50" spans="2:6" ht="14" x14ac:dyDescent="0.15">
      <c r="B50" s="119" t="s">
        <v>135</v>
      </c>
      <c r="C50" s="165">
        <v>0</v>
      </c>
      <c r="D50" s="165"/>
      <c r="E50" s="348"/>
      <c r="F50" s="348"/>
    </row>
    <row r="51" spans="2:6" x14ac:dyDescent="0.15">
      <c r="B51" s="100" t="s">
        <v>114</v>
      </c>
      <c r="C51" s="161">
        <f>Valuation_Model!E78</f>
        <v>57.380259942830648</v>
      </c>
      <c r="D51" t="str">
        <f>Market_currency</f>
        <v>CNY</v>
      </c>
      <c r="E51" s="348"/>
      <c r="F51" s="348"/>
    </row>
    <row r="52" spans="2:6" x14ac:dyDescent="0.15">
      <c r="B52" s="100" t="s">
        <v>148</v>
      </c>
      <c r="C52" s="166">
        <v>0.05</v>
      </c>
      <c r="D52" s="166"/>
      <c r="E52" s="348"/>
      <c r="F52" s="348"/>
    </row>
    <row r="54" spans="2:6" x14ac:dyDescent="0.15">
      <c r="B54" s="160" t="s">
        <v>324</v>
      </c>
      <c r="E54" s="160" t="s">
        <v>150</v>
      </c>
      <c r="F54" s="160"/>
    </row>
    <row r="55" spans="2:6" x14ac:dyDescent="0.15">
      <c r="B55" s="153" t="s">
        <v>134</v>
      </c>
      <c r="C55" s="167">
        <f>C46</f>
        <v>15</v>
      </c>
      <c r="D55" s="164"/>
      <c r="E55" s="348"/>
      <c r="F55" s="348"/>
    </row>
    <row r="56" spans="2:6" ht="14" x14ac:dyDescent="0.15">
      <c r="B56" s="119" t="s">
        <v>135</v>
      </c>
      <c r="C56" s="165">
        <v>0.1</v>
      </c>
      <c r="D56" s="165"/>
      <c r="E56" s="348"/>
      <c r="F56" s="348"/>
    </row>
    <row r="57" spans="2:6" x14ac:dyDescent="0.15">
      <c r="B57" s="100" t="s">
        <v>114</v>
      </c>
      <c r="C57" s="161">
        <f>Valuation_Model!E74</f>
        <v>99.935214270443552</v>
      </c>
      <c r="D57" t="str">
        <f>Market_currency</f>
        <v>CNY</v>
      </c>
      <c r="E57" s="348"/>
      <c r="F57" s="348"/>
    </row>
    <row r="58" spans="2:6" x14ac:dyDescent="0.15">
      <c r="B58" s="100" t="s">
        <v>148</v>
      </c>
      <c r="C58" s="166">
        <v>0.05</v>
      </c>
      <c r="D58" s="166"/>
      <c r="E58" s="348"/>
      <c r="F58" s="348"/>
    </row>
    <row r="60" spans="2:6" x14ac:dyDescent="0.15">
      <c r="B60" s="100" t="s">
        <v>121</v>
      </c>
      <c r="C60" s="155">
        <f>C51*C52+C57*C58+C42*(1-C52-C58)</f>
        <v>66.592285778879997</v>
      </c>
      <c r="D60" t="str">
        <f>Market_currency</f>
        <v>CNY</v>
      </c>
      <c r="E60" s="100" t="s">
        <v>303</v>
      </c>
      <c r="F60" s="308">
        <f>Thesis!E25</f>
        <v>3</v>
      </c>
    </row>
    <row r="62" spans="2:6" ht="16" x14ac:dyDescent="0.25">
      <c r="B62" s="36" t="s">
        <v>357</v>
      </c>
      <c r="C62" s="37"/>
      <c r="D62" s="37"/>
      <c r="E62" s="37"/>
      <c r="F62" s="37"/>
    </row>
    <row r="63" spans="2:6" x14ac:dyDescent="0.15">
      <c r="B63" s="109" t="s">
        <v>311</v>
      </c>
      <c r="E63" s="278" t="s">
        <v>319</v>
      </c>
    </row>
    <row r="64" spans="2:6" x14ac:dyDescent="0.15">
      <c r="B64" s="153" t="s">
        <v>134</v>
      </c>
      <c r="C64" s="167">
        <f>C18</f>
        <v>10</v>
      </c>
      <c r="D64" s="151"/>
      <c r="E64" s="277" t="s">
        <v>403</v>
      </c>
    </row>
    <row r="65" spans="2:6" ht="14" x14ac:dyDescent="0.15">
      <c r="B65" s="119" t="s">
        <v>135</v>
      </c>
      <c r="C65" s="152">
        <v>4.6574870890079501E-2</v>
      </c>
      <c r="D65" s="152"/>
      <c r="E65" s="277" t="s">
        <v>320</v>
      </c>
    </row>
    <row r="66" spans="2:6" x14ac:dyDescent="0.15">
      <c r="B66" s="100" t="s">
        <v>103</v>
      </c>
      <c r="C66" s="161">
        <f>Valuation_Model!C18</f>
        <v>66.598280217741973</v>
      </c>
      <c r="D66" s="161" t="str">
        <f>Market_currency</f>
        <v>CNY</v>
      </c>
      <c r="E66" s="277" t="s">
        <v>321</v>
      </c>
    </row>
    <row r="68" spans="2:6" x14ac:dyDescent="0.15">
      <c r="B68" s="109" t="s">
        <v>358</v>
      </c>
      <c r="E68" s="278" t="s">
        <v>322</v>
      </c>
    </row>
    <row r="69" spans="2:6" x14ac:dyDescent="0.15">
      <c r="B69" s="100" t="s">
        <v>312</v>
      </c>
      <c r="C69" s="269" t="str">
        <f>IF(C60&lt;C22,"Y","N")</f>
        <v>N</v>
      </c>
      <c r="E69" s="135"/>
    </row>
    <row r="70" spans="2:6" x14ac:dyDescent="0.15">
      <c r="B70" s="100" t="s">
        <v>300</v>
      </c>
      <c r="C70" s="269" t="str">
        <f>IF(C69="Y","N",IF(C65&gt;8%,"N","Y"))</f>
        <v>Y</v>
      </c>
      <c r="E70" s="277" t="s">
        <v>301</v>
      </c>
    </row>
    <row r="71" spans="2:6" x14ac:dyDescent="0.15">
      <c r="B71" s="100" t="s">
        <v>299</v>
      </c>
      <c r="C71" s="269" t="str">
        <f>IF(C65&gt;8%,"Y","N")</f>
        <v>N</v>
      </c>
      <c r="E71" s="277"/>
    </row>
    <row r="72" spans="2:6" x14ac:dyDescent="0.15">
      <c r="B72" s="100" t="s">
        <v>291</v>
      </c>
      <c r="C72" s="268" t="str">
        <f>IF(F72&gt;50%,"Y","N")</f>
        <v>N</v>
      </c>
      <c r="E72" s="135" t="s">
        <v>354</v>
      </c>
      <c r="F72" s="325">
        <f>BS!D89/C60</f>
        <v>-8.7950215386604794E-4</v>
      </c>
    </row>
    <row r="74" spans="2:6" ht="16" x14ac:dyDescent="0.25">
      <c r="B74" s="36" t="s">
        <v>128</v>
      </c>
      <c r="C74" s="37"/>
      <c r="D74" s="37"/>
      <c r="E74" s="37"/>
      <c r="F74" s="37"/>
    </row>
    <row r="75" spans="2:6" x14ac:dyDescent="0.15">
      <c r="B75" s="109" t="s">
        <v>126</v>
      </c>
    </row>
    <row r="76" spans="2:6" x14ac:dyDescent="0.15">
      <c r="B76" s="271" t="s">
        <v>304</v>
      </c>
      <c r="C76" s="270">
        <f>F60</f>
        <v>3</v>
      </c>
      <c r="D76" s="135"/>
    </row>
    <row r="77" spans="2:6" x14ac:dyDescent="0.15">
      <c r="B77" s="100" t="s">
        <v>112</v>
      </c>
      <c r="C77" s="174">
        <f>Normalized_FCF!C90</f>
        <v>2.4</v>
      </c>
      <c r="D77" t="str">
        <f>Market_currency</f>
        <v>CNY</v>
      </c>
    </row>
    <row r="79" spans="2:6" x14ac:dyDescent="0.15">
      <c r="B79" s="109" t="s">
        <v>308</v>
      </c>
    </row>
    <row r="80" spans="2:6" x14ac:dyDescent="0.15">
      <c r="B80" s="149" t="s">
        <v>306</v>
      </c>
      <c r="C80" s="168">
        <f>Thesis!C132</f>
        <v>0.4</v>
      </c>
    </row>
    <row r="81" spans="2:8" x14ac:dyDescent="0.15">
      <c r="B81" s="100" t="s">
        <v>122</v>
      </c>
      <c r="C81" s="117">
        <f>PV(C80, C76, -C77, 0)</f>
        <v>3.8134110787171998</v>
      </c>
      <c r="D81" s="117"/>
      <c r="E81" s="100"/>
      <c r="F81" s="100"/>
    </row>
    <row r="82" spans="2:8" x14ac:dyDescent="0.15">
      <c r="B82" s="100" t="s">
        <v>123</v>
      </c>
      <c r="C82" s="117">
        <f>C60/(1+C80)^C76</f>
        <v>24.268325721166185</v>
      </c>
      <c r="D82" s="117"/>
    </row>
    <row r="83" spans="2:8" x14ac:dyDescent="0.15">
      <c r="B83" s="111" t="s">
        <v>102</v>
      </c>
      <c r="C83" s="112">
        <f>C81+C82</f>
        <v>28.081736799883384</v>
      </c>
      <c r="D83" t="str">
        <f>Market_currency</f>
        <v>CNY</v>
      </c>
      <c r="E83" s="147" t="s">
        <v>127</v>
      </c>
      <c r="F83" s="325">
        <f>(1-C83/C60)</f>
        <v>0.57830345555145946</v>
      </c>
    </row>
    <row r="84" spans="2:8" x14ac:dyDescent="0.15">
      <c r="E84" s="121"/>
    </row>
    <row r="85" spans="2:8" x14ac:dyDescent="0.15">
      <c r="B85" s="109" t="s">
        <v>309</v>
      </c>
    </row>
    <row r="86" spans="2:8" x14ac:dyDescent="0.15">
      <c r="B86" s="149" t="s">
        <v>307</v>
      </c>
      <c r="C86" s="117">
        <f>Market_Price</f>
        <v>57.12</v>
      </c>
      <c r="D86" t="str">
        <f>Market_currency</f>
        <v>CNY</v>
      </c>
    </row>
    <row r="87" spans="2:8" x14ac:dyDescent="0.15">
      <c r="B87" s="100" t="s">
        <v>305</v>
      </c>
      <c r="C87" s="262">
        <f ca="1">IRR(OFFSET($I$3, 0, 0, $C$76 + 1, 1))</f>
        <v>9.2482801640861867E-2</v>
      </c>
    </row>
    <row r="88" spans="2:8" x14ac:dyDescent="0.15">
      <c r="B88" s="100"/>
    </row>
    <row r="89" spans="2:8" x14ac:dyDescent="0.15">
      <c r="B89" s="109" t="s">
        <v>422</v>
      </c>
    </row>
    <row r="90" spans="2:8" x14ac:dyDescent="0.15">
      <c r="B90" s="149" t="s">
        <v>423</v>
      </c>
      <c r="C90" s="168">
        <f>Thesis!E24</f>
        <v>0.2</v>
      </c>
    </row>
    <row r="91" spans="2:8" x14ac:dyDescent="0.15">
      <c r="B91" s="100" t="s">
        <v>122</v>
      </c>
      <c r="C91" s="117">
        <f>PV(C90, C76, -C77, 0)</f>
        <v>5.0555555555555554</v>
      </c>
      <c r="D91" s="117"/>
      <c r="E91" s="100"/>
      <c r="F91" s="100"/>
    </row>
    <row r="92" spans="2:8" x14ac:dyDescent="0.15">
      <c r="B92" s="100" t="s">
        <v>123</v>
      </c>
      <c r="C92" s="117">
        <f>C60/(1+C90)^C76</f>
        <v>38.537202418333329</v>
      </c>
      <c r="D92" s="117"/>
    </row>
    <row r="93" spans="2:8" x14ac:dyDescent="0.15">
      <c r="B93" s="111" t="s">
        <v>102</v>
      </c>
      <c r="C93" s="112">
        <f>C91+C92</f>
        <v>43.592757973888887</v>
      </c>
      <c r="D93" t="str">
        <f>Market_currency</f>
        <v>CNY</v>
      </c>
      <c r="E93" s="147" t="s">
        <v>127</v>
      </c>
      <c r="F93" s="325">
        <f>(1-C93/C60)</f>
        <v>0.345378260199104</v>
      </c>
    </row>
    <row r="95" spans="2:8" x14ac:dyDescent="0.15">
      <c r="B95" s="109" t="s">
        <v>405</v>
      </c>
      <c r="G95" s="2"/>
      <c r="H95" s="312"/>
    </row>
    <row r="96" spans="2:8" x14ac:dyDescent="0.15">
      <c r="B96" s="149" t="s">
        <v>411</v>
      </c>
      <c r="C96" s="135">
        <f>Thesis!C72</f>
        <v>0.08</v>
      </c>
      <c r="G96" s="2"/>
      <c r="H96" s="312"/>
    </row>
    <row r="97" spans="2:8" x14ac:dyDescent="0.15">
      <c r="B97" s="100" t="s">
        <v>122</v>
      </c>
      <c r="C97" s="117">
        <f>PV(C96, C76, -C77, 0)</f>
        <v>6.1850327693949119</v>
      </c>
      <c r="D97" s="117"/>
      <c r="G97" s="2"/>
      <c r="H97" s="312"/>
    </row>
    <row r="98" spans="2:8" x14ac:dyDescent="0.15">
      <c r="B98" s="100" t="s">
        <v>123</v>
      </c>
      <c r="C98" s="117">
        <f>C60/(1+C96)^C76</f>
        <v>52.863103454503879</v>
      </c>
      <c r="D98" s="117"/>
      <c r="G98" s="2"/>
      <c r="H98" s="312"/>
    </row>
    <row r="99" spans="2:8" x14ac:dyDescent="0.15">
      <c r="B99" s="111" t="s">
        <v>406</v>
      </c>
      <c r="C99" s="112">
        <f>C97+C98</f>
        <v>59.048136223898794</v>
      </c>
      <c r="D99" t="s">
        <v>404</v>
      </c>
      <c r="E99" s="147" t="s">
        <v>127</v>
      </c>
      <c r="F99" s="325">
        <f>(1-C99/C60)</f>
        <v>0.1132886409700905</v>
      </c>
    </row>
    <row r="100" spans="2:8" x14ac:dyDescent="0.15">
      <c r="B100" s="100"/>
    </row>
    <row r="101" spans="2:8" ht="16" x14ac:dyDescent="0.25">
      <c r="E101" s="316" t="s">
        <v>332</v>
      </c>
      <c r="F101" s="313"/>
    </row>
    <row r="102" spans="2:8" ht="16" x14ac:dyDescent="0.25">
      <c r="E102" s="309" t="s">
        <v>333</v>
      </c>
      <c r="F102" s="314" t="s">
        <v>334</v>
      </c>
    </row>
    <row r="103" spans="2:8" ht="16" x14ac:dyDescent="0.25">
      <c r="E103" s="310" t="s">
        <v>333</v>
      </c>
      <c r="F103" s="314" t="s">
        <v>335</v>
      </c>
    </row>
    <row r="104" spans="2:8" ht="16" x14ac:dyDescent="0.25">
      <c r="E104" s="311" t="s">
        <v>333</v>
      </c>
      <c r="F104" s="315"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2025-05-15T11:45:38Z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