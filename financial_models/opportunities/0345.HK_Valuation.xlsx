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0304B1C-1B3A-4AD2-8020-2922B318D6E5}"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9" i="3"/>
  <c r="E83" i="2"/>
  <c r="E84" i="2"/>
  <c r="C28" i="4"/>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<sst xmlns="http://schemas.openxmlformats.org/spreadsheetml/2006/main" count="766" uniqueCount="556">
  <si>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</si>
  <si>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</si>
  <si>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</si>
  <si>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</si>
  <si>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</si>
  <si>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</si>
  <si>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</si>
  <si>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</si>
  <si>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</si>
  <si>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</si>
  <si>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</si>
  <si>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</si>
  <si>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</si>
  <si>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</si>
  <si>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</si>
  <si>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</si>
  <si>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</si>
  <si>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</si>
  <si>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</si>
  <si>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</si>
  <si>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</si>
  <si>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</si>
  <si>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</si>
  <si>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</si>
  <si>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</si>
  <si>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</si>
  <si>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</si>
  <si>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</si>
  <si>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</si>
  <si>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</si>
  <si>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</si>
  <si>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</si>
  <si>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</si>
  <si>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</si>
  <si>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</si>
  <si>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</si>
  <si>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</si>
  <si>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</si>
  <si>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</si>
  <si>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</si>
  <si>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</si>
  <si>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</si>
  <si>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</si>
  <si>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</si>
  <si>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</si>
  <si>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</si>
  <si>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</si>
  <si>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</si>
  <si>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</si>
  <si>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</si>
  <si>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</si>
  <si>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</si>
  <si>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</si>
  <si>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</si>
  <si>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</si>
  <si>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</si>
  <si>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</si>
  <si>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</si>
  <si>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</si>
  <si>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</si>
  <si>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</si>
  <si>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</si>
  <si>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</si>
  <si>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</si>
  <si>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</si>
  <si>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</si>
  <si>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</si>
  <si>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</si>
  <si>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</si>
  <si>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</si>
  <si>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</si>
  <si>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</si>
  <si>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</si>
  <si>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</si>
  <si>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</si>
  <si>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</si>
  <si>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</si>
  <si>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</si>
  <si>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</si>
  <si>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</si>
  <si>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</si>
  <si>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</si>
  <si>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</si>
  <si>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</si>
  <si>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</si>
  <si>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</si>
  <si>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</si>
  <si>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</si>
  <si>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</si>
  <si>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</si>
  <si>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</si>
  <si>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</si>
  <si>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</si>
  <si>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</si>
  <si>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</si>
  <si>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</si>
  <si>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</si>
  <si>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</si>
  <si>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</si>
  <si>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</si>
  <si>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</si>
  <si>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</si>
  <si>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</si>
  <si>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</si>
  <si>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</si>
  <si>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</si>
  <si>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</si>
  <si>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</si>
  <si>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</si>
  <si>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</si>
  <si>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</si>
  <si>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</si>
  <si>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</si>
  <si>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</si>
  <si>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</si>
  <si>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</si>
  <si>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</si>
  <si>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</si>
  <si>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</si>
  <si>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</si>
  <si>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</si>
  <si>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</si>
  <si>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</si>
  <si>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</si>
  <si>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</si>
  <si>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</si>
  <si>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</si>
  <si>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</si>
  <si>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</si>
  <si>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</si>
  <si>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</si>
  <si>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</si>
  <si>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</si>
  <si>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</si>
  <si>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</si>
  <si>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</si>
  <si>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</si>
  <si>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</si>
  <si>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</si>
  <si>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</si>
  <si>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</si>
  <si>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</si>
  <si>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</si>
  <si>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</si>
  <si>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</si>
  <si>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</si>
  <si>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</si>
  <si>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</si>
  <si>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</si>
  <si>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</si>
  <si>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</si>
  <si>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</si>
  <si>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</si>
  <si>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</si>
  <si>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</si>
  <si>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</si>
  <si>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</si>
  <si>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</si>
  <si>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</si>
  <si>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</si>
  <si>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</si>
  <si>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</si>
  <si>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</si>
  <si>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</si>
  <si>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</si>
  <si>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</si>
  <si>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</si>
  <si>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</si>
  <si>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</si>
  <si>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</si>
  <si>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</si>
  <si>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</si>
  <si>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</si>
  <si>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</si>
  <si>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</si>
  <si>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</si>
  <si>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</si>
  <si>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</si>
  <si>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</si>
  <si>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</si>
  <si>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</si>
  <si>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</si>
  <si>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</si>
  <si>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</si>
  <si>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</si>
  <si>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</si>
  <si>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</si>
  <si>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</si>
  <si>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</si>
  <si>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</si>
  <si>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</si>
  <si>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</si>
  <si>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</si>
  <si>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</si>
  <si>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</si>
  <si>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</si>
  <si>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</si>
  <si>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</si>
  <si>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</si>
  <si>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</si>
  <si>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</si>
  <si>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</si>
  <si>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</si>
  <si>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</si>
  <si>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</si>
  <si>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</si>
  <si>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</si>
  <si>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</si>
  <si>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</si>
  <si>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</si>
  <si>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</si>
  <si>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</si>
  <si>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</si>
  <si>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</si>
  <si>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</si>
  <si>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</si>
  <si>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</si>
  <si>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</si>
  <si>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</si>
  <si>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</si>
  <si>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</si>
  <si>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</si>
  <si>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</si>
  <si>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</si>
  <si>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</si>
  <si>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</si>
  <si>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</si>
  <si>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</si>
  <si>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</si>
  <si>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</si>
  <si>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</si>
  <si>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</si>
  <si>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</si>
  <si>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</si>
  <si>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</si>
  <si>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</si>
  <si>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</si>
  <si>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</si>
  <si>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</si>
  <si>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</si>
  <si>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</si>
  <si>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</si>
  <si>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</si>
  <si>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</si>
  <si>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</si>
  <si>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</si>
  <si>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</si>
  <si>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</si>
  <si>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</si>
  <si>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</si>
  <si>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</si>
  <si>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</si>
  <si>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</si>
  <si>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</si>
  <si>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</si>
  <si>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</si>
  <si>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</si>
  <si>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</si>
  <si>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</si>
  <si>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</si>
  <si>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</si>
  <si>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</si>
  <si>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</si>
  <si>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</si>
  <si>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</si>
  <si>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</si>
  <si>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</si>
  <si>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</si>
  <si>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</si>
  <si>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</si>
  <si>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</si>
  <si>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</si>
  <si>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</si>
  <si>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</si>
  <si>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</si>
  <si>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</si>
  <si>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</si>
  <si>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</si>
  <si>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</si>
  <si>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</si>
  <si>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</si>
  <si>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</si>
  <si>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</si>
  <si>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</si>
  <si>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</si>
  <si>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</si>
  <si>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</si>
  <si>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</si>
  <si>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</si>
  <si>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</si>
  <si>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</si>
  <si>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</si>
  <si>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</si>
  <si>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</si>
  <si>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</si>
  <si>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</si>
  <si>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</si>
  <si>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</si>
  <si>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</si>
  <si>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</si>
  <si>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</si>
  <si>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</si>
  <si>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</si>
  <si>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</si>
  <si>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</si>
  <si>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</si>
  <si>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</si>
  <si>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</si>
  <si>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</si>
  <si>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</si>
  <si>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</si>
  <si>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</si>
  <si>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</si>
  <si>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</si>
  <si>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</si>
  <si>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</si>
  <si>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</si>
  <si>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</si>
  <si>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</si>
  <si>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</si>
  <si>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</si>
  <si>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</si>
  <si>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</si>
  <si>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</si>
  <si>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</si>
  <si>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</si>
  <si>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</si>
  <si>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</si>
  <si>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</si>
  <si>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</si>
  <si>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</si>
  <si>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</si>
  <si>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</si>
  <si>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</si>
  <si>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</si>
  <si>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</si>
  <si>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</si>
  <si>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</si>
  <si>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</si>
  <si>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</si>
  <si>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</si>
  <si>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</si>
  <si>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</si>
  <si>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</si>
  <si>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</si>
  <si>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</si>
  <si>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</si>
  <si>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</si>
  <si>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</si>
  <si>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</si>
  <si>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</si>
  <si>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</si>
  <si>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</si>
  <si>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</si>
  <si>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</si>
  <si>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</si>
  <si>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</si>
  <si>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</si>
  <si>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</si>
  <si>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</si>
  <si>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</si>
  <si>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</si>
  <si>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</si>
  <si>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</si>
  <si>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</si>
  <si>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</si>
  <si>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</si>
  <si>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</si>
  <si>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</si>
  <si>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</si>
  <si>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</si>
  <si>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</si>
  <si>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</si>
  <si>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</si>
  <si>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</si>
  <si>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</si>
  <si>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</si>
  <si>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</si>
  <si>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</si>
  <si>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</si>
  <si>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</si>
  <si>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</si>
  <si>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</si>
  <si>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</si>
  <si>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</si>
  <si>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</si>
  <si>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</si>
  <si>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</si>
  <si>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</si>
  <si>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</si>
  <si>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</si>
  <si>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</si>
  <si>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</si>
  <si>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</si>
  <si>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</si>
  <si>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</si>
  <si>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</si>
  <si>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</si>
  <si>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</si>
  <si>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</si>
  <si>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</si>
  <si>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</si>
  <si>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</si>
  <si>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</si>
  <si>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</si>
  <si>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</si>
  <si>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</si>
  <si>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</si>
  <si>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</si>
  <si>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</si>
  <si>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</si>
  <si>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</si>
  <si>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</si>
  <si>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</si>
  <si>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</si>
  <si>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</si>
  <si>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</si>
  <si>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</si>
  <si>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</si>
  <si>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</si>
  <si>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</si>
  <si>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</si>
  <si>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</si>
  <si>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</si>
  <si>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</si>
  <si>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</si>
  <si>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</si>
  <si>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</si>
  <si>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</si>
  <si>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</si>
  <si>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</si>
  <si>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</si>
  <si>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</si>
  <si>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</si>
  <si>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</si>
  <si>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</si>
  <si>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</si>
  <si>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</si>
  <si>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</si>
  <si>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</si>
  <si>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</si>
  <si>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</si>
  <si>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</si>
  <si>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</si>
  <si>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</si>
  <si>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</si>
  <si>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</si>
  <si>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</si>
  <si>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</si>
  <si>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</si>
  <si>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</si>
  <si>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</si>
  <si>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</si>
  <si>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</si>
  <si>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</si>
  <si>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</si>
  <si>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</si>
  <si>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</si>
  <si>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</si>
  <si>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</si>
  <si>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</si>
  <si>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</si>
  <si>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</si>
  <si>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</si>
  <si>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</si>
  <si>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</si>
  <si>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</si>
  <si>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</si>
  <si>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</si>
  <si>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</si>
  <si>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</si>
  <si>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</si>
  <si>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</si>
  <si>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</si>
  <si>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</si>
  <si>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</si>
  <si>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</si>
  <si>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</si>
  <si>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</si>
  <si>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</si>
  <si>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</si>
  <si>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</si>
  <si>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</si>
  <si>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</si>
  <si>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</si>
  <si>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</si>
  <si>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</si>
  <si>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</si>
  <si>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</si>
  <si>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</si>
  <si>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</si>
  <si>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</si>
  <si>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</si>
  <si>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</si>
  <si>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</si>
  <si>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</si>
  <si>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</si>
  <si>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</si>
  <si>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</si>
  <si>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</si>
  <si>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</si>
  <si>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</si>
  <si>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</si>
  <si>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</si>
  <si>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</si>
  <si>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</si>
  <si>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</si>
  <si>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</si>
  <si>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</si>
  <si>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</si>
  <si>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</si>
  <si>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</si>
  <si>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</si>
  <si>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</si>
  <si>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</si>
  <si>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</si>
  <si>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</si>
  <si>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</si>
  <si>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</si>
  <si>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</si>
  <si>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</si>
  <si>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</si>
  <si>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</si>
  <si>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</si>
  <si>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</si>
  <si>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</si>
  <si>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</si>
  <si>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</si>
  <si>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</si>
  <si>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</si>
  <si>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</si>
  <si>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</si>
  <si>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</si>
  <si>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</si>
  <si>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</si>
  <si>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</si>
  <si>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</si>
  <si>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</si>
  <si>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</si>
  <si>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</si>
  <si>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</si>
  <si>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</si>
  <si>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</si>
  <si>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</si>
  <si>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</si>
  <si>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</si>
  <si>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</si>
  <si>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</si>
  <si>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</si>
  <si>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</si>
  <si>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</si>
  <si>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</si>
  <si>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</si>
  <si>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0345.HK</t>
  </si>
  <si>
    <t>维他奶</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</si>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</sst>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554</v>
      </c>
      <c r="E4" s="435" t="s">
        <v>540</v>
      </c>
      <c r="F4" s="436" t="s">
        <v>324</v>
      </c>
    </row>
    <row r="5" spans="1:9">
      <c r="B5" s="1" t="s">
        <v>349</v>
      </c>
      <c r="C5" s="46" t="s">
        <v>553</v>
      </c>
      <c r="E5" s="438" t="s">
        <v>542</v>
      </c>
      <c r="F5" s="437" t="s">
        <v>500</v>
      </c>
    </row>
    <row r="6" spans="1:9">
      <c r="B6" s="2" t="s">
        <v>53</v>
      </c>
      <c r="C6" s="45" t="s">
        <v>555</v>
      </c>
      <c r="D6" s="45"/>
      <c r="E6" s="45"/>
    </row>
    <row r="7" spans="1:9">
      <c r="B7" s="1" t="s">
        <v>351</v>
      </c>
      <c r="C7" s="45" t="s">
        <v>308</v>
      </c>
      <c r="D7" s="45"/>
      <c r="E7" s="45"/>
    </row>
    <row r="8" spans="1:9">
      <c r="B8" s="4" t="s">
        <v>350</v>
      </c>
      <c r="C8" s="47">
        <v>7.55</v>
      </c>
      <c r="E8" s="32"/>
    </row>
    <row r="9" spans="1:9">
      <c r="B9" s="4" t="s">
        <v>346</v>
      </c>
      <c r="C9" s="48">
        <v>1042185089</v>
      </c>
    </row>
    <row r="10" spans="1:9">
      <c r="B10" s="4" t="s">
        <v>352</v>
      </c>
      <c r="C10" s="33">
        <f>Thesis!C8*Common_Shares/1000000</f>
        <v>7868.49742195</v>
      </c>
      <c r="D10" s="1" t="s">
        <v>531</v>
      </c>
      <c r="E10" s="307">
        <f>Scenarios!F34</f>
        <v>4.258909089785054E-2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512212.08973629586</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9" t="s">
        <v>206</v>
      </c>
      <c r="C51" s="459"/>
      <c r="D51" s="459"/>
      <c r="E51" s="459"/>
      <c r="F51" s="459"/>
    </row>
    <row r="52" spans="2:6">
      <c r="B52" s="44" t="s">
        <v>204</v>
      </c>
      <c r="C52" s="289">
        <f>Normalized_FCF!C12</f>
        <v>-120358.90598869443</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4.1524617652702114E-2</v>
      </c>
      <c r="F62" s="260"/>
    </row>
    <row r="63" spans="2:6">
      <c r="B63" s="204" t="s">
        <v>332</v>
      </c>
      <c r="C63" s="89">
        <f>Normalized_FCF!C92</f>
        <v>3.5761589403973511E-2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9" t="s">
        <v>357</v>
      </c>
      <c r="C124" s="459"/>
      <c r="D124" s="459"/>
      <c r="E124" s="459"/>
      <c r="F124" s="459"/>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71" sqref="D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1326682.9635863579</v>
      </c>
      <c r="D89" s="216">
        <f>SUM(D86:D88)</f>
        <v>1.2729821003861608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3.5761589403973511E-2</v>
      </c>
      <c r="E92" s="238"/>
      <c r="G92" s="22">
        <f t="shared" ref="G92:Q92" si="38">IF(G$4="","",(G88*(1-dividend_tax_rate))/Market_Price)</f>
        <v>3.5761589403973511E-2</v>
      </c>
      <c r="H92" s="22">
        <f t="shared" si="38"/>
        <v>3.3377483443708618E-2</v>
      </c>
      <c r="I92" s="22">
        <f t="shared" si="38"/>
        <v>5.1258278145695377E-2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4.1524617652702114E-2</v>
      </c>
      <c r="D124" s="26"/>
      <c r="E124" s="235"/>
      <c r="F124" s="26"/>
      <c r="G124" s="74">
        <f t="shared" ref="G124" si="49">IF(G$4="","",G123/Market_Price)</f>
        <v>6.4431615442323981E-2</v>
      </c>
      <c r="H124" s="74">
        <f t="shared" ref="H124" si="50">IF(H$4="","",H123/Market_Price)</f>
        <v>4.9408416772875247E-2</v>
      </c>
      <c r="I124" s="74">
        <f t="shared" ref="I124" si="51">IF(I$4="","",I123/Market_Price)</f>
        <v>3.2421056565178227E-2</v>
      </c>
      <c r="J124" s="74">
        <f t="shared" ref="J124" si="52">IF(J$4="","",J123/Market_Price)</f>
        <v>2.6001660676568762E-2</v>
      </c>
      <c r="K124" s="74">
        <f t="shared" ref="K124" si="53">IF(K$4="","",K123/Market_Price)</f>
        <v>0.11270118708131097</v>
      </c>
      <c r="L124" s="74">
        <f t="shared" ref="L124" si="54">IF(L$4="","",L123/Market_Price)</f>
        <v>0.11031737744217004</v>
      </c>
      <c r="M124" s="74">
        <f t="shared" ref="M124" si="55">IF(M$4="","",M123/Market_Price)</f>
        <v>0.13217491780562329</v>
      </c>
      <c r="N124" s="74">
        <f t="shared" ref="N124" si="56">IF(N$4="","",N123/Market_Price)</f>
        <v>0.11598542276370581</v>
      </c>
      <c r="O124" s="74">
        <f t="shared" ref="O124" si="57">IF(O$4="","",O123/Market_Price)</f>
        <v>8.4519186362672472E-2</v>
      </c>
      <c r="P124" s="74">
        <f t="shared" ref="P124" si="58">IF(P$4="","",P123/Market_Price)</f>
        <v>0.10014097454005712</v>
      </c>
      <c r="Q124" s="74" t="str">
        <f t="shared" ref="Q124" si="59">IF(Q$4="","",Q123/Market_Price)</f>
        <v/>
      </c>
    </row>
    <row r="125" spans="1:17" ht="15.75" customHeight="1">
      <c r="B125" s="2" t="s">
        <v>306</v>
      </c>
      <c r="C125" s="151"/>
      <c r="G125" s="22">
        <f>IF(G$4="","",(Data!C47*$C$3)/(Market_Price*Common_Shares))</f>
        <v>3.0573562790897065E-2</v>
      </c>
      <c r="H125" s="22">
        <f>IF(H$4="","",(Data!D47*$C$3)/(Market_Price*Common_Shares))</f>
        <v>1.4969567082962753E-2</v>
      </c>
      <c r="I125" s="22">
        <f>IF(I$4="","",(Data!E47*$C$3)/(Market_Price*Common_Shares))</f>
        <v>2.6761144943962603E-3</v>
      </c>
      <c r="J125" s="22">
        <f>IF(J$4="","",(Data!F47*$C$3)/(Market_Price*Common_Shares))</f>
        <v>-2.0509760802591197E-2</v>
      </c>
      <c r="K125" s="22">
        <f>IF(K$4="","",(Data!G47*$C$3)/(Market_Price*Common_Shares))</f>
        <v>7.4920022005155074E-2</v>
      </c>
      <c r="L125" s="22">
        <f>IF(L$4="","",(Data!H47*$C$3)/(Market_Price*Common_Shares))</f>
        <v>7.2388789047711455E-2</v>
      </c>
      <c r="M125" s="22">
        <f>IF(M$4="","",(Data!I47*$C$3)/(Market_Price*Common_Shares))</f>
        <v>9.5023860326143877E-2</v>
      </c>
      <c r="N125" s="22">
        <f>IF(N$4="","",(Data!J47*$C$3)/(Market_Price*Common_Shares))</f>
        <v>8.159817123519926E-2</v>
      </c>
      <c r="O125" s="22">
        <f>IF(O$4="","",(Data!K47*$C$3)/(Market_Price*Common_Shares))</f>
        <v>8.3026525264857778E-2</v>
      </c>
      <c r="P125" s="22">
        <f>IF(P$4="","",(Data!L47*$C$3)/(Market_Price*Common_Shares))</f>
        <v>7.1836332871278899E-2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D21" sqref="D21:D2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E25" sqref="E2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7.55</v>
      </c>
      <c r="D34" t="str">
        <f>Market_currency</f>
        <v>HKD</v>
      </c>
      <c r="E34" s="97" t="s">
        <v>457</v>
      </c>
      <c r="F34" s="334">
        <f>RATE(Holding_Period,$C$33,-C34,$C$36)</f>
        <v>4.258909089785054E-2</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0.16507960845834996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7.55</v>
      </c>
    </row>
    <row r="9" spans="1:10">
      <c r="B9" s="355" t="s">
        <v>361</v>
      </c>
      <c r="C9" s="357">
        <f>Common_Shares</f>
        <v>1042185089</v>
      </c>
    </row>
    <row r="10" spans="1:10">
      <c r="B10" s="355" t="s">
        <v>367</v>
      </c>
      <c r="C10" s="361">
        <f>投资主题!C8*Common_Shares/1000000</f>
        <v>7868.49742195</v>
      </c>
      <c r="D10" s="347" t="s">
        <v>532</v>
      </c>
      <c r="E10" s="364">
        <f>Scenarios!F34</f>
        <v>4.258909089785054E-2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4.1524617652702114E-2</v>
      </c>
      <c r="F62" s="383"/>
    </row>
    <row r="63" spans="2:6">
      <c r="B63" s="381" t="s">
        <v>332</v>
      </c>
      <c r="C63" s="382">
        <f>Normalized_FCF!C92</f>
        <v>3.5761589403973511E-2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