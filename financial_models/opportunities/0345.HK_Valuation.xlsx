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15D73A41-07E1-454F-BFA5-B14CAD1655C7}" xr6:coauthVersionLast="47" xr6:coauthVersionMax="47" xr10:uidLastSave="{00000000-0000-0000-0000-000000000000}"/>
  <bookViews>
    <workbookView xWindow="0" yWindow="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<sst xmlns="http://schemas.openxmlformats.org/spreadsheetml/2006/main" count="768" uniqueCount="558">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</sst>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46038</v>
      </c>
    </row>
    <row r="4" spans="1:9" ht="14" x14ac:dyDescent="0.2">
      <c r="B4" s="421" t="s">
        <v>533</v>
      </c>
      <c r="C4" s="420" t="s">
        <v>549</v>
      </c>
      <c r="E4" s="430" t="s">
        <v>537</v>
      </c>
      <c r="F4" s="431" t="s">
        <v>324</v>
      </c>
    </row>
    <row r="5" spans="1:9" x14ac:dyDescent="0.15">
      <c r="B5" s="1" t="s">
        <v>349</v>
      </c>
      <c r="C5" s="46" t="s">
        <v>550</v>
      </c>
      <c r="E5" s="433" t="s">
        <v>539</v>
      </c>
      <c r="F5" s="432" t="s">
        <v>497</v>
      </c>
    </row>
    <row r="6" spans="1:9" x14ac:dyDescent="0.15">
      <c r="B6" s="2" t="s">
        <v>53</v>
      </c>
      <c r="C6" s="45" t="s">
        <v>551</v>
      </c>
      <c r="D6" s="45"/>
      <c r="E6" s="45"/>
    </row>
    <row r="7" spans="1:9" x14ac:dyDescent="0.15">
      <c r="B7" s="1" t="s">
        <v>351</v>
      </c>
      <c r="C7" s="45" t="s">
        <v>308</v>
      </c>
      <c r="D7" s="45"/>
      <c r="E7" s="45"/>
    </row>
    <row r="8" spans="1:9" x14ac:dyDescent="0.15">
      <c r="B8" s="4" t="s">
        <v>350</v>
      </c>
      <c r="C8" s="47">
        <v>7.02</v>
      </c>
      <c r="E8" s="32"/>
    </row>
    <row r="9" spans="1:9" x14ac:dyDescent="0.15">
      <c r="B9" s="4" t="s">
        <v>346</v>
      </c>
      <c r="C9" s="48">
        <v>1043529089</v>
      </c>
    </row>
    <row r="10" spans="1:9" x14ac:dyDescent="0.15">
      <c r="B10" s="4" t="s">
        <v>352</v>
      </c>
      <c r="C10" s="33">
        <f>Thesis!C8*Common_Shares/1000000</f>
        <v>7325.5742047799995</v>
      </c>
      <c r="D10" s="1" t="s">
        <v>528</v>
      </c>
      <c r="E10" s="303">
        <f>Scenarios!F34</f>
        <v>0.17795125135209935</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2-stage DCF Valuation Conclusion</v>
      </c>
      <c r="C14" s="43"/>
    </row>
    <row r="15" spans="1:9" x14ac:dyDescent="0.15">
      <c r="B15" s="1" t="s">
        <v>319</v>
      </c>
      <c r="C15" s="417" t="s">
        <v>546</v>
      </c>
      <c r="D15" s="4" t="s">
        <v>353</v>
      </c>
      <c r="E15" s="253" t="str">
        <f>IF(E17=C7,C7,E17&amp;"/"&amp;C7)</f>
        <v>HKD</v>
      </c>
    </row>
    <row r="16" spans="1:9" x14ac:dyDescent="0.15">
      <c r="B16" s="1" t="s">
        <v>320</v>
      </c>
      <c r="C16" s="417" t="s">
        <v>546</v>
      </c>
      <c r="D16" s="4" t="s">
        <v>354</v>
      </c>
      <c r="E16" s="416">
        <v>1</v>
      </c>
    </row>
    <row r="17" spans="1:6" x14ac:dyDescent="0.15">
      <c r="B17" s="1" t="s">
        <v>532</v>
      </c>
      <c r="C17" s="456">
        <v>0.02</v>
      </c>
      <c r="D17" s="4" t="s">
        <v>274</v>
      </c>
      <c r="E17" s="224" t="s">
        <v>308</v>
      </c>
    </row>
    <row r="18" spans="1:6" x14ac:dyDescent="0.15">
      <c r="B18" s="1" t="str">
        <f>"Expected Equity Value ("&amp;C7&amp;") :"</f>
        <v>Expected Equity Value (HKD) :</v>
      </c>
      <c r="C18" s="252">
        <f>C125</f>
        <v>10.967807599967429</v>
      </c>
      <c r="D18" s="2" t="s">
        <v>347</v>
      </c>
      <c r="E18" s="418">
        <v>6</v>
      </c>
    </row>
    <row r="19" spans="1:6" x14ac:dyDescent="0.15">
      <c r="B19" s="2" t="s">
        <v>275</v>
      </c>
      <c r="C19" s="31" t="str">
        <f>IF(Terminal_Growth&lt;2%, "Lower than Inflation rate", IF(Terminal_Growth&lt;5%, "Low growth", IF(Terminal_Growth&lt;8%, "Medium growth", "High growth")))</f>
        <v>Low growth</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5.3141281403824898</v>
      </c>
      <c r="D22" s="38" t="s">
        <v>406</v>
      </c>
      <c r="E22" s="79">
        <v>0.29465259038036606</v>
      </c>
    </row>
    <row r="23" spans="1:6" x14ac:dyDescent="0.15">
      <c r="B23" s="1" t="s">
        <v>313</v>
      </c>
      <c r="C23" s="256">
        <f>E141</f>
        <v>6.6339642861251669</v>
      </c>
      <c r="D23" s="38" t="s">
        <v>407</v>
      </c>
      <c r="E23" s="443">
        <v>0.20075184365903009</v>
      </c>
    </row>
    <row r="24" spans="1:6" x14ac:dyDescent="0.15">
      <c r="B24" s="1" t="s">
        <v>315</v>
      </c>
      <c r="C24" s="256">
        <f>E144</f>
        <v>8.2038797297466814</v>
      </c>
      <c r="D24" s="38" t="s">
        <v>408</v>
      </c>
      <c r="E24" s="443">
        <v>0.1174</v>
      </c>
    </row>
    <row r="25" spans="1:6" x14ac:dyDescent="0.15">
      <c r="B25" s="1" t="s">
        <v>314</v>
      </c>
      <c r="C25" s="256">
        <f>E145</f>
        <v>9.2614927891107719</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v>
      </c>
    </row>
    <row r="33" spans="2:6" ht="24.5" customHeight="1" x14ac:dyDescent="0.15">
      <c r="B33" s="461" t="s">
        <v>196</v>
      </c>
      <c r="C33" s="461"/>
      <c r="D33" s="461"/>
      <c r="E33" s="461"/>
      <c r="F33" s="461"/>
    </row>
    <row r="34" spans="2:6" x14ac:dyDescent="0.15">
      <c r="B34" s="44" t="s">
        <v>197</v>
      </c>
      <c r="C34" s="285">
        <f>Normalized_FCF!C8</f>
        <v>685770.70000000019</v>
      </c>
      <c r="D34" s="1" t="str">
        <f>Reporting_currency</f>
        <v>HKD</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HKD</v>
      </c>
    </row>
    <row r="38" spans="2:6" x14ac:dyDescent="0.15">
      <c r="B38" s="49" t="s">
        <v>200</v>
      </c>
      <c r="C38" s="285">
        <f>Normalized_FCF!C16</f>
        <v>0</v>
      </c>
      <c r="D38" s="1" t="str">
        <f>Reporting_currency</f>
        <v>HKD</v>
      </c>
    </row>
    <row r="40" spans="2:6" x14ac:dyDescent="0.15">
      <c r="B40" s="461" t="s">
        <v>201</v>
      </c>
      <c r="C40" s="461"/>
      <c r="D40" s="461"/>
      <c r="E40" s="461"/>
      <c r="F40" s="461"/>
    </row>
    <row r="41" spans="2:6" x14ac:dyDescent="0.15">
      <c r="B41" s="44" t="s">
        <v>202</v>
      </c>
      <c r="C41" s="285">
        <f>Normalized_FCF!C9</f>
        <v>0</v>
      </c>
      <c r="D41" s="1" t="str">
        <f>Reporting_currency</f>
        <v>HKD</v>
      </c>
    </row>
    <row r="43" spans="2:6" x14ac:dyDescent="0.15">
      <c r="B43" s="461" t="s">
        <v>205</v>
      </c>
      <c r="C43" s="461"/>
      <c r="D43" s="461"/>
      <c r="E43" s="461"/>
      <c r="F43" s="461"/>
    </row>
    <row r="44" spans="2:6" x14ac:dyDescent="0.15">
      <c r="B44" s="44" t="s">
        <v>267</v>
      </c>
      <c r="C44" s="286">
        <f>Normalized_FCF!C46</f>
        <v>2867.9977153189998</v>
      </c>
      <c r="D44" s="1" t="str">
        <f>Reporting_currency</f>
        <v>HKD</v>
      </c>
      <c r="E44" s="244"/>
      <c r="F44" s="244"/>
    </row>
    <row r="45" spans="2:6" x14ac:dyDescent="0.15">
      <c r="B45" s="44" t="s">
        <v>268</v>
      </c>
      <c r="C45" s="286">
        <f>Normalized_FCF!C45</f>
        <v>-33813.479999999996</v>
      </c>
      <c r="D45" s="1" t="str">
        <f>Reporting_currency</f>
        <v>HKD</v>
      </c>
      <c r="E45" s="244"/>
      <c r="F45" s="244"/>
    </row>
    <row r="46" spans="2:6" x14ac:dyDescent="0.15">
      <c r="B46" s="44" t="s">
        <v>203</v>
      </c>
      <c r="C46" s="285">
        <f>Normalized_FCF!C10</f>
        <v>-30945.482284680995</v>
      </c>
      <c r="D46" s="1" t="str">
        <f>Reporting_currency</f>
        <v>HKD</v>
      </c>
    </row>
    <row r="48" spans="2:6" x14ac:dyDescent="0.15">
      <c r="B48" s="1" t="s">
        <v>211</v>
      </c>
    </row>
    <row r="49" spans="2:6" x14ac:dyDescent="0.15">
      <c r="B49" s="44" t="s">
        <v>223</v>
      </c>
      <c r="C49" s="285">
        <f>Normalized_FCF!C13</f>
        <v>-34340.371018337282</v>
      </c>
      <c r="D49" s="1" t="str">
        <f>Reporting_currency</f>
        <v>HKD</v>
      </c>
    </row>
    <row r="51" spans="2:6" x14ac:dyDescent="0.15">
      <c r="B51" s="461" t="s">
        <v>206</v>
      </c>
      <c r="C51" s="461"/>
      <c r="D51" s="461"/>
      <c r="E51" s="461"/>
      <c r="F51" s="461"/>
    </row>
    <row r="52" spans="2:6" x14ac:dyDescent="0.15">
      <c r="B52" s="44" t="s">
        <v>204</v>
      </c>
      <c r="C52" s="285">
        <f>Normalized_FCF!C12</f>
        <v>-141442.24702650897</v>
      </c>
      <c r="D52" s="1" t="str">
        <f>Reporting_currency</f>
        <v>HKD</v>
      </c>
    </row>
    <row r="54" spans="2:6" x14ac:dyDescent="0.15">
      <c r="B54" s="461" t="s">
        <v>265</v>
      </c>
      <c r="C54" s="464"/>
      <c r="D54" s="464"/>
      <c r="E54" s="464"/>
      <c r="F54" s="464"/>
    </row>
    <row r="55" spans="2:6" x14ac:dyDescent="0.15">
      <c r="B55" s="44" t="s">
        <v>207</v>
      </c>
      <c r="C55" s="285">
        <f>Normalized_FCF!C17</f>
        <v>0</v>
      </c>
      <c r="D55" s="1" t="str">
        <f>Reporting_currency</f>
        <v>HKD</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506980</v>
      </c>
      <c r="D60" s="1" t="str">
        <f>Reporting_currency</f>
        <v>HKD</v>
      </c>
    </row>
    <row r="61" spans="2:6" x14ac:dyDescent="0.15">
      <c r="B61" s="44" t="s">
        <v>213</v>
      </c>
      <c r="C61" s="285">
        <f>Normalized_FCF!C19</f>
        <v>479042.59967047302</v>
      </c>
      <c r="D61" s="1" t="str">
        <f>Reporting_currency</f>
        <v>HKD</v>
      </c>
    </row>
    <row r="62" spans="2:6" x14ac:dyDescent="0.15">
      <c r="B62" s="204" t="s">
        <v>302</v>
      </c>
      <c r="C62" s="89">
        <f>Normalized_FCF!C124</f>
        <v>6.5393180968379747E-2</v>
      </c>
      <c r="F62" s="257"/>
    </row>
    <row r="63" spans="2:6" x14ac:dyDescent="0.15">
      <c r="B63" s="204" t="s">
        <v>332</v>
      </c>
      <c r="C63" s="89">
        <f>Normalized_FCF!C92</f>
        <v>2.0227920227920228E-2</v>
      </c>
      <c r="E63" s="44" t="s">
        <v>322</v>
      </c>
      <c r="F63" s="258">
        <f>Normalized_FCF!C90</f>
        <v>0.3093276688543603</v>
      </c>
    </row>
    <row r="65" spans="1:6" x14ac:dyDescent="0.15">
      <c r="B65" s="192" t="s">
        <v>325</v>
      </c>
      <c r="C65" s="264" t="s">
        <v>327</v>
      </c>
      <c r="D65" s="264" t="s">
        <v>328</v>
      </c>
    </row>
    <row r="66" spans="1:6" x14ac:dyDescent="0.15">
      <c r="B66" s="44" t="s">
        <v>326</v>
      </c>
      <c r="C66" s="89">
        <f>Normalized_FCF!E119</f>
        <v>0.3</v>
      </c>
      <c r="D66" s="89">
        <f>Normalized_FCF!G119</f>
        <v>0.18518613957341221</v>
      </c>
    </row>
    <row r="67" spans="1:6" x14ac:dyDescent="0.15">
      <c r="B67" s="229" t="str">
        <f>Normalized_FCF!B116</f>
        <v>Pre-tax Profit/Sales</v>
      </c>
      <c r="C67" s="263">
        <f>Normalized_FCF!E116</f>
        <v>0.15217050538089463</v>
      </c>
      <c r="D67" s="263">
        <f>Normalized_FCF!G116</f>
        <v>9.3932894828076763E-2</v>
      </c>
    </row>
    <row r="68" spans="1:6" x14ac:dyDescent="0.15">
      <c r="B68" s="229" t="str">
        <f>Normalized_FCF!B117</f>
        <v>Sales/Total Assets</v>
      </c>
      <c r="C68" s="265">
        <f>Normalized_FCF!E117</f>
        <v>1.1106245684847842</v>
      </c>
      <c r="D68" s="265">
        <f>Normalized_FCF!G117</f>
        <v>1.1106245684847842</v>
      </c>
    </row>
    <row r="69" spans="1:6" x14ac:dyDescent="0.15">
      <c r="B69" s="229" t="str">
        <f>Normalized_FCF!B118</f>
        <v>Total Assets/Equity</v>
      </c>
      <c r="C69" s="265">
        <f>Normalized_FCF!E118</f>
        <v>1.775102743966247</v>
      </c>
      <c r="D69" s="265">
        <f>Normalized_FCF!G118</f>
        <v>1.775102743966247</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-563558</v>
      </c>
      <c r="D78" s="1" t="str">
        <f>Reporting_currency</f>
        <v>HKD</v>
      </c>
    </row>
    <row r="79" spans="1:6" x14ac:dyDescent="0.15">
      <c r="A79" s="191"/>
      <c r="B79" s="44" t="s">
        <v>234</v>
      </c>
      <c r="C79" s="201">
        <f>C78*scaling_factor*Exchange_Rate/Common_Shares</f>
        <v>-0.54005011066826136</v>
      </c>
      <c r="D79" s="1" t="str">
        <f>Market_currency</f>
        <v>HKD</v>
      </c>
    </row>
    <row r="80" spans="1:6" x14ac:dyDescent="0.15">
      <c r="A80" s="191"/>
      <c r="B80" s="229" t="s">
        <v>309</v>
      </c>
      <c r="C80" s="337">
        <f>IF(BS!G31/BS!G27&gt;300%,"nm",BS!G31/BS!G27)</f>
        <v>0.17709797868255178</v>
      </c>
    </row>
    <row r="81" spans="1:6" x14ac:dyDescent="0.15">
      <c r="A81" s="191"/>
      <c r="B81" s="229" t="s">
        <v>311</v>
      </c>
      <c r="C81" s="338">
        <f>IF(BS!C50&gt;30,"nm",BS!C50)</f>
        <v>0.82178780749892033</v>
      </c>
    </row>
    <row r="82" spans="1:6" x14ac:dyDescent="0.15">
      <c r="A82" s="191"/>
    </row>
    <row r="83" spans="1:6" x14ac:dyDescent="0.15">
      <c r="A83" s="191"/>
      <c r="B83" s="1" t="s">
        <v>466</v>
      </c>
    </row>
    <row r="84" spans="1:6" x14ac:dyDescent="0.15">
      <c r="A84" s="191"/>
      <c r="B84" s="1" t="s">
        <v>224</v>
      </c>
      <c r="C84" s="285">
        <f>DCF!F5</f>
        <v>791294.38078016671</v>
      </c>
      <c r="D84" s="1" t="str">
        <f>Reporting_currency</f>
        <v>HKD</v>
      </c>
    </row>
    <row r="85" spans="1:6" x14ac:dyDescent="0.15">
      <c r="A85" s="191"/>
      <c r="B85" s="229" t="s">
        <v>222</v>
      </c>
      <c r="C85" s="291">
        <f>BS!C66</f>
        <v>1269294</v>
      </c>
      <c r="D85" s="339" t="str">
        <f>Reporting_currency</f>
        <v>HKD</v>
      </c>
    </row>
    <row r="86" spans="1:6" x14ac:dyDescent="0.15">
      <c r="A86" s="191"/>
      <c r="B86" s="44" t="s">
        <v>235</v>
      </c>
      <c r="C86" s="201">
        <f>C84*scaling_factor*Exchange_Rate/Common_Shares</f>
        <v>0.75828684520759604</v>
      </c>
      <c r="D86" s="1" t="str">
        <f>Market_currency</f>
        <v>HKD</v>
      </c>
    </row>
    <row r="87" spans="1:6" x14ac:dyDescent="0.15">
      <c r="A87" s="191"/>
    </row>
    <row r="88" spans="1:6" x14ac:dyDescent="0.15">
      <c r="A88" s="191"/>
      <c r="B88" s="1" t="s">
        <v>216</v>
      </c>
    </row>
    <row r="89" spans="1:6" x14ac:dyDescent="0.15">
      <c r="A89" s="191"/>
      <c r="B89" s="1" t="s">
        <v>217</v>
      </c>
      <c r="C89" s="285">
        <f>DCF!F6</f>
        <v>0</v>
      </c>
      <c r="D89" s="1" t="str">
        <f>Reporting_currency</f>
        <v>HKD</v>
      </c>
    </row>
    <row r="90" spans="1:6" x14ac:dyDescent="0.15">
      <c r="A90" s="191"/>
      <c r="B90" s="44" t="s">
        <v>236</v>
      </c>
      <c r="C90" s="201">
        <f>C89*scaling_factor*Exchange_Rate/Common_Shares</f>
        <v>0</v>
      </c>
      <c r="D90" s="1" t="str">
        <f>Market_currency</f>
        <v>HKD</v>
      </c>
    </row>
    <row r="91" spans="1:6" x14ac:dyDescent="0.15">
      <c r="A91" s="191"/>
    </row>
    <row r="92" spans="1:6" x14ac:dyDescent="0.15">
      <c r="A92" s="191"/>
      <c r="B92" s="44" t="s">
        <v>469</v>
      </c>
      <c r="C92" s="216">
        <f>DCF!F8</f>
        <v>0.21823673453933465</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-0.16650139591844174</v>
      </c>
      <c r="D111" s="1" t="str">
        <f>Market_currency</f>
        <v>HKD</v>
      </c>
    </row>
    <row r="112" spans="2:6" x14ac:dyDescent="0.15">
      <c r="B112" s="44" t="s">
        <v>323</v>
      </c>
      <c r="C112" s="216">
        <f>DCF!C11</f>
        <v>9.1371192679866926</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x14ac:dyDescent="0.15">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x14ac:dyDescent="0.15">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x14ac:dyDescent="0.15">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x14ac:dyDescent="0.15">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x14ac:dyDescent="0.15">
      <c r="B124" s="461" t="s">
        <v>357</v>
      </c>
      <c r="C124" s="461"/>
      <c r="D124" s="461"/>
      <c r="E124" s="461"/>
      <c r="F124" s="461"/>
    </row>
    <row r="125" spans="2:6" x14ac:dyDescent="0.15">
      <c r="B125" s="193" t="s">
        <v>218</v>
      </c>
      <c r="C125" s="197">
        <f>Scenarios!C36</f>
        <v>10.967807599967429</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0.14199999999999999</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0.25983892380763696</v>
      </c>
      <c r="D140" s="333">
        <f>Scenarios!D62</f>
        <v>5.054289216574853</v>
      </c>
      <c r="E140" s="334">
        <f>Scenarios!E62</f>
        <v>5.3141281403824898</v>
      </c>
      <c r="F140" s="335">
        <f>E22</f>
        <v>0.29465259038036606</v>
      </c>
    </row>
    <row r="141" spans="1:6" x14ac:dyDescent="0.15">
      <c r="B141" s="336" t="s">
        <v>313</v>
      </c>
      <c r="C141" s="333">
        <f>Scenarios!C63</f>
        <v>0.29876856051220907</v>
      </c>
      <c r="D141" s="333">
        <f>Scenarios!D63</f>
        <v>6.3351957256129579</v>
      </c>
      <c r="E141" s="334">
        <f>Scenarios!E63</f>
        <v>6.6339642861251669</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0.34258964388328816</v>
      </c>
      <c r="D144" s="333">
        <f>Scenarios!D66</f>
        <v>7.8612900858633932</v>
      </c>
      <c r="E144" s="334">
        <f>Scenarios!E66</f>
        <v>8.2038797297466814</v>
      </c>
      <c r="F144" s="335">
        <f>E24</f>
        <v>0.1174</v>
      </c>
    </row>
    <row r="145" spans="1:6" x14ac:dyDescent="0.15">
      <c r="B145" s="336" t="s">
        <v>314</v>
      </c>
      <c r="C145" s="333">
        <f>Scenarios!C67</f>
        <v>0.37095728225856828</v>
      </c>
      <c r="D145" s="333">
        <f>Scenarios!D67</f>
        <v>8.8905355068522027</v>
      </c>
      <c r="E145" s="334">
        <f>Scenarios!E67</f>
        <v>9.2614927891107719</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x14ac:dyDescent="0.15">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x14ac:dyDescent="0.15">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x14ac:dyDescent="0.15">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x14ac:dyDescent="0.15">
      <c r="B8" s="38" t="s">
        <v>46</v>
      </c>
      <c r="C8" s="287"/>
      <c r="D8" s="287"/>
      <c r="E8" s="287"/>
      <c r="F8" s="287"/>
      <c r="G8" s="287"/>
      <c r="H8" s="287"/>
      <c r="I8" s="287"/>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33116</v>
      </c>
      <c r="D12" s="287">
        <v>30028</v>
      </c>
      <c r="E12" s="287">
        <v>32547</v>
      </c>
      <c r="F12" s="287">
        <v>23071</v>
      </c>
      <c r="G12" s="287">
        <v>11770</v>
      </c>
      <c r="H12" s="287">
        <v>10932</v>
      </c>
      <c r="I12" s="287">
        <v>2086</v>
      </c>
      <c r="J12" s="287">
        <v>1700</v>
      </c>
      <c r="K12" s="287">
        <v>3730</v>
      </c>
      <c r="L12" s="287">
        <v>4044</v>
      </c>
      <c r="M12" s="287"/>
    </row>
    <row r="13" spans="2:13" x14ac:dyDescent="0.15">
      <c r="B13" s="38" t="s">
        <v>64</v>
      </c>
      <c r="C13" s="287"/>
      <c r="D13" s="287"/>
      <c r="E13" s="287"/>
      <c r="F13" s="287"/>
      <c r="G13" s="287"/>
      <c r="H13" s="287"/>
      <c r="I13" s="287"/>
      <c r="J13" s="287"/>
      <c r="K13" s="287"/>
      <c r="L13" s="287"/>
      <c r="M13" s="287"/>
    </row>
    <row r="14" spans="2:13" x14ac:dyDescent="0.15">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x14ac:dyDescent="0.15">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x14ac:dyDescent="0.15">
      <c r="B16" s="27" t="s">
        <v>41</v>
      </c>
      <c r="C16" s="287">
        <v>5894</v>
      </c>
      <c r="D16" s="287">
        <v>1421</v>
      </c>
      <c r="E16" s="287">
        <v>-24664</v>
      </c>
      <c r="F16" s="287">
        <v>-2631</v>
      </c>
      <c r="G16" s="287">
        <v>41162</v>
      </c>
      <c r="H16" s="287">
        <v>33713</v>
      </c>
      <c r="I16" s="287">
        <v>51788</v>
      </c>
      <c r="J16" s="287">
        <v>56281</v>
      </c>
      <c r="K16" s="287">
        <v>34922</v>
      </c>
      <c r="L16" s="287">
        <v>34628</v>
      </c>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ht="13" x14ac:dyDescent="0.15">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ht="13" x14ac:dyDescent="0.15">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x14ac:dyDescent="0.15">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x14ac:dyDescent="0.15">
      <c r="B27" s="16" t="s">
        <v>26</v>
      </c>
      <c r="C27" s="94" t="s">
        <v>547</v>
      </c>
    </row>
    <row r="28" spans="2:13" ht="13" x14ac:dyDescent="0.15">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ht="13" x14ac:dyDescent="0.15">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ht="13" x14ac:dyDescent="0.15">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ht="13" x14ac:dyDescent="0.15">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ht="13" x14ac:dyDescent="0.15">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x14ac:dyDescent="0.15">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ht="13" x14ac:dyDescent="0.15">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x14ac:dyDescent="0.15">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x14ac:dyDescent="0.15">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x14ac:dyDescent="0.15">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x14ac:dyDescent="0.15">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x14ac:dyDescent="0.15">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x14ac:dyDescent="0.15">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x14ac:dyDescent="0.15">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x14ac:dyDescent="0.15">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x14ac:dyDescent="0.15">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x14ac:dyDescent="0.15">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x14ac:dyDescent="0.15">
      <c r="B50" s="16" t="s">
        <v>65</v>
      </c>
    </row>
    <row r="51" spans="2:13" x14ac:dyDescent="0.15">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x14ac:dyDescent="0.15">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x14ac:dyDescent="0.15">
      <c r="B54" s="156" t="s">
        <v>139</v>
      </c>
    </row>
    <row r="55" spans="2:13" x14ac:dyDescent="0.15">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x14ac:dyDescent="0.15">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x14ac:dyDescent="0.15">
      <c r="B60" s="16" t="s">
        <v>48</v>
      </c>
      <c r="C60" s="9"/>
    </row>
    <row r="61" spans="2:13" ht="13" x14ac:dyDescent="0.15">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ht="13" x14ac:dyDescent="0.15">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ht="13" x14ac:dyDescent="0.15">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x14ac:dyDescent="0.15">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ht="13" x14ac:dyDescent="0.15">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x14ac:dyDescent="0.15">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x14ac:dyDescent="0.15">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x14ac:dyDescent="0.15">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ht="13" x14ac:dyDescent="0.15">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ht="13" x14ac:dyDescent="0.15">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ht="13" x14ac:dyDescent="0.15">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ht="13" x14ac:dyDescent="0.15">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v>823619</v>
      </c>
      <c r="D4" s="231">
        <v>0.6</v>
      </c>
      <c r="E4" s="24"/>
      <c r="F4" s="4" t="s">
        <v>74</v>
      </c>
      <c r="G4" s="18">
        <v>1268475</v>
      </c>
      <c r="H4" s="231">
        <v>0.9</v>
      </c>
    </row>
    <row r="5" spans="2:8" ht="15" customHeight="1" x14ac:dyDescent="0.15">
      <c r="B5" s="1" t="s">
        <v>31</v>
      </c>
      <c r="C5" s="18">
        <v>0</v>
      </c>
      <c r="D5" s="231">
        <v>0.6</v>
      </c>
      <c r="E5" s="24"/>
      <c r="F5" s="1" t="s">
        <v>27</v>
      </c>
      <c r="G5" s="18">
        <v>0</v>
      </c>
      <c r="H5" s="231">
        <v>0.7</v>
      </c>
    </row>
    <row r="6" spans="2:8" ht="15" customHeight="1" x14ac:dyDescent="0.15">
      <c r="B6" s="4" t="s">
        <v>8</v>
      </c>
      <c r="C6" s="18">
        <v>533268</v>
      </c>
      <c r="D6" s="231">
        <v>0.5</v>
      </c>
      <c r="E6" s="24"/>
      <c r="F6" s="4" t="s">
        <v>147</v>
      </c>
      <c r="G6" s="18">
        <v>0</v>
      </c>
      <c r="H6" s="231">
        <v>0.6</v>
      </c>
    </row>
    <row r="7" spans="2:8" ht="15" customHeight="1" x14ac:dyDescent="0.15">
      <c r="B7" s="1" t="s">
        <v>66</v>
      </c>
      <c r="C7" s="18">
        <v>0</v>
      </c>
      <c r="D7" s="231">
        <v>0.6</v>
      </c>
      <c r="E7" s="24"/>
      <c r="F7" s="4" t="s">
        <v>148</v>
      </c>
      <c r="G7" s="18">
        <v>0</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0</v>
      </c>
      <c r="D9" s="231">
        <v>0.1</v>
      </c>
      <c r="E9" s="24"/>
      <c r="F9" s="4" t="s">
        <v>150</v>
      </c>
      <c r="G9" s="18">
        <v>0</v>
      </c>
      <c r="H9" s="231">
        <v>0.6</v>
      </c>
    </row>
    <row r="10" spans="2:8" ht="15" customHeight="1" x14ac:dyDescent="0.15">
      <c r="B10" s="4" t="s">
        <v>9</v>
      </c>
      <c r="C10" s="18">
        <v>172</v>
      </c>
      <c r="D10" s="231">
        <v>0.9</v>
      </c>
      <c r="F10" s="1" t="s">
        <v>402</v>
      </c>
      <c r="G10" s="18">
        <v>0</v>
      </c>
      <c r="H10" s="231">
        <v>0.6</v>
      </c>
    </row>
    <row r="11" spans="2:8" ht="15" customHeight="1" x14ac:dyDescent="0.15">
      <c r="B11" s="4" t="s">
        <v>10</v>
      </c>
      <c r="C11" s="18">
        <v>0</v>
      </c>
      <c r="D11" s="231">
        <v>0.05</v>
      </c>
      <c r="H11" s="232"/>
    </row>
    <row r="12" spans="2:8" ht="15" customHeight="1" x14ac:dyDescent="0.15">
      <c r="B12" s="77" t="s">
        <v>69</v>
      </c>
      <c r="C12" s="78">
        <f>SUM(C4:C11)</f>
        <v>1357059</v>
      </c>
      <c r="D12" s="19">
        <f>C4*D4+C5*D5+C9*D9+C6*D6+C8*D8+C7*D7+C10*D10+C11*D11</f>
        <v>760960.2</v>
      </c>
      <c r="F12" s="77" t="s">
        <v>67</v>
      </c>
      <c r="G12" s="78">
        <f>SUM(G4:G10)</f>
        <v>1268475</v>
      </c>
      <c r="H12" s="19">
        <f>G4*H4+G5*H5+G6*H6+G7*H7+G8*H8+G9*H9+G10*H10</f>
        <v>1141627.5</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18178</v>
      </c>
      <c r="D15" s="231">
        <v>0.4</v>
      </c>
      <c r="F15" s="4" t="s">
        <v>75</v>
      </c>
      <c r="G15" s="18">
        <v>819</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0</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2778019+63</f>
        <v>2778082</v>
      </c>
      <c r="D19" s="231">
        <v>0.1</v>
      </c>
      <c r="F19" s="4" t="s">
        <v>152</v>
      </c>
      <c r="G19" s="18">
        <v>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9</v>
      </c>
      <c r="D21" s="231">
        <v>0.05</v>
      </c>
      <c r="F21" s="1" t="s">
        <v>150</v>
      </c>
      <c r="G21" s="18">
        <v>0</v>
      </c>
      <c r="H21" s="231">
        <v>0.1</v>
      </c>
    </row>
    <row r="22" spans="2:8" ht="15" customHeight="1" x14ac:dyDescent="0.15">
      <c r="B22" s="4" t="s">
        <v>18</v>
      </c>
      <c r="C22" s="18">
        <v>226078</v>
      </c>
      <c r="D22" s="231">
        <v>0.9</v>
      </c>
      <c r="H22" s="232"/>
    </row>
    <row r="23" spans="2:8" ht="15" customHeight="1" x14ac:dyDescent="0.15">
      <c r="B23" s="4" t="s">
        <v>19</v>
      </c>
      <c r="C23" s="18">
        <v>0</v>
      </c>
      <c r="D23" s="231">
        <v>0</v>
      </c>
      <c r="H23" s="232"/>
    </row>
    <row r="24" spans="2:8" ht="15" customHeight="1" x14ac:dyDescent="0.15">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x14ac:dyDescent="0.15">
      <c r="B26" s="16" t="s">
        <v>169</v>
      </c>
      <c r="C26" s="164" t="s">
        <v>113</v>
      </c>
      <c r="F26" s="166" t="s">
        <v>165</v>
      </c>
      <c r="G26" s="167" t="s">
        <v>113</v>
      </c>
      <c r="H26" s="168" t="s">
        <v>33</v>
      </c>
    </row>
    <row r="27" spans="2:8" ht="15" customHeight="1" x14ac:dyDescent="0.15">
      <c r="B27" s="4" t="s">
        <v>3</v>
      </c>
      <c r="C27" s="18">
        <v>228916</v>
      </c>
      <c r="F27" s="169" t="s">
        <v>28</v>
      </c>
      <c r="G27" s="82">
        <f>G32-G30</f>
        <v>3182182</v>
      </c>
      <c r="H27" s="170">
        <f>H32-G30</f>
        <v>-74725.049999999814</v>
      </c>
    </row>
    <row r="28" spans="2:8" ht="15" customHeight="1" x14ac:dyDescent="0.15">
      <c r="B28" s="4" t="s">
        <v>4</v>
      </c>
      <c r="C28" s="18">
        <v>109921</v>
      </c>
      <c r="F28" s="171" t="s">
        <v>209</v>
      </c>
      <c r="G28" s="287">
        <v>99024</v>
      </c>
      <c r="H28" s="170"/>
    </row>
    <row r="29" spans="2:8" ht="15" customHeight="1" x14ac:dyDescent="0.15">
      <c r="B29" s="4" t="s">
        <v>5</v>
      </c>
      <c r="C29" s="18">
        <v>0</v>
      </c>
      <c r="F29" s="172" t="s">
        <v>72</v>
      </c>
      <c r="G29" s="14">
        <f>G27-G28</f>
        <v>3083158</v>
      </c>
      <c r="H29" s="170">
        <f>H27-G28</f>
        <v>-173749.04999999981</v>
      </c>
    </row>
    <row r="30" spans="2:8" ht="15" customHeight="1" x14ac:dyDescent="0.15">
      <c r="B30" s="2" t="s">
        <v>6</v>
      </c>
      <c r="C30" s="18">
        <v>0</v>
      </c>
      <c r="F30" s="169" t="s">
        <v>21</v>
      </c>
      <c r="G30" s="82">
        <f>C33+C42</f>
        <v>2466518</v>
      </c>
      <c r="H30" s="170"/>
    </row>
    <row r="31" spans="2:8" ht="15" customHeight="1" x14ac:dyDescent="0.15">
      <c r="B31" s="77" t="s">
        <v>172</v>
      </c>
      <c r="C31" s="78">
        <f>SUM(C27:C30)</f>
        <v>338837</v>
      </c>
      <c r="F31" s="172" t="s">
        <v>73</v>
      </c>
      <c r="G31" s="173">
        <f>C31+C40</f>
        <v>563558</v>
      </c>
      <c r="H31" s="170"/>
    </row>
    <row r="32" spans="2:8" ht="15" customHeight="1" x14ac:dyDescent="0.15">
      <c r="B32" s="4" t="s">
        <v>7</v>
      </c>
      <c r="C32" s="20">
        <f>C33-C31</f>
        <v>1803148</v>
      </c>
      <c r="F32" s="174" t="s">
        <v>71</v>
      </c>
      <c r="G32" s="175">
        <f>G35+G40</f>
        <v>5648700</v>
      </c>
      <c r="H32" s="170">
        <f>H35+H40</f>
        <v>2391792.9500000002</v>
      </c>
    </row>
    <row r="33" spans="2:8" ht="15" customHeight="1" x14ac:dyDescent="0.15">
      <c r="B33" s="80" t="s">
        <v>2</v>
      </c>
      <c r="C33" s="81">
        <v>2141985</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4379406</v>
      </c>
      <c r="H35" s="182">
        <f>D12+D24</f>
        <v>1249510.25</v>
      </c>
    </row>
    <row r="36" spans="2:8" ht="15" customHeight="1" x14ac:dyDescent="0.15">
      <c r="B36" s="4" t="s">
        <v>11</v>
      </c>
      <c r="C36" s="18">
        <v>36482</v>
      </c>
      <c r="F36" s="172" t="s">
        <v>166</v>
      </c>
      <c r="G36" s="173">
        <f>C4+C15</f>
        <v>841797</v>
      </c>
      <c r="H36" s="177"/>
    </row>
    <row r="37" spans="2:8" ht="15" customHeight="1" x14ac:dyDescent="0.15">
      <c r="B37" s="4" t="s">
        <v>12</v>
      </c>
      <c r="C37" s="18">
        <v>188239</v>
      </c>
      <c r="F37" s="172" t="s">
        <v>167</v>
      </c>
      <c r="G37" s="173">
        <f>C6</f>
        <v>533268</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2778082</v>
      </c>
      <c r="H39" s="170">
        <f>C7*D7+C17*D17+C19*D19+C20*D20</f>
        <v>277808.2</v>
      </c>
    </row>
    <row r="40" spans="2:8" ht="15" customHeight="1" x14ac:dyDescent="0.15">
      <c r="B40" s="77" t="s">
        <v>173</v>
      </c>
      <c r="C40" s="78">
        <f>SUM(C36:C39)</f>
        <v>224721</v>
      </c>
      <c r="F40" s="181" t="s">
        <v>115</v>
      </c>
      <c r="G40" s="175">
        <f>G12+G24</f>
        <v>1269294</v>
      </c>
      <c r="H40" s="182">
        <f>H12+H24</f>
        <v>1142282.7</v>
      </c>
    </row>
    <row r="41" spans="2:8" ht="15" customHeight="1" x14ac:dyDescent="0.15">
      <c r="B41" s="4" t="s">
        <v>15</v>
      </c>
      <c r="C41" s="20">
        <f>C42-C40</f>
        <v>99812</v>
      </c>
      <c r="F41" s="172" t="s">
        <v>160</v>
      </c>
      <c r="G41" s="173">
        <f>C70</f>
        <v>1269294</v>
      </c>
      <c r="H41" s="182">
        <f>H40-H42</f>
        <v>1142282.7</v>
      </c>
    </row>
    <row r="42" spans="2:8" ht="15" customHeight="1" x14ac:dyDescent="0.15">
      <c r="B42" s="80" t="s">
        <v>20</v>
      </c>
      <c r="C42" s="81">
        <v>324533</v>
      </c>
      <c r="F42" s="183" t="s">
        <v>161</v>
      </c>
      <c r="G42" s="184">
        <f>C82</f>
        <v>0</v>
      </c>
      <c r="H42" s="185">
        <f>D82</f>
        <v>0</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3083158</v>
      </c>
      <c r="D46" s="73">
        <f>H29</f>
        <v>-173749.04999999981</v>
      </c>
      <c r="F46" s="223"/>
    </row>
    <row r="47" spans="2:8" ht="15" customHeight="1" x14ac:dyDescent="0.15">
      <c r="B47" s="1" t="str">
        <f>"Equity per share ("&amp;Market_currency&amp;")"</f>
        <v>Equity per share (HKD)</v>
      </c>
      <c r="C47" s="134">
        <f>C46*H1/Common_Shares*Exchange_Rate</f>
        <v>2.9545491663816952</v>
      </c>
      <c r="D47" s="134">
        <f>D46*H1/Common_Shares*Exchange_Rate</f>
        <v>-0.16650139591844174</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0.82178780749892033</v>
      </c>
      <c r="D50" s="92">
        <f>G31/Normalized_FCF!G8</f>
        <v>0.90544205445910431</v>
      </c>
      <c r="F50" s="223"/>
    </row>
    <row r="51" spans="2:8" ht="15" customHeight="1" x14ac:dyDescent="0.15">
      <c r="B51" s="1" t="s">
        <v>146</v>
      </c>
      <c r="C51" s="163"/>
      <c r="D51" s="89">
        <f>G29/G32</f>
        <v>0.5458172676899109</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0.15658988913108313</v>
      </c>
      <c r="D54" s="89">
        <f>Normalized_FCF!G8/G35</f>
        <v>0.14212247049029023</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0.49180908881689595</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3.2117718261600606E-2</v>
      </c>
      <c r="D62" s="89">
        <f>G28/G29</f>
        <v>3.2117718261600606E-2</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1269294</v>
      </c>
      <c r="D66" s="73">
        <f>C66-D75</f>
        <v>791294.38078016671</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1269294</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-483279.51088649995</v>
      </c>
      <c r="D73" s="285">
        <f>(Normalized_FCF!C26+Normalized_FCF!C35-Normalized_FCF!C89)/12</f>
        <v>-477999.61921983329</v>
      </c>
      <c r="F73" s="1" t="s">
        <v>278</v>
      </c>
    </row>
    <row r="74" spans="2:6" ht="15" customHeight="1" x14ac:dyDescent="0.15">
      <c r="B74" s="227" t="s">
        <v>259</v>
      </c>
      <c r="C74" s="228">
        <f>-$C$66/C73</f>
        <v>2.6264179867085211</v>
      </c>
      <c r="D74" s="228">
        <f>-$C$66/D73</f>
        <v>2.655428893587148</v>
      </c>
      <c r="F74" s="223" t="s">
        <v>257</v>
      </c>
    </row>
    <row r="75" spans="2:6" ht="15" customHeight="1" x14ac:dyDescent="0.15">
      <c r="B75" s="77" t="s">
        <v>258</v>
      </c>
      <c r="C75" s="261"/>
      <c r="D75" s="262">
        <f>MAX(-D73*D76,G5)</f>
        <v>477999.61921983329</v>
      </c>
      <c r="F75" s="223" t="s">
        <v>279</v>
      </c>
    </row>
    <row r="76" spans="2:6" ht="15" customHeight="1" x14ac:dyDescent="0.15">
      <c r="B76" s="229" t="s">
        <v>260</v>
      </c>
      <c r="C76" s="230"/>
      <c r="D76" s="248">
        <f>IF(D74&lt;=3,1,IF(D74&gt;18,6,2))</f>
        <v>1</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0</v>
      </c>
      <c r="D79" s="73">
        <f>G7*H7+G17*H17</f>
        <v>0</v>
      </c>
      <c r="F79" s="223"/>
    </row>
    <row r="80" spans="2:6" ht="15" customHeight="1" x14ac:dyDescent="0.15">
      <c r="B80" s="102" t="s">
        <v>152</v>
      </c>
      <c r="C80" s="19">
        <f>G19</f>
        <v>0</v>
      </c>
      <c r="D80" s="73">
        <f>G19*H19</f>
        <v>0</v>
      </c>
      <c r="F80" s="223"/>
    </row>
    <row r="81" spans="2:8" ht="15" customHeight="1" x14ac:dyDescent="0.15">
      <c r="B81" s="102" t="s">
        <v>150</v>
      </c>
      <c r="C81" s="19">
        <f>G9+G21</f>
        <v>0</v>
      </c>
      <c r="D81" s="73">
        <f>G9*H9+G21*H21</f>
        <v>0</v>
      </c>
      <c r="F81" s="223"/>
    </row>
    <row r="82" spans="2:8" ht="15" customHeight="1" x14ac:dyDescent="0.15">
      <c r="B82" s="77" t="s">
        <v>159</v>
      </c>
      <c r="C82" s="78">
        <f>SUM(C79:C81)</f>
        <v>0</v>
      </c>
      <c r="D82" s="78">
        <f>SUM(D79:D81)</f>
        <v>0</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-563558</v>
      </c>
      <c r="D86" s="201">
        <f>C86*scaling_factor/Common_Shares</f>
        <v>-0.54005011066826136</v>
      </c>
      <c r="E86" s="214" t="str">
        <f>Market_currency</f>
        <v>HKD</v>
      </c>
    </row>
    <row r="87" spans="2:8" ht="15" customHeight="1" x14ac:dyDescent="0.15">
      <c r="B87" s="212" t="s">
        <v>240</v>
      </c>
      <c r="C87" s="73">
        <f>DCF!F5*Exchange_Rate</f>
        <v>791294.38078016671</v>
      </c>
      <c r="D87" s="201">
        <f>C87*scaling_factor/Common_Shares</f>
        <v>0.75828684520759604</v>
      </c>
      <c r="E87" s="214" t="str">
        <f>Market_currency</f>
        <v>HKD</v>
      </c>
    </row>
    <row r="88" spans="2:8" ht="15" customHeight="1" x14ac:dyDescent="0.15">
      <c r="B88" s="213" t="s">
        <v>159</v>
      </c>
      <c r="C88" s="73">
        <f>DCF!F6*Exchange_Rate</f>
        <v>0</v>
      </c>
      <c r="D88" s="201">
        <f>C88*scaling_factor/Common_Shares</f>
        <v>0</v>
      </c>
      <c r="E88" s="214" t="str">
        <f>Market_currency</f>
        <v>HKD</v>
      </c>
    </row>
    <row r="89" spans="2:8" ht="15" customHeight="1" x14ac:dyDescent="0.15">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x14ac:dyDescent="0.15">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x14ac:dyDescent="0.15">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x14ac:dyDescent="0.15">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x14ac:dyDescent="0.15">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x14ac:dyDescent="0.15">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x14ac:dyDescent="0.15">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x14ac:dyDescent="0.15">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x14ac:dyDescent="0.15">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x14ac:dyDescent="0.15">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x14ac:dyDescent="0.15">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x14ac:dyDescent="0.15">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x14ac:dyDescent="0.15">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x14ac:dyDescent="0.2">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x14ac:dyDescent="0.15">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x14ac:dyDescent="0.15">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x14ac:dyDescent="0.2">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x14ac:dyDescent="0.15">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x14ac:dyDescent="0.15">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x14ac:dyDescent="0.15">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x14ac:dyDescent="0.15">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x14ac:dyDescent="0.15">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x14ac:dyDescent="0.15">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x14ac:dyDescent="0.15">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x14ac:dyDescent="0.15">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x14ac:dyDescent="0.15">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x14ac:dyDescent="0.15">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x14ac:dyDescent="0.15">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x14ac:dyDescent="0.15">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x14ac:dyDescent="0.15">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x14ac:dyDescent="0.15">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x14ac:dyDescent="0.15">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x14ac:dyDescent="0.15">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x14ac:dyDescent="0.15">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x14ac:dyDescent="0.15">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x14ac:dyDescent="0.15">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x14ac:dyDescent="0.15">
      <c r="A91" s="10"/>
      <c r="B91" s="2" t="s">
        <v>331</v>
      </c>
      <c r="C91" s="292">
        <v>0</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2.0227920227920228E-2</v>
      </c>
      <c r="E92" s="237"/>
      <c r="G92" s="22">
        <f t="shared" ref="G92:Q92" si="38">IF(G$4="","",(G88*(1-dividend_tax_rate))/Market_Price)</f>
        <v>2.0227920227920228E-2</v>
      </c>
      <c r="H92" s="22">
        <f t="shared" si="38"/>
        <v>1.0968660968660969E-2</v>
      </c>
      <c r="I92" s="22">
        <f t="shared" si="38"/>
        <v>3.8461538461538464E-3</v>
      </c>
      <c r="J92" s="22">
        <f t="shared" si="38"/>
        <v>4.672364672364672E-2</v>
      </c>
      <c r="K92" s="22">
        <f t="shared" si="38"/>
        <v>4.5868945868945868E-2</v>
      </c>
      <c r="L92" s="22">
        <f t="shared" si="38"/>
        <v>0</v>
      </c>
      <c r="M92" s="22">
        <f t="shared" si="38"/>
        <v>0</v>
      </c>
      <c r="N92" s="22">
        <f t="shared" si="38"/>
        <v>0</v>
      </c>
      <c r="O92" s="22">
        <f t="shared" si="38"/>
        <v>0</v>
      </c>
      <c r="P92" s="22">
        <f t="shared" si="38"/>
        <v>0</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x14ac:dyDescent="0.15">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x14ac:dyDescent="0.15">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x14ac:dyDescent="0.15">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x14ac:dyDescent="0.15">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x14ac:dyDescent="0.15">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x14ac:dyDescent="0.15">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x14ac:dyDescent="0.15">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x14ac:dyDescent="0.15">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x14ac:dyDescent="0.15">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x14ac:dyDescent="0.15">
      <c r="A124" s="10"/>
      <c r="B124" s="26" t="s">
        <v>226</v>
      </c>
      <c r="C124" s="74">
        <f>C19*Exchange_Rate*$C$3/(Market_Price*Common_Shares)</f>
        <v>6.5393180968379747E-2</v>
      </c>
      <c r="D124" s="26"/>
      <c r="E124" s="234"/>
      <c r="F124" s="26"/>
      <c r="G124" s="74">
        <f t="shared" ref="G124" si="49">IF(G$4="","",G123/Market_Price)</f>
        <v>6.9206861582153001E-2</v>
      </c>
      <c r="H124" s="74">
        <f t="shared" ref="H124" si="50">IF(H$4="","",H123/Market_Price)</f>
        <v>5.3070242568333315E-2</v>
      </c>
      <c r="I124" s="74">
        <f t="shared" ref="I124" si="51">IF(I$4="","",I123/Market_Price)</f>
        <v>3.48238913249342E-2</v>
      </c>
      <c r="J124" s="74">
        <f t="shared" ref="J124" si="52">IF(J$4="","",J123/Market_Price)</f>
        <v>2.7928732175902426E-2</v>
      </c>
      <c r="K124" s="74">
        <f t="shared" ref="K124" si="53">IF(K$4="","",K123/Market_Price)</f>
        <v>0.12105385533073471</v>
      </c>
      <c r="L124" s="74">
        <f t="shared" ref="L124" si="54">IF(L$4="","",L123/Market_Price)</f>
        <v>0.11849337345236388</v>
      </c>
      <c r="M124" s="74">
        <f t="shared" ref="M124" si="55">IF(M$4="","",M123/Market_Price)</f>
        <v>0.14197085046539823</v>
      </c>
      <c r="N124" s="74">
        <f t="shared" ref="N124" si="56">IF(N$4="","",N123/Market_Price)</f>
        <v>0.12458149688859892</v>
      </c>
      <c r="O124" s="74">
        <f t="shared" ref="O124" si="57">IF(O$4="","",O123/Market_Price)</f>
        <v>9.0783190697332136E-2</v>
      </c>
      <c r="P124" s="74">
        <f t="shared" ref="P124" si="58">IF(P$4="","",P123/Market_Price)</f>
        <v>0.10756276272320742</v>
      </c>
      <c r="Q124" s="74" t="str">
        <f t="shared" ref="Q124" si="59">IF(Q$4="","",Q123/Market_Price)</f>
        <v/>
      </c>
    </row>
    <row r="125" spans="1:17" ht="15.75" customHeight="1" x14ac:dyDescent="0.15">
      <c r="B125" s="2" t="s">
        <v>306</v>
      </c>
      <c r="C125" s="151"/>
      <c r="G125" s="22">
        <f>IF(G$4="","",(Data!C47*$C$3)/(Market_Price*Common_Shares))</f>
        <v>3.2839473504073895E-2</v>
      </c>
      <c r="H125" s="22">
        <f>IF(H$4="","",(Data!D47*$C$3)/(Market_Price*Common_Shares))</f>
        <v>1.6079012608068637E-2</v>
      </c>
      <c r="I125" s="22">
        <f>IF(I$4="","",(Data!E47*$C$3)/(Market_Price*Common_Shares))</f>
        <v>2.8744504405211167E-3</v>
      </c>
      <c r="J125" s="22">
        <f>IF(J$4="","",(Data!F47*$C$3)/(Market_Price*Common_Shares))</f>
        <v>-2.2029808925380555E-2</v>
      </c>
      <c r="K125" s="22">
        <f>IF(K$4="","",(Data!G47*$C$3)/(Market_Price*Common_Shares))</f>
        <v>8.0472599624387256E-2</v>
      </c>
      <c r="L125" s="22">
        <f>IF(L$4="","",(Data!H47*$C$3)/(Market_Price*Common_Shares))</f>
        <v>7.7753768384236283E-2</v>
      </c>
      <c r="M125" s="22">
        <f>IF(M$4="","",(Data!I47*$C$3)/(Market_Price*Common_Shares))</f>
        <v>0.10206640177259042</v>
      </c>
      <c r="N125" s="22">
        <f>IF(N$4="","",(Data!J47*$C$3)/(Market_Price*Common_Shares))</f>
        <v>8.7645689204957286E-2</v>
      </c>
      <c r="O125" s="22">
        <f>IF(O$4="","",(Data!K47*$C$3)/(Market_Price*Common_Shares))</f>
        <v>8.9179903409308189E-2</v>
      </c>
      <c r="P125" s="22">
        <f>IF(P$4="","",(Data!L47*$C$3)/(Market_Price*Common_Shares))</f>
        <v>7.7160367801772239E-2</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x14ac:dyDescent="0.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x14ac:dyDescent="0.15">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x14ac:dyDescent="0.15">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4" x14ac:dyDescent="0.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4" thickBot="1" x14ac:dyDescent="0.2">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4" thickTop="1" x14ac:dyDescent="0.15">
      <c r="B10" s="107" t="s">
        <v>427</v>
      </c>
      <c r="C10" s="283">
        <f>C8*Exchange_Rate</f>
        <v>9534849.7458065003</v>
      </c>
      <c r="D10" t="str">
        <f>Market_currency</f>
        <v>HKD</v>
      </c>
      <c r="H10" s="308" t="s">
        <v>397</v>
      </c>
      <c r="I10" s="306">
        <f>Normalized_FCF!C41</f>
        <v>0.216</v>
      </c>
      <c r="N10" s="304"/>
      <c r="O10" s="304"/>
    </row>
    <row r="11" spans="2:15" x14ac:dyDescent="0.15">
      <c r="B11" s="136" t="s">
        <v>425</v>
      </c>
      <c r="C11" s="108">
        <f>(C10*scaling_factor)/Common_Shares</f>
        <v>9.1371192679866926</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II</v>
      </c>
      <c r="H14" s="106" t="s">
        <v>413</v>
      </c>
    </row>
    <row r="15" spans="2:15" x14ac:dyDescent="0.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x14ac:dyDescent="0.15">
      <c r="B16" s="114" t="s">
        <v>422</v>
      </c>
      <c r="C16" s="147">
        <f>Scenarios!C46</f>
        <v>2.38559171477595E-2</v>
      </c>
      <c r="E16" s="308" t="s">
        <v>400</v>
      </c>
      <c r="F16" s="311">
        <f>Scenarios!C41</f>
        <v>2.38559171477595E-2</v>
      </c>
    </row>
    <row r="17" spans="1:21" ht="13.25" customHeight="1" x14ac:dyDescent="0.15">
      <c r="B17" s="308" t="s">
        <v>552</v>
      </c>
      <c r="C17" s="306">
        <f>Normalized_FCF!C77</f>
        <v>0.10437815343465008</v>
      </c>
      <c r="E17" s="308" t="s">
        <v>553</v>
      </c>
      <c r="F17" s="311">
        <f>Scenarios!C40</f>
        <v>0.15217050538089463</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x14ac:dyDescent="0.15">
      <c r="L19" s="275"/>
    </row>
    <row r="20" spans="1:21" ht="14" x14ac:dyDescent="0.2">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x14ac:dyDescent="0.15">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x14ac:dyDescent="0.15">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x14ac:dyDescent="0.15">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x14ac:dyDescent="0.15">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x14ac:dyDescent="0.15">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x14ac:dyDescent="0.15">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x14ac:dyDescent="0.15">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x14ac:dyDescent="0.15">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x14ac:dyDescent="0.15">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x14ac:dyDescent="0.15">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x14ac:dyDescent="0.15">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x14ac:dyDescent="0.15">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x14ac:dyDescent="0.15">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x14ac:dyDescent="0.15">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x14ac:dyDescent="0.15">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x14ac:dyDescent="0.15">
      <c r="G52" s="111"/>
      <c r="H52" s="111"/>
      <c r="I52" s="111"/>
      <c r="J52" s="468" t="s">
        <v>420</v>
      </c>
      <c r="K52" s="468"/>
      <c r="L52" s="317">
        <f>SUM(L21:L51)</f>
        <v>11173811.441417836</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11173811.441417836</v>
      </c>
      <c r="B55" s="123">
        <f>C94</f>
        <v>0</v>
      </c>
      <c r="C55" s="123">
        <f>C93</f>
        <v>0.01</v>
      </c>
      <c r="D55" s="123">
        <f>C92</f>
        <v>0.02</v>
      </c>
      <c r="E55" s="123">
        <f>C91</f>
        <v>0.03</v>
      </c>
      <c r="F55" s="123">
        <f>C90</f>
        <v>0.05</v>
      </c>
      <c r="G55" s="123"/>
      <c r="H55" s="123"/>
      <c r="I55" s="123"/>
      <c r="J55" s="123"/>
      <c r="K55" s="123"/>
      <c r="L55" s="123"/>
    </row>
    <row r="56" spans="1:21" x14ac:dyDescent="0.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x14ac:dyDescent="0.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x14ac:dyDescent="0.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x14ac:dyDescent="0.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x14ac:dyDescent="0.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x14ac:dyDescent="0.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x14ac:dyDescent="0.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x14ac:dyDescent="0.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x14ac:dyDescent="0.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x14ac:dyDescent="0.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x14ac:dyDescent="0.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x14ac:dyDescent="0.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x14ac:dyDescent="0.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x14ac:dyDescent="0.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v>
      </c>
      <c r="C72" s="124">
        <f>C55</f>
        <v>0.01</v>
      </c>
      <c r="D72" s="124">
        <f>D55</f>
        <v>0.02</v>
      </c>
      <c r="E72" s="124">
        <f>E55</f>
        <v>0.03</v>
      </c>
      <c r="F72" s="124">
        <f>F55</f>
        <v>0.05</v>
      </c>
      <c r="G72" s="124"/>
      <c r="H72" s="124"/>
      <c r="I72" s="124"/>
      <c r="J72" s="124"/>
      <c r="K72" s="124"/>
      <c r="L72" s="124"/>
    </row>
    <row r="73" spans="1:21" x14ac:dyDescent="0.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x14ac:dyDescent="0.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x14ac:dyDescent="0.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x14ac:dyDescent="0.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x14ac:dyDescent="0.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x14ac:dyDescent="0.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x14ac:dyDescent="0.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x14ac:dyDescent="0.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x14ac:dyDescent="0.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x14ac:dyDescent="0.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x14ac:dyDescent="0.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x14ac:dyDescent="0.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x14ac:dyDescent="0.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x14ac:dyDescent="0.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x14ac:dyDescent="0.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x14ac:dyDescent="0.15">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x14ac:dyDescent="0.15">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x14ac:dyDescent="0.15">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x14ac:dyDescent="0.15">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HKD</v>
      </c>
      <c r="D6" s="469"/>
      <c r="E6" s="469"/>
      <c r="F6" s="469"/>
      <c r="G6" s="469"/>
    </row>
    <row r="7" spans="2:7" ht="12.75" customHeight="1" x14ac:dyDescent="0.15">
      <c r="B7" s="97" t="s">
        <v>232</v>
      </c>
      <c r="C7" s="447">
        <f>Normalized_FCF!G8</f>
        <v>622412</v>
      </c>
      <c r="D7" s="469"/>
      <c r="E7" s="469"/>
      <c r="F7" s="469"/>
      <c r="G7" s="469"/>
    </row>
    <row r="8" spans="2:7" x14ac:dyDescent="0.15">
      <c r="B8" s="97" t="s">
        <v>63</v>
      </c>
      <c r="C8" s="447">
        <f>Normalized_FCF!G19</f>
        <v>506980</v>
      </c>
      <c r="D8" s="469"/>
      <c r="E8" s="469"/>
      <c r="F8" s="469"/>
      <c r="G8" s="469"/>
    </row>
    <row r="9" spans="2:7" x14ac:dyDescent="0.15">
      <c r="B9" s="97" t="s">
        <v>54</v>
      </c>
      <c r="C9" s="447">
        <f>Normalized_FCF!C19</f>
        <v>479042.59967047302</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-5.2954162529068594E-3</v>
      </c>
      <c r="D12" s="469"/>
      <c r="E12" s="469"/>
      <c r="F12" s="469"/>
      <c r="G12" s="469"/>
    </row>
    <row r="13" spans="2:7" x14ac:dyDescent="0.15">
      <c r="B13" s="135" t="s">
        <v>127</v>
      </c>
      <c r="C13" s="249">
        <f ca="1">(Normalized_FCF!G8/OFFSET(Normalized_FCF!G8, 0, $C$4))^(1/$C$4) - 1</f>
        <v>0.40480613772926821</v>
      </c>
      <c r="D13" s="469"/>
      <c r="E13" s="469"/>
      <c r="F13" s="469"/>
      <c r="G13" s="469"/>
    </row>
    <row r="14" spans="2:7" x14ac:dyDescent="0.15">
      <c r="B14" s="97" t="s">
        <v>63</v>
      </c>
      <c r="C14" s="249">
        <f ca="1">(Normalized_FCF!G19/OFFSET(Normalized_FCF!G19, 0, $C$4))^(1/$C$4) - 1</f>
        <v>0.40972995530096346</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15</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0.03</v>
      </c>
      <c r="D22" s="325">
        <f>C18</f>
        <v>15</v>
      </c>
      <c r="E22" s="326">
        <f>DCF!E91</f>
        <v>11.663863103676672</v>
      </c>
      <c r="F22" s="328">
        <f>1-F23-F24</f>
        <v>0.19999999999999996</v>
      </c>
      <c r="G22" s="328">
        <f>F22*(1-F$29-F$30)</f>
        <v>0.15999999999999995</v>
      </c>
    </row>
    <row r="23" spans="2:7" x14ac:dyDescent="0.15">
      <c r="B23" s="302" t="s">
        <v>437</v>
      </c>
      <c r="C23" s="324">
        <v>0.02</v>
      </c>
      <c r="D23" s="325">
        <f>C18</f>
        <v>15</v>
      </c>
      <c r="E23" s="326">
        <f>DCF!E92</f>
        <v>10.489520029229674</v>
      </c>
      <c r="F23" s="327">
        <v>0.55000000000000004</v>
      </c>
      <c r="G23" s="328">
        <f t="shared" ref="G23:G24" si="0">F23*(1-F$29-F$30)</f>
        <v>0.44</v>
      </c>
    </row>
    <row r="24" spans="2:7" x14ac:dyDescent="0.15">
      <c r="B24" s="302" t="s">
        <v>446</v>
      </c>
      <c r="C24" s="324">
        <v>0.01</v>
      </c>
      <c r="D24" s="325">
        <f>C18</f>
        <v>15</v>
      </c>
      <c r="E24" s="326">
        <f>DCF!E93</f>
        <v>9.4463269259103608</v>
      </c>
      <c r="F24" s="327">
        <v>0.25</v>
      </c>
      <c r="G24" s="328">
        <f t="shared" si="0"/>
        <v>0.19999999999999998</v>
      </c>
    </row>
    <row r="25" spans="2:7" x14ac:dyDescent="0.15">
      <c r="B25" s="141" t="s">
        <v>451</v>
      </c>
      <c r="C25" s="441">
        <f>E23*F23+E24*F24+E22*F22</f>
        <v>10.463590368289244</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0.05</v>
      </c>
      <c r="D29" s="325">
        <f>C18</f>
        <v>15</v>
      </c>
      <c r="E29" s="326">
        <f>DCF!E90</f>
        <v>14.472992427874733</v>
      </c>
      <c r="F29" s="327">
        <v>0.15</v>
      </c>
      <c r="G29" s="328">
        <f>F29</f>
        <v>0.15</v>
      </c>
    </row>
    <row r="30" spans="2:7" x14ac:dyDescent="0.15">
      <c r="B30" s="315" t="s">
        <v>447</v>
      </c>
      <c r="C30" s="324">
        <v>0</v>
      </c>
      <c r="D30" s="325">
        <f>C18</f>
        <v>15</v>
      </c>
      <c r="E30" s="326">
        <f>DCF!E94</f>
        <v>8.519728823096484</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0.14199999999999999</v>
      </c>
      <c r="D33" t="str">
        <f>Market_currency</f>
        <v>HKD</v>
      </c>
      <c r="E33" s="97" t="s">
        <v>455</v>
      </c>
      <c r="F33" s="219">
        <f>Holding_Period</f>
        <v>3</v>
      </c>
    </row>
    <row r="34" spans="2:7" x14ac:dyDescent="0.15">
      <c r="B34" s="97" t="s">
        <v>233</v>
      </c>
      <c r="C34" s="146">
        <f>Market_Price</f>
        <v>7.02</v>
      </c>
      <c r="D34" t="str">
        <f>Market_currency</f>
        <v>HKD</v>
      </c>
      <c r="E34" s="97" t="s">
        <v>454</v>
      </c>
      <c r="F34" s="330">
        <f>RATE(Holding_Period,$C$33,-C34,$C$36)</f>
        <v>0.17795125135209935</v>
      </c>
    </row>
    <row r="35" spans="2:7" x14ac:dyDescent="0.15">
      <c r="B35" s="97" t="s">
        <v>434</v>
      </c>
      <c r="C35" s="320">
        <f>DCF!C11</f>
        <v>9.1371192679866926</v>
      </c>
      <c r="D35" s="97" t="str">
        <f>Market_currency</f>
        <v>HKD</v>
      </c>
      <c r="E35" s="97" t="s">
        <v>454</v>
      </c>
      <c r="F35" s="330">
        <f>RATE(Holding_Period,$C$33,-C35,$C$36)</f>
        <v>7.7413410886670489E-2</v>
      </c>
    </row>
    <row r="36" spans="2:7" x14ac:dyDescent="0.15">
      <c r="B36" s="97" t="s">
        <v>435</v>
      </c>
      <c r="C36" s="321">
        <f>E22*G22+E23*G23+E24*G24+E30*G30+E29*G29</f>
        <v>10.967807599967429</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2-stage DCF</v>
      </c>
      <c r="E39" s="222" t="s">
        <v>251</v>
      </c>
    </row>
    <row r="40" spans="2:7" x14ac:dyDescent="0.15">
      <c r="B40" t="s">
        <v>553</v>
      </c>
      <c r="C40" s="126">
        <f>Normalized_FCF!E116</f>
        <v>0.15217050538089463</v>
      </c>
      <c r="E40" s="97" t="s">
        <v>401</v>
      </c>
    </row>
    <row r="41" spans="2:7" x14ac:dyDescent="0.15">
      <c r="B41" s="97" t="s">
        <v>400</v>
      </c>
      <c r="C41" s="455">
        <f>DCF!C16</f>
        <v>2.38559171477595E-2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15</v>
      </c>
      <c r="D45" s="137"/>
      <c r="E45" s="221" t="s">
        <v>307</v>
      </c>
    </row>
    <row r="46" spans="2:7" ht="14" x14ac:dyDescent="0.15">
      <c r="B46" s="114" t="s">
        <v>112</v>
      </c>
      <c r="C46" s="138">
        <v>2.38559171477595E-2</v>
      </c>
      <c r="D46" s="138"/>
      <c r="E46" s="221" t="s">
        <v>252</v>
      </c>
    </row>
    <row r="47" spans="2:7" x14ac:dyDescent="0.15">
      <c r="B47" s="97" t="s">
        <v>96</v>
      </c>
      <c r="C47" s="146">
        <f>DCF!I18</f>
        <v>10.925951123340464</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Low Growth </v>
      </c>
      <c r="E49" s="222" t="s">
        <v>254</v>
      </c>
    </row>
    <row r="50" spans="2:7" x14ac:dyDescent="0.15">
      <c r="B50" s="97" t="s">
        <v>250</v>
      </c>
      <c r="C50" s="218" t="str">
        <f>IF(C36&lt;C35,"Y","N")</f>
        <v>N</v>
      </c>
      <c r="E50" s="126"/>
    </row>
    <row r="51" spans="2:7" x14ac:dyDescent="0.15">
      <c r="B51" s="97" t="s">
        <v>246</v>
      </c>
      <c r="C51" s="218" t="str">
        <f>IF(C50="Y","N",IF(C46&gt;8%,"N","Y"))</f>
        <v>Y</v>
      </c>
      <c r="E51" s="221" t="s">
        <v>247</v>
      </c>
    </row>
    <row r="52" spans="2:7" x14ac:dyDescent="0.15">
      <c r="B52" s="97" t="s">
        <v>245</v>
      </c>
      <c r="C52" s="218" t="str">
        <f>IF(C46&gt;8%,"Y","N")</f>
        <v>N</v>
      </c>
      <c r="E52" s="221"/>
    </row>
    <row r="53" spans="2:7" x14ac:dyDescent="0.15">
      <c r="B53" s="97" t="s">
        <v>237</v>
      </c>
      <c r="C53" s="217" t="str">
        <f>IF(F53&gt;50%,"Y","N")</f>
        <v>N</v>
      </c>
      <c r="E53" s="126" t="s">
        <v>273</v>
      </c>
      <c r="F53" s="249">
        <f>BS!D89/C36</f>
        <v>1.9897936077943486E-2</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0.14199999999999999</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0.25983892380763696</v>
      </c>
      <c r="D62" s="119">
        <f>C36/(1+F62)^Holding_Period</f>
        <v>5.054289216574853</v>
      </c>
      <c r="E62" s="332">
        <f>C62+D62</f>
        <v>5.3141281403824898</v>
      </c>
      <c r="F62" s="301">
        <f>Thesis!E22</f>
        <v>0.29465259038036606</v>
      </c>
      <c r="G62" s="440">
        <f>(1-E62/C36)</f>
        <v>0.51547945275788098</v>
      </c>
    </row>
    <row r="63" spans="2:7" x14ac:dyDescent="0.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x14ac:dyDescent="0.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46038</v>
      </c>
    </row>
    <row r="4" spans="1:10" x14ac:dyDescent="0.2">
      <c r="B4" s="422" t="s">
        <v>534</v>
      </c>
      <c r="C4" s="423" t="str">
        <f>Thesis!C4</f>
        <v>维他奶</v>
      </c>
      <c r="D4" s="349"/>
      <c r="E4" s="434" t="s">
        <v>540</v>
      </c>
      <c r="F4" s="437" t="str">
        <f>Thesis!F4</f>
        <v>INT</v>
      </c>
    </row>
    <row r="5" spans="1:10" x14ac:dyDescent="0.2">
      <c r="B5" s="343" t="s">
        <v>364</v>
      </c>
      <c r="C5" s="355" t="str">
        <f>Thesis!C5</f>
        <v>0345.HK</v>
      </c>
      <c r="E5" s="438" t="s">
        <v>541</v>
      </c>
      <c r="F5" s="439" t="str">
        <f>Thesis!F5</f>
        <v>Y</v>
      </c>
    </row>
    <row r="6" spans="1:10" x14ac:dyDescent="0.2">
      <c r="B6" s="350" t="s">
        <v>336</v>
      </c>
      <c r="C6" s="352" t="str">
        <f>Thesis!C6</f>
        <v>CNS_01</v>
      </c>
      <c r="E6" s="354"/>
    </row>
    <row r="7" spans="1:10" x14ac:dyDescent="0.2">
      <c r="B7" s="343" t="s">
        <v>366</v>
      </c>
      <c r="C7" s="352" t="str">
        <f>Market_currency</f>
        <v>HKD</v>
      </c>
      <c r="D7" s="354"/>
      <c r="E7" s="354"/>
    </row>
    <row r="8" spans="1:10" x14ac:dyDescent="0.2">
      <c r="B8" s="351" t="s">
        <v>365</v>
      </c>
      <c r="C8" s="356">
        <f>Market_Price</f>
        <v>7.02</v>
      </c>
    </row>
    <row r="9" spans="1:10" x14ac:dyDescent="0.2">
      <c r="B9" s="351" t="s">
        <v>361</v>
      </c>
      <c r="C9" s="353">
        <f>Common_Shares</f>
        <v>1043529089</v>
      </c>
    </row>
    <row r="10" spans="1:10" x14ac:dyDescent="0.2">
      <c r="B10" s="351" t="s">
        <v>367</v>
      </c>
      <c r="C10" s="357">
        <f>投资主题!C8*Common_Shares/1000000</f>
        <v>7325.5742047799995</v>
      </c>
      <c r="D10" s="343" t="s">
        <v>529</v>
      </c>
      <c r="E10" s="360">
        <f>Scenarios!F34</f>
        <v>0.17795125135209935</v>
      </c>
    </row>
    <row r="11" spans="1:10" x14ac:dyDescent="0.2">
      <c r="D11" s="349"/>
      <c r="E11" s="349"/>
    </row>
    <row r="12" spans="1:10" ht="24.5" customHeight="1" x14ac:dyDescent="0.2">
      <c r="B12" s="471" t="s">
        <v>498</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HKD</v>
      </c>
    </row>
    <row r="16" spans="1:10" x14ac:dyDescent="0.2">
      <c r="B16" s="343" t="s">
        <v>338</v>
      </c>
      <c r="C16" s="358" t="str">
        <f>Thesis!C16</f>
        <v>N</v>
      </c>
      <c r="D16" s="351" t="s">
        <v>369</v>
      </c>
      <c r="E16" s="425">
        <f>Exchange_Rate</f>
        <v>1</v>
      </c>
    </row>
    <row r="17" spans="1:6" x14ac:dyDescent="0.2">
      <c r="B17" s="343" t="s">
        <v>535</v>
      </c>
      <c r="C17" s="424">
        <f>Terminal_Growth</f>
        <v>0.02</v>
      </c>
      <c r="D17" s="351" t="s">
        <v>339</v>
      </c>
      <c r="E17" s="344" t="str">
        <f>Reporting_currency</f>
        <v>HKD</v>
      </c>
    </row>
    <row r="18" spans="1:6" x14ac:dyDescent="0.2">
      <c r="B18" s="343" t="str">
        <f>"预期股权价值 ("&amp;C7&amp;") :"</f>
        <v>预期股权价值 (HKD) :</v>
      </c>
      <c r="C18" s="359">
        <f>C125</f>
        <v>10.967807599967429</v>
      </c>
      <c r="D18" s="350" t="s">
        <v>362</v>
      </c>
      <c r="E18" s="426">
        <f>Thesis!E18</f>
        <v>6</v>
      </c>
    </row>
    <row r="19" spans="1:6" x14ac:dyDescent="0.2">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5.3141281403824898</v>
      </c>
      <c r="D22" s="365" t="s">
        <v>440</v>
      </c>
      <c r="E22" s="366">
        <f>Thesis!E22</f>
        <v>0.29465259038036606</v>
      </c>
    </row>
    <row r="23" spans="1:6" x14ac:dyDescent="0.2">
      <c r="B23" s="343" t="s">
        <v>341</v>
      </c>
      <c r="C23" s="367">
        <f>E141</f>
        <v>6.6339642861251669</v>
      </c>
      <c r="D23" s="365" t="s">
        <v>441</v>
      </c>
      <c r="E23" s="368">
        <f>Thesis!E23</f>
        <v>0.20075184365903009</v>
      </c>
    </row>
    <row r="24" spans="1:6" x14ac:dyDescent="0.2">
      <c r="B24" s="343" t="s">
        <v>343</v>
      </c>
      <c r="C24" s="367">
        <f>E144</f>
        <v>8.2038797297466814</v>
      </c>
      <c r="D24" s="365" t="s">
        <v>443</v>
      </c>
      <c r="E24" s="368">
        <f>Thesis!E24</f>
        <v>0.1174</v>
      </c>
    </row>
    <row r="25" spans="1:6" x14ac:dyDescent="0.2">
      <c r="B25" s="343" t="s">
        <v>342</v>
      </c>
      <c r="C25" s="367">
        <f>E145</f>
        <v>9.2614927891107719</v>
      </c>
      <c r="D25" s="365" t="s">
        <v>442</v>
      </c>
      <c r="E25" s="368">
        <f>Thesis!E25</f>
        <v>7.2499999999999995E-2</v>
      </c>
    </row>
    <row r="27" spans="1:6" ht="16" x14ac:dyDescent="0.25">
      <c r="A27" s="345" t="s">
        <v>345</v>
      </c>
      <c r="B27" s="345"/>
      <c r="C27" s="345"/>
      <c r="D27" s="345"/>
      <c r="E27" s="345"/>
      <c r="F27" s="345"/>
    </row>
    <row r="29" spans="1:6" x14ac:dyDescent="0.2">
      <c r="B29" s="471" t="s">
        <v>499</v>
      </c>
      <c r="C29" s="471"/>
      <c r="D29" s="471"/>
      <c r="E29" s="471"/>
      <c r="F29" s="471"/>
    </row>
    <row r="30" spans="1:6" ht="24.5" customHeight="1" x14ac:dyDescent="0.2">
      <c r="B30" s="472" t="s">
        <v>500</v>
      </c>
      <c r="C30" s="472"/>
      <c r="D30" s="472"/>
      <c r="E30" s="472"/>
      <c r="F30" s="472"/>
    </row>
    <row r="32" spans="1:6" x14ac:dyDescent="0.2">
      <c r="B32" s="369" t="s">
        <v>371</v>
      </c>
      <c r="C32" s="370">
        <f>scaling_factor</f>
        <v>1000</v>
      </c>
    </row>
    <row r="33" spans="2:6" x14ac:dyDescent="0.2">
      <c r="B33" s="470" t="s">
        <v>501</v>
      </c>
      <c r="C33" s="470"/>
      <c r="D33" s="470"/>
      <c r="E33" s="470"/>
      <c r="F33" s="470"/>
    </row>
    <row r="34" spans="2:6" x14ac:dyDescent="0.2">
      <c r="B34" s="372" t="s">
        <v>197</v>
      </c>
      <c r="C34" s="373">
        <f>Normalized_FCF!C8</f>
        <v>685770.70000000019</v>
      </c>
      <c r="D34" s="343" t="str">
        <f>Reporting_currency</f>
        <v>HKD</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0</v>
      </c>
      <c r="D37" s="343" t="str">
        <f>Reporting_currency</f>
        <v>HKD</v>
      </c>
    </row>
    <row r="38" spans="2:6" x14ac:dyDescent="0.2">
      <c r="B38" s="375" t="s">
        <v>200</v>
      </c>
      <c r="C38" s="373">
        <f>Normalized_FCF!C16</f>
        <v>0</v>
      </c>
      <c r="D38" s="343" t="str">
        <f>Reporting_currency</f>
        <v>HKD</v>
      </c>
    </row>
    <row r="40" spans="2:6" x14ac:dyDescent="0.2">
      <c r="B40" s="470" t="s">
        <v>503</v>
      </c>
      <c r="C40" s="470"/>
      <c r="D40" s="470"/>
      <c r="E40" s="470"/>
      <c r="F40" s="470"/>
    </row>
    <row r="41" spans="2:6" x14ac:dyDescent="0.2">
      <c r="B41" s="372" t="s">
        <v>202</v>
      </c>
      <c r="C41" s="373">
        <f>Normalized_FCF!C9</f>
        <v>0</v>
      </c>
      <c r="D41" s="343" t="str">
        <f>Reporting_currency</f>
        <v>HKD</v>
      </c>
    </row>
    <row r="43" spans="2:6" x14ac:dyDescent="0.2">
      <c r="B43" s="470" t="s">
        <v>504</v>
      </c>
      <c r="C43" s="470"/>
      <c r="D43" s="470"/>
      <c r="E43" s="470"/>
      <c r="F43" s="470"/>
    </row>
    <row r="44" spans="2:6" x14ac:dyDescent="0.2">
      <c r="B44" s="372" t="s">
        <v>267</v>
      </c>
      <c r="C44" s="376">
        <f>Normalized_FCF!C46</f>
        <v>2867.9977153189998</v>
      </c>
      <c r="D44" s="343" t="str">
        <f>Reporting_currency</f>
        <v>HKD</v>
      </c>
      <c r="E44" s="371"/>
      <c r="F44" s="371"/>
    </row>
    <row r="45" spans="2:6" x14ac:dyDescent="0.2">
      <c r="B45" s="372" t="s">
        <v>268</v>
      </c>
      <c r="C45" s="376">
        <f>Normalized_FCF!C45</f>
        <v>-33813.479999999996</v>
      </c>
      <c r="D45" s="343" t="str">
        <f>Reporting_currency</f>
        <v>HKD</v>
      </c>
      <c r="E45" s="371"/>
      <c r="F45" s="371"/>
    </row>
    <row r="46" spans="2:6" x14ac:dyDescent="0.2">
      <c r="B46" s="372" t="s">
        <v>203</v>
      </c>
      <c r="C46" s="373">
        <f>Normalized_FCF!C10</f>
        <v>-30945.482284680995</v>
      </c>
      <c r="D46" s="343" t="str">
        <f>Reporting_currency</f>
        <v>HKD</v>
      </c>
    </row>
    <row r="48" spans="2:6" x14ac:dyDescent="0.2">
      <c r="B48" s="343" t="s">
        <v>505</v>
      </c>
    </row>
    <row r="49" spans="2:6" x14ac:dyDescent="0.2">
      <c r="B49" s="372" t="s">
        <v>223</v>
      </c>
      <c r="C49" s="373">
        <f>Normalized_FCF!C13</f>
        <v>-34340.371018337282</v>
      </c>
      <c r="D49" s="343" t="str">
        <f>Reporting_currency</f>
        <v>HKD</v>
      </c>
    </row>
    <row r="51" spans="2:6" x14ac:dyDescent="0.2">
      <c r="B51" s="470" t="s">
        <v>506</v>
      </c>
      <c r="C51" s="470"/>
      <c r="D51" s="470"/>
      <c r="E51" s="470"/>
      <c r="F51" s="470"/>
    </row>
    <row r="52" spans="2:6" x14ac:dyDescent="0.2">
      <c r="B52" s="372" t="s">
        <v>496</v>
      </c>
      <c r="C52" s="373">
        <f>Normalized_FCF!C12</f>
        <v>-141442.24702650897</v>
      </c>
      <c r="D52" s="343" t="str">
        <f>Reporting_currency</f>
        <v>HKD</v>
      </c>
    </row>
    <row r="54" spans="2:6" x14ac:dyDescent="0.2">
      <c r="B54" s="470" t="s">
        <v>507</v>
      </c>
      <c r="C54" s="473"/>
      <c r="D54" s="473"/>
      <c r="E54" s="473"/>
      <c r="F54" s="473"/>
    </row>
    <row r="55" spans="2:6" x14ac:dyDescent="0.2">
      <c r="B55" s="372" t="s">
        <v>207</v>
      </c>
      <c r="C55" s="373">
        <f>Normalized_FCF!C17</f>
        <v>0</v>
      </c>
      <c r="D55" s="343" t="str">
        <f>Reporting_currency</f>
        <v>HKD</v>
      </c>
    </row>
    <row r="57" spans="2:6" x14ac:dyDescent="0.2">
      <c r="B57" s="471" t="s">
        <v>508</v>
      </c>
      <c r="C57" s="471"/>
      <c r="D57" s="471"/>
      <c r="E57" s="471"/>
      <c r="F57" s="471"/>
    </row>
    <row r="58" spans="2:6" x14ac:dyDescent="0.2">
      <c r="B58" s="471" t="s">
        <v>509</v>
      </c>
      <c r="C58" s="471"/>
      <c r="D58" s="471"/>
      <c r="E58" s="471"/>
      <c r="F58" s="471"/>
    </row>
    <row r="60" spans="2:6" x14ac:dyDescent="0.2">
      <c r="B60" s="372" t="s">
        <v>372</v>
      </c>
      <c r="C60" s="373">
        <f>Normalized_FCF!G19</f>
        <v>506980</v>
      </c>
      <c r="D60" s="343" t="str">
        <f>Reporting_currency</f>
        <v>HKD</v>
      </c>
    </row>
    <row r="61" spans="2:6" x14ac:dyDescent="0.2">
      <c r="B61" s="372" t="s">
        <v>213</v>
      </c>
      <c r="C61" s="373">
        <f>Normalized_FCF!C19</f>
        <v>479042.59967047302</v>
      </c>
      <c r="D61" s="343" t="str">
        <f>Reporting_currency</f>
        <v>HKD</v>
      </c>
    </row>
    <row r="62" spans="2:6" x14ac:dyDescent="0.2">
      <c r="B62" s="377" t="s">
        <v>302</v>
      </c>
      <c r="C62" s="378">
        <f>Normalized_FCF!C124</f>
        <v>6.5393180968379747E-2</v>
      </c>
      <c r="F62" s="379"/>
    </row>
    <row r="63" spans="2:6" x14ac:dyDescent="0.2">
      <c r="B63" s="377" t="s">
        <v>332</v>
      </c>
      <c r="C63" s="378">
        <f>Normalized_FCF!C92</f>
        <v>2.0227920227920228E-2</v>
      </c>
      <c r="E63" s="372" t="s">
        <v>373</v>
      </c>
      <c r="F63" s="380">
        <f>Normalized_FCF!C90</f>
        <v>0.3093276688543603</v>
      </c>
    </row>
    <row r="65" spans="1:6" x14ac:dyDescent="0.2">
      <c r="B65" s="369" t="s">
        <v>376</v>
      </c>
      <c r="C65" s="381" t="s">
        <v>327</v>
      </c>
      <c r="D65" s="381" t="s">
        <v>374</v>
      </c>
    </row>
    <row r="66" spans="1:6" x14ac:dyDescent="0.2">
      <c r="B66" s="372" t="s">
        <v>326</v>
      </c>
      <c r="C66" s="378">
        <f>Normalized_FCF!E119</f>
        <v>0.3</v>
      </c>
      <c r="D66" s="378">
        <f>Normalized_FCF!G119</f>
        <v>0.18518613957341221</v>
      </c>
    </row>
    <row r="67" spans="1:6" x14ac:dyDescent="0.2">
      <c r="B67" s="382" t="str">
        <f>Normalized_FCF!B116</f>
        <v>Pre-tax Profit/Sales</v>
      </c>
      <c r="C67" s="383">
        <f>Normalized_FCF!E116</f>
        <v>0.15217050538089463</v>
      </c>
      <c r="D67" s="383">
        <f>Normalized_FCF!G116</f>
        <v>9.3932894828076763E-2</v>
      </c>
    </row>
    <row r="68" spans="1:6" x14ac:dyDescent="0.2">
      <c r="B68" s="382" t="str">
        <f>Normalized_FCF!B117</f>
        <v>Sales/Total Assets</v>
      </c>
      <c r="C68" s="384">
        <f>Normalized_FCF!E117</f>
        <v>1.1106245684847842</v>
      </c>
      <c r="D68" s="384">
        <f>Normalized_FCF!G117</f>
        <v>1.1106245684847842</v>
      </c>
    </row>
    <row r="69" spans="1:6" x14ac:dyDescent="0.2">
      <c r="B69" s="382" t="str">
        <f>Normalized_FCF!B118</f>
        <v>Total Assets/Equity</v>
      </c>
      <c r="C69" s="384">
        <f>Normalized_FCF!E118</f>
        <v>1.775102743966247</v>
      </c>
      <c r="D69" s="384">
        <f>Normalized_FCF!G118</f>
        <v>1.775102743966247</v>
      </c>
    </row>
    <row r="71" spans="1:6" ht="16" x14ac:dyDescent="0.25">
      <c r="A71" s="345" t="s">
        <v>476</v>
      </c>
      <c r="B71" s="345"/>
      <c r="C71" s="345"/>
      <c r="D71" s="345"/>
      <c r="E71" s="345"/>
      <c r="F71" s="345"/>
    </row>
    <row r="72" spans="1:6" x14ac:dyDescent="0.2">
      <c r="A72" s="385"/>
    </row>
    <row r="73" spans="1:6" x14ac:dyDescent="0.2">
      <c r="A73" s="386"/>
      <c r="B73" s="471" t="s">
        <v>510</v>
      </c>
      <c r="C73" s="471"/>
      <c r="D73" s="471"/>
      <c r="E73" s="471"/>
      <c r="F73" s="471"/>
    </row>
    <row r="74" spans="1:6" x14ac:dyDescent="0.2">
      <c r="B74" s="472" t="s">
        <v>479</v>
      </c>
      <c r="C74" s="472"/>
      <c r="D74" s="472"/>
      <c r="E74" s="472"/>
      <c r="F74" s="472"/>
    </row>
    <row r="76" spans="1:6" x14ac:dyDescent="0.2">
      <c r="B76" s="369" t="s">
        <v>371</v>
      </c>
    </row>
    <row r="77" spans="1:6" x14ac:dyDescent="0.2">
      <c r="B77" s="471" t="s">
        <v>511</v>
      </c>
      <c r="C77" s="471"/>
      <c r="D77" s="471"/>
      <c r="E77" s="471"/>
      <c r="F77" s="471"/>
    </row>
    <row r="78" spans="1:6" x14ac:dyDescent="0.2">
      <c r="B78" s="343" t="s">
        <v>215</v>
      </c>
      <c r="C78" s="373">
        <f>DCF!F4</f>
        <v>-563558</v>
      </c>
      <c r="D78" s="343" t="str">
        <f>Reporting_currency</f>
        <v>HKD</v>
      </c>
    </row>
    <row r="79" spans="1:6" x14ac:dyDescent="0.2">
      <c r="B79" s="372" t="s">
        <v>234</v>
      </c>
      <c r="C79" s="387">
        <f>C78*scaling_factor*Exchange_Rate/Common_Shares</f>
        <v>-0.54005011066826136</v>
      </c>
      <c r="D79" s="343" t="str">
        <f>Market_currency</f>
        <v>HKD</v>
      </c>
    </row>
    <row r="80" spans="1:6" x14ac:dyDescent="0.2">
      <c r="B80" s="382" t="s">
        <v>309</v>
      </c>
      <c r="C80" s="388">
        <f>IF(BS!G31/BS!G27&gt;300%,"nm",BS!G31/BS!G27)</f>
        <v>0.17709797868255178</v>
      </c>
    </row>
    <row r="81" spans="1:6" x14ac:dyDescent="0.2">
      <c r="B81" s="382" t="s">
        <v>311</v>
      </c>
      <c r="C81" s="389">
        <f>IF(BS!C50&gt;30,"nm",BS!C50)</f>
        <v>0.82178780749892033</v>
      </c>
    </row>
    <row r="83" spans="1:6" x14ac:dyDescent="0.2">
      <c r="B83" s="343" t="s">
        <v>512</v>
      </c>
    </row>
    <row r="84" spans="1:6" x14ac:dyDescent="0.2">
      <c r="B84" s="343" t="s">
        <v>224</v>
      </c>
      <c r="C84" s="373">
        <f>DCF!F5</f>
        <v>791294.38078016671</v>
      </c>
      <c r="D84" s="343" t="str">
        <f>Reporting_currency</f>
        <v>HKD</v>
      </c>
    </row>
    <row r="85" spans="1:6" x14ac:dyDescent="0.2">
      <c r="B85" s="382" t="s">
        <v>481</v>
      </c>
      <c r="C85" s="390">
        <f>BS!C66</f>
        <v>1269294</v>
      </c>
      <c r="D85" s="391" t="str">
        <f>Reporting_currency</f>
        <v>HKD</v>
      </c>
    </row>
    <row r="86" spans="1:6" x14ac:dyDescent="0.2">
      <c r="B86" s="372" t="s">
        <v>235</v>
      </c>
      <c r="C86" s="387">
        <f>C84*scaling_factor*Exchange_Rate/Common_Shares</f>
        <v>0.75828684520759604</v>
      </c>
      <c r="D86" s="343" t="str">
        <f>Market_currency</f>
        <v>HKD</v>
      </c>
    </row>
    <row r="88" spans="1:6" x14ac:dyDescent="0.2">
      <c r="B88" s="343" t="s">
        <v>513</v>
      </c>
    </row>
    <row r="89" spans="1:6" x14ac:dyDescent="0.2">
      <c r="B89" s="343" t="s">
        <v>217</v>
      </c>
      <c r="C89" s="373">
        <f>DCF!F6</f>
        <v>0</v>
      </c>
      <c r="D89" s="343" t="str">
        <f>Reporting_currency</f>
        <v>HKD</v>
      </c>
    </row>
    <row r="90" spans="1:6" x14ac:dyDescent="0.2">
      <c r="B90" s="372" t="s">
        <v>236</v>
      </c>
      <c r="C90" s="387">
        <f>C89*scaling_factor*Exchange_Rate/Common_Shares</f>
        <v>0</v>
      </c>
      <c r="D90" s="343" t="str">
        <f>Market_currency</f>
        <v>HKD</v>
      </c>
    </row>
    <row r="92" spans="1:6" x14ac:dyDescent="0.2">
      <c r="B92" s="372" t="s">
        <v>480</v>
      </c>
      <c r="C92" s="387">
        <f>DCF!F8</f>
        <v>0.21823673453933465</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514</v>
      </c>
      <c r="C96" s="471"/>
      <c r="D96" s="471"/>
      <c r="E96" s="471"/>
      <c r="F96" s="471"/>
    </row>
    <row r="97" spans="1:6" x14ac:dyDescent="0.2">
      <c r="A97" s="385"/>
      <c r="B97" s="472" t="s">
        <v>515</v>
      </c>
      <c r="C97" s="472"/>
      <c r="D97" s="472"/>
      <c r="E97" s="472"/>
      <c r="F97" s="472"/>
    </row>
    <row r="98" spans="1:6" x14ac:dyDescent="0.2">
      <c r="A98" s="385"/>
      <c r="B98" s="472" t="s">
        <v>516</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1" t="s">
        <v>517</v>
      </c>
      <c r="C107" s="471"/>
      <c r="D107" s="471"/>
      <c r="E107" s="471"/>
      <c r="F107" s="471"/>
    </row>
    <row r="108" spans="1:6" x14ac:dyDescent="0.2">
      <c r="A108" s="385"/>
      <c r="B108" s="471" t="s">
        <v>536</v>
      </c>
      <c r="C108" s="471"/>
      <c r="D108" s="471"/>
      <c r="E108" s="471"/>
      <c r="F108" s="471"/>
    </row>
    <row r="109" spans="1:6" x14ac:dyDescent="0.2">
      <c r="A109" s="385"/>
    </row>
    <row r="110" spans="1:6" x14ac:dyDescent="0.2">
      <c r="A110" s="385"/>
      <c r="B110" s="369" t="s">
        <v>489</v>
      </c>
    </row>
    <row r="111" spans="1:6" x14ac:dyDescent="0.2">
      <c r="A111" s="385"/>
      <c r="B111" s="375" t="s">
        <v>486</v>
      </c>
      <c r="C111" s="394">
        <f>BS!D47</f>
        <v>-0.16650139591844174</v>
      </c>
      <c r="D111" s="343" t="str">
        <f>Market_currency</f>
        <v>HKD</v>
      </c>
    </row>
    <row r="112" spans="1:6" x14ac:dyDescent="0.2">
      <c r="A112" s="385"/>
      <c r="B112" s="372" t="s">
        <v>377</v>
      </c>
      <c r="C112" s="394">
        <f>DCF!C11</f>
        <v>9.1371192679866926</v>
      </c>
      <c r="D112" s="343" t="str">
        <f>Market_currency</f>
        <v>HKD</v>
      </c>
    </row>
    <row r="113" spans="1:6" x14ac:dyDescent="0.2">
      <c r="A113" s="385"/>
    </row>
    <row r="114" spans="1:6" x14ac:dyDescent="0.2">
      <c r="A114" s="385"/>
      <c r="B114" s="471" t="s">
        <v>518</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0.05</v>
      </c>
      <c r="D118" s="397">
        <f>DCF!D90</f>
        <v>15</v>
      </c>
      <c r="E118" s="398" t="str">
        <f>ROUND(DCF!E90,2)&amp;" "&amp;Market_currency</f>
        <v>14.47 HKD</v>
      </c>
      <c r="F118" s="399">
        <f>DCF!F90</f>
        <v>0.15</v>
      </c>
    </row>
    <row r="119" spans="1:6" x14ac:dyDescent="0.2">
      <c r="A119" s="385"/>
      <c r="B119" s="400" t="str">
        <f>DCF!B91</f>
        <v>Optimistic</v>
      </c>
      <c r="C119" s="401">
        <f>DCF!C91</f>
        <v>0.03</v>
      </c>
      <c r="D119" s="402">
        <f>DCF!D91</f>
        <v>15</v>
      </c>
      <c r="E119" s="398" t="str">
        <f>ROUND(DCF!E91,2)&amp;" "&amp;Market_currency</f>
        <v>11.66 HKD</v>
      </c>
      <c r="F119" s="403">
        <f>DCF!F91</f>
        <v>0.15999999999999995</v>
      </c>
    </row>
    <row r="120" spans="1:6" x14ac:dyDescent="0.2">
      <c r="B120" s="400" t="str">
        <f>DCF!B92</f>
        <v>Base</v>
      </c>
      <c r="C120" s="401">
        <f>DCF!C92</f>
        <v>0.02</v>
      </c>
      <c r="D120" s="402">
        <f>DCF!D92</f>
        <v>15</v>
      </c>
      <c r="E120" s="398" t="str">
        <f>ROUND(DCF!E92,2)&amp;" "&amp;Market_currency</f>
        <v>10.49 HKD</v>
      </c>
      <c r="F120" s="403">
        <f>DCF!F92</f>
        <v>0.44</v>
      </c>
    </row>
    <row r="121" spans="1:6" x14ac:dyDescent="0.2">
      <c r="B121" s="400" t="str">
        <f>DCF!B93</f>
        <v>Pessimistic</v>
      </c>
      <c r="C121" s="401">
        <f>DCF!C93</f>
        <v>0.01</v>
      </c>
      <c r="D121" s="402">
        <f>DCF!D93</f>
        <v>15</v>
      </c>
      <c r="E121" s="398" t="str">
        <f>ROUND(DCF!E93,2)&amp;" "&amp;Market_currency</f>
        <v>9.45 HKD</v>
      </c>
      <c r="F121" s="403">
        <f>DCF!F93</f>
        <v>0.19999999999999998</v>
      </c>
    </row>
    <row r="122" spans="1:6" x14ac:dyDescent="0.2">
      <c r="B122" s="400" t="str">
        <f>DCF!B94</f>
        <v>Devil's advocate</v>
      </c>
      <c r="C122" s="401">
        <f>DCF!C94</f>
        <v>0</v>
      </c>
      <c r="D122" s="402">
        <f>DCF!D94</f>
        <v>15</v>
      </c>
      <c r="E122" s="398" t="str">
        <f>ROUND(DCF!E94,2)&amp;" "&amp;Market_currency</f>
        <v>8.52 HKD</v>
      </c>
      <c r="F122" s="403">
        <f>DCF!F94</f>
        <v>0.05</v>
      </c>
    </row>
    <row r="124" spans="1:6" x14ac:dyDescent="0.2">
      <c r="B124" s="470" t="s">
        <v>519</v>
      </c>
      <c r="C124" s="470"/>
      <c r="D124" s="470"/>
      <c r="E124" s="470"/>
      <c r="F124" s="470"/>
    </row>
    <row r="125" spans="1:6" x14ac:dyDescent="0.2">
      <c r="B125" s="372" t="s">
        <v>218</v>
      </c>
      <c r="C125" s="404">
        <f>Scenarios!C36</f>
        <v>10.967807599967429</v>
      </c>
      <c r="D125" s="343" t="str">
        <f>Market_currency</f>
        <v>HKD</v>
      </c>
    </row>
    <row r="127" spans="1:6" x14ac:dyDescent="0.2">
      <c r="B127" s="475" t="s">
        <v>520</v>
      </c>
      <c r="C127" s="475"/>
      <c r="D127" s="475"/>
      <c r="E127" s="475"/>
      <c r="F127" s="475"/>
    </row>
    <row r="129" spans="1:6" ht="16" x14ac:dyDescent="0.25">
      <c r="A129" s="345" t="s">
        <v>492</v>
      </c>
      <c r="B129" s="345"/>
      <c r="C129" s="345"/>
      <c r="D129" s="345"/>
      <c r="E129" s="345"/>
      <c r="F129" s="345"/>
    </row>
    <row r="131" spans="1:6" x14ac:dyDescent="0.2">
      <c r="B131" s="476" t="s">
        <v>521</v>
      </c>
      <c r="C131" s="476"/>
      <c r="D131" s="476"/>
      <c r="E131" s="476"/>
      <c r="F131" s="476"/>
    </row>
    <row r="132" spans="1:6" ht="24.5" customHeight="1" x14ac:dyDescent="0.2">
      <c r="B132" s="471" t="s">
        <v>522</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0.14199999999999999</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0.25983892380763696</v>
      </c>
      <c r="D140" s="409">
        <f>Scenarios!D62</f>
        <v>5.054289216574853</v>
      </c>
      <c r="E140" s="410">
        <f>Scenarios!E62</f>
        <v>5.3141281403824898</v>
      </c>
      <c r="F140" s="411">
        <f>E22</f>
        <v>0.29465259038036606</v>
      </c>
    </row>
    <row r="141" spans="1:6" x14ac:dyDescent="0.2">
      <c r="B141" s="408" t="s">
        <v>313</v>
      </c>
      <c r="C141" s="409">
        <f>Scenarios!C63</f>
        <v>0.29876856051220907</v>
      </c>
      <c r="D141" s="409">
        <f>Scenarios!D63</f>
        <v>6.3351957256129579</v>
      </c>
      <c r="E141" s="410">
        <f>Scenarios!E63</f>
        <v>6.6339642861251669</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0.34258964388328816</v>
      </c>
      <c r="D144" s="409">
        <f>Scenarios!D66</f>
        <v>7.8612900858633932</v>
      </c>
      <c r="E144" s="410">
        <f>Scenarios!E66</f>
        <v>8.2038797297466814</v>
      </c>
      <c r="F144" s="411">
        <f>E24</f>
        <v>0.1174</v>
      </c>
    </row>
    <row r="145" spans="1:6" x14ac:dyDescent="0.2">
      <c r="B145" s="408" t="s">
        <v>314</v>
      </c>
      <c r="C145" s="409">
        <f>Scenarios!C67</f>
        <v>0.37095728225856828</v>
      </c>
      <c r="D145" s="409">
        <f>Scenarios!D67</f>
        <v>8.8905355068522027</v>
      </c>
      <c r="E145" s="410">
        <f>Scenarios!E67</f>
        <v>9.2614927891107719</v>
      </c>
      <c r="F145" s="411">
        <f>Scenarios!F67</f>
        <v>7.2499999999999995E-2</v>
      </c>
    </row>
    <row r="147" spans="1:6" ht="16" x14ac:dyDescent="0.25">
      <c r="A147" s="345" t="s">
        <v>475</v>
      </c>
      <c r="B147" s="345"/>
      <c r="C147" s="345"/>
      <c r="D147" s="345"/>
      <c r="E147" s="345"/>
      <c r="F147" s="345"/>
    </row>
    <row r="149" spans="1:6" x14ac:dyDescent="0.2">
      <c r="B149" s="477" t="s">
        <v>523</v>
      </c>
      <c r="C149" s="471"/>
      <c r="D149" s="471"/>
      <c r="E149" s="471"/>
      <c r="F149" s="471"/>
    </row>
    <row r="151" spans="1:6" x14ac:dyDescent="0.2">
      <c r="B151" s="369" t="s">
        <v>384</v>
      </c>
    </row>
    <row r="152" spans="1:6" x14ac:dyDescent="0.2">
      <c r="B152" s="473" t="s">
        <v>524</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