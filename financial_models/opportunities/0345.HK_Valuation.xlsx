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238AD5F-00CE-409A-9FF3-D41869833E02}"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C19"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<sst xmlns="http://schemas.openxmlformats.org/spreadsheetml/2006/main" count="766" uniqueCount="556">
  <si>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</si>
  <si>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</si>
  <si>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</si>
  <si>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</si>
  <si>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</si>
  <si>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</si>
  <si>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</si>
  <si>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</si>
  <si>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</si>
  <si>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</si>
  <si>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</si>
  <si>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</si>
  <si>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</si>
  <si>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</si>
  <si>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</si>
  <si>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</si>
  <si>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</si>
  <si>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</si>
  <si>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</si>
  <si>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</si>
  <si>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</si>
  <si>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</si>
  <si>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</si>
  <si>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</si>
  <si>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</si>
  <si>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</si>
  <si>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</si>
  <si>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</si>
  <si>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</si>
  <si>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</si>
  <si>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</si>
  <si>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</si>
  <si>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</si>
  <si>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</si>
  <si>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</si>
  <si>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</si>
  <si>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</si>
  <si>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</si>
  <si>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</si>
  <si>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</si>
  <si>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</si>
  <si>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</si>
  <si>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</si>
  <si>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</si>
  <si>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</si>
  <si>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</si>
  <si>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</si>
  <si>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</si>
  <si>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</si>
  <si>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</si>
  <si>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</si>
  <si>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</si>
  <si>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</si>
  <si>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</si>
  <si>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</si>
  <si>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</si>
  <si>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</si>
  <si>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</si>
  <si>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</si>
  <si>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</si>
  <si>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</si>
  <si>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</si>
  <si>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</si>
  <si>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</si>
  <si>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</si>
  <si>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</si>
  <si>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</si>
  <si>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</si>
  <si>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</si>
  <si>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</si>
  <si>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</si>
  <si>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</si>
  <si>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</si>
  <si>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</si>
  <si>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</si>
  <si>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</si>
  <si>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</si>
  <si>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</si>
  <si>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</si>
  <si>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</si>
  <si>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</si>
  <si>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</si>
  <si>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</si>
  <si>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</si>
  <si>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</si>
  <si>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</si>
  <si>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</si>
  <si>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</si>
  <si>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</si>
  <si>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</si>
  <si>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</si>
  <si>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</si>
  <si>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</si>
  <si>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</si>
  <si>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</si>
  <si>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</si>
  <si>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</si>
  <si>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</si>
  <si>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</si>
  <si>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</si>
  <si>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</si>
  <si>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</si>
  <si>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</si>
  <si>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</si>
  <si>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</si>
  <si>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</si>
  <si>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</si>
  <si>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</si>
  <si>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</si>
  <si>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</si>
  <si>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</si>
  <si>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</si>
  <si>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</si>
  <si>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</si>
  <si>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</si>
  <si>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</si>
  <si>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</si>
  <si>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</si>
  <si>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</si>
  <si>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</si>
  <si>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</si>
  <si>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</si>
  <si>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</si>
  <si>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</si>
  <si>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</si>
  <si>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</si>
  <si>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</si>
  <si>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</si>
  <si>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</si>
  <si>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</si>
  <si>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</si>
  <si>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</si>
  <si>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</si>
  <si>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</si>
  <si>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</si>
  <si>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</si>
  <si>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</si>
  <si>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</si>
  <si>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</si>
  <si>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</si>
  <si>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</si>
  <si>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</si>
  <si>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</si>
  <si>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</si>
  <si>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</si>
  <si>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</si>
  <si>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</si>
  <si>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</si>
  <si>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</si>
  <si>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</si>
  <si>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</si>
  <si>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</si>
  <si>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</si>
  <si>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</si>
  <si>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</si>
  <si>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</si>
  <si>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</si>
  <si>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</si>
  <si>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</si>
  <si>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</si>
  <si>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</si>
  <si>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</si>
  <si>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</si>
  <si>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</si>
  <si>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</si>
  <si>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</si>
  <si>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</si>
  <si>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</si>
  <si>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</si>
  <si>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</si>
  <si>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</si>
  <si>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</si>
  <si>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</si>
  <si>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</si>
  <si>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</si>
  <si>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</si>
  <si>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</si>
  <si>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</si>
  <si>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</si>
  <si>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</si>
  <si>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</si>
  <si>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</si>
  <si>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</si>
  <si>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</si>
  <si>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</si>
  <si>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</si>
  <si>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</si>
  <si>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</si>
  <si>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</si>
  <si>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</si>
  <si>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</si>
  <si>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</si>
  <si>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</si>
  <si>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</si>
  <si>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</si>
  <si>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</si>
  <si>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</si>
  <si>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</si>
  <si>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</si>
  <si>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</si>
  <si>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</si>
  <si>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</si>
  <si>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</si>
  <si>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</si>
  <si>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</si>
  <si>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</si>
  <si>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</si>
  <si>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</si>
  <si>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</si>
  <si>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</si>
  <si>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</si>
  <si>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</si>
  <si>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</si>
  <si>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</si>
  <si>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</si>
  <si>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</si>
  <si>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</si>
  <si>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</si>
  <si>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</si>
  <si>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</si>
  <si>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</si>
  <si>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</si>
  <si>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</si>
  <si>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</si>
  <si>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</si>
  <si>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</si>
  <si>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</si>
  <si>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</si>
  <si>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</si>
  <si>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</si>
  <si>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</si>
  <si>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</si>
  <si>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</si>
  <si>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</si>
  <si>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</si>
  <si>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</si>
  <si>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</si>
  <si>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</si>
  <si>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</si>
  <si>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</si>
  <si>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</si>
  <si>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</si>
  <si>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</si>
  <si>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</si>
  <si>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</si>
  <si>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</si>
  <si>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</si>
  <si>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</si>
  <si>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</si>
  <si>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</si>
  <si>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</si>
  <si>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</si>
  <si>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</si>
  <si>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</si>
  <si>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</si>
  <si>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</si>
  <si>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</si>
  <si>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</si>
  <si>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</si>
  <si>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</si>
  <si>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</si>
  <si>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</si>
  <si>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</si>
  <si>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</si>
  <si>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</si>
  <si>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</si>
  <si>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</si>
  <si>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</si>
  <si>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</si>
  <si>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</si>
  <si>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</si>
  <si>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</si>
  <si>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</si>
  <si>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</si>
  <si>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</si>
  <si>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</si>
  <si>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</si>
  <si>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</si>
  <si>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</si>
  <si>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</si>
  <si>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</si>
  <si>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</si>
  <si>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</si>
  <si>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</si>
  <si>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</si>
  <si>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</si>
  <si>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</si>
  <si>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</si>
  <si>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</si>
  <si>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</si>
  <si>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</si>
  <si>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</si>
  <si>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</si>
  <si>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</si>
  <si>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</si>
  <si>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</si>
  <si>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</si>
  <si>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</si>
  <si>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</si>
  <si>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</si>
  <si>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</si>
  <si>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</si>
  <si>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</si>
  <si>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</si>
  <si>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</si>
  <si>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</si>
  <si>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</si>
  <si>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</si>
  <si>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</si>
  <si>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</si>
  <si>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</si>
  <si>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</si>
  <si>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</si>
  <si>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</si>
  <si>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</si>
  <si>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</si>
  <si>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</si>
  <si>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</si>
  <si>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</si>
  <si>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</si>
  <si>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</si>
  <si>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</si>
  <si>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</si>
  <si>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</si>
  <si>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</si>
  <si>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</si>
  <si>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</si>
  <si>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</si>
  <si>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</si>
  <si>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</si>
  <si>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</si>
  <si>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</si>
  <si>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</si>
  <si>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</si>
  <si>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</si>
  <si>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</si>
  <si>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</si>
  <si>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</si>
  <si>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</si>
  <si>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</si>
  <si>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</si>
  <si>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</si>
  <si>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</si>
  <si>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</si>
  <si>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</si>
  <si>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</si>
  <si>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</si>
  <si>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</si>
  <si>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</si>
  <si>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</si>
  <si>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</si>
  <si>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</si>
  <si>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</si>
  <si>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</si>
  <si>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</si>
  <si>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</si>
  <si>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</si>
  <si>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</si>
  <si>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</si>
  <si>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</si>
  <si>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</si>
  <si>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</si>
  <si>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</si>
  <si>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</si>
  <si>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</si>
  <si>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</si>
  <si>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</si>
  <si>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</si>
  <si>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</si>
  <si>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</si>
  <si>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</si>
  <si>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</si>
  <si>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</si>
  <si>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</si>
  <si>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</si>
  <si>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</si>
  <si>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</si>
  <si>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</si>
  <si>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</si>
  <si>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</si>
  <si>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</si>
  <si>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</si>
  <si>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</si>
  <si>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</si>
  <si>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</si>
  <si>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</si>
  <si>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</si>
  <si>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</si>
  <si>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</si>
  <si>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</si>
  <si>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</si>
  <si>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</si>
  <si>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</si>
  <si>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</si>
  <si>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</si>
  <si>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</si>
  <si>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</si>
  <si>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</si>
  <si>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</si>
  <si>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</si>
  <si>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</si>
  <si>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</si>
  <si>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</si>
  <si>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</si>
  <si>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</si>
  <si>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</si>
  <si>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</si>
  <si>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</si>
  <si>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</si>
  <si>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</si>
  <si>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</si>
  <si>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</si>
  <si>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</si>
  <si>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</si>
  <si>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</si>
  <si>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</si>
  <si>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</si>
  <si>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</si>
  <si>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</si>
  <si>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</si>
  <si>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</si>
  <si>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</si>
  <si>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</si>
  <si>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</si>
  <si>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</si>
  <si>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</si>
  <si>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</si>
  <si>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</si>
  <si>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</si>
  <si>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</si>
  <si>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</si>
  <si>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</si>
  <si>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</si>
  <si>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</si>
  <si>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</si>
  <si>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</si>
  <si>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</si>
  <si>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</si>
  <si>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</si>
  <si>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</si>
  <si>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</si>
  <si>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</si>
  <si>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</si>
  <si>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</si>
  <si>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</si>
  <si>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</si>
  <si>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</si>
  <si>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</si>
  <si>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</si>
  <si>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</si>
  <si>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</si>
  <si>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</si>
  <si>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</si>
  <si>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</si>
  <si>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</si>
  <si>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</si>
  <si>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</si>
  <si>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</si>
  <si>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</si>
  <si>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</si>
  <si>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</si>
  <si>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</si>
  <si>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</si>
  <si>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</si>
  <si>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</si>
  <si>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</si>
  <si>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</si>
  <si>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</si>
  <si>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</si>
  <si>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</si>
  <si>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</si>
  <si>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</si>
  <si>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</si>
  <si>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</si>
  <si>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</si>
  <si>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</si>
  <si>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</si>
  <si>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</si>
  <si>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</si>
  <si>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</si>
  <si>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</si>
  <si>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</si>
  <si>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</si>
  <si>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</si>
  <si>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</si>
  <si>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</si>
  <si>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</si>
  <si>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</si>
  <si>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</si>
  <si>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</si>
  <si>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</si>
  <si>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</si>
  <si>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</si>
  <si>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</si>
  <si>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</si>
  <si>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</si>
  <si>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</si>
  <si>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</si>
  <si>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</si>
  <si>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</si>
  <si>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</si>
  <si>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</si>
  <si>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</si>
  <si>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</si>
  <si>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</si>
  <si>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</si>
  <si>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</si>
  <si>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</si>
  <si>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</si>
  <si>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</si>
  <si>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</si>
  <si>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</si>
  <si>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</si>
  <si>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</si>
  <si>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</si>
  <si>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</si>
  <si>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</si>
  <si>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</si>
  <si>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</si>
  <si>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</si>
  <si>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</si>
  <si>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</si>
  <si>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</si>
  <si>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</si>
  <si>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</si>
  <si>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</si>
  <si>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</si>
  <si>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</si>
  <si>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</si>
  <si>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</si>
  <si>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</si>
  <si>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</si>
  <si>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</si>
  <si>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</si>
  <si>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</si>
  <si>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</si>
  <si>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</si>
  <si>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</si>
  <si>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</si>
  <si>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</si>
  <si>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</si>
  <si>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</si>
  <si>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</si>
  <si>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</si>
  <si>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</si>
  <si>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</si>
  <si>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</si>
  <si>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</si>
  <si>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</si>
  <si>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</si>
  <si>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</si>
  <si>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</si>
  <si>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</si>
  <si>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维他奶</t>
  </si>
  <si>
    <t>0345.HK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</si>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</sst>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45961</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6.53</v>
      </c>
      <c r="E8" s="32"/>
    </row>
    <row r="9" spans="1:9">
      <c r="B9" s="4" t="s">
        <v>346</v>
      </c>
      <c r="C9" s="48">
        <v>1042185089</v>
      </c>
    </row>
    <row r="10" spans="1:9">
      <c r="B10" s="4" t="s">
        <v>352</v>
      </c>
      <c r="C10" s="33">
        <f>Thesis!C8*Common_Shares/1000000</f>
        <v>6805.4686311699998</v>
      </c>
      <c r="D10" s="1" t="s">
        <v>531</v>
      </c>
      <c r="E10" s="307">
        <f>Scenarios!F34</f>
        <v>9.6203404893799888E-2</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7.7113225084207642</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4.0476647681399474</v>
      </c>
      <c r="D22" s="38" t="s">
        <v>408</v>
      </c>
      <c r="E22" s="79">
        <v>0.29465259038036606</v>
      </c>
    </row>
    <row r="23" spans="1:6">
      <c r="B23" s="1" t="s">
        <v>313</v>
      </c>
      <c r="C23" s="259">
        <f>E141</f>
        <v>5.0222745724316873</v>
      </c>
      <c r="D23" s="38" t="s">
        <v>409</v>
      </c>
      <c r="E23" s="448">
        <v>0.20075184365903009</v>
      </c>
    </row>
    <row r="24" spans="1:6">
      <c r="B24" s="1" t="s">
        <v>315</v>
      </c>
      <c r="C24" s="259">
        <f>E144</f>
        <v>6.1785733958029958</v>
      </c>
      <c r="D24" s="38" t="s">
        <v>410</v>
      </c>
      <c r="E24" s="448">
        <v>0.1174</v>
      </c>
    </row>
    <row r="25" spans="1:6">
      <c r="B25" s="1" t="s">
        <v>314</v>
      </c>
      <c r="C25" s="259">
        <f>E145</f>
        <v>6.9561608977513227</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512212.08973629586</v>
      </c>
      <c r="D34" s="1" t="str">
        <f>Reporting_currency</f>
        <v>HKD</v>
      </c>
    </row>
    <row r="35" spans="2:6">
      <c r="B35" s="44"/>
      <c r="C35" s="73"/>
    </row>
    <row r="36" spans="2:6" ht="24.5" customHeight="1">
      <c r="B36" s="459" t="s">
        <v>198</v>
      </c>
      <c r="C36" s="459"/>
      <c r="D36" s="459"/>
      <c r="E36" s="459"/>
      <c r="F36" s="459"/>
    </row>
    <row r="37" spans="2:6">
      <c r="B37" s="44" t="s">
        <v>199</v>
      </c>
      <c r="C37" s="289">
        <f>Normalized_FCF!C15</f>
        <v>0</v>
      </c>
      <c r="D37" s="1" t="str">
        <f>Reporting_currency</f>
        <v>HKD</v>
      </c>
    </row>
    <row r="38" spans="2:6">
      <c r="B38" s="49" t="s">
        <v>200</v>
      </c>
      <c r="C38" s="289">
        <f>Normalized_FCF!C16</f>
        <v>0</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3037.0142184818524</v>
      </c>
      <c r="D44" s="1" t="str">
        <f>Reporting_currency</f>
        <v>HKD</v>
      </c>
      <c r="E44" s="247"/>
      <c r="F44" s="247"/>
    </row>
    <row r="45" spans="2:6">
      <c r="B45" s="44" t="s">
        <v>268</v>
      </c>
      <c r="C45" s="290">
        <f>Normalized_FCF!C45</f>
        <v>-33813.479999999996</v>
      </c>
      <c r="D45" s="1" t="str">
        <f>Reporting_currency</f>
        <v>HKD</v>
      </c>
      <c r="E45" s="247"/>
      <c r="F45" s="247"/>
    </row>
    <row r="46" spans="2:6">
      <c r="B46" s="44" t="s">
        <v>203</v>
      </c>
      <c r="C46" s="289">
        <f>Normalized_FCF!C10</f>
        <v>-30776.465781518142</v>
      </c>
      <c r="D46" s="1" t="str">
        <f>Reporting_currency</f>
        <v>HKD</v>
      </c>
    </row>
    <row r="48" spans="2:6">
      <c r="B48" s="1" t="s">
        <v>211</v>
      </c>
    </row>
    <row r="49" spans="2:6">
      <c r="B49" s="44" t="s">
        <v>223</v>
      </c>
      <c r="C49" s="289">
        <f>Normalized_FCF!C13</f>
        <v>-34340.371018337282</v>
      </c>
      <c r="D49" s="1" t="str">
        <f>Reporting_currency</f>
        <v>HKD</v>
      </c>
    </row>
    <row r="51" spans="2:6">
      <c r="B51" s="459" t="s">
        <v>206</v>
      </c>
      <c r="C51" s="459"/>
      <c r="D51" s="459"/>
      <c r="E51" s="459"/>
      <c r="F51" s="459"/>
    </row>
    <row r="52" spans="2:6">
      <c r="B52" s="44" t="s">
        <v>204</v>
      </c>
      <c r="C52" s="289">
        <f>Normalized_FCF!C12</f>
        <v>-120358.90598869443</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506980</v>
      </c>
      <c r="D60" s="1" t="str">
        <f>Reporting_currency</f>
        <v>HKD</v>
      </c>
    </row>
    <row r="61" spans="2:6">
      <c r="B61" s="44" t="s">
        <v>213</v>
      </c>
      <c r="C61" s="289">
        <f>Normalized_FCF!C19</f>
        <v>326736.34694774606</v>
      </c>
      <c r="D61" s="1" t="str">
        <f>Reporting_currency</f>
        <v>HKD</v>
      </c>
    </row>
    <row r="62" spans="2:6">
      <c r="B62" s="204" t="s">
        <v>302</v>
      </c>
      <c r="C62" s="89">
        <f>Normalized_FCF!C124</f>
        <v>4.8010851956799536E-2</v>
      </c>
      <c r="F62" s="260"/>
    </row>
    <row r="63" spans="2:6">
      <c r="B63" s="204" t="s">
        <v>332</v>
      </c>
      <c r="C63" s="89">
        <f>Normalized_FCF!C92</f>
        <v>4.1347626339969371E-2</v>
      </c>
      <c r="E63" s="44" t="s">
        <v>322</v>
      </c>
      <c r="F63" s="261">
        <f>Normalized_FCF!C90</f>
        <v>0.95690464076224135</v>
      </c>
    </row>
    <row r="65" spans="1:6">
      <c r="B65" s="192" t="s">
        <v>325</v>
      </c>
      <c r="C65" s="267" t="s">
        <v>327</v>
      </c>
      <c r="D65" s="267" t="s">
        <v>328</v>
      </c>
    </row>
    <row r="66" spans="1:6">
      <c r="B66" s="44" t="s">
        <v>326</v>
      </c>
      <c r="C66" s="89">
        <f>Normalized_FCF!C119</f>
        <v>0.15129103990745271</v>
      </c>
      <c r="D66" s="89">
        <f>Normalized_FCF!G119</f>
        <v>0.18518613957341221</v>
      </c>
    </row>
    <row r="67" spans="1:6">
      <c r="B67" s="229" t="str">
        <f>Normalized_FCF!B116</f>
        <v>Pre-tax Profit/Sales</v>
      </c>
      <c r="C67" s="266">
        <f>Normalized_FCF!C116</f>
        <v>7.6740113341060609E-2</v>
      </c>
      <c r="D67" s="266">
        <f>Normalized_FCF!G116</f>
        <v>9.3932894828076763E-2</v>
      </c>
    </row>
    <row r="68" spans="1:6">
      <c r="B68" s="229" t="str">
        <f>Normalized_FCF!B117</f>
        <v>Sales/Total Assets</v>
      </c>
      <c r="C68" s="268">
        <f>Normalized_FCF!C117</f>
        <v>1.1106245684847842</v>
      </c>
      <c r="D68" s="268">
        <f>Normalized_FCF!G117</f>
        <v>1.1106245684847842</v>
      </c>
    </row>
    <row r="69" spans="1:6">
      <c r="B69" s="229" t="str">
        <f>Normalized_FCF!B118</f>
        <v>Total Assets/Equity</v>
      </c>
      <c r="C69" s="268">
        <f>Normalized_FCF!C118</f>
        <v>1.775102743966247</v>
      </c>
      <c r="D69" s="268">
        <f>Normalized_FCF!G118</f>
        <v>1.775102743966247</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-563558</v>
      </c>
      <c r="D78" s="1" t="str">
        <f>Reporting_currency</f>
        <v>HKD</v>
      </c>
    </row>
    <row r="79" spans="1:6">
      <c r="A79" s="191"/>
      <c r="B79" s="44" t="s">
        <v>234</v>
      </c>
      <c r="C79" s="201">
        <f>C78*scaling_factor*Exchange_Rate/Common_Shares</f>
        <v>-0.54074655831119844</v>
      </c>
      <c r="D79" s="1" t="str">
        <f>Market_currency</f>
        <v>HKD</v>
      </c>
    </row>
    <row r="80" spans="1:6">
      <c r="A80" s="191"/>
      <c r="B80" s="229" t="s">
        <v>309</v>
      </c>
      <c r="C80" s="341">
        <f>IF(BS!G31/BS!G27&gt;300%,"nm",BS!G31/BS!G27)</f>
        <v>0.17709797868255178</v>
      </c>
    </row>
    <row r="81" spans="1:6">
      <c r="A81" s="191"/>
      <c r="B81" s="229" t="s">
        <v>311</v>
      </c>
      <c r="C81" s="342">
        <f>IF(BS!C50&gt;30,"nm",BS!C50)</f>
        <v>1.1002434563583587</v>
      </c>
    </row>
    <row r="82" spans="1:6">
      <c r="A82" s="191"/>
    </row>
    <row r="83" spans="1:6">
      <c r="A83" s="191"/>
      <c r="B83" s="1" t="s">
        <v>469</v>
      </c>
    </row>
    <row r="84" spans="1:6">
      <c r="A84" s="191"/>
      <c r="B84" s="1" t="s">
        <v>224</v>
      </c>
      <c r="C84" s="289">
        <f>DCF!F5</f>
        <v>763124.96358635789</v>
      </c>
      <c r="D84" s="1" t="str">
        <f>Reporting_currency</f>
        <v>HKD</v>
      </c>
    </row>
    <row r="85" spans="1:6">
      <c r="A85" s="191"/>
      <c r="B85" s="229" t="s">
        <v>222</v>
      </c>
      <c r="C85" s="295">
        <f>BS!C66</f>
        <v>1269294</v>
      </c>
      <c r="D85" s="343" t="str">
        <f>Reporting_currency</f>
        <v>HKD</v>
      </c>
    </row>
    <row r="86" spans="1:6">
      <c r="A86" s="191"/>
      <c r="B86" s="44" t="s">
        <v>235</v>
      </c>
      <c r="C86" s="201">
        <f>C84*scaling_factor*Exchange_Rate/Common_Shares</f>
        <v>0.73223554207496233</v>
      </c>
      <c r="D86" s="1" t="str">
        <f>Market_currency</f>
        <v>HKD</v>
      </c>
    </row>
    <row r="87" spans="1:6">
      <c r="A87" s="191"/>
    </row>
    <row r="88" spans="1:6">
      <c r="A88" s="191"/>
      <c r="B88" s="1" t="s">
        <v>216</v>
      </c>
    </row>
    <row r="89" spans="1:6">
      <c r="A89" s="191"/>
      <c r="B89" s="1" t="s">
        <v>217</v>
      </c>
      <c r="C89" s="289">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472</v>
      </c>
      <c r="C92" s="216">
        <f>DCF!F8</f>
        <v>0.19148898376376394</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-0.16671611581654458</v>
      </c>
      <c r="D111" s="1" t="str">
        <f>Market_currency</f>
        <v>HKD</v>
      </c>
    </row>
    <row r="112" spans="2:6">
      <c r="B112" s="44" t="s">
        <v>323</v>
      </c>
      <c r="C112" s="216">
        <f>DCF!C11</f>
        <v>4.5157767531141229</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0.3</v>
      </c>
      <c r="D118" s="207" t="str">
        <f>ROUND(DCF!E90,2)&amp;" "&amp;Market_currency</f>
        <v>15.1 HKD</v>
      </c>
      <c r="E118" s="208">
        <f>DCF!F90</f>
        <v>0.15</v>
      </c>
      <c r="F118" s="208">
        <f>RATE(Holding_Period,Scenarios!C$58,-DCF!E90,C$18)</f>
        <v>-0.17804770736442227</v>
      </c>
    </row>
    <row r="119" spans="2:6">
      <c r="B119" s="205" t="str">
        <f>DCF!B91&amp;" ("&amp;DCF!D91&amp;"yrs)"</f>
        <v>Optimistic (5yrs)</v>
      </c>
      <c r="C119" s="198">
        <f>DCF!C91</f>
        <v>0.16</v>
      </c>
      <c r="D119" s="207" t="str">
        <f>ROUND(DCF!E91,2)&amp;" "&amp;Market_currency</f>
        <v>8.88 HKD</v>
      </c>
      <c r="E119" s="199">
        <f>DCF!F91</f>
        <v>0.15999999999999995</v>
      </c>
      <c r="F119" s="208">
        <f>RATE(Holding_Period,Scenarios!C$58,-DCF!E91,C$18)</f>
        <v>-1.3908269116558871E-2</v>
      </c>
    </row>
    <row r="120" spans="2:6">
      <c r="B120" s="205" t="str">
        <f>DCF!B92&amp;" ("&amp;DCF!D92&amp;"yrs)"</f>
        <v>Base (5yrs)</v>
      </c>
      <c r="C120" s="198">
        <f>DCF!C92</f>
        <v>0.08</v>
      </c>
      <c r="D120" s="207" t="str">
        <f>ROUND(DCF!E92,2)&amp;" "&amp;Market_currency</f>
        <v>6.39 HKD</v>
      </c>
      <c r="E120" s="199">
        <f>DCF!F92</f>
        <v>0.44</v>
      </c>
      <c r="F120" s="208">
        <f>RATE(Holding_Period,Scenarios!C$58,-DCF!E92,C$18)</f>
        <v>0.10423087826029288</v>
      </c>
    </row>
    <row r="121" spans="2:6">
      <c r="B121" s="205" t="str">
        <f>DCF!B93&amp;" ("&amp;DCF!D93&amp;"yrs)"</f>
        <v>Pessimistic (5yrs)</v>
      </c>
      <c r="C121" s="198">
        <f>DCF!C93</f>
        <v>0.02</v>
      </c>
      <c r="D121" s="207" t="str">
        <f>ROUND(DCF!E93,2)&amp;" "&amp;Market_currency</f>
        <v>4.94 HKD</v>
      </c>
      <c r="E121" s="199">
        <f>DCF!F93</f>
        <v>0.19999999999999998</v>
      </c>
      <c r="F121" s="208">
        <f>RATE(Holding_Period,Scenarios!C$58,-DCF!E93,C$18)</f>
        <v>0.20805149555487523</v>
      </c>
    </row>
    <row r="122" spans="2:6">
      <c r="B122" s="205" t="str">
        <f>DCF!B94&amp;" ("&amp;DCF!D94&amp;"yrs)"</f>
        <v>Devil's advocate (5yrs)</v>
      </c>
      <c r="C122" s="198">
        <f>DCF!C94</f>
        <v>0</v>
      </c>
      <c r="D122" s="207" t="str">
        <f>ROUND(DCF!E94,2)&amp;" "&amp;Market_currency</f>
        <v>4.52 HKD</v>
      </c>
      <c r="E122" s="199">
        <f>DCF!F94</f>
        <v>0.05</v>
      </c>
      <c r="F122" s="208">
        <f>RATE(Holding_Period,Scenarios!C$58,-DCF!E94,C$18)</f>
        <v>0.24607194904486193</v>
      </c>
    </row>
    <row r="124" spans="2:6">
      <c r="B124" s="459" t="s">
        <v>357</v>
      </c>
      <c r="C124" s="459"/>
      <c r="D124" s="459"/>
      <c r="E124" s="459"/>
      <c r="F124" s="459"/>
    </row>
    <row r="125" spans="2:6">
      <c r="B125" s="193" t="s">
        <v>218</v>
      </c>
      <c r="C125" s="197">
        <f>Scenarios!C36</f>
        <v>7.7113225084207642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3.5536048425902149</v>
      </c>
      <c r="E140" s="338">
        <f>Scenarios!E62</f>
        <v>4.0476647681399474</v>
      </c>
      <c r="F140" s="339">
        <f>E22</f>
        <v>0.29465259038036606</v>
      </c>
    </row>
    <row r="141" spans="1:6">
      <c r="B141" s="340" t="s">
        <v>313</v>
      </c>
      <c r="C141" s="337">
        <f>Scenarios!C63</f>
        <v>0.56808106576265116</v>
      </c>
      <c r="D141" s="337">
        <f>Scenarios!D63</f>
        <v>4.4541935066690357</v>
      </c>
      <c r="E141" s="338">
        <f>Scenarios!E63</f>
        <v>5.0222745724316873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5.5271705517995606</v>
      </c>
      <c r="E144" s="338">
        <f>Scenarios!E66</f>
        <v>6.1785733958029958</v>
      </c>
      <c r="F144" s="339">
        <f>E24</f>
        <v>0.1174</v>
      </c>
    </row>
    <row r="145" spans="1:6">
      <c r="B145" s="340" t="s">
        <v>314</v>
      </c>
      <c r="C145" s="337">
        <f>Scenarios!C67</f>
        <v>0.7053413113367144</v>
      </c>
      <c r="D145" s="337">
        <f>Scenarios!D67</f>
        <v>6.2508195864146083</v>
      </c>
      <c r="E145" s="338">
        <f>Scenarios!E67</f>
        <v>6.9561608977513227</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6273585</v>
      </c>
      <c r="D4" s="291">
        <v>6217123</v>
      </c>
      <c r="E4" s="291">
        <v>6340559</v>
      </c>
      <c r="F4" s="291">
        <v>6501215</v>
      </c>
      <c r="G4" s="291">
        <v>7519817</v>
      </c>
      <c r="H4" s="291">
        <v>7232641</v>
      </c>
      <c r="I4" s="291">
        <v>7526495</v>
      </c>
      <c r="J4" s="291">
        <v>6464525</v>
      </c>
      <c r="K4" s="291">
        <v>5406090</v>
      </c>
      <c r="L4" s="291">
        <v>5551898</v>
      </c>
      <c r="M4" s="291"/>
    </row>
    <row r="5" spans="2:13">
      <c r="B5" s="38" t="s">
        <v>40</v>
      </c>
      <c r="C5" s="291">
        <v>3056039</v>
      </c>
      <c r="D5" s="291">
        <v>3105686</v>
      </c>
      <c r="E5" s="291">
        <v>3328763</v>
      </c>
      <c r="F5" s="291">
        <v>3430534</v>
      </c>
      <c r="G5" s="291">
        <v>3565412</v>
      </c>
      <c r="H5" s="291">
        <v>3381150</v>
      </c>
      <c r="I5" s="291">
        <v>3484665</v>
      </c>
      <c r="J5" s="291">
        <v>3044767</v>
      </c>
      <c r="K5" s="291">
        <v>2532704</v>
      </c>
      <c r="L5" s="291">
        <v>2726117</v>
      </c>
      <c r="M5" s="291"/>
    </row>
    <row r="6" spans="2:13">
      <c r="B6" s="38" t="s">
        <v>51</v>
      </c>
      <c r="C6" s="291">
        <v>2595134</v>
      </c>
      <c r="D6" s="291">
        <v>2677338</v>
      </c>
      <c r="E6" s="291">
        <v>2696408</v>
      </c>
      <c r="F6" s="291">
        <v>2917557</v>
      </c>
      <c r="G6" s="291">
        <v>2837533</v>
      </c>
      <c r="H6" s="291">
        <v>2829337</v>
      </c>
      <c r="I6" s="291">
        <v>2739795</v>
      </c>
      <c r="J6" s="291">
        <v>2288467</v>
      </c>
      <c r="K6" s="291">
        <v>1979312</v>
      </c>
      <c r="L6" s="291">
        <v>1965086</v>
      </c>
      <c r="M6" s="291"/>
    </row>
    <row r="7" spans="2:13">
      <c r="B7" s="66" t="s">
        <v>58</v>
      </c>
      <c r="C7" s="292">
        <v>1900716</v>
      </c>
      <c r="D7" s="292">
        <v>1976349</v>
      </c>
      <c r="E7" s="292">
        <v>2024430</v>
      </c>
      <c r="F7" s="292">
        <v>2215199</v>
      </c>
      <c r="G7" s="292">
        <v>2114530</v>
      </c>
      <c r="H7" s="292">
        <v>2112457</v>
      </c>
      <c r="I7" s="292">
        <v>2104514</v>
      </c>
      <c r="J7" s="292">
        <v>1729371</v>
      </c>
      <c r="K7" s="292">
        <v>1491517</v>
      </c>
      <c r="L7" s="292">
        <v>1496807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33116</v>
      </c>
      <c r="D12" s="291">
        <v>30028</v>
      </c>
      <c r="E12" s="291">
        <v>32547</v>
      </c>
      <c r="F12" s="291">
        <v>23071</v>
      </c>
      <c r="G12" s="291">
        <v>11770</v>
      </c>
      <c r="H12" s="291">
        <v>10932</v>
      </c>
      <c r="I12" s="291">
        <v>2086</v>
      </c>
      <c r="J12" s="291">
        <v>1700</v>
      </c>
      <c r="K12" s="291">
        <v>3730</v>
      </c>
      <c r="L12" s="291">
        <v>4044</v>
      </c>
      <c r="M12" s="291"/>
    </row>
    <row r="13" spans="2:13">
      <c r="B13" s="38" t="s">
        <v>64</v>
      </c>
      <c r="C13" s="291"/>
      <c r="D13" s="291"/>
      <c r="E13" s="291"/>
      <c r="F13" s="291"/>
      <c r="G13" s="291"/>
      <c r="H13" s="291"/>
      <c r="I13" s="291"/>
      <c r="J13" s="291"/>
      <c r="K13" s="291"/>
      <c r="L13" s="291"/>
      <c r="M13" s="291"/>
    </row>
    <row r="14" spans="2:13">
      <c r="B14" s="38" t="s">
        <v>47</v>
      </c>
      <c r="C14" s="291">
        <v>76422</v>
      </c>
      <c r="D14" s="291">
        <v>13880</v>
      </c>
      <c r="E14" s="291">
        <v>27736</v>
      </c>
      <c r="F14" s="291">
        <v>-74541</v>
      </c>
      <c r="G14" s="291">
        <v>177151</v>
      </c>
      <c r="H14" s="291">
        <v>109477</v>
      </c>
      <c r="I14" s="291">
        <v>208143</v>
      </c>
      <c r="J14" s="291">
        <v>160679</v>
      </c>
      <c r="K14" s="291">
        <v>190383</v>
      </c>
      <c r="L14" s="291">
        <v>34064</v>
      </c>
      <c r="M14" s="291"/>
    </row>
    <row r="15" spans="2:13">
      <c r="B15" s="41" t="s">
        <v>39</v>
      </c>
      <c r="C15" s="293">
        <v>240568</v>
      </c>
      <c r="D15" s="293">
        <v>117788</v>
      </c>
      <c r="E15" s="293">
        <v>21057</v>
      </c>
      <c r="F15" s="293">
        <v>-161381</v>
      </c>
      <c r="G15" s="293">
        <v>589508</v>
      </c>
      <c r="H15" s="293">
        <v>569591</v>
      </c>
      <c r="I15" s="293">
        <v>747695</v>
      </c>
      <c r="J15" s="293">
        <v>642055</v>
      </c>
      <c r="K15" s="293">
        <v>653294</v>
      </c>
      <c r="L15" s="293">
        <v>565244</v>
      </c>
      <c r="M15" s="293"/>
    </row>
    <row r="16" spans="2:13">
      <c r="B16" s="27" t="s">
        <v>41</v>
      </c>
      <c r="C16" s="291">
        <v>5894</v>
      </c>
      <c r="D16" s="291">
        <v>1421</v>
      </c>
      <c r="E16" s="291">
        <v>-24664</v>
      </c>
      <c r="F16" s="291">
        <v>-2631</v>
      </c>
      <c r="G16" s="291">
        <v>41162</v>
      </c>
      <c r="H16" s="291">
        <v>33713</v>
      </c>
      <c r="I16" s="291">
        <v>51788</v>
      </c>
      <c r="J16" s="291">
        <v>56281</v>
      </c>
      <c r="K16" s="291">
        <v>34922</v>
      </c>
      <c r="L16" s="291">
        <v>34628</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859017</v>
      </c>
      <c r="D22" s="291">
        <v>790543</v>
      </c>
      <c r="E22" s="291">
        <v>502355</v>
      </c>
      <c r="F22" s="291">
        <v>124390</v>
      </c>
      <c r="G22" s="291">
        <v>1259766</v>
      </c>
      <c r="H22" s="291">
        <v>1259778</v>
      </c>
      <c r="I22" s="291">
        <v>1273230</v>
      </c>
      <c r="J22" s="291">
        <v>1065540</v>
      </c>
      <c r="K22" s="291">
        <v>944912</v>
      </c>
      <c r="L22" s="291">
        <v>630744</v>
      </c>
      <c r="M22" s="291"/>
    </row>
    <row r="23" spans="2:13">
      <c r="B23" s="26" t="s">
        <v>288</v>
      </c>
      <c r="C23" s="291">
        <v>65893</v>
      </c>
      <c r="D23" s="291">
        <v>-294294</v>
      </c>
      <c r="E23" s="291">
        <v>-189160</v>
      </c>
      <c r="F23" s="291">
        <v>-400263</v>
      </c>
      <c r="G23" s="291">
        <v>-636697</v>
      </c>
      <c r="H23" s="291">
        <v>-1061277</v>
      </c>
      <c r="I23" s="291">
        <v>-897654</v>
      </c>
      <c r="J23" s="291">
        <v>-443458</v>
      </c>
      <c r="K23" s="291">
        <v>98298</v>
      </c>
      <c r="L23" s="291">
        <v>-635426</v>
      </c>
      <c r="M23" s="291"/>
    </row>
    <row r="24" spans="2:13">
      <c r="B24" s="26" t="s">
        <v>287</v>
      </c>
      <c r="C24" s="291">
        <v>-298236</v>
      </c>
      <c r="D24" s="291">
        <v>-403493</v>
      </c>
      <c r="E24" s="291">
        <v>-366255</v>
      </c>
      <c r="F24" s="291">
        <v>-84826</v>
      </c>
      <c r="G24" s="291">
        <v>-552409</v>
      </c>
      <c r="H24" s="291">
        <v>-316296</v>
      </c>
      <c r="I24" s="291">
        <v>-337381</v>
      </c>
      <c r="J24" s="291">
        <v>-511235</v>
      </c>
      <c r="K24" s="291">
        <v>-451377</v>
      </c>
      <c r="L24" s="291">
        <v>-50755</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551</v>
      </c>
    </row>
    <row r="28" spans="2:13">
      <c r="B28" s="25" t="s">
        <v>22</v>
      </c>
      <c r="C28" s="274">
        <f>BS!C4</f>
        <v>823619</v>
      </c>
      <c r="D28" s="291">
        <v>715301</v>
      </c>
      <c r="E28" s="291">
        <v>788957</v>
      </c>
      <c r="F28" s="291">
        <v>804496</v>
      </c>
      <c r="G28" s="291">
        <v>819987</v>
      </c>
      <c r="H28" s="291">
        <v>707687</v>
      </c>
      <c r="I28" s="291">
        <v>716425</v>
      </c>
      <c r="J28" s="291">
        <v>726443</v>
      </c>
      <c r="K28" s="291">
        <v>673754</v>
      </c>
      <c r="L28" s="291">
        <v>636713</v>
      </c>
      <c r="M28" s="291"/>
    </row>
    <row r="29" spans="2:13">
      <c r="B29" s="25" t="s">
        <v>30</v>
      </c>
      <c r="C29" s="274">
        <f>BS!C6</f>
        <v>533268</v>
      </c>
      <c r="D29" s="291">
        <v>554546</v>
      </c>
      <c r="E29" s="291">
        <v>639615</v>
      </c>
      <c r="F29" s="291">
        <v>773384</v>
      </c>
      <c r="G29" s="291">
        <v>725526</v>
      </c>
      <c r="H29" s="291">
        <v>593559</v>
      </c>
      <c r="I29" s="291">
        <v>748284</v>
      </c>
      <c r="J29" s="291">
        <v>709312</v>
      </c>
      <c r="K29" s="291">
        <v>582446</v>
      </c>
      <c r="L29" s="291">
        <v>528264</v>
      </c>
      <c r="M29" s="291"/>
    </row>
    <row r="30" spans="2:13">
      <c r="B30" s="28" t="s">
        <v>38</v>
      </c>
      <c r="C30" s="275">
        <f>BS!C33+BS!C42</f>
        <v>2466518</v>
      </c>
      <c r="D30" s="293">
        <v>2524058</v>
      </c>
      <c r="E30" s="293">
        <v>2748929</v>
      </c>
      <c r="F30" s="293">
        <v>3238021</v>
      </c>
      <c r="G30" s="293">
        <v>3319536</v>
      </c>
      <c r="H30" s="293">
        <v>2992391</v>
      </c>
      <c r="I30" s="293">
        <v>2408649</v>
      </c>
      <c r="J30" s="293">
        <v>2013032</v>
      </c>
      <c r="K30" s="293">
        <v>1796901</v>
      </c>
      <c r="L30" s="293">
        <v>1772963</v>
      </c>
      <c r="M30" s="293"/>
    </row>
    <row r="31" spans="2:13">
      <c r="B31" s="28" t="s">
        <v>28</v>
      </c>
      <c r="C31" s="275">
        <f>BS!G27</f>
        <v>3182182</v>
      </c>
      <c r="D31" s="293">
        <v>3112637</v>
      </c>
      <c r="E31" s="293">
        <v>3100590</v>
      </c>
      <c r="F31" s="293">
        <v>3569099</v>
      </c>
      <c r="G31" s="293">
        <v>3956874</v>
      </c>
      <c r="H31" s="293">
        <v>3418104</v>
      </c>
      <c r="I31" s="293">
        <v>3469560</v>
      </c>
      <c r="J31" s="293">
        <v>3169146</v>
      </c>
      <c r="K31" s="293">
        <v>2689706</v>
      </c>
      <c r="L31" s="293">
        <v>2411863</v>
      </c>
      <c r="M31" s="293"/>
    </row>
    <row r="32" spans="2:13">
      <c r="B32" s="25" t="s">
        <v>143</v>
      </c>
      <c r="C32" s="274">
        <f>BS!G28</f>
        <v>99024</v>
      </c>
      <c r="D32" s="291">
        <v>108077</v>
      </c>
      <c r="E32" s="291">
        <v>115875</v>
      </c>
      <c r="F32" s="291">
        <v>311186</v>
      </c>
      <c r="G32" s="291">
        <v>340821</v>
      </c>
      <c r="H32" s="291">
        <v>289714</v>
      </c>
      <c r="I32" s="291">
        <v>304148</v>
      </c>
      <c r="J32" s="291">
        <v>259389</v>
      </c>
      <c r="K32" s="291">
        <v>218337</v>
      </c>
      <c r="L32" s="291">
        <v>212128</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6273585</v>
      </c>
      <c r="D36" s="274">
        <f t="shared" si="1"/>
        <v>6217123</v>
      </c>
      <c r="E36" s="274">
        <f t="shared" si="1"/>
        <v>6340559</v>
      </c>
      <c r="F36" s="274">
        <f t="shared" si="1"/>
        <v>6501215</v>
      </c>
      <c r="G36" s="274">
        <f t="shared" si="1"/>
        <v>7519817</v>
      </c>
      <c r="H36" s="274">
        <f t="shared" si="1"/>
        <v>7232641</v>
      </c>
      <c r="I36" s="274">
        <f t="shared" si="1"/>
        <v>7526495</v>
      </c>
      <c r="J36" s="274">
        <f t="shared" si="1"/>
        <v>6464525</v>
      </c>
      <c r="K36" s="274">
        <f t="shared" si="1"/>
        <v>5406090</v>
      </c>
      <c r="L36" s="274">
        <f t="shared" si="1"/>
        <v>5551898</v>
      </c>
      <c r="M36" s="274" t="str">
        <f t="shared" si="1"/>
        <v/>
      </c>
    </row>
    <row r="37" spans="2:13">
      <c r="B37" s="38" t="s">
        <v>40</v>
      </c>
      <c r="C37" s="274">
        <f t="shared" ref="C37:M37" si="2">IF(C$4="","",-C5)</f>
        <v>-3056039</v>
      </c>
      <c r="D37" s="274">
        <f t="shared" si="2"/>
        <v>-3105686</v>
      </c>
      <c r="E37" s="274">
        <f t="shared" si="2"/>
        <v>-3328763</v>
      </c>
      <c r="F37" s="274">
        <f t="shared" si="2"/>
        <v>-3430534</v>
      </c>
      <c r="G37" s="274">
        <f t="shared" si="2"/>
        <v>-3565412</v>
      </c>
      <c r="H37" s="274">
        <f t="shared" si="2"/>
        <v>-3381150</v>
      </c>
      <c r="I37" s="274">
        <f t="shared" si="2"/>
        <v>-3484665</v>
      </c>
      <c r="J37" s="274">
        <f t="shared" si="2"/>
        <v>-3044767</v>
      </c>
      <c r="K37" s="274">
        <f t="shared" si="2"/>
        <v>-2532704</v>
      </c>
      <c r="L37" s="274">
        <f t="shared" si="2"/>
        <v>-2726117</v>
      </c>
      <c r="M37" s="274" t="str">
        <f t="shared" si="2"/>
        <v/>
      </c>
    </row>
    <row r="38" spans="2:13">
      <c r="B38" s="30" t="s">
        <v>55</v>
      </c>
      <c r="C38" s="271">
        <f>IF(C36="","",C36+C37)</f>
        <v>3217546</v>
      </c>
      <c r="D38" s="271">
        <f t="shared" ref="D38" si="3">IF(D36="","",D36+D37)</f>
        <v>3111437</v>
      </c>
      <c r="E38" s="271">
        <f t="shared" ref="E38" si="4">IF(E36="","",E36+E37)</f>
        <v>3011796</v>
      </c>
      <c r="F38" s="271">
        <f t="shared" ref="F38" si="5">IF(F36="","",F36+F37)</f>
        <v>3070681</v>
      </c>
      <c r="G38" s="271">
        <f t="shared" ref="G38" si="6">IF(G36="","",G36+G37)</f>
        <v>3954405</v>
      </c>
      <c r="H38" s="271">
        <f t="shared" ref="H38" si="7">IF(H36="","",H36+H37)</f>
        <v>3851491</v>
      </c>
      <c r="I38" s="271">
        <f t="shared" ref="I38" si="8">IF(I36="","",I36+I37)</f>
        <v>4041830</v>
      </c>
      <c r="J38" s="271">
        <f t="shared" ref="J38" si="9">IF(J36="","",J36+J37)</f>
        <v>3419758</v>
      </c>
      <c r="K38" s="271">
        <f t="shared" ref="K38" si="10">IF(K36="","",K36+K37)</f>
        <v>2873386</v>
      </c>
      <c r="L38" s="271">
        <f t="shared" ref="L38" si="11">IF(L36="","",L36+L37)</f>
        <v>2825781</v>
      </c>
      <c r="M38" s="271" t="str">
        <f t="shared" ref="M38" si="12">IF(M36="","",M36+M37)</f>
        <v/>
      </c>
    </row>
    <row r="39" spans="2:13">
      <c r="B39" s="38" t="s">
        <v>51</v>
      </c>
      <c r="C39" s="274">
        <f t="shared" ref="C39:M39" si="13">IF(C$4="","",-C6)</f>
        <v>-2595134</v>
      </c>
      <c r="D39" s="274">
        <f t="shared" si="13"/>
        <v>-2677338</v>
      </c>
      <c r="E39" s="274">
        <f t="shared" si="13"/>
        <v>-2696408</v>
      </c>
      <c r="F39" s="274">
        <f t="shared" si="13"/>
        <v>-2917557</v>
      </c>
      <c r="G39" s="274">
        <f t="shared" si="13"/>
        <v>-2837533</v>
      </c>
      <c r="H39" s="274">
        <f t="shared" si="13"/>
        <v>-2829337</v>
      </c>
      <c r="I39" s="274">
        <f t="shared" si="13"/>
        <v>-2739795</v>
      </c>
      <c r="J39" s="274">
        <f t="shared" si="13"/>
        <v>-2288467</v>
      </c>
      <c r="K39" s="274">
        <f t="shared" si="13"/>
        <v>-1979312</v>
      </c>
      <c r="L39" s="274">
        <f t="shared" si="13"/>
        <v>-1965086</v>
      </c>
      <c r="M39" s="274" t="str">
        <f t="shared" si="13"/>
        <v/>
      </c>
    </row>
    <row r="40" spans="2:13">
      <c r="B40" s="66" t="s">
        <v>58</v>
      </c>
      <c r="C40" s="286">
        <f t="shared" ref="C40:M40" si="14">IF(C$4="","",-C7)</f>
        <v>-1900716</v>
      </c>
      <c r="D40" s="286">
        <f t="shared" si="14"/>
        <v>-1976349</v>
      </c>
      <c r="E40" s="286">
        <f t="shared" si="14"/>
        <v>-2024430</v>
      </c>
      <c r="F40" s="286">
        <f t="shared" si="14"/>
        <v>-2215199</v>
      </c>
      <c r="G40" s="286">
        <f t="shared" si="14"/>
        <v>-2114530</v>
      </c>
      <c r="H40" s="286">
        <f t="shared" si="14"/>
        <v>-2112457</v>
      </c>
      <c r="I40" s="286">
        <f t="shared" si="14"/>
        <v>-2104514</v>
      </c>
      <c r="J40" s="286">
        <f t="shared" si="14"/>
        <v>-1729371</v>
      </c>
      <c r="K40" s="286">
        <f t="shared" si="14"/>
        <v>-1491517</v>
      </c>
      <c r="L40" s="286">
        <f t="shared" si="14"/>
        <v>-1496807</v>
      </c>
      <c r="M40" s="286" t="str">
        <f t="shared" si="14"/>
        <v/>
      </c>
    </row>
    <row r="41" spans="2:13">
      <c r="B41" s="66" t="s">
        <v>61</v>
      </c>
      <c r="C41" s="286">
        <f>IF(C$4="","",C39-C40)</f>
        <v>-694418</v>
      </c>
      <c r="D41" s="286">
        <f t="shared" ref="D41:M41" si="15">IF(D$4="","",D39-D40)</f>
        <v>-700989</v>
      </c>
      <c r="E41" s="286">
        <f t="shared" si="15"/>
        <v>-671978</v>
      </c>
      <c r="F41" s="286">
        <f t="shared" si="15"/>
        <v>-702358</v>
      </c>
      <c r="G41" s="286">
        <f t="shared" si="15"/>
        <v>-723003</v>
      </c>
      <c r="H41" s="286">
        <f t="shared" si="15"/>
        <v>-716880</v>
      </c>
      <c r="I41" s="286">
        <f t="shared" si="15"/>
        <v>-635281</v>
      </c>
      <c r="J41" s="286">
        <f t="shared" si="15"/>
        <v>-559096</v>
      </c>
      <c r="K41" s="286">
        <f t="shared" si="15"/>
        <v>-487795</v>
      </c>
      <c r="L41" s="286">
        <f t="shared" si="15"/>
        <v>-468279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622412</v>
      </c>
      <c r="D43" s="275">
        <f t="shared" ref="D43:M43" si="17">IF(D$4="","",D38+D39+D42)</f>
        <v>434099</v>
      </c>
      <c r="E43" s="275">
        <f t="shared" si="17"/>
        <v>315388</v>
      </c>
      <c r="F43" s="275">
        <f t="shared" si="17"/>
        <v>153124</v>
      </c>
      <c r="G43" s="275">
        <f t="shared" si="17"/>
        <v>1116872</v>
      </c>
      <c r="H43" s="275">
        <f t="shared" si="17"/>
        <v>1022154</v>
      </c>
      <c r="I43" s="275">
        <f t="shared" si="17"/>
        <v>1302035</v>
      </c>
      <c r="J43" s="275">
        <f t="shared" si="17"/>
        <v>1131291</v>
      </c>
      <c r="K43" s="275">
        <f t="shared" si="17"/>
        <v>894074</v>
      </c>
      <c r="L43" s="275">
        <f t="shared" si="17"/>
        <v>860695</v>
      </c>
      <c r="M43" s="275" t="str">
        <f t="shared" si="17"/>
        <v/>
      </c>
    </row>
    <row r="44" spans="2:13">
      <c r="B44" s="41" t="s">
        <v>139</v>
      </c>
      <c r="C44" s="294">
        <f t="shared" ref="C44:M44" si="18">IF(C$4="","",C47-C46-C45-C43)</f>
        <v>-272306</v>
      </c>
      <c r="D44" s="294">
        <f t="shared" si="18"/>
        <v>-272403</v>
      </c>
      <c r="E44" s="294">
        <f t="shared" si="18"/>
        <v>-234048</v>
      </c>
      <c r="F44" s="294">
        <f t="shared" si="18"/>
        <v>-365975</v>
      </c>
      <c r="G44" s="294">
        <f t="shared" si="18"/>
        <v>-338443</v>
      </c>
      <c r="H44" s="294">
        <f t="shared" si="18"/>
        <v>-332154</v>
      </c>
      <c r="I44" s="294">
        <f t="shared" si="18"/>
        <v>-344111</v>
      </c>
      <c r="J44" s="294">
        <f t="shared" si="18"/>
        <v>-326857</v>
      </c>
      <c r="K44" s="294">
        <f t="shared" si="18"/>
        <v>-46667</v>
      </c>
      <c r="L44" s="294">
        <f t="shared" si="18"/>
        <v>-257343</v>
      </c>
      <c r="M44" s="294" t="str">
        <f t="shared" si="18"/>
        <v/>
      </c>
    </row>
    <row r="45" spans="2:13">
      <c r="B45" s="38" t="s">
        <v>65</v>
      </c>
      <c r="C45" s="289">
        <f t="shared" ref="C45:M45" si="19">IF(C$4="","",C51+C52)</f>
        <v>-33116</v>
      </c>
      <c r="D45" s="289">
        <f t="shared" si="19"/>
        <v>-30028</v>
      </c>
      <c r="E45" s="289">
        <f t="shared" si="19"/>
        <v>-32547</v>
      </c>
      <c r="F45" s="289">
        <f t="shared" si="19"/>
        <v>-23071</v>
      </c>
      <c r="G45" s="289">
        <f t="shared" si="19"/>
        <v>-11770</v>
      </c>
      <c r="H45" s="289">
        <f t="shared" si="19"/>
        <v>-10932</v>
      </c>
      <c r="I45" s="289">
        <f t="shared" si="19"/>
        <v>-2086</v>
      </c>
      <c r="J45" s="289">
        <f t="shared" si="19"/>
        <v>-1700</v>
      </c>
      <c r="K45" s="289">
        <f t="shared" si="19"/>
        <v>-3730</v>
      </c>
      <c r="L45" s="289">
        <f t="shared" si="19"/>
        <v>-4044</v>
      </c>
      <c r="M45" s="289" t="str">
        <f t="shared" si="19"/>
        <v/>
      </c>
    </row>
    <row r="46" spans="2:13">
      <c r="B46" s="38" t="s">
        <v>47</v>
      </c>
      <c r="C46" s="274">
        <f>IF(C$4="","",-C14)</f>
        <v>-76422</v>
      </c>
      <c r="D46" s="274">
        <f t="shared" ref="D46:M46" si="20">IF(D$4="","",-D14)</f>
        <v>-13880</v>
      </c>
      <c r="E46" s="274">
        <f t="shared" si="20"/>
        <v>-27736</v>
      </c>
      <c r="F46" s="274">
        <f t="shared" si="20"/>
        <v>74541</v>
      </c>
      <c r="G46" s="274">
        <f t="shared" si="20"/>
        <v>-177151</v>
      </c>
      <c r="H46" s="274">
        <f t="shared" si="20"/>
        <v>-109477</v>
      </c>
      <c r="I46" s="274">
        <f t="shared" si="20"/>
        <v>-208143</v>
      </c>
      <c r="J46" s="274">
        <f t="shared" si="20"/>
        <v>-160679</v>
      </c>
      <c r="K46" s="274">
        <f t="shared" si="20"/>
        <v>-190383</v>
      </c>
      <c r="L46" s="274">
        <f t="shared" si="20"/>
        <v>-34064</v>
      </c>
      <c r="M46" s="274" t="str">
        <f t="shared" si="20"/>
        <v/>
      </c>
    </row>
    <row r="47" spans="2:13">
      <c r="B47" s="41" t="s">
        <v>39</v>
      </c>
      <c r="C47" s="275">
        <f t="shared" ref="C47:M47" si="21">IF(C$4="","",C15)</f>
        <v>240568</v>
      </c>
      <c r="D47" s="275">
        <f t="shared" si="21"/>
        <v>117788</v>
      </c>
      <c r="E47" s="275">
        <f t="shared" si="21"/>
        <v>21057</v>
      </c>
      <c r="F47" s="275">
        <f t="shared" si="21"/>
        <v>-161381</v>
      </c>
      <c r="G47" s="275">
        <f t="shared" si="21"/>
        <v>589508</v>
      </c>
      <c r="H47" s="275">
        <f t="shared" si="21"/>
        <v>569591</v>
      </c>
      <c r="I47" s="275">
        <f t="shared" si="21"/>
        <v>747695</v>
      </c>
      <c r="J47" s="275">
        <f t="shared" si="21"/>
        <v>642055</v>
      </c>
      <c r="K47" s="275">
        <f t="shared" si="21"/>
        <v>653294</v>
      </c>
      <c r="L47" s="275">
        <f t="shared" si="21"/>
        <v>565244</v>
      </c>
      <c r="M47" s="275" t="str">
        <f t="shared" si="21"/>
        <v/>
      </c>
    </row>
    <row r="48" spans="2:13">
      <c r="B48" s="27" t="s">
        <v>41</v>
      </c>
      <c r="C48" s="274">
        <f t="shared" ref="C48:M48" si="22">IF(C$4="","",MIN(-C16,0))</f>
        <v>-5894</v>
      </c>
      <c r="D48" s="274">
        <f t="shared" si="22"/>
        <v>-1421</v>
      </c>
      <c r="E48" s="274">
        <f t="shared" si="22"/>
        <v>0</v>
      </c>
      <c r="F48" s="274">
        <f t="shared" si="22"/>
        <v>0</v>
      </c>
      <c r="G48" s="274">
        <f t="shared" si="22"/>
        <v>-41162</v>
      </c>
      <c r="H48" s="274">
        <f t="shared" si="22"/>
        <v>-33713</v>
      </c>
      <c r="I48" s="274">
        <f t="shared" si="22"/>
        <v>-51788</v>
      </c>
      <c r="J48" s="274">
        <f t="shared" si="22"/>
        <v>-56281</v>
      </c>
      <c r="K48" s="274">
        <f t="shared" si="22"/>
        <v>-34922</v>
      </c>
      <c r="L48" s="274">
        <f t="shared" si="22"/>
        <v>-34628</v>
      </c>
      <c r="M48" s="274" t="str">
        <f t="shared" si="22"/>
        <v/>
      </c>
    </row>
    <row r="50" spans="2:13">
      <c r="B50" s="16" t="s">
        <v>65</v>
      </c>
    </row>
    <row r="51" spans="2:13">
      <c r="B51" s="38" t="s">
        <v>37</v>
      </c>
      <c r="C51" s="274">
        <f t="shared" ref="C51:M51" si="23">IF(C$4="","",-C12)</f>
        <v>-33116</v>
      </c>
      <c r="D51" s="274">
        <f t="shared" si="23"/>
        <v>-30028</v>
      </c>
      <c r="E51" s="274">
        <f t="shared" si="23"/>
        <v>-32547</v>
      </c>
      <c r="F51" s="274">
        <f t="shared" si="23"/>
        <v>-23071</v>
      </c>
      <c r="G51" s="274">
        <f t="shared" si="23"/>
        <v>-11770</v>
      </c>
      <c r="H51" s="274">
        <f t="shared" si="23"/>
        <v>-10932</v>
      </c>
      <c r="I51" s="274">
        <f t="shared" si="23"/>
        <v>-2086</v>
      </c>
      <c r="J51" s="274">
        <f t="shared" si="23"/>
        <v>-1700</v>
      </c>
      <c r="K51" s="274">
        <f t="shared" si="23"/>
        <v>-3730</v>
      </c>
      <c r="L51" s="274">
        <f t="shared" si="23"/>
        <v>-4044</v>
      </c>
      <c r="M51" s="274" t="str">
        <f t="shared" si="23"/>
        <v/>
      </c>
    </row>
    <row r="52" spans="2:13">
      <c r="B52" s="38" t="s">
        <v>64</v>
      </c>
      <c r="C52" s="274">
        <f>IF(C$4="","",C13)</f>
        <v>0</v>
      </c>
      <c r="D52" s="274">
        <f t="shared" ref="D52:M52" si="24">IF(D$4="","",D13)</f>
        <v>0</v>
      </c>
      <c r="E52" s="274">
        <f t="shared" si="24"/>
        <v>0</v>
      </c>
      <c r="F52" s="274">
        <f t="shared" si="24"/>
        <v>0</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-272306</v>
      </c>
      <c r="D58" s="289">
        <f t="shared" ref="D58:M58" si="28">IF(D$4="","",D44-D55-D56-D57)</f>
        <v>-272403</v>
      </c>
      <c r="E58" s="289">
        <f t="shared" si="28"/>
        <v>-234048</v>
      </c>
      <c r="F58" s="289">
        <f t="shared" si="28"/>
        <v>-365975</v>
      </c>
      <c r="G58" s="289">
        <f t="shared" si="28"/>
        <v>-338443</v>
      </c>
      <c r="H58" s="289">
        <f t="shared" si="28"/>
        <v>-332154</v>
      </c>
      <c r="I58" s="289">
        <f t="shared" si="28"/>
        <v>-344111</v>
      </c>
      <c r="J58" s="289">
        <f t="shared" si="28"/>
        <v>-326857</v>
      </c>
      <c r="K58" s="289">
        <f t="shared" si="28"/>
        <v>-46667</v>
      </c>
      <c r="L58" s="289">
        <f t="shared" si="28"/>
        <v>-257343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626674</v>
      </c>
      <c r="D64" s="274">
        <f t="shared" ref="D64:M64" si="32">IF(D$4="","",D22+D23+D24)</f>
        <v>92756</v>
      </c>
      <c r="E64" s="274">
        <f t="shared" si="32"/>
        <v>-53060</v>
      </c>
      <c r="F64" s="274">
        <f t="shared" si="32"/>
        <v>-360699</v>
      </c>
      <c r="G64" s="274">
        <f t="shared" si="32"/>
        <v>70660</v>
      </c>
      <c r="H64" s="274">
        <f t="shared" si="32"/>
        <v>-117795</v>
      </c>
      <c r="I64" s="274">
        <f t="shared" si="32"/>
        <v>38195</v>
      </c>
      <c r="J64" s="274">
        <f t="shared" si="32"/>
        <v>110847</v>
      </c>
      <c r="K64" s="274">
        <f t="shared" si="32"/>
        <v>591833</v>
      </c>
      <c r="L64" s="274">
        <f t="shared" si="32"/>
        <v>-55437</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9">
        <f t="shared" ref="D76:M76" si="39">IF(D$4="","",D79+D80)</f>
        <v>5636695</v>
      </c>
      <c r="E76" s="289">
        <f t="shared" si="39"/>
        <v>5849519</v>
      </c>
      <c r="F76" s="289">
        <f t="shared" si="39"/>
        <v>6807120</v>
      </c>
      <c r="G76" s="289">
        <f t="shared" si="39"/>
        <v>7276410</v>
      </c>
      <c r="H76" s="289">
        <f t="shared" si="39"/>
        <v>6410495</v>
      </c>
      <c r="I76" s="289">
        <f t="shared" si="39"/>
        <v>5878209</v>
      </c>
      <c r="J76" s="289">
        <f t="shared" si="39"/>
        <v>5182178</v>
      </c>
      <c r="K76" s="289">
        <f t="shared" si="39"/>
        <v>4486607</v>
      </c>
      <c r="L76" s="289">
        <f t="shared" si="39"/>
        <v>4184826</v>
      </c>
      <c r="M76" s="289" t="str">
        <f t="shared" si="39"/>
        <v/>
      </c>
    </row>
    <row r="77" spans="2:13">
      <c r="B77" s="90" t="s">
        <v>82</v>
      </c>
      <c r="C77" s="263">
        <f t="shared" ref="C77:H78" si="40">IF(C$4="","",C28)</f>
        <v>823619</v>
      </c>
      <c r="D77" s="286">
        <f t="shared" si="40"/>
        <v>715301</v>
      </c>
      <c r="E77" s="286">
        <f t="shared" si="40"/>
        <v>788957</v>
      </c>
      <c r="F77" s="286">
        <f t="shared" si="40"/>
        <v>804496</v>
      </c>
      <c r="G77" s="286">
        <f t="shared" si="40"/>
        <v>819987</v>
      </c>
      <c r="H77" s="286">
        <f t="shared" si="40"/>
        <v>707687</v>
      </c>
      <c r="I77" s="295"/>
      <c r="J77" s="295"/>
      <c r="K77" s="295"/>
      <c r="L77" s="295"/>
      <c r="M77" s="295"/>
    </row>
    <row r="78" spans="2:13">
      <c r="B78" s="90" t="s">
        <v>83</v>
      </c>
      <c r="C78" s="263">
        <f t="shared" si="40"/>
        <v>533268</v>
      </c>
      <c r="D78" s="286">
        <f t="shared" si="40"/>
        <v>554546</v>
      </c>
      <c r="E78" s="286">
        <f t="shared" si="40"/>
        <v>639615</v>
      </c>
      <c r="F78" s="286">
        <f t="shared" si="40"/>
        <v>773384</v>
      </c>
      <c r="G78" s="286">
        <f t="shared" si="40"/>
        <v>725526</v>
      </c>
      <c r="H78" s="286">
        <f t="shared" si="40"/>
        <v>593559</v>
      </c>
      <c r="I78" s="295"/>
      <c r="J78" s="295"/>
      <c r="K78" s="295"/>
      <c r="L78" s="295"/>
      <c r="M78" s="295"/>
    </row>
    <row r="79" spans="2:13">
      <c r="B79" s="25" t="s">
        <v>38</v>
      </c>
      <c r="C79" s="262">
        <f t="shared" ref="C79:M79" si="41">IF(C$4="","",C30)</f>
        <v>2466518</v>
      </c>
      <c r="D79" s="274">
        <f t="shared" si="41"/>
        <v>2524058</v>
      </c>
      <c r="E79" s="274">
        <f t="shared" si="41"/>
        <v>2748929</v>
      </c>
      <c r="F79" s="274">
        <f t="shared" si="41"/>
        <v>3238021</v>
      </c>
      <c r="G79" s="274">
        <f t="shared" si="41"/>
        <v>3319536</v>
      </c>
      <c r="H79" s="274">
        <f t="shared" si="41"/>
        <v>2992391</v>
      </c>
      <c r="I79" s="274">
        <f t="shared" si="41"/>
        <v>2408649</v>
      </c>
      <c r="J79" s="274">
        <f t="shared" si="41"/>
        <v>2013032</v>
      </c>
      <c r="K79" s="274">
        <f t="shared" si="41"/>
        <v>1796901</v>
      </c>
      <c r="L79" s="274">
        <f t="shared" si="41"/>
        <v>1772963</v>
      </c>
      <c r="M79" s="274" t="str">
        <f t="shared" si="41"/>
        <v/>
      </c>
    </row>
    <row r="80" spans="2:13">
      <c r="B80" s="25" t="s">
        <v>28</v>
      </c>
      <c r="C80" s="262">
        <f t="shared" ref="C80:M80" si="42">IF(C$4="","",C31)</f>
        <v>3182182</v>
      </c>
      <c r="D80" s="274">
        <f t="shared" si="42"/>
        <v>3112637</v>
      </c>
      <c r="E80" s="274">
        <f t="shared" si="42"/>
        <v>3100590</v>
      </c>
      <c r="F80" s="274">
        <f t="shared" si="42"/>
        <v>3569099</v>
      </c>
      <c r="G80" s="274">
        <f t="shared" si="42"/>
        <v>3956874</v>
      </c>
      <c r="H80" s="274">
        <f t="shared" si="42"/>
        <v>3418104</v>
      </c>
      <c r="I80" s="274">
        <f t="shared" si="42"/>
        <v>3469560</v>
      </c>
      <c r="J80" s="274">
        <f t="shared" si="42"/>
        <v>3169146</v>
      </c>
      <c r="K80" s="274">
        <f t="shared" si="42"/>
        <v>2689706</v>
      </c>
      <c r="L80" s="274">
        <f t="shared" si="42"/>
        <v>2411863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404</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91">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2.9583593476263985</v>
      </c>
      <c r="D47" s="134">
        <f>D46*H1/Common_Shares*Exchange_Rate</f>
        <v>-0.16671611581654458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1.1002434563583587</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0.11695926108159323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763124.96358635789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-496985.71055833338</v>
      </c>
      <c r="D73" s="289">
        <f>(Normalized_FCF!C26+Normalized_FCF!C35-Normalized_FCF!C89)/12</f>
        <v>-506169.03641364205</v>
      </c>
      <c r="F73" s="1" t="s">
        <v>278</v>
      </c>
    </row>
    <row r="74" spans="2:6" ht="15" customHeight="1">
      <c r="B74" s="227" t="s">
        <v>259</v>
      </c>
      <c r="C74" s="228">
        <f>-$C$66/C73</f>
        <v>2.5539848994330741</v>
      </c>
      <c r="D74" s="228">
        <f>-$C$66/D73</f>
        <v>2.5076484507889401</v>
      </c>
      <c r="F74" s="223" t="s">
        <v>257</v>
      </c>
    </row>
    <row r="75" spans="2:6" ht="15" customHeight="1">
      <c r="B75" s="77" t="s">
        <v>258</v>
      </c>
      <c r="C75" s="264"/>
      <c r="D75" s="265">
        <f>MAX(-D73*D76,G5)</f>
        <v>506169.03641364205</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-0.54074655831119844</v>
      </c>
      <c r="E86" s="214" t="str">
        <f>Market_currency</f>
        <v>HKD</v>
      </c>
    </row>
    <row r="87" spans="2:8" ht="15" customHeight="1">
      <c r="B87" s="212" t="s">
        <v>240</v>
      </c>
      <c r="C87" s="73">
        <f>DCF!F5*Exchange_Rate</f>
        <v>763124.96358635789</v>
      </c>
      <c r="D87" s="201">
        <f>C87*scaling_factor/Common_Shares</f>
        <v>0.73223554207496233</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199566.96358635789</v>
      </c>
      <c r="D89" s="216">
        <f>SUM(D86:D88)</f>
        <v>0.19148898376376389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6273585</v>
      </c>
      <c r="D4" s="54"/>
      <c r="E4" s="236"/>
      <c r="F4" s="54"/>
      <c r="G4" s="274">
        <f>Data!C36</f>
        <v>6273585</v>
      </c>
      <c r="H4" s="274">
        <f>Data!D36</f>
        <v>6217123</v>
      </c>
      <c r="I4" s="274">
        <f>Data!E36</f>
        <v>6340559</v>
      </c>
      <c r="J4" s="274">
        <f>Data!F36</f>
        <v>6501215</v>
      </c>
      <c r="K4" s="274">
        <f>Data!G36</f>
        <v>7519817</v>
      </c>
      <c r="L4" s="274">
        <f>Data!H36</f>
        <v>7232641</v>
      </c>
      <c r="M4" s="274">
        <f>Data!I36</f>
        <v>7526495</v>
      </c>
      <c r="N4" s="274">
        <f>Data!J36</f>
        <v>6464525</v>
      </c>
      <c r="O4" s="274">
        <f>Data!K36</f>
        <v>5406090</v>
      </c>
      <c r="P4" s="274">
        <f>Data!L36</f>
        <v>5551898</v>
      </c>
      <c r="Q4" s="274" t="str">
        <f>Data!M36</f>
        <v/>
      </c>
    </row>
    <row r="5" spans="1:17" ht="15.75" customHeight="1">
      <c r="A5" s="10"/>
      <c r="B5" s="2" t="s">
        <v>43</v>
      </c>
      <c r="C5" s="270">
        <f>C26</f>
        <v>-5066954.9102637041</v>
      </c>
      <c r="E5" s="238"/>
      <c r="G5" s="274">
        <f t="shared" ref="G5:Q5" si="1">G26</f>
        <v>-4956755</v>
      </c>
      <c r="H5" s="274">
        <f t="shared" si="1"/>
        <v>-5082035</v>
      </c>
      <c r="I5" s="274">
        <f t="shared" si="1"/>
        <v>-5353193</v>
      </c>
      <c r="J5" s="274">
        <f t="shared" si="1"/>
        <v>-5645733</v>
      </c>
      <c r="K5" s="274">
        <f t="shared" si="1"/>
        <v>-5679942</v>
      </c>
      <c r="L5" s="274">
        <f t="shared" si="1"/>
        <v>-5493607</v>
      </c>
      <c r="M5" s="274">
        <f t="shared" si="1"/>
        <v>-5589179</v>
      </c>
      <c r="N5" s="274">
        <f t="shared" si="1"/>
        <v>-4774138</v>
      </c>
      <c r="O5" s="274">
        <f t="shared" si="1"/>
        <v>-4024221</v>
      </c>
      <c r="P5" s="274">
        <f t="shared" si="1"/>
        <v>-4222924</v>
      </c>
      <c r="Q5" s="274" t="str">
        <f t="shared" si="1"/>
        <v/>
      </c>
    </row>
    <row r="6" spans="1:17" ht="15.75" customHeight="1">
      <c r="A6" s="10"/>
      <c r="B6" s="30" t="s">
        <v>45</v>
      </c>
      <c r="C6" s="271">
        <f>C4+C5</f>
        <v>1206630.0897362959</v>
      </c>
      <c r="E6" s="238"/>
      <c r="G6" s="271">
        <f>IF(G4="","",G4+G5)</f>
        <v>1316830</v>
      </c>
      <c r="H6" s="271">
        <f t="shared" ref="H6:Q6" si="2">IF(H4="","",H4+H5)</f>
        <v>1135088</v>
      </c>
      <c r="I6" s="271">
        <f t="shared" si="2"/>
        <v>987366</v>
      </c>
      <c r="J6" s="271">
        <f t="shared" si="2"/>
        <v>855482</v>
      </c>
      <c r="K6" s="271">
        <f t="shared" si="2"/>
        <v>1839875</v>
      </c>
      <c r="L6" s="271">
        <f t="shared" si="2"/>
        <v>1739034</v>
      </c>
      <c r="M6" s="271">
        <f t="shared" si="2"/>
        <v>1937316</v>
      </c>
      <c r="N6" s="271">
        <f t="shared" si="2"/>
        <v>1690387</v>
      </c>
      <c r="O6" s="271">
        <f t="shared" si="2"/>
        <v>1381869</v>
      </c>
      <c r="P6" s="271">
        <f t="shared" si="2"/>
        <v>1328974</v>
      </c>
      <c r="Q6" s="271" t="str">
        <f t="shared" si="2"/>
        <v/>
      </c>
    </row>
    <row r="7" spans="1:17" ht="15.75" customHeight="1">
      <c r="A7" s="10"/>
      <c r="B7" s="8" t="s">
        <v>42</v>
      </c>
      <c r="C7" s="270">
        <f>C35</f>
        <v>-694418</v>
      </c>
      <c r="E7" s="238"/>
      <c r="G7" s="270">
        <f t="shared" ref="G7:Q7" si="3">G35</f>
        <v>-694418</v>
      </c>
      <c r="H7" s="270">
        <f t="shared" si="3"/>
        <v>-700989</v>
      </c>
      <c r="I7" s="270">
        <f t="shared" si="3"/>
        <v>-671978</v>
      </c>
      <c r="J7" s="270">
        <f t="shared" si="3"/>
        <v>-702358</v>
      </c>
      <c r="K7" s="270">
        <f t="shared" si="3"/>
        <v>-723003</v>
      </c>
      <c r="L7" s="270">
        <f t="shared" si="3"/>
        <v>-716880</v>
      </c>
      <c r="M7" s="270">
        <f t="shared" si="3"/>
        <v>-635281</v>
      </c>
      <c r="N7" s="270">
        <f t="shared" si="3"/>
        <v>-559096</v>
      </c>
      <c r="O7" s="270">
        <f t="shared" si="3"/>
        <v>-487795</v>
      </c>
      <c r="P7" s="270">
        <f t="shared" si="3"/>
        <v>-468279</v>
      </c>
      <c r="Q7" s="270" t="str">
        <f t="shared" si="3"/>
        <v/>
      </c>
    </row>
    <row r="8" spans="1:17" ht="15.75" customHeight="1">
      <c r="A8" s="10"/>
      <c r="B8" s="28" t="s">
        <v>127</v>
      </c>
      <c r="C8" s="272">
        <f>C6+C7</f>
        <v>512212.08973629586</v>
      </c>
      <c r="D8" s="56"/>
      <c r="E8" s="244"/>
      <c r="F8" s="56"/>
      <c r="G8" s="271">
        <f>IF(G$4="","",G6+G7)</f>
        <v>622412</v>
      </c>
      <c r="H8" s="271">
        <f t="shared" ref="H8:Q8" si="4">IF(H$4="","",H6+H7)</f>
        <v>434099</v>
      </c>
      <c r="I8" s="271">
        <f t="shared" si="4"/>
        <v>315388</v>
      </c>
      <c r="J8" s="271">
        <f t="shared" si="4"/>
        <v>153124</v>
      </c>
      <c r="K8" s="271">
        <f t="shared" si="4"/>
        <v>1116872</v>
      </c>
      <c r="L8" s="271">
        <f t="shared" si="4"/>
        <v>1022154</v>
      </c>
      <c r="M8" s="271">
        <f t="shared" si="4"/>
        <v>1302035</v>
      </c>
      <c r="N8" s="271">
        <f t="shared" si="4"/>
        <v>1131291</v>
      </c>
      <c r="O8" s="271">
        <f t="shared" si="4"/>
        <v>894074</v>
      </c>
      <c r="P8" s="271">
        <f t="shared" si="4"/>
        <v>860695</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-30776.465781518142</v>
      </c>
      <c r="E10" s="238"/>
      <c r="G10" s="270">
        <f>G48</f>
        <v>-33116</v>
      </c>
      <c r="H10" s="270">
        <f t="shared" ref="H10:Q10" si="6">H48</f>
        <v>-30028</v>
      </c>
      <c r="I10" s="270">
        <f t="shared" si="6"/>
        <v>-32547</v>
      </c>
      <c r="J10" s="270">
        <f t="shared" si="6"/>
        <v>-23071</v>
      </c>
      <c r="K10" s="270">
        <f t="shared" si="6"/>
        <v>-11770</v>
      </c>
      <c r="L10" s="270">
        <f t="shared" si="6"/>
        <v>-10932</v>
      </c>
      <c r="M10" s="270">
        <f t="shared" si="6"/>
        <v>-2086</v>
      </c>
      <c r="N10" s="270">
        <f t="shared" si="6"/>
        <v>-1700</v>
      </c>
      <c r="O10" s="270">
        <f t="shared" si="6"/>
        <v>-3730</v>
      </c>
      <c r="P10" s="270">
        <f t="shared" si="6"/>
        <v>-4044</v>
      </c>
      <c r="Q10" s="270" t="str">
        <f t="shared" si="6"/>
        <v/>
      </c>
    </row>
    <row r="11" spans="1:17" ht="15.75" customHeight="1">
      <c r="A11" s="10"/>
      <c r="B11" s="67" t="s">
        <v>137</v>
      </c>
      <c r="C11" s="271">
        <f>SUM(C8:C10)</f>
        <v>481435.62395477772</v>
      </c>
      <c r="E11" s="238"/>
      <c r="G11" s="271">
        <f t="shared" ref="G11:Q11" si="7">IF(G$4="","",SUM(G8:G10))</f>
        <v>589296</v>
      </c>
      <c r="H11" s="271">
        <f t="shared" si="7"/>
        <v>404071</v>
      </c>
      <c r="I11" s="271">
        <f t="shared" si="7"/>
        <v>282841</v>
      </c>
      <c r="J11" s="271">
        <f t="shared" si="7"/>
        <v>130053</v>
      </c>
      <c r="K11" s="271">
        <f t="shared" si="7"/>
        <v>1105102</v>
      </c>
      <c r="L11" s="271">
        <f t="shared" si="7"/>
        <v>1011222</v>
      </c>
      <c r="M11" s="271">
        <f t="shared" si="7"/>
        <v>1299949</v>
      </c>
      <c r="N11" s="271">
        <f t="shared" si="7"/>
        <v>1129591</v>
      </c>
      <c r="O11" s="271">
        <f t="shared" si="7"/>
        <v>890344</v>
      </c>
      <c r="P11" s="271">
        <f t="shared" si="7"/>
        <v>856651</v>
      </c>
      <c r="Q11" s="271" t="str">
        <f t="shared" si="7"/>
        <v/>
      </c>
    </row>
    <row r="12" spans="1:17" ht="15.75" customHeight="1">
      <c r="A12" s="10"/>
      <c r="B12" s="2" t="s">
        <v>60</v>
      </c>
      <c r="C12" s="270">
        <f>-C11*C41</f>
        <v>-120358.90598869443</v>
      </c>
      <c r="E12" s="238"/>
      <c r="G12" s="270">
        <f>Data!C46</f>
        <v>-76422</v>
      </c>
      <c r="H12" s="270">
        <f>Data!D46</f>
        <v>-13880</v>
      </c>
      <c r="I12" s="270">
        <f>Data!E46</f>
        <v>-27736</v>
      </c>
      <c r="J12" s="270">
        <f>Data!F46</f>
        <v>74541</v>
      </c>
      <c r="K12" s="270">
        <f>Data!G46</f>
        <v>-177151</v>
      </c>
      <c r="L12" s="270">
        <f>Data!H46</f>
        <v>-109477</v>
      </c>
      <c r="M12" s="270">
        <f>Data!I46</f>
        <v>-208143</v>
      </c>
      <c r="N12" s="270">
        <f>Data!J46</f>
        <v>-160679</v>
      </c>
      <c r="O12" s="270">
        <f>Data!K46</f>
        <v>-190383</v>
      </c>
      <c r="P12" s="270">
        <f>Data!L46</f>
        <v>-34064</v>
      </c>
      <c r="Q12" s="270" t="str">
        <f>Data!M46</f>
        <v/>
      </c>
    </row>
    <row r="13" spans="1:17" ht="15.75" customHeight="1">
      <c r="A13" s="10"/>
      <c r="B13" s="38" t="s">
        <v>208</v>
      </c>
      <c r="C13" s="270">
        <f>-C4*C79</f>
        <v>-34340.371018337282</v>
      </c>
      <c r="D13" s="57"/>
      <c r="E13" s="245"/>
      <c r="F13" s="57"/>
      <c r="G13" s="274">
        <f>Data!C48</f>
        <v>-5894</v>
      </c>
      <c r="H13" s="274">
        <f>Data!D48</f>
        <v>-1421</v>
      </c>
      <c r="I13" s="274">
        <f>Data!E48</f>
        <v>0</v>
      </c>
      <c r="J13" s="274">
        <f>Data!F48</f>
        <v>0</v>
      </c>
      <c r="K13" s="274">
        <f>Data!G48</f>
        <v>-41162</v>
      </c>
      <c r="L13" s="274">
        <f>Data!H48</f>
        <v>-33713</v>
      </c>
      <c r="M13" s="274">
        <f>Data!I48</f>
        <v>-51788</v>
      </c>
      <c r="N13" s="274">
        <f>Data!J48</f>
        <v>-56281</v>
      </c>
      <c r="O13" s="274">
        <f>Data!K48</f>
        <v>-34922</v>
      </c>
      <c r="P13" s="274">
        <f>Data!L48</f>
        <v>-34628</v>
      </c>
      <c r="Q13" s="274" t="str">
        <f>Data!M48</f>
        <v/>
      </c>
    </row>
    <row r="14" spans="1:17" ht="15.75" customHeight="1">
      <c r="A14" s="10"/>
      <c r="B14" s="39" t="s">
        <v>129</v>
      </c>
      <c r="C14" s="273">
        <f>SUM(C11:C13)</f>
        <v>326736.34694774606</v>
      </c>
      <c r="D14" s="58"/>
      <c r="E14" s="246"/>
      <c r="F14" s="58"/>
      <c r="G14" s="271">
        <f t="shared" ref="G14:Q14" si="8">IF(G$4="","",SUM(G11:G13))</f>
        <v>506980</v>
      </c>
      <c r="H14" s="271">
        <f t="shared" si="8"/>
        <v>388770</v>
      </c>
      <c r="I14" s="271">
        <f t="shared" si="8"/>
        <v>255105</v>
      </c>
      <c r="J14" s="271">
        <f t="shared" si="8"/>
        <v>204594</v>
      </c>
      <c r="K14" s="271">
        <f t="shared" si="8"/>
        <v>886789</v>
      </c>
      <c r="L14" s="271">
        <f t="shared" si="8"/>
        <v>868032</v>
      </c>
      <c r="M14" s="271">
        <f t="shared" si="8"/>
        <v>1040018</v>
      </c>
      <c r="N14" s="271">
        <f t="shared" si="8"/>
        <v>912631</v>
      </c>
      <c r="O14" s="271">
        <f t="shared" si="8"/>
        <v>665039</v>
      </c>
      <c r="P14" s="271">
        <f t="shared" si="8"/>
        <v>787959</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326736.34694774606</v>
      </c>
      <c r="D19" s="26"/>
      <c r="E19" s="235"/>
      <c r="F19" s="26"/>
      <c r="G19" s="275">
        <f t="shared" ref="G19:Q19" si="9">IF(G$4="","",G14+G17)</f>
        <v>506980</v>
      </c>
      <c r="H19" s="275">
        <f t="shared" si="9"/>
        <v>388770</v>
      </c>
      <c r="I19" s="275">
        <f t="shared" si="9"/>
        <v>255105</v>
      </c>
      <c r="J19" s="275">
        <f t="shared" si="9"/>
        <v>204594</v>
      </c>
      <c r="K19" s="275">
        <f t="shared" si="9"/>
        <v>886789</v>
      </c>
      <c r="L19" s="275">
        <f t="shared" si="9"/>
        <v>868032</v>
      </c>
      <c r="M19" s="275">
        <f t="shared" si="9"/>
        <v>1040018</v>
      </c>
      <c r="N19" s="275">
        <f t="shared" si="9"/>
        <v>912631</v>
      </c>
      <c r="O19" s="275">
        <f t="shared" si="9"/>
        <v>665039</v>
      </c>
      <c r="P19" s="275">
        <f t="shared" si="9"/>
        <v>787959</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-3058030.6122435662</v>
      </c>
      <c r="D23" s="55"/>
      <c r="E23" s="237"/>
      <c r="F23" s="55"/>
      <c r="G23" s="274">
        <f>Data!C37</f>
        <v>-3056039</v>
      </c>
      <c r="H23" s="274">
        <f>Data!D37</f>
        <v>-3105686</v>
      </c>
      <c r="I23" s="274">
        <f>Data!E37</f>
        <v>-3328763</v>
      </c>
      <c r="J23" s="274">
        <f>Data!F37</f>
        <v>-3430534</v>
      </c>
      <c r="K23" s="274">
        <f>Data!G37</f>
        <v>-3565412</v>
      </c>
      <c r="L23" s="274">
        <f>Data!H37</f>
        <v>-3381150</v>
      </c>
      <c r="M23" s="274">
        <f>Data!I37</f>
        <v>-3484665</v>
      </c>
      <c r="N23" s="274">
        <f>Data!J37</f>
        <v>-3044767</v>
      </c>
      <c r="O23" s="274">
        <f>Data!K37</f>
        <v>-2532704</v>
      </c>
      <c r="P23" s="274">
        <f>Data!L37</f>
        <v>-2726117</v>
      </c>
      <c r="Q23" s="274" t="str">
        <f>Data!M37</f>
        <v/>
      </c>
    </row>
    <row r="24" spans="1:17" ht="15.75" customHeight="1">
      <c r="A24" s="10"/>
      <c r="B24" s="65" t="s">
        <v>59</v>
      </c>
      <c r="C24" s="270">
        <f>-C4*C30</f>
        <v>-2008924.2980201379</v>
      </c>
      <c r="D24" s="26"/>
      <c r="E24" s="235"/>
      <c r="F24" s="26"/>
      <c r="G24" s="274">
        <f>Data!C40</f>
        <v>-1900716</v>
      </c>
      <c r="H24" s="274">
        <f>Data!D40</f>
        <v>-1976349</v>
      </c>
      <c r="I24" s="274">
        <f>Data!E40</f>
        <v>-2024430</v>
      </c>
      <c r="J24" s="274">
        <f>Data!F40</f>
        <v>-2215199</v>
      </c>
      <c r="K24" s="274">
        <f>Data!G40</f>
        <v>-2114530</v>
      </c>
      <c r="L24" s="274">
        <f>Data!H40</f>
        <v>-2112457</v>
      </c>
      <c r="M24" s="274">
        <f>Data!I40</f>
        <v>-2104514</v>
      </c>
      <c r="N24" s="274">
        <f>Data!J40</f>
        <v>-1729371</v>
      </c>
      <c r="O24" s="274">
        <f>Data!K40</f>
        <v>-1491517</v>
      </c>
      <c r="P24" s="274">
        <f>Data!L40</f>
        <v>-1496807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-5066954.9102637041</v>
      </c>
      <c r="D26" s="9"/>
      <c r="E26" s="243"/>
      <c r="F26" s="9"/>
      <c r="G26" s="271">
        <f>IF(G$4="","",SUM(G23:G25))</f>
        <v>-4956755</v>
      </c>
      <c r="H26" s="271">
        <f t="shared" ref="H26:Q26" si="10">IF(H$4="","",SUM(H23:H25))</f>
        <v>-5082035</v>
      </c>
      <c r="I26" s="271">
        <f t="shared" si="10"/>
        <v>-5353193</v>
      </c>
      <c r="J26" s="271">
        <f t="shared" si="10"/>
        <v>-5645733</v>
      </c>
      <c r="K26" s="271">
        <f t="shared" si="10"/>
        <v>-5679942</v>
      </c>
      <c r="L26" s="271">
        <f t="shared" si="10"/>
        <v>-5493607</v>
      </c>
      <c r="M26" s="271">
        <f t="shared" si="10"/>
        <v>-5589179</v>
      </c>
      <c r="N26" s="271">
        <f t="shared" si="10"/>
        <v>-4774138</v>
      </c>
      <c r="O26" s="271">
        <f t="shared" si="10"/>
        <v>-4024221</v>
      </c>
      <c r="P26" s="271">
        <f t="shared" si="10"/>
        <v>-4222924</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0.48744547371934327</v>
      </c>
      <c r="D29" s="25"/>
      <c r="E29" s="236"/>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f>AVERAGE(G30:J30)</f>
        <v>0.32021950735028504</v>
      </c>
      <c r="D30" s="25"/>
      <c r="E30" s="236"/>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0.80766498106962836</v>
      </c>
      <c r="E32" s="238"/>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-694418</v>
      </c>
      <c r="D35" s="55"/>
      <c r="E35" s="237"/>
      <c r="F35" s="55"/>
      <c r="G35" s="271">
        <f>IF(G4="","",Data!C41)</f>
        <v>-694418</v>
      </c>
      <c r="H35" s="271">
        <f>IF(H4="","",Data!D41)</f>
        <v>-700989</v>
      </c>
      <c r="I35" s="271">
        <f>IF(I4="","",Data!E41)</f>
        <v>-671978</v>
      </c>
      <c r="J35" s="271">
        <f>IF(J4="","",Data!F41)</f>
        <v>-702358</v>
      </c>
      <c r="K35" s="271">
        <f>IF(K4="","",Data!G41)</f>
        <v>-723003</v>
      </c>
      <c r="L35" s="271">
        <f>IF(L4="","",Data!H41)</f>
        <v>-716880</v>
      </c>
      <c r="M35" s="271">
        <f>IF(M4="","",Data!I41)</f>
        <v>-635281</v>
      </c>
      <c r="N35" s="271">
        <f>IF(N4="","",Data!J41)</f>
        <v>-559096</v>
      </c>
      <c r="O35" s="271">
        <f>IF(O4="","",Data!K41)</f>
        <v>-487795</v>
      </c>
      <c r="P35" s="271">
        <f>IF(P4="","",Data!L41)</f>
        <v>-468279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0.11068918329790702</v>
      </c>
      <c r="E38" s="238"/>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-33813.479999999996</v>
      </c>
      <c r="E45" s="238"/>
      <c r="G45" s="270">
        <f>Data!C51</f>
        <v>-33116</v>
      </c>
      <c r="H45" s="270">
        <f>Data!D51</f>
        <v>-30028</v>
      </c>
      <c r="I45" s="270">
        <f>Data!E51</f>
        <v>-32547</v>
      </c>
      <c r="J45" s="270">
        <f>Data!F51</f>
        <v>-23071</v>
      </c>
      <c r="K45" s="270">
        <f>Data!G51</f>
        <v>-11770</v>
      </c>
      <c r="L45" s="270">
        <f>Data!H51</f>
        <v>-10932</v>
      </c>
      <c r="M45" s="270">
        <f>Data!I51</f>
        <v>-2086</v>
      </c>
      <c r="N45" s="270">
        <f>Data!J51</f>
        <v>-1700</v>
      </c>
      <c r="O45" s="270">
        <f>Data!K51</f>
        <v>-3730</v>
      </c>
      <c r="P45" s="270">
        <f>Data!L51</f>
        <v>-4044</v>
      </c>
      <c r="Q45" s="270" t="str">
        <f>Data!M51</f>
        <v/>
      </c>
    </row>
    <row r="46" spans="1:17" ht="15.75" customHeight="1">
      <c r="A46" s="10"/>
      <c r="B46" s="2" t="s">
        <v>272</v>
      </c>
      <c r="C46" s="270">
        <f>BS!D75*C51</f>
        <v>3037.0142184818524</v>
      </c>
      <c r="E46" s="238"/>
      <c r="G46" s="278">
        <f t="shared" ref="G46:Q46" si="17">IFERROR(IF(G$4="","",($C$46/$C$47)*G47),0)</f>
        <v>0</v>
      </c>
      <c r="H46" s="278">
        <f t="shared" si="17"/>
        <v>0</v>
      </c>
      <c r="I46" s="278">
        <f t="shared" si="17"/>
        <v>0</v>
      </c>
      <c r="J46" s="278">
        <f t="shared" si="17"/>
        <v>0</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7615.7640000000001</v>
      </c>
      <c r="D47" s="249"/>
      <c r="E47" s="250"/>
      <c r="F47" s="249"/>
      <c r="G47" s="282">
        <f>Data!C52</f>
        <v>0</v>
      </c>
      <c r="H47" s="282">
        <f>Data!D52</f>
        <v>0</v>
      </c>
      <c r="I47" s="282">
        <f>Data!E52</f>
        <v>0</v>
      </c>
      <c r="J47" s="282">
        <f>Data!F52</f>
        <v>0</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-30776.465781518142</v>
      </c>
      <c r="E48" s="238"/>
      <c r="G48" s="271">
        <f>IF(G$4="","",(G45+G46))</f>
        <v>-33116</v>
      </c>
      <c r="H48" s="271">
        <f t="shared" ref="H48:Q48" si="18">IF(H$4="","",(H45+H46))</f>
        <v>-30028</v>
      </c>
      <c r="I48" s="271">
        <f t="shared" si="18"/>
        <v>-32547</v>
      </c>
      <c r="J48" s="271">
        <f t="shared" si="18"/>
        <v>-23071</v>
      </c>
      <c r="K48" s="271">
        <f t="shared" si="18"/>
        <v>-11770</v>
      </c>
      <c r="L48" s="271">
        <f t="shared" si="18"/>
        <v>-10932</v>
      </c>
      <c r="M48" s="271">
        <f t="shared" si="18"/>
        <v>-2086</v>
      </c>
      <c r="N48" s="271">
        <f t="shared" si="18"/>
        <v>-1700</v>
      </c>
      <c r="O48" s="271">
        <f t="shared" si="18"/>
        <v>-3730</v>
      </c>
      <c r="P48" s="271">
        <f t="shared" si="18"/>
        <v>-4044</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5"/>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15.148162500171409</v>
      </c>
      <c r="E53" s="238"/>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-272306</v>
      </c>
      <c r="H60" s="270">
        <f>Data!D58</f>
        <v>-272403</v>
      </c>
      <c r="I60" s="270">
        <f>Data!E58</f>
        <v>-234048</v>
      </c>
      <c r="J60" s="270">
        <f>Data!F58</f>
        <v>-365975</v>
      </c>
      <c r="K60" s="270">
        <f>Data!G58</f>
        <v>-338443</v>
      </c>
      <c r="L60" s="270">
        <f>Data!H58</f>
        <v>-332154</v>
      </c>
      <c r="M60" s="270">
        <f>Data!I58</f>
        <v>-344111</v>
      </c>
      <c r="N60" s="270">
        <f>Data!J58</f>
        <v>-326857</v>
      </c>
      <c r="O60" s="270">
        <f>Data!K58</f>
        <v>-46667</v>
      </c>
      <c r="P60" s="270">
        <f>Data!L58</f>
        <v>-257343</v>
      </c>
      <c r="Q60" s="270" t="str">
        <f>Data!M58</f>
        <v/>
      </c>
    </row>
    <row r="61" spans="1:17" ht="15.75" customHeight="1">
      <c r="A61" s="10"/>
      <c r="B61" s="30" t="s">
        <v>164</v>
      </c>
      <c r="C61" s="271">
        <f>C59+C60</f>
        <v>0</v>
      </c>
      <c r="E61" s="238"/>
      <c r="G61" s="271">
        <f t="shared" ref="G61:Q61" si="21">IF(G4="","",G59+G60)</f>
        <v>-272306</v>
      </c>
      <c r="H61" s="271">
        <f t="shared" si="21"/>
        <v>-272403</v>
      </c>
      <c r="I61" s="271">
        <f t="shared" si="21"/>
        <v>-234048</v>
      </c>
      <c r="J61" s="271">
        <f t="shared" si="21"/>
        <v>-365975</v>
      </c>
      <c r="K61" s="271">
        <f t="shared" si="21"/>
        <v>-338443</v>
      </c>
      <c r="L61" s="271">
        <f t="shared" si="21"/>
        <v>-332154</v>
      </c>
      <c r="M61" s="271">
        <f t="shared" si="21"/>
        <v>-344111</v>
      </c>
      <c r="N61" s="271">
        <f t="shared" si="21"/>
        <v>-326857</v>
      </c>
      <c r="O61" s="271">
        <f t="shared" si="21"/>
        <v>-46667</v>
      </c>
      <c r="P61" s="271">
        <f t="shared" si="21"/>
        <v>-257343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0.80766498106962836</v>
      </c>
      <c r="D71" s="26"/>
      <c r="E71" s="235"/>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0.19233501893037169</v>
      </c>
      <c r="D72" s="26"/>
      <c r="E72" s="235"/>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5"/>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8.1645835632464664E-2</v>
      </c>
      <c r="D74" s="26"/>
      <c r="E74" s="235"/>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4.9057222914040601E-3</v>
      </c>
      <c r="D76" s="26"/>
      <c r="E76" s="235"/>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7.6740113341060609E-2</v>
      </c>
      <c r="D77" s="26"/>
      <c r="E77" s="235"/>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1.9185028335265152E-2</v>
      </c>
      <c r="D78" s="26"/>
      <c r="E78" s="235"/>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4">
        <f>MIN(BS!C62,MAX(G79:K79))</f>
        <v>5.4738034183544624E-3</v>
      </c>
      <c r="D79" s="26"/>
      <c r="E79" s="235"/>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5.2081281587441006E-2</v>
      </c>
      <c r="D80" s="26"/>
      <c r="E80" s="235"/>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5.2081281587441006E-2</v>
      </c>
      <c r="D85" s="72"/>
      <c r="E85" s="235"/>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312655.52669999999</v>
      </c>
      <c r="E89" s="238"/>
      <c r="G89" s="71">
        <f t="shared" ref="G89:Q89" si="36">IF(G$4="","",G88*Common_Shares/scaling_factor)</f>
        <v>312655.52669999999</v>
      </c>
      <c r="H89" s="71">
        <f t="shared" si="36"/>
        <v>291811.82492000004</v>
      </c>
      <c r="I89" s="71">
        <f t="shared" si="36"/>
        <v>448139.58827000007</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0.95690464076224135</v>
      </c>
      <c r="E90" s="238"/>
      <c r="G90" s="152">
        <f t="shared" ref="G90:Q90" si="37">IF(G$4="","",G88/(G19*scaling_factor/Common_Shares))</f>
        <v>0.61670189494654626</v>
      </c>
      <c r="H90" s="152">
        <f t="shared" si="37"/>
        <v>0.75060273405869804</v>
      </c>
      <c r="I90" s="152">
        <f t="shared" si="37"/>
        <v>1.7566868084514222</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4.1347626339969371E-2</v>
      </c>
      <c r="E92" s="238"/>
      <c r="G92" s="22">
        <f t="shared" ref="G92:Q92" si="38">IF(G$4="","",(G88*(1-dividend_tax_rate))/Market_Price)</f>
        <v>4.1347626339969371E-2</v>
      </c>
      <c r="H92" s="22">
        <f t="shared" si="38"/>
        <v>3.8591117917304754E-2</v>
      </c>
      <c r="I92" s="22">
        <f t="shared" si="38"/>
        <v>5.9264931087289439E-2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-0.18303259490175106</v>
      </c>
      <c r="D96" s="26"/>
      <c r="E96" s="235"/>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5648700</v>
      </c>
      <c r="D100" s="25"/>
      <c r="E100" s="239"/>
      <c r="F100" s="25"/>
      <c r="G100" s="274">
        <f t="shared" ref="G100:Q100" si="41">IF(G$4="","",G104+G103)</f>
        <v>5648700</v>
      </c>
      <c r="H100" s="274">
        <f t="shared" si="41"/>
        <v>5636695</v>
      </c>
      <c r="I100" s="274">
        <f t="shared" si="41"/>
        <v>5849519</v>
      </c>
      <c r="J100" s="274">
        <f t="shared" si="41"/>
        <v>6807120</v>
      </c>
      <c r="K100" s="274">
        <f t="shared" si="41"/>
        <v>7276410</v>
      </c>
      <c r="L100" s="274">
        <f t="shared" si="41"/>
        <v>6410495</v>
      </c>
      <c r="M100" s="274">
        <f t="shared" si="41"/>
        <v>5878209</v>
      </c>
      <c r="N100" s="274">
        <f t="shared" si="41"/>
        <v>5182178</v>
      </c>
      <c r="O100" s="274">
        <f t="shared" si="41"/>
        <v>4486607</v>
      </c>
      <c r="P100" s="274">
        <f t="shared" si="41"/>
        <v>4184826</v>
      </c>
      <c r="Q100" s="274" t="str">
        <f t="shared" si="41"/>
        <v/>
      </c>
    </row>
    <row r="101" spans="1:17" ht="15.75" customHeight="1">
      <c r="A101" s="10"/>
      <c r="B101" s="90" t="s">
        <v>179</v>
      </c>
      <c r="C101" s="285">
        <f>BS!C4</f>
        <v>823619</v>
      </c>
      <c r="D101" s="86"/>
      <c r="E101" s="240"/>
      <c r="F101" s="86"/>
      <c r="G101" s="286">
        <f>IF(G$4="","",Data!D77)</f>
        <v>715301</v>
      </c>
      <c r="H101" s="286">
        <f>IF(H$4="","",Data!E77)</f>
        <v>788957</v>
      </c>
      <c r="I101" s="286">
        <f>IF(I$4="","",Data!F77)</f>
        <v>804496</v>
      </c>
      <c r="J101" s="286">
        <f>IF(J$4="","",Data!G77)</f>
        <v>819987</v>
      </c>
      <c r="K101" s="286">
        <f>IF(K$4="","",Data!H77)</f>
        <v>707687</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533268</v>
      </c>
      <c r="D102" s="86"/>
      <c r="E102" s="240"/>
      <c r="F102" s="86"/>
      <c r="G102" s="286">
        <f>IF(G$4="","",Data!D78)</f>
        <v>554546</v>
      </c>
      <c r="H102" s="286">
        <f>IF(H$4="","",Data!E78)</f>
        <v>639615</v>
      </c>
      <c r="I102" s="286">
        <f>IF(I$4="","",Data!F78)</f>
        <v>773384</v>
      </c>
      <c r="J102" s="286">
        <f>IF(J$4="","",Data!G78)</f>
        <v>725526</v>
      </c>
      <c r="K102" s="286">
        <f>IF(K$4="","",Data!H78)</f>
        <v>593559</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2466518</v>
      </c>
      <c r="D103" s="25"/>
      <c r="E103" s="239"/>
      <c r="F103" s="25"/>
      <c r="G103" s="274">
        <f>Data!C79</f>
        <v>2466518</v>
      </c>
      <c r="H103" s="274">
        <f>Data!D79</f>
        <v>2524058</v>
      </c>
      <c r="I103" s="274">
        <f>Data!E79</f>
        <v>2748929</v>
      </c>
      <c r="J103" s="274">
        <f>Data!F79</f>
        <v>3238021</v>
      </c>
      <c r="K103" s="274">
        <f>Data!G79</f>
        <v>3319536</v>
      </c>
      <c r="L103" s="274">
        <f>Data!H79</f>
        <v>2992391</v>
      </c>
      <c r="M103" s="274">
        <f>Data!I79</f>
        <v>2408649</v>
      </c>
      <c r="N103" s="274">
        <f>Data!J79</f>
        <v>2013032</v>
      </c>
      <c r="O103" s="274">
        <f>Data!K79</f>
        <v>1796901</v>
      </c>
      <c r="P103" s="274">
        <f>Data!L79</f>
        <v>1772963</v>
      </c>
      <c r="Q103" s="274" t="str">
        <f>Data!M79</f>
        <v/>
      </c>
    </row>
    <row r="104" spans="1:17" ht="15.75" customHeight="1">
      <c r="A104" s="10"/>
      <c r="B104" s="25" t="s">
        <v>28</v>
      </c>
      <c r="C104" s="284">
        <f>BS!G27</f>
        <v>3182182</v>
      </c>
      <c r="D104" s="25"/>
      <c r="E104" s="239"/>
      <c r="F104" s="25"/>
      <c r="G104" s="274">
        <f>Data!C80</f>
        <v>3182182</v>
      </c>
      <c r="H104" s="274">
        <f>Data!D80</f>
        <v>3112637</v>
      </c>
      <c r="I104" s="274">
        <f>Data!E80</f>
        <v>3100590</v>
      </c>
      <c r="J104" s="274">
        <f>Data!F80</f>
        <v>3569099</v>
      </c>
      <c r="K104" s="274">
        <f>Data!G80</f>
        <v>3956874</v>
      </c>
      <c r="L104" s="274">
        <f>Data!H80</f>
        <v>3418104</v>
      </c>
      <c r="M104" s="274">
        <f>Data!I80</f>
        <v>3469560</v>
      </c>
      <c r="N104" s="274">
        <f>Data!J80</f>
        <v>3169146</v>
      </c>
      <c r="O104" s="274">
        <f>Data!K80</f>
        <v>2689706</v>
      </c>
      <c r="P104" s="274">
        <f>Data!L80</f>
        <v>2411863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9"/>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9"/>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3.5707866382893818</v>
      </c>
      <c r="H112" s="254">
        <f>IF(H$4="","",Data!D$22/Data!D15)</f>
        <v>6.7115750331103339</v>
      </c>
      <c r="I112" s="254">
        <f>IF(I$4="","",Data!E$22/Data!E15)</f>
        <v>23.856912190720426</v>
      </c>
      <c r="J112" s="254">
        <f>IF(J$4="","",Data!F$22/Data!F15)</f>
        <v>-0.77078466486141495</v>
      </c>
      <c r="K112" s="254">
        <f>IF(K$4="","",Data!G$22/Data!G15)</f>
        <v>2.1369786330295772</v>
      </c>
      <c r="L112" s="254">
        <f>IF(L$4="","",Data!H$22/Data!H15)</f>
        <v>2.2117238509737689</v>
      </c>
      <c r="M112" s="254">
        <f>IF(M$4="","",Data!I$22/Data!I15)</f>
        <v>1.7028734978834952</v>
      </c>
      <c r="N112" s="254">
        <f>IF(N$4="","",Data!J$22/Data!J15)</f>
        <v>1.659577450529939</v>
      </c>
      <c r="O112" s="254">
        <f>IF(O$4="","",Data!K$22/Data!K15)</f>
        <v>1.4463809555881426</v>
      </c>
      <c r="P112" s="254">
        <f>IF(P$4="","",Data!L$22/Data!L15)</f>
        <v>1.1158791601503069</v>
      </c>
      <c r="Q112" s="254" t="str">
        <f>IF(Q$4="","",Data!M$22/Data!M15)</f>
        <v/>
      </c>
    </row>
    <row r="113" spans="1:17" ht="15.75" customHeight="1">
      <c r="A113" s="10"/>
      <c r="B113" s="2" t="s">
        <v>304</v>
      </c>
      <c r="C113" s="151"/>
      <c r="E113" s="238"/>
      <c r="G113" s="254">
        <f>IF(G$4="","",Data!C$22/G19)</f>
        <v>1.6943804489328969</v>
      </c>
      <c r="H113" s="254">
        <f>IF(H$4="","",Data!D$22/H19)</f>
        <v>2.0334465107904416</v>
      </c>
      <c r="I113" s="254">
        <f>IF(I$4="","",Data!E$22/I19)</f>
        <v>1.9692087571784167</v>
      </c>
      <c r="J113" s="254">
        <f>IF(J$4="","",Data!F$22/J19)</f>
        <v>0.60798459387860837</v>
      </c>
      <c r="K113" s="254">
        <f>IF(K$4="","",Data!G$22/K19)</f>
        <v>1.4205927227333672</v>
      </c>
      <c r="L113" s="254">
        <f>IF(L$4="","",Data!H$22/L19)</f>
        <v>1.4513036385755365</v>
      </c>
      <c r="M113" s="254">
        <f>IF(M$4="","",Data!I$22/M19)</f>
        <v>1.2242384266426158</v>
      </c>
      <c r="N113" s="254">
        <f>IF(N$4="","",Data!J$22/N19)</f>
        <v>1.1675474534614756</v>
      </c>
      <c r="O113" s="254">
        <f>IF(O$4="","",Data!K$22/O19)</f>
        <v>1.4208369734707287</v>
      </c>
      <c r="P113" s="254">
        <f>IF(P$4="","",Data!L$22/P19)</f>
        <v>0.80047819746966531</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7.6740113341060609E-2</v>
      </c>
      <c r="E116" s="238"/>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0">
        <f>C4/C100</f>
        <v>1.1106245684847842</v>
      </c>
      <c r="E117" s="238"/>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242"/>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99">
        <f>C11/C104</f>
        <v>0.15129103990745271</v>
      </c>
      <c r="D119" s="100"/>
      <c r="E119" s="241"/>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0.31351086327790095</v>
      </c>
      <c r="D123" s="26"/>
      <c r="E123" s="235"/>
      <c r="F123" s="26"/>
      <c r="G123" s="159">
        <f t="shared" ref="G123:Q123" si="48">IF(G$4="","",G14*$C$3/Common_Shares*Exchange_Rate)</f>
        <v>0.48645869658954599</v>
      </c>
      <c r="H123" s="159">
        <f t="shared" si="48"/>
        <v>0.3730335466352081</v>
      </c>
      <c r="I123" s="159">
        <f t="shared" si="48"/>
        <v>0.24477897706709562</v>
      </c>
      <c r="J123" s="159">
        <f t="shared" si="48"/>
        <v>0.19631253810809415</v>
      </c>
      <c r="K123" s="159">
        <f t="shared" si="48"/>
        <v>0.85089396246389781</v>
      </c>
      <c r="L123" s="159">
        <f t="shared" si="48"/>
        <v>0.8328961996883838</v>
      </c>
      <c r="M123" s="159">
        <f t="shared" si="48"/>
        <v>0.99792062943245585</v>
      </c>
      <c r="N123" s="159">
        <f t="shared" si="48"/>
        <v>0.87568994186597882</v>
      </c>
      <c r="O123" s="159">
        <f t="shared" si="48"/>
        <v>0.6381198570381772</v>
      </c>
      <c r="P123" s="159">
        <f t="shared" si="48"/>
        <v>0.7560643577774312</v>
      </c>
      <c r="Q123" s="159" t="str">
        <f t="shared" si="48"/>
        <v/>
      </c>
    </row>
    <row r="124" spans="1:17" ht="15.75" customHeight="1">
      <c r="A124" s="10"/>
      <c r="B124" s="26" t="s">
        <v>226</v>
      </c>
      <c r="C124" s="74">
        <f>C19*Exchange_Rate*$C$3/(Market_Price*Common_Shares)</f>
        <v>4.8010851956799536E-2</v>
      </c>
      <c r="D124" s="26"/>
      <c r="E124" s="235"/>
      <c r="F124" s="26"/>
      <c r="G124" s="74">
        <f t="shared" ref="G124" si="49">IF(G$4="","",G123/Market_Price)</f>
        <v>7.449597191264104E-2</v>
      </c>
      <c r="H124" s="74">
        <f t="shared" ref="H124" si="50">IF(H$4="","",H123/Market_Price)</f>
        <v>5.7126117402022676E-2</v>
      </c>
      <c r="I124" s="74">
        <f t="shared" ref="I124" si="51">IF(I$4="","",I123/Market_Price)</f>
        <v>3.7485295109815561E-2</v>
      </c>
      <c r="J124" s="74">
        <f t="shared" ref="J124" si="52">IF(J$4="","",J123/Market_Price)</f>
        <v>3.0063175820535092E-2</v>
      </c>
      <c r="K124" s="74">
        <f t="shared" ref="K124" si="53">IF(K$4="","",K123/Market_Price)</f>
        <v>0.13030535412923397</v>
      </c>
      <c r="L124" s="74">
        <f t="shared" ref="L124" si="54">IF(L$4="","",L123/Market_Price)</f>
        <v>0.12754918831368817</v>
      </c>
      <c r="M124" s="74">
        <f t="shared" ref="M124" si="55">IF(M$4="","",M123/Market_Price)</f>
        <v>0.15282092334340824</v>
      </c>
      <c r="N124" s="74">
        <f t="shared" ref="N124" si="56">IF(N$4="","",N123/Market_Price)</f>
        <v>0.13410259446645922</v>
      </c>
      <c r="O124" s="74">
        <f t="shared" ref="O124" si="57">IF(O$4="","",O123/Market_Price)</f>
        <v>9.772126447751564E-2</v>
      </c>
      <c r="P124" s="74">
        <f t="shared" ref="P124" si="58">IF(P$4="","",P123/Market_Price)</f>
        <v>0.11578320946055608</v>
      </c>
      <c r="Q124" s="74" t="str">
        <f t="shared" ref="Q124" si="59">IF(Q$4="","",Q123/Market_Price)</f>
        <v/>
      </c>
    </row>
    <row r="125" spans="1:17" ht="15.75" customHeight="1">
      <c r="B125" s="2" t="s">
        <v>306</v>
      </c>
      <c r="C125" s="151"/>
      <c r="G125" s="22">
        <f>IF(G$4="","",(Data!C47*$C$3)/(Market_Price*Common_Shares))</f>
        <v>3.5349218847055566E-2</v>
      </c>
      <c r="H125" s="22">
        <f>IF(H$4="","",(Data!D47*$C$3)/(Market_Price*Common_Shares))</f>
        <v>1.7307845555339783E-2</v>
      </c>
      <c r="I125" s="22">
        <f>IF(I$4="","",(Data!E47*$C$3)/(Market_Price*Common_Shares))</f>
        <v>3.0941293158792899E-3</v>
      </c>
      <c r="J125" s="22">
        <f>IF(J$4="","",(Data!F47*$C$3)/(Market_Price*Common_Shares))</f>
        <v>-2.3713429411878029E-2</v>
      </c>
      <c r="K125" s="22">
        <f>IF(K$4="","",(Data!G47*$C$3)/(Market_Price*Common_Shares))</f>
        <v>8.6622690067216054E-2</v>
      </c>
      <c r="L125" s="22">
        <f>IF(L$4="","",(Data!H47*$C$3)/(Market_Price*Common_Shares))</f>
        <v>8.3696073094980325E-2</v>
      </c>
      <c r="M125" s="22">
        <f>IF(M$4="","",(Data!I47*$C$3)/(Market_Price*Common_Shares))</f>
        <v>0.10986679103558748</v>
      </c>
      <c r="N125" s="22">
        <f>IF(N$4="","",(Data!J47*$C$3)/(Market_Price*Common_Shares))</f>
        <v>9.4343980524617829E-2</v>
      </c>
      <c r="O125" s="22">
        <f>IF(O$4="","",(Data!K47*$C$3)/(Market_Price*Common_Shares))</f>
        <v>9.599544651603005E-2</v>
      </c>
      <c r="P125" s="22">
        <f>IF(P$4="","",(Data!L47*$C$3)/(Market_Price*Common_Shares))</f>
        <v>8.3057322079350016E-2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326736.34694774606</v>
      </c>
      <c r="D4" t="str">
        <f>Reporting_currency</f>
        <v>HKD</v>
      </c>
      <c r="E4" s="135" t="s">
        <v>434</v>
      </c>
      <c r="F4" s="279">
        <f>-BS!G31</f>
        <v>-563558</v>
      </c>
      <c r="G4" t="str">
        <f>Reporting_currency</f>
        <v>HKD</v>
      </c>
      <c r="H4" s="312" t="s">
        <v>394</v>
      </c>
      <c r="I4" s="309">
        <f>Normalized_FCF!C4</f>
        <v>6273585</v>
      </c>
      <c r="J4" s="309"/>
    </row>
    <row r="5" spans="2:15">
      <c r="B5" s="187" t="s">
        <v>105</v>
      </c>
      <c r="C5" s="188">
        <f>Equity_Cost</f>
        <v>7.2499999999999995E-2</v>
      </c>
      <c r="E5" s="135" t="s">
        <v>435</v>
      </c>
      <c r="F5" s="279">
        <f>BS!D66</f>
        <v>763124.96358635789</v>
      </c>
      <c r="G5" t="str">
        <f>Reporting_currency</f>
        <v>HKD</v>
      </c>
      <c r="H5" s="312" t="s">
        <v>396</v>
      </c>
      <c r="I5" s="309">
        <f>Normalized_FCF!C7</f>
        <v>-694418</v>
      </c>
      <c r="J5" s="309"/>
    </row>
    <row r="6" spans="2:15" ht="13.25" customHeight="1">
      <c r="B6" s="136" t="s">
        <v>194</v>
      </c>
      <c r="C6" s="287">
        <f>(C4*(1+Terminal_Growth))/(Equity_Cost-Terminal_Growth)</f>
        <v>4506708.2337620147</v>
      </c>
      <c r="D6" t="str">
        <f>Reporting_currency</f>
        <v>HKD</v>
      </c>
      <c r="E6" s="187" t="s">
        <v>436</v>
      </c>
      <c r="F6" s="288">
        <f>BS!H42</f>
        <v>0</v>
      </c>
      <c r="G6" t="str">
        <f>Reporting_currency</f>
        <v>HKD</v>
      </c>
      <c r="H6" s="312" t="s">
        <v>418</v>
      </c>
      <c r="I6" s="309">
        <f>I7+I8</f>
        <v>-30776.465781518142</v>
      </c>
      <c r="J6" s="309"/>
      <c r="N6" s="135"/>
    </row>
    <row r="7" spans="2:15" ht="12.75" customHeight="1">
      <c r="B7" s="322" t="s">
        <v>433</v>
      </c>
      <c r="C7" s="279">
        <f>F7</f>
        <v>199566.96358635789</v>
      </c>
      <c r="E7" s="140" t="s">
        <v>427</v>
      </c>
      <c r="F7" s="287">
        <f>SUM(F4:F6)</f>
        <v>199566.96358635789</v>
      </c>
      <c r="G7" t="str">
        <f>Reporting_currency</f>
        <v>HKD</v>
      </c>
      <c r="H7" s="316" t="s">
        <v>419</v>
      </c>
      <c r="I7" s="317">
        <f>Normalized_FCF!C9</f>
        <v>0</v>
      </c>
      <c r="J7" s="317"/>
      <c r="N7" s="308"/>
      <c r="O7" s="308"/>
    </row>
    <row r="8" spans="2:15" ht="13.15">
      <c r="B8" s="136" t="s">
        <v>429</v>
      </c>
      <c r="C8" s="287">
        <f>C6+C7</f>
        <v>4706275.197348373</v>
      </c>
      <c r="D8" t="str">
        <f>Reporting_currency</f>
        <v>HKD</v>
      </c>
      <c r="E8" s="140" t="s">
        <v>467</v>
      </c>
      <c r="F8" s="108">
        <f>FV_adjustments*scaling_factor/Common_Shares*Exchange_Rate</f>
        <v>0.19148898376376394</v>
      </c>
      <c r="G8" s="298" t="str">
        <f>Market_currency</f>
        <v>HKD</v>
      </c>
      <c r="H8" s="318" t="str">
        <f>Normalized_FCF!B10</f>
        <v>Net Interest Income</v>
      </c>
      <c r="I8" s="317">
        <f>Normalized_FCF!C10</f>
        <v>-30776.465781518142</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5.4738034183544624E-3</v>
      </c>
      <c r="J9" s="310"/>
      <c r="N9" s="308"/>
      <c r="O9" s="308"/>
    </row>
    <row r="10" spans="2:15" ht="13.5" thickTop="1">
      <c r="B10" s="107" t="s">
        <v>430</v>
      </c>
      <c r="C10" s="287">
        <f>C8*Exchange_Rate</f>
        <v>4706275.197348373</v>
      </c>
      <c r="D10" t="str">
        <f>Market_currency</f>
        <v>HKD</v>
      </c>
      <c r="H10" s="312" t="s">
        <v>398</v>
      </c>
      <c r="I10" s="310">
        <f>Normalized_FCF!C41</f>
        <v>0.25</v>
      </c>
      <c r="N10" s="308"/>
      <c r="O10" s="308"/>
    </row>
    <row r="11" spans="2:15" ht="13.15">
      <c r="B11" s="136" t="s">
        <v>428</v>
      </c>
      <c r="C11" s="108">
        <f>(C10*scaling_factor)/Common_Shares</f>
        <v>4.5157767531141229</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0.13</v>
      </c>
      <c r="E16" s="312" t="s">
        <v>401</v>
      </c>
      <c r="F16" s="315">
        <f>Scenarios!C41</f>
        <v>0.13</v>
      </c>
    </row>
    <row r="17" spans="1:21" ht="13.25" customHeight="1">
      <c r="B17" s="312" t="s">
        <v>395</v>
      </c>
      <c r="C17" s="310">
        <f>Normalized_FCF!C32</f>
        <v>0.80766498106962836</v>
      </c>
      <c r="E17" s="312" t="s">
        <v>402</v>
      </c>
      <c r="F17" s="315">
        <f>Scenarios!C40</f>
        <v>0.80766498106962836</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7.8655825234781718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7089151.0499999989</v>
      </c>
      <c r="D21" s="303">
        <f t="shared" ref="D21:D50" si="1">IF(A21="",0,IF(A21="I",$C$16,$F$16))</f>
        <v>0.13</v>
      </c>
      <c r="E21" s="303">
        <f>$C$17</f>
        <v>0.80766498106962836</v>
      </c>
      <c r="F21" s="281">
        <f>I5*(1+D21)</f>
        <v>-784692.34</v>
      </c>
      <c r="G21" s="281">
        <f>C21*(1-E21)+F21+$I$6</f>
        <v>548023.19562049559</v>
      </c>
      <c r="H21" s="303">
        <f t="shared" ref="H21:H50" si="2">IF(A21="",0%,IF(A21="I",$C$18,$F$18))</f>
        <v>0</v>
      </c>
      <c r="I21" s="281">
        <f>(G21*(1-$I$10)+C21*(H21-$I$9))</f>
        <v>372212.77746465057</v>
      </c>
      <c r="J21" s="303">
        <f>I21/C4-1</f>
        <v>0.13918387391463805</v>
      </c>
      <c r="K21" s="119">
        <f t="shared" ref="K21:K50" si="3">IF($C$15&lt;B21,0,1/(1+Equity_Cost)^B21)</f>
        <v>0.93240093240093236</v>
      </c>
      <c r="L21" s="281">
        <f t="shared" ref="L21:L50" si="4">I21*K21</f>
        <v>347051.54075958091</v>
      </c>
    </row>
    <row r="22" spans="1:21">
      <c r="A22" s="306" t="str">
        <f t="shared" si="0"/>
        <v>I</v>
      </c>
      <c r="B22" s="117">
        <v>2</v>
      </c>
      <c r="C22" s="281">
        <f t="shared" ref="C22:C50" si="5">IF(A22="",0,C21*(1+D22))</f>
        <v>8010740.686499998</v>
      </c>
      <c r="D22" s="303">
        <f t="shared" si="1"/>
        <v>0.13</v>
      </c>
      <c r="E22" s="303">
        <f t="shared" ref="E22:E50" si="6">IF($C$15&lt;B22,0,IF(B22&gt;=$F$15,$F$17,$C$17))</f>
        <v>0.80766498106962836</v>
      </c>
      <c r="F22" s="281">
        <f t="shared" ref="F22:F50" si="7">IF(A22="",0,F21*(1+D22))</f>
        <v>-886702.34419999993</v>
      </c>
      <c r="G22" s="281">
        <f t="shared" ref="G22:G50" si="8">IF(A22="", 0,C22*(1-E22)+F22+$I$6)</f>
        <v>623267.15160275728</v>
      </c>
      <c r="H22" s="303">
        <f t="shared" si="2"/>
        <v>0</v>
      </c>
      <c r="I22" s="281">
        <f>IF(A22="", 0,G22*(1-$I$10)+C22*(H22-$I$9))</f>
        <v>423601.14394875313</v>
      </c>
      <c r="J22" s="303">
        <f>IF(A22="", 0,I22/I21-1)</f>
        <v>0.13806180119376199</v>
      </c>
      <c r="K22" s="119">
        <f t="shared" si="3"/>
        <v>0.86937149874212816</v>
      </c>
      <c r="L22" s="281">
        <f t="shared" si="4"/>
        <v>368266.76138360746</v>
      </c>
    </row>
    <row r="23" spans="1:21">
      <c r="A23" s="306" t="str">
        <f t="shared" si="0"/>
        <v>I</v>
      </c>
      <c r="B23" s="117">
        <v>3</v>
      </c>
      <c r="C23" s="281">
        <f t="shared" si="5"/>
        <v>9052136.9757449962</v>
      </c>
      <c r="D23" s="303">
        <f t="shared" si="1"/>
        <v>0.13</v>
      </c>
      <c r="E23" s="303">
        <f t="shared" si="6"/>
        <v>0.80766498106962836</v>
      </c>
      <c r="F23" s="281">
        <f t="shared" si="7"/>
        <v>-1001973.6489459998</v>
      </c>
      <c r="G23" s="281">
        <f t="shared" si="8"/>
        <v>708292.82186271308</v>
      </c>
      <c r="H23" s="303">
        <f t="shared" si="2"/>
        <v>0</v>
      </c>
      <c r="I23" s="281">
        <f t="shared" ref="I23:I50" si="9">IF(A23="", 0,G23*(1-$I$10)+C23*(H23-$I$9))</f>
        <v>481669.99807578907</v>
      </c>
      <c r="J23" s="303">
        <f t="shared" ref="J23:J50" si="10">IF(A23="", 0,I23/I22-1)</f>
        <v>0.13708379912699442</v>
      </c>
      <c r="K23" s="119">
        <f t="shared" si="3"/>
        <v>0.81060279602995633</v>
      </c>
      <c r="L23" s="281">
        <f t="shared" si="4"/>
        <v>390443.04720397829</v>
      </c>
      <c r="N23" s="279"/>
      <c r="O23" s="279"/>
      <c r="P23" s="279"/>
      <c r="Q23" s="279"/>
      <c r="R23" s="279"/>
      <c r="S23" s="279"/>
      <c r="T23" s="279"/>
      <c r="U23" s="279"/>
    </row>
    <row r="24" spans="1:21">
      <c r="A24" s="306" t="str">
        <f t="shared" si="0"/>
        <v>I</v>
      </c>
      <c r="B24" s="117">
        <v>4</v>
      </c>
      <c r="C24" s="281">
        <f t="shared" si="5"/>
        <v>10228914.782591844</v>
      </c>
      <c r="D24" s="303">
        <f t="shared" si="1"/>
        <v>0.13</v>
      </c>
      <c r="E24" s="303">
        <f t="shared" si="6"/>
        <v>0.80766498106962836</v>
      </c>
      <c r="F24" s="281">
        <f t="shared" si="7"/>
        <v>-1132230.2233089798</v>
      </c>
      <c r="G24" s="281">
        <f t="shared" si="8"/>
        <v>804371.82925646275</v>
      </c>
      <c r="H24" s="303">
        <f t="shared" si="2"/>
        <v>0</v>
      </c>
      <c r="I24" s="281">
        <f t="shared" si="9"/>
        <v>547287.80323933926</v>
      </c>
      <c r="J24" s="303">
        <f t="shared" si="10"/>
        <v>0.13622979514124833</v>
      </c>
      <c r="K24" s="119">
        <f t="shared" si="3"/>
        <v>0.75580680282513402</v>
      </c>
      <c r="L24" s="281">
        <f t="shared" si="4"/>
        <v>413643.84479151602</v>
      </c>
      <c r="N24" s="279"/>
      <c r="O24" s="279"/>
      <c r="P24" s="279"/>
      <c r="Q24" s="279"/>
      <c r="R24" s="279"/>
      <c r="S24" s="279"/>
      <c r="T24" s="279"/>
      <c r="U24" s="279"/>
    </row>
    <row r="25" spans="1:21">
      <c r="A25" s="306" t="str">
        <f t="shared" si="0"/>
        <v>I</v>
      </c>
      <c r="B25" s="117">
        <v>5</v>
      </c>
      <c r="C25" s="281">
        <f t="shared" si="5"/>
        <v>11558673.704328783</v>
      </c>
      <c r="D25" s="303">
        <f t="shared" si="1"/>
        <v>0.13</v>
      </c>
      <c r="E25" s="303">
        <f t="shared" si="6"/>
        <v>0.80766498106962836</v>
      </c>
      <c r="F25" s="281">
        <f t="shared" si="7"/>
        <v>-1279420.1523391469</v>
      </c>
      <c r="G25" s="281">
        <f t="shared" si="8"/>
        <v>912941.10761140019</v>
      </c>
      <c r="H25" s="303">
        <f t="shared" si="2"/>
        <v>0</v>
      </c>
      <c r="I25" s="281">
        <f t="shared" si="9"/>
        <v>621435.92307415139</v>
      </c>
      <c r="J25" s="303">
        <f t="shared" si="10"/>
        <v>0.13548286549770916</v>
      </c>
      <c r="K25" s="119">
        <f t="shared" si="3"/>
        <v>0.70471496766912267</v>
      </c>
      <c r="L25" s="281">
        <f t="shared" si="4"/>
        <v>437935.19643763202</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11558673.704328783</v>
      </c>
      <c r="D51" s="305">
        <f>Terminal_Growth</f>
        <v>0</v>
      </c>
      <c r="E51" s="305">
        <f>F17</f>
        <v>0.80766498106962836</v>
      </c>
      <c r="F51" s="281">
        <f>VLOOKUP(C15,B21:F50,5,FALSE)*(1+Terminal_Growth)</f>
        <v>-1279420.1523391469</v>
      </c>
      <c r="G51" s="281">
        <f>C51*(1-E51)+F51+$I$6</f>
        <v>912941.10761140019</v>
      </c>
      <c r="H51" s="303">
        <f>F18</f>
        <v>0</v>
      </c>
      <c r="I51" s="281">
        <f>(G51*(1-$I$10)+C51*(H51-$I$9))/Equity_Cost</f>
        <v>8571529.9734365717</v>
      </c>
      <c r="J51" s="419">
        <f>(G51*(1-$I$10)+C51*(H51-$I$9))/VLOOKUP(C15,B21:I50,8,FALSE)-1</f>
        <v>0</v>
      </c>
      <c r="K51" s="119">
        <f>1/(1+Equity_Cost)^C15</f>
        <v>0.70471496766912267</v>
      </c>
      <c r="L51" s="281">
        <f>I51*K51</f>
        <v>6040485.4681052696</v>
      </c>
    </row>
    <row r="52" spans="1:21" ht="13.15">
      <c r="G52" s="111"/>
      <c r="H52" s="111"/>
      <c r="I52" s="111"/>
      <c r="J52" s="464" t="s">
        <v>423</v>
      </c>
      <c r="K52" s="464"/>
      <c r="L52" s="321">
        <f>SUM(L21:L51)</f>
        <v>7997825.8586815838</v>
      </c>
    </row>
    <row r="53" spans="1:21">
      <c r="C53" s="111"/>
    </row>
    <row r="54" spans="1:21" ht="13.15">
      <c r="B54" s="115" t="s">
        <v>108</v>
      </c>
      <c r="C54" s="128"/>
      <c r="D54" s="128"/>
      <c r="E54" s="113"/>
      <c r="F54" s="113"/>
      <c r="G54" s="113"/>
      <c r="H54" s="113"/>
      <c r="I54" s="113"/>
      <c r="J54" s="113"/>
      <c r="K54" s="113"/>
      <c r="L54" s="113"/>
    </row>
    <row r="55" spans="1:21" ht="13.15">
      <c r="A55" s="125">
        <f>L52</f>
        <v>7997825.8586815838</v>
      </c>
      <c r="B55" s="123">
        <f>C94</f>
        <v>0</v>
      </c>
      <c r="C55" s="123">
        <f>C93</f>
        <v>0.02</v>
      </c>
      <c r="D55" s="123">
        <f>C92</f>
        <v>0.08</v>
      </c>
      <c r="E55" s="123">
        <f>C91</f>
        <v>0.16</v>
      </c>
      <c r="F55" s="123">
        <f>C90</f>
        <v>0.3</v>
      </c>
      <c r="G55" s="123"/>
      <c r="H55" s="123"/>
      <c r="I55" s="123"/>
      <c r="J55" s="123"/>
      <c r="K55" s="123"/>
      <c r="L55" s="123"/>
    </row>
    <row r="56" spans="1:21" ht="13.15">
      <c r="A56" s="131">
        <v>1</v>
      </c>
      <c r="B56" s="118">
        <f t="dataTable" ref="B56:F69" dt2D="1" dtr="1" r1="C16" r2="C15"/>
        <v>4506708.2337620109</v>
      </c>
      <c r="C56" s="118">
        <v>4603209.9430817021</v>
      </c>
      <c r="D56" s="118">
        <v>4892715.0710407812</v>
      </c>
      <c r="E56" s="118">
        <v>5278721.9083195487</v>
      </c>
      <c r="F56" s="118">
        <v>5954233.8735573934</v>
      </c>
      <c r="G56" s="299"/>
      <c r="H56" s="299"/>
      <c r="I56" s="299"/>
      <c r="J56" s="299"/>
      <c r="K56" s="299"/>
      <c r="L56" s="299"/>
    </row>
    <row r="57" spans="1:21" ht="13.15">
      <c r="A57" s="131">
        <v>2</v>
      </c>
      <c r="B57" s="118">
        <v>4506708.2337620119</v>
      </c>
      <c r="C57" s="118">
        <v>4694987.7925046282</v>
      </c>
      <c r="D57" s="118">
        <v>5281421.2568319896</v>
      </c>
      <c r="E57" s="118">
        <v>6113720.3815006642</v>
      </c>
      <c r="F57" s="118">
        <v>7708810.406642708</v>
      </c>
      <c r="G57" s="299"/>
      <c r="H57" s="299"/>
      <c r="I57" s="299"/>
      <c r="J57" s="299"/>
      <c r="K57" s="299"/>
      <c r="L57" s="299"/>
    </row>
    <row r="58" spans="1:21" ht="13.15">
      <c r="A58" s="131">
        <v>3</v>
      </c>
      <c r="B58" s="118">
        <v>4506708.2337620119</v>
      </c>
      <c r="C58" s="118">
        <v>4782273.0199278295</v>
      </c>
      <c r="D58" s="118">
        <v>5672845.6676986618</v>
      </c>
      <c r="E58" s="118">
        <v>7016842.2732396759</v>
      </c>
      <c r="F58" s="118">
        <v>9835569.8406855091</v>
      </c>
      <c r="G58" s="299"/>
      <c r="H58" s="299"/>
      <c r="I58" s="299"/>
      <c r="J58" s="299"/>
      <c r="K58" s="299"/>
      <c r="L58" s="299"/>
    </row>
    <row r="59" spans="1:21" ht="13.15">
      <c r="A59" s="131">
        <v>4</v>
      </c>
      <c r="B59" s="118">
        <v>4506708.2337620109</v>
      </c>
      <c r="C59" s="118">
        <v>4865285.5439107334</v>
      </c>
      <c r="D59" s="118">
        <v>6067007.3122077547</v>
      </c>
      <c r="E59" s="118">
        <v>7993645.438197488</v>
      </c>
      <c r="F59" s="118">
        <v>12413460.063767698</v>
      </c>
      <c r="G59" s="299"/>
      <c r="H59" s="299"/>
      <c r="I59" s="299"/>
      <c r="J59" s="299"/>
      <c r="K59" s="299"/>
      <c r="L59" s="299"/>
    </row>
    <row r="60" spans="1:21" ht="13.15">
      <c r="A60" s="131">
        <v>5</v>
      </c>
      <c r="B60" s="118">
        <v>4506708.2337620119</v>
      </c>
      <c r="C60" s="118">
        <v>4944234.517768601</v>
      </c>
      <c r="D60" s="118">
        <v>6463925.3318532761</v>
      </c>
      <c r="E60" s="118">
        <v>9050141.1690609455</v>
      </c>
      <c r="F60" s="118">
        <v>15538175.485685505</v>
      </c>
      <c r="G60" s="299"/>
      <c r="H60" s="299"/>
      <c r="I60" s="299"/>
      <c r="J60" s="299"/>
      <c r="K60" s="299"/>
      <c r="L60" s="299"/>
    </row>
    <row r="61" spans="1:21" ht="13.15">
      <c r="A61" s="131">
        <v>6</v>
      </c>
      <c r="B61" s="118">
        <v>4506708.2337620119</v>
      </c>
      <c r="C61" s="118">
        <v>5019318.8565425165</v>
      </c>
      <c r="D61" s="118">
        <v>6863619.0019858321</v>
      </c>
      <c r="E61" s="118">
        <v>10192831.190321194</v>
      </c>
      <c r="F61" s="118">
        <v>19325709.330434352</v>
      </c>
      <c r="G61" s="299"/>
      <c r="H61" s="299"/>
      <c r="I61" s="299"/>
      <c r="J61" s="299"/>
      <c r="K61" s="299"/>
      <c r="L61" s="299"/>
    </row>
    <row r="62" spans="1:21" ht="13.15">
      <c r="A62" s="131">
        <v>7</v>
      </c>
      <c r="B62" s="118">
        <v>4506708.2337620128</v>
      </c>
      <c r="C62" s="118">
        <v>5090727.7381736534</v>
      </c>
      <c r="D62" s="118">
        <v>7266107.7327486817</v>
      </c>
      <c r="E62" s="118">
        <v>11428747.670192417</v>
      </c>
      <c r="F62" s="118">
        <v>23916659.445281453</v>
      </c>
      <c r="G62" s="299"/>
      <c r="H62" s="299"/>
      <c r="I62" s="299"/>
      <c r="J62" s="299"/>
      <c r="K62" s="299"/>
      <c r="L62" s="299"/>
    </row>
    <row r="63" spans="1:21" ht="13.15">
      <c r="A63" s="131">
        <v>8</v>
      </c>
      <c r="B63" s="118">
        <v>4506708.2337620119</v>
      </c>
      <c r="C63" s="118">
        <v>5158641.0801445246</v>
      </c>
      <c r="D63" s="118">
        <v>7671411.0700203674</v>
      </c>
      <c r="E63" s="118">
        <v>12765496.496906281</v>
      </c>
      <c r="F63" s="118">
        <v>29481447.463277929</v>
      </c>
      <c r="G63" s="299"/>
      <c r="H63" s="299"/>
      <c r="I63" s="299"/>
      <c r="J63" s="299"/>
      <c r="K63" s="299"/>
      <c r="L63" s="299"/>
    </row>
    <row r="64" spans="1:21" ht="13.15">
      <c r="A64" s="131">
        <v>9</v>
      </c>
      <c r="B64" s="118">
        <v>4506708.2337620119</v>
      </c>
      <c r="C64" s="118">
        <v>5223229.992788149</v>
      </c>
      <c r="D64" s="118">
        <v>8079548.6963638775</v>
      </c>
      <c r="E64" s="118">
        <v>14211304.085706357</v>
      </c>
      <c r="F64" s="118">
        <v>36226645.060849428</v>
      </c>
      <c r="G64" s="299"/>
      <c r="H64" s="299"/>
      <c r="I64" s="299"/>
      <c r="J64" s="299"/>
      <c r="K64" s="299"/>
      <c r="L64" s="299"/>
    </row>
    <row r="65" spans="1:21" ht="13.15">
      <c r="A65" s="131">
        <v>10</v>
      </c>
      <c r="B65" s="118">
        <v>4506708.2337620119</v>
      </c>
      <c r="C65" s="118">
        <v>5284657.2104072627</v>
      </c>
      <c r="D65" s="118">
        <v>8490540.4319825191</v>
      </c>
      <c r="E65" s="118">
        <v>15775068.004595019</v>
      </c>
      <c r="F65" s="118">
        <v>44402642.148814857</v>
      </c>
      <c r="G65" s="299"/>
      <c r="H65" s="299"/>
      <c r="I65" s="299"/>
      <c r="J65" s="299"/>
      <c r="K65" s="299"/>
      <c r="L65" s="299"/>
    </row>
    <row r="66" spans="1:21" ht="13.15">
      <c r="A66" s="131">
        <v>15</v>
      </c>
      <c r="B66" s="118">
        <v>4506708.2337620119</v>
      </c>
      <c r="C66" s="281">
        <v>5549527.2625607699</v>
      </c>
      <c r="D66" s="118">
        <v>10589014.212983765</v>
      </c>
      <c r="E66" s="118">
        <v>25728916.028173406</v>
      </c>
      <c r="F66" s="118">
        <v>119928174.40306993</v>
      </c>
      <c r="G66" s="299"/>
      <c r="H66" s="299"/>
      <c r="I66" s="299"/>
      <c r="J66" s="299"/>
      <c r="K66" s="299"/>
      <c r="L66" s="299"/>
      <c r="M66" s="279"/>
      <c r="N66" s="279"/>
      <c r="O66" s="279"/>
      <c r="P66" s="279"/>
      <c r="Q66" s="279"/>
      <c r="R66" s="279"/>
      <c r="S66" s="279"/>
      <c r="T66" s="279"/>
      <c r="U66" s="279"/>
    </row>
    <row r="67" spans="1:21" ht="13.15">
      <c r="A67" s="132">
        <v>20</v>
      </c>
      <c r="B67" s="118">
        <v>4506708.2337620119</v>
      </c>
      <c r="C67" s="281">
        <v>5755612.6559404321</v>
      </c>
      <c r="D67" s="118">
        <v>12761894.603181602</v>
      </c>
      <c r="E67" s="118">
        <v>40462026.57340166</v>
      </c>
      <c r="F67" s="118">
        <v>317545060.5510053</v>
      </c>
      <c r="G67" s="299"/>
      <c r="H67" s="299"/>
      <c r="I67" s="299"/>
      <c r="J67" s="299"/>
      <c r="K67" s="299"/>
      <c r="L67" s="299"/>
      <c r="M67" s="279"/>
      <c r="N67" s="279"/>
      <c r="O67" s="279"/>
      <c r="P67" s="279"/>
      <c r="Q67" s="279"/>
      <c r="R67" s="279"/>
      <c r="S67" s="279"/>
      <c r="T67" s="279"/>
      <c r="U67" s="279"/>
    </row>
    <row r="68" spans="1:21" ht="13.15">
      <c r="A68" s="132">
        <v>25</v>
      </c>
      <c r="B68" s="118">
        <v>4506708.2337620119</v>
      </c>
      <c r="C68" s="281">
        <v>5915959.9244184662</v>
      </c>
      <c r="D68" s="118">
        <v>15011819.874038968</v>
      </c>
      <c r="E68" s="118">
        <v>62269125.277715757</v>
      </c>
      <c r="F68" s="118">
        <v>834620975.47917795</v>
      </c>
      <c r="G68" s="299"/>
      <c r="H68" s="299"/>
      <c r="I68" s="299"/>
      <c r="J68" s="299"/>
      <c r="K68" s="299"/>
      <c r="L68" s="299"/>
      <c r="M68" s="279"/>
      <c r="N68" s="279"/>
      <c r="O68" s="279"/>
      <c r="P68" s="279"/>
      <c r="Q68" s="279"/>
      <c r="R68" s="279"/>
      <c r="S68" s="279"/>
      <c r="T68" s="279"/>
      <c r="U68" s="279"/>
    </row>
    <row r="69" spans="1:21" ht="13.15">
      <c r="A69" s="132">
        <v>30</v>
      </c>
      <c r="B69" s="118">
        <v>4506708.2337620119</v>
      </c>
      <c r="C69" s="281">
        <v>6040720.0837229202</v>
      </c>
      <c r="D69" s="118">
        <v>17341521.84349791</v>
      </c>
      <c r="E69" s="118">
        <v>94546732.402147353</v>
      </c>
      <c r="F69" s="118">
        <v>2187579758.5593657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0.02</v>
      </c>
      <c r="D72" s="124">
        <f>D55</f>
        <v>0.08</v>
      </c>
      <c r="E72" s="124">
        <f>E55</f>
        <v>0.16</v>
      </c>
      <c r="F72" s="124">
        <f>F55</f>
        <v>0.3</v>
      </c>
      <c r="G72" s="124"/>
      <c r="H72" s="124"/>
      <c r="I72" s="124"/>
      <c r="J72" s="124"/>
      <c r="K72" s="124"/>
      <c r="L72" s="124"/>
    </row>
    <row r="73" spans="1:21" ht="13.15">
      <c r="A73" s="131">
        <v>0</v>
      </c>
      <c r="B73" s="119">
        <f>C11</f>
        <v>4.5157767531141229</v>
      </c>
      <c r="C73" s="119">
        <f>C11</f>
        <v>4.5157767531141229</v>
      </c>
      <c r="D73" s="119">
        <f>C11</f>
        <v>4.5157767531141229</v>
      </c>
      <c r="E73" s="119">
        <f>C11</f>
        <v>4.5157767531141229</v>
      </c>
      <c r="F73" s="119">
        <f>C11</f>
        <v>4.5157767531141229</v>
      </c>
      <c r="G73" s="300"/>
      <c r="H73" s="300"/>
      <c r="I73" s="300"/>
      <c r="J73" s="300"/>
      <c r="K73" s="300"/>
      <c r="L73" s="300"/>
    </row>
    <row r="74" spans="1:21" ht="13.15">
      <c r="A74" s="131">
        <v>1</v>
      </c>
      <c r="B74" s="119">
        <f t="shared" ref="B74:F87" si="11">(B56+FV_adjustments)/Common_Shares*scaling_factor*Exchange_Rate</f>
        <v>4.5157767531141184</v>
      </c>
      <c r="C74" s="119">
        <f t="shared" si="11"/>
        <v>4.6083723106002523</v>
      </c>
      <c r="D74" s="119">
        <f t="shared" si="11"/>
        <v>4.8861589830586603</v>
      </c>
      <c r="E74" s="119">
        <f t="shared" si="11"/>
        <v>5.2565412130031985</v>
      </c>
      <c r="F74" s="119">
        <f t="shared" si="11"/>
        <v>5.904710115406143</v>
      </c>
      <c r="G74" s="300"/>
      <c r="H74" s="300"/>
      <c r="I74" s="300"/>
      <c r="J74" s="300"/>
      <c r="K74" s="300"/>
      <c r="L74" s="300"/>
    </row>
    <row r="75" spans="1:21" ht="13.15">
      <c r="A75" s="131">
        <v>2</v>
      </c>
      <c r="B75" s="119">
        <f t="shared" si="11"/>
        <v>4.5157767531141184</v>
      </c>
      <c r="C75" s="119">
        <f t="shared" si="11"/>
        <v>4.6964352184192357</v>
      </c>
      <c r="D75" s="119">
        <f t="shared" si="11"/>
        <v>5.2591312985272882</v>
      </c>
      <c r="E75" s="119">
        <f t="shared" si="11"/>
        <v>6.0577410017876598</v>
      </c>
      <c r="F75" s="119">
        <f t="shared" si="11"/>
        <v>7.5882657060631438</v>
      </c>
      <c r="G75" s="300"/>
      <c r="H75" s="300"/>
      <c r="I75" s="300"/>
      <c r="J75" s="300"/>
      <c r="K75" s="300"/>
      <c r="L75" s="300"/>
    </row>
    <row r="76" spans="1:21" ht="13.15">
      <c r="A76" s="131">
        <v>3</v>
      </c>
      <c r="B76" s="119">
        <f t="shared" si="11"/>
        <v>4.5157767531141184</v>
      </c>
      <c r="C76" s="119">
        <f t="shared" si="11"/>
        <v>4.7801873545268005</v>
      </c>
      <c r="D76" s="119">
        <f t="shared" si="11"/>
        <v>5.634711812006187</v>
      </c>
      <c r="E76" s="119">
        <f t="shared" si="11"/>
        <v>6.924306740706049</v>
      </c>
      <c r="F76" s="119">
        <f t="shared" si="11"/>
        <v>9.6289391492837488</v>
      </c>
      <c r="G76" s="300"/>
      <c r="H76" s="300"/>
      <c r="I76" s="300"/>
      <c r="J76" s="300"/>
      <c r="K76" s="300"/>
      <c r="L76" s="300"/>
    </row>
    <row r="77" spans="1:21" ht="13.15">
      <c r="A77" s="131">
        <v>4</v>
      </c>
      <c r="B77" s="119">
        <f t="shared" si="11"/>
        <v>4.5157767531141184</v>
      </c>
      <c r="C77" s="119">
        <f t="shared" si="11"/>
        <v>4.8598397357200058</v>
      </c>
      <c r="D77" s="119">
        <f t="shared" si="11"/>
        <v>6.0129187626422782</v>
      </c>
      <c r="E77" s="119">
        <f t="shared" si="11"/>
        <v>7.8615713161329319</v>
      </c>
      <c r="F77" s="119">
        <f t="shared" si="11"/>
        <v>12.102482716823879</v>
      </c>
      <c r="G77" s="300"/>
      <c r="H77" s="300"/>
      <c r="I77" s="300"/>
      <c r="J77" s="300"/>
      <c r="K77" s="300"/>
      <c r="L77" s="300"/>
    </row>
    <row r="78" spans="1:21" ht="13.15">
      <c r="A78" s="131">
        <v>5</v>
      </c>
      <c r="B78" s="119">
        <f t="shared" si="11"/>
        <v>4.5157767531141184</v>
      </c>
      <c r="C78" s="119">
        <f t="shared" si="11"/>
        <v>4.9355930493023576</v>
      </c>
      <c r="D78" s="119">
        <f t="shared" si="11"/>
        <v>6.3937705171289725</v>
      </c>
      <c r="E78" s="119">
        <f t="shared" si="11"/>
        <v>8.8753026984128187</v>
      </c>
      <c r="F78" s="119">
        <f t="shared" si="11"/>
        <v>15.100717344145252</v>
      </c>
      <c r="G78" s="300"/>
      <c r="H78" s="300"/>
      <c r="I78" s="300"/>
      <c r="J78" s="300"/>
      <c r="K78" s="300"/>
      <c r="L78" s="300"/>
    </row>
    <row r="79" spans="1:21" ht="13.15">
      <c r="A79" s="131">
        <v>6</v>
      </c>
      <c r="B79" s="119">
        <f t="shared" si="11"/>
        <v>4.5157767531141184</v>
      </c>
      <c r="C79" s="119">
        <f t="shared" si="11"/>
        <v>5.007638158723335</v>
      </c>
      <c r="D79" s="119">
        <f t="shared" si="11"/>
        <v>6.7772855705980932</v>
      </c>
      <c r="E79" s="119">
        <f t="shared" si="11"/>
        <v>9.9717394382213751</v>
      </c>
      <c r="F79" s="119">
        <f t="shared" si="11"/>
        <v>18.734941134837815</v>
      </c>
      <c r="G79" s="300"/>
      <c r="H79" s="300"/>
      <c r="I79" s="300"/>
      <c r="J79" s="300"/>
      <c r="K79" s="300"/>
      <c r="L79" s="300"/>
    </row>
    <row r="80" spans="1:21" ht="13.15">
      <c r="A80" s="131">
        <f t="shared" ref="A80" si="12">A62</f>
        <v>7</v>
      </c>
      <c r="B80" s="119">
        <f t="shared" si="11"/>
        <v>4.5157767531141202</v>
      </c>
      <c r="C80" s="119">
        <f t="shared" si="11"/>
        <v>5.0761565844663616</v>
      </c>
      <c r="D80" s="119">
        <f t="shared" si="11"/>
        <v>7.1634825475180444</v>
      </c>
      <c r="E80" s="119">
        <f t="shared" si="11"/>
        <v>11.157629058900088</v>
      </c>
      <c r="F80" s="119">
        <f t="shared" si="11"/>
        <v>23.140060881131845</v>
      </c>
      <c r="G80" s="300"/>
      <c r="H80" s="300"/>
      <c r="I80" s="300"/>
      <c r="J80" s="300"/>
      <c r="K80" s="300"/>
      <c r="L80" s="300"/>
    </row>
    <row r="81" spans="1:12" ht="13.15">
      <c r="A81" s="131">
        <v>8</v>
      </c>
      <c r="B81" s="119">
        <f t="shared" si="11"/>
        <v>4.5157767531141184</v>
      </c>
      <c r="C81" s="119">
        <f t="shared" si="11"/>
        <v>5.1413209613967936</v>
      </c>
      <c r="D81" s="119">
        <f t="shared" si="11"/>
        <v>7.552380202598278</v>
      </c>
      <c r="E81" s="119">
        <f t="shared" si="11"/>
        <v>12.440269581032778</v>
      </c>
      <c r="F81" s="119">
        <f t="shared" si="11"/>
        <v>28.47959996754884</v>
      </c>
      <c r="G81" s="300"/>
      <c r="H81" s="300"/>
      <c r="I81" s="300"/>
      <c r="J81" s="300"/>
      <c r="K81" s="300"/>
      <c r="L81" s="300"/>
    </row>
    <row r="82" spans="1:12" ht="13.15">
      <c r="A82" s="131">
        <f t="shared" ref="A82" si="13">A64</f>
        <v>9</v>
      </c>
      <c r="B82" s="119">
        <f t="shared" si="11"/>
        <v>4.5157767531141184</v>
      </c>
      <c r="C82" s="119">
        <f t="shared" si="11"/>
        <v>5.2032954737222381</v>
      </c>
      <c r="D82" s="119">
        <f t="shared" si="11"/>
        <v>7.9439974217000495</v>
      </c>
      <c r="E82" s="119">
        <f t="shared" si="11"/>
        <v>13.827554434807995</v>
      </c>
      <c r="F82" s="119">
        <f t="shared" si="11"/>
        <v>34.951768557145215</v>
      </c>
      <c r="G82" s="300"/>
      <c r="H82" s="300"/>
      <c r="I82" s="300"/>
      <c r="J82" s="300"/>
      <c r="K82" s="300"/>
      <c r="L82" s="300"/>
    </row>
    <row r="83" spans="1:12" ht="13.15">
      <c r="A83" s="131">
        <f t="shared" ref="A83:A87" si="14">A65</f>
        <v>10</v>
      </c>
      <c r="B83" s="119">
        <f t="shared" si="11"/>
        <v>4.5157767531141184</v>
      </c>
      <c r="C83" s="119">
        <f t="shared" si="11"/>
        <v>5.2622362686611242</v>
      </c>
      <c r="D83" s="119">
        <f t="shared" si="11"/>
        <v>8.3383532227535806</v>
      </c>
      <c r="E83" s="119">
        <f t="shared" si="11"/>
        <v>15.328021036560212</v>
      </c>
      <c r="F83" s="119">
        <f t="shared" si="11"/>
        <v>42.796821393019584</v>
      </c>
      <c r="G83" s="300"/>
      <c r="H83" s="300"/>
      <c r="I83" s="300"/>
      <c r="J83" s="300"/>
      <c r="K83" s="300"/>
      <c r="L83" s="300"/>
    </row>
    <row r="84" spans="1:12" ht="13.15">
      <c r="A84" s="131">
        <f t="shared" si="14"/>
        <v>15</v>
      </c>
      <c r="B84" s="119">
        <f t="shared" si="11"/>
        <v>4.5157767531141184</v>
      </c>
      <c r="C84" s="119">
        <f t="shared" si="11"/>
        <v>5.5163850325890902</v>
      </c>
      <c r="D84" s="119">
        <f t="shared" si="11"/>
        <v>10.351885946595157</v>
      </c>
      <c r="E84" s="119">
        <f t="shared" si="11"/>
        <v>24.878961775051611</v>
      </c>
      <c r="F84" s="119">
        <f t="shared" si="11"/>
        <v>115.26526586743009</v>
      </c>
      <c r="G84" s="300"/>
      <c r="H84" s="300"/>
      <c r="I84" s="300"/>
      <c r="J84" s="300"/>
      <c r="K84" s="300"/>
      <c r="L84" s="300"/>
    </row>
    <row r="85" spans="1:12" ht="13.15">
      <c r="A85" s="132">
        <f t="shared" si="14"/>
        <v>20</v>
      </c>
      <c r="B85" s="119">
        <f t="shared" si="11"/>
        <v>4.5157767531141184</v>
      </c>
      <c r="C85" s="119">
        <f t="shared" si="11"/>
        <v>5.7141285961411317</v>
      </c>
      <c r="D85" s="119">
        <f t="shared" si="11"/>
        <v>12.436813483106704</v>
      </c>
      <c r="E85" s="119">
        <f t="shared" si="11"/>
        <v>39.015712243593633</v>
      </c>
      <c r="F85" s="119">
        <f t="shared" si="11"/>
        <v>304.88310653098557</v>
      </c>
      <c r="G85" s="300"/>
      <c r="H85" s="300"/>
      <c r="I85" s="300"/>
      <c r="J85" s="300"/>
      <c r="K85" s="300"/>
      <c r="L85" s="300"/>
    </row>
    <row r="86" spans="1:12" ht="13.15">
      <c r="A86" s="132">
        <f t="shared" si="14"/>
        <v>25</v>
      </c>
      <c r="B86" s="119">
        <f t="shared" si="11"/>
        <v>4.5157767531141184</v>
      </c>
      <c r="C86" s="119">
        <f t="shared" si="11"/>
        <v>5.8679854015881281</v>
      </c>
      <c r="D86" s="119">
        <f t="shared" si="11"/>
        <v>14.595667313011543</v>
      </c>
      <c r="E86" s="119">
        <f t="shared" si="11"/>
        <v>59.940113230023499</v>
      </c>
      <c r="F86" s="119">
        <f t="shared" si="11"/>
        <v>801.02906024475305</v>
      </c>
      <c r="G86" s="300"/>
      <c r="H86" s="300"/>
      <c r="I86" s="300"/>
      <c r="J86" s="300"/>
      <c r="K86" s="300"/>
      <c r="L86" s="300"/>
    </row>
    <row r="87" spans="1:12" ht="13.15">
      <c r="A87" s="132">
        <f t="shared" si="14"/>
        <v>30</v>
      </c>
      <c r="B87" s="119">
        <f t="shared" si="11"/>
        <v>4.5157767531141184</v>
      </c>
      <c r="C87" s="119">
        <f t="shared" si="11"/>
        <v>5.9876955765093252</v>
      </c>
      <c r="D87" s="119">
        <f t="shared" si="11"/>
        <v>16.831068676980724</v>
      </c>
      <c r="E87" s="119">
        <f t="shared" si="11"/>
        <v>90.911202209431835</v>
      </c>
      <c r="F87" s="119">
        <f t="shared" si="11"/>
        <v>2099.2233995807555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5</v>
      </c>
      <c r="E90" s="127">
        <f>INDEX(B$73:F$87, MATCH(D90, A$73:A$87, 0), MATCH(C90, B$72:F$72, 0))</f>
        <v>15.100717344145252</v>
      </c>
      <c r="F90" s="130">
        <f>Scenarios!F29</f>
        <v>0.15</v>
      </c>
      <c r="G90" s="301"/>
      <c r="H90" s="301"/>
      <c r="I90" s="301"/>
      <c r="J90" s="301"/>
      <c r="K90" s="301"/>
      <c r="L90" s="301"/>
    </row>
    <row r="91" spans="1:12">
      <c r="B91" s="120" t="str">
        <f>Scenarios!B22</f>
        <v>Optimistic</v>
      </c>
      <c r="C91" s="130">
        <f>Scenarios!C22</f>
        <v>0.16</v>
      </c>
      <c r="D91" s="133">
        <f>Scenarios!D22</f>
        <v>5</v>
      </c>
      <c r="E91" s="127">
        <f>INDEX(B$73:F$87, MATCH(D91, A$73:A$87, 0), MATCH(C91, B$72:F$72, 0))</f>
        <v>8.8753026984128187</v>
      </c>
      <c r="F91" s="130">
        <f>Scenarios!F22*(1-F$90-F$94)</f>
        <v>0.15999999999999995</v>
      </c>
      <c r="G91" s="301"/>
      <c r="H91" s="301"/>
      <c r="I91" s="301"/>
      <c r="J91" s="301"/>
      <c r="K91" s="301"/>
      <c r="L91" s="301"/>
    </row>
    <row r="92" spans="1:12">
      <c r="B92" s="120" t="str">
        <f>Scenarios!B23</f>
        <v>Base</v>
      </c>
      <c r="C92" s="130">
        <f>Scenarios!C23</f>
        <v>0.08</v>
      </c>
      <c r="D92" s="133">
        <f>Scenarios!D23</f>
        <v>5</v>
      </c>
      <c r="E92" s="127">
        <f>INDEX(B$73:F$87, MATCH(D92, A$73:A$87, 0), MATCH(C92, B$72:F$72, 0))</f>
        <v>6.3937705171289725</v>
      </c>
      <c r="F92" s="130">
        <f>Scenarios!F23*(1-F$90-F$94)</f>
        <v>0.44</v>
      </c>
      <c r="G92" s="301"/>
      <c r="H92" s="301"/>
      <c r="I92" s="301"/>
      <c r="J92" s="301"/>
      <c r="K92" s="301"/>
      <c r="L92" s="301"/>
    </row>
    <row r="93" spans="1:12">
      <c r="B93" s="120" t="str">
        <f>Scenarios!B24</f>
        <v>Pessimistic</v>
      </c>
      <c r="C93" s="130">
        <f>Scenarios!C24</f>
        <v>0.02</v>
      </c>
      <c r="D93" s="133">
        <f>Scenarios!D24</f>
        <v>5</v>
      </c>
      <c r="E93" s="127">
        <f>INDEX(B$73:F$87, MATCH(D93, A$73:A$87, 0), MATCH(C93, B$72:F$72, 0))</f>
        <v>4.9355930493023576</v>
      </c>
      <c r="F93" s="130">
        <f>Scenarios!F24*(1-F$90-F$94)</f>
        <v>0.19999999999999998</v>
      </c>
      <c r="G93" s="301"/>
      <c r="H93" s="301"/>
      <c r="I93" s="301"/>
      <c r="J93" s="301"/>
      <c r="K93" s="301"/>
      <c r="L93" s="301"/>
    </row>
    <row r="94" spans="1:12">
      <c r="B94" s="120" t="str">
        <f>Scenarios!B30</f>
        <v>Devil's advocate</v>
      </c>
      <c r="C94" s="130">
        <f>Scenarios!C30</f>
        <v>0</v>
      </c>
      <c r="D94" s="133">
        <f>Scenarios!D30</f>
        <v>5</v>
      </c>
      <c r="E94" s="127">
        <f>INDEX(B$73:F$87, MATCH(D94, A$73:A$87, 0), MATCH(C94, B$72:F$72, 0))</f>
        <v>4.5157767531141184</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622412</v>
      </c>
      <c r="D7" s="465"/>
      <c r="E7" s="465"/>
      <c r="F7" s="465"/>
      <c r="G7" s="465"/>
    </row>
    <row r="8" spans="2:7">
      <c r="B8" s="97" t="s">
        <v>63</v>
      </c>
      <c r="C8" s="452">
        <f>Normalized_FCF!G19</f>
        <v>506980</v>
      </c>
      <c r="D8" s="465"/>
      <c r="E8" s="465"/>
      <c r="F8" s="465"/>
      <c r="G8" s="465"/>
    </row>
    <row r="9" spans="2:7">
      <c r="B9" s="97" t="s">
        <v>54</v>
      </c>
      <c r="C9" s="452">
        <f>Normalized_FCF!C19</f>
        <v>326736.34694774606</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-5.2954162529068594E-3</v>
      </c>
      <c r="D12" s="465"/>
      <c r="E12" s="465"/>
      <c r="F12" s="465"/>
      <c r="G12" s="465"/>
    </row>
    <row r="13" spans="2:7">
      <c r="B13" s="135" t="s">
        <v>127</v>
      </c>
      <c r="C13" s="252">
        <f ca="1">(Normalized_FCF!G8/OFFSET(Normalized_FCF!G8, 0, $C$4))^(1/$C$4) - 1</f>
        <v>0.40480613772926821</v>
      </c>
      <c r="D13" s="465"/>
      <c r="E13" s="465"/>
      <c r="F13" s="465"/>
      <c r="G13" s="465"/>
    </row>
    <row r="14" spans="2:7">
      <c r="B14" s="97" t="s">
        <v>63</v>
      </c>
      <c r="C14" s="252">
        <f ca="1">(Normalized_FCF!G19/OFFSET(Normalized_FCF!G19, 0, $C$4))^(1/$C$4) - 1</f>
        <v>0.40972995530096346</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0.16</v>
      </c>
      <c r="D22" s="329">
        <f>C18</f>
        <v>5</v>
      </c>
      <c r="E22" s="330">
        <f>DCF!E91</f>
        <v>8.8753026984128187</v>
      </c>
      <c r="F22" s="332">
        <f>1-F23-F24</f>
        <v>0.19999999999999996</v>
      </c>
      <c r="G22" s="332">
        <f>F22*(1-F$29-F$30)</f>
        <v>0.15999999999999995</v>
      </c>
    </row>
    <row r="23" spans="2:7">
      <c r="B23" s="306" t="s">
        <v>440</v>
      </c>
      <c r="C23" s="328">
        <v>0.08</v>
      </c>
      <c r="D23" s="329">
        <f>C18</f>
        <v>5</v>
      </c>
      <c r="E23" s="330">
        <f>DCF!E92</f>
        <v>6.3937705171289725</v>
      </c>
      <c r="F23" s="331">
        <v>0.55000000000000004</v>
      </c>
      <c r="G23" s="332">
        <f t="shared" ref="G23:G24" si="0">F23*(1-F$29-F$30)</f>
        <v>0.44</v>
      </c>
    </row>
    <row r="24" spans="2:7">
      <c r="B24" s="306" t="s">
        <v>449</v>
      </c>
      <c r="C24" s="328">
        <v>0.02</v>
      </c>
      <c r="D24" s="329">
        <f>C18</f>
        <v>5</v>
      </c>
      <c r="E24" s="330">
        <f>DCF!E93</f>
        <v>4.9355930493023576</v>
      </c>
      <c r="F24" s="331">
        <v>0.25</v>
      </c>
      <c r="G24" s="332">
        <f t="shared" si="0"/>
        <v>0.19999999999999998</v>
      </c>
    </row>
    <row r="25" spans="2:7">
      <c r="B25" s="141" t="s">
        <v>454</v>
      </c>
      <c r="C25" s="446">
        <f>E23*F23+E24*F24+E22*F22</f>
        <v>6.5255325864290876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5</v>
      </c>
      <c r="E29" s="330">
        <f>DCF!E90</f>
        <v>15.100717344145252</v>
      </c>
      <c r="F29" s="331">
        <v>0.15</v>
      </c>
      <c r="G29" s="332">
        <f>F29</f>
        <v>0.15</v>
      </c>
    </row>
    <row r="30" spans="2:7">
      <c r="B30" s="319" t="s">
        <v>450</v>
      </c>
      <c r="C30" s="328">
        <v>0</v>
      </c>
      <c r="D30" s="329">
        <f>C18</f>
        <v>5</v>
      </c>
      <c r="E30" s="330">
        <f>DCF!E94</f>
        <v>4.5157767531141184</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6.53</v>
      </c>
      <c r="D34" t="str">
        <f>Market_currency</f>
        <v>HKD</v>
      </c>
      <c r="E34" s="97" t="s">
        <v>457</v>
      </c>
      <c r="F34" s="334">
        <f>RATE(Holding_Period,$C$33,-C34,$C$36)</f>
        <v>9.6203404893799888E-2</v>
      </c>
    </row>
    <row r="35" spans="2:7">
      <c r="B35" s="97" t="s">
        <v>437</v>
      </c>
      <c r="C35" s="324">
        <f>DCF!C11</f>
        <v>4.5157767531141229</v>
      </c>
      <c r="D35" s="97" t="str">
        <f>Market_currency</f>
        <v>HKD</v>
      </c>
      <c r="E35" s="97" t="s">
        <v>457</v>
      </c>
      <c r="F35" s="334">
        <f>RATE(Holding_Period,$C$33,-C35,$C$36)</f>
        <v>0.2460719490448616</v>
      </c>
    </row>
    <row r="36" spans="2:7">
      <c r="B36" s="97" t="s">
        <v>438</v>
      </c>
      <c r="C36" s="325">
        <f>E22*G22+E23*G23+E24*G24+E30*G30+E29*G29</f>
        <v>7.7113225084207642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0.80766498106962836</v>
      </c>
      <c r="E40" s="97" t="s">
        <v>403</v>
      </c>
    </row>
    <row r="41" spans="2:7">
      <c r="B41" s="97" t="s">
        <v>401</v>
      </c>
      <c r="C41" s="138">
        <f>DCF!C16</f>
        <v>0.13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0.13</v>
      </c>
      <c r="D46" s="138"/>
      <c r="E46" s="221" t="s">
        <v>252</v>
      </c>
    </row>
    <row r="47" spans="2:7">
      <c r="B47" s="97" t="s">
        <v>96</v>
      </c>
      <c r="C47" s="146">
        <f>DCF!I18</f>
        <v>7.8655825234781718</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2.483218456427648E-2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3.5536048425902149</v>
      </c>
      <c r="E62" s="336">
        <f>C62+D62</f>
        <v>4.0476647681399474</v>
      </c>
      <c r="F62" s="305">
        <f>Thesis!E22</f>
        <v>0.29465259038036606</v>
      </c>
      <c r="G62" s="445">
        <f>(1-E62/C36)</f>
        <v>0.47510109145092849</v>
      </c>
    </row>
    <row r="63" spans="2:7" ht="13.15">
      <c r="B63" s="306" t="s">
        <v>313</v>
      </c>
      <c r="C63" s="119">
        <f>PV(F63, Holding_Period, -C58, 0)</f>
        <v>0.56808106576265116</v>
      </c>
      <c r="D63" s="119">
        <f>C36/(1+F63)^Holding_Period</f>
        <v>4.4541935066690357</v>
      </c>
      <c r="E63" s="336">
        <f>C63+D63</f>
        <v>5.0222745724316873</v>
      </c>
      <c r="F63" s="305">
        <f>Thesis!E23</f>
        <v>0.20075184365903009</v>
      </c>
      <c r="G63" s="445">
        <f>(1-E63/C36)</f>
        <v>0.34871423585936612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5.5271705517995606</v>
      </c>
      <c r="E66" s="336">
        <f>C66+D66</f>
        <v>6.1785733958029958</v>
      </c>
      <c r="F66" s="305">
        <f>Thesis!E24</f>
        <v>0.1174</v>
      </c>
      <c r="G66" s="445">
        <f>(1-E66/C36)</f>
        <v>0.19876604965542632</v>
      </c>
    </row>
    <row r="67" spans="2:7" ht="13.15">
      <c r="B67" s="306" t="s">
        <v>314</v>
      </c>
      <c r="C67" s="119">
        <f>PV(F67, Holding_Period, -C58, 0)</f>
        <v>0.7053413113367144</v>
      </c>
      <c r="D67" s="119">
        <f>C36/(1+F67)^Holding_Period</f>
        <v>6.2508195864146083</v>
      </c>
      <c r="E67" s="336">
        <f>C67+D67</f>
        <v>6.9561608977513227</v>
      </c>
      <c r="F67" s="305">
        <f>Thesis!E25</f>
        <v>7.2499999999999995E-2</v>
      </c>
      <c r="G67" s="445">
        <f>(1-E67/C36)</f>
        <v>9.7928936293976143E-2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45961</v>
      </c>
    </row>
    <row r="4" spans="1:10">
      <c r="B4" s="427" t="s">
        <v>537</v>
      </c>
      <c r="C4" s="428" t="str">
        <f>Thesis!C4</f>
        <v>维他奶</v>
      </c>
      <c r="D4" s="353"/>
      <c r="E4" s="439" t="s">
        <v>543</v>
      </c>
      <c r="F4" s="442" t="str">
        <f>Thesis!F4</f>
        <v>INT</v>
      </c>
    </row>
    <row r="5" spans="1:10">
      <c r="B5" s="347" t="s">
        <v>364</v>
      </c>
      <c r="C5" s="359" t="str">
        <f>Thesis!C5</f>
        <v>0345.HK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6.53</v>
      </c>
    </row>
    <row r="9" spans="1:10">
      <c r="B9" s="355" t="s">
        <v>361</v>
      </c>
      <c r="C9" s="357">
        <f>Common_Shares</f>
        <v>1042185089</v>
      </c>
    </row>
    <row r="10" spans="1:10">
      <c r="B10" s="355" t="s">
        <v>367</v>
      </c>
      <c r="C10" s="361">
        <f>投资主题!C8*Common_Shares/1000000</f>
        <v>6805.4686311699998</v>
      </c>
      <c r="D10" s="347" t="s">
        <v>532</v>
      </c>
      <c r="E10" s="364">
        <f>Scenarios!F34</f>
        <v>9.6203404893799888E-2</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7.7113225084207642</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4.0476647681399474</v>
      </c>
      <c r="D22" s="369" t="s">
        <v>443</v>
      </c>
      <c r="E22" s="370">
        <f>Thesis!E22</f>
        <v>0.29465259038036606</v>
      </c>
    </row>
    <row r="23" spans="1:6">
      <c r="B23" s="347" t="s">
        <v>341</v>
      </c>
      <c r="C23" s="371">
        <f>E141</f>
        <v>5.0222745724316873</v>
      </c>
      <c r="D23" s="369" t="s">
        <v>444</v>
      </c>
      <c r="E23" s="372">
        <f>Thesis!E23</f>
        <v>0.20075184365903009</v>
      </c>
    </row>
    <row r="24" spans="1:6">
      <c r="B24" s="347" t="s">
        <v>343</v>
      </c>
      <c r="C24" s="371">
        <f>E144</f>
        <v>6.1785733958029958</v>
      </c>
      <c r="D24" s="369" t="s">
        <v>446</v>
      </c>
      <c r="E24" s="372">
        <f>Thesis!E24</f>
        <v>0.1174</v>
      </c>
    </row>
    <row r="25" spans="1:6">
      <c r="B25" s="347" t="s">
        <v>342</v>
      </c>
      <c r="C25" s="371">
        <f>E145</f>
        <v>6.9561608977513227</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512212.08973629586</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3037.0142184818524</v>
      </c>
      <c r="D44" s="347" t="str">
        <f>Reporting_currency</f>
        <v>HKD</v>
      </c>
      <c r="E44" s="375"/>
      <c r="F44" s="375"/>
    </row>
    <row r="45" spans="2:6">
      <c r="B45" s="376" t="s">
        <v>268</v>
      </c>
      <c r="C45" s="380">
        <f>Normalized_FCF!C45</f>
        <v>-33813.479999999996</v>
      </c>
      <c r="D45" s="347" t="str">
        <f>Reporting_currency</f>
        <v>HKD</v>
      </c>
      <c r="E45" s="375"/>
      <c r="F45" s="375"/>
    </row>
    <row r="46" spans="2:6">
      <c r="B46" s="376" t="s">
        <v>203</v>
      </c>
      <c r="C46" s="377">
        <f>Normalized_FCF!C10</f>
        <v>-30776.465781518142</v>
      </c>
      <c r="D46" s="347" t="str">
        <f>Reporting_currency</f>
        <v>HKD</v>
      </c>
    </row>
    <row r="48" spans="2:6">
      <c r="B48" s="347" t="s">
        <v>508</v>
      </c>
    </row>
    <row r="49" spans="2:6">
      <c r="B49" s="376" t="s">
        <v>223</v>
      </c>
      <c r="C49" s="377">
        <f>Normalized_FCF!C13</f>
        <v>-34340.371018337282</v>
      </c>
      <c r="D49" s="347" t="str">
        <f>Reporting_currency</f>
        <v>HKD</v>
      </c>
    </row>
    <row r="51" spans="2:6">
      <c r="B51" s="466" t="s">
        <v>509</v>
      </c>
      <c r="C51" s="466"/>
      <c r="D51" s="466"/>
      <c r="E51" s="466"/>
      <c r="F51" s="466"/>
    </row>
    <row r="52" spans="2:6">
      <c r="B52" s="376" t="s">
        <v>499</v>
      </c>
      <c r="C52" s="377">
        <f>Normalized_FCF!C12</f>
        <v>-120358.90598869443</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506980</v>
      </c>
      <c r="D60" s="347" t="str">
        <f>Reporting_currency</f>
        <v>HKD</v>
      </c>
    </row>
    <row r="61" spans="2:6">
      <c r="B61" s="376" t="s">
        <v>213</v>
      </c>
      <c r="C61" s="377">
        <f>Normalized_FCF!C19</f>
        <v>326736.34694774606</v>
      </c>
      <c r="D61" s="347" t="str">
        <f>Reporting_currency</f>
        <v>HKD</v>
      </c>
    </row>
    <row r="62" spans="2:6">
      <c r="B62" s="381" t="s">
        <v>302</v>
      </c>
      <c r="C62" s="382">
        <f>Normalized_FCF!C124</f>
        <v>4.8010851956799536E-2</v>
      </c>
      <c r="F62" s="383"/>
    </row>
    <row r="63" spans="2:6">
      <c r="B63" s="381" t="s">
        <v>332</v>
      </c>
      <c r="C63" s="382">
        <f>Normalized_FCF!C92</f>
        <v>4.1347626339969371E-2</v>
      </c>
      <c r="E63" s="376" t="s">
        <v>373</v>
      </c>
      <c r="F63" s="384">
        <f>Normalized_FCF!C90</f>
        <v>0.95690464076224135</v>
      </c>
    </row>
    <row r="65" spans="1:6">
      <c r="B65" s="373" t="s">
        <v>376</v>
      </c>
      <c r="C65" s="385" t="s">
        <v>327</v>
      </c>
      <c r="D65" s="385" t="s">
        <v>374</v>
      </c>
    </row>
    <row r="66" spans="1:6">
      <c r="B66" s="376" t="s">
        <v>326</v>
      </c>
      <c r="C66" s="382">
        <f>Normalized_FCF!C119</f>
        <v>0.15129103990745271</v>
      </c>
      <c r="D66" s="382">
        <f>Normalized_FCF!G119</f>
        <v>0.18518613957341221</v>
      </c>
    </row>
    <row r="67" spans="1:6">
      <c r="B67" s="386" t="str">
        <f>Normalized_FCF!B116</f>
        <v>Pre-tax Profit/Sales</v>
      </c>
      <c r="C67" s="387">
        <f>Normalized_FCF!C116</f>
        <v>7.6740113341060609E-2</v>
      </c>
      <c r="D67" s="387">
        <f>Normalized_FCF!G116</f>
        <v>9.3932894828076763E-2</v>
      </c>
    </row>
    <row r="68" spans="1:6">
      <c r="B68" s="386" t="str">
        <f>Normalized_FCF!B117</f>
        <v>Sales/Total Assets</v>
      </c>
      <c r="C68" s="388">
        <f>Normalized_FCF!C117</f>
        <v>1.1106245684847842</v>
      </c>
      <c r="D68" s="388">
        <f>Normalized_FCF!G117</f>
        <v>1.1106245684847842</v>
      </c>
    </row>
    <row r="69" spans="1:6">
      <c r="B69" s="386" t="str">
        <f>Normalized_FCF!B118</f>
        <v>Total Assets/Equity</v>
      </c>
      <c r="C69" s="388">
        <f>Normalized_FCF!C118</f>
        <v>1.775102743966247</v>
      </c>
      <c r="D69" s="388">
        <f>Normalized_FCF!G118</f>
        <v>1.775102743966247</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-563558</v>
      </c>
      <c r="D78" s="347" t="str">
        <f>Reporting_currency</f>
        <v>HKD</v>
      </c>
    </row>
    <row r="79" spans="1:6">
      <c r="B79" s="376" t="s">
        <v>234</v>
      </c>
      <c r="C79" s="391">
        <f>C78*scaling_factor*Exchange_Rate/Common_Shares</f>
        <v>-0.54074655831119844</v>
      </c>
      <c r="D79" s="347" t="str">
        <f>Market_currency</f>
        <v>HKD</v>
      </c>
    </row>
    <row r="80" spans="1:6">
      <c r="B80" s="386" t="s">
        <v>309</v>
      </c>
      <c r="C80" s="392">
        <f>IF(BS!G31/BS!G27&gt;300%,"nm",BS!G31/BS!G27)</f>
        <v>0.17709797868255178</v>
      </c>
    </row>
    <row r="81" spans="1:6">
      <c r="B81" s="386" t="s">
        <v>311</v>
      </c>
      <c r="C81" s="393">
        <f>IF(BS!C50&gt;30,"nm",BS!C50)</f>
        <v>1.1002434563583587</v>
      </c>
    </row>
    <row r="83" spans="1:6">
      <c r="B83" s="347" t="s">
        <v>515</v>
      </c>
    </row>
    <row r="84" spans="1:6">
      <c r="B84" s="347" t="s">
        <v>224</v>
      </c>
      <c r="C84" s="377">
        <f>DCF!F5</f>
        <v>763124.96358635789</v>
      </c>
      <c r="D84" s="347" t="str">
        <f>Reporting_currency</f>
        <v>HKD</v>
      </c>
    </row>
    <row r="85" spans="1:6">
      <c r="B85" s="386" t="s">
        <v>484</v>
      </c>
      <c r="C85" s="394">
        <f>BS!C66</f>
        <v>1269294</v>
      </c>
      <c r="D85" s="395" t="str">
        <f>Reporting_currency</f>
        <v>HKD</v>
      </c>
    </row>
    <row r="86" spans="1:6">
      <c r="B86" s="376" t="s">
        <v>235</v>
      </c>
      <c r="C86" s="391">
        <f>C84*scaling_factor*Exchange_Rate/Common_Shares</f>
        <v>0.73223554207496233</v>
      </c>
      <c r="D86" s="347" t="str">
        <f>Market_currency</f>
        <v>HKD</v>
      </c>
    </row>
    <row r="88" spans="1:6">
      <c r="B88" s="347" t="s">
        <v>516</v>
      </c>
    </row>
    <row r="89" spans="1:6">
      <c r="B89" s="347" t="s">
        <v>217</v>
      </c>
      <c r="C89" s="377">
        <f>DCF!F6</f>
        <v>0</v>
      </c>
      <c r="D89" s="347" t="str">
        <f>Reporting_currency</f>
        <v>HKD</v>
      </c>
    </row>
    <row r="90" spans="1:6">
      <c r="B90" s="376" t="s">
        <v>236</v>
      </c>
      <c r="C90" s="391">
        <f>C89*scaling_factor*Exchange_Rate/Common_Shares</f>
        <v>0</v>
      </c>
      <c r="D90" s="347" t="str">
        <f>Market_currency</f>
        <v>HKD</v>
      </c>
    </row>
    <row r="92" spans="1:6">
      <c r="B92" s="376" t="s">
        <v>483</v>
      </c>
      <c r="C92" s="391">
        <f>DCF!F8</f>
        <v>0.19148898376376394</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-0.16671611581654458</v>
      </c>
      <c r="D111" s="347" t="str">
        <f>Market_currency</f>
        <v>HKD</v>
      </c>
    </row>
    <row r="112" spans="1:6">
      <c r="A112" s="389"/>
      <c r="B112" s="376" t="s">
        <v>377</v>
      </c>
      <c r="C112" s="398">
        <f>DCF!C11</f>
        <v>4.5157767531141229</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5</v>
      </c>
      <c r="E118" s="402" t="str">
        <f>ROUND(DCF!E90,2)&amp;" "&amp;Market_currency</f>
        <v>15.1 HKD</v>
      </c>
      <c r="F118" s="403">
        <f>DCF!F90</f>
        <v>0.15</v>
      </c>
    </row>
    <row r="119" spans="1:6">
      <c r="A119" s="389"/>
      <c r="B119" s="404" t="str">
        <f>DCF!B91</f>
        <v>Optimistic</v>
      </c>
      <c r="C119" s="405">
        <f>DCF!C91</f>
        <v>0.16</v>
      </c>
      <c r="D119" s="406">
        <f>DCF!D91</f>
        <v>5</v>
      </c>
      <c r="E119" s="402" t="str">
        <f>ROUND(DCF!E91,2)&amp;" "&amp;Market_currency</f>
        <v>8.88 HKD</v>
      </c>
      <c r="F119" s="407">
        <f>DCF!F91</f>
        <v>0.15999999999999995</v>
      </c>
    </row>
    <row r="120" spans="1:6">
      <c r="B120" s="404" t="str">
        <f>DCF!B92</f>
        <v>Base</v>
      </c>
      <c r="C120" s="405">
        <f>DCF!C92</f>
        <v>0.08</v>
      </c>
      <c r="D120" s="406">
        <f>DCF!D92</f>
        <v>5</v>
      </c>
      <c r="E120" s="402" t="str">
        <f>ROUND(DCF!E92,2)&amp;" "&amp;Market_currency</f>
        <v>6.39 HKD</v>
      </c>
      <c r="F120" s="407">
        <f>DCF!F92</f>
        <v>0.44</v>
      </c>
    </row>
    <row r="121" spans="1:6">
      <c r="B121" s="404" t="str">
        <f>DCF!B93</f>
        <v>Pessimistic</v>
      </c>
      <c r="C121" s="405">
        <f>DCF!C93</f>
        <v>0.02</v>
      </c>
      <c r="D121" s="406">
        <f>DCF!D93</f>
        <v>5</v>
      </c>
      <c r="E121" s="402" t="str">
        <f>ROUND(DCF!E93,2)&amp;" "&amp;Market_currency</f>
        <v>4.94 HKD</v>
      </c>
      <c r="F121" s="407">
        <f>DCF!F93</f>
        <v>0.19999999999999998</v>
      </c>
    </row>
    <row r="122" spans="1:6">
      <c r="B122" s="404" t="str">
        <f>DCF!B94</f>
        <v>Devil's advocate</v>
      </c>
      <c r="C122" s="405">
        <f>DCF!C94</f>
        <v>0</v>
      </c>
      <c r="D122" s="406">
        <f>DCF!D94</f>
        <v>5</v>
      </c>
      <c r="E122" s="402" t="str">
        <f>ROUND(DCF!E94,2)&amp;" "&amp;Market_currency</f>
        <v>4.52 HKD</v>
      </c>
      <c r="F122" s="407">
        <f>DCF!F94</f>
        <v>0.05</v>
      </c>
    </row>
    <row r="124" spans="1:6">
      <c r="B124" s="466" t="s">
        <v>522</v>
      </c>
      <c r="C124" s="466"/>
      <c r="D124" s="466"/>
      <c r="E124" s="466"/>
      <c r="F124" s="466"/>
    </row>
    <row r="125" spans="1:6">
      <c r="B125" s="376" t="s">
        <v>218</v>
      </c>
      <c r="C125" s="408">
        <f>Scenarios!C36</f>
        <v>7.7113225084207642</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3.5536048425902149</v>
      </c>
      <c r="E140" s="414">
        <f>Scenarios!E62</f>
        <v>4.0476647681399474</v>
      </c>
      <c r="F140" s="415">
        <f>E22</f>
        <v>0.29465259038036606</v>
      </c>
    </row>
    <row r="141" spans="1:6">
      <c r="B141" s="412" t="s">
        <v>313</v>
      </c>
      <c r="C141" s="413">
        <f>Scenarios!C63</f>
        <v>0.56808106576265116</v>
      </c>
      <c r="D141" s="413">
        <f>Scenarios!D63</f>
        <v>4.4541935066690357</v>
      </c>
      <c r="E141" s="414">
        <f>Scenarios!E63</f>
        <v>5.0222745724316873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5.5271705517995606</v>
      </c>
      <c r="E144" s="414">
        <f>Scenarios!E66</f>
        <v>6.1785733958029958</v>
      </c>
      <c r="F144" s="415">
        <f>E24</f>
        <v>0.1174</v>
      </c>
    </row>
    <row r="145" spans="1:6">
      <c r="B145" s="412" t="s">
        <v>314</v>
      </c>
      <c r="C145" s="413">
        <f>Scenarios!C67</f>
        <v>0.7053413113367144</v>
      </c>
      <c r="D145" s="413">
        <f>Scenarios!D67</f>
        <v>6.2508195864146083</v>
      </c>
      <c r="E145" s="414">
        <f>Scenarios!E67</f>
        <v>6.9561608977513227</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2026-01-13T02:07:18Z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