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B18A0F-57BE-4A66-A9E9-A91B58EDDDE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95" i="2"/>
  <c r="C23" i="2"/>
  <c r="C107" i="2"/>
  <c r="C24" i="2"/>
  <c r="C108" i="2"/>
  <c r="C17" i="2"/>
  <c r="C109" i="2"/>
  <c r="C81" i="2"/>
  <c r="C82" i="2" s="1"/>
  <c r="I4" i="8"/>
  <c r="C75" i="2"/>
  <c r="C73" i="2"/>
  <c r="C38" i="2"/>
  <c r="D55" i="3"/>
  <c r="G29" i="3"/>
  <c r="D62" i="3" s="1"/>
  <c r="C55" i="6" l="1"/>
  <c r="C55" i="12"/>
  <c r="C26" i="2"/>
  <c r="C16" i="2"/>
  <c r="D51" i="3"/>
  <c r="C46" i="3"/>
  <c r="C47" i="3" s="1"/>
  <c r="C62" i="3"/>
  <c r="C38" i="12" l="1"/>
  <c r="C38" i="6"/>
  <c r="C18" i="8"/>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E116" i="2"/>
  <c r="C40" i="9" s="1"/>
  <c r="F17" i="8" s="1"/>
  <c r="C52" i="6"/>
  <c r="C52" i="12"/>
  <c r="C68" i="6"/>
  <c r="C68" i="12"/>
  <c r="C14" i="2"/>
  <c r="C19" i="2" s="1"/>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33" i="8" l="1"/>
  <c r="A31" i="8"/>
  <c r="A34" i="8"/>
  <c r="E34" i="8"/>
  <c r="E31" i="8"/>
  <c r="A33" i="8"/>
  <c r="E35" i="8"/>
  <c r="E32" i="8"/>
  <c r="A32" i="8"/>
  <c r="A35" i="8"/>
  <c r="A28" i="8"/>
  <c r="A27" i="8"/>
  <c r="E29" i="8"/>
  <c r="A30" i="8"/>
  <c r="E26" i="8"/>
  <c r="E27" i="8"/>
  <c r="E28" i="8"/>
  <c r="E30" i="8"/>
  <c r="A29" i="8"/>
  <c r="A26" i="8"/>
  <c r="A21" i="8"/>
  <c r="E23" i="8"/>
  <c r="A25" i="8"/>
  <c r="A22" i="8"/>
  <c r="E24" i="8"/>
  <c r="E22" i="8"/>
  <c r="E25" i="8"/>
  <c r="A24" i="8"/>
  <c r="A23" i="8"/>
  <c r="C61" i="6"/>
  <c r="C124" i="2"/>
  <c r="C85" i="2"/>
  <c r="D33" i="8" l="1"/>
  <c r="G33" i="8"/>
  <c r="D34" i="8"/>
  <c r="G34" i="8"/>
  <c r="D35" i="8"/>
  <c r="G35" i="8"/>
  <c r="G31" i="8"/>
  <c r="D31" i="8"/>
  <c r="D32" i="8"/>
  <c r="G32"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32" i="8" l="1"/>
  <c r="F31" i="8"/>
  <c r="H31" i="8" s="1"/>
  <c r="I30" i="8"/>
  <c r="J30" i="8"/>
  <c r="L30" i="8"/>
  <c r="I31" i="8" l="1"/>
  <c r="J31" i="8"/>
  <c r="L31" i="8"/>
  <c r="F32" i="8"/>
  <c r="H32" i="8" s="1"/>
  <c r="C33" i="8"/>
  <c r="J32" i="8" l="1"/>
  <c r="I32" i="8"/>
  <c r="L32" i="8"/>
  <c r="C34" i="8"/>
  <c r="F33" i="8"/>
  <c r="H33" i="8" s="1"/>
  <c r="F34" i="8" l="1"/>
  <c r="H34" i="8" s="1"/>
  <c r="C35" i="8"/>
  <c r="J33" i="8"/>
  <c r="I33" i="8"/>
  <c r="L33" i="8"/>
  <c r="C36" i="8" l="1"/>
  <c r="F35" i="8"/>
  <c r="H35" i="8" s="1"/>
  <c r="C51" i="8"/>
  <c r="F51" i="8" s="1"/>
  <c r="J34" i="8"/>
  <c r="I34" i="8"/>
  <c r="L34" i="8"/>
  <c r="I51" i="8" l="1"/>
  <c r="H51" i="8"/>
  <c r="L51" i="8" s="1"/>
  <c r="I35" i="8"/>
  <c r="J35" i="8"/>
  <c r="L35"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<sst xmlns="http://schemas.openxmlformats.org/spreadsheetml/2006/main" count="768" uniqueCount="558">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</sst>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6.53</v>
      </c>
      <c r="E8" s="32"/>
    </row>
    <row r="9" spans="1:9">
      <c r="B9" s="4" t="s">
        <v>346</v>
      </c>
      <c r="C9" s="48">
        <v>1043529089</v>
      </c>
    </row>
    <row r="10" spans="1:9">
      <c r="B10" s="4" t="s">
        <v>352</v>
      </c>
      <c r="C10" s="33">
        <f>Thesis!C8*Common_Shares/1000000</f>
        <v>6814.2449511699997</v>
      </c>
      <c r="D10" s="1" t="s">
        <v>528</v>
      </c>
      <c r="E10" s="303">
        <f>Scenarios!F34</f>
        <v>0.20720003239761747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7.0300173108426608E-2</v>
      </c>
      <c r="F62" s="257"/>
    </row>
    <row r="63" spans="2:6">
      <c r="B63" s="204" t="s">
        <v>332</v>
      </c>
      <c r="C63" s="89">
        <f>Normalized_FCF!C92</f>
        <v>2.1745788667687591E-2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2.1745788667687591E-2</v>
      </c>
      <c r="E92" s="237"/>
      <c r="G92" s="22">
        <f t="shared" ref="G92:Q92" si="38">IF(G$4="","",(G88*(1-dividend_tax_rate))/Market_Price)</f>
        <v>2.1745788667687591E-2</v>
      </c>
      <c r="H92" s="22">
        <f t="shared" si="38"/>
        <v>1.1791730474732006E-2</v>
      </c>
      <c r="I92" s="22">
        <f t="shared" si="38"/>
        <v>4.1347626339969367E-3</v>
      </c>
      <c r="J92" s="22">
        <f t="shared" si="38"/>
        <v>5.0229709035222045E-2</v>
      </c>
      <c r="K92" s="22">
        <f t="shared" si="38"/>
        <v>4.9310872894333835E-2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237"/>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
        <v>556</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8">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7.0300173108426608E-2</v>
      </c>
      <c r="D124" s="26"/>
      <c r="E124" s="234"/>
      <c r="F124" s="26"/>
      <c r="G124" s="74">
        <f t="shared" ref="G124" si="49">IF(G$4="","",G123/Market_Price)</f>
        <v>7.4400025774381928E-2</v>
      </c>
      <c r="H124" s="74">
        <f t="shared" ref="H124" si="50">IF(H$4="","",H123/Market_Price)</f>
        <v>5.7052542546661533E-2</v>
      </c>
      <c r="I124" s="74">
        <f t="shared" ref="I124" si="51">IF(I$4="","",I123/Market_Price)</f>
        <v>3.7437016401384089E-2</v>
      </c>
      <c r="J124" s="74">
        <f t="shared" ref="J124" si="52">IF(J$4="","",J123/Market_Price)</f>
        <v>3.0024456336115623E-2</v>
      </c>
      <c r="K124" s="74">
        <f t="shared" ref="K124" si="53">IF(K$4="","",K123/Market_Price)</f>
        <v>0.13013752900792611</v>
      </c>
      <c r="L124" s="74">
        <f t="shared" ref="L124" si="54">IF(L$4="","",L123/Market_Price)</f>
        <v>0.12738491296104049</v>
      </c>
      <c r="M124" s="74">
        <f t="shared" ref="M124" si="55">IF(M$4="","",M123/Market_Price)</f>
        <v>0.15262409958148476</v>
      </c>
      <c r="N124" s="74">
        <f t="shared" ref="N124" si="56">IF(N$4="","",N123/Market_Price)</f>
        <v>0.13392987873781995</v>
      </c>
      <c r="O124" s="74">
        <f t="shared" ref="O124" si="57">IF(O$4="","",O123/Market_Price)</f>
        <v>9.7595405619490289E-2</v>
      </c>
      <c r="P124" s="74">
        <f t="shared" ref="P124" si="58">IF(P$4="","",P123/Market_Price)</f>
        <v>0.11563408795052313</v>
      </c>
      <c r="Q124" s="74" t="str">
        <f t="shared" ref="Q124" si="59">IF(Q$4="","",Q123/Market_Price)</f>
        <v/>
      </c>
    </row>
    <row r="125" spans="1:17" ht="15.75" customHeight="1">
      <c r="B125" s="2" t="s">
        <v>306</v>
      </c>
      <c r="C125" s="151"/>
      <c r="G125" s="22">
        <f>IF(G$4="","",(Data!C47*$C$3)/(Market_Price*Common_Shares))</f>
        <v>3.5303691270842076E-2</v>
      </c>
      <c r="H125" s="22">
        <f>IF(H$4="","",(Data!D47*$C$3)/(Market_Price*Common_Shares))</f>
        <v>1.728555413608604E-2</v>
      </c>
      <c r="I125" s="22">
        <f>IF(I$4="","",(Data!E47*$C$3)/(Market_Price*Common_Shares))</f>
        <v>3.0901442714331147E-3</v>
      </c>
      <c r="J125" s="22">
        <f>IF(J$4="","",(Data!F47*$C$3)/(Market_Price*Common_Shares))</f>
        <v>-2.368288800247649E-2</v>
      </c>
      <c r="K125" s="22">
        <f>IF(K$4="","",(Data!G47*$C$3)/(Market_Price*Common_Shares))</f>
        <v>8.6511125476753215E-2</v>
      </c>
      <c r="L125" s="22">
        <f>IF(L$4="","",(Data!H47*$C$3)/(Market_Price*Common_Shares))</f>
        <v>8.3588277803574071E-2</v>
      </c>
      <c r="M125" s="22">
        <f>IF(M$4="","",(Data!I47*$C$3)/(Market_Price*Common_Shares))</f>
        <v>0.10972528950131466</v>
      </c>
      <c r="N125" s="22">
        <f>IF(N$4="","",(Data!J47*$C$3)/(Market_Price*Common_Shares))</f>
        <v>9.4222471396447183E-2</v>
      </c>
      <c r="O125" s="22">
        <f>IF(O$4="","",(Data!K47*$C$3)/(Market_Price*Common_Shares))</f>
        <v>9.5871810403268518E-2</v>
      </c>
      <c r="P125" s="22">
        <f>IF(P$4="","",(Data!L47*$C$3)/(Market_Price*Common_Shares))</f>
        <v>8.295034945917934E-2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557</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6.53</v>
      </c>
      <c r="D34" t="str">
        <f>Market_currency</f>
        <v>HKD</v>
      </c>
      <c r="E34" s="97" t="s">
        <v>454</v>
      </c>
      <c r="F34" s="330">
        <f>RATE(Holding_Period,$C$33,-C34,$C$36)</f>
        <v>0.20720003239761747</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6.53</v>
      </c>
    </row>
    <row r="9" spans="1:10">
      <c r="B9" s="351" t="s">
        <v>361</v>
      </c>
      <c r="C9" s="353">
        <f>Common_Shares</f>
        <v>1043529089</v>
      </c>
    </row>
    <row r="10" spans="1:10">
      <c r="B10" s="351" t="s">
        <v>367</v>
      </c>
      <c r="C10" s="357">
        <f>投资主题!C8*Common_Shares/1000000</f>
        <v>6814.2449511699997</v>
      </c>
      <c r="D10" s="343" t="s">
        <v>529</v>
      </c>
      <c r="E10" s="360">
        <f>Scenarios!F34</f>
        <v>0.20720003239761747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7.0300173108426608E-2</v>
      </c>
      <c r="F62" s="379"/>
    </row>
    <row r="63" spans="2:6">
      <c r="B63" s="377" t="s">
        <v>332</v>
      </c>
      <c r="C63" s="378">
        <f>Normalized_FCF!C92</f>
        <v>2.1745788667687591E-2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