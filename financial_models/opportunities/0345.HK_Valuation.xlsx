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2237799-B81A-49FA-ADB8-FB046979E02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41"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<sst xmlns="http://schemas.openxmlformats.org/spreadsheetml/2006/main" count="768" uniqueCount="558">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</sst>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23" sqref="E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6.27</v>
      </c>
      <c r="E8" s="32"/>
    </row>
    <row r="9" spans="1:9">
      <c r="B9" s="4" t="s">
        <v>346</v>
      </c>
      <c r="C9" s="48">
        <v>1016799089</v>
      </c>
    </row>
    <row r="10" spans="1:9">
      <c r="B10" s="4" t="s">
        <v>352</v>
      </c>
      <c r="C10" s="33">
        <f>Thesis!C8*Common_Shares/1000000</f>
        <v>6375.3302880299998</v>
      </c>
      <c r="D10" s="1" t="s">
        <v>528</v>
      </c>
      <c r="E10" s="303">
        <f>Scenarios!F34</f>
        <v>0.2342861833030794</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11.25643603289171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5.3814365192952689</v>
      </c>
      <c r="D22" s="38" t="s">
        <v>406</v>
      </c>
      <c r="E22" s="79">
        <v>0.3</v>
      </c>
    </row>
    <row r="23" spans="1:6">
      <c r="B23" s="1" t="s">
        <v>313</v>
      </c>
      <c r="C23" s="256">
        <f>E141</f>
        <v>6.8132615931086278</v>
      </c>
      <c r="D23" s="38" t="s">
        <v>407</v>
      </c>
      <c r="E23" s="443">
        <v>0.2</v>
      </c>
    </row>
    <row r="24" spans="1:6">
      <c r="B24" s="1" t="s">
        <v>315</v>
      </c>
      <c r="C24" s="256">
        <f>E144</f>
        <v>8.410757158764735</v>
      </c>
      <c r="D24" s="38" t="s">
        <v>408</v>
      </c>
      <c r="E24" s="443">
        <v>0.1174</v>
      </c>
    </row>
    <row r="25" spans="1:6">
      <c r="B25" s="1" t="s">
        <v>314</v>
      </c>
      <c r="C25" s="256">
        <f>E145</f>
        <v>9.4954558038529377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685770.70000000019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2866.0998853190004</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-30947.380114680996</v>
      </c>
      <c r="D46" s="1" t="str">
        <f>Reporting_currency</f>
        <v>HKD</v>
      </c>
    </row>
    <row r="48" spans="2:6">
      <c r="B48" s="1" t="s">
        <v>211</v>
      </c>
    </row>
    <row r="49" spans="2:6">
      <c r="B49" s="44" t="s">
        <v>223</v>
      </c>
      <c r="C49" s="285">
        <f>Normalized_FCF!C13</f>
        <v>-34340.371018337282</v>
      </c>
      <c r="D49" s="1" t="str">
        <f>Reporting_currency</f>
        <v>HKD</v>
      </c>
    </row>
    <row r="51" spans="2:6">
      <c r="B51" s="463" t="s">
        <v>206</v>
      </c>
      <c r="C51" s="463"/>
      <c r="D51" s="463"/>
      <c r="E51" s="463"/>
      <c r="F51" s="463"/>
    </row>
    <row r="52" spans="2:6">
      <c r="B52" s="44" t="s">
        <v>204</v>
      </c>
      <c r="C52" s="285">
        <f>Normalized_FCF!C12</f>
        <v>-141441.83709522896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506980</v>
      </c>
      <c r="D60" s="1" t="str">
        <f>Reporting_currency</f>
        <v>HKD</v>
      </c>
    </row>
    <row r="61" spans="2:6">
      <c r="B61" s="44" t="s">
        <v>213</v>
      </c>
      <c r="C61" s="285">
        <f>Normalized_FCF!C19</f>
        <v>479041.111771753</v>
      </c>
      <c r="D61" s="1" t="str">
        <f>Reporting_currency</f>
        <v>HKD</v>
      </c>
    </row>
    <row r="62" spans="2:6">
      <c r="B62" s="204" t="s">
        <v>302</v>
      </c>
      <c r="C62" s="89">
        <f>Normalized_FCF!C124</f>
        <v>7.5139810822221487E-2</v>
      </c>
      <c r="F62" s="257"/>
    </row>
    <row r="63" spans="2:6">
      <c r="B63" s="204" t="s">
        <v>332</v>
      </c>
      <c r="C63" s="89">
        <f>Normalized_FCF!C92</f>
        <v>2.2647527910685805E-2</v>
      </c>
      <c r="E63" s="44" t="s">
        <v>322</v>
      </c>
      <c r="F63" s="258">
        <f>Normalized_FCF!C90</f>
        <v>0.30140517606930323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-563558</v>
      </c>
      <c r="D78" s="1" t="str">
        <f>Reporting_currency</f>
        <v>HKD</v>
      </c>
    </row>
    <row r="79" spans="1:6">
      <c r="A79" s="191"/>
      <c r="B79" s="44" t="s">
        <v>234</v>
      </c>
      <c r="C79" s="201">
        <f>C78*scaling_factor*Exchange_Rate/Common_Shares</f>
        <v>-0.55424715275290737</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791610.68578016665</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0.77853205647410506</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0.22428490372119783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-0.17087844774809768</v>
      </c>
      <c r="D111" s="1" t="str">
        <f>Market_currency</f>
        <v>HKD</v>
      </c>
    </row>
    <row r="112" spans="2:6">
      <c r="B112" s="44" t="s">
        <v>323</v>
      </c>
      <c r="C112" s="216">
        <f>DCF!C11</f>
        <v>9.3776019729104441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3" t="s">
        <v>357</v>
      </c>
      <c r="C124" s="463"/>
      <c r="D124" s="463"/>
      <c r="E124" s="463"/>
      <c r="F124" s="463"/>
    </row>
    <row r="125" spans="2:6">
      <c r="B125" s="193" t="s">
        <v>218</v>
      </c>
      <c r="C125" s="197">
        <f>Scenarios!C36</f>
        <v>11.25643603289171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0.25788802913063269</v>
      </c>
      <c r="D140" s="333">
        <f>Scenarios!D62</f>
        <v>5.1235484901646364</v>
      </c>
      <c r="E140" s="334">
        <f>Scenarios!E62</f>
        <v>5.3814365192952689</v>
      </c>
      <c r="F140" s="335">
        <f>E22</f>
        <v>0.3</v>
      </c>
    </row>
    <row r="141" spans="1:6">
      <c r="B141" s="336" t="s">
        <v>313</v>
      </c>
      <c r="C141" s="333">
        <f>Scenarios!C63</f>
        <v>0.29912037037037031</v>
      </c>
      <c r="D141" s="333">
        <f>Scenarios!D63</f>
        <v>6.5141412227382576</v>
      </c>
      <c r="E141" s="334">
        <f>Scenarios!E63</f>
        <v>6.8132615931086278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8.0681675148814467</v>
      </c>
      <c r="E144" s="334">
        <f>Scenarios!E66</f>
        <v>8.410757158764735</v>
      </c>
      <c r="F144" s="335">
        <f>E24</f>
        <v>0.1174</v>
      </c>
    </row>
    <row r="145" spans="1:6">
      <c r="B145" s="336" t="s">
        <v>314</v>
      </c>
      <c r="C145" s="333">
        <f>Scenarios!C67</f>
        <v>0.37095728225856828</v>
      </c>
      <c r="D145" s="333">
        <f>Scenarios!D67</f>
        <v>9.1244985215943704</v>
      </c>
      <c r="E145" s="334">
        <f>Scenarios!E67</f>
        <v>9.4954558038529377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55" sqref="D5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791610.68578016665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-482963.20588650001</v>
      </c>
      <c r="D73" s="285">
        <f>(Normalized_FCF!C26+Normalized_FCF!C35-Normalized_FCF!C89)/12</f>
        <v>-477683.31421983335</v>
      </c>
      <c r="F73" s="1" t="s">
        <v>278</v>
      </c>
    </row>
    <row r="74" spans="2:6" ht="15" customHeight="1">
      <c r="B74" s="227" t="s">
        <v>259</v>
      </c>
      <c r="C74" s="228">
        <f>-$C$66/C73</f>
        <v>2.6281380952616371</v>
      </c>
      <c r="D74" s="228">
        <f>-$C$66/D73</f>
        <v>2.6571872247056585</v>
      </c>
      <c r="F74" s="223" t="s">
        <v>257</v>
      </c>
    </row>
    <row r="75" spans="2:6" ht="15" customHeight="1">
      <c r="B75" s="77" t="s">
        <v>258</v>
      </c>
      <c r="C75" s="261"/>
      <c r="D75" s="262">
        <f>MAX(-D73*D76,G5)</f>
        <v>477683.31421983335</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-0.55424715275290737</v>
      </c>
      <c r="E86" s="214" t="str">
        <f>Market_currency</f>
        <v>HKD</v>
      </c>
    </row>
    <row r="87" spans="2:8" ht="15" customHeight="1">
      <c r="B87" s="212" t="s">
        <v>240</v>
      </c>
      <c r="C87" s="73">
        <f>DCF!F5*Exchange_Rate</f>
        <v>791610.68578016665</v>
      </c>
      <c r="D87" s="201">
        <f>C87*scaling_factor/Common_Shares</f>
        <v>0.77853205647410506</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G119" sqref="G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2.2647527910685805E-2</v>
      </c>
      <c r="E92" s="237"/>
      <c r="G92" s="22">
        <f t="shared" ref="G92:Q92" si="38">IF(G$4="","",(G88*(1-dividend_tax_rate))/Market_Price)</f>
        <v>2.2647527910685805E-2</v>
      </c>
      <c r="H92" s="22">
        <f t="shared" si="38"/>
        <v>1.2280701754385965E-2</v>
      </c>
      <c r="I92" s="22">
        <f t="shared" si="38"/>
        <v>4.3062200956937805E-3</v>
      </c>
      <c r="J92" s="22">
        <f t="shared" si="38"/>
        <v>5.2312599681020727E-2</v>
      </c>
      <c r="K92" s="22">
        <f t="shared" si="38"/>
        <v>5.1355661881977668E-2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226</v>
      </c>
      <c r="C124" s="74">
        <f>C19*Exchange_Rate*$C$3/(Market_Price*Common_Shares)</f>
        <v>7.5139810822221487E-2</v>
      </c>
      <c r="D124" s="26"/>
      <c r="E124" s="234"/>
      <c r="F124" s="26"/>
      <c r="G124" s="74">
        <f t="shared" ref="G124" si="49">IF(G$4="","",G123/Market_Price)</f>
        <v>7.9522154475961851E-2</v>
      </c>
      <c r="H124" s="74">
        <f t="shared" ref="H124" si="50">IF(H$4="","",H123/Market_Price)</f>
        <v>6.0980370025680873E-2</v>
      </c>
      <c r="I124" s="74">
        <f t="shared" ref="I124" si="51">IF(I$4="","",I123/Market_Price)</f>
        <v>4.001439744682285E-2</v>
      </c>
      <c r="J124" s="74">
        <f t="shared" ref="J124" si="52">IF(J$4="","",J123/Market_Price)</f>
        <v>3.2091513812882048E-2</v>
      </c>
      <c r="K124" s="74">
        <f t="shared" ref="K124" si="53">IF(K$4="","",K123/Market_Price)</f>
        <v>0.13909695026546162</v>
      </c>
      <c r="L124" s="74">
        <f t="shared" ref="L124" si="54">IF(L$4="","",L123/Market_Price)</f>
        <v>0.13615482818667032</v>
      </c>
      <c r="M124" s="74">
        <f t="shared" ref="M124" si="55">IF(M$4="","",M123/Market_Price)</f>
        <v>0.16313162660022268</v>
      </c>
      <c r="N124" s="74">
        <f t="shared" ref="N124" si="56">IF(N$4="","",N123/Market_Price)</f>
        <v>0.14315038731616936</v>
      </c>
      <c r="O124" s="74">
        <f t="shared" ref="O124" si="57">IF(O$4="","",O123/Market_Price)</f>
        <v>0.1043144386179715</v>
      </c>
      <c r="P124" s="74">
        <f t="shared" ref="P124" si="58">IF(P$4="","",P123/Market_Price)</f>
        <v>0.12359500832128374</v>
      </c>
      <c r="Q124" s="74" t="str">
        <f t="shared" ref="Q124" si="59">IF(Q$4="","",Q123/Market_Price)</f>
        <v/>
      </c>
    </row>
    <row r="125" spans="1:17" ht="15.75" customHeight="1">
      <c r="B125" s="2" t="s">
        <v>306</v>
      </c>
      <c r="C125" s="151"/>
      <c r="G125" s="22">
        <f>IF(G$4="","",(Data!C47*$C$3)/(Market_Price*Common_Shares))</f>
        <v>3.7734201858008583E-2</v>
      </c>
      <c r="H125" s="22">
        <f>IF(H$4="","",(Data!D47*$C$3)/(Market_Price*Common_Shares))</f>
        <v>1.8475591801283275E-2</v>
      </c>
      <c r="I125" s="22">
        <f>IF(I$4="","",(Data!E47*$C$3)/(Market_Price*Common_Shares))</f>
        <v>3.3028877012906402E-3</v>
      </c>
      <c r="J125" s="22">
        <f>IF(J$4="","",(Data!F47*$C$3)/(Market_Price*Common_Shares))</f>
        <v>-2.5313355184593475E-2</v>
      </c>
      <c r="K125" s="22">
        <f>IF(K$4="","",(Data!G47*$C$3)/(Market_Price*Common_Shares))</f>
        <v>9.2467052429711857E-2</v>
      </c>
      <c r="L125" s="22">
        <f>IF(L$4="","",(Data!H47*$C$3)/(Market_Price*Common_Shares))</f>
        <v>8.9342978993486102E-2</v>
      </c>
      <c r="M125" s="22">
        <f>IF(M$4="","",(Data!I47*$C$3)/(Market_Price*Common_Shares))</f>
        <v>0.1172794139628867</v>
      </c>
      <c r="N125" s="22">
        <f>IF(N$4="","",(Data!J47*$C$3)/(Market_Price*Common_Shares))</f>
        <v>0.10070929206687382</v>
      </c>
      <c r="O125" s="22">
        <f>IF(O$4="","",(Data!K47*$C$3)/(Market_Price*Common_Shares))</f>
        <v>0.10247218112394774</v>
      </c>
      <c r="P125" s="22">
        <f>IF(P$4="","",(Data!L47*$C$3)/(Market_Price*Common_Shares))</f>
        <v>8.8661131966962362E-2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F10" sqref="F10"/>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479041.111771753</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791610.68578016665</v>
      </c>
      <c r="G5" t="str">
        <f>Reporting_currency</f>
        <v>HKD</v>
      </c>
      <c r="H5" s="308" t="s">
        <v>395</v>
      </c>
      <c r="I5" s="305">
        <f>Normalized_FCF!C7</f>
        <v>-694418</v>
      </c>
      <c r="J5" s="305"/>
    </row>
    <row r="6" spans="2:15" ht="13.25" customHeight="1">
      <c r="B6" s="136" t="s">
        <v>194</v>
      </c>
      <c r="C6" s="283">
        <f>(C4*(1+Terminal_Growth))/(Equity_Cost-Terminal_Growth)</f>
        <v>9307084.4572797753</v>
      </c>
      <c r="D6" t="str">
        <f>Reporting_currency</f>
        <v>HKD</v>
      </c>
      <c r="E6" s="187" t="s">
        <v>433</v>
      </c>
      <c r="F6" s="284">
        <f>BS!H42</f>
        <v>0</v>
      </c>
      <c r="G6" t="str">
        <f>Reporting_currency</f>
        <v>HKD</v>
      </c>
      <c r="H6" s="308" t="s">
        <v>416</v>
      </c>
      <c r="I6" s="305">
        <f>I7+I8</f>
        <v>-30947.380114680996</v>
      </c>
      <c r="J6" s="305"/>
      <c r="N6" s="135"/>
    </row>
    <row r="7" spans="2:15" ht="12.75" customHeight="1">
      <c r="B7" s="318" t="s">
        <v>430</v>
      </c>
      <c r="C7" s="275">
        <f>F7</f>
        <v>228052.68578016665</v>
      </c>
      <c r="E7" s="140" t="s">
        <v>424</v>
      </c>
      <c r="F7" s="283">
        <f>SUM(F4:F6)</f>
        <v>228052.68578016665</v>
      </c>
      <c r="G7" t="str">
        <f>Reporting_currency</f>
        <v>HKD</v>
      </c>
      <c r="H7" s="312" t="s">
        <v>417</v>
      </c>
      <c r="I7" s="313">
        <f>Normalized_FCF!C9</f>
        <v>0</v>
      </c>
      <c r="J7" s="313"/>
      <c r="N7" s="304"/>
      <c r="O7" s="304"/>
    </row>
    <row r="8" spans="2:15" ht="13.15">
      <c r="B8" s="136" t="s">
        <v>426</v>
      </c>
      <c r="C8" s="283">
        <f>C6+C7</f>
        <v>9535137.1430599429</v>
      </c>
      <c r="D8" t="str">
        <f>Reporting_currency</f>
        <v>HKD</v>
      </c>
      <c r="E8" s="140" t="s">
        <v>464</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9535137.1430599429</v>
      </c>
      <c r="D10" t="str">
        <f>Market_currency</f>
        <v>HKD</v>
      </c>
      <c r="H10" s="308" t="s">
        <v>397</v>
      </c>
      <c r="I10" s="306">
        <f>Normalized_FCF!C41</f>
        <v>0.216</v>
      </c>
      <c r="N10" s="304"/>
      <c r="O10" s="304"/>
    </row>
    <row r="11" spans="2:15" ht="13.15">
      <c r="B11" s="136" t="s">
        <v>425</v>
      </c>
      <c r="C11" s="108">
        <f>(C10*scaling_factor)/Common_Shares</f>
        <v>9.3776019729104441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0.10437785092340651</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11.21347920429608</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11173802.753668532</v>
      </c>
    </row>
    <row r="53" spans="1:21">
      <c r="C53" s="111"/>
    </row>
    <row r="54" spans="1:21" ht="13.15">
      <c r="B54" s="115" t="s">
        <v>108</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C22" sqref="C22:C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479041.111771753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11.970789496701034</v>
      </c>
      <c r="F22" s="328">
        <f>1-F23-F24</f>
        <v>0.19999999999999996</v>
      </c>
      <c r="G22" s="328">
        <f>F22*(1-F$29-F$30)</f>
        <v>0.15999999999999995</v>
      </c>
    </row>
    <row r="23" spans="2:7">
      <c r="B23" s="302" t="s">
        <v>437</v>
      </c>
      <c r="C23" s="324">
        <v>0.02</v>
      </c>
      <c r="D23" s="325">
        <f>C18</f>
        <v>15</v>
      </c>
      <c r="E23" s="326">
        <f>DCF!E92</f>
        <v>10.76557516595933</v>
      </c>
      <c r="F23" s="327">
        <v>0.55000000000000004</v>
      </c>
      <c r="G23" s="328">
        <f t="shared" ref="G23:G24" si="0">F23*(1-F$29-F$30)</f>
        <v>0.44</v>
      </c>
    </row>
    <row r="24" spans="2:7">
      <c r="B24" s="302" t="s">
        <v>446</v>
      </c>
      <c r="C24" s="324">
        <v>0.01</v>
      </c>
      <c r="D24" s="325">
        <f>C18</f>
        <v>15</v>
      </c>
      <c r="E24" s="326">
        <f>DCF!E93</f>
        <v>9.6949585146850534</v>
      </c>
      <c r="F24" s="327">
        <v>0.25</v>
      </c>
      <c r="G24" s="328">
        <f t="shared" si="0"/>
        <v>0.19999999999999998</v>
      </c>
    </row>
    <row r="25" spans="2:7">
      <c r="B25" s="141" t="s">
        <v>451</v>
      </c>
      <c r="C25" s="441">
        <f>E23*F23+E24*F24+E22*F22</f>
        <v>10.738963869289101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14.853765601040337</v>
      </c>
      <c r="F29" s="327">
        <v>0.15</v>
      </c>
      <c r="G29" s="328">
        <f>F29</f>
        <v>0.15</v>
      </c>
    </row>
    <row r="30" spans="2:7">
      <c r="B30" s="315" t="s">
        <v>447</v>
      </c>
      <c r="C30" s="324">
        <v>0</v>
      </c>
      <c r="D30" s="325">
        <f>C18</f>
        <v>15</v>
      </c>
      <c r="E30" s="326">
        <f>DCF!E94</f>
        <v>8.7440019460876197</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6.27</v>
      </c>
      <c r="D34" t="str">
        <f>Market_currency</f>
        <v>HKD</v>
      </c>
      <c r="E34" s="97" t="s">
        <v>454</v>
      </c>
      <c r="F34" s="330">
        <f>RATE(Holding_Period,$C$33,-C34,$C$36)</f>
        <v>0.2342861833030794</v>
      </c>
    </row>
    <row r="35" spans="2:7">
      <c r="B35" s="97" t="s">
        <v>434</v>
      </c>
      <c r="C35" s="320">
        <f>DCF!C11</f>
        <v>9.3776019729104441</v>
      </c>
      <c r="D35" s="97" t="str">
        <f>Market_currency</f>
        <v>HKD</v>
      </c>
      <c r="E35" s="97" t="s">
        <v>454</v>
      </c>
      <c r="F35" s="330">
        <f>RATE(Holding_Period,$C$33,-C35,$C$36)</f>
        <v>7.7036393374037698E-2</v>
      </c>
    </row>
    <row r="36" spans="2:7">
      <c r="B36" s="97" t="s">
        <v>435</v>
      </c>
      <c r="C36" s="321">
        <f>E22*G22+E23*G23+E24*G24+E30*G30+E29*G29</f>
        <v>11.25643603289171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11.21347920429608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1.9925036935832013E-2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0.25788802913063269</v>
      </c>
      <c r="D62" s="119">
        <f>C36/(1+F62)^Holding_Period</f>
        <v>5.1235484901646364</v>
      </c>
      <c r="E62" s="332">
        <f>C62+D62</f>
        <v>5.3814365192952689</v>
      </c>
      <c r="F62" s="301">
        <f>Thesis!E22</f>
        <v>0.3</v>
      </c>
      <c r="G62" s="440">
        <f>(1-E62/C36)</f>
        <v>0.521923590773268</v>
      </c>
    </row>
    <row r="63" spans="2:7" ht="13.15">
      <c r="B63" s="302" t="s">
        <v>313</v>
      </c>
      <c r="C63" s="119">
        <f>PV(F63, Holding_Period, -C58, 0)</f>
        <v>0.29912037037037031</v>
      </c>
      <c r="D63" s="119">
        <f>C36/(1+F63)^Holding_Period</f>
        <v>6.5141412227382576</v>
      </c>
      <c r="E63" s="332">
        <f>C63+D63</f>
        <v>6.8132615931086278</v>
      </c>
      <c r="F63" s="301">
        <f>Thesis!E23</f>
        <v>0.2</v>
      </c>
      <c r="G63" s="440">
        <f>(1-E63/C36)</f>
        <v>0.3947230212831101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314</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6.27</v>
      </c>
    </row>
    <row r="9" spans="1:10">
      <c r="B9" s="351" t="s">
        <v>361</v>
      </c>
      <c r="C9" s="353">
        <f>Common_Shares</f>
        <v>1016799089</v>
      </c>
    </row>
    <row r="10" spans="1:10">
      <c r="B10" s="351" t="s">
        <v>367</v>
      </c>
      <c r="C10" s="357">
        <f>投资主题!C8*Common_Shares/1000000</f>
        <v>6375.3302880299998</v>
      </c>
      <c r="D10" s="343" t="s">
        <v>529</v>
      </c>
      <c r="E10" s="360">
        <f>Scenarios!F34</f>
        <v>0.2342861833030794</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11.25643603289171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5.3814365192952689</v>
      </c>
      <c r="D22" s="365" t="s">
        <v>440</v>
      </c>
      <c r="E22" s="366">
        <f>Thesis!E22</f>
        <v>0.3</v>
      </c>
    </row>
    <row r="23" spans="1:6">
      <c r="B23" s="343" t="s">
        <v>341</v>
      </c>
      <c r="C23" s="367">
        <f>E141</f>
        <v>6.8132615931086278</v>
      </c>
      <c r="D23" s="365" t="s">
        <v>441</v>
      </c>
      <c r="E23" s="368">
        <f>Thesis!E23</f>
        <v>0.2</v>
      </c>
    </row>
    <row r="24" spans="1:6">
      <c r="B24" s="343" t="s">
        <v>343</v>
      </c>
      <c r="C24" s="367">
        <f>E144</f>
        <v>8.410757158764735</v>
      </c>
      <c r="D24" s="365" t="s">
        <v>443</v>
      </c>
      <c r="E24" s="368">
        <f>Thesis!E24</f>
        <v>0.1174</v>
      </c>
    </row>
    <row r="25" spans="1:6">
      <c r="B25" s="343" t="s">
        <v>342</v>
      </c>
      <c r="C25" s="367">
        <f>E145</f>
        <v>9.4954558038529377</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2866.0998853190004</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-30947.380114680996</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-141441.83709522896</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506980</v>
      </c>
      <c r="D60" s="343" t="str">
        <f>Reporting_currency</f>
        <v>HKD</v>
      </c>
    </row>
    <row r="61" spans="2:6">
      <c r="B61" s="372" t="s">
        <v>213</v>
      </c>
      <c r="C61" s="373">
        <f>Normalized_FCF!C19</f>
        <v>479041.111771753</v>
      </c>
      <c r="D61" s="343" t="str">
        <f>Reporting_currency</f>
        <v>HKD</v>
      </c>
    </row>
    <row r="62" spans="2:6">
      <c r="B62" s="377" t="s">
        <v>302</v>
      </c>
      <c r="C62" s="378">
        <f>Normalized_FCF!C124</f>
        <v>7.5139810822221487E-2</v>
      </c>
      <c r="F62" s="379"/>
    </row>
    <row r="63" spans="2:6">
      <c r="B63" s="377" t="s">
        <v>332</v>
      </c>
      <c r="C63" s="378">
        <f>Normalized_FCF!C92</f>
        <v>2.2647527910685805E-2</v>
      </c>
      <c r="E63" s="372" t="s">
        <v>373</v>
      </c>
      <c r="F63" s="380">
        <f>Normalized_FCF!C90</f>
        <v>0.30140517606930323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-563558</v>
      </c>
      <c r="D78" s="343" t="str">
        <f>Reporting_currency</f>
        <v>HKD</v>
      </c>
    </row>
    <row r="79" spans="1:6">
      <c r="B79" s="372" t="s">
        <v>234</v>
      </c>
      <c r="C79" s="387">
        <f>C78*scaling_factor*Exchange_Rate/Common_Shares</f>
        <v>-0.55424715275290737</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791610.68578016665</v>
      </c>
      <c r="D84" s="343" t="str">
        <f>Reporting_currency</f>
        <v>HKD</v>
      </c>
    </row>
    <row r="85" spans="1:6">
      <c r="B85" s="382" t="s">
        <v>481</v>
      </c>
      <c r="C85" s="390">
        <f>BS!C66</f>
        <v>1269294</v>
      </c>
      <c r="D85" s="391" t="str">
        <f>Reporting_currency</f>
        <v>HKD</v>
      </c>
    </row>
    <row r="86" spans="1:6">
      <c r="B86" s="372" t="s">
        <v>235</v>
      </c>
      <c r="C86" s="387">
        <f>C84*scaling_factor*Exchange_Rate/Common_Shares</f>
        <v>0.77853205647410506</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0.22428490372119783</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-0.17087844774809768</v>
      </c>
      <c r="D111" s="343" t="str">
        <f>Market_currency</f>
        <v>HKD</v>
      </c>
    </row>
    <row r="112" spans="1:6">
      <c r="A112" s="385"/>
      <c r="B112" s="372" t="s">
        <v>377</v>
      </c>
      <c r="C112" s="394">
        <f>DCF!C11</f>
        <v>9.3776019729104441</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519</v>
      </c>
      <c r="C124" s="470"/>
      <c r="D124" s="470"/>
      <c r="E124" s="470"/>
      <c r="F124" s="470"/>
    </row>
    <row r="125" spans="1:6">
      <c r="B125" s="372" t="s">
        <v>218</v>
      </c>
      <c r="C125" s="404">
        <f>Scenarios!C36</f>
        <v>11.25643603289171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0.25788802913063269</v>
      </c>
      <c r="D140" s="409">
        <f>Scenarios!D62</f>
        <v>5.1235484901646364</v>
      </c>
      <c r="E140" s="410">
        <f>Scenarios!E62</f>
        <v>5.3814365192952689</v>
      </c>
      <c r="F140" s="411">
        <f>E22</f>
        <v>0.3</v>
      </c>
    </row>
    <row r="141" spans="1:6">
      <c r="B141" s="408" t="s">
        <v>313</v>
      </c>
      <c r="C141" s="409">
        <f>Scenarios!C63</f>
        <v>0.29912037037037031</v>
      </c>
      <c r="D141" s="409">
        <f>Scenarios!D63</f>
        <v>6.5141412227382576</v>
      </c>
      <c r="E141" s="410">
        <f>Scenarios!E63</f>
        <v>6.8132615931086278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8.0681675148814467</v>
      </c>
      <c r="E144" s="410">
        <f>Scenarios!E66</f>
        <v>8.410757158764735</v>
      </c>
      <c r="F144" s="411">
        <f>E24</f>
        <v>0.1174</v>
      </c>
    </row>
    <row r="145" spans="1:6">
      <c r="B145" s="408" t="s">
        <v>314</v>
      </c>
      <c r="C145" s="409">
        <f>Scenarios!C67</f>
        <v>0.37095728225856828</v>
      </c>
      <c r="D145" s="409">
        <f>Scenarios!D67</f>
        <v>9.1244985215943704</v>
      </c>
      <c r="E145" s="410">
        <f>Scenarios!E67</f>
        <v>9.4954558038529377</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