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D65855-81E6-4CAA-8237-3411ECF4F51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<sst xmlns="http://schemas.openxmlformats.org/spreadsheetml/2006/main" count="766" uniqueCount="556">
  <si>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</si>
  <si>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</si>
  <si>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</si>
  <si>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</si>
  <si>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</si>
  <si>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</si>
  <si>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</si>
  <si>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</si>
  <si>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</si>
  <si>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</si>
  <si>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</si>
  <si>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</si>
  <si>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</si>
  <si>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</si>
  <si>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</si>
  <si>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</si>
  <si>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</si>
  <si>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</si>
  <si>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</si>
  <si>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</si>
  <si>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</si>
  <si>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</si>
  <si>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</si>
  <si>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</si>
  <si>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</si>
  <si>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</si>
  <si>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</si>
  <si>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</si>
  <si>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</si>
  <si>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</si>
  <si>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</si>
  <si>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</si>
  <si>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</si>
  <si>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</si>
  <si>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</si>
  <si>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</si>
  <si>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</si>
  <si>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</si>
  <si>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</si>
  <si>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</si>
  <si>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</si>
  <si>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</si>
  <si>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</si>
  <si>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</si>
  <si>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</si>
  <si>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</si>
  <si>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</si>
  <si>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</si>
  <si>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</si>
  <si>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</si>
  <si>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</si>
  <si>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</si>
  <si>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</si>
  <si>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</si>
  <si>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</si>
  <si>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</si>
  <si>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</si>
  <si>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</si>
  <si>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</si>
  <si>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</si>
  <si>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</si>
  <si>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</si>
  <si>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</si>
  <si>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</si>
  <si>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</si>
  <si>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</si>
  <si>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</si>
  <si>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</si>
  <si>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</si>
  <si>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</si>
  <si>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</si>
  <si>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</si>
  <si>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</si>
  <si>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</si>
  <si>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</si>
  <si>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</si>
  <si>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</si>
  <si>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</si>
  <si>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</si>
  <si>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</si>
  <si>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</si>
  <si>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</si>
  <si>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</si>
  <si>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</si>
  <si>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</si>
  <si>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</si>
  <si>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</si>
  <si>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</si>
  <si>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</si>
  <si>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</si>
  <si>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</si>
  <si>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</si>
  <si>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</si>
  <si>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</si>
  <si>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</si>
  <si>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</si>
  <si>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</si>
  <si>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</si>
  <si>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</si>
  <si>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</si>
  <si>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</si>
  <si>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</si>
  <si>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</si>
  <si>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</si>
  <si>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</si>
  <si>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</si>
  <si>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</si>
  <si>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</si>
  <si>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</si>
  <si>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</si>
  <si>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</si>
  <si>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</si>
  <si>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</si>
  <si>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</si>
  <si>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</si>
  <si>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</si>
  <si>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</si>
  <si>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</si>
  <si>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</si>
  <si>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</si>
  <si>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</si>
  <si>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</si>
  <si>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</si>
  <si>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</si>
  <si>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</si>
  <si>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</si>
  <si>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</si>
  <si>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</si>
  <si>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</si>
  <si>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</si>
  <si>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</si>
  <si>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</si>
  <si>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</si>
  <si>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</si>
  <si>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</si>
  <si>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</si>
  <si>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</si>
  <si>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</si>
  <si>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</si>
  <si>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</si>
  <si>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</si>
  <si>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</si>
  <si>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</si>
  <si>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</si>
  <si>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</si>
  <si>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</si>
  <si>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</si>
  <si>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</si>
  <si>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</si>
  <si>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</si>
  <si>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</si>
  <si>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</si>
  <si>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</si>
  <si>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</si>
  <si>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</si>
  <si>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</si>
  <si>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</si>
  <si>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</si>
  <si>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</si>
  <si>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</si>
  <si>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</si>
  <si>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</si>
  <si>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</si>
  <si>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</si>
  <si>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</si>
  <si>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</si>
  <si>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</si>
  <si>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</si>
  <si>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</si>
  <si>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</si>
  <si>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</si>
  <si>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</si>
  <si>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</si>
  <si>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</si>
  <si>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</si>
  <si>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</si>
  <si>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</si>
  <si>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</si>
  <si>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</si>
  <si>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</si>
  <si>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</si>
  <si>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</si>
  <si>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</si>
  <si>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</si>
  <si>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</si>
  <si>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</si>
  <si>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</si>
  <si>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</si>
  <si>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</si>
  <si>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</si>
  <si>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</si>
  <si>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</si>
  <si>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</si>
  <si>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</si>
  <si>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</si>
  <si>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</si>
  <si>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</si>
  <si>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</si>
  <si>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</si>
  <si>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</si>
  <si>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</si>
  <si>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</si>
  <si>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</si>
  <si>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</si>
  <si>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</si>
  <si>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</si>
  <si>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</si>
  <si>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</si>
  <si>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</si>
  <si>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</si>
  <si>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</si>
  <si>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</si>
  <si>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</si>
  <si>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</si>
  <si>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</si>
  <si>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</si>
  <si>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</si>
  <si>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</si>
  <si>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</si>
  <si>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</si>
  <si>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</si>
  <si>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</si>
  <si>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</si>
  <si>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</si>
  <si>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</si>
  <si>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</si>
  <si>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</si>
  <si>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</si>
  <si>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</si>
  <si>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</si>
  <si>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</si>
  <si>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</si>
  <si>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</si>
  <si>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</si>
  <si>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</si>
  <si>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</si>
  <si>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</si>
  <si>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</si>
  <si>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</si>
  <si>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</si>
  <si>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</si>
  <si>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</si>
  <si>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</si>
  <si>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</si>
  <si>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</si>
  <si>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</si>
  <si>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</si>
  <si>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</si>
  <si>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</si>
  <si>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</si>
  <si>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</si>
  <si>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</si>
  <si>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</si>
  <si>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</si>
  <si>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</si>
  <si>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</si>
  <si>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</si>
  <si>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</si>
  <si>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</si>
  <si>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</si>
  <si>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</si>
  <si>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</si>
  <si>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</si>
  <si>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</si>
  <si>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</si>
  <si>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</si>
  <si>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</si>
  <si>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</si>
  <si>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</si>
  <si>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</si>
  <si>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</si>
  <si>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</si>
  <si>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</si>
  <si>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</si>
  <si>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</si>
  <si>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</si>
  <si>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</si>
  <si>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</si>
  <si>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</si>
  <si>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</si>
  <si>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</si>
  <si>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</si>
  <si>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</si>
  <si>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</si>
  <si>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</si>
  <si>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</si>
  <si>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</si>
  <si>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</si>
  <si>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</si>
  <si>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</si>
  <si>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</si>
  <si>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</si>
  <si>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</si>
  <si>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</si>
  <si>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</si>
  <si>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</si>
  <si>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</si>
  <si>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</si>
  <si>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</si>
  <si>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</si>
  <si>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</si>
  <si>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</si>
  <si>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</si>
  <si>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</si>
  <si>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</si>
  <si>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</si>
  <si>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</si>
  <si>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</si>
  <si>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</si>
  <si>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</si>
  <si>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</si>
  <si>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</si>
  <si>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</si>
  <si>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</si>
  <si>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</si>
  <si>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</si>
  <si>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</si>
  <si>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</si>
  <si>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</si>
  <si>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</si>
  <si>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</si>
  <si>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</si>
  <si>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</si>
  <si>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</si>
  <si>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</si>
  <si>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</si>
  <si>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</si>
  <si>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</si>
  <si>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</si>
  <si>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</si>
  <si>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</si>
  <si>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</si>
  <si>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</si>
  <si>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</si>
  <si>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</si>
  <si>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</si>
  <si>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</si>
  <si>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</si>
  <si>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</si>
  <si>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</si>
  <si>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</si>
  <si>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</si>
  <si>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</si>
  <si>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</si>
  <si>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</si>
  <si>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</si>
  <si>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</si>
  <si>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</si>
  <si>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</si>
  <si>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</si>
  <si>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</si>
  <si>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</si>
  <si>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</si>
  <si>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</si>
  <si>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</si>
  <si>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</si>
  <si>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</si>
  <si>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</si>
  <si>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</si>
  <si>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</si>
  <si>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</si>
  <si>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</si>
  <si>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</si>
  <si>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</si>
  <si>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</si>
  <si>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</si>
  <si>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</si>
  <si>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</si>
  <si>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</si>
  <si>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</si>
  <si>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</si>
  <si>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</si>
  <si>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</si>
  <si>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</si>
  <si>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</si>
  <si>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</si>
  <si>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</si>
  <si>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</si>
  <si>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</si>
  <si>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</si>
  <si>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</si>
  <si>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</si>
  <si>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</si>
  <si>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</si>
  <si>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</si>
  <si>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</si>
  <si>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</si>
  <si>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</si>
  <si>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</si>
  <si>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</si>
  <si>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</si>
  <si>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</si>
  <si>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</si>
  <si>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</si>
  <si>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</si>
  <si>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</si>
  <si>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</si>
  <si>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</si>
  <si>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</si>
  <si>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</si>
  <si>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</si>
  <si>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</si>
  <si>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</si>
  <si>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</si>
  <si>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</si>
  <si>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</si>
  <si>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</si>
  <si>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</si>
  <si>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</si>
  <si>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</si>
  <si>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</si>
  <si>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</si>
  <si>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</si>
  <si>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</si>
  <si>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</si>
  <si>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</si>
  <si>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</si>
  <si>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</si>
  <si>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</si>
  <si>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</si>
  <si>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</si>
  <si>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</si>
  <si>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</si>
  <si>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</si>
  <si>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</si>
  <si>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</si>
  <si>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</si>
  <si>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</si>
  <si>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</si>
  <si>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</si>
  <si>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</si>
  <si>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</si>
  <si>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</si>
  <si>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</si>
  <si>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</si>
  <si>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</si>
  <si>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</si>
  <si>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</si>
  <si>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</si>
  <si>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</si>
  <si>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</si>
  <si>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</si>
  <si>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</si>
  <si>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</si>
  <si>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</si>
  <si>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</si>
  <si>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</si>
  <si>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</si>
  <si>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</si>
  <si>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</si>
  <si>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</si>
  <si>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</si>
  <si>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</si>
  <si>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</si>
  <si>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</si>
  <si>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</si>
  <si>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</si>
  <si>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</si>
  <si>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</si>
  <si>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</si>
  <si>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</si>
  <si>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</si>
  <si>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</si>
  <si>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</si>
  <si>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</si>
  <si>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</si>
  <si>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</si>
  <si>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</si>
  <si>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</si>
  <si>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</si>
  <si>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</si>
  <si>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</si>
  <si>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</si>
  <si>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</si>
  <si>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</si>
  <si>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</si>
  <si>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</si>
  <si>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</si>
  <si>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</si>
  <si>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</si>
  <si>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</si>
  <si>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</si>
  <si>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</si>
  <si>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</si>
  <si>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</si>
  <si>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</si>
  <si>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</si>
  <si>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</si>
  <si>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</si>
  <si>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</si>
  <si>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</si>
  <si>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</si>
  <si>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</si>
  <si>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</si>
  <si>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</si>
  <si>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</si>
  <si>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</si>
  <si>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</si>
  <si>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</si>
  <si>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</si>
  <si>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</si>
  <si>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</si>
  <si>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</si>
  <si>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</si>
  <si>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</si>
  <si>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</si>
  <si>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</si>
  <si>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</si>
  <si>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</si>
  <si>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</si>
  <si>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</si>
  <si>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</si>
  <si>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</si>
  <si>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</si>
  <si>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</si>
  <si>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</si>
  <si>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</si>
  <si>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</si>
  <si>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</si>
  <si>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</si>
  <si>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</si>
  <si>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</si>
  <si>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</si>
  <si>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</si>
  <si>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</si>
  <si>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</si>
  <si>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</si>
  <si>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</si>
  <si>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</si>
  <si>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</si>
  <si>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</si>
  <si>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</si>
  <si>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</si>
  <si>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</si>
  <si>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</si>
  <si>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</si>
  <si>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</si>
  <si>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</si>
  <si>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</si>
  <si>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</si>
  <si>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</si>
  <si>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</si>
  <si>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</si>
  <si>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</si>
  <si>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</si>
  <si>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</si>
  <si>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</si>
  <si>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</si>
  <si>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</si>
  <si>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</si>
  <si>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</si>
  <si>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</si>
  <si>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</si>
  <si>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维他奶</t>
  </si>
  <si>
    <t>0345.HK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</si>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</sst>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6.37</v>
      </c>
      <c r="E8" s="32"/>
    </row>
    <row r="9" spans="1:9">
      <c r="B9" s="4" t="s">
        <v>346</v>
      </c>
      <c r="C9" s="48">
        <v>1042185089</v>
      </c>
    </row>
    <row r="10" spans="1:9">
      <c r="B10" s="4" t="s">
        <v>352</v>
      </c>
      <c r="C10" s="33">
        <f>Thesis!C8*Common_Shares/1000000</f>
        <v>6638.7190169300002</v>
      </c>
      <c r="D10" s="1" t="s">
        <v>531</v>
      </c>
      <c r="E10" s="307">
        <f>Scenarios!F34</f>
        <v>0.1056555578812557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512212.08973629586</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9" t="s">
        <v>206</v>
      </c>
      <c r="C51" s="459"/>
      <c r="D51" s="459"/>
      <c r="E51" s="459"/>
      <c r="F51" s="459"/>
    </row>
    <row r="52" spans="2:6">
      <c r="B52" s="44" t="s">
        <v>204</v>
      </c>
      <c r="C52" s="289">
        <f>Normalized_FCF!C12</f>
        <v>-120358.90598869443</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4.9216776024788217E-2</v>
      </c>
      <c r="F62" s="260"/>
    </row>
    <row r="63" spans="2:6">
      <c r="B63" s="204" t="s">
        <v>332</v>
      </c>
      <c r="C63" s="89">
        <f>Normalized_FCF!C92</f>
        <v>4.2386185243328101E-2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9" t="s">
        <v>357</v>
      </c>
      <c r="C124" s="459"/>
      <c r="D124" s="459"/>
      <c r="E124" s="459"/>
      <c r="F124" s="459"/>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199566.96358635789</v>
      </c>
      <c r="D89" s="216">
        <f>SUM(D86:D88)</f>
        <v>0.19148898376376389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4.2386185243328101E-2</v>
      </c>
      <c r="E92" s="238"/>
      <c r="G92" s="22">
        <f t="shared" ref="G92:Q92" si="38">IF(G$4="","",(G88*(1-dividend_tax_rate))/Market_Price)</f>
        <v>4.2386185243328101E-2</v>
      </c>
      <c r="H92" s="22">
        <f t="shared" si="38"/>
        <v>3.9560439560439566E-2</v>
      </c>
      <c r="I92" s="22">
        <f t="shared" si="38"/>
        <v>6.0753532182103623E-2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4.9216776024788217E-2</v>
      </c>
      <c r="D124" s="26"/>
      <c r="E124" s="235"/>
      <c r="F124" s="26"/>
      <c r="G124" s="74">
        <f t="shared" ref="G124" si="49">IF(G$4="","",G123/Market_Price)</f>
        <v>7.6367142321749765E-2</v>
      </c>
      <c r="H124" s="74">
        <f t="shared" ref="H124" si="50">IF(H$4="","",H123/Market_Price)</f>
        <v>5.8560996332057788E-2</v>
      </c>
      <c r="I124" s="74">
        <f t="shared" ref="I124" si="51">IF(I$4="","",I123/Market_Price)</f>
        <v>3.8426840983845467E-2</v>
      </c>
      <c r="J124" s="74">
        <f t="shared" ref="J124" si="52">IF(J$4="","",J123/Market_Price)</f>
        <v>3.0818294836435504E-2</v>
      </c>
      <c r="K124" s="74">
        <f t="shared" ref="K124" si="53">IF(K$4="","",K123/Market_Price)</f>
        <v>0.13357833005712683</v>
      </c>
      <c r="L124" s="74">
        <f t="shared" ref="L124" si="54">IF(L$4="","",L123/Market_Price)</f>
        <v>0.13075293558687343</v>
      </c>
      <c r="M124" s="74">
        <f t="shared" ref="M124" si="55">IF(M$4="","",M123/Market_Price)</f>
        <v>0.15665943947134314</v>
      </c>
      <c r="N124" s="74">
        <f t="shared" ref="N124" si="56">IF(N$4="","",N123/Market_Price)</f>
        <v>0.13747094848759478</v>
      </c>
      <c r="O124" s="74">
        <f t="shared" ref="O124" si="57">IF(O$4="","",O123/Market_Price)</f>
        <v>0.10017580173283787</v>
      </c>
      <c r="P124" s="74">
        <f t="shared" ref="P124" si="58">IF(P$4="","",P123/Market_Price)</f>
        <v>0.11869142194308181</v>
      </c>
      <c r="Q124" s="74" t="str">
        <f t="shared" ref="Q124" si="59">IF(Q$4="","",Q123/Market_Price)</f>
        <v/>
      </c>
    </row>
    <row r="125" spans="1:17" ht="15.75" customHeight="1">
      <c r="B125" s="2" t="s">
        <v>306</v>
      </c>
      <c r="C125" s="151"/>
      <c r="G125" s="22">
        <f>IF(G$4="","",(Data!C47*$C$3)/(Market_Price*Common_Shares))</f>
        <v>3.6237111314171559E-2</v>
      </c>
      <c r="H125" s="22">
        <f>IF(H$4="","",(Data!D47*$C$3)/(Market_Price*Common_Shares))</f>
        <v>1.7742579509634031E-2</v>
      </c>
      <c r="I125" s="22">
        <f>IF(I$4="","",(Data!E47*$C$3)/(Market_Price*Common_Shares))</f>
        <v>3.1718468497161324E-3</v>
      </c>
      <c r="J125" s="22">
        <f>IF(J$4="","",(Data!F47*$C$3)/(Market_Price*Common_Shares))</f>
        <v>-2.4309057152207776E-2</v>
      </c>
      <c r="K125" s="22">
        <f>IF(K$4="","",(Data!G47*$C$3)/(Market_Price*Common_Shares))</f>
        <v>8.8798456222750524E-2</v>
      </c>
      <c r="L125" s="22">
        <f>IF(L$4="","",(Data!H47*$C$3)/(Market_Price*Common_Shares))</f>
        <v>8.5798329248072444E-2</v>
      </c>
      <c r="M125" s="22">
        <f>IF(M$4="","",(Data!I47*$C$3)/(Market_Price*Common_Shares))</f>
        <v>0.11262639646191307</v>
      </c>
      <c r="N125" s="22">
        <f>IF(N$4="","",(Data!J47*$C$3)/(Market_Price*Common_Shares))</f>
        <v>9.6713688041719675E-2</v>
      </c>
      <c r="O125" s="22">
        <f>IF(O$4="","",(Data!K47*$C$3)/(Market_Price*Common_Shares))</f>
        <v>9.8406635125537864E-2</v>
      </c>
      <c r="P125" s="22">
        <f>IF(P$4="","",(Data!L47*$C$3)/(Market_Price*Common_Shares))</f>
        <v>8.5143534250887845E-2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6.37</v>
      </c>
      <c r="D34" t="str">
        <f>Market_currency</f>
        <v>HKD</v>
      </c>
      <c r="E34" s="97" t="s">
        <v>457</v>
      </c>
      <c r="F34" s="334">
        <f>RATE(Holding_Period,$C$33,-C34,$C$36)</f>
        <v>0.1056555578812557</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2.483218456427648E-2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6.37</v>
      </c>
    </row>
    <row r="9" spans="1:10">
      <c r="B9" s="355" t="s">
        <v>361</v>
      </c>
      <c r="C9" s="357">
        <f>Common_Shares</f>
        <v>1042185089</v>
      </c>
    </row>
    <row r="10" spans="1:10">
      <c r="B10" s="355" t="s">
        <v>367</v>
      </c>
      <c r="C10" s="361">
        <f>投资主题!C8*Common_Shares/1000000</f>
        <v>6638.7190169300002</v>
      </c>
      <c r="D10" s="347" t="s">
        <v>532</v>
      </c>
      <c r="E10" s="364">
        <f>Scenarios!F34</f>
        <v>0.1056555578812557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4.9216776024788217E-2</v>
      </c>
      <c r="F62" s="383"/>
    </row>
    <row r="63" spans="2:6">
      <c r="B63" s="381" t="s">
        <v>332</v>
      </c>
      <c r="C63" s="382">
        <f>Normalized_FCF!C92</f>
        <v>4.2386185243328101E-2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