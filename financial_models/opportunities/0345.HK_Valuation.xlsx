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C7176C6-5659-4EEA-871A-EFFD73BE258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<sst xmlns="http://schemas.openxmlformats.org/spreadsheetml/2006/main" count="768" uniqueCount="558">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</sst>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6.28</v>
      </c>
      <c r="E8" s="32"/>
    </row>
    <row r="9" spans="1:9">
      <c r="B9" s="4" t="s">
        <v>345</v>
      </c>
      <c r="C9" s="48">
        <v>1016799089</v>
      </c>
    </row>
    <row r="10" spans="1:9">
      <c r="B10" s="4" t="s">
        <v>351</v>
      </c>
      <c r="C10" s="33">
        <f>Thesis!C8*Common_Shares/1000000</f>
        <v>6385.4982789200003</v>
      </c>
      <c r="D10" s="1" t="s">
        <v>527</v>
      </c>
      <c r="E10" s="303">
        <f>Scenarios!F34</f>
        <v>0.23361923889200864</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11.25643603289171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5.3814365192952689</v>
      </c>
      <c r="D22" s="38" t="s">
        <v>405</v>
      </c>
      <c r="E22" s="79">
        <v>0.3</v>
      </c>
    </row>
    <row r="23" spans="1:6">
      <c r="B23" s="1" t="s">
        <v>312</v>
      </c>
      <c r="C23" s="256">
        <f>E141</f>
        <v>6.8132615931086278</v>
      </c>
      <c r="D23" s="38" t="s">
        <v>406</v>
      </c>
      <c r="E23" s="443">
        <v>0.2</v>
      </c>
    </row>
    <row r="24" spans="1:6">
      <c r="B24" s="1" t="s">
        <v>314</v>
      </c>
      <c r="C24" s="256">
        <f>E144</f>
        <v>8.410757158764735</v>
      </c>
      <c r="D24" s="38" t="s">
        <v>407</v>
      </c>
      <c r="E24" s="443">
        <v>0.1174</v>
      </c>
    </row>
    <row r="25" spans="1:6">
      <c r="B25" s="1" t="s">
        <v>313</v>
      </c>
      <c r="C25" s="256">
        <f>E145</f>
        <v>9.4954558038529377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685770.70000000019</v>
      </c>
      <c r="D34" s="1" t="str">
        <f>Reporting_currency</f>
        <v>HKD</v>
      </c>
    </row>
    <row r="35" spans="2:6">
      <c r="B35" s="44"/>
      <c r="C35" s="73"/>
    </row>
    <row r="36" spans="2:6" ht="24.5" customHeight="1">
      <c r="B36" s="461" t="s">
        <v>197</v>
      </c>
      <c r="C36" s="461"/>
      <c r="D36" s="461"/>
      <c r="E36" s="461"/>
      <c r="F36" s="461"/>
    </row>
    <row r="37" spans="2:6">
      <c r="B37" s="44" t="s">
        <v>198</v>
      </c>
      <c r="C37" s="285">
        <f>Normalized_FCF!C15</f>
        <v>0</v>
      </c>
      <c r="D37" s="1" t="str">
        <f>Reporting_currency</f>
        <v>HKD</v>
      </c>
    </row>
    <row r="38" spans="2:6">
      <c r="B38" s="49" t="s">
        <v>199</v>
      </c>
      <c r="C38" s="285">
        <f>Normalized_FCF!C16</f>
        <v>0</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2866.0998853190004</v>
      </c>
      <c r="D44" s="1" t="str">
        <f>Reporting_currency</f>
        <v>HKD</v>
      </c>
      <c r="E44" s="244"/>
      <c r="F44" s="244"/>
    </row>
    <row r="45" spans="2:6">
      <c r="B45" s="44" t="s">
        <v>267</v>
      </c>
      <c r="C45" s="286">
        <f>Normalized_FCF!C45</f>
        <v>-33813.479999999996</v>
      </c>
      <c r="D45" s="1" t="str">
        <f>Reporting_currency</f>
        <v>HKD</v>
      </c>
      <c r="E45" s="244"/>
      <c r="F45" s="244"/>
    </row>
    <row r="46" spans="2:6">
      <c r="B46" s="44" t="s">
        <v>202</v>
      </c>
      <c r="C46" s="285">
        <f>Normalized_FCF!C10</f>
        <v>-30947.380114680996</v>
      </c>
      <c r="D46" s="1" t="str">
        <f>Reporting_currency</f>
        <v>HKD</v>
      </c>
    </row>
    <row r="48" spans="2:6">
      <c r="B48" s="1" t="s">
        <v>210</v>
      </c>
    </row>
    <row r="49" spans="2:6">
      <c r="B49" s="44" t="s">
        <v>222</v>
      </c>
      <c r="C49" s="285">
        <f>Normalized_FCF!C13</f>
        <v>-34340.371018337282</v>
      </c>
      <c r="D49" s="1" t="str">
        <f>Reporting_currency</f>
        <v>HKD</v>
      </c>
    </row>
    <row r="51" spans="2:6">
      <c r="B51" s="461" t="s">
        <v>205</v>
      </c>
      <c r="C51" s="461"/>
      <c r="D51" s="461"/>
      <c r="E51" s="461"/>
      <c r="F51" s="461"/>
    </row>
    <row r="52" spans="2:6">
      <c r="B52" s="44" t="s">
        <v>203</v>
      </c>
      <c r="C52" s="285">
        <f>Normalized_FCF!C12</f>
        <v>-141441.83709522896</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506980</v>
      </c>
      <c r="D60" s="1" t="str">
        <f>Reporting_currency</f>
        <v>HKD</v>
      </c>
    </row>
    <row r="61" spans="2:6">
      <c r="B61" s="44" t="s">
        <v>212</v>
      </c>
      <c r="C61" s="285">
        <f>Normalized_FCF!C19</f>
        <v>479041.111771753</v>
      </c>
      <c r="D61" s="1" t="str">
        <f>Reporting_currency</f>
        <v>HKD</v>
      </c>
    </row>
    <row r="62" spans="2:6">
      <c r="B62" s="204" t="s">
        <v>301</v>
      </c>
      <c r="C62" s="89">
        <f>Normalized_FCF!C124</f>
        <v>7.5020161441931327E-2</v>
      </c>
      <c r="F62" s="257"/>
    </row>
    <row r="63" spans="2:6">
      <c r="B63" s="204" t="s">
        <v>331</v>
      </c>
      <c r="C63" s="89">
        <f>Normalized_FCF!C92</f>
        <v>2.2611464968152865E-2</v>
      </c>
      <c r="E63" s="44" t="s">
        <v>321</v>
      </c>
      <c r="F63" s="258">
        <f>Normalized_FCF!C90</f>
        <v>0.30140517606930323</v>
      </c>
    </row>
    <row r="65" spans="1:6">
      <c r="B65" s="192" t="s">
        <v>324</v>
      </c>
      <c r="C65" s="264" t="s">
        <v>326</v>
      </c>
      <c r="D65" s="264" t="s">
        <v>327</v>
      </c>
    </row>
    <row r="66" spans="1:6">
      <c r="B66" s="44" t="s">
        <v>325</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-563558</v>
      </c>
      <c r="D78" s="1" t="str">
        <f>Reporting_currency</f>
        <v>HKD</v>
      </c>
    </row>
    <row r="79" spans="1:6">
      <c r="A79" s="191"/>
      <c r="B79" s="44" t="s">
        <v>233</v>
      </c>
      <c r="C79" s="201">
        <f>C78*scaling_factor*Exchange_Rate/Common_Shares</f>
        <v>-0.55424715275290737</v>
      </c>
      <c r="D79" s="1" t="str">
        <f>Market_currency</f>
        <v>HKD</v>
      </c>
    </row>
    <row r="80" spans="1:6">
      <c r="A80" s="191"/>
      <c r="B80" s="229" t="s">
        <v>308</v>
      </c>
      <c r="C80" s="337">
        <f>IF(BS!G31/BS!G27&gt;300%,"nm",BS!G31/BS!G27)</f>
        <v>0.17709797868255178</v>
      </c>
    </row>
    <row r="81" spans="1:6">
      <c r="A81" s="191"/>
      <c r="B81" s="229" t="s">
        <v>310</v>
      </c>
      <c r="C81" s="338">
        <f>IF(BS!C50&gt;30,"nm",BS!C50)</f>
        <v>0.82178780749892033</v>
      </c>
    </row>
    <row r="82" spans="1:6">
      <c r="A82" s="191"/>
    </row>
    <row r="83" spans="1:6">
      <c r="A83" s="191"/>
      <c r="B83" s="1" t="s">
        <v>465</v>
      </c>
    </row>
    <row r="84" spans="1:6">
      <c r="A84" s="191"/>
      <c r="B84" s="1" t="s">
        <v>223</v>
      </c>
      <c r="C84" s="285">
        <f>DCF!F5</f>
        <v>791610.68578016665</v>
      </c>
      <c r="D84" s="1" t="str">
        <f>Reporting_currency</f>
        <v>HKD</v>
      </c>
    </row>
    <row r="85" spans="1:6">
      <c r="A85" s="191"/>
      <c r="B85" s="229" t="s">
        <v>221</v>
      </c>
      <c r="C85" s="291">
        <f>BS!C66</f>
        <v>1269294</v>
      </c>
      <c r="D85" s="339" t="str">
        <f>Reporting_currency</f>
        <v>HKD</v>
      </c>
    </row>
    <row r="86" spans="1:6">
      <c r="A86" s="191"/>
      <c r="B86" s="44" t="s">
        <v>234</v>
      </c>
      <c r="C86" s="201">
        <f>C84*scaling_factor*Exchange_Rate/Common_Shares</f>
        <v>0.77853205647410506</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0.22428490372119783</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-0.17087844774809768</v>
      </c>
      <c r="D111" s="1" t="str">
        <f>Market_currency</f>
        <v>HKD</v>
      </c>
    </row>
    <row r="112" spans="2:6">
      <c r="B112" s="44" t="s">
        <v>322</v>
      </c>
      <c r="C112" s="216">
        <f>DCF!C11</f>
        <v>9.3776019729104441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1" t="s">
        <v>356</v>
      </c>
      <c r="C124" s="461"/>
      <c r="D124" s="461"/>
      <c r="E124" s="461"/>
      <c r="F124" s="461"/>
    </row>
    <row r="125" spans="2:6">
      <c r="B125" s="193" t="s">
        <v>217</v>
      </c>
      <c r="C125" s="197">
        <f>Scenarios!C36</f>
        <v>11.25643603289171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5.1235484901646364</v>
      </c>
      <c r="E140" s="334">
        <f>Scenarios!E62</f>
        <v>5.3814365192952689</v>
      </c>
      <c r="F140" s="335">
        <f>E22</f>
        <v>0.3</v>
      </c>
    </row>
    <row r="141" spans="1:6">
      <c r="B141" s="336" t="s">
        <v>312</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8.0681675148814467</v>
      </c>
      <c r="E144" s="334">
        <f>Scenarios!E66</f>
        <v>8.410757158764735</v>
      </c>
      <c r="F144" s="335">
        <f>E24</f>
        <v>0.1174</v>
      </c>
    </row>
    <row r="145" spans="1:6">
      <c r="B145" s="336" t="s">
        <v>313</v>
      </c>
      <c r="C145" s="333">
        <f>Scenarios!C67</f>
        <v>0.37095728225856828</v>
      </c>
      <c r="D145" s="333">
        <f>Scenarios!D67</f>
        <v>9.1244985215943704</v>
      </c>
      <c r="E145" s="334">
        <f>Scenarios!E67</f>
        <v>9.4954558038529377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39</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50</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57</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v>32547</v>
      </c>
      <c r="F12" s="287">
        <v>23071</v>
      </c>
      <c r="G12" s="287">
        <v>11770</v>
      </c>
      <c r="H12" s="287">
        <v>10932</v>
      </c>
      <c r="I12" s="287">
        <v>2086</v>
      </c>
      <c r="J12" s="287">
        <v>1700</v>
      </c>
      <c r="K12" s="287">
        <v>3730</v>
      </c>
      <c r="L12" s="287">
        <v>4044</v>
      </c>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v>27736</v>
      </c>
      <c r="F14" s="287">
        <v>-74541</v>
      </c>
      <c r="G14" s="287">
        <v>177151</v>
      </c>
      <c r="H14" s="287">
        <v>109477</v>
      </c>
      <c r="I14" s="287">
        <v>208143</v>
      </c>
      <c r="J14" s="287">
        <v>160679</v>
      </c>
      <c r="K14" s="287">
        <v>190383</v>
      </c>
      <c r="L14" s="287">
        <v>34064</v>
      </c>
      <c r="M14" s="287"/>
    </row>
    <row r="15" spans="2:13">
      <c r="B15" s="41" t="s">
        <v>38</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40</v>
      </c>
      <c r="C16" s="287">
        <v>5894</v>
      </c>
      <c r="D16" s="287">
        <v>1421</v>
      </c>
      <c r="E16" s="287">
        <v>-24664</v>
      </c>
      <c r="F16" s="287">
        <v>-2631</v>
      </c>
      <c r="G16" s="287">
        <v>41162</v>
      </c>
      <c r="H16" s="287">
        <v>33713</v>
      </c>
      <c r="I16" s="287">
        <v>51788</v>
      </c>
      <c r="J16" s="287">
        <v>56281</v>
      </c>
      <c r="K16" s="287">
        <v>34922</v>
      </c>
      <c r="L16" s="287">
        <v>34628</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287</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286</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25</v>
      </c>
      <c r="C27" s="94" t="s">
        <v>546</v>
      </c>
    </row>
    <row r="28" spans="2:13">
      <c r="B28" s="25" t="s">
        <v>21</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29</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37</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27</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142</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39</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54</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50</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57</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60</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138</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64</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46</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38</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40</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64</v>
      </c>
    </row>
    <row r="51" spans="2:13">
      <c r="B51" s="38" t="s">
        <v>36</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33</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54</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138</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81</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82</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37</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27</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823619</v>
      </c>
      <c r="D4" s="231">
        <v>0.6</v>
      </c>
      <c r="E4" s="24"/>
      <c r="F4" s="4" t="s">
        <v>73</v>
      </c>
      <c r="G4" s="18">
        <v>1268475</v>
      </c>
      <c r="H4" s="231">
        <v>0.9</v>
      </c>
    </row>
    <row r="5" spans="2:8" ht="15" customHeight="1">
      <c r="B5" s="1" t="s">
        <v>30</v>
      </c>
      <c r="C5" s="18">
        <v>0</v>
      </c>
      <c r="D5" s="231">
        <v>0.6</v>
      </c>
      <c r="E5" s="24"/>
      <c r="F5" s="1" t="s">
        <v>26</v>
      </c>
      <c r="G5" s="18">
        <v>0</v>
      </c>
      <c r="H5" s="231">
        <v>0.7</v>
      </c>
    </row>
    <row r="6" spans="2:8" ht="15" customHeight="1">
      <c r="B6" s="4" t="s">
        <v>8</v>
      </c>
      <c r="C6" s="18">
        <v>533268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172</v>
      </c>
      <c r="D10" s="231">
        <v>0.9</v>
      </c>
      <c r="F10" s="1" t="s">
        <v>401</v>
      </c>
      <c r="G10" s="18">
        <v>0</v>
      </c>
      <c r="H10" s="231">
        <v>0.6</v>
      </c>
    </row>
    <row r="11" spans="2:8" ht="15" customHeight="1">
      <c r="B11" s="4" t="s">
        <v>10</v>
      </c>
      <c r="C11" s="18">
        <v>0</v>
      </c>
      <c r="D11" s="231">
        <v>0.05</v>
      </c>
      <c r="H11" s="232"/>
    </row>
    <row r="12" spans="2:8" ht="15" customHeight="1">
      <c r="B12" s="77" t="s">
        <v>68</v>
      </c>
      <c r="C12" s="78">
        <f>SUM(C4:C11)</f>
        <v>1357059</v>
      </c>
      <c r="D12" s="19">
        <f>C4*D4+C5*D5+C9*D9+C6*D6+C8*D8+C7*D7+C10*D10+C11*D11</f>
        <v>760960.2</v>
      </c>
      <c r="F12" s="77" t="s">
        <v>66</v>
      </c>
      <c r="G12" s="78">
        <f>SUM(G4:G10)</f>
        <v>1268475</v>
      </c>
      <c r="H12" s="19">
        <f>G4*H4+G5*H5+G6*H6+G7*H7+G8*H8+G9*H9+G10*H10</f>
        <v>1141627.5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18178</v>
      </c>
      <c r="D15" s="231">
        <v>0.4</v>
      </c>
      <c r="F15" s="4" t="s">
        <v>74</v>
      </c>
      <c r="G15" s="18">
        <v>819</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2778019+63</f>
        <v>2778082</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9</v>
      </c>
      <c r="D21" s="231">
        <v>0.05</v>
      </c>
      <c r="F21" s="1" t="s">
        <v>149</v>
      </c>
      <c r="G21" s="18">
        <v>0</v>
      </c>
      <c r="H21" s="231">
        <v>0.1</v>
      </c>
    </row>
    <row r="22" spans="2:8" ht="15" customHeight="1">
      <c r="B22" s="4" t="s">
        <v>17</v>
      </c>
      <c r="C22" s="18">
        <v>226078</v>
      </c>
      <c r="D22" s="231">
        <v>0.9</v>
      </c>
      <c r="H22" s="232"/>
    </row>
    <row r="23" spans="2:8" ht="15" customHeight="1">
      <c r="B23" s="4" t="s">
        <v>18</v>
      </c>
      <c r="C23" s="18">
        <v>0</v>
      </c>
      <c r="D23" s="231">
        <v>0</v>
      </c>
      <c r="H23" s="232"/>
    </row>
    <row r="24" spans="2:8" ht="15" customHeight="1">
      <c r="B24" s="77" t="s">
        <v>69</v>
      </c>
      <c r="C24" s="78">
        <f>SUM(C15:C23)</f>
        <v>3022347</v>
      </c>
      <c r="D24" s="19">
        <f>C15*D15+C16*D16+C18*D18+C17*D17+C19*D19+C20*D20+C21*D21+C22*D22+C23*D23</f>
        <v>488550.05000000005</v>
      </c>
      <c r="F24" s="77" t="s">
        <v>67</v>
      </c>
      <c r="G24" s="78">
        <f>SUM(G15:G21)</f>
        <v>819</v>
      </c>
      <c r="H24" s="19">
        <f>G15*H15+G16*H16+G17*H17+G18*H18+G19*H19+G20*H20+G21*H21</f>
        <v>655.20000000000005</v>
      </c>
    </row>
    <row r="26" spans="2:8" ht="15" customHeight="1">
      <c r="B26" s="16" t="s">
        <v>168</v>
      </c>
      <c r="C26" s="164" t="s">
        <v>112</v>
      </c>
      <c r="F26" s="166" t="s">
        <v>164</v>
      </c>
      <c r="G26" s="167" t="s">
        <v>112</v>
      </c>
      <c r="H26" s="168" t="s">
        <v>32</v>
      </c>
    </row>
    <row r="27" spans="2:8" ht="15" customHeight="1">
      <c r="B27" s="4" t="s">
        <v>3</v>
      </c>
      <c r="C27" s="18">
        <v>228916</v>
      </c>
      <c r="F27" s="169" t="s">
        <v>27</v>
      </c>
      <c r="G27" s="82">
        <f>G32-G30</f>
        <v>3182182</v>
      </c>
      <c r="H27" s="170">
        <f>H32-G30</f>
        <v>-74725.049999999814</v>
      </c>
    </row>
    <row r="28" spans="2:8" ht="15" customHeight="1">
      <c r="B28" s="4" t="s">
        <v>4</v>
      </c>
      <c r="C28" s="18">
        <v>109921</v>
      </c>
      <c r="F28" s="171" t="s">
        <v>208</v>
      </c>
      <c r="G28" s="287">
        <v>99024</v>
      </c>
      <c r="H28" s="170"/>
    </row>
    <row r="29" spans="2:8" ht="15" customHeight="1">
      <c r="B29" s="4" t="s">
        <v>5</v>
      </c>
      <c r="C29" s="18">
        <v>0</v>
      </c>
      <c r="F29" s="172" t="s">
        <v>71</v>
      </c>
      <c r="G29" s="14">
        <f>G27-G28</f>
        <v>3083158</v>
      </c>
      <c r="H29" s="170">
        <f>H27-G28</f>
        <v>-173749.04999999981</v>
      </c>
    </row>
    <row r="30" spans="2:8" ht="15" customHeight="1">
      <c r="B30" s="2" t="s">
        <v>6</v>
      </c>
      <c r="C30" s="18">
        <v>0</v>
      </c>
      <c r="F30" s="169" t="s">
        <v>20</v>
      </c>
      <c r="G30" s="82">
        <f>C33+C42</f>
        <v>2466518</v>
      </c>
      <c r="H30" s="170"/>
    </row>
    <row r="31" spans="2:8" ht="15" customHeight="1">
      <c r="B31" s="77" t="s">
        <v>171</v>
      </c>
      <c r="C31" s="78">
        <f>SUM(C27:C30)</f>
        <v>338837</v>
      </c>
      <c r="F31" s="172" t="s">
        <v>72</v>
      </c>
      <c r="G31" s="173">
        <f>C31+C40</f>
        <v>563558</v>
      </c>
      <c r="H31" s="170"/>
    </row>
    <row r="32" spans="2:8" ht="15" customHeight="1">
      <c r="B32" s="4" t="s">
        <v>7</v>
      </c>
      <c r="C32" s="20">
        <f>C33-C31</f>
        <v>1803148</v>
      </c>
      <c r="F32" s="174" t="s">
        <v>70</v>
      </c>
      <c r="G32" s="175">
        <f>G35+G40</f>
        <v>5648700</v>
      </c>
      <c r="H32" s="170">
        <f>H35+H40</f>
        <v>2391792.9500000002</v>
      </c>
    </row>
    <row r="33" spans="2:8" ht="15" customHeight="1">
      <c r="B33" s="80" t="s">
        <v>2</v>
      </c>
      <c r="C33" s="81">
        <v>2141985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4379406</v>
      </c>
      <c r="H35" s="182">
        <f>D12+D24</f>
        <v>1249510.25</v>
      </c>
    </row>
    <row r="36" spans="2:8" ht="15" customHeight="1">
      <c r="B36" s="4" t="s">
        <v>11</v>
      </c>
      <c r="C36" s="18">
        <v>36482</v>
      </c>
      <c r="F36" s="172" t="s">
        <v>165</v>
      </c>
      <c r="G36" s="173">
        <f>C4+C15</f>
        <v>841797</v>
      </c>
      <c r="H36" s="177"/>
    </row>
    <row r="37" spans="2:8" ht="15" customHeight="1">
      <c r="B37" s="4" t="s">
        <v>12</v>
      </c>
      <c r="C37" s="18">
        <v>188239</v>
      </c>
      <c r="F37" s="172" t="s">
        <v>166</v>
      </c>
      <c r="G37" s="173">
        <f>C6</f>
        <v>533268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2778082</v>
      </c>
      <c r="H39" s="170">
        <f>C7*D7+C17*D17+C19*D19+C20*D20</f>
        <v>277808.2</v>
      </c>
    </row>
    <row r="40" spans="2:8" ht="15" customHeight="1">
      <c r="B40" s="77" t="s">
        <v>172</v>
      </c>
      <c r="C40" s="78">
        <f>SUM(C36:C39)</f>
        <v>224721</v>
      </c>
      <c r="F40" s="181" t="s">
        <v>114</v>
      </c>
      <c r="G40" s="175">
        <f>G12+G24</f>
        <v>1269294</v>
      </c>
      <c r="H40" s="182">
        <f>H12+H24</f>
        <v>1142282.7</v>
      </c>
    </row>
    <row r="41" spans="2:8" ht="15" customHeight="1">
      <c r="B41" s="4" t="s">
        <v>15</v>
      </c>
      <c r="C41" s="20">
        <f>C42-C40</f>
        <v>99812</v>
      </c>
      <c r="F41" s="172" t="s">
        <v>159</v>
      </c>
      <c r="G41" s="173">
        <f>C70</f>
        <v>1269294</v>
      </c>
      <c r="H41" s="182">
        <f>H40-H42</f>
        <v>1142282.7</v>
      </c>
    </row>
    <row r="42" spans="2:8" ht="15" customHeight="1">
      <c r="B42" s="80" t="s">
        <v>19</v>
      </c>
      <c r="C42" s="81">
        <v>324533</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0.82178780749892033</v>
      </c>
      <c r="D50" s="92">
        <f>G31/Normalized_FCF!G8</f>
        <v>0.90544205445910431</v>
      </c>
      <c r="F50" s="223"/>
    </row>
    <row r="51" spans="2:8" ht="15" customHeight="1">
      <c r="B51" s="1" t="s">
        <v>145</v>
      </c>
      <c r="C51" s="163"/>
      <c r="D51" s="89">
        <f>G29/G32</f>
        <v>0.5458172676899109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0.15658988913108313</v>
      </c>
      <c r="D54" s="89">
        <f>Normalized_FCF!G8/G35</f>
        <v>0.14212247049029023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0.49180908881689595</v>
      </c>
      <c r="F59" s="223"/>
    </row>
    <row r="60" spans="2:8" ht="15" customHeight="1">
      <c r="F60" s="223"/>
    </row>
    <row r="61" spans="2:8" ht="15" customHeight="1">
      <c r="B61" s="143" t="s">
        <v>230</v>
      </c>
      <c r="C61" s="210" t="s">
        <v>113</v>
      </c>
      <c r="D61" s="179" t="s">
        <v>90</v>
      </c>
      <c r="F61" s="223"/>
    </row>
    <row r="62" spans="2:8" ht="15" customHeight="1">
      <c r="B62" s="1" t="s">
        <v>209</v>
      </c>
      <c r="C62" s="89">
        <f>IF(G28&lt;=0,0,G28/G29)</f>
        <v>3.2117718261600606E-2</v>
      </c>
      <c r="D62" s="89">
        <f>G28/G29</f>
        <v>3.2117718261600606E-2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1269294</v>
      </c>
      <c r="D66" s="73">
        <f>C66-D75</f>
        <v>791610.68578016665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1269294</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-482963.20588650001</v>
      </c>
      <c r="D73" s="285">
        <f>(Normalized_FCF!C26+Normalized_FCF!C35-Normalized_FCF!C89)/12</f>
        <v>-477683.31421983335</v>
      </c>
      <c r="F73" s="1" t="s">
        <v>277</v>
      </c>
    </row>
    <row r="74" spans="2:6" ht="15" customHeight="1">
      <c r="B74" s="227" t="s">
        <v>258</v>
      </c>
      <c r="C74" s="228">
        <f>-$C$66/C73</f>
        <v>2.6281380952616371</v>
      </c>
      <c r="D74" s="228">
        <f>-$C$66/D73</f>
        <v>2.6571872247056585</v>
      </c>
      <c r="F74" s="223" t="s">
        <v>256</v>
      </c>
    </row>
    <row r="75" spans="2:6" ht="15" customHeight="1">
      <c r="B75" s="77" t="s">
        <v>257</v>
      </c>
      <c r="C75" s="261"/>
      <c r="D75" s="262">
        <f>MAX(-D73*D76,G5)</f>
        <v>477683.31421983335</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-563558</v>
      </c>
      <c r="D86" s="201">
        <f>C86*scaling_factor/Common_Shares</f>
        <v>-0.55424715275290737</v>
      </c>
      <c r="E86" s="214" t="str">
        <f>Market_currency</f>
        <v>HKD</v>
      </c>
    </row>
    <row r="87" spans="2:8" ht="15" customHeight="1">
      <c r="B87" s="212" t="s">
        <v>239</v>
      </c>
      <c r="C87" s="73">
        <f>DCF!F5*Exchange_Rate</f>
        <v>791610.68578016665</v>
      </c>
      <c r="D87" s="201">
        <f>C87*scaling_factor/Common_Shares</f>
        <v>0.77853205647410506</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42</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44</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41</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126</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136</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59</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207</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128</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58</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174</v>
      </c>
      <c r="E28" s="237"/>
    </row>
    <row r="29" spans="1:17" ht="15.75" customHeight="1">
      <c r="A29" s="10"/>
      <c r="B29" s="25" t="s">
        <v>39</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f>25%*60%+16.5%*40%</f>
        <v>0.216</v>
      </c>
      <c r="D41" s="26"/>
      <c r="E41" s="234" t="s">
        <v>402</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271</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86</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163</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44</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126</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136</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59</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128</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2.2611464968152865E-2</v>
      </c>
      <c r="E92" s="237"/>
      <c r="G92" s="22">
        <f t="shared" ref="G92:Q92" si="38">IF(G$4="","",(G88*(1-dividend_tax_rate))/Market_Price)</f>
        <v>2.2611464968152865E-2</v>
      </c>
      <c r="H92" s="22">
        <f t="shared" si="38"/>
        <v>1.2261146496815286E-2</v>
      </c>
      <c r="I92" s="22">
        <f t="shared" si="38"/>
        <v>4.2993630573248407E-3</v>
      </c>
      <c r="J92" s="22">
        <f t="shared" si="38"/>
        <v>5.2229299363057313E-2</v>
      </c>
      <c r="K92" s="22">
        <f t="shared" si="38"/>
        <v>5.127388535031846E-2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136</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178</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27</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79</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87</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190</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225</v>
      </c>
      <c r="C124" s="74">
        <f>C19*Exchange_Rate*$C$3/(Market_Price*Common_Shares)</f>
        <v>7.5020161441931327E-2</v>
      </c>
      <c r="D124" s="26"/>
      <c r="E124" s="234"/>
      <c r="F124" s="26"/>
      <c r="G124" s="74">
        <f t="shared" ref="G124" si="49">IF(G$4="","",G123/Market_Price)</f>
        <v>7.9395526841445976E-2</v>
      </c>
      <c r="H124" s="74">
        <f t="shared" ref="H124" si="50">IF(H$4="","",H123/Market_Price)</f>
        <v>6.0883267525639974E-2</v>
      </c>
      <c r="I124" s="74">
        <f t="shared" ref="I124" si="51">IF(I$4="","",I123/Market_Price)</f>
        <v>3.9950680253436184E-2</v>
      </c>
      <c r="J124" s="74">
        <f t="shared" ref="J124" si="52">IF(J$4="","",J123/Market_Price)</f>
        <v>3.2040412676237327E-2</v>
      </c>
      <c r="K124" s="74">
        <f t="shared" ref="K124" si="53">IF(K$4="","",K123/Market_Price)</f>
        <v>0.13887545830644019</v>
      </c>
      <c r="L124" s="74">
        <f t="shared" ref="L124" si="54">IF(L$4="","",L123/Market_Price)</f>
        <v>0.13593802113541764</v>
      </c>
      <c r="M124" s="74">
        <f t="shared" ref="M124" si="55">IF(M$4="","",M123/Market_Price)</f>
        <v>0.16287186286359812</v>
      </c>
      <c r="N124" s="74">
        <f t="shared" ref="N124" si="56">IF(N$4="","",N123/Market_Price)</f>
        <v>0.14292244083955125</v>
      </c>
      <c r="O124" s="74">
        <f t="shared" ref="O124" si="57">IF(O$4="","",O123/Market_Price)</f>
        <v>0.10414833282399384</v>
      </c>
      <c r="P124" s="74">
        <f t="shared" ref="P124" si="58">IF(P$4="","",P123/Market_Price)</f>
        <v>0.12339820098319251</v>
      </c>
      <c r="Q124" s="74" t="str">
        <f t="shared" ref="Q124" si="59">IF(Q$4="","",Q123/Market_Price)</f>
        <v/>
      </c>
    </row>
    <row r="125" spans="1:17" ht="15.75" customHeight="1">
      <c r="B125" s="2" t="s">
        <v>305</v>
      </c>
      <c r="C125" s="151"/>
      <c r="G125" s="22">
        <f>IF(G$4="","",(Data!C47*$C$3)/(Market_Price*Common_Shares))</f>
        <v>3.7674115549317481E-2</v>
      </c>
      <c r="H125" s="22">
        <f>IF(H$4="","",(Data!D47*$C$3)/(Market_Price*Common_Shares))</f>
        <v>1.8446172069115627E-2</v>
      </c>
      <c r="I125" s="22">
        <f>IF(I$4="","",(Data!E47*$C$3)/(Market_Price*Common_Shares))</f>
        <v>3.2976283259701132E-3</v>
      </c>
      <c r="J125" s="22">
        <f>IF(J$4="","",(Data!F47*$C$3)/(Market_Price*Common_Shares))</f>
        <v>-2.5273047294172145E-2</v>
      </c>
      <c r="K125" s="22">
        <f>IF(K$4="","",(Data!G47*$C$3)/(Market_Price*Common_Shares))</f>
        <v>9.2319811900365187E-2</v>
      </c>
      <c r="L125" s="22">
        <f>IF(L$4="","",(Data!H47*$C$3)/(Market_Price*Common_Shares))</f>
        <v>8.9200713103369092E-2</v>
      </c>
      <c r="M125" s="22">
        <f>IF(M$4="","",(Data!I47*$C$3)/(Market_Price*Common_Shares))</f>
        <v>0.11709266330371011</v>
      </c>
      <c r="N125" s="22">
        <f>IF(N$4="","",(Data!J47*$C$3)/(Market_Price*Common_Shares))</f>
        <v>0.10054892695211765</v>
      </c>
      <c r="O125" s="22">
        <f>IF(O$4="","",(Data!K47*$C$3)/(Market_Price*Common_Shares))</f>
        <v>0.10230900886101151</v>
      </c>
      <c r="P125" s="22">
        <f>IF(P$4="","",(Data!L47*$C$3)/(Market_Price*Common_Shares))</f>
        <v>8.8519951820518153E-2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479041.111771753</v>
      </c>
      <c r="D4" t="str">
        <f>Reporting_currency</f>
        <v>HKD</v>
      </c>
      <c r="E4" s="135" t="s">
        <v>430</v>
      </c>
      <c r="F4" s="275">
        <f>-BS!G31</f>
        <v>-563558</v>
      </c>
      <c r="G4" t="str">
        <f>Reporting_currency</f>
        <v>HKD</v>
      </c>
      <c r="H4" s="308" t="s">
        <v>393</v>
      </c>
      <c r="I4" s="305">
        <f>Normalized_FCF!C4</f>
        <v>6273585</v>
      </c>
      <c r="J4" s="305"/>
    </row>
    <row r="5" spans="2:15">
      <c r="B5" s="187" t="s">
        <v>104</v>
      </c>
      <c r="C5" s="188">
        <f>Equity_Cost</f>
        <v>7.2499999999999995E-2</v>
      </c>
      <c r="E5" s="135" t="s">
        <v>431</v>
      </c>
      <c r="F5" s="275">
        <f>BS!D66</f>
        <v>791610.68578016665</v>
      </c>
      <c r="G5" t="str">
        <f>Reporting_currency</f>
        <v>HKD</v>
      </c>
      <c r="H5" s="308" t="s">
        <v>394</v>
      </c>
      <c r="I5" s="305">
        <f>Normalized_FCF!C7</f>
        <v>-694418</v>
      </c>
      <c r="J5" s="305"/>
    </row>
    <row r="6" spans="2:15" ht="13.25" customHeight="1">
      <c r="B6" s="136" t="s">
        <v>193</v>
      </c>
      <c r="C6" s="283">
        <f>(C4*(1+Terminal_Growth))/(Equity_Cost-Terminal_Growth)</f>
        <v>9307084.4572797753</v>
      </c>
      <c r="D6" t="str">
        <f>Reporting_currency</f>
        <v>HKD</v>
      </c>
      <c r="E6" s="187" t="s">
        <v>432</v>
      </c>
      <c r="F6" s="284">
        <f>BS!H42</f>
        <v>0</v>
      </c>
      <c r="G6" t="str">
        <f>Reporting_currency</f>
        <v>HKD</v>
      </c>
      <c r="H6" s="308" t="s">
        <v>415</v>
      </c>
      <c r="I6" s="305">
        <f>I7+I8</f>
        <v>-30947.380114680996</v>
      </c>
      <c r="J6" s="305"/>
      <c r="N6" s="135"/>
    </row>
    <row r="7" spans="2:15" ht="12.75" customHeight="1">
      <c r="B7" s="318" t="s">
        <v>429</v>
      </c>
      <c r="C7" s="275">
        <f>F7</f>
        <v>228052.68578016665</v>
      </c>
      <c r="E7" s="140" t="s">
        <v>423</v>
      </c>
      <c r="F7" s="283">
        <f>SUM(F4:F6)</f>
        <v>228052.68578016665</v>
      </c>
      <c r="G7" t="str">
        <f>Reporting_currency</f>
        <v>HKD</v>
      </c>
      <c r="H7" s="312" t="s">
        <v>416</v>
      </c>
      <c r="I7" s="313">
        <f>Normalized_FCF!C9</f>
        <v>0</v>
      </c>
      <c r="J7" s="313"/>
      <c r="N7" s="304"/>
      <c r="O7" s="304"/>
    </row>
    <row r="8" spans="2:15" ht="13.15">
      <c r="B8" s="136" t="s">
        <v>425</v>
      </c>
      <c r="C8" s="283">
        <f>C6+C7</f>
        <v>9535137.1430599429</v>
      </c>
      <c r="D8" t="str">
        <f>Reporting_currency</f>
        <v>HKD</v>
      </c>
      <c r="E8" s="140" t="s">
        <v>463</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426</v>
      </c>
      <c r="C10" s="283">
        <f>C8*Exchange_Rate</f>
        <v>9535137.1430599429</v>
      </c>
      <c r="D10" t="str">
        <f>Market_currency</f>
        <v>HKD</v>
      </c>
      <c r="H10" s="308" t="s">
        <v>396</v>
      </c>
      <c r="I10" s="306">
        <f>Normalized_FCF!C41</f>
        <v>0.216</v>
      </c>
      <c r="N10" s="304"/>
      <c r="O10" s="304"/>
    </row>
    <row r="11" spans="2:15" ht="13.15">
      <c r="B11" s="136" t="s">
        <v>424</v>
      </c>
      <c r="C11" s="108">
        <f>(C10*scaling_factor)/Common_Shares</f>
        <v>9.3776019729104441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0.10437785092340651</v>
      </c>
      <c r="E17" s="308" t="s">
        <v>552</v>
      </c>
      <c r="F17" s="311">
        <f>Scenarios!C40</f>
        <v>0.15217050538089463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11.21347920429608</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419</v>
      </c>
      <c r="K52" s="468"/>
      <c r="L52" s="317">
        <f>SUM(L21:L51)</f>
        <v>11173802.753668532</v>
      </c>
    </row>
    <row r="53" spans="1:21">
      <c r="C53" s="111"/>
    </row>
    <row r="54" spans="1:21" ht="13.15">
      <c r="B54" s="115" t="s">
        <v>107</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479041.111771753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-5.2954162529068594E-3</v>
      </c>
      <c r="D12" s="469"/>
      <c r="E12" s="469"/>
      <c r="F12" s="469"/>
      <c r="G12" s="469"/>
    </row>
    <row r="13" spans="2:7">
      <c r="B13" s="135" t="s">
        <v>126</v>
      </c>
      <c r="C13" s="249">
        <f ca="1">(Normalized_FCF!G8/OFFSET(Normalized_FCF!G8, 0, $C$4))^(1/$C$4) - 1</f>
        <v>0.40480613772926821</v>
      </c>
      <c r="D13" s="469"/>
      <c r="E13" s="469"/>
      <c r="F13" s="469"/>
      <c r="G13" s="469"/>
    </row>
    <row r="14" spans="2:7">
      <c r="B14" s="97" t="s">
        <v>62</v>
      </c>
      <c r="C14" s="249">
        <f ca="1">(Normalized_FCF!G19/OFFSET(Normalized_FCF!G19, 0, $C$4))^(1/$C$4) - 1</f>
        <v>0.40972995530096346</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11.970789496701034</v>
      </c>
      <c r="F22" s="328">
        <f>1-F23-F24</f>
        <v>0.19999999999999996</v>
      </c>
      <c r="G22" s="328">
        <f>F22*(1-F$29-F$30)</f>
        <v>0.15999999999999995</v>
      </c>
    </row>
    <row r="23" spans="2:7">
      <c r="B23" s="302" t="s">
        <v>436</v>
      </c>
      <c r="C23" s="324">
        <v>0.02</v>
      </c>
      <c r="D23" s="325">
        <f>C18</f>
        <v>15</v>
      </c>
      <c r="E23" s="326">
        <f>DCF!E92</f>
        <v>10.76557516595933</v>
      </c>
      <c r="F23" s="327">
        <v>0.55000000000000004</v>
      </c>
      <c r="G23" s="328">
        <f t="shared" ref="G23:G24" si="0">F23*(1-F$29-F$30)</f>
        <v>0.44</v>
      </c>
    </row>
    <row r="24" spans="2:7">
      <c r="B24" s="302" t="s">
        <v>445</v>
      </c>
      <c r="C24" s="324">
        <v>0.01</v>
      </c>
      <c r="D24" s="325">
        <f>C18</f>
        <v>15</v>
      </c>
      <c r="E24" s="326">
        <f>DCF!E93</f>
        <v>9.6949585146850534</v>
      </c>
      <c r="F24" s="327">
        <v>0.25</v>
      </c>
      <c r="G24" s="328">
        <f t="shared" si="0"/>
        <v>0.19999999999999998</v>
      </c>
    </row>
    <row r="25" spans="2:7">
      <c r="B25" s="141" t="s">
        <v>450</v>
      </c>
      <c r="C25" s="441">
        <f>E23*F23+E24*F24+E22*F22</f>
        <v>10.738963869289101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14.853765601040337</v>
      </c>
      <c r="F29" s="327">
        <v>0.15</v>
      </c>
      <c r="G29" s="328">
        <f>F29</f>
        <v>0.15</v>
      </c>
    </row>
    <row r="30" spans="2:7">
      <c r="B30" s="315" t="s">
        <v>446</v>
      </c>
      <c r="C30" s="324">
        <v>0</v>
      </c>
      <c r="D30" s="325">
        <f>C18</f>
        <v>15</v>
      </c>
      <c r="E30" s="326">
        <f>DCF!E94</f>
        <v>8.7440019460876197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6.28</v>
      </c>
      <c r="D34" t="str">
        <f>Market_currency</f>
        <v>HKD</v>
      </c>
      <c r="E34" s="97" t="s">
        <v>453</v>
      </c>
      <c r="F34" s="330">
        <f>RATE(Holding_Period,$C$33,-C34,$C$36)</f>
        <v>0.23361923889200864</v>
      </c>
    </row>
    <row r="35" spans="2:7">
      <c r="B35" s="97" t="s">
        <v>433</v>
      </c>
      <c r="C35" s="320">
        <f>DCF!C11</f>
        <v>9.3776019729104441</v>
      </c>
      <c r="D35" s="97" t="str">
        <f>Market_currency</f>
        <v>HKD</v>
      </c>
      <c r="E35" s="97" t="s">
        <v>453</v>
      </c>
      <c r="F35" s="330">
        <f>RATE(Holding_Period,$C$33,-C35,$C$36)</f>
        <v>7.7036393374037698E-2</v>
      </c>
    </row>
    <row r="36" spans="2:7">
      <c r="B36" s="97" t="s">
        <v>434</v>
      </c>
      <c r="C36" s="321">
        <f>E22*G22+E23*G23+E24*G24+E30*G30+E29*G29</f>
        <v>11.25643603289171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0.15217050538089463</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11.21347920429608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1.9925036935832013E-2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312</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313</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6.28</v>
      </c>
    </row>
    <row r="9" spans="1:10">
      <c r="B9" s="351" t="s">
        <v>360</v>
      </c>
      <c r="C9" s="353">
        <f>Common_Shares</f>
        <v>1016799089</v>
      </c>
    </row>
    <row r="10" spans="1:10">
      <c r="B10" s="351" t="s">
        <v>366</v>
      </c>
      <c r="C10" s="357">
        <f>投资主题!C8*Common_Shares/1000000</f>
        <v>6385.4982789200003</v>
      </c>
      <c r="D10" s="343" t="s">
        <v>528</v>
      </c>
      <c r="E10" s="360">
        <f>Scenarios!F34</f>
        <v>0.23361923889200864</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11.25643603289171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5.3814365192952689</v>
      </c>
      <c r="D22" s="365" t="s">
        <v>439</v>
      </c>
      <c r="E22" s="366">
        <f>Thesis!E22</f>
        <v>0.3</v>
      </c>
    </row>
    <row r="23" spans="1:6">
      <c r="B23" s="343" t="s">
        <v>340</v>
      </c>
      <c r="C23" s="367">
        <f>E141</f>
        <v>6.8132615931086278</v>
      </c>
      <c r="D23" s="365" t="s">
        <v>440</v>
      </c>
      <c r="E23" s="368">
        <f>Thesis!E23</f>
        <v>0.2</v>
      </c>
    </row>
    <row r="24" spans="1:6">
      <c r="B24" s="343" t="s">
        <v>342</v>
      </c>
      <c r="C24" s="367">
        <f>E144</f>
        <v>8.410757158764735</v>
      </c>
      <c r="D24" s="365" t="s">
        <v>442</v>
      </c>
      <c r="E24" s="368">
        <f>Thesis!E24</f>
        <v>0.1174</v>
      </c>
    </row>
    <row r="25" spans="1:6">
      <c r="B25" s="343" t="s">
        <v>341</v>
      </c>
      <c r="C25" s="367">
        <f>E145</f>
        <v>9.4954558038529377</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685770.70000000019</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2866.0998853190004</v>
      </c>
      <c r="D44" s="343" t="str">
        <f>Reporting_currency</f>
        <v>HKD</v>
      </c>
      <c r="E44" s="371"/>
      <c r="F44" s="371"/>
    </row>
    <row r="45" spans="2:6">
      <c r="B45" s="372" t="s">
        <v>267</v>
      </c>
      <c r="C45" s="376">
        <f>Normalized_FCF!C45</f>
        <v>-33813.479999999996</v>
      </c>
      <c r="D45" s="343" t="str">
        <f>Reporting_currency</f>
        <v>HKD</v>
      </c>
      <c r="E45" s="371"/>
      <c r="F45" s="371"/>
    </row>
    <row r="46" spans="2:6">
      <c r="B46" s="372" t="s">
        <v>202</v>
      </c>
      <c r="C46" s="373">
        <f>Normalized_FCF!C10</f>
        <v>-30947.380114680996</v>
      </c>
      <c r="D46" s="343" t="str">
        <f>Reporting_currency</f>
        <v>HKD</v>
      </c>
    </row>
    <row r="48" spans="2:6">
      <c r="B48" s="343" t="s">
        <v>504</v>
      </c>
    </row>
    <row r="49" spans="2:6">
      <c r="B49" s="372" t="s">
        <v>222</v>
      </c>
      <c r="C49" s="373">
        <f>Normalized_FCF!C13</f>
        <v>-34340.371018337282</v>
      </c>
      <c r="D49" s="343" t="str">
        <f>Reporting_currency</f>
        <v>HKD</v>
      </c>
    </row>
    <row r="51" spans="2:6">
      <c r="B51" s="470" t="s">
        <v>505</v>
      </c>
      <c r="C51" s="470"/>
      <c r="D51" s="470"/>
      <c r="E51" s="470"/>
      <c r="F51" s="470"/>
    </row>
    <row r="52" spans="2:6">
      <c r="B52" s="372" t="s">
        <v>495</v>
      </c>
      <c r="C52" s="373">
        <f>Normalized_FCF!C12</f>
        <v>-141441.83709522896</v>
      </c>
      <c r="D52" s="343" t="str">
        <f>Reporting_currency</f>
        <v>HKD</v>
      </c>
    </row>
    <row r="54" spans="2:6">
      <c r="B54" s="470" t="s">
        <v>506</v>
      </c>
      <c r="C54" s="473"/>
      <c r="D54" s="473"/>
      <c r="E54" s="473"/>
      <c r="F54" s="473"/>
    </row>
    <row r="55" spans="2:6">
      <c r="B55" s="372" t="s">
        <v>206</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371</v>
      </c>
      <c r="C60" s="373">
        <f>Normalized_FCF!G19</f>
        <v>506980</v>
      </c>
      <c r="D60" s="343" t="str">
        <f>Reporting_currency</f>
        <v>HKD</v>
      </c>
    </row>
    <row r="61" spans="2:6">
      <c r="B61" s="372" t="s">
        <v>212</v>
      </c>
      <c r="C61" s="373">
        <f>Normalized_FCF!C19</f>
        <v>479041.111771753</v>
      </c>
      <c r="D61" s="343" t="str">
        <f>Reporting_currency</f>
        <v>HKD</v>
      </c>
    </row>
    <row r="62" spans="2:6">
      <c r="B62" s="377" t="s">
        <v>301</v>
      </c>
      <c r="C62" s="378">
        <f>Normalized_FCF!C124</f>
        <v>7.5020161441931327E-2</v>
      </c>
      <c r="F62" s="379"/>
    </row>
    <row r="63" spans="2:6">
      <c r="B63" s="377" t="s">
        <v>331</v>
      </c>
      <c r="C63" s="378">
        <f>Normalized_FCF!C92</f>
        <v>2.2611464968152865E-2</v>
      </c>
      <c r="E63" s="372" t="s">
        <v>372</v>
      </c>
      <c r="F63" s="380">
        <f>Normalized_FCF!C90</f>
        <v>0.30140517606930323</v>
      </c>
    </row>
    <row r="65" spans="1:6">
      <c r="B65" s="369" t="s">
        <v>375</v>
      </c>
      <c r="C65" s="381" t="s">
        <v>326</v>
      </c>
      <c r="D65" s="381" t="s">
        <v>373</v>
      </c>
    </row>
    <row r="66" spans="1:6">
      <c r="B66" s="372" t="s">
        <v>325</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-563558</v>
      </c>
      <c r="D78" s="343" t="str">
        <f>Reporting_currency</f>
        <v>HKD</v>
      </c>
    </row>
    <row r="79" spans="1:6">
      <c r="B79" s="372" t="s">
        <v>233</v>
      </c>
      <c r="C79" s="387">
        <f>C78*scaling_factor*Exchange_Rate/Common_Shares</f>
        <v>-0.55424715275290737</v>
      </c>
      <c r="D79" s="343" t="str">
        <f>Market_currency</f>
        <v>HKD</v>
      </c>
    </row>
    <row r="80" spans="1:6">
      <c r="B80" s="382" t="s">
        <v>308</v>
      </c>
      <c r="C80" s="388">
        <f>IF(BS!G31/BS!G27&gt;300%,"nm",BS!G31/BS!G27)</f>
        <v>0.17709797868255178</v>
      </c>
    </row>
    <row r="81" spans="1:6">
      <c r="B81" s="382" t="s">
        <v>310</v>
      </c>
      <c r="C81" s="389">
        <f>IF(BS!C50&gt;30,"nm",BS!C50)</f>
        <v>0.82178780749892033</v>
      </c>
    </row>
    <row r="83" spans="1:6">
      <c r="B83" s="343" t="s">
        <v>511</v>
      </c>
    </row>
    <row r="84" spans="1:6">
      <c r="B84" s="343" t="s">
        <v>223</v>
      </c>
      <c r="C84" s="373">
        <f>DCF!F5</f>
        <v>791610.68578016665</v>
      </c>
      <c r="D84" s="343" t="str">
        <f>Reporting_currency</f>
        <v>HKD</v>
      </c>
    </row>
    <row r="85" spans="1:6">
      <c r="B85" s="382" t="s">
        <v>480</v>
      </c>
      <c r="C85" s="390">
        <f>BS!C66</f>
        <v>1269294</v>
      </c>
      <c r="D85" s="391" t="str">
        <f>Reporting_currency</f>
        <v>HKD</v>
      </c>
    </row>
    <row r="86" spans="1:6">
      <c r="B86" s="372" t="s">
        <v>234</v>
      </c>
      <c r="C86" s="387">
        <f>C84*scaling_factor*Exchange_Rate/Common_Shares</f>
        <v>0.77853205647410506</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0.22428490372119783</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-0.17087844774809768</v>
      </c>
      <c r="D111" s="343" t="str">
        <f>Market_currency</f>
        <v>HKD</v>
      </c>
    </row>
    <row r="112" spans="1:6">
      <c r="A112" s="385"/>
      <c r="B112" s="372" t="s">
        <v>376</v>
      </c>
      <c r="C112" s="394">
        <f>DCF!C11</f>
        <v>9.3776019729104441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518</v>
      </c>
      <c r="C124" s="470"/>
      <c r="D124" s="470"/>
      <c r="E124" s="470"/>
      <c r="F124" s="470"/>
    </row>
    <row r="125" spans="1:6">
      <c r="B125" s="372" t="s">
        <v>217</v>
      </c>
      <c r="C125" s="404">
        <f>Scenarios!C36</f>
        <v>11.25643603289171</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5.1235484901646364</v>
      </c>
      <c r="E140" s="410">
        <f>Scenarios!E62</f>
        <v>5.3814365192952689</v>
      </c>
      <c r="F140" s="411">
        <f>E22</f>
        <v>0.3</v>
      </c>
    </row>
    <row r="141" spans="1:6">
      <c r="B141" s="408" t="s">
        <v>312</v>
      </c>
      <c r="C141" s="409">
        <f>Scenarios!C63</f>
        <v>0.29912037037037031</v>
      </c>
      <c r="D141" s="409">
        <f>Scenarios!D63</f>
        <v>6.5141412227382576</v>
      </c>
      <c r="E141" s="410">
        <f>Scenarios!E63</f>
        <v>6.8132615931086278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8.0681675148814467</v>
      </c>
      <c r="E144" s="410">
        <f>Scenarios!E66</f>
        <v>8.410757158764735</v>
      </c>
      <c r="F144" s="411">
        <f>E24</f>
        <v>0.1174</v>
      </c>
    </row>
    <row r="145" spans="1:6">
      <c r="B145" s="408" t="s">
        <v>313</v>
      </c>
      <c r="C145" s="409">
        <f>Scenarios!C67</f>
        <v>0.37095728225856828</v>
      </c>
      <c r="D145" s="409">
        <f>Scenarios!D67</f>
        <v>9.1244985215943704</v>
      </c>
      <c r="E145" s="410">
        <f>Scenarios!E67</f>
        <v>9.4954558038529377</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