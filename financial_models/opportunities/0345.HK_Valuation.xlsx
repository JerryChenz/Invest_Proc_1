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70EF011-1866-4188-B48B-DC78D7FB5C3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<sst xmlns="http://schemas.openxmlformats.org/spreadsheetml/2006/main" count="768" uniqueCount="558">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</sst>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23" sqref="E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6.36</v>
      </c>
      <c r="E8" s="32"/>
    </row>
    <row r="9" spans="1:9">
      <c r="B9" s="4" t="s">
        <v>346</v>
      </c>
      <c r="C9" s="48">
        <v>1016799089</v>
      </c>
    </row>
    <row r="10" spans="1:9">
      <c r="B10" s="4" t="s">
        <v>352</v>
      </c>
      <c r="C10" s="33">
        <f>Thesis!C8*Common_Shares/1000000</f>
        <v>6466.8422060399998</v>
      </c>
      <c r="D10" s="1" t="s">
        <v>528</v>
      </c>
      <c r="E10" s="303">
        <f>Scenarios!F34</f>
        <v>0.2283347575087086</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11.25643603289171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5.3814365192952689</v>
      </c>
      <c r="D22" s="38" t="s">
        <v>406</v>
      </c>
      <c r="E22" s="79">
        <v>0.3</v>
      </c>
    </row>
    <row r="23" spans="1:6">
      <c r="B23" s="1" t="s">
        <v>313</v>
      </c>
      <c r="C23" s="256">
        <f>E141</f>
        <v>6.8132615931086278</v>
      </c>
      <c r="D23" s="38" t="s">
        <v>407</v>
      </c>
      <c r="E23" s="443">
        <v>0.2</v>
      </c>
    </row>
    <row r="24" spans="1:6">
      <c r="B24" s="1" t="s">
        <v>315</v>
      </c>
      <c r="C24" s="256">
        <f>E144</f>
        <v>8.410757158764735</v>
      </c>
      <c r="D24" s="38" t="s">
        <v>408</v>
      </c>
      <c r="E24" s="443">
        <v>0.1174</v>
      </c>
    </row>
    <row r="25" spans="1:6">
      <c r="B25" s="1" t="s">
        <v>314</v>
      </c>
      <c r="C25" s="256">
        <f>E145</f>
        <v>9.4954558038529377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685770.70000000019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0</v>
      </c>
      <c r="D37" s="1" t="str">
        <f>Reporting_currency</f>
        <v>HKD</v>
      </c>
    </row>
    <row r="38" spans="2:6">
      <c r="B38" s="49" t="s">
        <v>200</v>
      </c>
      <c r="C38" s="285">
        <f>Normalized_FCF!C16</f>
        <v>0</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2866.0998853190004</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-30947.380114680996</v>
      </c>
      <c r="D46" s="1" t="str">
        <f>Reporting_currency</f>
        <v>HKD</v>
      </c>
    </row>
    <row r="48" spans="2:6">
      <c r="B48" s="1" t="s">
        <v>211</v>
      </c>
    </row>
    <row r="49" spans="2:6">
      <c r="B49" s="44" t="s">
        <v>223</v>
      </c>
      <c r="C49" s="285">
        <f>Normalized_FCF!C13</f>
        <v>-34340.371018337282</v>
      </c>
      <c r="D49" s="1" t="str">
        <f>Reporting_currency</f>
        <v>HKD</v>
      </c>
    </row>
    <row r="51" spans="2:6">
      <c r="B51" s="461" t="s">
        <v>206</v>
      </c>
      <c r="C51" s="461"/>
      <c r="D51" s="461"/>
      <c r="E51" s="461"/>
      <c r="F51" s="461"/>
    </row>
    <row r="52" spans="2:6">
      <c r="B52" s="44" t="s">
        <v>204</v>
      </c>
      <c r="C52" s="285">
        <f>Normalized_FCF!C12</f>
        <v>-141441.83709522896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506980</v>
      </c>
      <c r="D60" s="1" t="str">
        <f>Reporting_currency</f>
        <v>HKD</v>
      </c>
    </row>
    <row r="61" spans="2:6">
      <c r="B61" s="44" t="s">
        <v>213</v>
      </c>
      <c r="C61" s="285">
        <f>Normalized_FCF!C19</f>
        <v>479041.111771753</v>
      </c>
      <c r="D61" s="1" t="str">
        <f>Reporting_currency</f>
        <v>HKD</v>
      </c>
    </row>
    <row r="62" spans="2:6">
      <c r="B62" s="204" t="s">
        <v>302</v>
      </c>
      <c r="C62" s="89">
        <f>Normalized_FCF!C124</f>
        <v>7.407651161247307E-2</v>
      </c>
      <c r="F62" s="257"/>
    </row>
    <row r="63" spans="2:6">
      <c r="B63" s="204" t="s">
        <v>332</v>
      </c>
      <c r="C63" s="89">
        <f>Normalized_FCF!C92</f>
        <v>2.2327044025157231E-2</v>
      </c>
      <c r="E63" s="44" t="s">
        <v>322</v>
      </c>
      <c r="F63" s="258">
        <f>Normalized_FCF!C90</f>
        <v>0.30140517606930323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-563558</v>
      </c>
      <c r="D78" s="1" t="str">
        <f>Reporting_currency</f>
        <v>HKD</v>
      </c>
    </row>
    <row r="79" spans="1:6">
      <c r="A79" s="191"/>
      <c r="B79" s="44" t="s">
        <v>234</v>
      </c>
      <c r="C79" s="201">
        <f>C78*scaling_factor*Exchange_Rate/Common_Shares</f>
        <v>-0.55424715275290737</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791610.68578016665</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0.77853205647410506</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0.22428490372119783</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-0.17087844774809768</v>
      </c>
      <c r="D111" s="1" t="str">
        <f>Market_currency</f>
        <v>HKD</v>
      </c>
    </row>
    <row r="112" spans="2:6">
      <c r="B112" s="44" t="s">
        <v>323</v>
      </c>
      <c r="C112" s="216">
        <f>DCF!C11</f>
        <v>9.3776019729104441</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14.85 HKD</v>
      </c>
      <c r="E118" s="208">
        <f>DCF!F90</f>
        <v>0.15</v>
      </c>
      <c r="F118" s="208">
        <f>RATE(Holding_Period,Scenarios!C$58,-DCF!E90,C$18)</f>
        <v>-7.7785906325716775E-2</v>
      </c>
    </row>
    <row r="119" spans="2:6">
      <c r="B119" s="205" t="str">
        <f>DCF!B91&amp;" ("&amp;DCF!D91&amp;"yrs)"</f>
        <v>Optimistic (15yrs)</v>
      </c>
      <c r="C119" s="198">
        <f>DCF!C91</f>
        <v>0.03</v>
      </c>
      <c r="D119" s="207" t="str">
        <f>ROUND(DCF!E91,2)&amp;" "&amp;Market_currency</f>
        <v>11.97 HKD</v>
      </c>
      <c r="E119" s="199">
        <f>DCF!F91</f>
        <v>0.15999999999999995</v>
      </c>
      <c r="F119" s="208">
        <f>RATE(Holding_Period,Scenarios!C$58,-DCF!E91,C$18)</f>
        <v>-8.1932337426571349E-3</v>
      </c>
    </row>
    <row r="120" spans="2:6">
      <c r="B120" s="205" t="str">
        <f>DCF!B92&amp;" ("&amp;DCF!D92&amp;"yrs)"</f>
        <v>Base (15yrs)</v>
      </c>
      <c r="C120" s="198">
        <f>DCF!C92</f>
        <v>0.02</v>
      </c>
      <c r="D120" s="207" t="str">
        <f>ROUND(DCF!E92,2)&amp;" "&amp;Market_currency</f>
        <v>10.77 HKD</v>
      </c>
      <c r="E120" s="199">
        <f>DCF!F92</f>
        <v>0.44</v>
      </c>
      <c r="F120" s="208">
        <f>RATE(Holding_Period,Scenarios!C$58,-DCF!E92,C$18)</f>
        <v>2.797135907923998E-2</v>
      </c>
    </row>
    <row r="121" spans="2:6">
      <c r="B121" s="205" t="str">
        <f>DCF!B93&amp;" ("&amp;DCF!D93&amp;"yrs)"</f>
        <v>Pessimistic (15yrs)</v>
      </c>
      <c r="C121" s="198">
        <f>DCF!C93</f>
        <v>0.01</v>
      </c>
      <c r="D121" s="207" t="str">
        <f>ROUND(DCF!E93,2)&amp;" "&amp;Market_currency</f>
        <v>9.69 HKD</v>
      </c>
      <c r="E121" s="199">
        <f>DCF!F93</f>
        <v>0.19999999999999998</v>
      </c>
      <c r="F121" s="208">
        <f>RATE(Holding_Period,Scenarios!C$58,-DCF!E93,C$18)</f>
        <v>6.4990919408088335E-2</v>
      </c>
    </row>
    <row r="122" spans="2:6">
      <c r="B122" s="205" t="str">
        <f>DCF!B94&amp;" ("&amp;DCF!D94&amp;"yrs)"</f>
        <v>Devil's advocate (15yrs)</v>
      </c>
      <c r="C122" s="198">
        <f>DCF!C94</f>
        <v>0</v>
      </c>
      <c r="D122" s="207" t="str">
        <f>ROUND(DCF!E94,2)&amp;" "&amp;Market_currency</f>
        <v>8.74 HKD</v>
      </c>
      <c r="E122" s="199">
        <f>DCF!F94</f>
        <v>0.05</v>
      </c>
      <c r="F122" s="208">
        <f>RATE(Holding_Period,Scenarios!C$58,-DCF!E94,C$18)</f>
        <v>0.10281152465368253</v>
      </c>
    </row>
    <row r="124" spans="2:6">
      <c r="B124" s="461" t="s">
        <v>357</v>
      </c>
      <c r="C124" s="461"/>
      <c r="D124" s="461"/>
      <c r="E124" s="461"/>
      <c r="F124" s="461"/>
    </row>
    <row r="125" spans="2:6">
      <c r="B125" s="193" t="s">
        <v>218</v>
      </c>
      <c r="C125" s="197">
        <f>Scenarios!C36</f>
        <v>11.25643603289171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5.1235484901646364</v>
      </c>
      <c r="E140" s="334">
        <f>Scenarios!E62</f>
        <v>5.3814365192952689</v>
      </c>
      <c r="F140" s="335">
        <f>E22</f>
        <v>0.3</v>
      </c>
    </row>
    <row r="141" spans="1:6">
      <c r="B141" s="336" t="s">
        <v>313</v>
      </c>
      <c r="C141" s="333">
        <f>Scenarios!C63</f>
        <v>0.29912037037037031</v>
      </c>
      <c r="D141" s="333">
        <f>Scenarios!D63</f>
        <v>6.5141412227382576</v>
      </c>
      <c r="E141" s="334">
        <f>Scenarios!E63</f>
        <v>6.8132615931086278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8.0681675148814467</v>
      </c>
      <c r="E144" s="334">
        <f>Scenarios!E66</f>
        <v>8.410757158764735</v>
      </c>
      <c r="F144" s="335">
        <f>E24</f>
        <v>0.1174</v>
      </c>
    </row>
    <row r="145" spans="1:6">
      <c r="B145" s="336" t="s">
        <v>314</v>
      </c>
      <c r="C145" s="333">
        <f>Scenarios!C67</f>
        <v>0.37095728225856828</v>
      </c>
      <c r="D145" s="333">
        <f>Scenarios!D67</f>
        <v>9.1244985215943704</v>
      </c>
      <c r="E145" s="334">
        <f>Scenarios!E67</f>
        <v>9.4954558038529377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55" sqref="D5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3.032219475169101</v>
      </c>
      <c r="D47" s="134">
        <f>D46*H1/Common_Shares*Exchange_Rate</f>
        <v>-0.17087844774809768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791610.68578016665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-482963.20588650001</v>
      </c>
      <c r="D73" s="285">
        <f>(Normalized_FCF!C26+Normalized_FCF!C35-Normalized_FCF!C89)/12</f>
        <v>-477683.31421983335</v>
      </c>
      <c r="F73" s="1" t="s">
        <v>278</v>
      </c>
    </row>
    <row r="74" spans="2:6" ht="15" customHeight="1">
      <c r="B74" s="227" t="s">
        <v>259</v>
      </c>
      <c r="C74" s="228">
        <f>-$C$66/C73</f>
        <v>2.6281380952616371</v>
      </c>
      <c r="D74" s="228">
        <f>-$C$66/D73</f>
        <v>2.6571872247056585</v>
      </c>
      <c r="F74" s="223" t="s">
        <v>257</v>
      </c>
    </row>
    <row r="75" spans="2:6" ht="15" customHeight="1">
      <c r="B75" s="77" t="s">
        <v>258</v>
      </c>
      <c r="C75" s="261"/>
      <c r="D75" s="262">
        <f>MAX(-D73*D76,G5)</f>
        <v>477683.31421983335</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-0.55424715275290737</v>
      </c>
      <c r="E86" s="214" t="str">
        <f>Market_currency</f>
        <v>HKD</v>
      </c>
    </row>
    <row r="87" spans="2:8" ht="15" customHeight="1">
      <c r="B87" s="212" t="s">
        <v>240</v>
      </c>
      <c r="C87" s="73">
        <f>DCF!F5*Exchange_Rate</f>
        <v>791610.68578016665</v>
      </c>
      <c r="D87" s="201">
        <f>C87*scaling_factor/Common_Shares</f>
        <v>0.77853205647410506</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228052.68578016665</v>
      </c>
      <c r="D89" s="216">
        <f>SUM(D86:D88)</f>
        <v>0.22428490372119769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4" activePane="bottomRight" state="frozen"/>
      <selection activeCell="C17" sqref="C17"/>
      <selection pane="topRight" activeCell="C17" sqref="C17"/>
      <selection pane="bottomLeft" activeCell="C17" sqref="C17"/>
      <selection pane="bottomRight" activeCell="G119" sqref="G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-30947.380114680996</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654823.31988531922</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-141441.83709522896</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479041.111771753</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479041.111771753</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2866.0998853190004</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-30947.380114680996</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4.9329657786865077E-3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0.10437785092340651</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2.2545615799455805E-2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7.6358431705596239E-2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7.6358431705596239E-2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144385.47063799997</v>
      </c>
      <c r="E89" s="237"/>
      <c r="G89" s="71">
        <f t="shared" ref="G89:Q89" si="36">IF(G$4="","",G88*Common_Shares/scaling_factor)</f>
        <v>144385.47063799997</v>
      </c>
      <c r="H89" s="71">
        <f t="shared" si="36"/>
        <v>78293.529853</v>
      </c>
      <c r="I89" s="71">
        <f t="shared" si="36"/>
        <v>27453.575403000003</v>
      </c>
      <c r="J89" s="71">
        <f t="shared" si="36"/>
        <v>333510.10119199997</v>
      </c>
      <c r="K89" s="71">
        <f t="shared" si="36"/>
        <v>327409.30665799993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0.30140517606930323</v>
      </c>
      <c r="E90" s="237"/>
      <c r="G90" s="152">
        <f t="shared" ref="G90:Q90" si="37">IF(G$4="","",G88/(G19*scaling_factor/Common_Shares))</f>
        <v>0.28479520028008992</v>
      </c>
      <c r="H90" s="152">
        <f t="shared" si="37"/>
        <v>0.20138778674537644</v>
      </c>
      <c r="I90" s="152">
        <f t="shared" si="37"/>
        <v>0.10761676722526019</v>
      </c>
      <c r="J90" s="152">
        <f t="shared" si="37"/>
        <v>1.6301069493338023</v>
      </c>
      <c r="K90" s="152">
        <f t="shared" si="37"/>
        <v>0.36920767697614648</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2.2327044025157231E-2</v>
      </c>
      <c r="E92" s="237"/>
      <c r="G92" s="22">
        <f t="shared" ref="G92:Q92" si="38">IF(G$4="","",(G88*(1-dividend_tax_rate))/Market_Price)</f>
        <v>2.2327044025157231E-2</v>
      </c>
      <c r="H92" s="22">
        <f t="shared" si="38"/>
        <v>1.210691823899371E-2</v>
      </c>
      <c r="I92" s="22">
        <f t="shared" si="38"/>
        <v>4.2452830188679245E-3</v>
      </c>
      <c r="J92" s="22">
        <f t="shared" si="38"/>
        <v>5.1572327044025146E-2</v>
      </c>
      <c r="K92" s="22">
        <f t="shared" si="38"/>
        <v>5.0628930817610052E-2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0.11119593529451954</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0.10437785092340651</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0.20577808556685923</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0.47112661385532872</v>
      </c>
      <c r="D123" s="26"/>
      <c r="E123" s="234"/>
      <c r="F123" s="26"/>
      <c r="G123" s="159">
        <f t="shared" ref="G123:Q123" si="48">IF(G$4="","",G14*$C$3/Common_Shares*Exchange_Rate)</f>
        <v>0.49860390856428077</v>
      </c>
      <c r="H123" s="159">
        <f t="shared" si="48"/>
        <v>0.38234692006101906</v>
      </c>
      <c r="I123" s="159">
        <f t="shared" si="48"/>
        <v>0.25089027199157926</v>
      </c>
      <c r="J123" s="159">
        <f t="shared" si="48"/>
        <v>0.20121379160677041</v>
      </c>
      <c r="K123" s="159">
        <f t="shared" si="48"/>
        <v>0.87213787816444432</v>
      </c>
      <c r="L123" s="159">
        <f t="shared" si="48"/>
        <v>0.85369077273042282</v>
      </c>
      <c r="M123" s="159">
        <f t="shared" si="48"/>
        <v>1.0228352987833962</v>
      </c>
      <c r="N123" s="159">
        <f t="shared" si="48"/>
        <v>0.89755292847238177</v>
      </c>
      <c r="O123" s="159">
        <f t="shared" si="48"/>
        <v>0.65405153013468131</v>
      </c>
      <c r="P123" s="159">
        <f t="shared" si="48"/>
        <v>0.77494070217444899</v>
      </c>
      <c r="Q123" s="159" t="str">
        <f t="shared" si="48"/>
        <v/>
      </c>
    </row>
    <row r="124" spans="1:17" ht="15.75" customHeight="1">
      <c r="A124" s="10"/>
      <c r="B124" s="26" t="s">
        <v>226</v>
      </c>
      <c r="C124" s="74">
        <f>C19*Exchange_Rate*$C$3/(Market_Price*Common_Shares)</f>
        <v>7.407651161247307E-2</v>
      </c>
      <c r="D124" s="26"/>
      <c r="E124" s="234"/>
      <c r="F124" s="26"/>
      <c r="G124" s="74">
        <f t="shared" ref="G124" si="49">IF(G$4="","",G123/Market_Price)</f>
        <v>7.8396840969226528E-2</v>
      </c>
      <c r="H124" s="74">
        <f t="shared" ref="H124" si="50">IF(H$4="","",H123/Market_Price)</f>
        <v>6.0117440261166513E-2</v>
      </c>
      <c r="I124" s="74">
        <f t="shared" ref="I124" si="51">IF(I$4="","",I123/Market_Price)</f>
        <v>3.944815597351875E-2</v>
      </c>
      <c r="J124" s="74">
        <f t="shared" ref="J124" si="52">IF(J$4="","",J123/Market_Price)</f>
        <v>3.1637388617416731E-2</v>
      </c>
      <c r="K124" s="74">
        <f t="shared" ref="K124" si="53">IF(K$4="","",K123/Market_Price)</f>
        <v>0.13712859719566733</v>
      </c>
      <c r="L124" s="74">
        <f t="shared" ref="L124" si="54">IF(L$4="","",L123/Market_Price)</f>
        <v>0.1342281089198778</v>
      </c>
      <c r="M124" s="74">
        <f t="shared" ref="M124" si="55">IF(M$4="","",M123/Market_Price)</f>
        <v>0.16082316018606857</v>
      </c>
      <c r="N124" s="74">
        <f t="shared" ref="N124" si="56">IF(N$4="","",N123/Market_Price)</f>
        <v>0.14112467428811035</v>
      </c>
      <c r="O124" s="74">
        <f t="shared" ref="O124" si="57">IF(O$4="","",O123/Market_Price)</f>
        <v>0.10283829090167945</v>
      </c>
      <c r="P124" s="74">
        <f t="shared" ref="P124" si="58">IF(P$4="","",P123/Market_Price)</f>
        <v>0.1218460223544731</v>
      </c>
      <c r="Q124" s="74" t="str">
        <f t="shared" ref="Q124" si="59">IF(Q$4="","",Q123/Market_Price)</f>
        <v/>
      </c>
    </row>
    <row r="125" spans="1:17" ht="15.75" customHeight="1">
      <c r="B125" s="2" t="s">
        <v>306</v>
      </c>
      <c r="C125" s="151"/>
      <c r="G125" s="22">
        <f>IF(G$4="","",(Data!C47*$C$3)/(Market_Price*Common_Shares))</f>
        <v>3.7200227303414116E-2</v>
      </c>
      <c r="H125" s="22">
        <f>IF(H$4="","",(Data!D47*$C$3)/(Market_Price*Common_Shares))</f>
        <v>1.8214144747491529E-2</v>
      </c>
      <c r="I125" s="22">
        <f>IF(I$4="","",(Data!E47*$C$3)/(Market_Price*Common_Shares))</f>
        <v>3.2561487243855836E-3</v>
      </c>
      <c r="J125" s="22">
        <f>IF(J$4="","",(Data!F47*$C$3)/(Market_Price*Common_Shares))</f>
        <v>-2.4955147328207715E-2</v>
      </c>
      <c r="K125" s="22">
        <f>IF(K$4="","",(Data!G47*$C$3)/(Market_Price*Common_Shares))</f>
        <v>9.11585564047631E-2</v>
      </c>
      <c r="L125" s="22">
        <f>IF(L$4="","",(Data!H47*$C$3)/(Market_Price*Common_Shares))</f>
        <v>8.807869155489903E-2</v>
      </c>
      <c r="M125" s="22">
        <f>IF(M$4="","",(Data!I47*$C$3)/(Market_Price*Common_Shares))</f>
        <v>0.11561979961435527</v>
      </c>
      <c r="N125" s="22">
        <f>IF(N$4="","",(Data!J47*$C$3)/(Market_Price*Common_Shares))</f>
        <v>9.9284160575361449E-2</v>
      </c>
      <c r="O125" s="22">
        <f>IF(O$4="","",(Data!K47*$C$3)/(Market_Price*Common_Shares))</f>
        <v>0.10102210308917488</v>
      </c>
      <c r="P125" s="22">
        <f>IF(P$4="","",(Data!L47*$C$3)/(Market_Price*Common_Shares))</f>
        <v>8.7406493307052524E-2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F10" sqref="F10"/>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479041.111771753</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791610.68578016665</v>
      </c>
      <c r="G5" t="str">
        <f>Reporting_currency</f>
        <v>HKD</v>
      </c>
      <c r="H5" s="308" t="s">
        <v>395</v>
      </c>
      <c r="I5" s="305">
        <f>Normalized_FCF!C7</f>
        <v>-694418</v>
      </c>
      <c r="J5" s="305"/>
    </row>
    <row r="6" spans="2:15" ht="13.25" customHeight="1">
      <c r="B6" s="136" t="s">
        <v>194</v>
      </c>
      <c r="C6" s="283">
        <f>(C4*(1+Terminal_Growth))/(Equity_Cost-Terminal_Growth)</f>
        <v>9307084.4572797753</v>
      </c>
      <c r="D6" t="str">
        <f>Reporting_currency</f>
        <v>HKD</v>
      </c>
      <c r="E6" s="187" t="s">
        <v>433</v>
      </c>
      <c r="F6" s="284">
        <f>BS!H42</f>
        <v>0</v>
      </c>
      <c r="G6" t="str">
        <f>Reporting_currency</f>
        <v>HKD</v>
      </c>
      <c r="H6" s="308" t="s">
        <v>416</v>
      </c>
      <c r="I6" s="305">
        <f>I7+I8</f>
        <v>-30947.380114680996</v>
      </c>
      <c r="J6" s="305"/>
      <c r="N6" s="135"/>
    </row>
    <row r="7" spans="2:15" ht="12.75" customHeight="1">
      <c r="B7" s="318" t="s">
        <v>430</v>
      </c>
      <c r="C7" s="275">
        <f>F7</f>
        <v>228052.68578016665</v>
      </c>
      <c r="E7" s="140" t="s">
        <v>424</v>
      </c>
      <c r="F7" s="283">
        <f>SUM(F4:F6)</f>
        <v>228052.68578016665</v>
      </c>
      <c r="G7" t="str">
        <f>Reporting_currency</f>
        <v>HKD</v>
      </c>
      <c r="H7" s="312" t="s">
        <v>417</v>
      </c>
      <c r="I7" s="313">
        <f>Normalized_FCF!C9</f>
        <v>0</v>
      </c>
      <c r="J7" s="313"/>
      <c r="N7" s="304"/>
      <c r="O7" s="304"/>
    </row>
    <row r="8" spans="2:15" ht="13.15">
      <c r="B8" s="136" t="s">
        <v>426</v>
      </c>
      <c r="C8" s="283">
        <f>C6+C7</f>
        <v>9535137.1430599429</v>
      </c>
      <c r="D8" t="str">
        <f>Reporting_currency</f>
        <v>HKD</v>
      </c>
      <c r="E8" s="140" t="s">
        <v>464</v>
      </c>
      <c r="F8" s="108">
        <f>FV_adjustments*scaling_factor/Common_Shares*Exchange_Rate</f>
        <v>0.22428490372119783</v>
      </c>
      <c r="G8" s="294" t="str">
        <f>Market_currency</f>
        <v>HKD</v>
      </c>
      <c r="H8" s="314" t="str">
        <f>Normalized_FCF!B10</f>
        <v>Net Interest Income</v>
      </c>
      <c r="I8" s="313">
        <f>Normalized_FCF!C10</f>
        <v>-30947.380114680996</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9535137.1430599429</v>
      </c>
      <c r="D10" t="str">
        <f>Market_currency</f>
        <v>HKD</v>
      </c>
      <c r="H10" s="308" t="s">
        <v>397</v>
      </c>
      <c r="I10" s="306">
        <f>Normalized_FCF!C41</f>
        <v>0.216</v>
      </c>
      <c r="N10" s="304"/>
      <c r="O10" s="304"/>
    </row>
    <row r="11" spans="2:15" ht="13.15">
      <c r="B11" s="136" t="s">
        <v>425</v>
      </c>
      <c r="C11" s="108">
        <f>(C10*scaling_factor)/Common_Shares</f>
        <v>9.3776019729104441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0.10437785092340651</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11.21347920429608</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0.10437785092340651</v>
      </c>
      <c r="F21" s="277">
        <f>C21*E21</f>
        <v>670444.73075092421</v>
      </c>
      <c r="G21" s="299">
        <f t="shared" ref="G21:G50" si="2">IF(A21="",0%,IF(A21="I",$C$18,$F$18))</f>
        <v>0</v>
      </c>
      <c r="H21" s="277">
        <f>(F21*(1-$I$10)+C21*(G21-$I$9))</f>
        <v>490469.07684455049</v>
      </c>
      <c r="I21" s="299">
        <f>H21/C4-1</f>
        <v>2.3855917147759476E-2</v>
      </c>
      <c r="J21" s="299">
        <f>H21/C21</f>
        <v>7.6358431705596239E-2</v>
      </c>
      <c r="K21" s="119">
        <f t="shared" ref="K21:K50" si="3">IF($C$15&lt;B21,0,1/(1+Equity_Cost)^B21)</f>
        <v>0.93240093240093236</v>
      </c>
      <c r="L21" s="277">
        <f t="shared" ref="L21:L51" si="4">H21*K21</f>
        <v>457313.82456368342</v>
      </c>
    </row>
    <row r="22" spans="1:21">
      <c r="A22" s="302" t="str">
        <f t="shared" si="0"/>
        <v>I</v>
      </c>
      <c r="B22" s="117">
        <v>2</v>
      </c>
      <c r="C22" s="277">
        <f t="shared" ref="C22:C50" si="5">IF(A22="",0,C21*(1+D22))</f>
        <v>6576479.5751886647</v>
      </c>
      <c r="D22" s="299">
        <f t="shared" si="1"/>
        <v>2.38559171477595E-2</v>
      </c>
      <c r="E22" s="299">
        <f t="shared" ref="E22:E50" si="6">IF($C$15&lt;B22,0,IF(B22&gt;=$F$15,$F$17,$C$17))</f>
        <v>0.10437785092340651</v>
      </c>
      <c r="F22" s="277">
        <f t="shared" ref="F22:F50" si="7">IF(A22="", 0,C22*E22)</f>
        <v>686438.80469987029</v>
      </c>
      <c r="G22" s="299">
        <f t="shared" si="2"/>
        <v>0</v>
      </c>
      <c r="H22" s="277">
        <f t="shared" ref="H22:H50" si="8">IF(A22="", 0,F22*(1-$I$10)+C22*(G22-$I$9))</f>
        <v>502169.66650529235</v>
      </c>
      <c r="I22" s="299">
        <f t="shared" ref="I22:I50" si="9">IF(A22="", 0,H22/H21-1)</f>
        <v>2.385591714775992E-2</v>
      </c>
      <c r="J22" s="299">
        <f>IF(A22="", 0,H22/C22)</f>
        <v>7.6358431705596252E-2</v>
      </c>
      <c r="K22" s="119">
        <f t="shared" si="3"/>
        <v>0.86937149874212816</v>
      </c>
      <c r="L22" s="277">
        <f t="shared" si="4"/>
        <v>436571.99559254071</v>
      </c>
    </row>
    <row r="23" spans="1:21">
      <c r="A23" s="302" t="str">
        <f t="shared" si="0"/>
        <v>I</v>
      </c>
      <c r="B23" s="117">
        <v>3</v>
      </c>
      <c r="C23" s="277">
        <f t="shared" si="5"/>
        <v>6733367.5270582978</v>
      </c>
      <c r="D23" s="299">
        <f t="shared" si="1"/>
        <v>2.38559171477595E-2</v>
      </c>
      <c r="E23" s="299">
        <f t="shared" si="6"/>
        <v>0.10437785092340651</v>
      </c>
      <c r="F23" s="277">
        <f t="shared" si="7"/>
        <v>702814.43195179733</v>
      </c>
      <c r="G23" s="299">
        <f t="shared" si="2"/>
        <v>0</v>
      </c>
      <c r="H23" s="277">
        <f t="shared" si="8"/>
        <v>514149.38446356048</v>
      </c>
      <c r="I23" s="299">
        <f t="shared" si="9"/>
        <v>2.3855917147759254E-2</v>
      </c>
      <c r="J23" s="299">
        <f t="shared" ref="J23:J50" si="10">IF(A23="", 0,H23/C23)</f>
        <v>7.6358431705596239E-2</v>
      </c>
      <c r="K23" s="119">
        <f t="shared" si="3"/>
        <v>0.81060279602995633</v>
      </c>
      <c r="L23" s="277">
        <f t="shared" si="4"/>
        <v>416770.92862324312</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0.10437785092340651</v>
      </c>
      <c r="F24" s="277">
        <f t="shared" si="7"/>
        <v>719580.7148106891</v>
      </c>
      <c r="G24" s="299">
        <f t="shared" si="2"/>
        <v>0</v>
      </c>
      <c r="H24" s="277">
        <f t="shared" si="8"/>
        <v>526414.88958089473</v>
      </c>
      <c r="I24" s="299">
        <f t="shared" si="9"/>
        <v>2.3855917147759476E-2</v>
      </c>
      <c r="J24" s="299">
        <f t="shared" si="10"/>
        <v>7.6358431705596252E-2</v>
      </c>
      <c r="K24" s="119">
        <f t="shared" si="3"/>
        <v>0.75580680282513402</v>
      </c>
      <c r="L24" s="277">
        <f t="shared" si="4"/>
        <v>397867.95465368201</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0.10437785092340651</v>
      </c>
      <c r="F25" s="277">
        <f t="shared" si="7"/>
        <v>736746.97272433841</v>
      </c>
      <c r="G25" s="299">
        <f t="shared" si="2"/>
        <v>0</v>
      </c>
      <c r="H25" s="277">
        <f t="shared" si="8"/>
        <v>538972.99957208347</v>
      </c>
      <c r="I25" s="299">
        <f t="shared" si="9"/>
        <v>2.3855917147759476E-2</v>
      </c>
      <c r="J25" s="299">
        <f t="shared" si="10"/>
        <v>7.6358431705596239E-2</v>
      </c>
      <c r="K25" s="119">
        <f t="shared" si="3"/>
        <v>0.70471496766912267</v>
      </c>
      <c r="L25" s="277">
        <f t="shared" si="4"/>
        <v>379822.33996797085</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0.10437785092340651</v>
      </c>
      <c r="F26" s="277">
        <f t="shared" si="7"/>
        <v>754322.74746451282</v>
      </c>
      <c r="G26" s="299">
        <f t="shared" si="2"/>
        <v>0</v>
      </c>
      <c r="H26" s="277">
        <f t="shared" si="8"/>
        <v>551830.6947947545</v>
      </c>
      <c r="I26" s="299">
        <f t="shared" si="9"/>
        <v>2.3855917147759476E-2</v>
      </c>
      <c r="J26" s="299">
        <f t="shared" si="10"/>
        <v>7.6358431705596239E-2</v>
      </c>
      <c r="K26" s="119">
        <f t="shared" si="3"/>
        <v>0.65707689293158289</v>
      </c>
      <c r="L26" s="277">
        <f t="shared" si="4"/>
        <v>362595.19836001389</v>
      </c>
    </row>
    <row r="27" spans="1:21">
      <c r="A27" s="302" t="str">
        <f t="shared" si="0"/>
        <v>I</v>
      </c>
      <c r="B27" s="117">
        <v>7</v>
      </c>
      <c r="C27" s="277">
        <f t="shared" si="5"/>
        <v>7399249.9519599322</v>
      </c>
      <c r="D27" s="299">
        <f t="shared" si="1"/>
        <v>2.38559171477595E-2</v>
      </c>
      <c r="E27" s="299">
        <f t="shared" si="6"/>
        <v>0.10437785092340651</v>
      </c>
      <c r="F27" s="277">
        <f t="shared" si="7"/>
        <v>772317.8084306966</v>
      </c>
      <c r="G27" s="299">
        <f t="shared" si="2"/>
        <v>0</v>
      </c>
      <c r="H27" s="277">
        <f t="shared" si="8"/>
        <v>564995.12212936883</v>
      </c>
      <c r="I27" s="299">
        <f t="shared" si="9"/>
        <v>2.3855917147759698E-2</v>
      </c>
      <c r="J27" s="299">
        <f t="shared" si="10"/>
        <v>7.6358431705596252E-2</v>
      </c>
      <c r="K27" s="119">
        <f t="shared" si="3"/>
        <v>0.61265910762851561</v>
      </c>
      <c r="L27" s="277">
        <f t="shared" si="4"/>
        <v>346149.40733824333</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0.52626682475924147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11173802.753668532</v>
      </c>
    </row>
    <row r="53" spans="1:21">
      <c r="C53" s="111"/>
    </row>
    <row r="54" spans="1:21" ht="13.15">
      <c r="B54" s="115" t="s">
        <v>108</v>
      </c>
      <c r="C54" s="128"/>
      <c r="D54" s="128"/>
      <c r="E54" s="113"/>
      <c r="F54" s="113"/>
      <c r="G54" s="113"/>
      <c r="H54" s="113"/>
      <c r="I54" s="113"/>
      <c r="J54" s="113"/>
      <c r="K54" s="113"/>
      <c r="L54" s="113"/>
    </row>
    <row r="55" spans="1:21" ht="13.15">
      <c r="A55" s="125">
        <f>L52</f>
        <v>11173802.753668532</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9814278.5009918585</v>
      </c>
      <c r="C56" s="118">
        <v>9912421.2860017754</v>
      </c>
      <c r="D56" s="118">
        <v>10010564.071011696</v>
      </c>
      <c r="E56" s="118">
        <v>10108706.856021611</v>
      </c>
      <c r="F56" s="118">
        <v>10304992.426041448</v>
      </c>
      <c r="G56" s="295"/>
      <c r="H56" s="295"/>
      <c r="I56" s="295"/>
      <c r="J56" s="295"/>
      <c r="K56" s="295"/>
      <c r="L56" s="295"/>
    </row>
    <row r="57" spans="1:21" ht="13.15">
      <c r="A57" s="131">
        <v>2</v>
      </c>
      <c r="B57" s="118">
        <v>9801861.9836222436</v>
      </c>
      <c r="C57" s="118">
        <v>9994368.1598623786</v>
      </c>
      <c r="D57" s="118">
        <v>10188745.376823386</v>
      </c>
      <c r="E57" s="118">
        <v>10384993.634505259</v>
      </c>
      <c r="F57" s="118">
        <v>10783103.272031618</v>
      </c>
      <c r="G57" s="295"/>
      <c r="H57" s="295"/>
      <c r="I57" s="295"/>
      <c r="J57" s="295"/>
      <c r="K57" s="295"/>
      <c r="L57" s="295"/>
    </row>
    <row r="58" spans="1:21" ht="13.15">
      <c r="A58" s="131">
        <v>3</v>
      </c>
      <c r="B58" s="118">
        <v>9790284.8112496417</v>
      </c>
      <c r="C58" s="118">
        <v>10071539.574873295</v>
      </c>
      <c r="D58" s="118">
        <v>10358204.520812124</v>
      </c>
      <c r="E58" s="118">
        <v>10650331.985869506</v>
      </c>
      <c r="F58" s="118">
        <v>11251183.820553461</v>
      </c>
      <c r="G58" s="295"/>
      <c r="H58" s="295"/>
      <c r="I58" s="295"/>
      <c r="J58" s="295"/>
      <c r="K58" s="295"/>
      <c r="L58" s="295"/>
    </row>
    <row r="59" spans="1:21" ht="13.15">
      <c r="A59" s="131">
        <v>4</v>
      </c>
      <c r="B59" s="118">
        <v>9779490.2449348606</v>
      </c>
      <c r="C59" s="118">
        <v>10144213.821177278</v>
      </c>
      <c r="D59" s="118">
        <v>10519368.461948268</v>
      </c>
      <c r="E59" s="118">
        <v>10905155.763869669</v>
      </c>
      <c r="F59" s="118">
        <v>11709444.497427993</v>
      </c>
      <c r="G59" s="295"/>
      <c r="H59" s="295"/>
      <c r="I59" s="295"/>
      <c r="J59" s="295"/>
      <c r="K59" s="295"/>
      <c r="L59" s="295"/>
    </row>
    <row r="60" spans="1:21" ht="13.15">
      <c r="A60" s="131">
        <v>5</v>
      </c>
      <c r="B60" s="118">
        <v>9565064.2020574491</v>
      </c>
      <c r="C60" s="118">
        <v>10004184.132660629</v>
      </c>
      <c r="D60" s="118">
        <v>10460025.888293169</v>
      </c>
      <c r="E60" s="118">
        <v>10933074.854928359</v>
      </c>
      <c r="F60" s="118">
        <v>11932783.11390185</v>
      </c>
      <c r="G60" s="295"/>
      <c r="H60" s="295"/>
      <c r="I60" s="295"/>
      <c r="J60" s="295"/>
      <c r="K60" s="295"/>
      <c r="L60" s="295"/>
    </row>
    <row r="61" spans="1:21" ht="13.15">
      <c r="A61" s="131">
        <v>6</v>
      </c>
      <c r="B61" s="118">
        <v>9555679.7137620971</v>
      </c>
      <c r="C61" s="118">
        <v>10068634.987550307</v>
      </c>
      <c r="D61" s="118">
        <v>10605797.723358653</v>
      </c>
      <c r="E61" s="118">
        <v>11168102.959388016</v>
      </c>
      <c r="F61" s="118">
        <v>12372017.759446416</v>
      </c>
      <c r="G61" s="295"/>
      <c r="H61" s="295"/>
      <c r="I61" s="295"/>
      <c r="J61" s="295"/>
      <c r="K61" s="295"/>
      <c r="L61" s="295"/>
    </row>
    <row r="62" spans="1:21" ht="13.15">
      <c r="A62" s="131">
        <v>7</v>
      </c>
      <c r="B62" s="118">
        <v>9356383.0541108176</v>
      </c>
      <c r="C62" s="118">
        <v>9933009.6599676292</v>
      </c>
      <c r="D62" s="118">
        <v>10542224.34669745</v>
      </c>
      <c r="E62" s="118">
        <v>11185602.23151008</v>
      </c>
      <c r="F62" s="118">
        <v>12581456.237556249</v>
      </c>
      <c r="G62" s="295"/>
      <c r="H62" s="295"/>
      <c r="I62" s="295"/>
      <c r="J62" s="295"/>
      <c r="K62" s="295"/>
      <c r="L62" s="295"/>
    </row>
    <row r="63" spans="1:21" ht="13.15">
      <c r="A63" s="131">
        <v>8</v>
      </c>
      <c r="B63" s="118">
        <v>9348224.4474565573</v>
      </c>
      <c r="C63" s="118">
        <v>9990167.6341781262</v>
      </c>
      <c r="D63" s="118">
        <v>10674074.112523222</v>
      </c>
      <c r="E63" s="118">
        <v>11402372.465117808</v>
      </c>
      <c r="F63" s="118">
        <v>13002454.77306769</v>
      </c>
      <c r="G63" s="295"/>
      <c r="H63" s="295"/>
      <c r="I63" s="295"/>
      <c r="J63" s="295"/>
      <c r="K63" s="295"/>
      <c r="L63" s="295"/>
    </row>
    <row r="64" spans="1:21" ht="13.15">
      <c r="A64" s="131">
        <v>9</v>
      </c>
      <c r="B64" s="118">
        <v>9162951.5703760479</v>
      </c>
      <c r="C64" s="118">
        <v>9859114.9961858988</v>
      </c>
      <c r="D64" s="118">
        <v>10607158.534993824</v>
      </c>
      <c r="E64" s="118">
        <v>11410588.330252912</v>
      </c>
      <c r="F64" s="118">
        <v>13198667.299842816</v>
      </c>
      <c r="G64" s="295"/>
      <c r="H64" s="295"/>
      <c r="I64" s="295"/>
      <c r="J64" s="295"/>
      <c r="K64" s="295"/>
      <c r="L64" s="295"/>
    </row>
    <row r="65" spans="1:21" ht="13.15">
      <c r="A65" s="131">
        <v>10</v>
      </c>
      <c r="B65" s="118">
        <v>9155858.7102813888</v>
      </c>
      <c r="C65" s="118">
        <v>9909805.3093158007</v>
      </c>
      <c r="D65" s="118">
        <v>10726415.871230975</v>
      </c>
      <c r="E65" s="118">
        <v>11610519.033376185</v>
      </c>
      <c r="F65" s="118">
        <v>13602186.850726686</v>
      </c>
      <c r="G65" s="295"/>
      <c r="H65" s="295"/>
      <c r="I65" s="295"/>
      <c r="J65" s="295"/>
      <c r="K65" s="295"/>
      <c r="L65" s="295"/>
    </row>
    <row r="66" spans="1:21" ht="13.15">
      <c r="A66" s="131">
        <v>15</v>
      </c>
      <c r="B66" s="118">
        <v>8662840.5272159502</v>
      </c>
      <c r="C66" s="277">
        <v>9629772.2998443879</v>
      </c>
      <c r="D66" s="118">
        <v>10718374.335528303</v>
      </c>
      <c r="E66" s="118">
        <v>11943835.169076212</v>
      </c>
      <c r="F66" s="118">
        <v>14875242.645577185</v>
      </c>
      <c r="G66" s="295"/>
      <c r="H66" s="295"/>
      <c r="I66" s="295"/>
      <c r="J66" s="295"/>
      <c r="K66" s="295"/>
      <c r="L66" s="295"/>
      <c r="M66" s="275"/>
      <c r="N66" s="275"/>
      <c r="O66" s="275"/>
      <c r="P66" s="275"/>
      <c r="Q66" s="275"/>
      <c r="R66" s="275"/>
      <c r="S66" s="275"/>
      <c r="T66" s="275"/>
      <c r="U66" s="275"/>
    </row>
    <row r="67" spans="1:21" ht="13.15">
      <c r="A67" s="132">
        <v>20</v>
      </c>
      <c r="B67" s="118">
        <v>8382997.6305945963</v>
      </c>
      <c r="C67" s="277">
        <v>9504776.3794680331</v>
      </c>
      <c r="D67" s="118">
        <v>10811515.366300512</v>
      </c>
      <c r="E67" s="118">
        <v>12334936.69761261</v>
      </c>
      <c r="F67" s="118">
        <v>16186209.094790336</v>
      </c>
      <c r="G67" s="295"/>
      <c r="H67" s="295"/>
      <c r="I67" s="295"/>
      <c r="J67" s="295"/>
      <c r="K67" s="295"/>
      <c r="L67" s="295"/>
      <c r="M67" s="275"/>
      <c r="N67" s="275"/>
      <c r="O67" s="275"/>
      <c r="P67" s="275"/>
      <c r="Q67" s="275"/>
      <c r="R67" s="275"/>
      <c r="S67" s="275"/>
      <c r="T67" s="275"/>
      <c r="U67" s="275"/>
    </row>
    <row r="68" spans="1:21" ht="13.15">
      <c r="A68" s="132">
        <v>25</v>
      </c>
      <c r="B68" s="118">
        <v>8041571.7947245166</v>
      </c>
      <c r="C68" s="277">
        <v>9256561.0596638508</v>
      </c>
      <c r="D68" s="118">
        <v>10716460.666867826</v>
      </c>
      <c r="E68" s="118">
        <v>12474615.536601864</v>
      </c>
      <c r="F68" s="118">
        <v>17159857.86271356</v>
      </c>
      <c r="G68" s="295"/>
      <c r="H68" s="295"/>
      <c r="I68" s="295"/>
      <c r="J68" s="295"/>
      <c r="K68" s="295"/>
      <c r="L68" s="295"/>
      <c r="M68" s="275"/>
      <c r="N68" s="275"/>
      <c r="O68" s="275"/>
      <c r="P68" s="275"/>
      <c r="Q68" s="275"/>
      <c r="R68" s="275"/>
      <c r="S68" s="275"/>
      <c r="T68" s="275"/>
      <c r="U68" s="275"/>
    </row>
    <row r="69" spans="1:21" ht="13.15">
      <c r="A69" s="132">
        <v>30</v>
      </c>
      <c r="B69" s="118">
        <v>7848598.6806537081</v>
      </c>
      <c r="C69" s="277">
        <v>9133758.2613049299</v>
      </c>
      <c r="D69" s="118">
        <v>10719839.905548539</v>
      </c>
      <c r="E69" s="118">
        <v>12685778.827103974</v>
      </c>
      <c r="F69" s="118">
        <v>18184839.957996249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9.3776019729104441</v>
      </c>
      <c r="C73" s="119">
        <f>C11</f>
        <v>9.3776019729104441</v>
      </c>
      <c r="D73" s="119">
        <f>C11</f>
        <v>9.3776019729104441</v>
      </c>
      <c r="E73" s="119">
        <f>C11</f>
        <v>9.3776019729104441</v>
      </c>
      <c r="F73" s="119">
        <f>C11</f>
        <v>9.3776019729104441</v>
      </c>
      <c r="G73" s="296"/>
      <c r="H73" s="296"/>
      <c r="I73" s="296"/>
      <c r="J73" s="296"/>
      <c r="K73" s="296"/>
      <c r="L73" s="296"/>
    </row>
    <row r="74" spans="1:21" ht="13.15">
      <c r="A74" s="131">
        <v>1</v>
      </c>
      <c r="B74" s="119">
        <f t="shared" ref="B74:F87" si="11">(B56+FV_adjustments)/Common_Shares*scaling_factor*Exchange_Rate</f>
        <v>9.876416388854599</v>
      </c>
      <c r="C74" s="119">
        <f t="shared" si="11"/>
        <v>9.9729377037059308</v>
      </c>
      <c r="D74" s="119">
        <f t="shared" si="11"/>
        <v>10.069459018557268</v>
      </c>
      <c r="E74" s="119">
        <f t="shared" si="11"/>
        <v>10.165980333408596</v>
      </c>
      <c r="F74" s="119">
        <f t="shared" si="11"/>
        <v>10.359022963111265</v>
      </c>
      <c r="G74" s="296"/>
      <c r="H74" s="296"/>
      <c r="I74" s="296"/>
      <c r="J74" s="296"/>
      <c r="K74" s="296"/>
      <c r="L74" s="296"/>
    </row>
    <row r="75" spans="1:21" ht="13.15">
      <c r="A75" s="131">
        <v>2</v>
      </c>
      <c r="B75" s="119">
        <f t="shared" si="11"/>
        <v>9.8642050114999762</v>
      </c>
      <c r="C75" s="119">
        <f t="shared" si="11"/>
        <v>10.053530688836549</v>
      </c>
      <c r="D75" s="119">
        <f t="shared" si="11"/>
        <v>10.244696494415873</v>
      </c>
      <c r="E75" s="119">
        <f t="shared" si="11"/>
        <v>10.437702428237939</v>
      </c>
      <c r="F75" s="119">
        <f t="shared" si="11"/>
        <v>10.829234680610325</v>
      </c>
      <c r="G75" s="296"/>
      <c r="H75" s="296"/>
      <c r="I75" s="296"/>
      <c r="J75" s="296"/>
      <c r="K75" s="296"/>
      <c r="L75" s="296"/>
    </row>
    <row r="76" spans="1:21" ht="13.15">
      <c r="A76" s="131">
        <v>3</v>
      </c>
      <c r="B76" s="119">
        <f t="shared" si="11"/>
        <v>9.8528191118686266</v>
      </c>
      <c r="C76" s="119">
        <f t="shared" si="11"/>
        <v>10.129427113062119</v>
      </c>
      <c r="D76" s="119">
        <f t="shared" si="11"/>
        <v>10.411355912015665</v>
      </c>
      <c r="E76" s="119">
        <f t="shared" si="11"/>
        <v>10.698656980847936</v>
      </c>
      <c r="F76" s="119">
        <f t="shared" si="11"/>
        <v>11.289581816623389</v>
      </c>
      <c r="G76" s="296"/>
      <c r="H76" s="296"/>
      <c r="I76" s="296"/>
      <c r="J76" s="296"/>
      <c r="K76" s="296"/>
      <c r="L76" s="296"/>
    </row>
    <row r="77" spans="1:21" ht="13.15">
      <c r="A77" s="131">
        <v>4</v>
      </c>
      <c r="B77" s="119">
        <f t="shared" si="11"/>
        <v>9.8422028884361339</v>
      </c>
      <c r="C77" s="119">
        <f t="shared" si="11"/>
        <v>10.200900668743071</v>
      </c>
      <c r="D77" s="119">
        <f t="shared" si="11"/>
        <v>10.569857176306376</v>
      </c>
      <c r="E77" s="119">
        <f t="shared" si="11"/>
        <v>10.949270677060802</v>
      </c>
      <c r="F77" s="119">
        <f t="shared" si="11"/>
        <v>11.740271320412406</v>
      </c>
      <c r="G77" s="296"/>
      <c r="H77" s="296"/>
      <c r="I77" s="296"/>
      <c r="J77" s="296"/>
      <c r="K77" s="296"/>
      <c r="L77" s="296"/>
    </row>
    <row r="78" spans="1:21" ht="13.15">
      <c r="A78" s="131">
        <v>5</v>
      </c>
      <c r="B78" s="119">
        <f t="shared" si="11"/>
        <v>9.6313194944627014</v>
      </c>
      <c r="C78" s="119">
        <f t="shared" si="11"/>
        <v>10.063184486626538</v>
      </c>
      <c r="D78" s="119">
        <f t="shared" si="11"/>
        <v>10.511495033482801</v>
      </c>
      <c r="E78" s="119">
        <f t="shared" si="11"/>
        <v>10.976728501679968</v>
      </c>
      <c r="F78" s="119">
        <f t="shared" si="11"/>
        <v>11.959920038522002</v>
      </c>
      <c r="G78" s="296"/>
      <c r="H78" s="296"/>
      <c r="I78" s="296"/>
      <c r="J78" s="296"/>
      <c r="K78" s="296"/>
      <c r="L78" s="296"/>
    </row>
    <row r="79" spans="1:21" ht="13.15">
      <c r="A79" s="131">
        <v>6</v>
      </c>
      <c r="B79" s="119">
        <f t="shared" si="11"/>
        <v>9.6220900523862127</v>
      </c>
      <c r="C79" s="119">
        <f t="shared" si="11"/>
        <v>10.126570514000996</v>
      </c>
      <c r="D79" s="119">
        <f t="shared" si="11"/>
        <v>10.654858493031972</v>
      </c>
      <c r="E79" s="119">
        <f t="shared" si="11"/>
        <v>11.207873579406975</v>
      </c>
      <c r="F79" s="119">
        <f t="shared" si="11"/>
        <v>12.391897850359486</v>
      </c>
      <c r="G79" s="296"/>
      <c r="H79" s="296"/>
      <c r="I79" s="296"/>
      <c r="J79" s="296"/>
      <c r="K79" s="296"/>
      <c r="L79" s="296"/>
    </row>
    <row r="80" spans="1:21" ht="13.15">
      <c r="A80" s="131">
        <f t="shared" ref="A80" si="12">A62</f>
        <v>7</v>
      </c>
      <c r="B80" s="119">
        <f t="shared" si="11"/>
        <v>9.4260860808963471</v>
      </c>
      <c r="C80" s="119">
        <f t="shared" si="11"/>
        <v>9.9931859259836493</v>
      </c>
      <c r="D80" s="119">
        <f t="shared" si="11"/>
        <v>10.592335446592456</v>
      </c>
      <c r="E80" s="119">
        <f t="shared" si="11"/>
        <v>11.225083736567203</v>
      </c>
      <c r="F80" s="119">
        <f t="shared" si="11"/>
        <v>12.597876081826836</v>
      </c>
      <c r="G80" s="296"/>
      <c r="H80" s="296"/>
      <c r="I80" s="296"/>
      <c r="J80" s="296"/>
      <c r="K80" s="296"/>
      <c r="L80" s="296"/>
    </row>
    <row r="81" spans="1:12" ht="13.15">
      <c r="A81" s="131">
        <v>8</v>
      </c>
      <c r="B81" s="119">
        <f t="shared" si="11"/>
        <v>9.4180622670057534</v>
      </c>
      <c r="C81" s="119">
        <f t="shared" si="11"/>
        <v>10.049399562314411</v>
      </c>
      <c r="D81" s="119">
        <f t="shared" si="11"/>
        <v>10.722006850955577</v>
      </c>
      <c r="E81" s="119">
        <f t="shared" si="11"/>
        <v>11.438272591625006</v>
      </c>
      <c r="F81" s="119">
        <f t="shared" si="11"/>
        <v>13.011919072291633</v>
      </c>
      <c r="G81" s="296"/>
      <c r="H81" s="296"/>
      <c r="I81" s="296"/>
      <c r="J81" s="296"/>
      <c r="K81" s="296"/>
      <c r="L81" s="296"/>
    </row>
    <row r="82" spans="1:12" ht="13.15">
      <c r="A82" s="131">
        <f t="shared" ref="A82" si="13">A64</f>
        <v>9</v>
      </c>
      <c r="B82" s="119">
        <f t="shared" si="11"/>
        <v>9.2358503835719059</v>
      </c>
      <c r="C82" s="119">
        <f t="shared" si="11"/>
        <v>9.9205121160037404</v>
      </c>
      <c r="D82" s="119">
        <f t="shared" si="11"/>
        <v>10.656196821960362</v>
      </c>
      <c r="E82" s="119">
        <f t="shared" si="11"/>
        <v>11.446352717998037</v>
      </c>
      <c r="F82" s="119">
        <f t="shared" si="11"/>
        <v>13.204889865536634</v>
      </c>
      <c r="G82" s="296"/>
      <c r="H82" s="296"/>
      <c r="I82" s="296"/>
      <c r="J82" s="296"/>
      <c r="K82" s="296"/>
      <c r="L82" s="296"/>
    </row>
    <row r="83" spans="1:12" ht="13.15">
      <c r="A83" s="131">
        <f t="shared" ref="A83:A87" si="14">A65</f>
        <v>10</v>
      </c>
      <c r="B83" s="119">
        <f t="shared" si="11"/>
        <v>9.2288747084642164</v>
      </c>
      <c r="C83" s="119">
        <f t="shared" si="11"/>
        <v>9.9703649469890188</v>
      </c>
      <c r="D83" s="119">
        <f t="shared" si="11"/>
        <v>10.773483843090995</v>
      </c>
      <c r="E83" s="119">
        <f t="shared" si="11"/>
        <v>11.642980257583956</v>
      </c>
      <c r="F83" s="119">
        <f t="shared" si="11"/>
        <v>13.601742651155005</v>
      </c>
      <c r="G83" s="296"/>
      <c r="H83" s="296"/>
      <c r="I83" s="296"/>
      <c r="J83" s="296"/>
      <c r="K83" s="296"/>
      <c r="L83" s="296"/>
    </row>
    <row r="84" spans="1:12" ht="13.15">
      <c r="A84" s="131">
        <f t="shared" si="14"/>
        <v>15</v>
      </c>
      <c r="B84" s="119">
        <f t="shared" si="11"/>
        <v>8.7440019460876197</v>
      </c>
      <c r="C84" s="119">
        <f t="shared" si="11"/>
        <v>9.6949585146850534</v>
      </c>
      <c r="D84" s="119">
        <f t="shared" si="11"/>
        <v>10.76557516595933</v>
      </c>
      <c r="E84" s="119">
        <f t="shared" si="11"/>
        <v>11.970789496701034</v>
      </c>
      <c r="F84" s="119">
        <f t="shared" si="11"/>
        <v>14.853765601040337</v>
      </c>
      <c r="G84" s="296"/>
      <c r="H84" s="296"/>
      <c r="I84" s="296"/>
      <c r="J84" s="296"/>
      <c r="K84" s="296"/>
      <c r="L84" s="296"/>
    </row>
    <row r="85" spans="1:12" ht="13.15">
      <c r="A85" s="132">
        <f t="shared" si="14"/>
        <v>20</v>
      </c>
      <c r="B85" s="119">
        <f t="shared" si="11"/>
        <v>8.4687824856762468</v>
      </c>
      <c r="C85" s="119">
        <f t="shared" si="11"/>
        <v>9.5720277196749137</v>
      </c>
      <c r="D85" s="119">
        <f t="shared" si="11"/>
        <v>10.857177363266382</v>
      </c>
      <c r="E85" s="119">
        <f t="shared" si="11"/>
        <v>12.355429424851478</v>
      </c>
      <c r="F85" s="119">
        <f t="shared" si="11"/>
        <v>16.143072862814595</v>
      </c>
      <c r="G85" s="296"/>
      <c r="H85" s="296"/>
      <c r="I85" s="296"/>
      <c r="J85" s="296"/>
      <c r="K85" s="296"/>
      <c r="L85" s="296"/>
    </row>
    <row r="86" spans="1:12" ht="13.15">
      <c r="A86" s="132">
        <f t="shared" si="14"/>
        <v>25</v>
      </c>
      <c r="B86" s="119">
        <f t="shared" si="11"/>
        <v>8.1329975311422444</v>
      </c>
      <c r="C86" s="119">
        <f t="shared" si="11"/>
        <v>9.3279132997374443</v>
      </c>
      <c r="D86" s="119">
        <f t="shared" si="11"/>
        <v>10.763693114056274</v>
      </c>
      <c r="E86" s="119">
        <f t="shared" si="11"/>
        <v>12.49280055401587</v>
      </c>
      <c r="F86" s="119">
        <f t="shared" si="11"/>
        <v>17.10063545158598</v>
      </c>
      <c r="G86" s="296"/>
      <c r="H86" s="296"/>
      <c r="I86" s="296"/>
      <c r="J86" s="296"/>
      <c r="K86" s="296"/>
      <c r="L86" s="296"/>
    </row>
    <row r="87" spans="1:12" ht="13.15">
      <c r="A87" s="132">
        <f t="shared" si="14"/>
        <v>30</v>
      </c>
      <c r="B87" s="119">
        <f t="shared" si="11"/>
        <v>7.9432126305080466</v>
      </c>
      <c r="C87" s="119">
        <f t="shared" si="11"/>
        <v>9.207139392986905</v>
      </c>
      <c r="D87" s="119">
        <f t="shared" si="11"/>
        <v>10.767016522502713</v>
      </c>
      <c r="E87" s="119">
        <f t="shared" si="11"/>
        <v>12.700475101314867</v>
      </c>
      <c r="F87" s="119">
        <f t="shared" si="11"/>
        <v>18.108683261985515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14.853765601040337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11.970789496701034</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10.76557516595933</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9.6949585146850534</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8.7440019460876197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0" zoomScaleNormal="100" workbookViewId="0">
      <selection activeCell="C22" sqref="C22:C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479041.111771753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11.970789496701034</v>
      </c>
      <c r="F22" s="328">
        <f>1-F23-F24</f>
        <v>0.19999999999999996</v>
      </c>
      <c r="G22" s="328">
        <f>F22*(1-F$29-F$30)</f>
        <v>0.15999999999999995</v>
      </c>
    </row>
    <row r="23" spans="2:7">
      <c r="B23" s="302" t="s">
        <v>437</v>
      </c>
      <c r="C23" s="324">
        <v>0.02</v>
      </c>
      <c r="D23" s="325">
        <f>C18</f>
        <v>15</v>
      </c>
      <c r="E23" s="326">
        <f>DCF!E92</f>
        <v>10.76557516595933</v>
      </c>
      <c r="F23" s="327">
        <v>0.55000000000000004</v>
      </c>
      <c r="G23" s="328">
        <f t="shared" ref="G23:G24" si="0">F23*(1-F$29-F$30)</f>
        <v>0.44</v>
      </c>
    </row>
    <row r="24" spans="2:7">
      <c r="B24" s="302" t="s">
        <v>446</v>
      </c>
      <c r="C24" s="324">
        <v>0.01</v>
      </c>
      <c r="D24" s="325">
        <f>C18</f>
        <v>15</v>
      </c>
      <c r="E24" s="326">
        <f>DCF!E93</f>
        <v>9.6949585146850534</v>
      </c>
      <c r="F24" s="327">
        <v>0.25</v>
      </c>
      <c r="G24" s="328">
        <f t="shared" si="0"/>
        <v>0.19999999999999998</v>
      </c>
    </row>
    <row r="25" spans="2:7">
      <c r="B25" s="141" t="s">
        <v>451</v>
      </c>
      <c r="C25" s="441">
        <f>E23*F23+E24*F24+E22*F22</f>
        <v>10.738963869289101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14.853765601040337</v>
      </c>
      <c r="F29" s="327">
        <v>0.15</v>
      </c>
      <c r="G29" s="328">
        <f>F29</f>
        <v>0.15</v>
      </c>
    </row>
    <row r="30" spans="2:7">
      <c r="B30" s="315" t="s">
        <v>447</v>
      </c>
      <c r="C30" s="324">
        <v>0</v>
      </c>
      <c r="D30" s="325">
        <f>C18</f>
        <v>15</v>
      </c>
      <c r="E30" s="326">
        <f>DCF!E94</f>
        <v>8.7440019460876197</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6.36</v>
      </c>
      <c r="D34" t="str">
        <f>Market_currency</f>
        <v>HKD</v>
      </c>
      <c r="E34" s="97" t="s">
        <v>454</v>
      </c>
      <c r="F34" s="330">
        <f>RATE(Holding_Period,$C$33,-C34,$C$36)</f>
        <v>0.2283347575087086</v>
      </c>
    </row>
    <row r="35" spans="2:7">
      <c r="B35" s="97" t="s">
        <v>434</v>
      </c>
      <c r="C35" s="320">
        <f>DCF!C11</f>
        <v>9.3776019729104441</v>
      </c>
      <c r="D35" s="97" t="str">
        <f>Market_currency</f>
        <v>HKD</v>
      </c>
      <c r="E35" s="97" t="s">
        <v>454</v>
      </c>
      <c r="F35" s="330">
        <f>RATE(Holding_Period,$C$33,-C35,$C$36)</f>
        <v>7.7036393374037698E-2</v>
      </c>
    </row>
    <row r="36" spans="2:7">
      <c r="B36" s="97" t="s">
        <v>435</v>
      </c>
      <c r="C36" s="321">
        <f>E22*G22+E23*G23+E24*G24+E30*G30+E29*G29</f>
        <v>11.25643603289171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11.21347920429608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1.9925036935832013E-2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5.1235484901646364</v>
      </c>
      <c r="E62" s="332">
        <f>C62+D62</f>
        <v>5.3814365192952689</v>
      </c>
      <c r="F62" s="301">
        <f>Thesis!E22</f>
        <v>0.3</v>
      </c>
      <c r="G62" s="440">
        <f>(1-E62/C36)</f>
        <v>0.521923590773268</v>
      </c>
    </row>
    <row r="63" spans="2:7" ht="13.15">
      <c r="B63" s="302" t="s">
        <v>313</v>
      </c>
      <c r="C63" s="119">
        <f>PV(F63, Holding_Period, -C58, 0)</f>
        <v>0.29912037037037031</v>
      </c>
      <c r="D63" s="119">
        <f>C36/(1+F63)^Holding_Period</f>
        <v>6.5141412227382576</v>
      </c>
      <c r="E63" s="332">
        <f>C63+D63</f>
        <v>6.8132615931086278</v>
      </c>
      <c r="F63" s="301">
        <f>Thesis!E23</f>
        <v>0.2</v>
      </c>
      <c r="G63" s="440">
        <f>(1-E63/C36)</f>
        <v>0.3947230212831101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8.0681675148814467</v>
      </c>
      <c r="E66" s="332">
        <f>C66+D66</f>
        <v>8.410757158764735</v>
      </c>
      <c r="F66" s="301">
        <f>Thesis!E24</f>
        <v>0.1174</v>
      </c>
      <c r="G66" s="440">
        <f>(1-E66/C36)</f>
        <v>0.25280460581056019</v>
      </c>
    </row>
    <row r="67" spans="2:7" ht="13.15">
      <c r="B67" s="302" t="s">
        <v>314</v>
      </c>
      <c r="C67" s="119">
        <f>PV(F67, Holding_Period, -C58, 0)</f>
        <v>0.37095728225856828</v>
      </c>
      <c r="D67" s="119">
        <f>C36/(1+F67)^Holding_Period</f>
        <v>9.1244985215943704</v>
      </c>
      <c r="E67" s="332">
        <f>C67+D67</f>
        <v>9.4954558038529377</v>
      </c>
      <c r="F67" s="301">
        <f>Thesis!E25</f>
        <v>7.2499999999999995E-2</v>
      </c>
      <c r="G67" s="440">
        <f>(1-E67/C36)</f>
        <v>0.15644207668334142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6.36</v>
      </c>
    </row>
    <row r="9" spans="1:10">
      <c r="B9" s="351" t="s">
        <v>361</v>
      </c>
      <c r="C9" s="353">
        <f>Common_Shares</f>
        <v>1016799089</v>
      </c>
    </row>
    <row r="10" spans="1:10">
      <c r="B10" s="351" t="s">
        <v>367</v>
      </c>
      <c r="C10" s="357">
        <f>投资主题!C8*Common_Shares/1000000</f>
        <v>6466.8422060399998</v>
      </c>
      <c r="D10" s="343" t="s">
        <v>529</v>
      </c>
      <c r="E10" s="360">
        <f>Scenarios!F34</f>
        <v>0.2283347575087086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11.25643603289171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5.3814365192952689</v>
      </c>
      <c r="D22" s="365" t="s">
        <v>440</v>
      </c>
      <c r="E22" s="366">
        <f>Thesis!E22</f>
        <v>0.3</v>
      </c>
    </row>
    <row r="23" spans="1:6">
      <c r="B23" s="343" t="s">
        <v>341</v>
      </c>
      <c r="C23" s="367">
        <f>E141</f>
        <v>6.8132615931086278</v>
      </c>
      <c r="D23" s="365" t="s">
        <v>441</v>
      </c>
      <c r="E23" s="368">
        <f>Thesis!E23</f>
        <v>0.2</v>
      </c>
    </row>
    <row r="24" spans="1:6">
      <c r="B24" s="343" t="s">
        <v>343</v>
      </c>
      <c r="C24" s="367">
        <f>E144</f>
        <v>8.410757158764735</v>
      </c>
      <c r="D24" s="365" t="s">
        <v>443</v>
      </c>
      <c r="E24" s="368">
        <f>Thesis!E24</f>
        <v>0.1174</v>
      </c>
    </row>
    <row r="25" spans="1:6">
      <c r="B25" s="343" t="s">
        <v>342</v>
      </c>
      <c r="C25" s="367">
        <f>E145</f>
        <v>9.4954558038529377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2866.0998853190004</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-30947.380114680996</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-141441.83709522896</v>
      </c>
      <c r="D52" s="343" t="str">
        <f>Reporting_currency</f>
        <v>HKD</v>
      </c>
    </row>
    <row r="54" spans="2:6">
      <c r="B54" s="470" t="s">
        <v>507</v>
      </c>
      <c r="C54" s="473"/>
      <c r="D54" s="473"/>
      <c r="E54" s="473"/>
      <c r="F54" s="473"/>
    </row>
    <row r="55" spans="2:6">
      <c r="B55" s="372" t="s">
        <v>207</v>
      </c>
      <c r="C55" s="373">
        <f>Normalized_FCF!C17</f>
        <v>0</v>
      </c>
      <c r="D55" s="343" t="str">
        <f>Reporting_currency</f>
        <v>HKD</v>
      </c>
    </row>
    <row r="57" spans="2:6">
      <c r="B57" s="471" t="s">
        <v>508</v>
      </c>
      <c r="C57" s="471"/>
      <c r="D57" s="471"/>
      <c r="E57" s="471"/>
      <c r="F57" s="471"/>
    </row>
    <row r="58" spans="2:6">
      <c r="B58" s="471" t="s">
        <v>509</v>
      </c>
      <c r="C58" s="471"/>
      <c r="D58" s="471"/>
      <c r="E58" s="471"/>
      <c r="F58" s="471"/>
    </row>
    <row r="60" spans="2:6">
      <c r="B60" s="372" t="s">
        <v>372</v>
      </c>
      <c r="C60" s="373">
        <f>Normalized_FCF!G19</f>
        <v>506980</v>
      </c>
      <c r="D60" s="343" t="str">
        <f>Reporting_currency</f>
        <v>HKD</v>
      </c>
    </row>
    <row r="61" spans="2:6">
      <c r="B61" s="372" t="s">
        <v>213</v>
      </c>
      <c r="C61" s="373">
        <f>Normalized_FCF!C19</f>
        <v>479041.111771753</v>
      </c>
      <c r="D61" s="343" t="str">
        <f>Reporting_currency</f>
        <v>HKD</v>
      </c>
    </row>
    <row r="62" spans="2:6">
      <c r="B62" s="377" t="s">
        <v>302</v>
      </c>
      <c r="C62" s="378">
        <f>Normalized_FCF!C124</f>
        <v>7.407651161247307E-2</v>
      </c>
      <c r="F62" s="379"/>
    </row>
    <row r="63" spans="2:6">
      <c r="B63" s="377" t="s">
        <v>332</v>
      </c>
      <c r="C63" s="378">
        <f>Normalized_FCF!C92</f>
        <v>2.2327044025157231E-2</v>
      </c>
      <c r="E63" s="372" t="s">
        <v>373</v>
      </c>
      <c r="F63" s="380">
        <f>Normalized_FCF!C90</f>
        <v>0.30140517606930323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-563558</v>
      </c>
      <c r="D78" s="343" t="str">
        <f>Reporting_currency</f>
        <v>HKD</v>
      </c>
    </row>
    <row r="79" spans="1:6">
      <c r="B79" s="372" t="s">
        <v>234</v>
      </c>
      <c r="C79" s="387">
        <f>C78*scaling_factor*Exchange_Rate/Common_Shares</f>
        <v>-0.55424715275290737</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791610.68578016665</v>
      </c>
      <c r="D84" s="343" t="str">
        <f>Reporting_currency</f>
        <v>HKD</v>
      </c>
    </row>
    <row r="85" spans="1:6">
      <c r="B85" s="382" t="s">
        <v>481</v>
      </c>
      <c r="C85" s="390">
        <f>BS!C66</f>
        <v>1269294</v>
      </c>
      <c r="D85" s="391" t="str">
        <f>Reporting_currency</f>
        <v>HKD</v>
      </c>
    </row>
    <row r="86" spans="1:6">
      <c r="B86" s="372" t="s">
        <v>235</v>
      </c>
      <c r="C86" s="387">
        <f>C84*scaling_factor*Exchange_Rate/Common_Shares</f>
        <v>0.77853205647410506</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0.22428490372119783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-0.17087844774809768</v>
      </c>
      <c r="D111" s="343" t="str">
        <f>Market_currency</f>
        <v>HKD</v>
      </c>
    </row>
    <row r="112" spans="1:6">
      <c r="A112" s="385"/>
      <c r="B112" s="372" t="s">
        <v>377</v>
      </c>
      <c r="C112" s="394">
        <f>DCF!C11</f>
        <v>9.3776019729104441</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14.85 HKD</v>
      </c>
      <c r="F118" s="399">
        <f>DCF!F90</f>
        <v>0.15</v>
      </c>
    </row>
    <row r="119" spans="1:6">
      <c r="A119" s="385"/>
      <c r="B119" s="400" t="str">
        <f>DCF!B91</f>
        <v>Optimistic</v>
      </c>
      <c r="C119" s="401">
        <f>DCF!C91</f>
        <v>0.03</v>
      </c>
      <c r="D119" s="402">
        <f>DCF!D91</f>
        <v>15</v>
      </c>
      <c r="E119" s="398" t="str">
        <f>ROUND(DCF!E91,2)&amp;" "&amp;Market_currency</f>
        <v>11.97 HKD</v>
      </c>
      <c r="F119" s="403">
        <f>DCF!F91</f>
        <v>0.15999999999999995</v>
      </c>
    </row>
    <row r="120" spans="1:6">
      <c r="B120" s="400" t="str">
        <f>DCF!B92</f>
        <v>Base</v>
      </c>
      <c r="C120" s="401">
        <f>DCF!C92</f>
        <v>0.02</v>
      </c>
      <c r="D120" s="402">
        <f>DCF!D92</f>
        <v>15</v>
      </c>
      <c r="E120" s="398" t="str">
        <f>ROUND(DCF!E92,2)&amp;" "&amp;Market_currency</f>
        <v>10.77 HKD</v>
      </c>
      <c r="F120" s="403">
        <f>DCF!F92</f>
        <v>0.44</v>
      </c>
    </row>
    <row r="121" spans="1:6">
      <c r="B121" s="400" t="str">
        <f>DCF!B93</f>
        <v>Pessimistic</v>
      </c>
      <c r="C121" s="401">
        <f>DCF!C93</f>
        <v>0.01</v>
      </c>
      <c r="D121" s="402">
        <f>DCF!D93</f>
        <v>15</v>
      </c>
      <c r="E121" s="398" t="str">
        <f>ROUND(DCF!E93,2)&amp;" "&amp;Market_currency</f>
        <v>9.69 HKD</v>
      </c>
      <c r="F121" s="403">
        <f>DCF!F93</f>
        <v>0.19999999999999998</v>
      </c>
    </row>
    <row r="122" spans="1:6">
      <c r="B122" s="400" t="str">
        <f>DCF!B94</f>
        <v>Devil's advocate</v>
      </c>
      <c r="C122" s="401">
        <f>DCF!C94</f>
        <v>0</v>
      </c>
      <c r="D122" s="402">
        <f>DCF!D94</f>
        <v>15</v>
      </c>
      <c r="E122" s="398" t="str">
        <f>ROUND(DCF!E94,2)&amp;" "&amp;Market_currency</f>
        <v>8.74 HKD</v>
      </c>
      <c r="F122" s="403">
        <f>DCF!F94</f>
        <v>0.05</v>
      </c>
    </row>
    <row r="124" spans="1:6">
      <c r="B124" s="470" t="s">
        <v>519</v>
      </c>
      <c r="C124" s="470"/>
      <c r="D124" s="470"/>
      <c r="E124" s="470"/>
      <c r="F124" s="470"/>
    </row>
    <row r="125" spans="1:6">
      <c r="B125" s="372" t="s">
        <v>218</v>
      </c>
      <c r="C125" s="404">
        <f>Scenarios!C36</f>
        <v>11.25643603289171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5.1235484901646364</v>
      </c>
      <c r="E140" s="410">
        <f>Scenarios!E62</f>
        <v>5.3814365192952689</v>
      </c>
      <c r="F140" s="411">
        <f>E22</f>
        <v>0.3</v>
      </c>
    </row>
    <row r="141" spans="1:6">
      <c r="B141" s="408" t="s">
        <v>313</v>
      </c>
      <c r="C141" s="409">
        <f>Scenarios!C63</f>
        <v>0.29912037037037031</v>
      </c>
      <c r="D141" s="409">
        <f>Scenarios!D63</f>
        <v>6.5141412227382576</v>
      </c>
      <c r="E141" s="410">
        <f>Scenarios!E63</f>
        <v>6.8132615931086278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8.0681675148814467</v>
      </c>
      <c r="E144" s="410">
        <f>Scenarios!E66</f>
        <v>8.410757158764735</v>
      </c>
      <c r="F144" s="411">
        <f>E24</f>
        <v>0.1174</v>
      </c>
    </row>
    <row r="145" spans="1:6">
      <c r="B145" s="408" t="s">
        <v>314</v>
      </c>
      <c r="C145" s="409">
        <f>Scenarios!C67</f>
        <v>0.37095728225856828</v>
      </c>
      <c r="D145" s="409">
        <f>Scenarios!D67</f>
        <v>9.1244985215943704</v>
      </c>
      <c r="E145" s="410">
        <f>Scenarios!E67</f>
        <v>9.4954558038529377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2026-03-20T09:57:22Z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