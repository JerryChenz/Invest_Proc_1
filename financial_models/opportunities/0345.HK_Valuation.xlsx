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90D9A15-C00F-45A8-90B1-5ADEE652E6D2}" xr6:coauthVersionLast="47" xr6:coauthVersionMax="47" xr10:uidLastSave="{00000000-0000-0000-0000-000000000000}"/>
  <bookViews>
    <workbookView xWindow="1470" yWindow="1470" windowWidth="12690" windowHeight="7643"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41" i="2"/>
  <c r="C35" i="2"/>
  <c r="C19" i="3"/>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<sst xmlns="http://schemas.openxmlformats.org/spreadsheetml/2006/main" count="768" uniqueCount="558">
  <si>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</si>
  <si>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</si>
  <si>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</si>
  <si>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</si>
  <si>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</si>
  <si>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</si>
  <si>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</si>
  <si>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</si>
  <si>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</si>
  <si>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</si>
  <si>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</si>
  <si>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</si>
  <si>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</si>
  <si>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</si>
  <si>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</si>
  <si>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</si>
  <si>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</si>
  <si>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</si>
  <si>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</si>
  <si>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</si>
  <si>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</si>
  <si>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</si>
  <si>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</si>
  <si>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</si>
  <si>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</si>
  <si>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</si>
  <si>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</si>
  <si>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</si>
  <si>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</si>
  <si>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</si>
  <si>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</si>
  <si>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</si>
  <si>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</si>
  <si>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</si>
  <si>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</si>
  <si>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</si>
  <si>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</si>
  <si>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</si>
  <si>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</si>
  <si>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</si>
  <si>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</si>
  <si>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</si>
  <si>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</si>
  <si>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</si>
  <si>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</si>
  <si>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</si>
  <si>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</si>
  <si>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</si>
  <si>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</si>
  <si>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</si>
  <si>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</si>
  <si>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</si>
  <si>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</si>
  <si>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</si>
  <si>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</si>
  <si>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</si>
  <si>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</si>
  <si>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</si>
  <si>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</si>
  <si>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</si>
  <si>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</si>
  <si>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</si>
  <si>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</si>
  <si>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</si>
  <si>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</si>
  <si>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</si>
  <si>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</si>
  <si>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</si>
  <si>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</si>
  <si>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</si>
  <si>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</si>
  <si>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</si>
  <si>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</si>
  <si>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</si>
  <si>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</si>
  <si>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</si>
  <si>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</si>
  <si>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</si>
  <si>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</si>
  <si>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</si>
  <si>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</si>
  <si>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</si>
  <si>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</si>
  <si>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</si>
  <si>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</si>
  <si>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</si>
  <si>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</si>
  <si>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</si>
  <si>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</si>
  <si>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</si>
  <si>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</si>
  <si>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</si>
  <si>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</si>
  <si>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</si>
  <si>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</si>
  <si>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</si>
  <si>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</si>
  <si>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</si>
  <si>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</si>
  <si>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</si>
  <si>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</si>
  <si>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</si>
  <si>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</si>
  <si>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</si>
  <si>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</si>
  <si>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</si>
  <si>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</si>
  <si>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</si>
  <si>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</si>
  <si>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</si>
  <si>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</si>
  <si>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</si>
  <si>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</si>
  <si>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</si>
  <si>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</si>
  <si>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</si>
  <si>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</si>
  <si>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</si>
  <si>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</si>
  <si>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</si>
  <si>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</si>
  <si>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</si>
  <si>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</si>
  <si>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</si>
  <si>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</si>
  <si>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</si>
  <si>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</si>
  <si>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</si>
  <si>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</si>
  <si>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</si>
  <si>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</si>
  <si>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</si>
  <si>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</si>
  <si>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</si>
  <si>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</si>
  <si>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</si>
  <si>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</si>
  <si>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</si>
  <si>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</si>
  <si>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</si>
  <si>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</si>
  <si>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</si>
  <si>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</si>
  <si>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</si>
  <si>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</si>
  <si>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</si>
  <si>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</si>
  <si>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</si>
  <si>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</si>
  <si>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</si>
  <si>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</si>
  <si>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</si>
  <si>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</si>
  <si>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</si>
  <si>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</si>
  <si>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</si>
  <si>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</si>
  <si>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</si>
  <si>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</si>
  <si>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</si>
  <si>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</si>
  <si>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</si>
  <si>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</si>
  <si>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</si>
  <si>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</si>
  <si>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</si>
  <si>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</si>
  <si>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</si>
  <si>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</si>
  <si>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</si>
  <si>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</si>
  <si>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</si>
  <si>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</si>
  <si>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</si>
  <si>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</si>
  <si>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</si>
  <si>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</si>
  <si>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</si>
  <si>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</si>
  <si>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</si>
  <si>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</si>
  <si>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</si>
  <si>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</si>
  <si>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</si>
  <si>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</si>
  <si>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</si>
  <si>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</si>
  <si>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</si>
  <si>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</si>
  <si>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</si>
  <si>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</si>
  <si>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</si>
  <si>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</si>
  <si>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</si>
  <si>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</si>
  <si>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</si>
  <si>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</si>
  <si>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</si>
  <si>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</si>
  <si>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</si>
  <si>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</si>
  <si>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</si>
  <si>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</si>
  <si>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</si>
  <si>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</si>
  <si>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</si>
  <si>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</si>
  <si>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</si>
  <si>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</si>
  <si>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</si>
  <si>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</si>
  <si>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</si>
  <si>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</si>
  <si>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</si>
  <si>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</si>
  <si>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</si>
  <si>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</si>
  <si>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</si>
  <si>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</si>
  <si>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</si>
  <si>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</si>
  <si>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</si>
  <si>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</si>
  <si>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</si>
  <si>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</si>
  <si>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</si>
  <si>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</si>
  <si>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</si>
  <si>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</si>
  <si>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</si>
  <si>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</si>
  <si>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</si>
  <si>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</si>
  <si>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</si>
  <si>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</si>
  <si>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</si>
  <si>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</si>
  <si>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</si>
  <si>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</si>
  <si>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</si>
  <si>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</si>
  <si>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</si>
  <si>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</si>
  <si>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</si>
  <si>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</si>
  <si>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</si>
  <si>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</si>
  <si>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</si>
  <si>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</si>
  <si>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</si>
  <si>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</si>
  <si>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</si>
  <si>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</si>
  <si>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</si>
  <si>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</si>
  <si>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</si>
  <si>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</si>
  <si>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</si>
  <si>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</si>
  <si>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</si>
  <si>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</si>
  <si>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</si>
  <si>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</si>
  <si>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</si>
  <si>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</si>
  <si>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</si>
  <si>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</si>
  <si>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</si>
  <si>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</si>
  <si>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</si>
  <si>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</si>
  <si>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</si>
  <si>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</si>
  <si>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</si>
  <si>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</si>
  <si>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</si>
  <si>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</si>
  <si>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</si>
  <si>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</si>
  <si>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</si>
  <si>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</si>
  <si>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</si>
  <si>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</si>
  <si>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</si>
  <si>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</si>
  <si>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</si>
  <si>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</si>
  <si>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</si>
  <si>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</si>
  <si>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</si>
  <si>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</si>
  <si>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</si>
  <si>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</si>
  <si>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</si>
  <si>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</si>
  <si>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</si>
  <si>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</si>
  <si>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</si>
  <si>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</si>
  <si>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</si>
  <si>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</si>
  <si>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</si>
  <si>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</si>
  <si>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</si>
  <si>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</si>
  <si>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</si>
  <si>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</si>
  <si>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</si>
  <si>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</si>
  <si>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</si>
  <si>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</si>
  <si>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</si>
  <si>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</si>
  <si>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</si>
  <si>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</si>
  <si>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</si>
  <si>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</si>
  <si>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</si>
  <si>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</si>
  <si>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</si>
  <si>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</si>
  <si>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</si>
  <si>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</si>
  <si>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</si>
  <si>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</si>
  <si>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</si>
  <si>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</si>
  <si>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</si>
  <si>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</si>
  <si>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</si>
  <si>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</si>
  <si>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</si>
  <si>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</si>
  <si>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</si>
  <si>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</si>
  <si>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</si>
  <si>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</si>
  <si>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</si>
  <si>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</si>
  <si>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</si>
  <si>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</si>
  <si>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</si>
  <si>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</si>
  <si>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</si>
  <si>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</si>
  <si>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</si>
  <si>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</si>
  <si>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</si>
  <si>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</si>
  <si>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</si>
  <si>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</si>
  <si>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</si>
  <si>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</si>
  <si>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</si>
  <si>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</si>
  <si>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</si>
  <si>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</si>
  <si>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</si>
  <si>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</si>
  <si>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</si>
  <si>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</si>
  <si>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</si>
  <si>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</si>
  <si>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</si>
  <si>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</si>
  <si>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</si>
  <si>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</si>
  <si>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</si>
  <si>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</si>
  <si>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</si>
  <si>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</si>
  <si>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</si>
  <si>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</si>
  <si>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</si>
  <si>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</si>
  <si>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</si>
  <si>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</si>
  <si>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</si>
  <si>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</si>
  <si>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</si>
  <si>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</si>
  <si>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</si>
  <si>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</si>
  <si>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</si>
  <si>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</si>
  <si>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</si>
  <si>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</si>
  <si>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</si>
  <si>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</si>
  <si>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</si>
  <si>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</si>
  <si>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</si>
  <si>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</si>
  <si>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</si>
  <si>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</si>
  <si>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</si>
  <si>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</si>
  <si>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</si>
  <si>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</si>
  <si>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</si>
  <si>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</si>
  <si>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</si>
  <si>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</si>
  <si>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</si>
  <si>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</si>
  <si>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</si>
  <si>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</si>
  <si>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</si>
  <si>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</si>
  <si>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</si>
  <si>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</si>
  <si>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</si>
  <si>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</si>
  <si>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</si>
  <si>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</si>
  <si>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</si>
  <si>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</si>
  <si>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</si>
  <si>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</si>
  <si>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</si>
  <si>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</si>
  <si>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</si>
  <si>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</si>
  <si>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</si>
  <si>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</si>
  <si>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</si>
  <si>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</si>
  <si>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</si>
  <si>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</si>
  <si>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</si>
  <si>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</si>
  <si>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</si>
  <si>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</si>
  <si>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</si>
  <si>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</si>
  <si>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</si>
  <si>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</si>
  <si>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</si>
  <si>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</si>
  <si>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</si>
  <si>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</si>
  <si>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</si>
  <si>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</si>
  <si>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</si>
  <si>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</si>
  <si>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</si>
  <si>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</si>
  <si>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</si>
  <si>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</si>
  <si>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</si>
  <si>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</si>
  <si>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</si>
  <si>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</si>
  <si>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</si>
  <si>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</si>
  <si>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</si>
  <si>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</si>
  <si>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</si>
  <si>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</si>
  <si>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</si>
  <si>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</si>
  <si>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</si>
  <si>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</si>
  <si>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</si>
  <si>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</si>
  <si>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</si>
  <si>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</si>
  <si>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</si>
  <si>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</si>
  <si>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</si>
  <si>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</si>
  <si>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</si>
  <si>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</si>
  <si>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</si>
  <si>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</si>
  <si>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</si>
  <si>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</si>
  <si>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</si>
  <si>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</si>
  <si>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</si>
  <si>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</si>
  <si>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</si>
  <si>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</si>
  <si>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</si>
  <si>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</si>
  <si>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</si>
  <si>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</si>
  <si>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</si>
  <si>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</si>
  <si>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</si>
  <si>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</si>
  <si>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</si>
  <si>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</si>
  <si>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</si>
  <si>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</si>
  <si>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</si>
  <si>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</si>
  <si>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</si>
  <si>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</si>
  <si>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</si>
  <si>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</si>
  <si>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</si>
  <si>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</si>
  <si>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</si>
  <si>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</si>
  <si>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</si>
  <si>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</si>
  <si>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</si>
  <si>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</si>
  <si>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</si>
  <si>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</si>
  <si>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</si>
  <si>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</si>
  <si>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</si>
  <si>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</si>
  <si>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</si>
  <si>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</si>
  <si>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</si>
  <si>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</si>
  <si>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</si>
  <si>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</si>
  <si>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</si>
  <si>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</si>
  <si>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</si>
  <si>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</si>
  <si>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</si>
  <si>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</si>
  <si>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</si>
  <si>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</si>
  <si>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</si>
  <si>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</si>
  <si>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</si>
  <si>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</si>
  <si>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</si>
  <si>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</si>
  <si>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</si>
  <si>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</si>
  <si>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</si>
  <si>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</si>
  <si>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</si>
  <si>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</si>
  <si>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</si>
  <si>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</si>
  <si>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</si>
  <si>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</si>
  <si>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</si>
  <si>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</si>
  <si>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</si>
  <si>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</si>
  <si>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维他奶</t>
  </si>
  <si>
    <t>0345.HK</t>
  </si>
  <si>
    <t>CNS_01</t>
  </si>
  <si>
    <t>Pre-tax Profit Margin</t>
  </si>
  <si>
    <t>Pre-tax Profit Margin_II</t>
  </si>
  <si>
    <t>Pre-tax Profit</t>
  </si>
  <si>
    <t>FCFE Margin</t>
  </si>
  <si>
    <t>FCFE and TV</t>
  </si>
  <si>
    <t>Sales/Total Assets g Projection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</si>
</sst>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549</v>
      </c>
      <c r="E4" s="430" t="s">
        <v>537</v>
      </c>
      <c r="F4" s="431" t="s">
        <v>324</v>
      </c>
    </row>
    <row r="5" spans="1:9">
      <c r="B5" s="1" t="s">
        <v>349</v>
      </c>
      <c r="C5" s="46" t="s">
        <v>550</v>
      </c>
      <c r="E5" s="433" t="s">
        <v>539</v>
      </c>
      <c r="F5" s="432" t="s">
        <v>497</v>
      </c>
    </row>
    <row r="6" spans="1:9">
      <c r="B6" s="2" t="s">
        <v>53</v>
      </c>
      <c r="C6" s="45" t="s">
        <v>551</v>
      </c>
      <c r="D6" s="45"/>
      <c r="E6" s="45"/>
    </row>
    <row r="7" spans="1:9">
      <c r="B7" s="1" t="s">
        <v>351</v>
      </c>
      <c r="C7" s="45" t="s">
        <v>308</v>
      </c>
      <c r="D7" s="45"/>
      <c r="E7" s="45"/>
    </row>
    <row r="8" spans="1:9">
      <c r="B8" s="4" t="s">
        <v>350</v>
      </c>
      <c r="C8" s="47">
        <v>6.82</v>
      </c>
      <c r="E8" s="32"/>
    </row>
    <row r="9" spans="1:9">
      <c r="B9" s="4" t="s">
        <v>346</v>
      </c>
      <c r="C9" s="48">
        <v>1043529089</v>
      </c>
    </row>
    <row r="10" spans="1:9">
      <c r="B10" s="4" t="s">
        <v>352</v>
      </c>
      <c r="C10" s="33">
        <f>Thesis!C8*Common_Shares/1000000</f>
        <v>7116.8683869800007</v>
      </c>
      <c r="D10" s="1" t="s">
        <v>528</v>
      </c>
      <c r="E10" s="303">
        <f>Scenarios!F34</f>
        <v>0.18954671847205182</v>
      </c>
    </row>
    <row r="11" spans="1:9">
      <c r="D11" s="5"/>
      <c r="E11" s="5"/>
    </row>
    <row r="12" spans="1:9" ht="24.5" customHeight="1">
      <c r="B12" s="460" t="s">
        <v>355</v>
      </c>
      <c r="C12" s="460"/>
      <c r="D12" s="460"/>
      <c r="E12" s="460"/>
      <c r="F12" s="460"/>
    </row>
    <row r="14" spans="1:9">
      <c r="B14" s="42" t="str">
        <f>Scenarios!B39&amp;" Valuation Conclusion"</f>
        <v>2-stage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0.02</v>
      </c>
      <c r="D17" s="4" t="s">
        <v>274</v>
      </c>
      <c r="E17" s="224" t="s">
        <v>308</v>
      </c>
    </row>
    <row r="18" spans="1:6">
      <c r="B18" s="1" t="str">
        <f>"Expected Equity Value ("&amp;C7&amp;") :"</f>
        <v>Expected Equity Value (HKD) :</v>
      </c>
      <c r="C18" s="252">
        <f>C125</f>
        <v>10.967807599967429</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5.3141281403824898</v>
      </c>
      <c r="D22" s="38" t="s">
        <v>406</v>
      </c>
      <c r="E22" s="79">
        <v>0.29465259038036601</v>
      </c>
    </row>
    <row r="23" spans="1:6">
      <c r="B23" s="1" t="s">
        <v>313</v>
      </c>
      <c r="C23" s="256">
        <f>E141</f>
        <v>6.6339642861251669</v>
      </c>
      <c r="D23" s="38" t="s">
        <v>407</v>
      </c>
      <c r="E23" s="443">
        <v>0.20075184365903001</v>
      </c>
    </row>
    <row r="24" spans="1:6">
      <c r="B24" s="1" t="s">
        <v>315</v>
      </c>
      <c r="C24" s="256">
        <f>E144</f>
        <v>8.2038797297466814</v>
      </c>
      <c r="D24" s="38" t="s">
        <v>408</v>
      </c>
      <c r="E24" s="443">
        <v>0.1174</v>
      </c>
    </row>
    <row r="25" spans="1:6">
      <c r="B25" s="1" t="s">
        <v>314</v>
      </c>
      <c r="C25" s="256">
        <f>E145</f>
        <v>9.2614927891107719</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685770.70000000019</v>
      </c>
      <c r="D34" s="1" t="str">
        <f>Reporting_currency</f>
        <v>HKD</v>
      </c>
    </row>
    <row r="35" spans="2:6">
      <c r="B35" s="44"/>
      <c r="C35" s="73"/>
    </row>
    <row r="36" spans="2:6" ht="24.5" customHeight="1">
      <c r="B36" s="461" t="s">
        <v>198</v>
      </c>
      <c r="C36" s="461"/>
      <c r="D36" s="461"/>
      <c r="E36" s="461"/>
      <c r="F36" s="461"/>
    </row>
    <row r="37" spans="2:6">
      <c r="B37" s="44" t="s">
        <v>199</v>
      </c>
      <c r="C37" s="285">
        <f>Normalized_FCF!C15</f>
        <v>0</v>
      </c>
      <c r="D37" s="1" t="str">
        <f>Reporting_currency</f>
        <v>HKD</v>
      </c>
    </row>
    <row r="38" spans="2:6">
      <c r="B38" s="49" t="s">
        <v>200</v>
      </c>
      <c r="C38" s="285">
        <f>Normalized_FCF!C16</f>
        <v>0</v>
      </c>
      <c r="D38" s="1" t="str">
        <f>Reporting_currency</f>
        <v>HKD</v>
      </c>
    </row>
    <row r="40" spans="2:6">
      <c r="B40" s="461" t="s">
        <v>201</v>
      </c>
      <c r="C40" s="461"/>
      <c r="D40" s="461"/>
      <c r="E40" s="461"/>
      <c r="F40" s="461"/>
    </row>
    <row r="41" spans="2:6">
      <c r="B41" s="44" t="s">
        <v>202</v>
      </c>
      <c r="C41" s="285">
        <f>Normalized_FCF!C9</f>
        <v>0</v>
      </c>
      <c r="D41" s="1" t="str">
        <f>Reporting_currency</f>
        <v>HKD</v>
      </c>
    </row>
    <row r="43" spans="2:6">
      <c r="B43" s="461" t="s">
        <v>205</v>
      </c>
      <c r="C43" s="461"/>
      <c r="D43" s="461"/>
      <c r="E43" s="461"/>
      <c r="F43" s="461"/>
    </row>
    <row r="44" spans="2:6">
      <c r="B44" s="44" t="s">
        <v>267</v>
      </c>
      <c r="C44" s="286">
        <f>Normalized_FCF!C46</f>
        <v>2867.9977153189998</v>
      </c>
      <c r="D44" s="1" t="str">
        <f>Reporting_currency</f>
        <v>HKD</v>
      </c>
      <c r="E44" s="244"/>
      <c r="F44" s="244"/>
    </row>
    <row r="45" spans="2:6">
      <c r="B45" s="44" t="s">
        <v>268</v>
      </c>
      <c r="C45" s="286">
        <f>Normalized_FCF!C45</f>
        <v>-33813.479999999996</v>
      </c>
      <c r="D45" s="1" t="str">
        <f>Reporting_currency</f>
        <v>HKD</v>
      </c>
      <c r="E45" s="244"/>
      <c r="F45" s="244"/>
    </row>
    <row r="46" spans="2:6">
      <c r="B46" s="44" t="s">
        <v>203</v>
      </c>
      <c r="C46" s="285">
        <f>Normalized_FCF!C10</f>
        <v>-30945.482284680995</v>
      </c>
      <c r="D46" s="1" t="str">
        <f>Reporting_currency</f>
        <v>HKD</v>
      </c>
    </row>
    <row r="48" spans="2:6">
      <c r="B48" s="1" t="s">
        <v>211</v>
      </c>
    </row>
    <row r="49" spans="2:6">
      <c r="B49" s="44" t="s">
        <v>223</v>
      </c>
      <c r="C49" s="285">
        <f>Normalized_FCF!C13</f>
        <v>-34340.371018337282</v>
      </c>
      <c r="D49" s="1" t="str">
        <f>Reporting_currency</f>
        <v>HKD</v>
      </c>
    </row>
    <row r="51" spans="2:6">
      <c r="B51" s="461" t="s">
        <v>206</v>
      </c>
      <c r="C51" s="461"/>
      <c r="D51" s="461"/>
      <c r="E51" s="461"/>
      <c r="F51" s="461"/>
    </row>
    <row r="52" spans="2:6">
      <c r="B52" s="44" t="s">
        <v>204</v>
      </c>
      <c r="C52" s="285">
        <f>Normalized_FCF!C12</f>
        <v>-141442.24702650897</v>
      </c>
      <c r="D52" s="1" t="str">
        <f>Reporting_currency</f>
        <v>HKD</v>
      </c>
    </row>
    <row r="54" spans="2:6">
      <c r="B54" s="461" t="s">
        <v>265</v>
      </c>
      <c r="C54" s="464"/>
      <c r="D54" s="464"/>
      <c r="E54" s="464"/>
      <c r="F54" s="464"/>
    </row>
    <row r="55" spans="2:6">
      <c r="B55" s="44" t="s">
        <v>207</v>
      </c>
      <c r="C55" s="285">
        <f>Normalized_FCF!C17</f>
        <v>0</v>
      </c>
      <c r="D55" s="1" t="str">
        <f>Reporting_currency</f>
        <v>HKD</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506980</v>
      </c>
      <c r="D60" s="1" t="str">
        <f>Reporting_currency</f>
        <v>HKD</v>
      </c>
    </row>
    <row r="61" spans="2:6">
      <c r="B61" s="44" t="s">
        <v>213</v>
      </c>
      <c r="C61" s="285">
        <f>Normalized_FCF!C19</f>
        <v>479042.59967047302</v>
      </c>
      <c r="D61" s="1" t="str">
        <f>Reporting_currency</f>
        <v>HKD</v>
      </c>
    </row>
    <row r="62" spans="2:6">
      <c r="B62" s="204" t="s">
        <v>302</v>
      </c>
      <c r="C62" s="89">
        <f>Normalized_FCF!C124</f>
        <v>6.7310869559827818E-2</v>
      </c>
      <c r="F62" s="257"/>
    </row>
    <row r="63" spans="2:6">
      <c r="B63" s="204" t="s">
        <v>332</v>
      </c>
      <c r="C63" s="89">
        <f>Normalized_FCF!C92</f>
        <v>2.0821114369501462E-2</v>
      </c>
      <c r="E63" s="44" t="s">
        <v>322</v>
      </c>
      <c r="F63" s="258">
        <f>Normalized_FCF!C90</f>
        <v>0.3093276688543603</v>
      </c>
    </row>
    <row r="65" spans="1:6">
      <c r="B65" s="192" t="s">
        <v>325</v>
      </c>
      <c r="C65" s="264" t="s">
        <v>327</v>
      </c>
      <c r="D65" s="264" t="s">
        <v>328</v>
      </c>
    </row>
    <row r="66" spans="1:6">
      <c r="B66" s="44" t="s">
        <v>326</v>
      </c>
      <c r="C66" s="89">
        <f>Normalized_FCF!E119</f>
        <v>0.3</v>
      </c>
      <c r="D66" s="89">
        <f>Normalized_FCF!G119</f>
        <v>0.18518613957341221</v>
      </c>
    </row>
    <row r="67" spans="1:6">
      <c r="B67" s="229" t="str">
        <f>Normalized_FCF!B116</f>
        <v>Pre-tax Profit/Sales</v>
      </c>
      <c r="C67" s="263">
        <f>Normalized_FCF!E116</f>
        <v>0.15217050538089463</v>
      </c>
      <c r="D67" s="263">
        <f>Normalized_FCF!G116</f>
        <v>9.3932894828076763E-2</v>
      </c>
    </row>
    <row r="68" spans="1:6">
      <c r="B68" s="229" t="str">
        <f>Normalized_FCF!B117</f>
        <v>Sales/Total Assets</v>
      </c>
      <c r="C68" s="265">
        <f>Normalized_FCF!E117</f>
        <v>1.1106245684847842</v>
      </c>
      <c r="D68" s="265">
        <f>Normalized_FCF!G117</f>
        <v>1.1106245684847842</v>
      </c>
    </row>
    <row r="69" spans="1:6">
      <c r="B69" s="229" t="str">
        <f>Normalized_FCF!B118</f>
        <v>Total Assets/Equity</v>
      </c>
      <c r="C69" s="265">
        <f>Normalized_FCF!E118</f>
        <v>1.775102743966247</v>
      </c>
      <c r="D69" s="265">
        <f>Normalized_FCF!G118</f>
        <v>1.775102743966247</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-563558</v>
      </c>
      <c r="D78" s="1" t="str">
        <f>Reporting_currency</f>
        <v>HKD</v>
      </c>
    </row>
    <row r="79" spans="1:6">
      <c r="A79" s="191"/>
      <c r="B79" s="44" t="s">
        <v>234</v>
      </c>
      <c r="C79" s="201">
        <f>C78*scaling_factor*Exchange_Rate/Common_Shares</f>
        <v>-0.54005011066826136</v>
      </c>
      <c r="D79" s="1" t="str">
        <f>Market_currency</f>
        <v>HKD</v>
      </c>
    </row>
    <row r="80" spans="1:6">
      <c r="A80" s="191"/>
      <c r="B80" s="229" t="s">
        <v>309</v>
      </c>
      <c r="C80" s="337">
        <f>IF(BS!G31/BS!G27&gt;300%,"nm",BS!G31/BS!G27)</f>
        <v>0.17709797868255178</v>
      </c>
    </row>
    <row r="81" spans="1:6">
      <c r="A81" s="191"/>
      <c r="B81" s="229" t="s">
        <v>311</v>
      </c>
      <c r="C81" s="338">
        <f>IF(BS!C50&gt;30,"nm",BS!C50)</f>
        <v>0.82178780749892033</v>
      </c>
    </row>
    <row r="82" spans="1:6">
      <c r="A82" s="191"/>
    </row>
    <row r="83" spans="1:6">
      <c r="A83" s="191"/>
      <c r="B83" s="1" t="s">
        <v>466</v>
      </c>
    </row>
    <row r="84" spans="1:6">
      <c r="A84" s="191"/>
      <c r="B84" s="1" t="s">
        <v>224</v>
      </c>
      <c r="C84" s="285">
        <f>DCF!F5</f>
        <v>791294.38078016671</v>
      </c>
      <c r="D84" s="1" t="str">
        <f>Reporting_currency</f>
        <v>HKD</v>
      </c>
    </row>
    <row r="85" spans="1:6">
      <c r="A85" s="191"/>
      <c r="B85" s="229" t="s">
        <v>222</v>
      </c>
      <c r="C85" s="291">
        <f>BS!C66</f>
        <v>1269294</v>
      </c>
      <c r="D85" s="339" t="str">
        <f>Reporting_currency</f>
        <v>HKD</v>
      </c>
    </row>
    <row r="86" spans="1:6">
      <c r="A86" s="191"/>
      <c r="B86" s="44" t="s">
        <v>235</v>
      </c>
      <c r="C86" s="201">
        <f>C84*scaling_factor*Exchange_Rate/Common_Shares</f>
        <v>0.75828684520759604</v>
      </c>
      <c r="D86" s="1" t="str">
        <f>Market_currency</f>
        <v>HKD</v>
      </c>
    </row>
    <row r="87" spans="1:6">
      <c r="A87" s="191"/>
    </row>
    <row r="88" spans="1:6">
      <c r="A88" s="191"/>
      <c r="B88" s="1" t="s">
        <v>216</v>
      </c>
    </row>
    <row r="89" spans="1:6">
      <c r="A89" s="191"/>
      <c r="B89" s="1" t="s">
        <v>217</v>
      </c>
      <c r="C89" s="285">
        <f>DCF!F6</f>
        <v>0</v>
      </c>
      <c r="D89" s="1" t="str">
        <f>Reporting_currency</f>
        <v>HKD</v>
      </c>
    </row>
    <row r="90" spans="1:6">
      <c r="A90" s="191"/>
      <c r="B90" s="44" t="s">
        <v>236</v>
      </c>
      <c r="C90" s="201">
        <f>C89*scaling_factor*Exchange_Rate/Common_Shares</f>
        <v>0</v>
      </c>
      <c r="D90" s="1" t="str">
        <f>Market_currency</f>
        <v>HKD</v>
      </c>
    </row>
    <row r="91" spans="1:6">
      <c r="A91" s="191"/>
    </row>
    <row r="92" spans="1:6">
      <c r="A92" s="191"/>
      <c r="B92" s="44" t="s">
        <v>469</v>
      </c>
      <c r="C92" s="216">
        <f>DCF!F8</f>
        <v>0.21823673453933465</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-0.16650139591844174</v>
      </c>
      <c r="D111" s="1" t="str">
        <f>Market_currency</f>
        <v>HKD</v>
      </c>
    </row>
    <row r="112" spans="2:6">
      <c r="B112" s="44" t="s">
        <v>323</v>
      </c>
      <c r="C112" s="216">
        <f>DCF!C11</f>
        <v>9.1371192679866926</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(15yrs)</v>
      </c>
      <c r="C118" s="206">
        <f>DCF!C90</f>
        <v>0.05</v>
      </c>
      <c r="D118" s="207" t="str">
        <f>ROUND(DCF!E90,2)&amp;" "&amp;Market_currency</f>
        <v>14.47 HKD</v>
      </c>
      <c r="E118" s="208">
        <f>DCF!F90</f>
        <v>0.15</v>
      </c>
      <c r="F118" s="208">
        <f>RATE(Holding_Period,Scenarios!C$58,-DCF!E90,C$18)</f>
        <v>-7.7511615190408695E-2</v>
      </c>
    </row>
    <row r="119" spans="2:6">
      <c r="B119" s="205" t="str">
        <f>DCF!B91&amp;" ("&amp;DCF!D91&amp;"yrs)"</f>
        <v>Optimistic (15yrs)</v>
      </c>
      <c r="C119" s="198">
        <f>DCF!C91</f>
        <v>0.03</v>
      </c>
      <c r="D119" s="207" t="str">
        <f>ROUND(DCF!E91,2)&amp;" "&amp;Market_currency</f>
        <v>11.66 HKD</v>
      </c>
      <c r="E119" s="199">
        <f>DCF!F91</f>
        <v>0.15999999999999995</v>
      </c>
      <c r="F119" s="208">
        <f>RATE(Holding_Period,Scenarios!C$58,-DCF!E91,C$18)</f>
        <v>-7.8752060805006227E-3</v>
      </c>
    </row>
    <row r="120" spans="2:6">
      <c r="B120" s="205" t="str">
        <f>DCF!B92&amp;" ("&amp;DCF!D92&amp;"yrs)"</f>
        <v>Base (15yrs)</v>
      </c>
      <c r="C120" s="198">
        <f>DCF!C92</f>
        <v>0.02</v>
      </c>
      <c r="D120" s="207" t="str">
        <f>ROUND(DCF!E92,2)&amp;" "&amp;Market_currency</f>
        <v>10.49 HKD</v>
      </c>
      <c r="E120" s="199">
        <f>DCF!F92</f>
        <v>0.44</v>
      </c>
      <c r="F120" s="208">
        <f>RATE(Holding_Period,Scenarios!C$58,-DCF!E92,C$18)</f>
        <v>2.8313892406829591E-2</v>
      </c>
    </row>
    <row r="121" spans="2:6">
      <c r="B121" s="205" t="str">
        <f>DCF!B93&amp;" ("&amp;DCF!D93&amp;"yrs)"</f>
        <v>Pessimistic (15yrs)</v>
      </c>
      <c r="C121" s="198">
        <f>DCF!C93</f>
        <v>0.01</v>
      </c>
      <c r="D121" s="207" t="str">
        <f>ROUND(DCF!E93,2)&amp;" "&amp;Market_currency</f>
        <v>9.45 HKD</v>
      </c>
      <c r="E121" s="199">
        <f>DCF!F93</f>
        <v>0.19999999999999998</v>
      </c>
      <c r="F121" s="208">
        <f>RATE(Holding_Period,Scenarios!C$58,-DCF!E93,C$18)</f>
        <v>6.5359848466424314E-2</v>
      </c>
    </row>
    <row r="122" spans="2:6">
      <c r="B122" s="205" t="str">
        <f>DCF!B94&amp;" ("&amp;DCF!D94&amp;"yrs)"</f>
        <v>Devil's advocate (15yrs)</v>
      </c>
      <c r="C122" s="198">
        <f>DCF!C94</f>
        <v>0</v>
      </c>
      <c r="D122" s="207" t="str">
        <f>ROUND(DCF!E94,2)&amp;" "&amp;Market_currency</f>
        <v>8.52 HKD</v>
      </c>
      <c r="E122" s="199">
        <f>DCF!F94</f>
        <v>0.05</v>
      </c>
      <c r="F122" s="208">
        <f>RATE(Holding_Period,Scenarios!C$58,-DCF!E94,C$18)</f>
        <v>0.10320883220705934</v>
      </c>
    </row>
    <row r="124" spans="2:6">
      <c r="B124" s="461" t="s">
        <v>357</v>
      </c>
      <c r="C124" s="461"/>
      <c r="D124" s="461"/>
      <c r="E124" s="461"/>
      <c r="F124" s="461"/>
    </row>
    <row r="125" spans="2:6">
      <c r="B125" s="193" t="s">
        <v>218</v>
      </c>
      <c r="C125" s="197">
        <f>Scenarios!C36</f>
        <v>10.967807599967429</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0.14199999999999999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0.25983892380763701</v>
      </c>
      <c r="D140" s="333">
        <f>Scenarios!D62</f>
        <v>5.054289216574853</v>
      </c>
      <c r="E140" s="334">
        <f>Scenarios!E62</f>
        <v>5.3141281403824898</v>
      </c>
      <c r="F140" s="335">
        <f>E22</f>
        <v>0.29465259038036601</v>
      </c>
    </row>
    <row r="141" spans="1:6">
      <c r="B141" s="336" t="s">
        <v>313</v>
      </c>
      <c r="C141" s="333">
        <f>Scenarios!C63</f>
        <v>0.29876856051220924</v>
      </c>
      <c r="D141" s="333">
        <f>Scenarios!D63</f>
        <v>6.3351957256129579</v>
      </c>
      <c r="E141" s="334">
        <f>Scenarios!E63</f>
        <v>6.6339642861251669</v>
      </c>
      <c r="F141" s="335">
        <f>Scenarios!F63</f>
        <v>0.20075184365903001</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0.34258964388328816</v>
      </c>
      <c r="D144" s="333">
        <f>Scenarios!D66</f>
        <v>7.8612900858633932</v>
      </c>
      <c r="E144" s="334">
        <f>Scenarios!E66</f>
        <v>8.2038797297466814</v>
      </c>
      <c r="F144" s="335">
        <f>E24</f>
        <v>0.1174</v>
      </c>
    </row>
    <row r="145" spans="1:6">
      <c r="B145" s="336" t="s">
        <v>314</v>
      </c>
      <c r="C145" s="333">
        <f>Scenarios!C67</f>
        <v>0.37095728225856828</v>
      </c>
      <c r="D145" s="333">
        <f>Scenarios!D67</f>
        <v>8.8905355068522027</v>
      </c>
      <c r="E145" s="334">
        <f>Scenarios!E67</f>
        <v>9.2614927891107719</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6273585</v>
      </c>
      <c r="D4" s="287">
        <v>6217123</v>
      </c>
      <c r="E4" s="287">
        <v>6340559</v>
      </c>
      <c r="F4" s="287">
        <v>6501215</v>
      </c>
      <c r="G4" s="287">
        <v>7519817</v>
      </c>
      <c r="H4" s="287">
        <v>7232641</v>
      </c>
      <c r="I4" s="287">
        <v>7526495</v>
      </c>
      <c r="J4" s="287">
        <v>6464525</v>
      </c>
      <c r="K4" s="287">
        <v>5406090</v>
      </c>
      <c r="L4" s="287">
        <v>5551898</v>
      </c>
      <c r="M4" s="287"/>
    </row>
    <row r="5" spans="2:13">
      <c r="B5" s="38" t="s">
        <v>40</v>
      </c>
      <c r="C5" s="287">
        <v>3056039</v>
      </c>
      <c r="D5" s="287">
        <v>3105686</v>
      </c>
      <c r="E5" s="287">
        <v>3328763</v>
      </c>
      <c r="F5" s="287">
        <v>3430534</v>
      </c>
      <c r="G5" s="287">
        <v>3565412</v>
      </c>
      <c r="H5" s="287">
        <v>3381150</v>
      </c>
      <c r="I5" s="287">
        <v>3484665</v>
      </c>
      <c r="J5" s="287">
        <v>3044767</v>
      </c>
      <c r="K5" s="287">
        <v>2532704</v>
      </c>
      <c r="L5" s="287">
        <v>2726117</v>
      </c>
      <c r="M5" s="287"/>
    </row>
    <row r="6" spans="2:13">
      <c r="B6" s="38" t="s">
        <v>51</v>
      </c>
      <c r="C6" s="287">
        <v>2595134</v>
      </c>
      <c r="D6" s="287">
        <v>2677338</v>
      </c>
      <c r="E6" s="287">
        <v>2696408</v>
      </c>
      <c r="F6" s="287">
        <v>2917557</v>
      </c>
      <c r="G6" s="287">
        <v>2837533</v>
      </c>
      <c r="H6" s="287">
        <v>2829337</v>
      </c>
      <c r="I6" s="287">
        <v>2739795</v>
      </c>
      <c r="J6" s="287">
        <v>2288467</v>
      </c>
      <c r="K6" s="287">
        <v>1979312</v>
      </c>
      <c r="L6" s="287">
        <v>1965086</v>
      </c>
      <c r="M6" s="287"/>
    </row>
    <row r="7" spans="2:13">
      <c r="B7" s="66" t="s">
        <v>58</v>
      </c>
      <c r="C7" s="288">
        <v>1900716</v>
      </c>
      <c r="D7" s="288">
        <v>1976349</v>
      </c>
      <c r="E7" s="288">
        <v>2024430</v>
      </c>
      <c r="F7" s="288">
        <v>2215199</v>
      </c>
      <c r="G7" s="288">
        <v>2114530</v>
      </c>
      <c r="H7" s="288">
        <v>2112457</v>
      </c>
      <c r="I7" s="288">
        <v>2104514</v>
      </c>
      <c r="J7" s="288">
        <v>1729371</v>
      </c>
      <c r="K7" s="288">
        <v>1491517</v>
      </c>
      <c r="L7" s="288">
        <v>1496807</v>
      </c>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33116</v>
      </c>
      <c r="D12" s="287">
        <v>30028</v>
      </c>
      <c r="E12" s="287">
        <v>32547</v>
      </c>
      <c r="F12" s="287">
        <v>23071</v>
      </c>
      <c r="G12" s="287">
        <v>11770</v>
      </c>
      <c r="H12" s="287">
        <v>10932</v>
      </c>
      <c r="I12" s="287">
        <v>2086</v>
      </c>
      <c r="J12" s="287">
        <v>1700</v>
      </c>
      <c r="K12" s="287">
        <v>3730</v>
      </c>
      <c r="L12" s="287">
        <v>4044</v>
      </c>
      <c r="M12" s="287"/>
    </row>
    <row r="13" spans="2:13">
      <c r="B13" s="38" t="s">
        <v>64</v>
      </c>
      <c r="C13" s="287"/>
      <c r="D13" s="287"/>
      <c r="E13" s="287"/>
      <c r="F13" s="287"/>
      <c r="G13" s="287"/>
      <c r="H13" s="287"/>
      <c r="I13" s="287"/>
      <c r="J13" s="287"/>
      <c r="K13" s="287"/>
      <c r="L13" s="287"/>
      <c r="M13" s="287"/>
    </row>
    <row r="14" spans="2:13">
      <c r="B14" s="38" t="s">
        <v>47</v>
      </c>
      <c r="C14" s="287">
        <v>76422</v>
      </c>
      <c r="D14" s="287">
        <v>13880</v>
      </c>
      <c r="E14" s="287">
        <v>27736</v>
      </c>
      <c r="F14" s="287">
        <v>-74541</v>
      </c>
      <c r="G14" s="287">
        <v>177151</v>
      </c>
      <c r="H14" s="287">
        <v>109477</v>
      </c>
      <c r="I14" s="287">
        <v>208143</v>
      </c>
      <c r="J14" s="287">
        <v>160679</v>
      </c>
      <c r="K14" s="287">
        <v>190383</v>
      </c>
      <c r="L14" s="287">
        <v>34064</v>
      </c>
      <c r="M14" s="287"/>
    </row>
    <row r="15" spans="2:13">
      <c r="B15" s="41" t="s">
        <v>39</v>
      </c>
      <c r="C15" s="289">
        <v>240568</v>
      </c>
      <c r="D15" s="289">
        <v>117788</v>
      </c>
      <c r="E15" s="289">
        <v>21057</v>
      </c>
      <c r="F15" s="289">
        <v>-161381</v>
      </c>
      <c r="G15" s="289">
        <v>589508</v>
      </c>
      <c r="H15" s="289">
        <v>569591</v>
      </c>
      <c r="I15" s="289">
        <v>747695</v>
      </c>
      <c r="J15" s="289">
        <v>642055</v>
      </c>
      <c r="K15" s="289">
        <v>653294</v>
      </c>
      <c r="L15" s="289">
        <v>565244</v>
      </c>
      <c r="M15" s="289"/>
    </row>
    <row r="16" spans="2:13">
      <c r="B16" s="27" t="s">
        <v>41</v>
      </c>
      <c r="C16" s="287">
        <v>5894</v>
      </c>
      <c r="D16" s="287">
        <v>1421</v>
      </c>
      <c r="E16" s="287">
        <v>-24664</v>
      </c>
      <c r="F16" s="287">
        <v>-2631</v>
      </c>
      <c r="G16" s="287">
        <v>41162</v>
      </c>
      <c r="H16" s="287">
        <v>33713</v>
      </c>
      <c r="I16" s="287">
        <v>51788</v>
      </c>
      <c r="J16" s="287">
        <v>56281</v>
      </c>
      <c r="K16" s="287">
        <v>34922</v>
      </c>
      <c r="L16" s="287">
        <v>34628</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859017</v>
      </c>
      <c r="D22" s="287">
        <v>790543</v>
      </c>
      <c r="E22" s="287">
        <v>502355</v>
      </c>
      <c r="F22" s="287">
        <v>124390</v>
      </c>
      <c r="G22" s="287">
        <v>1259766</v>
      </c>
      <c r="H22" s="287">
        <v>1259778</v>
      </c>
      <c r="I22" s="287">
        <v>1273230</v>
      </c>
      <c r="J22" s="287">
        <v>1065540</v>
      </c>
      <c r="K22" s="287">
        <v>944912</v>
      </c>
      <c r="L22" s="287">
        <v>630744</v>
      </c>
      <c r="M22" s="287"/>
    </row>
    <row r="23" spans="2:13">
      <c r="B23" s="26" t="s">
        <v>288</v>
      </c>
      <c r="C23" s="287">
        <v>65893</v>
      </c>
      <c r="D23" s="287">
        <v>-294294</v>
      </c>
      <c r="E23" s="287">
        <v>-189160</v>
      </c>
      <c r="F23" s="287">
        <v>-400263</v>
      </c>
      <c r="G23" s="287">
        <v>-636697</v>
      </c>
      <c r="H23" s="287">
        <v>-1061277</v>
      </c>
      <c r="I23" s="287">
        <v>-897654</v>
      </c>
      <c r="J23" s="287">
        <v>-443458</v>
      </c>
      <c r="K23" s="287">
        <v>98298</v>
      </c>
      <c r="L23" s="287">
        <v>-635426</v>
      </c>
      <c r="M23" s="287"/>
    </row>
    <row r="24" spans="2:13">
      <c r="B24" s="26" t="s">
        <v>287</v>
      </c>
      <c r="C24" s="287">
        <v>-298236</v>
      </c>
      <c r="D24" s="287">
        <v>-403493</v>
      </c>
      <c r="E24" s="287">
        <v>-366255</v>
      </c>
      <c r="F24" s="287">
        <v>-84826</v>
      </c>
      <c r="G24" s="287">
        <v>-552409</v>
      </c>
      <c r="H24" s="287">
        <v>-316296</v>
      </c>
      <c r="I24" s="287">
        <v>-337381</v>
      </c>
      <c r="J24" s="287">
        <v>-511235</v>
      </c>
      <c r="K24" s="287">
        <v>-451377</v>
      </c>
      <c r="L24" s="287">
        <v>-50755</v>
      </c>
      <c r="M24" s="287"/>
    </row>
    <row r="25" spans="2:13">
      <c r="B25" s="23" t="str">
        <f>"Dividend per share ("&amp;Market_currency&amp;")"</f>
        <v>Dividend per share (HKD)</v>
      </c>
      <c r="C25" s="37">
        <f>0.102+0.04</f>
        <v>0.14199999999999999</v>
      </c>
      <c r="D25" s="37">
        <f>0.063+0.014</f>
        <v>7.6999999999999999E-2</v>
      </c>
      <c r="E25" s="37">
        <f>0.014+0.013</f>
        <v>2.7E-2</v>
      </c>
      <c r="F25" s="37">
        <f>0.29+0.038</f>
        <v>0.32799999999999996</v>
      </c>
      <c r="G25" s="37">
        <f>0.284+0.038</f>
        <v>0.32199999999999995</v>
      </c>
      <c r="H25" s="37"/>
      <c r="I25" s="37"/>
      <c r="J25" s="37"/>
      <c r="K25" s="37"/>
      <c r="L25" s="37"/>
      <c r="M25" s="37"/>
    </row>
    <row r="27" spans="2:13">
      <c r="B27" s="16" t="s">
        <v>26</v>
      </c>
      <c r="C27" s="94" t="s">
        <v>547</v>
      </c>
    </row>
    <row r="28" spans="2:13">
      <c r="B28" s="25" t="s">
        <v>22</v>
      </c>
      <c r="C28" s="270">
        <f>BS!C4</f>
        <v>823619</v>
      </c>
      <c r="D28" s="287">
        <v>715301</v>
      </c>
      <c r="E28" s="287">
        <v>788957</v>
      </c>
      <c r="F28" s="287">
        <v>804496</v>
      </c>
      <c r="G28" s="287">
        <v>819987</v>
      </c>
      <c r="H28" s="287">
        <v>707687</v>
      </c>
      <c r="I28" s="287">
        <v>716425</v>
      </c>
      <c r="J28" s="287">
        <v>726443</v>
      </c>
      <c r="K28" s="287">
        <v>673754</v>
      </c>
      <c r="L28" s="287">
        <v>636713</v>
      </c>
      <c r="M28" s="287"/>
    </row>
    <row r="29" spans="2:13">
      <c r="B29" s="25" t="s">
        <v>30</v>
      </c>
      <c r="C29" s="270">
        <f>BS!C6</f>
        <v>533268</v>
      </c>
      <c r="D29" s="287">
        <v>554546</v>
      </c>
      <c r="E29" s="287">
        <v>639615</v>
      </c>
      <c r="F29" s="287">
        <v>773384</v>
      </c>
      <c r="G29" s="287">
        <v>725526</v>
      </c>
      <c r="H29" s="287">
        <v>593559</v>
      </c>
      <c r="I29" s="287">
        <v>748284</v>
      </c>
      <c r="J29" s="287">
        <v>709312</v>
      </c>
      <c r="K29" s="287">
        <v>582446</v>
      </c>
      <c r="L29" s="287">
        <v>528264</v>
      </c>
      <c r="M29" s="287"/>
    </row>
    <row r="30" spans="2:13">
      <c r="B30" s="28" t="s">
        <v>38</v>
      </c>
      <c r="C30" s="271">
        <f>BS!C33+BS!C42</f>
        <v>2466518</v>
      </c>
      <c r="D30" s="289">
        <v>2524058</v>
      </c>
      <c r="E30" s="289">
        <v>2748929</v>
      </c>
      <c r="F30" s="289">
        <v>3238021</v>
      </c>
      <c r="G30" s="289">
        <v>3319536</v>
      </c>
      <c r="H30" s="289">
        <v>2992391</v>
      </c>
      <c r="I30" s="289">
        <v>2408649</v>
      </c>
      <c r="J30" s="289">
        <v>2013032</v>
      </c>
      <c r="K30" s="289">
        <v>1796901</v>
      </c>
      <c r="L30" s="289">
        <v>1772963</v>
      </c>
      <c r="M30" s="289"/>
    </row>
    <row r="31" spans="2:13">
      <c r="B31" s="28" t="s">
        <v>28</v>
      </c>
      <c r="C31" s="271">
        <f>BS!G27</f>
        <v>3182182</v>
      </c>
      <c r="D31" s="289">
        <v>3112637</v>
      </c>
      <c r="E31" s="289">
        <v>3100590</v>
      </c>
      <c r="F31" s="289">
        <v>3569099</v>
      </c>
      <c r="G31" s="289">
        <v>3956874</v>
      </c>
      <c r="H31" s="289">
        <v>3418104</v>
      </c>
      <c r="I31" s="289">
        <v>3469560</v>
      </c>
      <c r="J31" s="289">
        <v>3169146</v>
      </c>
      <c r="K31" s="289">
        <v>2689706</v>
      </c>
      <c r="L31" s="289">
        <v>2411863</v>
      </c>
      <c r="M31" s="289"/>
    </row>
    <row r="32" spans="2:13">
      <c r="B32" s="25" t="s">
        <v>143</v>
      </c>
      <c r="C32" s="270">
        <f>BS!G28</f>
        <v>99024</v>
      </c>
      <c r="D32" s="287">
        <v>108077</v>
      </c>
      <c r="E32" s="287">
        <v>115875</v>
      </c>
      <c r="F32" s="287">
        <v>311186</v>
      </c>
      <c r="G32" s="287">
        <v>340821</v>
      </c>
      <c r="H32" s="287">
        <v>289714</v>
      </c>
      <c r="I32" s="287">
        <v>304148</v>
      </c>
      <c r="J32" s="287">
        <v>259389</v>
      </c>
      <c r="K32" s="287">
        <v>218337</v>
      </c>
      <c r="L32" s="287">
        <v>212128</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6273585</v>
      </c>
      <c r="D36" s="270">
        <f t="shared" si="1"/>
        <v>6217123</v>
      </c>
      <c r="E36" s="270">
        <f t="shared" si="1"/>
        <v>6340559</v>
      </c>
      <c r="F36" s="270">
        <f t="shared" si="1"/>
        <v>6501215</v>
      </c>
      <c r="G36" s="270">
        <f t="shared" si="1"/>
        <v>7519817</v>
      </c>
      <c r="H36" s="270">
        <f t="shared" si="1"/>
        <v>7232641</v>
      </c>
      <c r="I36" s="270">
        <f t="shared" si="1"/>
        <v>7526495</v>
      </c>
      <c r="J36" s="270">
        <f t="shared" si="1"/>
        <v>6464525</v>
      </c>
      <c r="K36" s="270">
        <f t="shared" si="1"/>
        <v>5406090</v>
      </c>
      <c r="L36" s="270">
        <f t="shared" si="1"/>
        <v>5551898</v>
      </c>
      <c r="M36" s="270" t="str">
        <f t="shared" si="1"/>
        <v/>
      </c>
    </row>
    <row r="37" spans="2:13">
      <c r="B37" s="38" t="s">
        <v>40</v>
      </c>
      <c r="C37" s="270">
        <f t="shared" ref="C37:M37" si="2">IF(C$4="","",-C5)</f>
        <v>-3056039</v>
      </c>
      <c r="D37" s="270">
        <f t="shared" si="2"/>
        <v>-3105686</v>
      </c>
      <c r="E37" s="270">
        <f t="shared" si="2"/>
        <v>-3328763</v>
      </c>
      <c r="F37" s="270">
        <f t="shared" si="2"/>
        <v>-3430534</v>
      </c>
      <c r="G37" s="270">
        <f t="shared" si="2"/>
        <v>-3565412</v>
      </c>
      <c r="H37" s="270">
        <f t="shared" si="2"/>
        <v>-3381150</v>
      </c>
      <c r="I37" s="270">
        <f t="shared" si="2"/>
        <v>-3484665</v>
      </c>
      <c r="J37" s="270">
        <f t="shared" si="2"/>
        <v>-3044767</v>
      </c>
      <c r="K37" s="270">
        <f t="shared" si="2"/>
        <v>-2532704</v>
      </c>
      <c r="L37" s="270">
        <f t="shared" si="2"/>
        <v>-2726117</v>
      </c>
      <c r="M37" s="270" t="str">
        <f t="shared" si="2"/>
        <v/>
      </c>
    </row>
    <row r="38" spans="2:13">
      <c r="B38" s="30" t="s">
        <v>55</v>
      </c>
      <c r="C38" s="267">
        <f>IF(C36="","",C36+C37)</f>
        <v>3217546</v>
      </c>
      <c r="D38" s="267">
        <f t="shared" ref="D38" si="3">IF(D36="","",D36+D37)</f>
        <v>3111437</v>
      </c>
      <c r="E38" s="267">
        <f t="shared" ref="E38" si="4">IF(E36="","",E36+E37)</f>
        <v>3011796</v>
      </c>
      <c r="F38" s="267">
        <f t="shared" ref="F38" si="5">IF(F36="","",F36+F37)</f>
        <v>3070681</v>
      </c>
      <c r="G38" s="267">
        <f t="shared" ref="G38" si="6">IF(G36="","",G36+G37)</f>
        <v>3954405</v>
      </c>
      <c r="H38" s="267">
        <f t="shared" ref="H38" si="7">IF(H36="","",H36+H37)</f>
        <v>3851491</v>
      </c>
      <c r="I38" s="267">
        <f t="shared" ref="I38" si="8">IF(I36="","",I36+I37)</f>
        <v>4041830</v>
      </c>
      <c r="J38" s="267">
        <f t="shared" ref="J38" si="9">IF(J36="","",J36+J37)</f>
        <v>3419758</v>
      </c>
      <c r="K38" s="267">
        <f t="shared" ref="K38" si="10">IF(K36="","",K36+K37)</f>
        <v>2873386</v>
      </c>
      <c r="L38" s="267">
        <f t="shared" ref="L38" si="11">IF(L36="","",L36+L37)</f>
        <v>2825781</v>
      </c>
      <c r="M38" s="267" t="str">
        <f t="shared" ref="M38" si="12">IF(M36="","",M36+M37)</f>
        <v/>
      </c>
    </row>
    <row r="39" spans="2:13">
      <c r="B39" s="38" t="s">
        <v>51</v>
      </c>
      <c r="C39" s="270">
        <f t="shared" ref="C39:M39" si="13">IF(C$4="","",-C6)</f>
        <v>-2595134</v>
      </c>
      <c r="D39" s="270">
        <f t="shared" si="13"/>
        <v>-2677338</v>
      </c>
      <c r="E39" s="270">
        <f t="shared" si="13"/>
        <v>-2696408</v>
      </c>
      <c r="F39" s="270">
        <f t="shared" si="13"/>
        <v>-2917557</v>
      </c>
      <c r="G39" s="270">
        <f t="shared" si="13"/>
        <v>-2837533</v>
      </c>
      <c r="H39" s="270">
        <f t="shared" si="13"/>
        <v>-2829337</v>
      </c>
      <c r="I39" s="270">
        <f t="shared" si="13"/>
        <v>-2739795</v>
      </c>
      <c r="J39" s="270">
        <f t="shared" si="13"/>
        <v>-2288467</v>
      </c>
      <c r="K39" s="270">
        <f t="shared" si="13"/>
        <v>-1979312</v>
      </c>
      <c r="L39" s="270">
        <f t="shared" si="13"/>
        <v>-1965086</v>
      </c>
      <c r="M39" s="270" t="str">
        <f t="shared" si="13"/>
        <v/>
      </c>
    </row>
    <row r="40" spans="2:13">
      <c r="B40" s="66" t="s">
        <v>58</v>
      </c>
      <c r="C40" s="282">
        <f t="shared" ref="C40:M40" si="14">IF(C$4="","",-C7)</f>
        <v>-1900716</v>
      </c>
      <c r="D40" s="282">
        <f t="shared" si="14"/>
        <v>-1976349</v>
      </c>
      <c r="E40" s="282">
        <f t="shared" si="14"/>
        <v>-2024430</v>
      </c>
      <c r="F40" s="282">
        <f t="shared" si="14"/>
        <v>-2215199</v>
      </c>
      <c r="G40" s="282">
        <f t="shared" si="14"/>
        <v>-2114530</v>
      </c>
      <c r="H40" s="282">
        <f t="shared" si="14"/>
        <v>-2112457</v>
      </c>
      <c r="I40" s="282">
        <f t="shared" si="14"/>
        <v>-2104514</v>
      </c>
      <c r="J40" s="282">
        <f t="shared" si="14"/>
        <v>-1729371</v>
      </c>
      <c r="K40" s="282">
        <f t="shared" si="14"/>
        <v>-1491517</v>
      </c>
      <c r="L40" s="282">
        <f t="shared" si="14"/>
        <v>-1496807</v>
      </c>
      <c r="M40" s="282" t="str">
        <f t="shared" si="14"/>
        <v/>
      </c>
    </row>
    <row r="41" spans="2:13">
      <c r="B41" s="66" t="s">
        <v>61</v>
      </c>
      <c r="C41" s="282">
        <f>IF(C$4="","",C39-C40)</f>
        <v>-694418</v>
      </c>
      <c r="D41" s="282">
        <f t="shared" ref="D41:M41" si="15">IF(D$4="","",D39-D40)</f>
        <v>-700989</v>
      </c>
      <c r="E41" s="282">
        <f t="shared" si="15"/>
        <v>-671978</v>
      </c>
      <c r="F41" s="282">
        <f t="shared" si="15"/>
        <v>-702358</v>
      </c>
      <c r="G41" s="282">
        <f t="shared" si="15"/>
        <v>-723003</v>
      </c>
      <c r="H41" s="282">
        <f t="shared" si="15"/>
        <v>-716880</v>
      </c>
      <c r="I41" s="282">
        <f t="shared" si="15"/>
        <v>-635281</v>
      </c>
      <c r="J41" s="282">
        <f t="shared" si="15"/>
        <v>-559096</v>
      </c>
      <c r="K41" s="282">
        <f t="shared" si="15"/>
        <v>-487795</v>
      </c>
      <c r="L41" s="282">
        <f t="shared" si="15"/>
        <v>-468279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622412</v>
      </c>
      <c r="D43" s="271">
        <f t="shared" ref="D43:M43" si="17">IF(D$4="","",D38+D39+D42)</f>
        <v>434099</v>
      </c>
      <c r="E43" s="271">
        <f t="shared" si="17"/>
        <v>315388</v>
      </c>
      <c r="F43" s="271">
        <f t="shared" si="17"/>
        <v>153124</v>
      </c>
      <c r="G43" s="271">
        <f t="shared" si="17"/>
        <v>1116872</v>
      </c>
      <c r="H43" s="271">
        <f t="shared" si="17"/>
        <v>1022154</v>
      </c>
      <c r="I43" s="271">
        <f t="shared" si="17"/>
        <v>1302035</v>
      </c>
      <c r="J43" s="271">
        <f t="shared" si="17"/>
        <v>1131291</v>
      </c>
      <c r="K43" s="271">
        <f t="shared" si="17"/>
        <v>894074</v>
      </c>
      <c r="L43" s="271">
        <f t="shared" si="17"/>
        <v>860695</v>
      </c>
      <c r="M43" s="271" t="str">
        <f t="shared" si="17"/>
        <v/>
      </c>
    </row>
    <row r="44" spans="2:13">
      <c r="B44" s="41" t="s">
        <v>139</v>
      </c>
      <c r="C44" s="290">
        <f t="shared" ref="C44:M44" si="18">IF(C$4="","",C47-C46-C45-C43)</f>
        <v>-272306</v>
      </c>
      <c r="D44" s="290">
        <f t="shared" si="18"/>
        <v>-272403</v>
      </c>
      <c r="E44" s="290">
        <f t="shared" si="18"/>
        <v>-234048</v>
      </c>
      <c r="F44" s="290">
        <f t="shared" si="18"/>
        <v>-365975</v>
      </c>
      <c r="G44" s="290">
        <f t="shared" si="18"/>
        <v>-338443</v>
      </c>
      <c r="H44" s="290">
        <f t="shared" si="18"/>
        <v>-332154</v>
      </c>
      <c r="I44" s="290">
        <f t="shared" si="18"/>
        <v>-344111</v>
      </c>
      <c r="J44" s="290">
        <f t="shared" si="18"/>
        <v>-326857</v>
      </c>
      <c r="K44" s="290">
        <f t="shared" si="18"/>
        <v>-46667</v>
      </c>
      <c r="L44" s="290">
        <f t="shared" si="18"/>
        <v>-257343</v>
      </c>
      <c r="M44" s="290" t="str">
        <f t="shared" si="18"/>
        <v/>
      </c>
    </row>
    <row r="45" spans="2:13">
      <c r="B45" s="38" t="s">
        <v>65</v>
      </c>
      <c r="C45" s="285">
        <f t="shared" ref="C45:M45" si="19">IF(C$4="","",C51+C52)</f>
        <v>-33116</v>
      </c>
      <c r="D45" s="285">
        <f t="shared" si="19"/>
        <v>-30028</v>
      </c>
      <c r="E45" s="285">
        <f t="shared" si="19"/>
        <v>-32547</v>
      </c>
      <c r="F45" s="285">
        <f t="shared" si="19"/>
        <v>-23071</v>
      </c>
      <c r="G45" s="285">
        <f t="shared" si="19"/>
        <v>-11770</v>
      </c>
      <c r="H45" s="285">
        <f t="shared" si="19"/>
        <v>-10932</v>
      </c>
      <c r="I45" s="285">
        <f t="shared" si="19"/>
        <v>-2086</v>
      </c>
      <c r="J45" s="285">
        <f t="shared" si="19"/>
        <v>-1700</v>
      </c>
      <c r="K45" s="285">
        <f t="shared" si="19"/>
        <v>-3730</v>
      </c>
      <c r="L45" s="285">
        <f t="shared" si="19"/>
        <v>-4044</v>
      </c>
      <c r="M45" s="285" t="str">
        <f t="shared" si="19"/>
        <v/>
      </c>
    </row>
    <row r="46" spans="2:13">
      <c r="B46" s="38" t="s">
        <v>47</v>
      </c>
      <c r="C46" s="270">
        <f>IF(C$4="","",-C14)</f>
        <v>-76422</v>
      </c>
      <c r="D46" s="270">
        <f t="shared" ref="D46:M46" si="20">IF(D$4="","",-D14)</f>
        <v>-13880</v>
      </c>
      <c r="E46" s="270">
        <f t="shared" si="20"/>
        <v>-27736</v>
      </c>
      <c r="F46" s="270">
        <f t="shared" si="20"/>
        <v>74541</v>
      </c>
      <c r="G46" s="270">
        <f t="shared" si="20"/>
        <v>-177151</v>
      </c>
      <c r="H46" s="270">
        <f t="shared" si="20"/>
        <v>-109477</v>
      </c>
      <c r="I46" s="270">
        <f t="shared" si="20"/>
        <v>-208143</v>
      </c>
      <c r="J46" s="270">
        <f t="shared" si="20"/>
        <v>-160679</v>
      </c>
      <c r="K46" s="270">
        <f t="shared" si="20"/>
        <v>-190383</v>
      </c>
      <c r="L46" s="270">
        <f t="shared" si="20"/>
        <v>-34064</v>
      </c>
      <c r="M46" s="270" t="str">
        <f t="shared" si="20"/>
        <v/>
      </c>
    </row>
    <row r="47" spans="2:13">
      <c r="B47" s="41" t="s">
        <v>39</v>
      </c>
      <c r="C47" s="271">
        <f t="shared" ref="C47:M47" si="21">IF(C$4="","",C15)</f>
        <v>240568</v>
      </c>
      <c r="D47" s="271">
        <f t="shared" si="21"/>
        <v>117788</v>
      </c>
      <c r="E47" s="271">
        <f t="shared" si="21"/>
        <v>21057</v>
      </c>
      <c r="F47" s="271">
        <f t="shared" si="21"/>
        <v>-161381</v>
      </c>
      <c r="G47" s="271">
        <f t="shared" si="21"/>
        <v>589508</v>
      </c>
      <c r="H47" s="271">
        <f t="shared" si="21"/>
        <v>569591</v>
      </c>
      <c r="I47" s="271">
        <f t="shared" si="21"/>
        <v>747695</v>
      </c>
      <c r="J47" s="271">
        <f t="shared" si="21"/>
        <v>642055</v>
      </c>
      <c r="K47" s="271">
        <f t="shared" si="21"/>
        <v>653294</v>
      </c>
      <c r="L47" s="271">
        <f t="shared" si="21"/>
        <v>565244</v>
      </c>
      <c r="M47" s="271" t="str">
        <f t="shared" si="21"/>
        <v/>
      </c>
    </row>
    <row r="48" spans="2:13">
      <c r="B48" s="27" t="s">
        <v>41</v>
      </c>
      <c r="C48" s="270">
        <f t="shared" ref="C48:M48" si="22">IF(C$4="","",MIN(-C16,0))</f>
        <v>-5894</v>
      </c>
      <c r="D48" s="270">
        <f t="shared" si="22"/>
        <v>-1421</v>
      </c>
      <c r="E48" s="270">
        <f t="shared" si="22"/>
        <v>0</v>
      </c>
      <c r="F48" s="270">
        <f t="shared" si="22"/>
        <v>0</v>
      </c>
      <c r="G48" s="270">
        <f t="shared" si="22"/>
        <v>-41162</v>
      </c>
      <c r="H48" s="270">
        <f t="shared" si="22"/>
        <v>-33713</v>
      </c>
      <c r="I48" s="270">
        <f t="shared" si="22"/>
        <v>-51788</v>
      </c>
      <c r="J48" s="270">
        <f t="shared" si="22"/>
        <v>-56281</v>
      </c>
      <c r="K48" s="270">
        <f t="shared" si="22"/>
        <v>-34922</v>
      </c>
      <c r="L48" s="270">
        <f t="shared" si="22"/>
        <v>-34628</v>
      </c>
      <c r="M48" s="270" t="str">
        <f t="shared" si="22"/>
        <v/>
      </c>
    </row>
    <row r="50" spans="2:13">
      <c r="B50" s="16" t="s">
        <v>65</v>
      </c>
    </row>
    <row r="51" spans="2:13">
      <c r="B51" s="38" t="s">
        <v>37</v>
      </c>
      <c r="C51" s="270">
        <f t="shared" ref="C51:M51" si="23">IF(C$4="","",-C12)</f>
        <v>-33116</v>
      </c>
      <c r="D51" s="270">
        <f t="shared" si="23"/>
        <v>-30028</v>
      </c>
      <c r="E51" s="270">
        <f t="shared" si="23"/>
        <v>-32547</v>
      </c>
      <c r="F51" s="270">
        <f t="shared" si="23"/>
        <v>-23071</v>
      </c>
      <c r="G51" s="270">
        <f t="shared" si="23"/>
        <v>-11770</v>
      </c>
      <c r="H51" s="270">
        <f t="shared" si="23"/>
        <v>-10932</v>
      </c>
      <c r="I51" s="270">
        <f t="shared" si="23"/>
        <v>-2086</v>
      </c>
      <c r="J51" s="270">
        <f t="shared" si="23"/>
        <v>-1700</v>
      </c>
      <c r="K51" s="270">
        <f t="shared" si="23"/>
        <v>-3730</v>
      </c>
      <c r="L51" s="270">
        <f t="shared" si="23"/>
        <v>-4044</v>
      </c>
      <c r="M51" s="270" t="str">
        <f t="shared" si="23"/>
        <v/>
      </c>
    </row>
    <row r="52" spans="2:13">
      <c r="B52" s="38" t="s">
        <v>64</v>
      </c>
      <c r="C52" s="270">
        <f>IF(C$4="","",C13)</f>
        <v>0</v>
      </c>
      <c r="D52" s="270">
        <f t="shared" ref="D52:M52" si="24">IF(D$4="","",D13)</f>
        <v>0</v>
      </c>
      <c r="E52" s="270">
        <f t="shared" si="24"/>
        <v>0</v>
      </c>
      <c r="F52" s="270">
        <f t="shared" si="24"/>
        <v>0</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-272306</v>
      </c>
      <c r="D58" s="285">
        <f t="shared" ref="D58:M58" si="28">IF(D$4="","",D44-D55-D56-D57)</f>
        <v>-272403</v>
      </c>
      <c r="E58" s="285">
        <f t="shared" si="28"/>
        <v>-234048</v>
      </c>
      <c r="F58" s="285">
        <f t="shared" si="28"/>
        <v>-365975</v>
      </c>
      <c r="G58" s="285">
        <f t="shared" si="28"/>
        <v>-338443</v>
      </c>
      <c r="H58" s="285">
        <f t="shared" si="28"/>
        <v>-332154</v>
      </c>
      <c r="I58" s="285">
        <f t="shared" si="28"/>
        <v>-344111</v>
      </c>
      <c r="J58" s="285">
        <f t="shared" si="28"/>
        <v>-326857</v>
      </c>
      <c r="K58" s="285">
        <f t="shared" si="28"/>
        <v>-46667</v>
      </c>
      <c r="L58" s="285">
        <f t="shared" si="28"/>
        <v>-257343</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626674</v>
      </c>
      <c r="D64" s="270">
        <f t="shared" ref="D64:M64" si="32">IF(D$4="","",D22+D23+D24)</f>
        <v>92756</v>
      </c>
      <c r="E64" s="270">
        <f t="shared" si="32"/>
        <v>-53060</v>
      </c>
      <c r="F64" s="270">
        <f t="shared" si="32"/>
        <v>-360699</v>
      </c>
      <c r="G64" s="270">
        <f t="shared" si="32"/>
        <v>70660</v>
      </c>
      <c r="H64" s="270">
        <f t="shared" si="32"/>
        <v>-117795</v>
      </c>
      <c r="I64" s="270">
        <f t="shared" si="32"/>
        <v>38195</v>
      </c>
      <c r="J64" s="270">
        <f t="shared" si="32"/>
        <v>110847</v>
      </c>
      <c r="K64" s="270">
        <f t="shared" si="32"/>
        <v>591833</v>
      </c>
      <c r="L64" s="270">
        <f t="shared" si="32"/>
        <v>-55437</v>
      </c>
      <c r="M64" s="270" t="str">
        <f t="shared" si="32"/>
        <v/>
      </c>
    </row>
    <row r="65" spans="2:13">
      <c r="B65" s="23" t="s">
        <v>34</v>
      </c>
      <c r="C65" s="70">
        <f>IF(C$4="","",C25)</f>
        <v>0.14199999999999999</v>
      </c>
      <c r="D65" s="70">
        <f t="shared" ref="D65:M65" si="33">IF(D$4="","",D25)</f>
        <v>7.6999999999999999E-2</v>
      </c>
      <c r="E65" s="70">
        <f t="shared" si="33"/>
        <v>2.7E-2</v>
      </c>
      <c r="F65" s="70">
        <f t="shared" si="33"/>
        <v>0.32799999999999996</v>
      </c>
      <c r="G65" s="70">
        <f t="shared" si="33"/>
        <v>0.32199999999999995</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9.0816926092662786E-3</v>
      </c>
      <c r="D68" s="89">
        <f t="shared" si="34"/>
        <v>-1.946768415844724E-2</v>
      </c>
      <c r="E68" s="89">
        <f t="shared" si="34"/>
        <v>-2.4711688507455865E-2</v>
      </c>
      <c r="F68" s="89">
        <f t="shared" si="34"/>
        <v>-0.13545568994564627</v>
      </c>
      <c r="G68" s="89">
        <f t="shared" si="34"/>
        <v>3.9705551540578421E-2</v>
      </c>
      <c r="H68" s="89">
        <f t="shared" si="34"/>
        <v>-3.9042608810608392E-2</v>
      </c>
      <c r="I68" s="89">
        <f t="shared" si="34"/>
        <v>0.16427657097775938</v>
      </c>
      <c r="J68" s="89">
        <f t="shared" si="34"/>
        <v>0.19578567874378705</v>
      </c>
      <c r="K68" s="89">
        <f t="shared" si="34"/>
        <v>-2.6262730331140793E-2</v>
      </c>
      <c r="L68" s="89" t="str">
        <f t="shared" si="34"/>
        <v/>
      </c>
      <c r="M68" s="89" t="str">
        <f t="shared" si="34"/>
        <v/>
      </c>
    </row>
    <row r="69" spans="2:13">
      <c r="B69" s="30" t="s">
        <v>55</v>
      </c>
      <c r="C69" s="89">
        <f>IF(D$36="","",C38/D38-1)</f>
        <v>3.4102892007776386E-2</v>
      </c>
      <c r="D69" s="89">
        <f t="shared" ref="D69:M69" si="35">IF(E$36="","",D38/E38-1)</f>
        <v>3.3083582022155555E-2</v>
      </c>
      <c r="E69" s="89">
        <f t="shared" si="35"/>
        <v>-1.9176527942824428E-2</v>
      </c>
      <c r="F69" s="89">
        <f t="shared" si="35"/>
        <v>-0.22347837411696581</v>
      </c>
      <c r="G69" s="89">
        <f t="shared" si="35"/>
        <v>2.6720560946397187E-2</v>
      </c>
      <c r="H69" s="89">
        <f t="shared" si="35"/>
        <v>-4.7092282456214107E-2</v>
      </c>
      <c r="I69" s="89">
        <f t="shared" si="35"/>
        <v>0.18190526932022677</v>
      </c>
      <c r="J69" s="89">
        <f t="shared" si="35"/>
        <v>0.1901491828804065</v>
      </c>
      <c r="K69" s="89">
        <f t="shared" si="35"/>
        <v>1.6846670000258301E-2</v>
      </c>
      <c r="L69" s="89" t="str">
        <f t="shared" si="35"/>
        <v/>
      </c>
      <c r="M69" s="89" t="str">
        <f t="shared" si="35"/>
        <v/>
      </c>
    </row>
    <row r="70" spans="2:13">
      <c r="B70" s="77" t="str">
        <f>B43</f>
        <v>Operating EBIT</v>
      </c>
      <c r="C70" s="98">
        <f>IF(D$36="","",C43/D43-1)</f>
        <v>0.43380196683245065</v>
      </c>
      <c r="D70" s="98">
        <f t="shared" ref="D70:M70" si="36">IF(E$36="","",D43/E43-1)</f>
        <v>0.37639669232817985</v>
      </c>
      <c r="E70" s="98">
        <f t="shared" si="36"/>
        <v>1.0596901857318253</v>
      </c>
      <c r="F70" s="98">
        <f t="shared" si="36"/>
        <v>-0.86289924002034257</v>
      </c>
      <c r="G70" s="98">
        <f t="shared" si="36"/>
        <v>9.2665097431502419E-2</v>
      </c>
      <c r="H70" s="98">
        <f t="shared" si="36"/>
        <v>-0.2149565871885164</v>
      </c>
      <c r="I70" s="98">
        <f t="shared" si="36"/>
        <v>0.1509284525378527</v>
      </c>
      <c r="J70" s="98">
        <f t="shared" si="36"/>
        <v>0.26532143871760061</v>
      </c>
      <c r="K70" s="98">
        <f t="shared" si="36"/>
        <v>3.878144987481047E-2</v>
      </c>
      <c r="L70" s="98" t="str">
        <f t="shared" si="36"/>
        <v/>
      </c>
      <c r="M70" s="98" t="str">
        <f t="shared" si="36"/>
        <v/>
      </c>
    </row>
    <row r="71" spans="2:13">
      <c r="B71" s="41" t="s">
        <v>139</v>
      </c>
      <c r="C71" s="98">
        <f>IF(D$36="","",C44/D44-1)</f>
        <v>-3.5609005774528413E-4</v>
      </c>
      <c r="D71" s="98">
        <f t="shared" ref="D71:M71" si="37">IF(E$36="","",D44/E44-1)</f>
        <v>0.16387664068908947</v>
      </c>
      <c r="E71" s="98">
        <f t="shared" si="37"/>
        <v>-0.36048090716579007</v>
      </c>
      <c r="F71" s="98">
        <f t="shared" si="37"/>
        <v>8.1349001161199919E-2</v>
      </c>
      <c r="G71" s="98">
        <f t="shared" si="37"/>
        <v>1.8933988451140138E-2</v>
      </c>
      <c r="H71" s="98">
        <f t="shared" si="37"/>
        <v>-3.4747508798033233E-2</v>
      </c>
      <c r="I71" s="98">
        <f t="shared" si="37"/>
        <v>5.2787610484095415E-2</v>
      </c>
      <c r="J71" s="98">
        <f t="shared" si="37"/>
        <v>6.0040285426532671</v>
      </c>
      <c r="K71" s="98">
        <f t="shared" si="37"/>
        <v>-0.8186583664603273</v>
      </c>
      <c r="L71" s="98" t="str">
        <f t="shared" si="37"/>
        <v/>
      </c>
      <c r="M71" s="98" t="str">
        <f t="shared" si="37"/>
        <v/>
      </c>
    </row>
    <row r="72" spans="2:13">
      <c r="B72" s="77" t="str">
        <f>B47</f>
        <v>Reported Net Income</v>
      </c>
      <c r="C72" s="98">
        <f>IF(D$36="","",C47/D47-1)</f>
        <v>1.0423812272897068</v>
      </c>
      <c r="D72" s="98">
        <f t="shared" ref="D72:M72" si="38">IF(E$36="","",D47/E47-1)</f>
        <v>4.5937692928717295</v>
      </c>
      <c r="E72" s="98">
        <f t="shared" si="38"/>
        <v>-1.1304800441191962</v>
      </c>
      <c r="F72" s="98">
        <f t="shared" si="38"/>
        <v>-1.2737554028104792</v>
      </c>
      <c r="G72" s="98">
        <f t="shared" si="38"/>
        <v>3.4967195759764369E-2</v>
      </c>
      <c r="H72" s="98">
        <f t="shared" si="38"/>
        <v>-0.23820408054086228</v>
      </c>
      <c r="I72" s="98">
        <f t="shared" si="38"/>
        <v>0.16453419099609845</v>
      </c>
      <c r="J72" s="98">
        <f t="shared" si="38"/>
        <v>-1.7203586746548982E-2</v>
      </c>
      <c r="K72" s="98">
        <f t="shared" si="38"/>
        <v>0.15577343589671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5648700</v>
      </c>
      <c r="D76" s="285">
        <f t="shared" ref="D76:M76" si="39">IF(D$4="","",D79+D80)</f>
        <v>5636695</v>
      </c>
      <c r="E76" s="285">
        <f t="shared" si="39"/>
        <v>5849519</v>
      </c>
      <c r="F76" s="285">
        <f t="shared" si="39"/>
        <v>6807120</v>
      </c>
      <c r="G76" s="285">
        <f t="shared" si="39"/>
        <v>7276410</v>
      </c>
      <c r="H76" s="285">
        <f t="shared" si="39"/>
        <v>6410495</v>
      </c>
      <c r="I76" s="285">
        <f t="shared" si="39"/>
        <v>5878209</v>
      </c>
      <c r="J76" s="285">
        <f t="shared" si="39"/>
        <v>5182178</v>
      </c>
      <c r="K76" s="285">
        <f t="shared" si="39"/>
        <v>4486607</v>
      </c>
      <c r="L76" s="285">
        <f t="shared" si="39"/>
        <v>4184826</v>
      </c>
      <c r="M76" s="285" t="str">
        <f t="shared" si="39"/>
        <v/>
      </c>
    </row>
    <row r="77" spans="2:13">
      <c r="B77" s="90" t="s">
        <v>82</v>
      </c>
      <c r="C77" s="260">
        <f t="shared" ref="C77:H78" si="40">IF(C$4="","",C28)</f>
        <v>823619</v>
      </c>
      <c r="D77" s="282">
        <f t="shared" si="40"/>
        <v>715301</v>
      </c>
      <c r="E77" s="282">
        <f t="shared" si="40"/>
        <v>788957</v>
      </c>
      <c r="F77" s="282">
        <f t="shared" si="40"/>
        <v>804496</v>
      </c>
      <c r="G77" s="282">
        <f t="shared" si="40"/>
        <v>819987</v>
      </c>
      <c r="H77" s="282">
        <f t="shared" si="40"/>
        <v>707687</v>
      </c>
      <c r="I77" s="291"/>
      <c r="J77" s="291"/>
      <c r="K77" s="291"/>
      <c r="L77" s="291"/>
      <c r="M77" s="291"/>
    </row>
    <row r="78" spans="2:13">
      <c r="B78" s="90" t="s">
        <v>83</v>
      </c>
      <c r="C78" s="260">
        <f t="shared" si="40"/>
        <v>533268</v>
      </c>
      <c r="D78" s="282">
        <f t="shared" si="40"/>
        <v>554546</v>
      </c>
      <c r="E78" s="282">
        <f t="shared" si="40"/>
        <v>639615</v>
      </c>
      <c r="F78" s="282">
        <f t="shared" si="40"/>
        <v>773384</v>
      </c>
      <c r="G78" s="282">
        <f t="shared" si="40"/>
        <v>725526</v>
      </c>
      <c r="H78" s="282">
        <f t="shared" si="40"/>
        <v>593559</v>
      </c>
      <c r="I78" s="291"/>
      <c r="J78" s="291"/>
      <c r="K78" s="291"/>
      <c r="L78" s="291"/>
      <c r="M78" s="291"/>
    </row>
    <row r="79" spans="2:13">
      <c r="B79" s="25" t="s">
        <v>38</v>
      </c>
      <c r="C79" s="259">
        <f t="shared" ref="C79:M79" si="41">IF(C$4="","",C30)</f>
        <v>2466518</v>
      </c>
      <c r="D79" s="270">
        <f t="shared" si="41"/>
        <v>2524058</v>
      </c>
      <c r="E79" s="270">
        <f t="shared" si="41"/>
        <v>2748929</v>
      </c>
      <c r="F79" s="270">
        <f t="shared" si="41"/>
        <v>3238021</v>
      </c>
      <c r="G79" s="270">
        <f t="shared" si="41"/>
        <v>3319536</v>
      </c>
      <c r="H79" s="270">
        <f t="shared" si="41"/>
        <v>2992391</v>
      </c>
      <c r="I79" s="270">
        <f t="shared" si="41"/>
        <v>2408649</v>
      </c>
      <c r="J79" s="270">
        <f t="shared" si="41"/>
        <v>2013032</v>
      </c>
      <c r="K79" s="270">
        <f t="shared" si="41"/>
        <v>1796901</v>
      </c>
      <c r="L79" s="270">
        <f t="shared" si="41"/>
        <v>1772963</v>
      </c>
      <c r="M79" s="270" t="str">
        <f t="shared" si="41"/>
        <v/>
      </c>
    </row>
    <row r="80" spans="2:13">
      <c r="B80" s="25" t="s">
        <v>28</v>
      </c>
      <c r="C80" s="259">
        <f t="shared" ref="C80:M80" si="42">IF(C$4="","",C31)</f>
        <v>3182182</v>
      </c>
      <c r="D80" s="270">
        <f t="shared" si="42"/>
        <v>3112637</v>
      </c>
      <c r="E80" s="270">
        <f t="shared" si="42"/>
        <v>3100590</v>
      </c>
      <c r="F80" s="270">
        <f t="shared" si="42"/>
        <v>3569099</v>
      </c>
      <c r="G80" s="270">
        <f t="shared" si="42"/>
        <v>3956874</v>
      </c>
      <c r="H80" s="270">
        <f t="shared" si="42"/>
        <v>3418104</v>
      </c>
      <c r="I80" s="270">
        <f t="shared" si="42"/>
        <v>3469560</v>
      </c>
      <c r="J80" s="270">
        <f t="shared" si="42"/>
        <v>3169146</v>
      </c>
      <c r="K80" s="270">
        <f t="shared" si="42"/>
        <v>2689706</v>
      </c>
      <c r="L80" s="270">
        <f t="shared" si="42"/>
        <v>2411863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823619</v>
      </c>
      <c r="D4" s="231">
        <v>0.6</v>
      </c>
      <c r="E4" s="24"/>
      <c r="F4" s="4" t="s">
        <v>74</v>
      </c>
      <c r="G4" s="18">
        <v>1268475</v>
      </c>
      <c r="H4" s="231">
        <v>0.9</v>
      </c>
    </row>
    <row r="5" spans="2:8" ht="15" customHeight="1">
      <c r="B5" s="1" t="s">
        <v>31</v>
      </c>
      <c r="C5" s="18">
        <v>0</v>
      </c>
      <c r="D5" s="231">
        <v>0.6</v>
      </c>
      <c r="E5" s="24"/>
      <c r="F5" s="1" t="s">
        <v>27</v>
      </c>
      <c r="G5" s="18">
        <v>0</v>
      </c>
      <c r="H5" s="231">
        <v>0.7</v>
      </c>
    </row>
    <row r="6" spans="2:8" ht="15" customHeight="1">
      <c r="B6" s="4" t="s">
        <v>8</v>
      </c>
      <c r="C6" s="18">
        <v>533268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172</v>
      </c>
      <c r="D10" s="231">
        <v>0.9</v>
      </c>
      <c r="F10" s="1" t="s">
        <v>402</v>
      </c>
      <c r="G10" s="18">
        <v>0</v>
      </c>
      <c r="H10" s="231">
        <v>0.6</v>
      </c>
    </row>
    <row r="11" spans="2:8" ht="15" customHeight="1">
      <c r="B11" s="4" t="s">
        <v>10</v>
      </c>
      <c r="C11" s="18">
        <v>0</v>
      </c>
      <c r="D11" s="231">
        <v>0.05</v>
      </c>
      <c r="H11" s="232"/>
    </row>
    <row r="12" spans="2:8" ht="15" customHeight="1">
      <c r="B12" s="77" t="s">
        <v>69</v>
      </c>
      <c r="C12" s="78">
        <f>SUM(C4:C11)</f>
        <v>1357059</v>
      </c>
      <c r="D12" s="19">
        <f>C4*D4+C5*D5+C9*D9+C6*D6+C8*D8+C7*D7+C10*D10+C11*D11</f>
        <v>760960.2</v>
      </c>
      <c r="F12" s="77" t="s">
        <v>67</v>
      </c>
      <c r="G12" s="78">
        <f>SUM(G4:G10)</f>
        <v>1268475</v>
      </c>
      <c r="H12" s="19">
        <f>G4*H4+G5*H5+G6*H6+G7*H7+G8*H8+G9*H9+G10*H10</f>
        <v>1141627.5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18178</v>
      </c>
      <c r="D15" s="231">
        <v>0.4</v>
      </c>
      <c r="F15" s="4" t="s">
        <v>75</v>
      </c>
      <c r="G15" s="18">
        <v>819</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2778019+63</f>
        <v>2778082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v>
      </c>
      <c r="D21" s="231">
        <v>0.05</v>
      </c>
      <c r="F21" s="1" t="s">
        <v>150</v>
      </c>
      <c r="G21" s="18">
        <v>0</v>
      </c>
      <c r="H21" s="231">
        <v>0.1</v>
      </c>
    </row>
    <row r="22" spans="2:8" ht="15" customHeight="1">
      <c r="B22" s="4" t="s">
        <v>18</v>
      </c>
      <c r="C22" s="18">
        <v>226078</v>
      </c>
      <c r="D22" s="231">
        <v>0.9</v>
      </c>
      <c r="H22" s="232"/>
    </row>
    <row r="23" spans="2:8" ht="15" customHeight="1">
      <c r="B23" s="4" t="s">
        <v>19</v>
      </c>
      <c r="C23" s="18">
        <v>0</v>
      </c>
      <c r="D23" s="231">
        <v>0</v>
      </c>
      <c r="H23" s="232"/>
    </row>
    <row r="24" spans="2:8" ht="15" customHeight="1">
      <c r="B24" s="77" t="s">
        <v>70</v>
      </c>
      <c r="C24" s="78">
        <f>SUM(C15:C23)</f>
        <v>3022347</v>
      </c>
      <c r="D24" s="19">
        <f>C15*D15+C16*D16+C18*D18+C17*D17+C19*D19+C20*D20+C21*D21+C22*D22+C23*D23</f>
        <v>488550.05000000005</v>
      </c>
      <c r="F24" s="77" t="s">
        <v>68</v>
      </c>
      <c r="G24" s="78">
        <f>SUM(G15:G21)</f>
        <v>819</v>
      </c>
      <c r="H24" s="19">
        <f>G15*H15+G16*H16+G17*H17+G18*H18+G19*H19+G20*H20+G21*H21</f>
        <v>655.20000000000005</v>
      </c>
    </row>
    <row r="26" spans="2:8" ht="15" customHeight="1">
      <c r="B26" s="16" t="s">
        <v>169</v>
      </c>
      <c r="C26" s="164" t="s">
        <v>113</v>
      </c>
      <c r="F26" s="166" t="s">
        <v>165</v>
      </c>
      <c r="G26" s="167" t="s">
        <v>113</v>
      </c>
      <c r="H26" s="168" t="s">
        <v>33</v>
      </c>
    </row>
    <row r="27" spans="2:8" ht="15" customHeight="1">
      <c r="B27" s="4" t="s">
        <v>3</v>
      </c>
      <c r="C27" s="18">
        <v>228916</v>
      </c>
      <c r="F27" s="169" t="s">
        <v>28</v>
      </c>
      <c r="G27" s="82">
        <f>G32-G30</f>
        <v>3182182</v>
      </c>
      <c r="H27" s="170">
        <f>H32-G30</f>
        <v>-74725.049999999814</v>
      </c>
    </row>
    <row r="28" spans="2:8" ht="15" customHeight="1">
      <c r="B28" s="4" t="s">
        <v>4</v>
      </c>
      <c r="C28" s="18">
        <v>109921</v>
      </c>
      <c r="F28" s="171" t="s">
        <v>209</v>
      </c>
      <c r="G28" s="287">
        <v>99024</v>
      </c>
      <c r="H28" s="170"/>
    </row>
    <row r="29" spans="2:8" ht="15" customHeight="1">
      <c r="B29" s="4" t="s">
        <v>5</v>
      </c>
      <c r="C29" s="18">
        <v>0</v>
      </c>
      <c r="F29" s="172" t="s">
        <v>72</v>
      </c>
      <c r="G29" s="14">
        <f>G27-G28</f>
        <v>3083158</v>
      </c>
      <c r="H29" s="170">
        <f>H27-G28</f>
        <v>-173749.04999999981</v>
      </c>
    </row>
    <row r="30" spans="2:8" ht="15" customHeight="1">
      <c r="B30" s="2" t="s">
        <v>6</v>
      </c>
      <c r="C30" s="18">
        <v>0</v>
      </c>
      <c r="F30" s="169" t="s">
        <v>21</v>
      </c>
      <c r="G30" s="82">
        <f>C33+C42</f>
        <v>2466518</v>
      </c>
      <c r="H30" s="170"/>
    </row>
    <row r="31" spans="2:8" ht="15" customHeight="1">
      <c r="B31" s="77" t="s">
        <v>172</v>
      </c>
      <c r="C31" s="78">
        <f>SUM(C27:C30)</f>
        <v>338837</v>
      </c>
      <c r="F31" s="172" t="s">
        <v>73</v>
      </c>
      <c r="G31" s="173">
        <f>C31+C40</f>
        <v>563558</v>
      </c>
      <c r="H31" s="170"/>
    </row>
    <row r="32" spans="2:8" ht="15" customHeight="1">
      <c r="B32" s="4" t="s">
        <v>7</v>
      </c>
      <c r="C32" s="20">
        <f>C33-C31</f>
        <v>1803148</v>
      </c>
      <c r="F32" s="174" t="s">
        <v>71</v>
      </c>
      <c r="G32" s="175">
        <f>G35+G40</f>
        <v>5648700</v>
      </c>
      <c r="H32" s="170">
        <f>H35+H40</f>
        <v>2391792.9500000002</v>
      </c>
    </row>
    <row r="33" spans="2:8" ht="15" customHeight="1">
      <c r="B33" s="80" t="s">
        <v>2</v>
      </c>
      <c r="C33" s="81">
        <v>2141985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4379406</v>
      </c>
      <c r="H35" s="182">
        <f>D12+D24</f>
        <v>1249510.25</v>
      </c>
    </row>
    <row r="36" spans="2:8" ht="15" customHeight="1">
      <c r="B36" s="4" t="s">
        <v>11</v>
      </c>
      <c r="C36" s="18">
        <v>36482</v>
      </c>
      <c r="F36" s="172" t="s">
        <v>166</v>
      </c>
      <c r="G36" s="173">
        <f>C4+C15</f>
        <v>841797</v>
      </c>
      <c r="H36" s="177"/>
    </row>
    <row r="37" spans="2:8" ht="15" customHeight="1">
      <c r="B37" s="4" t="s">
        <v>12</v>
      </c>
      <c r="C37" s="18">
        <v>188239</v>
      </c>
      <c r="F37" s="172" t="s">
        <v>167</v>
      </c>
      <c r="G37" s="173">
        <f>C6</f>
        <v>533268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2778082</v>
      </c>
      <c r="H39" s="170">
        <f>C7*D7+C17*D17+C19*D19+C20*D20</f>
        <v>277808.2</v>
      </c>
    </row>
    <row r="40" spans="2:8" ht="15" customHeight="1">
      <c r="B40" s="77" t="s">
        <v>173</v>
      </c>
      <c r="C40" s="78">
        <f>SUM(C36:C39)</f>
        <v>224721</v>
      </c>
      <c r="F40" s="181" t="s">
        <v>115</v>
      </c>
      <c r="G40" s="175">
        <f>G12+G24</f>
        <v>1269294</v>
      </c>
      <c r="H40" s="182">
        <f>H12+H24</f>
        <v>1142282.7</v>
      </c>
    </row>
    <row r="41" spans="2:8" ht="15" customHeight="1">
      <c r="B41" s="4" t="s">
        <v>15</v>
      </c>
      <c r="C41" s="20">
        <f>C42-C40</f>
        <v>99812</v>
      </c>
      <c r="F41" s="172" t="s">
        <v>160</v>
      </c>
      <c r="G41" s="173">
        <f>C70</f>
        <v>1269294</v>
      </c>
      <c r="H41" s="182">
        <f>H40-H42</f>
        <v>1142282.7</v>
      </c>
    </row>
    <row r="42" spans="2:8" ht="15" customHeight="1">
      <c r="B42" s="80" t="s">
        <v>20</v>
      </c>
      <c r="C42" s="81">
        <v>324533</v>
      </c>
      <c r="F42" s="183" t="s">
        <v>161</v>
      </c>
      <c r="G42" s="184">
        <f>C82</f>
        <v>0</v>
      </c>
      <c r="H42" s="185">
        <f>D82</f>
        <v>0</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3083158</v>
      </c>
      <c r="D46" s="73">
        <f>H29</f>
        <v>-173749.04999999981</v>
      </c>
      <c r="F46" s="223"/>
    </row>
    <row r="47" spans="2:8" ht="15" customHeight="1">
      <c r="B47" s="1" t="str">
        <f>"Equity per share ("&amp;Market_currency&amp;")"</f>
        <v>Equity per share (HKD)</v>
      </c>
      <c r="C47" s="134">
        <f>C46*H1/Common_Shares*Exchange_Rate</f>
        <v>2.9545491663816952</v>
      </c>
      <c r="D47" s="134">
        <f>D46*H1/Common_Shares*Exchange_Rate</f>
        <v>-0.16650139591844174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0.82178780749892033</v>
      </c>
      <c r="D50" s="92">
        <f>G31/Normalized_FCF!G8</f>
        <v>0.90544205445910431</v>
      </c>
      <c r="F50" s="223"/>
    </row>
    <row r="51" spans="2:8" ht="15" customHeight="1">
      <c r="B51" s="1" t="s">
        <v>146</v>
      </c>
      <c r="C51" s="163"/>
      <c r="D51" s="89">
        <f>G29/G32</f>
        <v>0.5458172676899109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0.15658988913108313</v>
      </c>
      <c r="D54" s="89">
        <f>Normalized_FCF!G8/G35</f>
        <v>0.14212247049029023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0.49180908881689595</v>
      </c>
      <c r="F59" s="223"/>
    </row>
    <row r="60" spans="2:8" ht="15" customHeight="1">
      <c r="F60" s="223"/>
    </row>
    <row r="61" spans="2:8" ht="15" customHeight="1">
      <c r="B61" s="143" t="s">
        <v>231</v>
      </c>
      <c r="C61" s="210" t="s">
        <v>114</v>
      </c>
      <c r="D61" s="179" t="s">
        <v>91</v>
      </c>
      <c r="F61" s="223"/>
    </row>
    <row r="62" spans="2:8" ht="15" customHeight="1">
      <c r="B62" s="1" t="s">
        <v>210</v>
      </c>
      <c r="C62" s="89">
        <f>IF(G28&lt;=0,0,G28/G29)</f>
        <v>3.2117718261600606E-2</v>
      </c>
      <c r="D62" s="89">
        <f>G28/G29</f>
        <v>3.2117718261600606E-2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1269294</v>
      </c>
      <c r="D66" s="73">
        <f>C66-D75</f>
        <v>791294.38078016671</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1269294</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-483279.51088649995</v>
      </c>
      <c r="D73" s="285">
        <f>(Normalized_FCF!C26+Normalized_FCF!C35-Normalized_FCF!C89)/12</f>
        <v>-477999.61921983329</v>
      </c>
      <c r="F73" s="1" t="s">
        <v>278</v>
      </c>
    </row>
    <row r="74" spans="2:6" ht="15" customHeight="1">
      <c r="B74" s="227" t="s">
        <v>259</v>
      </c>
      <c r="C74" s="228">
        <f>-$C$66/C73</f>
        <v>2.6264179867085211</v>
      </c>
      <c r="D74" s="228">
        <f>-$C$66/D73</f>
        <v>2.655428893587148</v>
      </c>
      <c r="F74" s="223" t="s">
        <v>257</v>
      </c>
    </row>
    <row r="75" spans="2:6" ht="15" customHeight="1">
      <c r="B75" s="77" t="s">
        <v>258</v>
      </c>
      <c r="C75" s="261"/>
      <c r="D75" s="262">
        <f>MAX(-D73*D76,G5)</f>
        <v>477999.61921983329</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0</v>
      </c>
      <c r="D82" s="78">
        <f>SUM(D79:D81)</f>
        <v>0</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-563558</v>
      </c>
      <c r="D86" s="201">
        <f>C86*scaling_factor/Common_Shares</f>
        <v>-0.54005011066826136</v>
      </c>
      <c r="E86" s="214" t="str">
        <f>Market_currency</f>
        <v>HKD</v>
      </c>
    </row>
    <row r="87" spans="2:8" ht="15" customHeight="1">
      <c r="B87" s="212" t="s">
        <v>240</v>
      </c>
      <c r="C87" s="73">
        <f>DCF!F5*Exchange_Rate</f>
        <v>791294.38078016671</v>
      </c>
      <c r="D87" s="201">
        <f>C87*scaling_factor/Common_Shares</f>
        <v>0.75828684520759604</v>
      </c>
      <c r="E87" s="214" t="str">
        <f>Market_currency</f>
        <v>HKD</v>
      </c>
    </row>
    <row r="88" spans="2:8" ht="15" customHeight="1">
      <c r="B88" s="213" t="s">
        <v>159</v>
      </c>
      <c r="C88" s="73">
        <f>DCF!F6*Exchange_Rate</f>
        <v>0</v>
      </c>
      <c r="D88" s="201">
        <f>C88*scaling_factor/Common_Shares</f>
        <v>0</v>
      </c>
      <c r="E88" s="214" t="str">
        <f>Market_currency</f>
        <v>HKD</v>
      </c>
    </row>
    <row r="89" spans="2:8" ht="15" customHeight="1">
      <c r="B89" s="77" t="s">
        <v>244</v>
      </c>
      <c r="C89" s="162">
        <f>SUM(C86:C88)</f>
        <v>227736.38078016671</v>
      </c>
      <c r="D89" s="216">
        <f>SUM(D86:D88)</f>
        <v>0.21823673453933468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6273585</v>
      </c>
      <c r="D4" s="54"/>
      <c r="E4" s="235"/>
      <c r="F4" s="54"/>
      <c r="G4" s="270">
        <f>Data!C36</f>
        <v>6273585</v>
      </c>
      <c r="H4" s="270">
        <f>Data!D36</f>
        <v>6217123</v>
      </c>
      <c r="I4" s="270">
        <f>Data!E36</f>
        <v>6340559</v>
      </c>
      <c r="J4" s="270">
        <f>Data!F36</f>
        <v>6501215</v>
      </c>
      <c r="K4" s="270">
        <f>Data!G36</f>
        <v>7519817</v>
      </c>
      <c r="L4" s="270">
        <f>Data!H36</f>
        <v>7232641</v>
      </c>
      <c r="M4" s="270">
        <f>Data!I36</f>
        <v>7526495</v>
      </c>
      <c r="N4" s="270">
        <f>Data!J36</f>
        <v>6464525</v>
      </c>
      <c r="O4" s="270">
        <f>Data!K36</f>
        <v>5406090</v>
      </c>
      <c r="P4" s="270">
        <f>Data!L36</f>
        <v>5551898</v>
      </c>
      <c r="Q4" s="270" t="str">
        <f>Data!M36</f>
        <v/>
      </c>
    </row>
    <row r="5" spans="1:17" ht="15.75" customHeight="1">
      <c r="A5" s="10"/>
      <c r="B5" s="2" t="s">
        <v>43</v>
      </c>
      <c r="C5" s="266">
        <f>C26</f>
        <v>-4893396.3</v>
      </c>
      <c r="E5" s="237"/>
      <c r="G5" s="270">
        <f t="shared" ref="G5:Q5" si="1">G26</f>
        <v>-4956755</v>
      </c>
      <c r="H5" s="270">
        <f t="shared" si="1"/>
        <v>-5082035</v>
      </c>
      <c r="I5" s="270">
        <f t="shared" si="1"/>
        <v>-5353193</v>
      </c>
      <c r="J5" s="270">
        <f t="shared" si="1"/>
        <v>-5645733</v>
      </c>
      <c r="K5" s="270">
        <f t="shared" si="1"/>
        <v>-5679942</v>
      </c>
      <c r="L5" s="270">
        <f t="shared" si="1"/>
        <v>-5493607</v>
      </c>
      <c r="M5" s="270">
        <f t="shared" si="1"/>
        <v>-5589179</v>
      </c>
      <c r="N5" s="270">
        <f t="shared" si="1"/>
        <v>-4774138</v>
      </c>
      <c r="O5" s="270">
        <f t="shared" si="1"/>
        <v>-4024221</v>
      </c>
      <c r="P5" s="270">
        <f t="shared" si="1"/>
        <v>-4222924</v>
      </c>
      <c r="Q5" s="270" t="str">
        <f t="shared" si="1"/>
        <v/>
      </c>
    </row>
    <row r="6" spans="1:17" ht="15.75" customHeight="1">
      <c r="A6" s="10"/>
      <c r="B6" s="30" t="s">
        <v>45</v>
      </c>
      <c r="C6" s="267">
        <f>C4+C5</f>
        <v>1380188.7000000002</v>
      </c>
      <c r="E6" s="237"/>
      <c r="G6" s="267">
        <f>IF(G4="","",G4+G5)</f>
        <v>1316830</v>
      </c>
      <c r="H6" s="267">
        <f t="shared" ref="H6:Q6" si="2">IF(H4="","",H4+H5)</f>
        <v>1135088</v>
      </c>
      <c r="I6" s="267">
        <f t="shared" si="2"/>
        <v>987366</v>
      </c>
      <c r="J6" s="267">
        <f t="shared" si="2"/>
        <v>855482</v>
      </c>
      <c r="K6" s="267">
        <f t="shared" si="2"/>
        <v>1839875</v>
      </c>
      <c r="L6" s="267">
        <f t="shared" si="2"/>
        <v>1739034</v>
      </c>
      <c r="M6" s="267">
        <f t="shared" si="2"/>
        <v>1937316</v>
      </c>
      <c r="N6" s="267">
        <f t="shared" si="2"/>
        <v>1690387</v>
      </c>
      <c r="O6" s="267">
        <f t="shared" si="2"/>
        <v>1381869</v>
      </c>
      <c r="P6" s="267">
        <f t="shared" si="2"/>
        <v>1328974</v>
      </c>
      <c r="Q6" s="267" t="str">
        <f t="shared" si="2"/>
        <v/>
      </c>
    </row>
    <row r="7" spans="1:17" ht="15.75" customHeight="1">
      <c r="A7" s="10"/>
      <c r="B7" s="8" t="s">
        <v>42</v>
      </c>
      <c r="C7" s="266">
        <f>C35</f>
        <v>-694418</v>
      </c>
      <c r="E7" s="237"/>
      <c r="G7" s="266">
        <f t="shared" ref="G7:Q7" si="3">G35</f>
        <v>-694418</v>
      </c>
      <c r="H7" s="266">
        <f t="shared" si="3"/>
        <v>-700989</v>
      </c>
      <c r="I7" s="266">
        <f t="shared" si="3"/>
        <v>-671978</v>
      </c>
      <c r="J7" s="266">
        <f t="shared" si="3"/>
        <v>-702358</v>
      </c>
      <c r="K7" s="266">
        <f t="shared" si="3"/>
        <v>-723003</v>
      </c>
      <c r="L7" s="266">
        <f t="shared" si="3"/>
        <v>-716880</v>
      </c>
      <c r="M7" s="266">
        <f t="shared" si="3"/>
        <v>-635281</v>
      </c>
      <c r="N7" s="266">
        <f t="shared" si="3"/>
        <v>-559096</v>
      </c>
      <c r="O7" s="266">
        <f t="shared" si="3"/>
        <v>-487795</v>
      </c>
      <c r="P7" s="266">
        <f t="shared" si="3"/>
        <v>-468279</v>
      </c>
      <c r="Q7" s="266" t="str">
        <f t="shared" si="3"/>
        <v/>
      </c>
    </row>
    <row r="8" spans="1:17" ht="15.75" customHeight="1">
      <c r="A8" s="10"/>
      <c r="B8" s="28" t="s">
        <v>127</v>
      </c>
      <c r="C8" s="268">
        <f>C6+C7</f>
        <v>685770.70000000019</v>
      </c>
      <c r="D8" s="56"/>
      <c r="E8" s="241"/>
      <c r="F8" s="56"/>
      <c r="G8" s="267">
        <f>IF(G$4="","",G6+G7)</f>
        <v>622412</v>
      </c>
      <c r="H8" s="267">
        <f t="shared" ref="H8:Q8" si="4">IF(H$4="","",H6+H7)</f>
        <v>434099</v>
      </c>
      <c r="I8" s="267">
        <f t="shared" si="4"/>
        <v>315388</v>
      </c>
      <c r="J8" s="267">
        <f t="shared" si="4"/>
        <v>153124</v>
      </c>
      <c r="K8" s="267">
        <f t="shared" si="4"/>
        <v>1116872</v>
      </c>
      <c r="L8" s="267">
        <f t="shared" si="4"/>
        <v>1022154</v>
      </c>
      <c r="M8" s="267">
        <f t="shared" si="4"/>
        <v>1302035</v>
      </c>
      <c r="N8" s="267">
        <f t="shared" si="4"/>
        <v>1131291</v>
      </c>
      <c r="O8" s="267">
        <f t="shared" si="4"/>
        <v>894074</v>
      </c>
      <c r="P8" s="267">
        <f t="shared" si="4"/>
        <v>860695</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-30945.482284680995</v>
      </c>
      <c r="E10" s="237"/>
      <c r="G10" s="266">
        <f>G48</f>
        <v>-33116</v>
      </c>
      <c r="H10" s="266">
        <f t="shared" ref="H10:Q10" si="6">H48</f>
        <v>-30028</v>
      </c>
      <c r="I10" s="266">
        <f t="shared" si="6"/>
        <v>-32547</v>
      </c>
      <c r="J10" s="266">
        <f t="shared" si="6"/>
        <v>-23071</v>
      </c>
      <c r="K10" s="266">
        <f t="shared" si="6"/>
        <v>-11770</v>
      </c>
      <c r="L10" s="266">
        <f t="shared" si="6"/>
        <v>-10932</v>
      </c>
      <c r="M10" s="266">
        <f t="shared" si="6"/>
        <v>-2086</v>
      </c>
      <c r="N10" s="266">
        <f t="shared" si="6"/>
        <v>-1700</v>
      </c>
      <c r="O10" s="266">
        <f t="shared" si="6"/>
        <v>-3730</v>
      </c>
      <c r="P10" s="266">
        <f t="shared" si="6"/>
        <v>-4044</v>
      </c>
      <c r="Q10" s="266" t="str">
        <f t="shared" si="6"/>
        <v/>
      </c>
    </row>
    <row r="11" spans="1:17" ht="15.75" customHeight="1">
      <c r="A11" s="10"/>
      <c r="B11" s="67" t="s">
        <v>137</v>
      </c>
      <c r="C11" s="267">
        <f>SUM(C8:C10)</f>
        <v>654825.21771531925</v>
      </c>
      <c r="E11" s="237"/>
      <c r="G11" s="267">
        <f t="shared" ref="G11:Q11" si="7">IF(G$4="","",SUM(G8:G10))</f>
        <v>589296</v>
      </c>
      <c r="H11" s="267">
        <f t="shared" si="7"/>
        <v>404071</v>
      </c>
      <c r="I11" s="267">
        <f t="shared" si="7"/>
        <v>282841</v>
      </c>
      <c r="J11" s="267">
        <f t="shared" si="7"/>
        <v>130053</v>
      </c>
      <c r="K11" s="267">
        <f t="shared" si="7"/>
        <v>1105102</v>
      </c>
      <c r="L11" s="267">
        <f t="shared" si="7"/>
        <v>1011222</v>
      </c>
      <c r="M11" s="267">
        <f t="shared" si="7"/>
        <v>1299949</v>
      </c>
      <c r="N11" s="267">
        <f t="shared" si="7"/>
        <v>1129591</v>
      </c>
      <c r="O11" s="267">
        <f t="shared" si="7"/>
        <v>890344</v>
      </c>
      <c r="P11" s="267">
        <f t="shared" si="7"/>
        <v>856651</v>
      </c>
      <c r="Q11" s="267" t="str">
        <f t="shared" si="7"/>
        <v/>
      </c>
    </row>
    <row r="12" spans="1:17" ht="15.75" customHeight="1">
      <c r="A12" s="10"/>
      <c r="B12" s="2" t="s">
        <v>60</v>
      </c>
      <c r="C12" s="266">
        <f>-C11*C41</f>
        <v>-141442.24702650897</v>
      </c>
      <c r="E12" s="237"/>
      <c r="G12" s="266">
        <f>Data!C46</f>
        <v>-76422</v>
      </c>
      <c r="H12" s="266">
        <f>Data!D46</f>
        <v>-13880</v>
      </c>
      <c r="I12" s="266">
        <f>Data!E46</f>
        <v>-27736</v>
      </c>
      <c r="J12" s="266">
        <f>Data!F46</f>
        <v>74541</v>
      </c>
      <c r="K12" s="266">
        <f>Data!G46</f>
        <v>-177151</v>
      </c>
      <c r="L12" s="266">
        <f>Data!H46</f>
        <v>-109477</v>
      </c>
      <c r="M12" s="266">
        <f>Data!I46</f>
        <v>-208143</v>
      </c>
      <c r="N12" s="266">
        <f>Data!J46</f>
        <v>-160679</v>
      </c>
      <c r="O12" s="266">
        <f>Data!K46</f>
        <v>-190383</v>
      </c>
      <c r="P12" s="266">
        <f>Data!L46</f>
        <v>-34064</v>
      </c>
      <c r="Q12" s="266" t="str">
        <f>Data!M46</f>
        <v/>
      </c>
    </row>
    <row r="13" spans="1:17" ht="15.75" customHeight="1">
      <c r="A13" s="10"/>
      <c r="B13" s="38" t="s">
        <v>208</v>
      </c>
      <c r="C13" s="266">
        <f>-C4*C79</f>
        <v>-34340.371018337282</v>
      </c>
      <c r="D13" s="57"/>
      <c r="E13" s="242"/>
      <c r="F13" s="57"/>
      <c r="G13" s="270">
        <f>Data!C48</f>
        <v>-5894</v>
      </c>
      <c r="H13" s="270">
        <f>Data!D48</f>
        <v>-1421</v>
      </c>
      <c r="I13" s="270">
        <f>Data!E48</f>
        <v>0</v>
      </c>
      <c r="J13" s="270">
        <f>Data!F48</f>
        <v>0</v>
      </c>
      <c r="K13" s="270">
        <f>Data!G48</f>
        <v>-41162</v>
      </c>
      <c r="L13" s="270">
        <f>Data!H48</f>
        <v>-33713</v>
      </c>
      <c r="M13" s="270">
        <f>Data!I48</f>
        <v>-51788</v>
      </c>
      <c r="N13" s="270">
        <f>Data!J48</f>
        <v>-56281</v>
      </c>
      <c r="O13" s="270">
        <f>Data!K48</f>
        <v>-34922</v>
      </c>
      <c r="P13" s="270">
        <f>Data!L48</f>
        <v>-34628</v>
      </c>
      <c r="Q13" s="270" t="str">
        <f>Data!M48</f>
        <v/>
      </c>
    </row>
    <row r="14" spans="1:17" ht="15.75" customHeight="1">
      <c r="A14" s="10"/>
      <c r="B14" s="39" t="s">
        <v>129</v>
      </c>
      <c r="C14" s="269">
        <f>SUM(C11:C13)</f>
        <v>479042.59967047302</v>
      </c>
      <c r="D14" s="58"/>
      <c r="E14" s="243"/>
      <c r="F14" s="58"/>
      <c r="G14" s="267">
        <f t="shared" ref="G14:Q14" si="8">IF(G$4="","",SUM(G11:G13))</f>
        <v>506980</v>
      </c>
      <c r="H14" s="267">
        <f t="shared" si="8"/>
        <v>388770</v>
      </c>
      <c r="I14" s="267">
        <f t="shared" si="8"/>
        <v>255105</v>
      </c>
      <c r="J14" s="267">
        <f t="shared" si="8"/>
        <v>204594</v>
      </c>
      <c r="K14" s="267">
        <f t="shared" si="8"/>
        <v>886789</v>
      </c>
      <c r="L14" s="267">
        <f t="shared" si="8"/>
        <v>868032</v>
      </c>
      <c r="M14" s="267">
        <f t="shared" si="8"/>
        <v>1040018</v>
      </c>
      <c r="N14" s="267">
        <f t="shared" si="8"/>
        <v>912631</v>
      </c>
      <c r="O14" s="267">
        <f t="shared" si="8"/>
        <v>665039</v>
      </c>
      <c r="P14" s="267">
        <f t="shared" si="8"/>
        <v>787959</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479042.59967047302</v>
      </c>
      <c r="D19" s="26"/>
      <c r="E19" s="234"/>
      <c r="F19" s="26"/>
      <c r="G19" s="271">
        <f t="shared" ref="G19:Q19" si="9">IF(G$4="","",G14+G17)</f>
        <v>506980</v>
      </c>
      <c r="H19" s="271">
        <f t="shared" si="9"/>
        <v>388770</v>
      </c>
      <c r="I19" s="271">
        <f t="shared" si="9"/>
        <v>255105</v>
      </c>
      <c r="J19" s="271">
        <f t="shared" si="9"/>
        <v>204594</v>
      </c>
      <c r="K19" s="271">
        <f t="shared" si="9"/>
        <v>886789</v>
      </c>
      <c r="L19" s="271">
        <f t="shared" si="9"/>
        <v>868032</v>
      </c>
      <c r="M19" s="271">
        <f t="shared" si="9"/>
        <v>1040018</v>
      </c>
      <c r="N19" s="271">
        <f t="shared" si="9"/>
        <v>912631</v>
      </c>
      <c r="O19" s="271">
        <f t="shared" si="9"/>
        <v>665039</v>
      </c>
      <c r="P19" s="271">
        <f t="shared" si="9"/>
        <v>787959</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-2948584.9499999997</v>
      </c>
      <c r="D23" s="55"/>
      <c r="E23" s="236"/>
      <c r="F23" s="55"/>
      <c r="G23" s="270">
        <f>Data!C37</f>
        <v>-3056039</v>
      </c>
      <c r="H23" s="270">
        <f>Data!D37</f>
        <v>-3105686</v>
      </c>
      <c r="I23" s="270">
        <f>Data!E37</f>
        <v>-3328763</v>
      </c>
      <c r="J23" s="270">
        <f>Data!F37</f>
        <v>-3430534</v>
      </c>
      <c r="K23" s="270">
        <f>Data!G37</f>
        <v>-3565412</v>
      </c>
      <c r="L23" s="270">
        <f>Data!H37</f>
        <v>-3381150</v>
      </c>
      <c r="M23" s="270">
        <f>Data!I37</f>
        <v>-3484665</v>
      </c>
      <c r="N23" s="270">
        <f>Data!J37</f>
        <v>-3044767</v>
      </c>
      <c r="O23" s="270">
        <f>Data!K37</f>
        <v>-2532704</v>
      </c>
      <c r="P23" s="270">
        <f>Data!L37</f>
        <v>-2726117</v>
      </c>
      <c r="Q23" s="270" t="str">
        <f>Data!M37</f>
        <v/>
      </c>
    </row>
    <row r="24" spans="1:17" ht="15.75" customHeight="1">
      <c r="A24" s="10"/>
      <c r="B24" s="65" t="s">
        <v>59</v>
      </c>
      <c r="C24" s="266">
        <f>-C4*C30</f>
        <v>-1944811.35</v>
      </c>
      <c r="D24" s="26"/>
      <c r="E24" s="234"/>
      <c r="F24" s="26"/>
      <c r="G24" s="270">
        <f>Data!C40</f>
        <v>-1900716</v>
      </c>
      <c r="H24" s="270">
        <f>Data!D40</f>
        <v>-1976349</v>
      </c>
      <c r="I24" s="270">
        <f>Data!E40</f>
        <v>-2024430</v>
      </c>
      <c r="J24" s="270">
        <f>Data!F40</f>
        <v>-2215199</v>
      </c>
      <c r="K24" s="270">
        <f>Data!G40</f>
        <v>-2114530</v>
      </c>
      <c r="L24" s="270">
        <f>Data!H40</f>
        <v>-2112457</v>
      </c>
      <c r="M24" s="270">
        <f>Data!I40</f>
        <v>-2104514</v>
      </c>
      <c r="N24" s="270">
        <f>Data!J40</f>
        <v>-1729371</v>
      </c>
      <c r="O24" s="270">
        <f>Data!K40</f>
        <v>-1491517</v>
      </c>
      <c r="P24" s="270">
        <f>Data!L40</f>
        <v>-1496807</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-4893396.3</v>
      </c>
      <c r="D26" s="9"/>
      <c r="E26" s="240"/>
      <c r="F26" s="9"/>
      <c r="G26" s="267">
        <f>IF(G$4="","",SUM(G23:G25))</f>
        <v>-4956755</v>
      </c>
      <c r="H26" s="267">
        <f t="shared" ref="H26:Q26" si="10">IF(H$4="","",SUM(H23:H25))</f>
        <v>-5082035</v>
      </c>
      <c r="I26" s="267">
        <f t="shared" si="10"/>
        <v>-5353193</v>
      </c>
      <c r="J26" s="267">
        <f t="shared" si="10"/>
        <v>-5645733</v>
      </c>
      <c r="K26" s="267">
        <f t="shared" si="10"/>
        <v>-5679942</v>
      </c>
      <c r="L26" s="267">
        <f t="shared" si="10"/>
        <v>-5493607</v>
      </c>
      <c r="M26" s="267">
        <f t="shared" si="10"/>
        <v>-5589179</v>
      </c>
      <c r="N26" s="267">
        <f t="shared" si="10"/>
        <v>-4774138</v>
      </c>
      <c r="O26" s="267">
        <f t="shared" si="10"/>
        <v>-4024221</v>
      </c>
      <c r="P26" s="267">
        <f t="shared" si="10"/>
        <v>-4222924</v>
      </c>
      <c r="Q26" s="267" t="str">
        <f t="shared" si="10"/>
        <v/>
      </c>
    </row>
    <row r="27" spans="1:17" ht="15.75" customHeight="1">
      <c r="A27" s="10"/>
      <c r="E27" s="237"/>
    </row>
    <row r="28" spans="1:17" ht="15.75" customHeight="1">
      <c r="A28" s="10"/>
      <c r="B28" s="61" t="s">
        <v>175</v>
      </c>
      <c r="E28" s="237"/>
    </row>
    <row r="29" spans="1:17" ht="15.75" customHeight="1">
      <c r="A29" s="10"/>
      <c r="B29" s="25" t="s">
        <v>40</v>
      </c>
      <c r="C29" s="60">
        <v>0.47</v>
      </c>
      <c r="D29" s="25"/>
      <c r="E29" s="235"/>
      <c r="F29" s="25"/>
      <c r="G29" s="13">
        <f t="shared" ref="G29:Q29" si="11">IF(G$4="","",ABS(G23/G$4))</f>
        <v>0.48712801372739828</v>
      </c>
      <c r="H29" s="13">
        <f t="shared" si="11"/>
        <v>0.49953748703379358</v>
      </c>
      <c r="I29" s="13">
        <f t="shared" si="11"/>
        <v>0.52499519364144387</v>
      </c>
      <c r="J29" s="13">
        <f t="shared" si="11"/>
        <v>0.52767582674930757</v>
      </c>
      <c r="K29" s="13">
        <f t="shared" si="11"/>
        <v>0.47413547430741998</v>
      </c>
      <c r="L29" s="13">
        <f t="shared" si="11"/>
        <v>0.46748483714316802</v>
      </c>
      <c r="M29" s="13">
        <f t="shared" si="11"/>
        <v>0.46298642329530543</v>
      </c>
      <c r="N29" s="13">
        <f t="shared" si="11"/>
        <v>0.4709962448903825</v>
      </c>
      <c r="O29" s="13">
        <f t="shared" si="11"/>
        <v>0.46849090562680235</v>
      </c>
      <c r="P29" s="13">
        <f t="shared" si="11"/>
        <v>0.49102433077841129</v>
      </c>
      <c r="Q29" s="13" t="str">
        <f t="shared" si="11"/>
        <v/>
      </c>
    </row>
    <row r="30" spans="1:17" ht="15.75" customHeight="1">
      <c r="A30" s="10"/>
      <c r="B30" s="65" t="str">
        <f>B24</f>
        <v>Selling Expenses</v>
      </c>
      <c r="C30" s="60">
        <v>0.31</v>
      </c>
      <c r="D30" s="25"/>
      <c r="E30" s="235"/>
      <c r="F30" s="25"/>
      <c r="G30" s="13">
        <f t="shared" ref="G30:Q30" si="12">IF(G$4="","",ABS(G24/G$4))</f>
        <v>0.30297126762449222</v>
      </c>
      <c r="H30" s="13">
        <f t="shared" si="12"/>
        <v>0.31788803277657529</v>
      </c>
      <c r="I30" s="13">
        <f t="shared" si="12"/>
        <v>0.31928257429668266</v>
      </c>
      <c r="J30" s="13">
        <f t="shared" si="12"/>
        <v>0.34073615470339008</v>
      </c>
      <c r="K30" s="13">
        <f t="shared" si="12"/>
        <v>0.28119434289424861</v>
      </c>
      <c r="L30" s="13">
        <f t="shared" si="12"/>
        <v>0.29207270207383446</v>
      </c>
      <c r="M30" s="13">
        <f t="shared" si="12"/>
        <v>0.2796140833150092</v>
      </c>
      <c r="N30" s="13">
        <f t="shared" si="12"/>
        <v>0.2675171029580673</v>
      </c>
      <c r="O30" s="13">
        <f t="shared" si="12"/>
        <v>0.2758957028092392</v>
      </c>
      <c r="P30" s="13">
        <f t="shared" si="12"/>
        <v>0.26960275567022307</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0.77999999999999992</v>
      </c>
      <c r="E32" s="237"/>
      <c r="G32" s="29">
        <f t="shared" ref="G32:Q32" si="14">IF(G$4="","",ABS(G26/G$4))</f>
        <v>0.79009928135189056</v>
      </c>
      <c r="H32" s="29">
        <f t="shared" si="14"/>
        <v>0.81742551981036893</v>
      </c>
      <c r="I32" s="29">
        <f t="shared" si="14"/>
        <v>0.84427776793812659</v>
      </c>
      <c r="J32" s="29">
        <f t="shared" si="14"/>
        <v>0.86841198145269771</v>
      </c>
      <c r="K32" s="29">
        <f t="shared" si="14"/>
        <v>0.75532981720166859</v>
      </c>
      <c r="L32" s="29">
        <f t="shared" si="14"/>
        <v>0.75955753921700242</v>
      </c>
      <c r="M32" s="29">
        <f t="shared" si="14"/>
        <v>0.74260050661031463</v>
      </c>
      <c r="N32" s="29">
        <f t="shared" si="14"/>
        <v>0.7385133478484498</v>
      </c>
      <c r="O32" s="29">
        <f t="shared" si="14"/>
        <v>0.74438660843604154</v>
      </c>
      <c r="P32" s="29">
        <f t="shared" si="14"/>
        <v>0.7606270864486343</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-694418</v>
      </c>
      <c r="D35" s="55"/>
      <c r="E35" s="236"/>
      <c r="F35" s="55"/>
      <c r="G35" s="267">
        <f>IF(G4="","",Data!C41)</f>
        <v>-694418</v>
      </c>
      <c r="H35" s="267">
        <f>IF(H4="","",Data!D41)</f>
        <v>-700989</v>
      </c>
      <c r="I35" s="267">
        <f>IF(I4="","",Data!E41)</f>
        <v>-671978</v>
      </c>
      <c r="J35" s="267">
        <f>IF(J4="","",Data!F41)</f>
        <v>-702358</v>
      </c>
      <c r="K35" s="267">
        <f>IF(K4="","",Data!G41)</f>
        <v>-723003</v>
      </c>
      <c r="L35" s="267">
        <f>IF(L4="","",Data!H41)</f>
        <v>-716880</v>
      </c>
      <c r="M35" s="267">
        <f>IF(M4="","",Data!I41)</f>
        <v>-635281</v>
      </c>
      <c r="N35" s="267">
        <f>IF(N4="","",Data!J41)</f>
        <v>-559096</v>
      </c>
      <c r="O35" s="267">
        <f>IF(O4="","",Data!K41)</f>
        <v>-487795</v>
      </c>
      <c r="P35" s="267">
        <f>IF(P4="","",Data!L41)</f>
        <v>-468279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0.11068918329790702</v>
      </c>
      <c r="E38" s="237"/>
      <c r="G38" s="29">
        <f t="shared" ref="G38:Q38" si="15">IF(G$4="","",ABS(G35/G$4))</f>
        <v>0.11068918329790702</v>
      </c>
      <c r="H38" s="29">
        <f t="shared" si="15"/>
        <v>0.11275134817181516</v>
      </c>
      <c r="I38" s="29">
        <f t="shared" si="15"/>
        <v>0.10598087644953702</v>
      </c>
      <c r="J38" s="29">
        <f t="shared" si="15"/>
        <v>0.10803488271038568</v>
      </c>
      <c r="K38" s="29">
        <f t="shared" si="15"/>
        <v>9.6146355689240848E-2</v>
      </c>
      <c r="L38" s="29">
        <f t="shared" si="15"/>
        <v>9.9117321044968218E-2</v>
      </c>
      <c r="M38" s="29">
        <f t="shared" si="15"/>
        <v>8.4405955228828294E-2</v>
      </c>
      <c r="N38" s="29">
        <f t="shared" si="15"/>
        <v>8.6486787505655874E-2</v>
      </c>
      <c r="O38" s="29">
        <f t="shared" si="15"/>
        <v>9.0230647288520913E-2</v>
      </c>
      <c r="P38" s="29">
        <f t="shared" si="15"/>
        <v>8.4345749867883013E-2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f>25%*60%+16.5%*40%</f>
        <v>0.216</v>
      </c>
      <c r="D41" s="26"/>
      <c r="E41" s="234" t="s">
        <v>403</v>
      </c>
      <c r="F41" s="26"/>
      <c r="G41" s="6">
        <f t="shared" ref="G41:Q41" si="16">IF(G$4="","",-G12/SUM(G8+G9,G10))</f>
        <v>0.12968355461431946</v>
      </c>
      <c r="H41" s="6">
        <f t="shared" si="16"/>
        <v>3.4350398816049656E-2</v>
      </c>
      <c r="I41" s="6">
        <f t="shared" si="16"/>
        <v>9.8062162133495501E-2</v>
      </c>
      <c r="J41" s="6">
        <f t="shared" si="16"/>
        <v>-0.57315863532559808</v>
      </c>
      <c r="K41" s="6">
        <f t="shared" si="16"/>
        <v>0.16030284987268142</v>
      </c>
      <c r="L41" s="6">
        <f t="shared" si="16"/>
        <v>0.10826208290563298</v>
      </c>
      <c r="M41" s="6">
        <f t="shared" si="16"/>
        <v>0.16011628148488902</v>
      </c>
      <c r="N41" s="6">
        <f t="shared" si="16"/>
        <v>0.14224529055206708</v>
      </c>
      <c r="O41" s="6">
        <f t="shared" si="16"/>
        <v>0.21383083392486499</v>
      </c>
      <c r="P41" s="6">
        <f t="shared" si="16"/>
        <v>3.9764151328837531E-2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-33813.479999999996</v>
      </c>
      <c r="E45" s="237"/>
      <c r="G45" s="266">
        <f>Data!C51</f>
        <v>-33116</v>
      </c>
      <c r="H45" s="266">
        <f>Data!D51</f>
        <v>-30028</v>
      </c>
      <c r="I45" s="266">
        <f>Data!E51</f>
        <v>-32547</v>
      </c>
      <c r="J45" s="266">
        <f>Data!F51</f>
        <v>-23071</v>
      </c>
      <c r="K45" s="266">
        <f>Data!G51</f>
        <v>-11770</v>
      </c>
      <c r="L45" s="266">
        <f>Data!H51</f>
        <v>-10932</v>
      </c>
      <c r="M45" s="266">
        <f>Data!I51</f>
        <v>-2086</v>
      </c>
      <c r="N45" s="266">
        <f>Data!J51</f>
        <v>-1700</v>
      </c>
      <c r="O45" s="266">
        <f>Data!K51</f>
        <v>-3730</v>
      </c>
      <c r="P45" s="266">
        <f>Data!L51</f>
        <v>-4044</v>
      </c>
      <c r="Q45" s="266" t="str">
        <f>Data!M51</f>
        <v/>
      </c>
    </row>
    <row r="46" spans="1:17" ht="15.75" customHeight="1">
      <c r="A46" s="10"/>
      <c r="B46" s="2" t="s">
        <v>272</v>
      </c>
      <c r="C46" s="266">
        <f>BS!D75*C51</f>
        <v>2867.9977153189998</v>
      </c>
      <c r="E46" s="237"/>
      <c r="G46" s="274">
        <f t="shared" ref="G46:Q46" si="17">IFERROR(IF(G$4="","",($C$46/$C$47)*G47),0)</f>
        <v>0</v>
      </c>
      <c r="H46" s="274">
        <f t="shared" si="17"/>
        <v>0</v>
      </c>
      <c r="I46" s="274">
        <f t="shared" si="17"/>
        <v>0</v>
      </c>
      <c r="J46" s="274">
        <f t="shared" si="17"/>
        <v>0</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7615.7640000000001</v>
      </c>
      <c r="D47" s="246"/>
      <c r="E47" s="247"/>
      <c r="F47" s="246"/>
      <c r="G47" s="278">
        <f>Data!C52</f>
        <v>0</v>
      </c>
      <c r="H47" s="278">
        <f>Data!D52</f>
        <v>0</v>
      </c>
      <c r="I47" s="278">
        <f>Data!E52</f>
        <v>0</v>
      </c>
      <c r="J47" s="278">
        <f>Data!F52</f>
        <v>0</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-30945.482284680995</v>
      </c>
      <c r="E48" s="237"/>
      <c r="G48" s="267">
        <f>IF(G$4="","",(G45+G46))</f>
        <v>-33116</v>
      </c>
      <c r="H48" s="267">
        <f t="shared" ref="H48:Q48" si="18">IF(H$4="","",(H45+H46))</f>
        <v>-30028</v>
      </c>
      <c r="I48" s="267">
        <f t="shared" si="18"/>
        <v>-32547</v>
      </c>
      <c r="J48" s="267">
        <f t="shared" si="18"/>
        <v>-23071</v>
      </c>
      <c r="K48" s="267">
        <f t="shared" si="18"/>
        <v>-11770</v>
      </c>
      <c r="L48" s="267">
        <f t="shared" si="18"/>
        <v>-10932</v>
      </c>
      <c r="M48" s="267">
        <f t="shared" si="18"/>
        <v>-2086</v>
      </c>
      <c r="N48" s="267">
        <f t="shared" si="18"/>
        <v>-1700</v>
      </c>
      <c r="O48" s="267">
        <f t="shared" si="18"/>
        <v>-3730</v>
      </c>
      <c r="P48" s="267">
        <f t="shared" si="18"/>
        <v>-4044</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4"/>
      <c r="G52" s="22">
        <f>IFERROR(ABS(Normalized_FCF!G45/BS!$G$31),0)</f>
        <v>5.8762363412461542E-2</v>
      </c>
      <c r="H52" s="151"/>
      <c r="I52" s="151"/>
      <c r="J52" s="151"/>
      <c r="K52" s="151"/>
      <c r="L52" s="151"/>
      <c r="M52" s="151"/>
      <c r="N52" s="151"/>
      <c r="O52" s="151"/>
      <c r="P52" s="151"/>
      <c r="Q52" s="151"/>
    </row>
    <row r="53" spans="1:17" ht="15.75" customHeight="1">
      <c r="A53" s="10"/>
      <c r="B53" s="25" t="s">
        <v>87</v>
      </c>
      <c r="C53" s="40">
        <f>-C8/C45</f>
        <v>20.280985571434833</v>
      </c>
      <c r="E53" s="237"/>
      <c r="G53" s="40">
        <f t="shared" ref="G53:Q53" si="19">IF(G4="","",-G8/G45)</f>
        <v>18.794902766034546</v>
      </c>
      <c r="H53" s="40">
        <f t="shared" si="19"/>
        <v>14.456473957639536</v>
      </c>
      <c r="I53" s="40">
        <f t="shared" si="19"/>
        <v>9.6902325867207431</v>
      </c>
      <c r="J53" s="40">
        <f t="shared" si="19"/>
        <v>6.637076849724763</v>
      </c>
      <c r="K53" s="40">
        <f t="shared" si="19"/>
        <v>94.891418861512321</v>
      </c>
      <c r="L53" s="40">
        <f t="shared" si="19"/>
        <v>93.501097694840837</v>
      </c>
      <c r="M53" s="40">
        <f t="shared" si="19"/>
        <v>624.17785234899327</v>
      </c>
      <c r="N53" s="40">
        <f t="shared" si="19"/>
        <v>665.46529411764709</v>
      </c>
      <c r="O53" s="40">
        <f t="shared" si="19"/>
        <v>239.69812332439679</v>
      </c>
      <c r="P53" s="40">
        <f t="shared" si="19"/>
        <v>212.83259149357073</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-272306</v>
      </c>
      <c r="H60" s="266">
        <f>Data!D58</f>
        <v>-272403</v>
      </c>
      <c r="I60" s="266">
        <f>Data!E58</f>
        <v>-234048</v>
      </c>
      <c r="J60" s="266">
        <f>Data!F58</f>
        <v>-365975</v>
      </c>
      <c r="K60" s="266">
        <f>Data!G58</f>
        <v>-338443</v>
      </c>
      <c r="L60" s="266">
        <f>Data!H58</f>
        <v>-332154</v>
      </c>
      <c r="M60" s="266">
        <f>Data!I58</f>
        <v>-344111</v>
      </c>
      <c r="N60" s="266">
        <f>Data!J58</f>
        <v>-326857</v>
      </c>
      <c r="O60" s="266">
        <f>Data!K58</f>
        <v>-46667</v>
      </c>
      <c r="P60" s="266">
        <f>Data!L58</f>
        <v>-257343</v>
      </c>
      <c r="Q60" s="266" t="str">
        <f>Data!M58</f>
        <v/>
      </c>
    </row>
    <row r="61" spans="1:17" ht="15.75" customHeight="1">
      <c r="A61" s="10"/>
      <c r="B61" s="30" t="s">
        <v>164</v>
      </c>
      <c r="C61" s="267">
        <f>C59+C60</f>
        <v>0</v>
      </c>
      <c r="E61" s="237"/>
      <c r="G61" s="267">
        <f t="shared" ref="G61:Q61" si="21">IF(G4="","",G59+G60)</f>
        <v>-272306</v>
      </c>
      <c r="H61" s="267">
        <f t="shared" si="21"/>
        <v>-272403</v>
      </c>
      <c r="I61" s="267">
        <f t="shared" si="21"/>
        <v>-234048</v>
      </c>
      <c r="J61" s="267">
        <f t="shared" si="21"/>
        <v>-365975</v>
      </c>
      <c r="K61" s="267">
        <f t="shared" si="21"/>
        <v>-338443</v>
      </c>
      <c r="L61" s="267">
        <f t="shared" si="21"/>
        <v>-332154</v>
      </c>
      <c r="M61" s="267">
        <f t="shared" si="21"/>
        <v>-344111</v>
      </c>
      <c r="N61" s="267">
        <f t="shared" si="21"/>
        <v>-326857</v>
      </c>
      <c r="O61" s="267">
        <f t="shared" si="21"/>
        <v>-46667</v>
      </c>
      <c r="P61" s="267">
        <f t="shared" si="21"/>
        <v>-257343</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0.77999999999999992</v>
      </c>
      <c r="D71" s="26"/>
      <c r="E71" s="234"/>
      <c r="F71" s="26"/>
      <c r="G71" s="6">
        <f t="shared" ref="G71:Q71" si="23">IF(G$4="","",ABS(G5/G$4))</f>
        <v>0.79009928135189056</v>
      </c>
      <c r="H71" s="6">
        <f t="shared" si="23"/>
        <v>0.81742551981036893</v>
      </c>
      <c r="I71" s="6">
        <f t="shared" si="23"/>
        <v>0.84427776793812659</v>
      </c>
      <c r="J71" s="6">
        <f t="shared" si="23"/>
        <v>0.86841198145269771</v>
      </c>
      <c r="K71" s="6">
        <f t="shared" si="23"/>
        <v>0.75532981720166859</v>
      </c>
      <c r="L71" s="6">
        <f t="shared" si="23"/>
        <v>0.75955753921700242</v>
      </c>
      <c r="M71" s="6">
        <f t="shared" si="23"/>
        <v>0.74260050661031463</v>
      </c>
      <c r="N71" s="6">
        <f t="shared" si="23"/>
        <v>0.7385133478484498</v>
      </c>
      <c r="O71" s="6">
        <f t="shared" si="23"/>
        <v>0.74438660843604154</v>
      </c>
      <c r="P71" s="6">
        <f t="shared" si="23"/>
        <v>0.7606270864486343</v>
      </c>
      <c r="Q71" s="6" t="str">
        <f t="shared" si="23"/>
        <v/>
      </c>
    </row>
    <row r="72" spans="1:17" ht="15.75" customHeight="1">
      <c r="A72" s="10"/>
      <c r="B72" s="30" t="s">
        <v>45</v>
      </c>
      <c r="C72" s="75">
        <f t="shared" si="22"/>
        <v>0.22000000000000003</v>
      </c>
      <c r="D72" s="26"/>
      <c r="E72" s="234"/>
      <c r="F72" s="26"/>
      <c r="G72" s="62">
        <f t="shared" ref="G72:Q72" si="24">IF(G$4="","",ABS(G6/G$4))</f>
        <v>0.2099007186481095</v>
      </c>
      <c r="H72" s="62">
        <f t="shared" si="24"/>
        <v>0.18257448018963113</v>
      </c>
      <c r="I72" s="62">
        <f t="shared" si="24"/>
        <v>0.15572223206187341</v>
      </c>
      <c r="J72" s="62">
        <f t="shared" si="24"/>
        <v>0.13158801854730232</v>
      </c>
      <c r="K72" s="62">
        <f t="shared" si="24"/>
        <v>0.24467018279833139</v>
      </c>
      <c r="L72" s="62">
        <f t="shared" si="24"/>
        <v>0.24044246078299752</v>
      </c>
      <c r="M72" s="62">
        <f t="shared" si="24"/>
        <v>0.25739949338968537</v>
      </c>
      <c r="N72" s="62">
        <f t="shared" si="24"/>
        <v>0.2614866521515502</v>
      </c>
      <c r="O72" s="62">
        <f t="shared" si="24"/>
        <v>0.2556133915639584</v>
      </c>
      <c r="P72" s="62">
        <f t="shared" si="24"/>
        <v>0.23937291355136567</v>
      </c>
      <c r="Q72" s="62" t="str">
        <f t="shared" si="24"/>
        <v/>
      </c>
    </row>
    <row r="73" spans="1:17" ht="15.75" customHeight="1">
      <c r="A73" s="10"/>
      <c r="B73" s="8" t="s">
        <v>42</v>
      </c>
      <c r="C73" s="74">
        <f t="shared" si="22"/>
        <v>0.11068918329790702</v>
      </c>
      <c r="D73" s="26"/>
      <c r="E73" s="234"/>
      <c r="F73" s="26"/>
      <c r="G73" s="6">
        <f t="shared" ref="G73:Q73" si="25">IF(G$4="","",ABS(G7/G$4))</f>
        <v>0.11068918329790702</v>
      </c>
      <c r="H73" s="6">
        <f t="shared" si="25"/>
        <v>0.11275134817181516</v>
      </c>
      <c r="I73" s="6">
        <f t="shared" si="25"/>
        <v>0.10598087644953702</v>
      </c>
      <c r="J73" s="6">
        <f t="shared" si="25"/>
        <v>0.10803488271038568</v>
      </c>
      <c r="K73" s="6">
        <f t="shared" si="25"/>
        <v>9.6146355689240848E-2</v>
      </c>
      <c r="L73" s="6">
        <f t="shared" si="25"/>
        <v>9.9117321044968218E-2</v>
      </c>
      <c r="M73" s="6">
        <f t="shared" si="25"/>
        <v>8.4405955228828294E-2</v>
      </c>
      <c r="N73" s="6">
        <f t="shared" si="25"/>
        <v>8.6486787505655874E-2</v>
      </c>
      <c r="O73" s="6">
        <f t="shared" si="25"/>
        <v>9.0230647288520913E-2</v>
      </c>
      <c r="P73" s="6">
        <f t="shared" si="25"/>
        <v>8.4345749867883013E-2</v>
      </c>
      <c r="Q73" s="6" t="str">
        <f t="shared" si="25"/>
        <v/>
      </c>
    </row>
    <row r="74" spans="1:17" ht="15.75" customHeight="1">
      <c r="A74" s="10"/>
      <c r="B74" s="28" t="s">
        <v>127</v>
      </c>
      <c r="C74" s="75">
        <f t="shared" si="22"/>
        <v>0.10931081670209301</v>
      </c>
      <c r="D74" s="26"/>
      <c r="E74" s="234"/>
      <c r="F74" s="26"/>
      <c r="G74" s="62">
        <f t="shared" ref="G74:Q74" si="26">IF(G$4="","",ABS(G8/G$4))</f>
        <v>9.9211535350202482E-2</v>
      </c>
      <c r="H74" s="62">
        <f t="shared" si="26"/>
        <v>6.9823132017815953E-2</v>
      </c>
      <c r="I74" s="62">
        <f t="shared" si="26"/>
        <v>4.9741355612336391E-2</v>
      </c>
      <c r="J74" s="62">
        <f t="shared" si="26"/>
        <v>2.355313583691664E-2</v>
      </c>
      <c r="K74" s="62">
        <f t="shared" si="26"/>
        <v>0.14852382710909057</v>
      </c>
      <c r="L74" s="62">
        <f t="shared" si="26"/>
        <v>0.14132513973802929</v>
      </c>
      <c r="M74" s="62">
        <f t="shared" si="26"/>
        <v>0.17299353816085708</v>
      </c>
      <c r="N74" s="62">
        <f t="shared" si="26"/>
        <v>0.17499986464589432</v>
      </c>
      <c r="O74" s="62">
        <f t="shared" si="26"/>
        <v>0.1653827442754375</v>
      </c>
      <c r="P74" s="62">
        <f t="shared" si="26"/>
        <v>0.15502716368348265</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4.9326632674429362E-3</v>
      </c>
      <c r="D76" s="26"/>
      <c r="E76" s="234"/>
      <c r="F76" s="26"/>
      <c r="G76" s="6">
        <f t="shared" ref="G76:Q76" si="28">IF(G$4="","",ABS(G10/G$4))</f>
        <v>5.2786405221257066E-3</v>
      </c>
      <c r="H76" s="6">
        <f t="shared" si="28"/>
        <v>4.8298867498680663E-3</v>
      </c>
      <c r="I76" s="6">
        <f t="shared" si="28"/>
        <v>5.1331436234565439E-3</v>
      </c>
      <c r="J76" s="6">
        <f t="shared" si="28"/>
        <v>3.5487212774842855E-3</v>
      </c>
      <c r="K76" s="6">
        <f t="shared" si="28"/>
        <v>1.5651976637197421E-3</v>
      </c>
      <c r="L76" s="6">
        <f t="shared" si="28"/>
        <v>1.5114810758615007E-3</v>
      </c>
      <c r="M76" s="6">
        <f t="shared" si="28"/>
        <v>2.7715423978890574E-4</v>
      </c>
      <c r="N76" s="6">
        <f t="shared" si="28"/>
        <v>2.6297369102911658E-4</v>
      </c>
      <c r="O76" s="6">
        <f t="shared" si="28"/>
        <v>6.8996261623465393E-4</v>
      </c>
      <c r="P76" s="6">
        <f t="shared" si="28"/>
        <v>7.2839954912716335E-4</v>
      </c>
      <c r="Q76" s="6" t="str">
        <f t="shared" si="28"/>
        <v/>
      </c>
    </row>
    <row r="77" spans="1:17" ht="15.75" customHeight="1">
      <c r="A77" s="10"/>
      <c r="B77" s="67" t="s">
        <v>137</v>
      </c>
      <c r="C77" s="75">
        <f>C11/C4</f>
        <v>0.10437815343465008</v>
      </c>
      <c r="D77" s="26"/>
      <c r="E77" s="234"/>
      <c r="F77" s="26"/>
      <c r="G77" s="62">
        <f t="shared" ref="G77:Q77" si="29">IF(G$4="","",G11/G$4)</f>
        <v>9.3932894828076763E-2</v>
      </c>
      <c r="H77" s="62">
        <f t="shared" si="29"/>
        <v>6.4993245267947891E-2</v>
      </c>
      <c r="I77" s="62">
        <f t="shared" si="29"/>
        <v>4.4608211988879848E-2</v>
      </c>
      <c r="J77" s="62">
        <f t="shared" si="29"/>
        <v>2.0004414559432353E-2</v>
      </c>
      <c r="K77" s="62">
        <f t="shared" si="29"/>
        <v>0.1469586294453708</v>
      </c>
      <c r="L77" s="62">
        <f t="shared" si="29"/>
        <v>0.1398136586621678</v>
      </c>
      <c r="M77" s="62">
        <f t="shared" si="29"/>
        <v>0.17271638392106817</v>
      </c>
      <c r="N77" s="62">
        <f t="shared" si="29"/>
        <v>0.17473689095486522</v>
      </c>
      <c r="O77" s="62">
        <f t="shared" si="29"/>
        <v>0.16469278165920287</v>
      </c>
      <c r="P77" s="62">
        <f t="shared" si="29"/>
        <v>0.1542987641343555</v>
      </c>
      <c r="Q77" s="62" t="str">
        <f t="shared" si="29"/>
        <v/>
      </c>
    </row>
    <row r="78" spans="1:17" ht="15.75" customHeight="1">
      <c r="A78" s="10"/>
      <c r="B78" s="2" t="s">
        <v>60</v>
      </c>
      <c r="C78" s="74">
        <f>ABS(C12/C$4)</f>
        <v>2.2545681141884419E-2</v>
      </c>
      <c r="D78" s="26"/>
      <c r="E78" s="234"/>
      <c r="F78" s="26"/>
      <c r="G78" s="6">
        <f t="shared" ref="G78:Q78" si="30">IF(G$4="","",ABS(G12/G$4))</f>
        <v>1.2181551696518019E-2</v>
      </c>
      <c r="H78" s="6">
        <f t="shared" si="30"/>
        <v>2.2325438953033419E-3</v>
      </c>
      <c r="I78" s="6">
        <f t="shared" si="30"/>
        <v>4.374377716538873E-3</v>
      </c>
      <c r="J78" s="6">
        <f t="shared" si="30"/>
        <v>1.1465702949371772E-2</v>
      </c>
      <c r="K78" s="6">
        <f t="shared" si="30"/>
        <v>2.3557887113476297E-2</v>
      </c>
      <c r="L78" s="6">
        <f t="shared" si="30"/>
        <v>1.5136517905423483E-2</v>
      </c>
      <c r="M78" s="6">
        <f t="shared" si="30"/>
        <v>2.7654705144957912E-2</v>
      </c>
      <c r="N78" s="6">
        <f t="shared" si="30"/>
        <v>2.4855499824039663E-2</v>
      </c>
      <c r="O78" s="6">
        <f t="shared" si="30"/>
        <v>3.5216394843593062E-2</v>
      </c>
      <c r="P78" s="6">
        <f t="shared" si="30"/>
        <v>6.1355594068911211E-3</v>
      </c>
      <c r="Q78" s="6" t="str">
        <f t="shared" si="30"/>
        <v/>
      </c>
    </row>
    <row r="79" spans="1:17" ht="15.75" customHeight="1">
      <c r="A79" s="10"/>
      <c r="B79" s="38" t="str">
        <f>B13</f>
        <v>NCI’s Share of Profits</v>
      </c>
      <c r="C79" s="233">
        <f>MIN(BS!C62,MAX(G79:K79))</f>
        <v>5.4738034183544624E-3</v>
      </c>
      <c r="D79" s="26"/>
      <c r="E79" s="234"/>
      <c r="F79" s="26"/>
      <c r="G79" s="6">
        <f t="shared" ref="G79:Q79" si="31">IF(G$4="","",-G13/G$4)</f>
        <v>9.3949472271436505E-4</v>
      </c>
      <c r="H79" s="6">
        <f t="shared" si="31"/>
        <v>2.2856231089524848E-4</v>
      </c>
      <c r="I79" s="6">
        <f t="shared" si="31"/>
        <v>0</v>
      </c>
      <c r="J79" s="6">
        <f t="shared" si="31"/>
        <v>0</v>
      </c>
      <c r="K79" s="6">
        <f t="shared" si="31"/>
        <v>5.4738034183544624E-3</v>
      </c>
      <c r="L79" s="6">
        <f t="shared" si="31"/>
        <v>4.6612295563957899E-3</v>
      </c>
      <c r="M79" s="6">
        <f t="shared" si="31"/>
        <v>6.8807592378656995E-3</v>
      </c>
      <c r="N79" s="6">
        <f t="shared" si="31"/>
        <v>8.7061307675351252E-3</v>
      </c>
      <c r="O79" s="6">
        <f t="shared" si="31"/>
        <v>6.4597518724253573E-3</v>
      </c>
      <c r="P79" s="6">
        <f t="shared" si="31"/>
        <v>6.2371462876299241E-3</v>
      </c>
      <c r="Q79" s="6" t="str">
        <f t="shared" si="31"/>
        <v/>
      </c>
    </row>
    <row r="80" spans="1:17" ht="15.75" customHeight="1">
      <c r="A80" s="10"/>
      <c r="B80" s="39" t="s">
        <v>129</v>
      </c>
      <c r="C80" s="75">
        <f>ABS(C14/C$4)</f>
        <v>7.6358668874411201E-2</v>
      </c>
      <c r="D80" s="26"/>
      <c r="E80" s="234"/>
      <c r="F80" s="26"/>
      <c r="G80" s="62">
        <f t="shared" ref="G80:Q80" si="32">IF(G$4="","",ABS(G14/G$4))</f>
        <v>8.0811848408844381E-2</v>
      </c>
      <c r="H80" s="62">
        <f t="shared" si="32"/>
        <v>6.2532139061749301E-2</v>
      </c>
      <c r="I80" s="62">
        <f t="shared" si="32"/>
        <v>4.0233834272340972E-2</v>
      </c>
      <c r="J80" s="62">
        <f t="shared" si="32"/>
        <v>3.1470117508804123E-2</v>
      </c>
      <c r="K80" s="62">
        <f t="shared" si="32"/>
        <v>0.11792693891354004</v>
      </c>
      <c r="L80" s="62">
        <f t="shared" si="32"/>
        <v>0.12001591120034853</v>
      </c>
      <c r="M80" s="62">
        <f t="shared" si="32"/>
        <v>0.13818091953824457</v>
      </c>
      <c r="N80" s="62">
        <f t="shared" si="32"/>
        <v>0.14117526036329042</v>
      </c>
      <c r="O80" s="62">
        <f t="shared" si="32"/>
        <v>0.12301663494318445</v>
      </c>
      <c r="P80" s="62">
        <f t="shared" si="32"/>
        <v>0.14192605843983444</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7.6358668874411201E-2</v>
      </c>
      <c r="D85" s="72"/>
      <c r="E85" s="234"/>
      <c r="F85" s="72"/>
      <c r="G85" s="62">
        <f t="shared" ref="G85:Q85" si="35">IF(G$4="","",ABS(G19/G$4))</f>
        <v>8.0811848408844381E-2</v>
      </c>
      <c r="H85" s="62">
        <f t="shared" si="35"/>
        <v>6.2532139061749301E-2</v>
      </c>
      <c r="I85" s="62">
        <f t="shared" si="35"/>
        <v>4.0233834272340972E-2</v>
      </c>
      <c r="J85" s="62">
        <f t="shared" si="35"/>
        <v>3.1470117508804123E-2</v>
      </c>
      <c r="K85" s="62">
        <f t="shared" si="35"/>
        <v>0.11792693891354004</v>
      </c>
      <c r="L85" s="62">
        <f t="shared" si="35"/>
        <v>0.12001591120034853</v>
      </c>
      <c r="M85" s="62">
        <f t="shared" si="35"/>
        <v>0.13818091953824457</v>
      </c>
      <c r="N85" s="62">
        <f t="shared" si="35"/>
        <v>0.14117526036329042</v>
      </c>
      <c r="O85" s="62">
        <f t="shared" si="35"/>
        <v>0.12301663494318445</v>
      </c>
      <c r="P85" s="62">
        <f t="shared" si="35"/>
        <v>0.14192605843983444</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0.14199999999999999</v>
      </c>
      <c r="E88" s="237"/>
      <c r="G88" s="109">
        <f>Data!C65</f>
        <v>0.14199999999999999</v>
      </c>
      <c r="H88" s="109">
        <f>Data!D65</f>
        <v>7.6999999999999999E-2</v>
      </c>
      <c r="I88" s="109">
        <f>Data!E65</f>
        <v>2.7E-2</v>
      </c>
      <c r="J88" s="109">
        <f>Data!F65</f>
        <v>0.32799999999999996</v>
      </c>
      <c r="K88" s="109">
        <f>Data!G65</f>
        <v>0.32199999999999995</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148181.13063799997</v>
      </c>
      <c r="E89" s="237"/>
      <c r="G89" s="71">
        <f t="shared" ref="G89:Q89" si="36">IF(G$4="","",G88*Common_Shares/scaling_factor)</f>
        <v>148181.13063799997</v>
      </c>
      <c r="H89" s="71">
        <f t="shared" si="36"/>
        <v>80351.739853000006</v>
      </c>
      <c r="I89" s="71">
        <f t="shared" si="36"/>
        <v>28175.285403000002</v>
      </c>
      <c r="J89" s="71">
        <f t="shared" si="36"/>
        <v>342277.54119199998</v>
      </c>
      <c r="K89" s="71">
        <f t="shared" si="36"/>
        <v>336016.36665799993</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0.3093276688543603</v>
      </c>
      <c r="E90" s="237"/>
      <c r="G90" s="152">
        <f t="shared" ref="G90:Q90" si="37">IF(G$4="","",G88/(G19*scaling_factor/Common_Shares))</f>
        <v>0.29228200449327385</v>
      </c>
      <c r="H90" s="152">
        <f t="shared" si="37"/>
        <v>0.20668194524526071</v>
      </c>
      <c r="I90" s="152">
        <f t="shared" si="37"/>
        <v>0.11044583760804375</v>
      </c>
      <c r="J90" s="152">
        <f t="shared" si="37"/>
        <v>1.6729598189194208</v>
      </c>
      <c r="K90" s="152">
        <f t="shared" si="37"/>
        <v>0.3789135483841139</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2.0821114369501462E-2</v>
      </c>
      <c r="E92" s="237"/>
      <c r="G92" s="22">
        <f t="shared" ref="G92:Q92" si="38">IF(G$4="","",(G88*(1-dividend_tax_rate))/Market_Price)</f>
        <v>2.0821114369501462E-2</v>
      </c>
      <c r="H92" s="22">
        <f t="shared" si="38"/>
        <v>1.1290322580645161E-2</v>
      </c>
      <c r="I92" s="22">
        <f t="shared" si="38"/>
        <v>3.9589442815249265E-3</v>
      </c>
      <c r="J92" s="22">
        <f t="shared" si="38"/>
        <v>4.8093841642228734E-2</v>
      </c>
      <c r="K92" s="22">
        <f t="shared" si="38"/>
        <v>4.7214076246334301E-2</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9.0816926092662786E-3</v>
      </c>
      <c r="H95" s="6">
        <f t="shared" si="39"/>
        <v>-1.946768415844724E-2</v>
      </c>
      <c r="I95" s="6">
        <f t="shared" si="39"/>
        <v>-2.4711688507455865E-2</v>
      </c>
      <c r="J95" s="6">
        <f t="shared" si="39"/>
        <v>-0.13545568994564627</v>
      </c>
      <c r="K95" s="6">
        <f t="shared" si="39"/>
        <v>3.9705551540578421E-2</v>
      </c>
      <c r="L95" s="6">
        <f t="shared" si="39"/>
        <v>-3.9042608810608392E-2</v>
      </c>
      <c r="M95" s="6">
        <f t="shared" si="39"/>
        <v>0.16427657097775938</v>
      </c>
      <c r="N95" s="6">
        <f t="shared" si="39"/>
        <v>0.19578567874378705</v>
      </c>
      <c r="O95" s="6">
        <f t="shared" si="39"/>
        <v>-2.6262730331140793E-2</v>
      </c>
      <c r="P95" s="6" t="str">
        <f t="shared" si="39"/>
        <v/>
      </c>
      <c r="Q95" s="6" t="str">
        <f t="shared" si="39"/>
        <v/>
      </c>
    </row>
    <row r="96" spans="1:17" ht="15.75" customHeight="1">
      <c r="A96" s="10"/>
      <c r="B96" s="67" t="s">
        <v>137</v>
      </c>
      <c r="C96" s="74">
        <f>C11/G11-1</f>
        <v>0.11119915579830719</v>
      </c>
      <c r="D96" s="26"/>
      <c r="E96" s="234"/>
      <c r="F96" s="26"/>
      <c r="G96" s="6">
        <f t="shared" ref="G96:Q96" si="40">IF(H5="","",G11/H11-1)</f>
        <v>0.45839716287484134</v>
      </c>
      <c r="H96" s="6">
        <f t="shared" si="40"/>
        <v>0.42861537047316345</v>
      </c>
      <c r="I96" s="6">
        <f t="shared" si="40"/>
        <v>1.1748133453284431</v>
      </c>
      <c r="J96" s="6">
        <f t="shared" si="40"/>
        <v>-0.88231584052874756</v>
      </c>
      <c r="K96" s="6">
        <f t="shared" si="40"/>
        <v>9.2838170055635549E-2</v>
      </c>
      <c r="L96" s="6">
        <f t="shared" si="40"/>
        <v>-0.22210640571283946</v>
      </c>
      <c r="M96" s="6">
        <f t="shared" si="40"/>
        <v>0.15081387865165352</v>
      </c>
      <c r="N96" s="6">
        <f t="shared" si="40"/>
        <v>0.26871299183237052</v>
      </c>
      <c r="O96" s="6">
        <f t="shared" si="40"/>
        <v>3.9331069478702574E-2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5648700</v>
      </c>
      <c r="D100" s="25"/>
      <c r="E100" s="238"/>
      <c r="F100" s="25"/>
      <c r="G100" s="270">
        <f t="shared" ref="G100:Q100" si="41">IF(G$4="","",G104+G103)</f>
        <v>5648700</v>
      </c>
      <c r="H100" s="270">
        <f t="shared" si="41"/>
        <v>5636695</v>
      </c>
      <c r="I100" s="270">
        <f t="shared" si="41"/>
        <v>5849519</v>
      </c>
      <c r="J100" s="270">
        <f t="shared" si="41"/>
        <v>6807120</v>
      </c>
      <c r="K100" s="270">
        <f t="shared" si="41"/>
        <v>7276410</v>
      </c>
      <c r="L100" s="270">
        <f t="shared" si="41"/>
        <v>6410495</v>
      </c>
      <c r="M100" s="270">
        <f t="shared" si="41"/>
        <v>5878209</v>
      </c>
      <c r="N100" s="270">
        <f t="shared" si="41"/>
        <v>5182178</v>
      </c>
      <c r="O100" s="270">
        <f t="shared" si="41"/>
        <v>4486607</v>
      </c>
      <c r="P100" s="270">
        <f t="shared" si="41"/>
        <v>4184826</v>
      </c>
      <c r="Q100" s="270" t="str">
        <f t="shared" si="41"/>
        <v/>
      </c>
    </row>
    <row r="101" spans="1:17" ht="15.75" customHeight="1">
      <c r="A101" s="10"/>
      <c r="B101" s="90" t="s">
        <v>179</v>
      </c>
      <c r="C101" s="281">
        <f>BS!C4</f>
        <v>823619</v>
      </c>
      <c r="D101" s="86"/>
      <c r="E101" s="239"/>
      <c r="F101" s="86"/>
      <c r="G101" s="282">
        <f>IF(G$4="","",Data!D77)</f>
        <v>715301</v>
      </c>
      <c r="H101" s="282">
        <f>IF(H$4="","",Data!E77)</f>
        <v>788957</v>
      </c>
      <c r="I101" s="282">
        <f>IF(I$4="","",Data!F77)</f>
        <v>804496</v>
      </c>
      <c r="J101" s="282">
        <f>IF(J$4="","",Data!G77)</f>
        <v>819987</v>
      </c>
      <c r="K101" s="282">
        <f>IF(K$4="","",Data!H77)</f>
        <v>707687</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533268</v>
      </c>
      <c r="D102" s="86"/>
      <c r="E102" s="239"/>
      <c r="F102" s="86"/>
      <c r="G102" s="282">
        <f>IF(G$4="","",Data!D78)</f>
        <v>554546</v>
      </c>
      <c r="H102" s="282">
        <f>IF(H$4="","",Data!E78)</f>
        <v>639615</v>
      </c>
      <c r="I102" s="282">
        <f>IF(I$4="","",Data!F78)</f>
        <v>773384</v>
      </c>
      <c r="J102" s="282">
        <f>IF(J$4="","",Data!G78)</f>
        <v>725526</v>
      </c>
      <c r="K102" s="282">
        <f>IF(K$4="","",Data!H78)</f>
        <v>593559</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2466518</v>
      </c>
      <c r="D103" s="25"/>
      <c r="E103" s="238"/>
      <c r="F103" s="25"/>
      <c r="G103" s="270">
        <f>Data!C79</f>
        <v>2466518</v>
      </c>
      <c r="H103" s="270">
        <f>Data!D79</f>
        <v>2524058</v>
      </c>
      <c r="I103" s="270">
        <f>Data!E79</f>
        <v>2748929</v>
      </c>
      <c r="J103" s="270">
        <f>Data!F79</f>
        <v>3238021</v>
      </c>
      <c r="K103" s="270">
        <f>Data!G79</f>
        <v>3319536</v>
      </c>
      <c r="L103" s="270">
        <f>Data!H79</f>
        <v>2992391</v>
      </c>
      <c r="M103" s="270">
        <f>Data!I79</f>
        <v>2408649</v>
      </c>
      <c r="N103" s="270">
        <f>Data!J79</f>
        <v>2013032</v>
      </c>
      <c r="O103" s="270">
        <f>Data!K79</f>
        <v>1796901</v>
      </c>
      <c r="P103" s="270">
        <f>Data!L79</f>
        <v>1772963</v>
      </c>
      <c r="Q103" s="270" t="str">
        <f>Data!M79</f>
        <v/>
      </c>
    </row>
    <row r="104" spans="1:17" ht="15.75" customHeight="1">
      <c r="A104" s="10"/>
      <c r="B104" s="25" t="s">
        <v>28</v>
      </c>
      <c r="C104" s="280">
        <f>BS!G27</f>
        <v>3182182</v>
      </c>
      <c r="D104" s="25"/>
      <c r="E104" s="238"/>
      <c r="F104" s="25"/>
      <c r="G104" s="270">
        <f>Data!C80</f>
        <v>3182182</v>
      </c>
      <c r="H104" s="270">
        <f>Data!D80</f>
        <v>3112637</v>
      </c>
      <c r="I104" s="270">
        <f>Data!E80</f>
        <v>3100590</v>
      </c>
      <c r="J104" s="270">
        <f>Data!F80</f>
        <v>3569099</v>
      </c>
      <c r="K104" s="270">
        <f>Data!G80</f>
        <v>3956874</v>
      </c>
      <c r="L104" s="270">
        <f>Data!H80</f>
        <v>3418104</v>
      </c>
      <c r="M104" s="270">
        <f>Data!I80</f>
        <v>3469560</v>
      </c>
      <c r="N104" s="270">
        <f>Data!J80</f>
        <v>3169146</v>
      </c>
      <c r="O104" s="270">
        <f>Data!K80</f>
        <v>2689706</v>
      </c>
      <c r="P104" s="270">
        <f>Data!L80</f>
        <v>2411863</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0.13128362810099808</v>
      </c>
      <c r="D107" s="25"/>
      <c r="E107" s="238"/>
      <c r="F107" s="25"/>
      <c r="G107" s="91">
        <f t="shared" ref="G107:Q107" si="42">IF(G$4="","",G101/G$4)</f>
        <v>0.11401790204484358</v>
      </c>
      <c r="H107" s="91">
        <f t="shared" si="42"/>
        <v>0.12690065806965697</v>
      </c>
      <c r="I107" s="91">
        <f t="shared" si="42"/>
        <v>0.12688092642935742</v>
      </c>
      <c r="J107" s="91">
        <f t="shared" si="42"/>
        <v>0.12612826986955517</v>
      </c>
      <c r="K107" s="91">
        <f t="shared" si="42"/>
        <v>9.4109603997012167E-2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8.5002116015005777E-2</v>
      </c>
      <c r="D108" s="25"/>
      <c r="E108" s="238"/>
      <c r="F108" s="25"/>
      <c r="G108" s="91">
        <f t="shared" ref="G108:Q108" si="43">IF(G$4="","",G102/G$4)</f>
        <v>8.8393797167010568E-2</v>
      </c>
      <c r="H108" s="91">
        <f t="shared" si="43"/>
        <v>0.10287957950968639</v>
      </c>
      <c r="I108" s="91">
        <f t="shared" si="43"/>
        <v>0.12197410354512907</v>
      </c>
      <c r="J108" s="91">
        <f t="shared" si="43"/>
        <v>0.11159852427584691</v>
      </c>
      <c r="K108" s="91">
        <f t="shared" si="43"/>
        <v>7.8932638919271575E-2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557</v>
      </c>
      <c r="G112" s="251">
        <f>IF(G$4="","",Data!C$22/Data!C15)</f>
        <v>3.5707866382893818</v>
      </c>
      <c r="H112" s="251">
        <f>IF(H$4="","",Data!D$22/Data!D15)</f>
        <v>6.7115750331103339</v>
      </c>
      <c r="I112" s="251">
        <f>IF(I$4="","",Data!E$22/Data!E15)</f>
        <v>23.856912190720426</v>
      </c>
      <c r="J112" s="251">
        <f>IF(J$4="","",Data!F$22/Data!F15)</f>
        <v>-0.77078466486141495</v>
      </c>
      <c r="K112" s="251">
        <f>IF(K$4="","",Data!G$22/Data!G15)</f>
        <v>2.1369786330295772</v>
      </c>
      <c r="L112" s="251">
        <f>IF(L$4="","",Data!H$22/Data!H15)</f>
        <v>2.2117238509737689</v>
      </c>
      <c r="M112" s="251">
        <f>IF(M$4="","",Data!I$22/Data!I15)</f>
        <v>1.7028734978834952</v>
      </c>
      <c r="N112" s="251">
        <f>IF(N$4="","",Data!J$22/Data!J15)</f>
        <v>1.659577450529939</v>
      </c>
      <c r="O112" s="251">
        <f>IF(O$4="","",Data!K$22/Data!K15)</f>
        <v>1.4463809555881426</v>
      </c>
      <c r="P112" s="251">
        <f>IF(P$4="","",Data!L$22/Data!L15)</f>
        <v>1.1158791601503069</v>
      </c>
      <c r="Q112" s="251" t="str">
        <f>IF(Q$4="","",Data!M$22/Data!M15)</f>
        <v/>
      </c>
    </row>
    <row r="113" spans="1:17" ht="15.75" customHeight="1">
      <c r="A113" s="10"/>
      <c r="B113" s="2" t="s">
        <v>304</v>
      </c>
      <c r="C113" s="151"/>
      <c r="E113" s="459">
        <f>(Normalized_FCF!E117/Normalized_FCF!C117)^(1/DCF!C15)-1</f>
        <v>0</v>
      </c>
      <c r="G113" s="251">
        <f>IF(G$4="","",Data!C$22/G19)</f>
        <v>1.6943804489328969</v>
      </c>
      <c r="H113" s="251">
        <f>IF(H$4="","",Data!D$22/H19)</f>
        <v>2.0334465107904416</v>
      </c>
      <c r="I113" s="251">
        <f>IF(I$4="","",Data!E$22/I19)</f>
        <v>1.9692087571784167</v>
      </c>
      <c r="J113" s="251">
        <f>IF(J$4="","",Data!F$22/J19)</f>
        <v>0.60798459387860837</v>
      </c>
      <c r="K113" s="251">
        <f>IF(K$4="","",Data!G$22/K19)</f>
        <v>1.4205927227333672</v>
      </c>
      <c r="L113" s="251">
        <f>IF(L$4="","",Data!H$22/L19)</f>
        <v>1.4513036385755365</v>
      </c>
      <c r="M113" s="251">
        <f>IF(M$4="","",Data!I$22/M19)</f>
        <v>1.2242384266426158</v>
      </c>
      <c r="N113" s="251">
        <f>IF(N$4="","",Data!J$22/N19)</f>
        <v>1.1675474534614756</v>
      </c>
      <c r="O113" s="251">
        <f>IF(O$4="","",Data!K$22/O19)</f>
        <v>1.4208369734707287</v>
      </c>
      <c r="P113" s="251">
        <f>IF(P$4="","",Data!L$22/P19)</f>
        <v>0.80047819746966531</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0.10437815343465008</v>
      </c>
      <c r="E116" s="22">
        <f>E119/E117/E118</f>
        <v>0.15217050538089463</v>
      </c>
      <c r="G116" s="22">
        <f t="shared" ref="G116:Q116" si="44">IF(G4="","",G77)</f>
        <v>9.3932894828076763E-2</v>
      </c>
      <c r="H116" s="22">
        <f t="shared" si="44"/>
        <v>6.4993245267947891E-2</v>
      </c>
      <c r="I116" s="22">
        <f t="shared" si="44"/>
        <v>4.4608211988879848E-2</v>
      </c>
      <c r="J116" s="22">
        <f t="shared" si="44"/>
        <v>2.0004414559432353E-2</v>
      </c>
      <c r="K116" s="22">
        <f t="shared" si="44"/>
        <v>0.1469586294453708</v>
      </c>
      <c r="L116" s="22">
        <f t="shared" si="44"/>
        <v>0.1398136586621678</v>
      </c>
      <c r="M116" s="22">
        <f t="shared" si="44"/>
        <v>0.17271638392106817</v>
      </c>
      <c r="N116" s="22">
        <f t="shared" si="44"/>
        <v>0.17473689095486522</v>
      </c>
      <c r="O116" s="22">
        <f t="shared" si="44"/>
        <v>0.16469278165920287</v>
      </c>
      <c r="P116" s="22">
        <f t="shared" si="44"/>
        <v>0.1542987641343555</v>
      </c>
      <c r="Q116" s="22" t="str">
        <f t="shared" si="44"/>
        <v/>
      </c>
    </row>
    <row r="117" spans="1:17" ht="15.75" customHeight="1">
      <c r="B117" s="7" t="s">
        <v>80</v>
      </c>
      <c r="C117" s="452">
        <f>G117</f>
        <v>1.1106245684847842</v>
      </c>
      <c r="E117" s="452">
        <f>C117</f>
        <v>1.1106245684847842</v>
      </c>
      <c r="G117" s="40">
        <f t="shared" ref="G117:Q117" si="45">IF(G4="","",G4/G100)</f>
        <v>1.1106245684847842</v>
      </c>
      <c r="H117" s="40">
        <f t="shared" si="45"/>
        <v>1.1029731074681175</v>
      </c>
      <c r="I117" s="40">
        <f t="shared" si="45"/>
        <v>1.0839453637128114</v>
      </c>
      <c r="J117" s="40">
        <f t="shared" si="45"/>
        <v>0.95506102433922124</v>
      </c>
      <c r="K117" s="40">
        <f t="shared" si="45"/>
        <v>1.0334515234847954</v>
      </c>
      <c r="L117" s="40">
        <f t="shared" si="45"/>
        <v>1.1282500025349056</v>
      </c>
      <c r="M117" s="40">
        <f t="shared" si="45"/>
        <v>1.2804061577259331</v>
      </c>
      <c r="N117" s="40">
        <f t="shared" si="45"/>
        <v>1.2474532908749951</v>
      </c>
      <c r="O117" s="40">
        <f t="shared" si="45"/>
        <v>1.2049395010528001</v>
      </c>
      <c r="P117" s="40">
        <f t="shared" si="45"/>
        <v>1.3266735582315727</v>
      </c>
      <c r="Q117" s="40" t="str">
        <f t="shared" si="45"/>
        <v/>
      </c>
    </row>
    <row r="118" spans="1:17" ht="15.75" customHeight="1">
      <c r="B118" s="7" t="s">
        <v>88</v>
      </c>
      <c r="C118" s="15">
        <f>C100/C104</f>
        <v>1.775102743966247</v>
      </c>
      <c r="D118" s="11"/>
      <c r="E118" s="15">
        <f>C100/C104</f>
        <v>1.775102743966247</v>
      </c>
      <c r="F118" s="11"/>
      <c r="G118" s="15">
        <f t="shared" ref="G118:Q118" si="46">IF(G$4="","",G100/G104)</f>
        <v>1.775102743966247</v>
      </c>
      <c r="H118" s="15">
        <f t="shared" si="46"/>
        <v>1.810906636398655</v>
      </c>
      <c r="I118" s="15">
        <f t="shared" si="46"/>
        <v>1.8865825536430163</v>
      </c>
      <c r="J118" s="15">
        <f t="shared" si="46"/>
        <v>1.9072376529762833</v>
      </c>
      <c r="K118" s="15">
        <f t="shared" si="46"/>
        <v>1.8389289120654335</v>
      </c>
      <c r="L118" s="15">
        <f t="shared" si="46"/>
        <v>1.8754534677704364</v>
      </c>
      <c r="M118" s="15">
        <f t="shared" si="46"/>
        <v>1.6942231868017847</v>
      </c>
      <c r="N118" s="15">
        <f t="shared" si="46"/>
        <v>1.6351969899777417</v>
      </c>
      <c r="O118" s="15">
        <f t="shared" si="46"/>
        <v>1.6680659521895702</v>
      </c>
      <c r="P118" s="15">
        <f t="shared" si="46"/>
        <v>1.7351010401502904</v>
      </c>
      <c r="Q118" s="15" t="str">
        <f t="shared" si="46"/>
        <v/>
      </c>
    </row>
    <row r="119" spans="1:17" ht="15.75" customHeight="1">
      <c r="A119" s="10"/>
      <c r="B119" s="67" t="s">
        <v>191</v>
      </c>
      <c r="C119" s="62">
        <f>C11/C104</f>
        <v>0.20577868195952315</v>
      </c>
      <c r="D119" s="100"/>
      <c r="E119" s="453">
        <v>0.3</v>
      </c>
      <c r="F119" s="100"/>
      <c r="G119" s="99">
        <f t="shared" ref="G119:Q119" si="47">IF(G$4="","",G11/G104)</f>
        <v>0.18518613957341221</v>
      </c>
      <c r="H119" s="99">
        <f t="shared" si="47"/>
        <v>0.12981629402978889</v>
      </c>
      <c r="I119" s="99">
        <f t="shared" si="47"/>
        <v>9.1221670714283415E-2</v>
      </c>
      <c r="J119" s="99">
        <f t="shared" si="47"/>
        <v>3.6438608175340614E-2</v>
      </c>
      <c r="K119" s="99">
        <f t="shared" si="47"/>
        <v>0.27928662878828087</v>
      </c>
      <c r="L119" s="99">
        <f t="shared" si="47"/>
        <v>0.29584295855246068</v>
      </c>
      <c r="M119" s="99">
        <f t="shared" si="47"/>
        <v>0.37467258096127465</v>
      </c>
      <c r="N119" s="99">
        <f t="shared" si="47"/>
        <v>0.35643387840131063</v>
      </c>
      <c r="O119" s="99">
        <f t="shared" si="47"/>
        <v>0.33101907792152746</v>
      </c>
      <c r="P119" s="99">
        <f t="shared" si="47"/>
        <v>0.35518228025389503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0.45906013039802579</v>
      </c>
      <c r="D123" s="26"/>
      <c r="E123" s="234"/>
      <c r="F123" s="26"/>
      <c r="G123" s="159">
        <f t="shared" ref="G123:Q123" si="48">IF(G$4="","",G14*$C$3/Common_Shares*Exchange_Rate)</f>
        <v>0.48583216830671405</v>
      </c>
      <c r="H123" s="159">
        <f t="shared" si="48"/>
        <v>0.37255310282969983</v>
      </c>
      <c r="I123" s="159">
        <f t="shared" si="48"/>
        <v>0.24446371710103809</v>
      </c>
      <c r="J123" s="159">
        <f t="shared" si="48"/>
        <v>0.19605969987483501</v>
      </c>
      <c r="K123" s="159">
        <f t="shared" si="48"/>
        <v>0.84979806442175754</v>
      </c>
      <c r="L123" s="159">
        <f t="shared" si="48"/>
        <v>0.83182348163559439</v>
      </c>
      <c r="M123" s="159">
        <f t="shared" si="48"/>
        <v>0.99663537026709559</v>
      </c>
      <c r="N123" s="159">
        <f t="shared" si="48"/>
        <v>0.87456210815796431</v>
      </c>
      <c r="O123" s="159">
        <f t="shared" si="48"/>
        <v>0.63729799869527159</v>
      </c>
      <c r="P123" s="159">
        <f t="shared" si="48"/>
        <v>0.75509059431691605</v>
      </c>
      <c r="Q123" s="159" t="str">
        <f t="shared" si="48"/>
        <v/>
      </c>
    </row>
    <row r="124" spans="1:17" ht="15.75" customHeight="1">
      <c r="A124" s="10"/>
      <c r="B124" s="26" t="s">
        <v>226</v>
      </c>
      <c r="C124" s="74">
        <f>C19*Exchange_Rate*$C$3/(Market_Price*Common_Shares)</f>
        <v>6.7310869559827818E-2</v>
      </c>
      <c r="D124" s="26"/>
      <c r="E124" s="234"/>
      <c r="F124" s="26"/>
      <c r="G124" s="74">
        <f t="shared" ref="G124" si="49">IF(G$4="","",G123/Market_Price)</f>
        <v>7.123638831476746E-2</v>
      </c>
      <c r="H124" s="74">
        <f t="shared" ref="H124" si="50">IF(H$4="","",H123/Market_Price)</f>
        <v>5.4626554667111409E-2</v>
      </c>
      <c r="I124" s="74">
        <f t="shared" ref="I124" si="51">IF(I$4="","",I123/Market_Price)</f>
        <v>3.5845119809536377E-2</v>
      </c>
      <c r="J124" s="74">
        <f t="shared" ref="J124" si="52">IF(J$4="","",J123/Market_Price)</f>
        <v>2.8747756579887832E-2</v>
      </c>
      <c r="K124" s="74">
        <f t="shared" ref="K124" si="53">IF(K$4="","",K123/Market_Price)</f>
        <v>0.12460382176272104</v>
      </c>
      <c r="L124" s="74">
        <f t="shared" ref="L124" si="54">IF(L$4="","",L123/Market_Price)</f>
        <v>0.1219682524392367</v>
      </c>
      <c r="M124" s="74">
        <f t="shared" ref="M124" si="55">IF(M$4="","",M123/Market_Price)</f>
        <v>0.14613421851423689</v>
      </c>
      <c r="N124" s="74">
        <f t="shared" ref="N124" si="56">IF(N$4="","",N123/Market_Price)</f>
        <v>0.12823491321964287</v>
      </c>
      <c r="O124" s="74">
        <f t="shared" ref="O124" si="57">IF(O$4="","",O123/Market_Price)</f>
        <v>9.3445454354145391E-2</v>
      </c>
      <c r="P124" s="74">
        <f t="shared" ref="P124" si="58">IF(P$4="","",P123/Market_Price)</f>
        <v>0.11071709594089678</v>
      </c>
      <c r="Q124" s="74" t="str">
        <f t="shared" ref="Q124" si="59">IF(Q$4="","",Q123/Market_Price)</f>
        <v/>
      </c>
    </row>
    <row r="125" spans="1:17" ht="15.75" customHeight="1">
      <c r="B125" s="2" t="s">
        <v>306</v>
      </c>
      <c r="C125" s="151"/>
      <c r="G125" s="22">
        <f>IF(G$4="","",(Data!C47*$C$3)/(Market_Price*Common_Shares))</f>
        <v>3.3802507917683099E-2</v>
      </c>
      <c r="H125" s="22">
        <f>IF(H$4="","",(Data!D47*$C$3)/(Market_Price*Common_Shares))</f>
        <v>1.6550537904492936E-2</v>
      </c>
      <c r="I125" s="22">
        <f>IF(I$4="","",(Data!E47*$C$3)/(Market_Price*Common_Shares))</f>
        <v>2.9587451748472491E-3</v>
      </c>
      <c r="J125" s="22">
        <f>IF(J$4="","",(Data!F47*$C$3)/(Market_Price*Common_Shares))</f>
        <v>-2.2675844377737755E-2</v>
      </c>
      <c r="K125" s="22">
        <f>IF(K$4="","",(Data!G47*$C$3)/(Market_Price*Common_Shares))</f>
        <v>8.2832499906627347E-2</v>
      </c>
      <c r="L125" s="22">
        <f>IF(L$4="","",(Data!H47*$C$3)/(Market_Price*Common_Shares))</f>
        <v>8.0033937545064313E-2</v>
      </c>
      <c r="M125" s="22">
        <f>IF(M$4="","",(Data!I47*$C$3)/(Market_Price*Common_Shares))</f>
        <v>0.10505955138468984</v>
      </c>
      <c r="N125" s="22">
        <f>IF(N$4="","",(Data!J47*$C$3)/(Market_Price*Common_Shares))</f>
        <v>9.0215944020351921E-2</v>
      </c>
      <c r="O125" s="22">
        <f>IF(O$4="","",(Data!K47*$C$3)/(Market_Price*Common_Shares))</f>
        <v>9.1795149843598739E-2</v>
      </c>
      <c r="P125" s="22">
        <f>IF(P$4="","",(Data!L47*$C$3)/(Market_Price*Common_Shares))</f>
        <v>7.9423135185988425E-2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479042.59967047302</v>
      </c>
      <c r="D4" t="str">
        <f>Reporting_currency</f>
        <v>HKD</v>
      </c>
      <c r="E4" s="135" t="s">
        <v>431</v>
      </c>
      <c r="F4" s="275">
        <f>-BS!G31</f>
        <v>-563558</v>
      </c>
      <c r="G4" t="str">
        <f>Reporting_currency</f>
        <v>HKD</v>
      </c>
      <c r="H4" s="308" t="s">
        <v>394</v>
      </c>
      <c r="I4" s="305">
        <f>Normalized_FCF!C4</f>
        <v>6273585</v>
      </c>
      <c r="J4" s="305"/>
    </row>
    <row r="5" spans="2:15">
      <c r="B5" s="187" t="s">
        <v>105</v>
      </c>
      <c r="C5" s="188">
        <f>Equity_Cost</f>
        <v>7.2499999999999995E-2</v>
      </c>
      <c r="E5" s="135" t="s">
        <v>432</v>
      </c>
      <c r="F5" s="275">
        <f>BS!D66</f>
        <v>791294.38078016671</v>
      </c>
      <c r="G5" t="str">
        <f>Reporting_currency</f>
        <v>HKD</v>
      </c>
      <c r="H5" s="308" t="s">
        <v>395</v>
      </c>
      <c r="I5" s="305">
        <f>Normalized_FCF!C7</f>
        <v>-694418</v>
      </c>
      <c r="J5" s="305"/>
    </row>
    <row r="6" spans="2:15" ht="13.25" customHeight="1">
      <c r="B6" s="136" t="s">
        <v>194</v>
      </c>
      <c r="C6" s="283">
        <f>(C4*(1+Terminal_Growth))/(Equity_Cost-Terminal_Growth)</f>
        <v>9307113.3650263343</v>
      </c>
      <c r="D6" t="str">
        <f>Reporting_currency</f>
        <v>HKD</v>
      </c>
      <c r="E6" s="187" t="s">
        <v>433</v>
      </c>
      <c r="F6" s="284">
        <f>BS!H42</f>
        <v>0</v>
      </c>
      <c r="G6" t="str">
        <f>Reporting_currency</f>
        <v>HKD</v>
      </c>
      <c r="H6" s="308" t="s">
        <v>416</v>
      </c>
      <c r="I6" s="305">
        <f>I7+I8</f>
        <v>-30945.482284680995</v>
      </c>
      <c r="J6" s="305"/>
      <c r="N6" s="135"/>
    </row>
    <row r="7" spans="2:15" ht="12.75" customHeight="1">
      <c r="B7" s="318" t="s">
        <v>430</v>
      </c>
      <c r="C7" s="275">
        <f>F7</f>
        <v>227736.38078016671</v>
      </c>
      <c r="E7" s="140" t="s">
        <v>424</v>
      </c>
      <c r="F7" s="283">
        <f>SUM(F4:F6)</f>
        <v>227736.38078016671</v>
      </c>
      <c r="G7" t="str">
        <f>Reporting_currency</f>
        <v>HKD</v>
      </c>
      <c r="H7" s="312" t="s">
        <v>417</v>
      </c>
      <c r="I7" s="313">
        <f>Normalized_FCF!C9</f>
        <v>0</v>
      </c>
      <c r="J7" s="313"/>
      <c r="N7" s="304"/>
      <c r="O7" s="304"/>
    </row>
    <row r="8" spans="2:15" ht="13.15">
      <c r="B8" s="136" t="s">
        <v>426</v>
      </c>
      <c r="C8" s="283">
        <f>C6+C7</f>
        <v>9534849.7458065003</v>
      </c>
      <c r="D8" t="str">
        <f>Reporting_currency</f>
        <v>HKD</v>
      </c>
      <c r="E8" s="140" t="s">
        <v>464</v>
      </c>
      <c r="F8" s="108">
        <f>FV_adjustments*scaling_factor/Common_Shares*Exchange_Rate</f>
        <v>0.21823673453933465</v>
      </c>
      <c r="G8" s="294" t="str">
        <f>Market_currency</f>
        <v>HKD</v>
      </c>
      <c r="H8" s="314" t="str">
        <f>Normalized_FCF!B10</f>
        <v>Net Interest Income</v>
      </c>
      <c r="I8" s="313">
        <f>Normalized_FCF!C10</f>
        <v>-30945.482284680995</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5.4738034183544624E-3</v>
      </c>
      <c r="J9" s="306"/>
      <c r="N9" s="304"/>
      <c r="O9" s="304"/>
    </row>
    <row r="10" spans="2:15" ht="13.5" thickTop="1">
      <c r="B10" s="107" t="s">
        <v>427</v>
      </c>
      <c r="C10" s="283">
        <f>C8*Exchange_Rate</f>
        <v>9534849.7458065003</v>
      </c>
      <c r="D10" t="str">
        <f>Market_currency</f>
        <v>HKD</v>
      </c>
      <c r="H10" s="308" t="s">
        <v>397</v>
      </c>
      <c r="I10" s="306">
        <f>Normalized_FCF!C41</f>
        <v>0.216</v>
      </c>
      <c r="N10" s="304"/>
      <c r="O10" s="304"/>
    </row>
    <row r="11" spans="2:15" ht="13.15">
      <c r="B11" s="136" t="s">
        <v>425</v>
      </c>
      <c r="C11" s="108">
        <f>(C10*scaling_factor)/Common_Shares</f>
        <v>9.1371192679866926</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552</v>
      </c>
      <c r="C17" s="306">
        <f>Normalized_FCF!C77</f>
        <v>0.10437815343465008</v>
      </c>
      <c r="E17" s="308" t="s">
        <v>553</v>
      </c>
      <c r="F17" s="311">
        <f>Scenarios!C40</f>
        <v>0.15217050538089463</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10.925951123340464</v>
      </c>
      <c r="J18" t="str">
        <f>Market_currency</f>
        <v>HKD</v>
      </c>
    </row>
    <row r="19" spans="1:21">
      <c r="L19" s="275"/>
    </row>
    <row r="20" spans="1:21" ht="13.15">
      <c r="A20" s="121" t="s">
        <v>399</v>
      </c>
      <c r="B20" s="121" t="s">
        <v>98</v>
      </c>
      <c r="C20" s="121" t="s">
        <v>394</v>
      </c>
      <c r="D20" s="121" t="s">
        <v>102</v>
      </c>
      <c r="E20" s="121" t="s">
        <v>552</v>
      </c>
      <c r="F20" s="121" t="s">
        <v>554</v>
      </c>
      <c r="G20" s="121" t="str">
        <f>B18</f>
        <v>D&amp;A - maint. Capx</v>
      </c>
      <c r="H20" s="121" t="s">
        <v>556</v>
      </c>
      <c r="I20" s="121" t="s">
        <v>530</v>
      </c>
      <c r="J20" s="121" t="s">
        <v>555</v>
      </c>
      <c r="K20" s="121" t="s">
        <v>531</v>
      </c>
      <c r="L20" s="122" t="s">
        <v>419</v>
      </c>
    </row>
    <row r="21" spans="1:21">
      <c r="A21" s="302" t="str">
        <f t="shared" ref="A21:A50" si="0">IF($C$15&lt;B21,"",IF(B21&gt;=$F$15,"II","I"))</f>
        <v>I</v>
      </c>
      <c r="B21" s="117">
        <v>1</v>
      </c>
      <c r="C21" s="277">
        <f>I4*(1+D21)</f>
        <v>6423247.1239794269</v>
      </c>
      <c r="D21" s="299">
        <f t="shared" ref="D21:D50" si="1">IF(A21="",0,IF(A21="I",$C$16,$F$16))</f>
        <v>2.38559171477595E-2</v>
      </c>
      <c r="E21" s="299">
        <f>$C$17</f>
        <v>0.10437815343465008</v>
      </c>
      <c r="F21" s="277">
        <f>C21*E21</f>
        <v>670446.67385539948</v>
      </c>
      <c r="G21" s="299">
        <f t="shared" ref="G21:G50" si="2">IF(A21="",0%,IF(A21="I",$C$18,$F$18))</f>
        <v>0</v>
      </c>
      <c r="H21" s="277">
        <f>(F21*(1-$I$10)+C21*(G21-$I$9))</f>
        <v>490470.60023845913</v>
      </c>
      <c r="I21" s="299">
        <f>H21/C4-1</f>
        <v>2.3855917147759476E-2</v>
      </c>
      <c r="J21" s="299">
        <f>H21/C21</f>
        <v>7.6358668874411201E-2</v>
      </c>
      <c r="K21" s="119">
        <f t="shared" ref="K21:K50" si="3">IF($C$15&lt;B21,0,1/(1+Equity_Cost)^B21)</f>
        <v>0.93240093240093236</v>
      </c>
      <c r="L21" s="277">
        <f t="shared" ref="L21:L51" si="4">H21*K21</f>
        <v>457315.24497758423</v>
      </c>
    </row>
    <row r="22" spans="1:21">
      <c r="A22" s="302" t="str">
        <f t="shared" si="0"/>
        <v>I</v>
      </c>
      <c r="B22" s="117">
        <v>2</v>
      </c>
      <c r="C22" s="277">
        <f t="shared" ref="C22:C50" si="5">IF(A22="",0,C21*(1+D22))</f>
        <v>6576479.5751886647</v>
      </c>
      <c r="D22" s="299">
        <f t="shared" si="1"/>
        <v>2.38559171477595E-2</v>
      </c>
      <c r="E22" s="299">
        <f t="shared" ref="E22:E50" si="6">IF($C$15&lt;B22,0,IF(B22&gt;=$F$15,$F$17,$C$17))</f>
        <v>0.10437815343465008</v>
      </c>
      <c r="F22" s="277">
        <f t="shared" ref="F22:F50" si="7">IF(A22="", 0,C22*E22)</f>
        <v>686440.79415888479</v>
      </c>
      <c r="G22" s="299">
        <f t="shared" si="2"/>
        <v>0</v>
      </c>
      <c r="H22" s="277">
        <f t="shared" ref="H22:H50" si="8">IF(A22="", 0,F22*(1-$I$10)+C22*(G22-$I$9))</f>
        <v>502171.22624115966</v>
      </c>
      <c r="I22" s="299">
        <f t="shared" ref="I22:I50" si="9">IF(A22="", 0,H22/H21-1)</f>
        <v>2.3855917147759476E-2</v>
      </c>
      <c r="J22" s="299">
        <f>IF(A22="", 0,H22/C22)</f>
        <v>7.6358668874411201E-2</v>
      </c>
      <c r="K22" s="119">
        <f t="shared" si="3"/>
        <v>0.86937149874212816</v>
      </c>
      <c r="L22" s="277">
        <f t="shared" si="4"/>
        <v>436573.35158244928</v>
      </c>
    </row>
    <row r="23" spans="1:21">
      <c r="A23" s="302" t="str">
        <f t="shared" si="0"/>
        <v>I</v>
      </c>
      <c r="B23" s="117">
        <v>3</v>
      </c>
      <c r="C23" s="277">
        <f t="shared" si="5"/>
        <v>6733367.5270582978</v>
      </c>
      <c r="D23" s="299">
        <f t="shared" si="1"/>
        <v>2.38559171477595E-2</v>
      </c>
      <c r="E23" s="299">
        <f t="shared" si="6"/>
        <v>0.10437815343465008</v>
      </c>
      <c r="F23" s="277">
        <f t="shared" si="7"/>
        <v>702816.46887118137</v>
      </c>
      <c r="G23" s="299">
        <f t="shared" si="2"/>
        <v>0</v>
      </c>
      <c r="H23" s="277">
        <f t="shared" si="8"/>
        <v>514150.98140835756</v>
      </c>
      <c r="I23" s="299">
        <f t="shared" si="9"/>
        <v>2.3855917147759476E-2</v>
      </c>
      <c r="J23" s="299">
        <f t="shared" ref="J23:J50" si="10">IF(A23="", 0,H23/C23)</f>
        <v>7.6358668874411201E-2</v>
      </c>
      <c r="K23" s="119">
        <f t="shared" si="3"/>
        <v>0.81060279602995633</v>
      </c>
      <c r="L23" s="277">
        <f t="shared" si="4"/>
        <v>416772.22311116074</v>
      </c>
      <c r="N23" s="275"/>
      <c r="O23" s="275"/>
      <c r="P23" s="275"/>
      <c r="Q23" s="275"/>
      <c r="R23" s="275"/>
      <c r="S23" s="275"/>
      <c r="T23" s="275"/>
      <c r="U23" s="275"/>
    </row>
    <row r="24" spans="1:21">
      <c r="A24" s="302" t="str">
        <f t="shared" si="0"/>
        <v>I</v>
      </c>
      <c r="B24" s="117">
        <v>4</v>
      </c>
      <c r="C24" s="277">
        <f t="shared" si="5"/>
        <v>6893998.1849092143</v>
      </c>
      <c r="D24" s="299">
        <f t="shared" si="1"/>
        <v>2.38559171477595E-2</v>
      </c>
      <c r="E24" s="299">
        <f t="shared" si="6"/>
        <v>0.10437815343465008</v>
      </c>
      <c r="F24" s="277">
        <f t="shared" si="7"/>
        <v>719582.80032265314</v>
      </c>
      <c r="G24" s="299">
        <f t="shared" si="2"/>
        <v>0</v>
      </c>
      <c r="H24" s="277">
        <f t="shared" si="8"/>
        <v>526416.52462227456</v>
      </c>
      <c r="I24" s="299">
        <f t="shared" si="9"/>
        <v>2.3855917147759476E-2</v>
      </c>
      <c r="J24" s="299">
        <f t="shared" si="10"/>
        <v>7.6358668874411201E-2</v>
      </c>
      <c r="K24" s="119">
        <f t="shared" si="3"/>
        <v>0.75580680282513402</v>
      </c>
      <c r="L24" s="277">
        <f t="shared" si="4"/>
        <v>397869.19042907975</v>
      </c>
      <c r="N24" s="275"/>
      <c r="O24" s="275"/>
      <c r="P24" s="275"/>
      <c r="Q24" s="275"/>
      <c r="R24" s="275"/>
      <c r="S24" s="275"/>
      <c r="T24" s="275"/>
      <c r="U24" s="275"/>
    </row>
    <row r="25" spans="1:21">
      <c r="A25" s="302" t="str">
        <f t="shared" si="0"/>
        <v>I</v>
      </c>
      <c r="B25" s="117">
        <v>5</v>
      </c>
      <c r="C25" s="277">
        <f t="shared" si="5"/>
        <v>7058460.8344252128</v>
      </c>
      <c r="D25" s="299">
        <f t="shared" si="1"/>
        <v>2.38559171477595E-2</v>
      </c>
      <c r="E25" s="299">
        <f t="shared" si="6"/>
        <v>0.10437815343465008</v>
      </c>
      <c r="F25" s="277">
        <f t="shared" si="7"/>
        <v>736749.10798810306</v>
      </c>
      <c r="G25" s="299">
        <f t="shared" si="2"/>
        <v>0</v>
      </c>
      <c r="H25" s="277">
        <f t="shared" si="8"/>
        <v>538974.67361887498</v>
      </c>
      <c r="I25" s="299">
        <f t="shared" si="9"/>
        <v>2.3855917147759476E-2</v>
      </c>
      <c r="J25" s="299">
        <f t="shared" si="10"/>
        <v>7.6358668874411201E-2</v>
      </c>
      <c r="K25" s="119">
        <f t="shared" si="3"/>
        <v>0.70471496766912267</v>
      </c>
      <c r="L25" s="277">
        <f t="shared" si="4"/>
        <v>379823.51969380141</v>
      </c>
      <c r="N25" s="275"/>
      <c r="O25" s="275"/>
      <c r="P25" s="275"/>
      <c r="Q25" s="275"/>
      <c r="R25" s="275"/>
      <c r="S25" s="275"/>
      <c r="T25" s="275"/>
      <c r="U25" s="275"/>
    </row>
    <row r="26" spans="1:21">
      <c r="A26" s="302" t="str">
        <f t="shared" si="0"/>
        <v>I</v>
      </c>
      <c r="B26" s="117">
        <v>6</v>
      </c>
      <c r="C26" s="277">
        <f t="shared" si="5"/>
        <v>7226846.8912819661</v>
      </c>
      <c r="D26" s="299">
        <f t="shared" si="1"/>
        <v>2.38559171477595E-2</v>
      </c>
      <c r="E26" s="299">
        <f t="shared" si="6"/>
        <v>0.10437815343465008</v>
      </c>
      <c r="F26" s="277">
        <f t="shared" si="7"/>
        <v>754324.933666953</v>
      </c>
      <c r="G26" s="299">
        <f t="shared" si="2"/>
        <v>0</v>
      </c>
      <c r="H26" s="277">
        <f t="shared" si="8"/>
        <v>551832.40877746756</v>
      </c>
      <c r="I26" s="299">
        <f t="shared" si="9"/>
        <v>2.3855917147759476E-2</v>
      </c>
      <c r="J26" s="299">
        <f t="shared" si="10"/>
        <v>7.6358668874411187E-2</v>
      </c>
      <c r="K26" s="119">
        <f t="shared" si="3"/>
        <v>0.65707689293158289</v>
      </c>
      <c r="L26" s="277">
        <f t="shared" si="4"/>
        <v>362596.32457844954</v>
      </c>
    </row>
    <row r="27" spans="1:21">
      <c r="A27" s="302" t="str">
        <f t="shared" si="0"/>
        <v>I</v>
      </c>
      <c r="B27" s="117">
        <v>7</v>
      </c>
      <c r="C27" s="277">
        <f t="shared" si="5"/>
        <v>7399249.9519599322</v>
      </c>
      <c r="D27" s="299">
        <f t="shared" si="1"/>
        <v>2.38559171477595E-2</v>
      </c>
      <c r="E27" s="299">
        <f t="shared" si="6"/>
        <v>0.10437815343465008</v>
      </c>
      <c r="F27" s="277">
        <f t="shared" si="7"/>
        <v>772320.04678700108</v>
      </c>
      <c r="G27" s="299">
        <f t="shared" si="2"/>
        <v>0</v>
      </c>
      <c r="H27" s="277">
        <f t="shared" si="8"/>
        <v>564996.87700071151</v>
      </c>
      <c r="I27" s="299">
        <f t="shared" si="9"/>
        <v>2.3855917147759698E-2</v>
      </c>
      <c r="J27" s="299">
        <f t="shared" si="10"/>
        <v>7.6358668874411215E-2</v>
      </c>
      <c r="K27" s="119">
        <f t="shared" si="3"/>
        <v>0.61265910762851561</v>
      </c>
      <c r="L27" s="277">
        <f t="shared" si="4"/>
        <v>346150.48247615411</v>
      </c>
    </row>
    <row r="28" spans="1:21">
      <c r="A28" s="302" t="str">
        <f t="shared" si="0"/>
        <v>II</v>
      </c>
      <c r="B28" s="117">
        <v>8</v>
      </c>
      <c r="C28" s="277">
        <f t="shared" si="5"/>
        <v>7575765.8457694519</v>
      </c>
      <c r="D28" s="299">
        <f t="shared" si="1"/>
        <v>2.38559171477595E-2</v>
      </c>
      <c r="E28" s="299">
        <f t="shared" si="6"/>
        <v>0.15217050538089463</v>
      </c>
      <c r="F28" s="277">
        <f t="shared" si="7"/>
        <v>1152808.1173980581</v>
      </c>
      <c r="G28" s="299">
        <f t="shared" si="2"/>
        <v>0</v>
      </c>
      <c r="H28" s="277">
        <f t="shared" si="8"/>
        <v>862333.31105685164</v>
      </c>
      <c r="I28" s="299">
        <f t="shared" si="9"/>
        <v>0.5262620841986807</v>
      </c>
      <c r="J28" s="299">
        <f t="shared" si="10"/>
        <v>0.1138278728002669</v>
      </c>
      <c r="K28" s="119">
        <f t="shared" si="3"/>
        <v>0.5712439231967511</v>
      </c>
      <c r="L28" s="277">
        <f t="shared" si="4"/>
        <v>492602.66371136025</v>
      </c>
    </row>
    <row r="29" spans="1:21">
      <c r="A29" s="302" t="str">
        <f t="shared" si="0"/>
        <v>II</v>
      </c>
      <c r="B29" s="117">
        <v>9</v>
      </c>
      <c r="C29" s="277">
        <f t="shared" si="5"/>
        <v>7756492.6881169537</v>
      </c>
      <c r="D29" s="299">
        <f t="shared" si="1"/>
        <v>2.38559171477595E-2</v>
      </c>
      <c r="E29" s="299">
        <f t="shared" si="6"/>
        <v>0.15217050538089463</v>
      </c>
      <c r="F29" s="277">
        <f t="shared" si="7"/>
        <v>1180309.4123339709</v>
      </c>
      <c r="G29" s="299">
        <f t="shared" si="2"/>
        <v>0</v>
      </c>
      <c r="H29" s="277">
        <f t="shared" si="8"/>
        <v>882905.06307917717</v>
      </c>
      <c r="I29" s="299">
        <f t="shared" si="9"/>
        <v>2.3855917147759698E-2</v>
      </c>
      <c r="J29" s="299">
        <f t="shared" si="10"/>
        <v>0.11382787280026693</v>
      </c>
      <c r="K29" s="119">
        <f t="shared" si="3"/>
        <v>0.53262836661701729</v>
      </c>
      <c r="L29" s="277">
        <f t="shared" si="4"/>
        <v>470260.28162575676</v>
      </c>
    </row>
    <row r="30" spans="1:21">
      <c r="A30" s="302" t="str">
        <f t="shared" si="0"/>
        <v>II</v>
      </c>
      <c r="B30" s="117">
        <v>10</v>
      </c>
      <c r="C30" s="277">
        <f t="shared" si="5"/>
        <v>7941530.9350418737</v>
      </c>
      <c r="D30" s="299">
        <f t="shared" si="1"/>
        <v>2.38559171477595E-2</v>
      </c>
      <c r="E30" s="299">
        <f t="shared" si="6"/>
        <v>0.15217050538089463</v>
      </c>
      <c r="F30" s="277">
        <f t="shared" si="7"/>
        <v>1208466.7758833307</v>
      </c>
      <c r="G30" s="299">
        <f t="shared" si="2"/>
        <v>0</v>
      </c>
      <c r="H30" s="277">
        <f t="shared" si="8"/>
        <v>903967.57311333145</v>
      </c>
      <c r="I30" s="299">
        <f t="shared" si="9"/>
        <v>2.3855917147759476E-2</v>
      </c>
      <c r="J30" s="299">
        <f t="shared" si="10"/>
        <v>0.11382787280026695</v>
      </c>
      <c r="K30" s="119">
        <f t="shared" si="3"/>
        <v>0.49662318565689262</v>
      </c>
      <c r="L30" s="277">
        <f t="shared" si="4"/>
        <v>448931.25589007267</v>
      </c>
    </row>
    <row r="31" spans="1:21">
      <c r="A31" s="302" t="str">
        <f t="shared" si="0"/>
        <v>II</v>
      </c>
      <c r="B31" s="117">
        <v>11</v>
      </c>
      <c r="C31" s="277">
        <f t="shared" si="5"/>
        <v>8130983.4390546018</v>
      </c>
      <c r="D31" s="299">
        <f t="shared" si="1"/>
        <v>2.38559171477595E-2</v>
      </c>
      <c r="E31" s="299">
        <f t="shared" si="6"/>
        <v>0.15217050538089463</v>
      </c>
      <c r="F31" s="277">
        <f t="shared" si="7"/>
        <v>1237295.8591646235</v>
      </c>
      <c r="G31" s="299">
        <f t="shared" si="2"/>
        <v>0</v>
      </c>
      <c r="H31" s="277">
        <f t="shared" si="8"/>
        <v>925532.54864178423</v>
      </c>
      <c r="I31" s="299">
        <f t="shared" si="9"/>
        <v>2.3855917147759476E-2</v>
      </c>
      <c r="J31" s="299">
        <f t="shared" si="10"/>
        <v>0.11382787280026693</v>
      </c>
      <c r="K31" s="119">
        <f t="shared" si="3"/>
        <v>0.46305192135840806</v>
      </c>
      <c r="L31" s="277">
        <f t="shared" si="4"/>
        <v>428569.62492832245</v>
      </c>
    </row>
    <row r="32" spans="1:21">
      <c r="A32" s="302" t="str">
        <f t="shared" si="0"/>
        <v>II</v>
      </c>
      <c r="B32" s="117">
        <v>12</v>
      </c>
      <c r="C32" s="277">
        <f t="shared" si="5"/>
        <v>8324955.5063064927</v>
      </c>
      <c r="D32" s="299">
        <f t="shared" si="1"/>
        <v>2.38559171477595E-2</v>
      </c>
      <c r="E32" s="299">
        <f t="shared" si="6"/>
        <v>0.15217050538089463</v>
      </c>
      <c r="F32" s="277">
        <f t="shared" si="7"/>
        <v>1266812.6866681206</v>
      </c>
      <c r="G32" s="299">
        <f t="shared" si="2"/>
        <v>0</v>
      </c>
      <c r="H32" s="277">
        <f t="shared" si="8"/>
        <v>947611.97643973725</v>
      </c>
      <c r="I32" s="299">
        <f t="shared" si="9"/>
        <v>2.3855917147759476E-2</v>
      </c>
      <c r="J32" s="299">
        <f t="shared" si="10"/>
        <v>0.11382787280026693</v>
      </c>
      <c r="K32" s="119">
        <f t="shared" si="3"/>
        <v>0.43175004322462285</v>
      </c>
      <c r="L32" s="277">
        <f t="shared" si="4"/>
        <v>409131.51178802684</v>
      </c>
    </row>
    <row r="33" spans="1:21">
      <c r="A33" s="302" t="str">
        <f t="shared" si="0"/>
        <v>II</v>
      </c>
      <c r="B33" s="117">
        <v>13</v>
      </c>
      <c r="C33" s="277">
        <f t="shared" si="5"/>
        <v>8523554.9551237244</v>
      </c>
      <c r="D33" s="299">
        <f t="shared" si="1"/>
        <v>2.38559171477595E-2</v>
      </c>
      <c r="E33" s="299">
        <f t="shared" si="6"/>
        <v>0.15217050538089463</v>
      </c>
      <c r="F33" s="277">
        <f t="shared" si="7"/>
        <v>1297033.6651630057</v>
      </c>
      <c r="G33" s="299">
        <f t="shared" si="2"/>
        <v>0</v>
      </c>
      <c r="H33" s="277">
        <f t="shared" si="8"/>
        <v>970218.12923790817</v>
      </c>
      <c r="I33" s="299">
        <f t="shared" si="9"/>
        <v>2.3855917147759476E-2</v>
      </c>
      <c r="J33" s="299">
        <f t="shared" si="10"/>
        <v>0.11382787280026693</v>
      </c>
      <c r="K33" s="119">
        <f t="shared" si="3"/>
        <v>0.40256414286678116</v>
      </c>
      <c r="L33" s="277">
        <f t="shared" si="4"/>
        <v>390575.02959047043</v>
      </c>
      <c r="N33" s="275"/>
      <c r="O33" s="275"/>
      <c r="P33" s="275"/>
      <c r="Q33" s="275"/>
      <c r="R33" s="275"/>
      <c r="S33" s="275"/>
      <c r="T33" s="275"/>
      <c r="U33" s="275"/>
    </row>
    <row r="34" spans="1:21">
      <c r="A34" s="302" t="str">
        <f t="shared" si="0"/>
        <v>II</v>
      </c>
      <c r="B34" s="117">
        <v>14</v>
      </c>
      <c r="C34" s="277">
        <f t="shared" si="5"/>
        <v>8726892.1759375315</v>
      </c>
      <c r="D34" s="299">
        <f t="shared" si="1"/>
        <v>2.38559171477595E-2</v>
      </c>
      <c r="E34" s="299">
        <f t="shared" si="6"/>
        <v>0.15217050538089463</v>
      </c>
      <c r="F34" s="277">
        <f t="shared" si="7"/>
        <v>1327975.5928169894</v>
      </c>
      <c r="G34" s="299">
        <f t="shared" si="2"/>
        <v>0</v>
      </c>
      <c r="H34" s="277">
        <f t="shared" si="8"/>
        <v>993363.57254426205</v>
      </c>
      <c r="I34" s="299">
        <f t="shared" si="9"/>
        <v>2.3855917147759698E-2</v>
      </c>
      <c r="J34" s="299">
        <f t="shared" si="10"/>
        <v>0.11382787280026693</v>
      </c>
      <c r="K34" s="119">
        <f t="shared" si="3"/>
        <v>0.37535118216016894</v>
      </c>
      <c r="L34" s="277">
        <f t="shared" si="4"/>
        <v>372860.19126933749</v>
      </c>
      <c r="N34" s="275"/>
      <c r="O34" s="275"/>
      <c r="P34" s="275"/>
      <c r="Q34" s="275"/>
      <c r="R34" s="275"/>
      <c r="S34" s="275"/>
      <c r="T34" s="275"/>
      <c r="U34" s="275"/>
    </row>
    <row r="35" spans="1:21">
      <c r="A35" s="302" t="str">
        <f t="shared" si="0"/>
        <v>II</v>
      </c>
      <c r="B35" s="117">
        <v>15</v>
      </c>
      <c r="C35" s="277">
        <f t="shared" si="5"/>
        <v>8935080.1926441286</v>
      </c>
      <c r="D35" s="299">
        <f t="shared" si="1"/>
        <v>2.38559171477595E-2</v>
      </c>
      <c r="E35" s="299">
        <f t="shared" si="6"/>
        <v>0.15217050538089463</v>
      </c>
      <c r="F35" s="277">
        <f t="shared" si="7"/>
        <v>1359655.6685334784</v>
      </c>
      <c r="G35" s="299">
        <f t="shared" si="2"/>
        <v>0</v>
      </c>
      <c r="H35" s="277">
        <f t="shared" si="8"/>
        <v>1017061.1716284804</v>
      </c>
      <c r="I35" s="299">
        <f t="shared" si="9"/>
        <v>2.3855917147759476E-2</v>
      </c>
      <c r="J35" s="299">
        <f t="shared" si="10"/>
        <v>0.11382787280026693</v>
      </c>
      <c r="K35" s="119">
        <f t="shared" si="3"/>
        <v>0.34997779222393377</v>
      </c>
      <c r="L35" s="277">
        <f t="shared" si="4"/>
        <v>355948.82340322295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9113781.7964970116</v>
      </c>
      <c r="D51" s="301">
        <f>Terminal_Growth</f>
        <v>0.02</v>
      </c>
      <c r="E51" s="301">
        <f>F17</f>
        <v>0.15217050538089463</v>
      </c>
      <c r="F51" s="277">
        <f>C51*E51</f>
        <v>1386848.7819041479</v>
      </c>
      <c r="G51" s="299">
        <f>F18</f>
        <v>0</v>
      </c>
      <c r="H51" s="277">
        <f>(F51*(1-$I$10)+C51*(G51-$I$9))/Equity_Cost</f>
        <v>14308998.55256621</v>
      </c>
      <c r="I51" s="415">
        <f>(F51*(1-$I$10)+C51*(G51-$I$9))/VLOOKUP(C15,B21:H50,COLUMN(H20)-1,FALSE)-1</f>
        <v>2.0000000000000018E-2</v>
      </c>
      <c r="J51" s="454"/>
      <c r="K51" s="119">
        <f>1/(1+Equity_Cost)^C15</f>
        <v>0.34997779222393377</v>
      </c>
      <c r="L51" s="277">
        <f t="shared" si="4"/>
        <v>5007831.7223625863</v>
      </c>
    </row>
    <row r="52" spans="1:21" ht="13.15">
      <c r="G52" s="111"/>
      <c r="H52" s="111"/>
      <c r="I52" s="111"/>
      <c r="J52" s="468" t="s">
        <v>420</v>
      </c>
      <c r="K52" s="468"/>
      <c r="L52" s="317">
        <f>SUM(L21:L51)</f>
        <v>11173811.441417836</v>
      </c>
    </row>
    <row r="53" spans="1:21">
      <c r="C53" s="111"/>
    </row>
    <row r="54" spans="1:21" ht="13.15">
      <c r="B54" s="115" t="s">
        <v>108</v>
      </c>
      <c r="C54" s="128"/>
      <c r="D54" s="128"/>
      <c r="E54" s="113"/>
      <c r="F54" s="113"/>
      <c r="G54" s="113"/>
      <c r="H54" s="113"/>
      <c r="I54" s="113"/>
      <c r="J54" s="113"/>
      <c r="K54" s="113"/>
      <c r="L54" s="113"/>
    </row>
    <row r="55" spans="1:21" ht="13.15">
      <c r="A55" s="125">
        <f>L52</f>
        <v>11173811.441417836</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9814279.8883100115</v>
      </c>
      <c r="C56" s="118">
        <v>9912422.6871931106</v>
      </c>
      <c r="D56" s="118">
        <v>10010565.486076213</v>
      </c>
      <c r="E56" s="118">
        <v>10108708.284959309</v>
      </c>
      <c r="F56" s="118">
        <v>10304993.882725511</v>
      </c>
      <c r="G56" s="295"/>
      <c r="H56" s="295"/>
      <c r="I56" s="295"/>
      <c r="J56" s="295"/>
      <c r="K56" s="295"/>
      <c r="L56" s="295"/>
    </row>
    <row r="57" spans="1:21" ht="13.15">
      <c r="A57" s="131">
        <v>2</v>
      </c>
      <c r="B57" s="118">
        <v>9801863.3709403966</v>
      </c>
      <c r="C57" s="118">
        <v>9994369.5610537138</v>
      </c>
      <c r="D57" s="118">
        <v>10188746.791887904</v>
      </c>
      <c r="E57" s="118">
        <v>10384995.063442957</v>
      </c>
      <c r="F57" s="118">
        <v>10783104.728715679</v>
      </c>
      <c r="G57" s="295"/>
      <c r="H57" s="295"/>
      <c r="I57" s="295"/>
      <c r="J57" s="295"/>
      <c r="K57" s="295"/>
      <c r="L57" s="295"/>
    </row>
    <row r="58" spans="1:21" ht="13.15">
      <c r="A58" s="131">
        <v>3</v>
      </c>
      <c r="B58" s="118">
        <v>9790286.1985677965</v>
      </c>
      <c r="C58" s="118">
        <v>10071540.97606463</v>
      </c>
      <c r="D58" s="118">
        <v>10358205.93587664</v>
      </c>
      <c r="E58" s="118">
        <v>10650333.414807204</v>
      </c>
      <c r="F58" s="118">
        <v>11251185.277237521</v>
      </c>
      <c r="G58" s="295"/>
      <c r="H58" s="295"/>
      <c r="I58" s="295"/>
      <c r="J58" s="295"/>
      <c r="K58" s="295"/>
      <c r="L58" s="295"/>
    </row>
    <row r="59" spans="1:21" ht="13.15">
      <c r="A59" s="131">
        <v>4</v>
      </c>
      <c r="B59" s="118">
        <v>9779491.6322530154</v>
      </c>
      <c r="C59" s="118">
        <v>10144215.222368615</v>
      </c>
      <c r="D59" s="118">
        <v>10519369.877012786</v>
      </c>
      <c r="E59" s="118">
        <v>10905157.192807367</v>
      </c>
      <c r="F59" s="118">
        <v>11709445.954112053</v>
      </c>
      <c r="G59" s="295"/>
      <c r="H59" s="295"/>
      <c r="I59" s="295"/>
      <c r="J59" s="295"/>
      <c r="K59" s="295"/>
      <c r="L59" s="295"/>
    </row>
    <row r="60" spans="1:21" ht="13.15">
      <c r="A60" s="131">
        <v>5</v>
      </c>
      <c r="B60" s="118">
        <v>9565066.8829123434</v>
      </c>
      <c r="C60" s="118">
        <v>10004186.853388794</v>
      </c>
      <c r="D60" s="118">
        <v>10460028.649153311</v>
      </c>
      <c r="E60" s="118">
        <v>10933077.656179186</v>
      </c>
      <c r="F60" s="118">
        <v>11932785.996710166</v>
      </c>
      <c r="G60" s="295"/>
      <c r="H60" s="295"/>
      <c r="I60" s="295"/>
      <c r="J60" s="295"/>
      <c r="K60" s="295"/>
      <c r="L60" s="295"/>
    </row>
    <row r="61" spans="1:21" ht="13.15">
      <c r="A61" s="131">
        <v>6</v>
      </c>
      <c r="B61" s="118">
        <v>9555682.3946169913</v>
      </c>
      <c r="C61" s="118">
        <v>10068637.708278472</v>
      </c>
      <c r="D61" s="118">
        <v>10605800.484218795</v>
      </c>
      <c r="E61" s="118">
        <v>11168105.76063884</v>
      </c>
      <c r="F61" s="118">
        <v>12372020.642254733</v>
      </c>
      <c r="G61" s="295"/>
      <c r="H61" s="295"/>
      <c r="I61" s="295"/>
      <c r="J61" s="295"/>
      <c r="K61" s="295"/>
      <c r="L61" s="295"/>
    </row>
    <row r="62" spans="1:21" ht="13.15">
      <c r="A62" s="131">
        <v>7</v>
      </c>
      <c r="B62" s="118">
        <v>9356386.9410605729</v>
      </c>
      <c r="C62" s="118">
        <v>9933013.6233365368</v>
      </c>
      <c r="D62" s="118">
        <v>10542228.387475109</v>
      </c>
      <c r="E62" s="118">
        <v>11185606.350693326</v>
      </c>
      <c r="F62" s="118">
        <v>12581460.516570132</v>
      </c>
      <c r="G62" s="295"/>
      <c r="H62" s="295"/>
      <c r="I62" s="295"/>
      <c r="J62" s="295"/>
      <c r="K62" s="295"/>
      <c r="L62" s="295"/>
    </row>
    <row r="63" spans="1:21" ht="13.15">
      <c r="A63" s="131">
        <v>8</v>
      </c>
      <c r="B63" s="118">
        <v>9348228.3344063163</v>
      </c>
      <c r="C63" s="118">
        <v>9990171.5975470319</v>
      </c>
      <c r="D63" s="118">
        <v>10674078.153300881</v>
      </c>
      <c r="E63" s="118">
        <v>11402376.584301054</v>
      </c>
      <c r="F63" s="118">
        <v>13002459.052081574</v>
      </c>
      <c r="G63" s="295"/>
      <c r="H63" s="295"/>
      <c r="I63" s="295"/>
      <c r="J63" s="295"/>
      <c r="K63" s="295"/>
      <c r="L63" s="295"/>
    </row>
    <row r="64" spans="1:21" ht="13.15">
      <c r="A64" s="131">
        <v>9</v>
      </c>
      <c r="B64" s="118">
        <v>9162956.5818897784</v>
      </c>
      <c r="C64" s="118">
        <v>9859120.1297805868</v>
      </c>
      <c r="D64" s="118">
        <v>10607163.793035693</v>
      </c>
      <c r="E64" s="118">
        <v>11410593.71514282</v>
      </c>
      <c r="F64" s="118">
        <v>13198672.945771238</v>
      </c>
      <c r="G64" s="295"/>
      <c r="H64" s="295"/>
      <c r="I64" s="295"/>
      <c r="J64" s="295"/>
      <c r="K64" s="295"/>
      <c r="L64" s="295"/>
    </row>
    <row r="65" spans="1:21" ht="13.15">
      <c r="A65" s="131">
        <v>10</v>
      </c>
      <c r="B65" s="118">
        <v>9155863.7217951193</v>
      </c>
      <c r="C65" s="118">
        <v>9909810.4429104887</v>
      </c>
      <c r="D65" s="118">
        <v>10726421.129272845</v>
      </c>
      <c r="E65" s="118">
        <v>11610524.418266093</v>
      </c>
      <c r="F65" s="118">
        <v>13602192.496655108</v>
      </c>
      <c r="G65" s="295"/>
      <c r="H65" s="295"/>
      <c r="I65" s="295"/>
      <c r="J65" s="295"/>
      <c r="K65" s="295"/>
      <c r="L65" s="295"/>
    </row>
    <row r="66" spans="1:21" ht="13.15">
      <c r="A66" s="131">
        <v>15</v>
      </c>
      <c r="B66" s="118">
        <v>8662848.4765127506</v>
      </c>
      <c r="C66" s="277">
        <v>9629780.5506112427</v>
      </c>
      <c r="D66" s="118">
        <v>10718382.899369128</v>
      </c>
      <c r="E66" s="118">
        <v>11943844.058020264</v>
      </c>
      <c r="F66" s="118">
        <v>14875252.222583853</v>
      </c>
      <c r="G66" s="295"/>
      <c r="H66" s="295"/>
      <c r="I66" s="295"/>
      <c r="J66" s="295"/>
      <c r="K66" s="295"/>
      <c r="L66" s="295"/>
      <c r="M66" s="275"/>
      <c r="N66" s="275"/>
      <c r="O66" s="275"/>
      <c r="P66" s="275"/>
      <c r="Q66" s="275"/>
      <c r="R66" s="275"/>
      <c r="S66" s="275"/>
      <c r="T66" s="275"/>
      <c r="U66" s="275"/>
    </row>
    <row r="67" spans="1:21" ht="13.15">
      <c r="A67" s="132">
        <v>20</v>
      </c>
      <c r="B67" s="118">
        <v>8383007.2223415617</v>
      </c>
      <c r="C67" s="277">
        <v>9504786.4173546731</v>
      </c>
      <c r="D67" s="118">
        <v>10811525.873104215</v>
      </c>
      <c r="E67" s="118">
        <v>12334947.697280739</v>
      </c>
      <c r="F67" s="118">
        <v>16186221.156987902</v>
      </c>
      <c r="G67" s="295"/>
      <c r="H67" s="295"/>
      <c r="I67" s="295"/>
      <c r="J67" s="295"/>
      <c r="K67" s="295"/>
      <c r="L67" s="295"/>
      <c r="M67" s="275"/>
      <c r="N67" s="275"/>
      <c r="O67" s="275"/>
      <c r="P67" s="275"/>
      <c r="Q67" s="275"/>
      <c r="R67" s="275"/>
      <c r="S67" s="275"/>
      <c r="T67" s="275"/>
      <c r="U67" s="275"/>
    </row>
    <row r="68" spans="1:21" ht="13.15">
      <c r="A68" s="132">
        <v>25</v>
      </c>
      <c r="B68" s="118">
        <v>8041583.4567711819</v>
      </c>
      <c r="C68" s="277">
        <v>9256573.4063230623</v>
      </c>
      <c r="D68" s="118">
        <v>10716473.74578896</v>
      </c>
      <c r="E68" s="118">
        <v>12474629.398934327</v>
      </c>
      <c r="F68" s="118">
        <v>17159873.460580766</v>
      </c>
      <c r="G68" s="295"/>
      <c r="H68" s="295"/>
      <c r="I68" s="295"/>
      <c r="J68" s="295"/>
      <c r="K68" s="295"/>
      <c r="L68" s="295"/>
      <c r="M68" s="275"/>
      <c r="N68" s="275"/>
      <c r="O68" s="275"/>
      <c r="P68" s="275"/>
      <c r="Q68" s="275"/>
      <c r="R68" s="275"/>
      <c r="S68" s="275"/>
      <c r="T68" s="275"/>
      <c r="U68" s="275"/>
    </row>
    <row r="69" spans="1:21" ht="13.15">
      <c r="A69" s="132">
        <v>30</v>
      </c>
      <c r="B69" s="118">
        <v>7848611.5001595914</v>
      </c>
      <c r="C69" s="277">
        <v>9133771.931616772</v>
      </c>
      <c r="D69" s="118">
        <v>10719854.496215774</v>
      </c>
      <c r="E69" s="118">
        <v>12685794.413808919</v>
      </c>
      <c r="F69" s="118">
        <v>18184857.791080728</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9.1371192679866926</v>
      </c>
      <c r="C73" s="119">
        <f>C11</f>
        <v>9.1371192679866926</v>
      </c>
      <c r="D73" s="119">
        <f>C11</f>
        <v>9.1371192679866926</v>
      </c>
      <c r="E73" s="119">
        <f>C11</f>
        <v>9.1371192679866926</v>
      </c>
      <c r="F73" s="119">
        <f>C11</f>
        <v>9.1371192679866926</v>
      </c>
      <c r="G73" s="296"/>
      <c r="H73" s="296"/>
      <c r="I73" s="296"/>
      <c r="J73" s="296"/>
      <c r="K73" s="296"/>
      <c r="L73" s="296"/>
    </row>
    <row r="74" spans="1:21" ht="13.15">
      <c r="A74" s="131">
        <v>1</v>
      </c>
      <c r="B74" s="119">
        <f t="shared" ref="B74:F87" si="11">(B56+FV_adjustments)/Common_Shares*scaling_factor*Exchange_Rate</f>
        <v>9.6231301790669832</v>
      </c>
      <c r="C74" s="119">
        <f t="shared" si="11"/>
        <v>9.7171791135122589</v>
      </c>
      <c r="D74" s="119">
        <f t="shared" si="11"/>
        <v>9.8112280479575382</v>
      </c>
      <c r="E74" s="119">
        <f t="shared" si="11"/>
        <v>9.9052769824028104</v>
      </c>
      <c r="F74" s="119">
        <f t="shared" si="11"/>
        <v>10.093374851293365</v>
      </c>
      <c r="G74" s="296"/>
      <c r="H74" s="296"/>
      <c r="I74" s="296"/>
      <c r="J74" s="296"/>
      <c r="K74" s="296"/>
      <c r="L74" s="296"/>
    </row>
    <row r="75" spans="1:21" ht="13.15">
      <c r="A75" s="131">
        <v>2</v>
      </c>
      <c r="B75" s="119">
        <f t="shared" si="11"/>
        <v>9.6112315961712138</v>
      </c>
      <c r="C75" s="119">
        <f t="shared" si="11"/>
        <v>9.7957077091445406</v>
      </c>
      <c r="D75" s="119">
        <f t="shared" si="11"/>
        <v>9.9819768154714748</v>
      </c>
      <c r="E75" s="119">
        <f t="shared" si="11"/>
        <v>10.170038915152007</v>
      </c>
      <c r="F75" s="119">
        <f t="shared" si="11"/>
        <v>10.551542094573891</v>
      </c>
      <c r="G75" s="296"/>
      <c r="H75" s="296"/>
      <c r="I75" s="296"/>
      <c r="J75" s="296"/>
      <c r="K75" s="296"/>
      <c r="L75" s="296"/>
    </row>
    <row r="76" spans="1:21" ht="13.15">
      <c r="A76" s="131">
        <v>3</v>
      </c>
      <c r="B76" s="119">
        <f t="shared" si="11"/>
        <v>9.6001373463849475</v>
      </c>
      <c r="C76" s="119">
        <f t="shared" si="11"/>
        <v>9.8696600462900896</v>
      </c>
      <c r="D76" s="119">
        <f t="shared" si="11"/>
        <v>10.1443672517085</v>
      </c>
      <c r="E76" s="119">
        <f t="shared" si="11"/>
        <v>10.424309116300419</v>
      </c>
      <c r="F76" s="119">
        <f t="shared" si="11"/>
        <v>11.000097437645735</v>
      </c>
      <c r="G76" s="296"/>
      <c r="H76" s="296"/>
      <c r="I76" s="296"/>
      <c r="J76" s="296"/>
      <c r="K76" s="296"/>
      <c r="L76" s="296"/>
    </row>
    <row r="77" spans="1:21" ht="13.15">
      <c r="A77" s="131">
        <v>4</v>
      </c>
      <c r="B77" s="119">
        <f t="shared" si="11"/>
        <v>9.5897930575399428</v>
      </c>
      <c r="C77" s="119">
        <f t="shared" si="11"/>
        <v>9.9393028066789046</v>
      </c>
      <c r="D77" s="119">
        <f t="shared" si="11"/>
        <v>10.298808505752111</v>
      </c>
      <c r="E77" s="119">
        <f t="shared" si="11"/>
        <v>10.668503342111944</v>
      </c>
      <c r="F77" s="119">
        <f t="shared" si="11"/>
        <v>11.439242528765021</v>
      </c>
      <c r="G77" s="296"/>
      <c r="H77" s="296"/>
      <c r="I77" s="296"/>
      <c r="J77" s="296"/>
      <c r="K77" s="296"/>
      <c r="L77" s="296"/>
    </row>
    <row r="78" spans="1:21" ht="13.15">
      <c r="A78" s="131">
        <v>5</v>
      </c>
      <c r="B78" s="119">
        <f t="shared" si="11"/>
        <v>9.3843126817641682</v>
      </c>
      <c r="C78" s="119">
        <f t="shared" si="11"/>
        <v>9.8051154893766075</v>
      </c>
      <c r="D78" s="119">
        <f t="shared" si="11"/>
        <v>10.24194259900835</v>
      </c>
      <c r="E78" s="119">
        <f t="shared" si="11"/>
        <v>10.695259149560087</v>
      </c>
      <c r="F78" s="119">
        <f t="shared" si="11"/>
        <v>11.653266311094018</v>
      </c>
      <c r="G78" s="296"/>
      <c r="H78" s="296"/>
      <c r="I78" s="296"/>
      <c r="J78" s="296"/>
      <c r="K78" s="296"/>
      <c r="L78" s="296"/>
    </row>
    <row r="79" spans="1:21" ht="13.15">
      <c r="A79" s="131">
        <v>6</v>
      </c>
      <c r="B79" s="119">
        <f t="shared" si="11"/>
        <v>9.3753196518675654</v>
      </c>
      <c r="C79" s="119">
        <f t="shared" si="11"/>
        <v>9.8668778835149826</v>
      </c>
      <c r="D79" s="119">
        <f t="shared" si="11"/>
        <v>10.381633803213473</v>
      </c>
      <c r="E79" s="119">
        <f t="shared" si="11"/>
        <v>10.920483445592772</v>
      </c>
      <c r="F79" s="119">
        <f t="shared" si="11"/>
        <v>12.074179010293884</v>
      </c>
      <c r="G79" s="296"/>
      <c r="H79" s="296"/>
      <c r="I79" s="296"/>
      <c r="J79" s="296"/>
      <c r="K79" s="296"/>
      <c r="L79" s="296"/>
    </row>
    <row r="80" spans="1:21" ht="13.15">
      <c r="A80" s="131">
        <f t="shared" ref="A80" si="12">A62</f>
        <v>7</v>
      </c>
      <c r="B80" s="119">
        <f t="shared" si="11"/>
        <v>9.1843374783400407</v>
      </c>
      <c r="C80" s="119">
        <f t="shared" si="11"/>
        <v>9.7369111328306275</v>
      </c>
      <c r="D80" s="119">
        <f t="shared" si="11"/>
        <v>10.320713511279296</v>
      </c>
      <c r="E80" s="119">
        <f t="shared" si="11"/>
        <v>10.937254027495051</v>
      </c>
      <c r="F80" s="119">
        <f t="shared" si="11"/>
        <v>12.274882446856543</v>
      </c>
      <c r="G80" s="296"/>
      <c r="H80" s="296"/>
      <c r="I80" s="296"/>
      <c r="J80" s="296"/>
      <c r="K80" s="296"/>
      <c r="L80" s="296"/>
    </row>
    <row r="81" spans="1:12" ht="13.15">
      <c r="A81" s="131">
        <v>8</v>
      </c>
      <c r="B81" s="119">
        <f t="shared" si="11"/>
        <v>9.1765191944605977</v>
      </c>
      <c r="C81" s="119">
        <f t="shared" si="11"/>
        <v>9.7916848567382839</v>
      </c>
      <c r="D81" s="119">
        <f t="shared" si="11"/>
        <v>10.447063382323257</v>
      </c>
      <c r="E81" s="119">
        <f t="shared" si="11"/>
        <v>11.144982049543248</v>
      </c>
      <c r="F81" s="119">
        <f t="shared" si="11"/>
        <v>12.678319725174179</v>
      </c>
      <c r="G81" s="296"/>
      <c r="H81" s="296"/>
      <c r="I81" s="296"/>
      <c r="J81" s="296"/>
      <c r="K81" s="296"/>
      <c r="L81" s="296"/>
    </row>
    <row r="82" spans="1:12" ht="13.15">
      <c r="A82" s="131">
        <f t="shared" ref="A82" si="13">A64</f>
        <v>9</v>
      </c>
      <c r="B82" s="119">
        <f t="shared" si="11"/>
        <v>8.9989757464920501</v>
      </c>
      <c r="C82" s="119">
        <f t="shared" si="11"/>
        <v>9.6660999840712183</v>
      </c>
      <c r="D82" s="119">
        <f t="shared" si="11"/>
        <v>10.382940243859229</v>
      </c>
      <c r="E82" s="119">
        <f t="shared" si="11"/>
        <v>11.152856416370572</v>
      </c>
      <c r="F82" s="119">
        <f t="shared" si="11"/>
        <v>12.866348881005083</v>
      </c>
      <c r="G82" s="296"/>
      <c r="H82" s="296"/>
      <c r="I82" s="296"/>
      <c r="J82" s="296"/>
      <c r="K82" s="296"/>
      <c r="L82" s="296"/>
    </row>
    <row r="83" spans="1:12" ht="13.15">
      <c r="A83" s="131">
        <f t="shared" ref="A83:A87" si="14">A65</f>
        <v>10</v>
      </c>
      <c r="B83" s="119">
        <f t="shared" si="11"/>
        <v>8.9921787533181892</v>
      </c>
      <c r="C83" s="119">
        <f t="shared" si="11"/>
        <v>9.7146758346768554</v>
      </c>
      <c r="D83" s="119">
        <f t="shared" si="11"/>
        <v>10.497222957675511</v>
      </c>
      <c r="E83" s="119">
        <f t="shared" si="11"/>
        <v>11.344447341080551</v>
      </c>
      <c r="F83" s="119">
        <f t="shared" si="11"/>
        <v>13.253036281612726</v>
      </c>
      <c r="G83" s="296"/>
      <c r="H83" s="296"/>
      <c r="I83" s="296"/>
      <c r="J83" s="296"/>
      <c r="K83" s="296"/>
      <c r="L83" s="296"/>
    </row>
    <row r="84" spans="1:12" ht="13.15">
      <c r="A84" s="131">
        <f t="shared" si="14"/>
        <v>15</v>
      </c>
      <c r="B84" s="119">
        <f t="shared" si="11"/>
        <v>8.519728823096484</v>
      </c>
      <c r="C84" s="119">
        <f t="shared" si="11"/>
        <v>9.4463269259103608</v>
      </c>
      <c r="D84" s="119">
        <f t="shared" si="11"/>
        <v>10.489520029229674</v>
      </c>
      <c r="E84" s="119">
        <f t="shared" si="11"/>
        <v>11.663863103676672</v>
      </c>
      <c r="F84" s="119">
        <f t="shared" si="11"/>
        <v>14.472992427874733</v>
      </c>
      <c r="G84" s="296"/>
      <c r="H84" s="296"/>
      <c r="I84" s="296"/>
      <c r="J84" s="296"/>
      <c r="K84" s="296"/>
      <c r="L84" s="296"/>
    </row>
    <row r="85" spans="1:12" ht="13.15">
      <c r="A85" s="132">
        <f t="shared" si="14"/>
        <v>20</v>
      </c>
      <c r="B85" s="119">
        <f t="shared" si="11"/>
        <v>8.2515606837307125</v>
      </c>
      <c r="C85" s="119">
        <f t="shared" si="11"/>
        <v>9.3265467160684388</v>
      </c>
      <c r="D85" s="119">
        <f t="shared" si="11"/>
        <v>10.578777697958719</v>
      </c>
      <c r="E85" s="119">
        <f t="shared" si="11"/>
        <v>12.038652501867061</v>
      </c>
      <c r="F85" s="119">
        <f t="shared" si="11"/>
        <v>15.729276462716861</v>
      </c>
      <c r="G85" s="296"/>
      <c r="H85" s="296"/>
      <c r="I85" s="296"/>
      <c r="J85" s="296"/>
      <c r="K85" s="296"/>
      <c r="L85" s="296"/>
    </row>
    <row r="86" spans="1:12" ht="13.15">
      <c r="A86" s="132">
        <f t="shared" si="14"/>
        <v>25</v>
      </c>
      <c r="B86" s="119">
        <f t="shared" si="11"/>
        <v>7.9243788455152009</v>
      </c>
      <c r="C86" s="119">
        <f t="shared" si="11"/>
        <v>9.0886875000216012</v>
      </c>
      <c r="D86" s="119">
        <f t="shared" si="11"/>
        <v>10.487690512831621</v>
      </c>
      <c r="E86" s="119">
        <f t="shared" si="11"/>
        <v>12.172507612496936</v>
      </c>
      <c r="F86" s="119">
        <f t="shared" si="11"/>
        <v>16.662314471773133</v>
      </c>
      <c r="G86" s="296"/>
      <c r="H86" s="296"/>
      <c r="I86" s="296"/>
      <c r="J86" s="296"/>
      <c r="K86" s="296"/>
      <c r="L86" s="296"/>
    </row>
    <row r="87" spans="1:12" ht="13.15">
      <c r="A87" s="132">
        <f t="shared" si="14"/>
        <v>30</v>
      </c>
      <c r="B87" s="119">
        <f t="shared" si="11"/>
        <v>7.7394563947222732</v>
      </c>
      <c r="C87" s="119">
        <f t="shared" si="11"/>
        <v>8.9710084856071877</v>
      </c>
      <c r="D87" s="119">
        <f t="shared" si="11"/>
        <v>10.490930240849224</v>
      </c>
      <c r="E87" s="119">
        <f t="shared" si="11"/>
        <v>12.374864228235314</v>
      </c>
      <c r="F87" s="119">
        <f t="shared" si="11"/>
        <v>17.644543277184003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14.472992427874733</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11.663863103676672</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10.489520029229674</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9.4463269259103608</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8.519728823096484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622412</v>
      </c>
      <c r="D7" s="469"/>
      <c r="E7" s="469"/>
      <c r="F7" s="469"/>
      <c r="G7" s="469"/>
    </row>
    <row r="8" spans="2:7">
      <c r="B8" s="97" t="s">
        <v>63</v>
      </c>
      <c r="C8" s="447">
        <f>Normalized_FCF!G19</f>
        <v>506980</v>
      </c>
      <c r="D8" s="469"/>
      <c r="E8" s="469"/>
      <c r="F8" s="469"/>
      <c r="G8" s="469"/>
    </row>
    <row r="9" spans="2:7">
      <c r="B9" s="97" t="s">
        <v>54</v>
      </c>
      <c r="C9" s="447">
        <f>Normalized_FCF!C19</f>
        <v>479042.59967047302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-5.2954162529068594E-3</v>
      </c>
      <c r="D12" s="469"/>
      <c r="E12" s="469"/>
      <c r="F12" s="469"/>
      <c r="G12" s="469"/>
    </row>
    <row r="13" spans="2:7">
      <c r="B13" s="135" t="s">
        <v>127</v>
      </c>
      <c r="C13" s="249">
        <f ca="1">(Normalized_FCF!G8/OFFSET(Normalized_FCF!G8, 0, $C$4))^(1/$C$4) - 1</f>
        <v>0.40480613772926821</v>
      </c>
      <c r="D13" s="469"/>
      <c r="E13" s="469"/>
      <c r="F13" s="469"/>
      <c r="G13" s="469"/>
    </row>
    <row r="14" spans="2:7">
      <c r="B14" s="97" t="s">
        <v>63</v>
      </c>
      <c r="C14" s="249">
        <f ca="1">(Normalized_FCF!G19/OFFSET(Normalized_FCF!G19, 0, $C$4))^(1/$C$4) - 1</f>
        <v>0.40972995530096346</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15</v>
      </c>
      <c r="E22" s="326">
        <f>DCF!E91</f>
        <v>11.663863103676672</v>
      </c>
      <c r="F22" s="328">
        <f>1-F23-F24</f>
        <v>0.19999999999999996</v>
      </c>
      <c r="G22" s="328">
        <f>F22*(1-F$29-F$30)</f>
        <v>0.15999999999999995</v>
      </c>
    </row>
    <row r="23" spans="2:7">
      <c r="B23" s="302" t="s">
        <v>437</v>
      </c>
      <c r="C23" s="324">
        <v>0.02</v>
      </c>
      <c r="D23" s="325">
        <f>C18</f>
        <v>15</v>
      </c>
      <c r="E23" s="326">
        <f>DCF!E92</f>
        <v>10.489520029229674</v>
      </c>
      <c r="F23" s="327">
        <v>0.55000000000000004</v>
      </c>
      <c r="G23" s="328">
        <f t="shared" ref="G23:G24" si="0">F23*(1-F$29-F$30)</f>
        <v>0.44</v>
      </c>
    </row>
    <row r="24" spans="2:7">
      <c r="B24" s="302" t="s">
        <v>446</v>
      </c>
      <c r="C24" s="324">
        <v>0.01</v>
      </c>
      <c r="D24" s="325">
        <f>C18</f>
        <v>15</v>
      </c>
      <c r="E24" s="326">
        <f>DCF!E93</f>
        <v>9.4463269259103608</v>
      </c>
      <c r="F24" s="327">
        <v>0.25</v>
      </c>
      <c r="G24" s="328">
        <f t="shared" si="0"/>
        <v>0.19999999999999998</v>
      </c>
    </row>
    <row r="25" spans="2:7">
      <c r="B25" s="141" t="s">
        <v>451</v>
      </c>
      <c r="C25" s="441">
        <f>E23*F23+E24*F24+E22*F22</f>
        <v>10.463590368289244</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15</v>
      </c>
      <c r="E29" s="326">
        <f>DCF!E90</f>
        <v>14.472992427874733</v>
      </c>
      <c r="F29" s="327">
        <v>0.15</v>
      </c>
      <c r="G29" s="328">
        <f>F29</f>
        <v>0.15</v>
      </c>
    </row>
    <row r="30" spans="2:7">
      <c r="B30" s="315" t="s">
        <v>447</v>
      </c>
      <c r="C30" s="324">
        <v>0</v>
      </c>
      <c r="D30" s="325">
        <f>C18</f>
        <v>15</v>
      </c>
      <c r="E30" s="326">
        <f>DCF!E94</f>
        <v>8.519728823096484</v>
      </c>
      <c r="F30" s="327">
        <v>0.05</v>
      </c>
      <c r="G30" s="328">
        <f>F30</f>
        <v>0.05</v>
      </c>
    </row>
    <row r="31" spans="2:7">
      <c r="E31" s="329"/>
      <c r="F31" s="329"/>
    </row>
    <row r="32" spans="2:7" ht="13.15">
      <c r="B32" s="145" t="s">
        <v>456</v>
      </c>
    </row>
    <row r="33" spans="2:7">
      <c r="B33" s="97" t="s">
        <v>458</v>
      </c>
      <c r="C33" s="155">
        <f>Normalized_FCF!C88*(1-dividend_tax_rate)</f>
        <v>0.14199999999999999</v>
      </c>
      <c r="D33" t="str">
        <f>Market_currency</f>
        <v>HKD</v>
      </c>
      <c r="E33" s="97" t="s">
        <v>455</v>
      </c>
      <c r="F33" s="219">
        <f>Holding_Period</f>
        <v>3</v>
      </c>
    </row>
    <row r="34" spans="2:7">
      <c r="B34" s="97" t="s">
        <v>233</v>
      </c>
      <c r="C34" s="146">
        <f>Market_Price</f>
        <v>6.82</v>
      </c>
      <c r="D34" t="str">
        <f>Market_currency</f>
        <v>HKD</v>
      </c>
      <c r="E34" s="97" t="s">
        <v>454</v>
      </c>
      <c r="F34" s="330">
        <f>RATE(Holding_Period,$C$33,-C34,$C$36)</f>
        <v>0.18954671847205182</v>
      </c>
    </row>
    <row r="35" spans="2:7">
      <c r="B35" s="97" t="s">
        <v>434</v>
      </c>
      <c r="C35" s="320">
        <f>DCF!C11</f>
        <v>9.1371192679866926</v>
      </c>
      <c r="D35" s="97" t="str">
        <f>Market_currency</f>
        <v>HKD</v>
      </c>
      <c r="E35" s="97" t="s">
        <v>454</v>
      </c>
      <c r="F35" s="330">
        <f>RATE(Holding_Period,$C$33,-C35,$C$36)</f>
        <v>7.7413410886670489E-2</v>
      </c>
    </row>
    <row r="36" spans="2:7">
      <c r="B36" s="97" t="s">
        <v>435</v>
      </c>
      <c r="C36" s="321">
        <f>E22*G22+E23*G23+E24*G24+E30*G30+E29*G29</f>
        <v>10.967807599967429</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553</v>
      </c>
      <c r="C40" s="126">
        <f>Normalized_FCF!E116</f>
        <v>0.15217050538089463</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2.38559171477595E-2</v>
      </c>
      <c r="D46" s="138"/>
      <c r="E46" s="221" t="s">
        <v>252</v>
      </c>
    </row>
    <row r="47" spans="2:7">
      <c r="B47" s="97" t="s">
        <v>96</v>
      </c>
      <c r="C47" s="146">
        <f>DCF!I18</f>
        <v>10.925951123340464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1.9897936077943486E-2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0.14199999999999999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0.25983892380763701</v>
      </c>
      <c r="D62" s="119">
        <f>C36/(1+F62)^Holding_Period</f>
        <v>5.054289216574853</v>
      </c>
      <c r="E62" s="332">
        <f>C62+D62</f>
        <v>5.3141281403824898</v>
      </c>
      <c r="F62" s="301">
        <f>Thesis!E22</f>
        <v>0.29465259038036601</v>
      </c>
      <c r="G62" s="440">
        <f>(1-E62/C36)</f>
        <v>0.5154794527578811</v>
      </c>
    </row>
    <row r="63" spans="2:7" ht="13.15">
      <c r="B63" s="302" t="s">
        <v>313</v>
      </c>
      <c r="C63" s="119">
        <f>PV(F63, Holding_Period, -C58, 0)</f>
        <v>0.29876856051220924</v>
      </c>
      <c r="D63" s="119">
        <f>C36/(1+F63)^Holding_Period</f>
        <v>6.3351957256129579</v>
      </c>
      <c r="E63" s="332">
        <f>C63+D63</f>
        <v>6.6339642861251669</v>
      </c>
      <c r="F63" s="301">
        <f>Thesis!E23</f>
        <v>0.20075184365903001</v>
      </c>
      <c r="G63" s="440">
        <f>(1-E63/C36)</f>
        <v>0.39514217170030708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0.34258964388328816</v>
      </c>
      <c r="D66" s="119">
        <f>C36/(1+F66)^Holding_Period</f>
        <v>7.8612900858633932</v>
      </c>
      <c r="E66" s="332">
        <f>C66+D66</f>
        <v>8.2038797297466814</v>
      </c>
      <c r="F66" s="301">
        <f>Thesis!E24</f>
        <v>0.1174</v>
      </c>
      <c r="G66" s="440">
        <f>(1-E66/C36)</f>
        <v>0.25200367940708179</v>
      </c>
    </row>
    <row r="67" spans="2:7" ht="13.15">
      <c r="B67" s="302" t="s">
        <v>314</v>
      </c>
      <c r="C67" s="119">
        <f>PV(F67, Holding_Period, -C58, 0)</f>
        <v>0.37095728225856828</v>
      </c>
      <c r="D67" s="119">
        <f>C36/(1+F67)^Holding_Period</f>
        <v>8.8905355068522027</v>
      </c>
      <c r="E67" s="332">
        <f>C67+D67</f>
        <v>9.2614927891107719</v>
      </c>
      <c r="F67" s="301">
        <f>Thesis!E25</f>
        <v>7.2499999999999995E-2</v>
      </c>
      <c r="G67" s="440">
        <f>(1-E67/C36)</f>
        <v>0.1555748307311412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维他奶</v>
      </c>
      <c r="D4" s="349"/>
      <c r="E4" s="434" t="s">
        <v>540</v>
      </c>
      <c r="F4" s="437" t="str">
        <f>Thesis!F4</f>
        <v>INT</v>
      </c>
    </row>
    <row r="5" spans="1:10">
      <c r="B5" s="343" t="s">
        <v>364</v>
      </c>
      <c r="C5" s="355" t="str">
        <f>Thesis!C5</f>
        <v>0345.HK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6.82</v>
      </c>
    </row>
    <row r="9" spans="1:10">
      <c r="B9" s="351" t="s">
        <v>361</v>
      </c>
      <c r="C9" s="353">
        <f>Common_Shares</f>
        <v>1043529089</v>
      </c>
    </row>
    <row r="10" spans="1:10">
      <c r="B10" s="351" t="s">
        <v>367</v>
      </c>
      <c r="C10" s="357">
        <f>投资主题!C8*Common_Shares/1000000</f>
        <v>7116.8683869800007</v>
      </c>
      <c r="D10" s="343" t="s">
        <v>529</v>
      </c>
      <c r="E10" s="360">
        <f>Scenarios!F34</f>
        <v>0.18954671847205182</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0.02</v>
      </c>
      <c r="D17" s="351" t="s">
        <v>339</v>
      </c>
      <c r="E17" s="344" t="str">
        <f>Reporting_currency</f>
        <v>HKD</v>
      </c>
    </row>
    <row r="18" spans="1:6">
      <c r="B18" s="343" t="str">
        <f>"预期股权价值 ("&amp;C7&amp;") :"</f>
        <v>预期股权价值 (HKD) :</v>
      </c>
      <c r="C18" s="359">
        <f>C125</f>
        <v>10.967807599967429</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5.3141281403824898</v>
      </c>
      <c r="D22" s="365" t="s">
        <v>440</v>
      </c>
      <c r="E22" s="366">
        <f>Thesis!E22</f>
        <v>0.29465259038036601</v>
      </c>
    </row>
    <row r="23" spans="1:6">
      <c r="B23" s="343" t="s">
        <v>341</v>
      </c>
      <c r="C23" s="367">
        <f>E141</f>
        <v>6.6339642861251669</v>
      </c>
      <c r="D23" s="365" t="s">
        <v>441</v>
      </c>
      <c r="E23" s="368">
        <f>Thesis!E23</f>
        <v>0.20075184365903001</v>
      </c>
    </row>
    <row r="24" spans="1:6">
      <c r="B24" s="343" t="s">
        <v>343</v>
      </c>
      <c r="C24" s="367">
        <f>E144</f>
        <v>8.2038797297466814</v>
      </c>
      <c r="D24" s="365" t="s">
        <v>443</v>
      </c>
      <c r="E24" s="368">
        <f>Thesis!E24</f>
        <v>0.1174</v>
      </c>
    </row>
    <row r="25" spans="1:6">
      <c r="B25" s="343" t="s">
        <v>342</v>
      </c>
      <c r="C25" s="367">
        <f>E145</f>
        <v>9.2614927891107719</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685770.70000000019</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HKD</v>
      </c>
    </row>
    <row r="38" spans="2:6">
      <c r="B38" s="375" t="s">
        <v>200</v>
      </c>
      <c r="C38" s="373">
        <f>Normalized_FCF!C16</f>
        <v>0</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2867.9977153189998</v>
      </c>
      <c r="D44" s="343" t="str">
        <f>Reporting_currency</f>
        <v>HKD</v>
      </c>
      <c r="E44" s="371"/>
      <c r="F44" s="371"/>
    </row>
    <row r="45" spans="2:6">
      <c r="B45" s="372" t="s">
        <v>268</v>
      </c>
      <c r="C45" s="376">
        <f>Normalized_FCF!C45</f>
        <v>-33813.479999999996</v>
      </c>
      <c r="D45" s="343" t="str">
        <f>Reporting_currency</f>
        <v>HKD</v>
      </c>
      <c r="E45" s="371"/>
      <c r="F45" s="371"/>
    </row>
    <row r="46" spans="2:6">
      <c r="B46" s="372" t="s">
        <v>203</v>
      </c>
      <c r="C46" s="373">
        <f>Normalized_FCF!C10</f>
        <v>-30945.482284680995</v>
      </c>
      <c r="D46" s="343" t="str">
        <f>Reporting_currency</f>
        <v>HKD</v>
      </c>
    </row>
    <row r="48" spans="2:6">
      <c r="B48" s="343" t="s">
        <v>505</v>
      </c>
    </row>
    <row r="49" spans="2:6">
      <c r="B49" s="372" t="s">
        <v>223</v>
      </c>
      <c r="C49" s="373">
        <f>Normalized_FCF!C13</f>
        <v>-34340.371018337282</v>
      </c>
      <c r="D49" s="343" t="str">
        <f>Reporting_currency</f>
        <v>HKD</v>
      </c>
    </row>
    <row r="51" spans="2:6">
      <c r="B51" s="470" t="s">
        <v>506</v>
      </c>
      <c r="C51" s="470"/>
      <c r="D51" s="470"/>
      <c r="E51" s="470"/>
      <c r="F51" s="470"/>
    </row>
    <row r="52" spans="2:6">
      <c r="B52" s="372" t="s">
        <v>496</v>
      </c>
      <c r="C52" s="373">
        <f>Normalized_FCF!C12</f>
        <v>-141442.24702650897</v>
      </c>
      <c r="D52" s="343" t="str">
        <f>Reporting_currency</f>
        <v>HKD</v>
      </c>
    </row>
    <row r="54" spans="2:6">
      <c r="B54" s="470" t="s">
        <v>507</v>
      </c>
      <c r="C54" s="473"/>
      <c r="D54" s="473"/>
      <c r="E54" s="473"/>
      <c r="F54" s="473"/>
    </row>
    <row r="55" spans="2:6">
      <c r="B55" s="372" t="s">
        <v>207</v>
      </c>
      <c r="C55" s="373">
        <f>Normalized_FCF!C17</f>
        <v>0</v>
      </c>
      <c r="D55" s="343" t="str">
        <f>Reporting_currency</f>
        <v>HKD</v>
      </c>
    </row>
    <row r="57" spans="2:6">
      <c r="B57" s="471" t="s">
        <v>508</v>
      </c>
      <c r="C57" s="471"/>
      <c r="D57" s="471"/>
      <c r="E57" s="471"/>
      <c r="F57" s="471"/>
    </row>
    <row r="58" spans="2:6">
      <c r="B58" s="471" t="s">
        <v>509</v>
      </c>
      <c r="C58" s="471"/>
      <c r="D58" s="471"/>
      <c r="E58" s="471"/>
      <c r="F58" s="471"/>
    </row>
    <row r="60" spans="2:6">
      <c r="B60" s="372" t="s">
        <v>372</v>
      </c>
      <c r="C60" s="373">
        <f>Normalized_FCF!G19</f>
        <v>506980</v>
      </c>
      <c r="D60" s="343" t="str">
        <f>Reporting_currency</f>
        <v>HKD</v>
      </c>
    </row>
    <row r="61" spans="2:6">
      <c r="B61" s="372" t="s">
        <v>213</v>
      </c>
      <c r="C61" s="373">
        <f>Normalized_FCF!C19</f>
        <v>479042.59967047302</v>
      </c>
      <c r="D61" s="343" t="str">
        <f>Reporting_currency</f>
        <v>HKD</v>
      </c>
    </row>
    <row r="62" spans="2:6">
      <c r="B62" s="377" t="s">
        <v>302</v>
      </c>
      <c r="C62" s="378">
        <f>Normalized_FCF!C124</f>
        <v>6.7310869559827818E-2</v>
      </c>
      <c r="F62" s="379"/>
    </row>
    <row r="63" spans="2:6">
      <c r="B63" s="377" t="s">
        <v>332</v>
      </c>
      <c r="C63" s="378">
        <f>Normalized_FCF!C92</f>
        <v>2.0821114369501462E-2</v>
      </c>
      <c r="E63" s="372" t="s">
        <v>373</v>
      </c>
      <c r="F63" s="380">
        <f>Normalized_FCF!C90</f>
        <v>0.3093276688543603</v>
      </c>
    </row>
    <row r="65" spans="1:6">
      <c r="B65" s="369" t="s">
        <v>376</v>
      </c>
      <c r="C65" s="381" t="s">
        <v>327</v>
      </c>
      <c r="D65" s="381" t="s">
        <v>374</v>
      </c>
    </row>
    <row r="66" spans="1:6">
      <c r="B66" s="372" t="s">
        <v>326</v>
      </c>
      <c r="C66" s="378">
        <f>Normalized_FCF!E119</f>
        <v>0.3</v>
      </c>
      <c r="D66" s="378">
        <f>Normalized_FCF!G119</f>
        <v>0.18518613957341221</v>
      </c>
    </row>
    <row r="67" spans="1:6">
      <c r="B67" s="382" t="str">
        <f>Normalized_FCF!B116</f>
        <v>Pre-tax Profit/Sales</v>
      </c>
      <c r="C67" s="383">
        <f>Normalized_FCF!E116</f>
        <v>0.15217050538089463</v>
      </c>
      <c r="D67" s="383">
        <f>Normalized_FCF!G116</f>
        <v>9.3932894828076763E-2</v>
      </c>
    </row>
    <row r="68" spans="1:6">
      <c r="B68" s="382" t="str">
        <f>Normalized_FCF!B117</f>
        <v>Sales/Total Assets</v>
      </c>
      <c r="C68" s="384">
        <f>Normalized_FCF!E117</f>
        <v>1.1106245684847842</v>
      </c>
      <c r="D68" s="384">
        <f>Normalized_FCF!G117</f>
        <v>1.1106245684847842</v>
      </c>
    </row>
    <row r="69" spans="1:6">
      <c r="B69" s="382" t="str">
        <f>Normalized_FCF!B118</f>
        <v>Total Assets/Equity</v>
      </c>
      <c r="C69" s="384">
        <f>Normalized_FCF!E118</f>
        <v>1.775102743966247</v>
      </c>
      <c r="D69" s="384">
        <f>Normalized_FCF!G118</f>
        <v>1.775102743966247</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-563558</v>
      </c>
      <c r="D78" s="343" t="str">
        <f>Reporting_currency</f>
        <v>HKD</v>
      </c>
    </row>
    <row r="79" spans="1:6">
      <c r="B79" s="372" t="s">
        <v>234</v>
      </c>
      <c r="C79" s="387">
        <f>C78*scaling_factor*Exchange_Rate/Common_Shares</f>
        <v>-0.54005011066826136</v>
      </c>
      <c r="D79" s="343" t="str">
        <f>Market_currency</f>
        <v>HKD</v>
      </c>
    </row>
    <row r="80" spans="1:6">
      <c r="B80" s="382" t="s">
        <v>309</v>
      </c>
      <c r="C80" s="388">
        <f>IF(BS!G31/BS!G27&gt;300%,"nm",BS!G31/BS!G27)</f>
        <v>0.17709797868255178</v>
      </c>
    </row>
    <row r="81" spans="1:6">
      <c r="B81" s="382" t="s">
        <v>311</v>
      </c>
      <c r="C81" s="389">
        <f>IF(BS!C50&gt;30,"nm",BS!C50)</f>
        <v>0.82178780749892033</v>
      </c>
    </row>
    <row r="83" spans="1:6">
      <c r="B83" s="343" t="s">
        <v>512</v>
      </c>
    </row>
    <row r="84" spans="1:6">
      <c r="B84" s="343" t="s">
        <v>224</v>
      </c>
      <c r="C84" s="373">
        <f>DCF!F5</f>
        <v>791294.38078016671</v>
      </c>
      <c r="D84" s="343" t="str">
        <f>Reporting_currency</f>
        <v>HKD</v>
      </c>
    </row>
    <row r="85" spans="1:6">
      <c r="B85" s="382" t="s">
        <v>481</v>
      </c>
      <c r="C85" s="390">
        <f>BS!C66</f>
        <v>1269294</v>
      </c>
      <c r="D85" s="391" t="str">
        <f>Reporting_currency</f>
        <v>HKD</v>
      </c>
    </row>
    <row r="86" spans="1:6">
      <c r="B86" s="372" t="s">
        <v>235</v>
      </c>
      <c r="C86" s="387">
        <f>C84*scaling_factor*Exchange_Rate/Common_Shares</f>
        <v>0.75828684520759604</v>
      </c>
      <c r="D86" s="343" t="str">
        <f>Market_currency</f>
        <v>HKD</v>
      </c>
    </row>
    <row r="88" spans="1:6">
      <c r="B88" s="343" t="s">
        <v>513</v>
      </c>
    </row>
    <row r="89" spans="1:6">
      <c r="B89" s="343" t="s">
        <v>217</v>
      </c>
      <c r="C89" s="373">
        <f>DCF!F6</f>
        <v>0</v>
      </c>
      <c r="D89" s="343" t="str">
        <f>Reporting_currency</f>
        <v>HKD</v>
      </c>
    </row>
    <row r="90" spans="1:6">
      <c r="B90" s="372" t="s">
        <v>236</v>
      </c>
      <c r="C90" s="387">
        <f>C89*scaling_factor*Exchange_Rate/Common_Shares</f>
        <v>0</v>
      </c>
      <c r="D90" s="343" t="str">
        <f>Market_currency</f>
        <v>HKD</v>
      </c>
    </row>
    <row r="92" spans="1:6">
      <c r="B92" s="372" t="s">
        <v>480</v>
      </c>
      <c r="C92" s="387">
        <f>DCF!F8</f>
        <v>0.21823673453933465</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-0.16650139591844174</v>
      </c>
      <c r="D111" s="343" t="str">
        <f>Market_currency</f>
        <v>HKD</v>
      </c>
    </row>
    <row r="112" spans="1:6">
      <c r="A112" s="385"/>
      <c r="B112" s="372" t="s">
        <v>377</v>
      </c>
      <c r="C112" s="394">
        <f>DCF!C11</f>
        <v>9.1371192679866926</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15</v>
      </c>
      <c r="E118" s="398" t="str">
        <f>ROUND(DCF!E90,2)&amp;" "&amp;Market_currency</f>
        <v>14.47 HKD</v>
      </c>
      <c r="F118" s="399">
        <f>DCF!F90</f>
        <v>0.15</v>
      </c>
    </row>
    <row r="119" spans="1:6">
      <c r="A119" s="385"/>
      <c r="B119" s="400" t="str">
        <f>DCF!B91</f>
        <v>Optimistic</v>
      </c>
      <c r="C119" s="401">
        <f>DCF!C91</f>
        <v>0.03</v>
      </c>
      <c r="D119" s="402">
        <f>DCF!D91</f>
        <v>15</v>
      </c>
      <c r="E119" s="398" t="str">
        <f>ROUND(DCF!E91,2)&amp;" "&amp;Market_currency</f>
        <v>11.66 HKD</v>
      </c>
      <c r="F119" s="403">
        <f>DCF!F91</f>
        <v>0.15999999999999995</v>
      </c>
    </row>
    <row r="120" spans="1:6">
      <c r="B120" s="400" t="str">
        <f>DCF!B92</f>
        <v>Base</v>
      </c>
      <c r="C120" s="401">
        <f>DCF!C92</f>
        <v>0.02</v>
      </c>
      <c r="D120" s="402">
        <f>DCF!D92</f>
        <v>15</v>
      </c>
      <c r="E120" s="398" t="str">
        <f>ROUND(DCF!E92,2)&amp;" "&amp;Market_currency</f>
        <v>10.49 HKD</v>
      </c>
      <c r="F120" s="403">
        <f>DCF!F92</f>
        <v>0.44</v>
      </c>
    </row>
    <row r="121" spans="1:6">
      <c r="B121" s="400" t="str">
        <f>DCF!B93</f>
        <v>Pessimistic</v>
      </c>
      <c r="C121" s="401">
        <f>DCF!C93</f>
        <v>0.01</v>
      </c>
      <c r="D121" s="402">
        <f>DCF!D93</f>
        <v>15</v>
      </c>
      <c r="E121" s="398" t="str">
        <f>ROUND(DCF!E93,2)&amp;" "&amp;Market_currency</f>
        <v>9.45 HKD</v>
      </c>
      <c r="F121" s="403">
        <f>DCF!F93</f>
        <v>0.19999999999999998</v>
      </c>
    </row>
    <row r="122" spans="1:6">
      <c r="B122" s="400" t="str">
        <f>DCF!B94</f>
        <v>Devil's advocate</v>
      </c>
      <c r="C122" s="401">
        <f>DCF!C94</f>
        <v>0</v>
      </c>
      <c r="D122" s="402">
        <f>DCF!D94</f>
        <v>15</v>
      </c>
      <c r="E122" s="398" t="str">
        <f>ROUND(DCF!E94,2)&amp;" "&amp;Market_currency</f>
        <v>8.52 HKD</v>
      </c>
      <c r="F122" s="403">
        <f>DCF!F94</f>
        <v>0.05</v>
      </c>
    </row>
    <row r="124" spans="1:6">
      <c r="B124" s="470" t="s">
        <v>519</v>
      </c>
      <c r="C124" s="470"/>
      <c r="D124" s="470"/>
      <c r="E124" s="470"/>
      <c r="F124" s="470"/>
    </row>
    <row r="125" spans="1:6">
      <c r="B125" s="372" t="s">
        <v>218</v>
      </c>
      <c r="C125" s="404">
        <f>Scenarios!C36</f>
        <v>10.967807599967429</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0.14199999999999999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0.25983892380763701</v>
      </c>
      <c r="D140" s="409">
        <f>Scenarios!D62</f>
        <v>5.054289216574853</v>
      </c>
      <c r="E140" s="410">
        <f>Scenarios!E62</f>
        <v>5.3141281403824898</v>
      </c>
      <c r="F140" s="411">
        <f>E22</f>
        <v>0.29465259038036601</v>
      </c>
    </row>
    <row r="141" spans="1:6">
      <c r="B141" s="408" t="s">
        <v>313</v>
      </c>
      <c r="C141" s="409">
        <f>Scenarios!C63</f>
        <v>0.29876856051220924</v>
      </c>
      <c r="D141" s="409">
        <f>Scenarios!D63</f>
        <v>6.3351957256129579</v>
      </c>
      <c r="E141" s="410">
        <f>Scenarios!E63</f>
        <v>6.6339642861251669</v>
      </c>
      <c r="F141" s="411">
        <f>Scenarios!F63</f>
        <v>0.20075184365903001</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0.34258964388328816</v>
      </c>
      <c r="D144" s="409">
        <f>Scenarios!D66</f>
        <v>7.8612900858633932</v>
      </c>
      <c r="E144" s="410">
        <f>Scenarios!E66</f>
        <v>8.2038797297466814</v>
      </c>
      <c r="F144" s="411">
        <f>E24</f>
        <v>0.1174</v>
      </c>
    </row>
    <row r="145" spans="1:6">
      <c r="B145" s="408" t="s">
        <v>314</v>
      </c>
      <c r="C145" s="409">
        <f>Scenarios!C67</f>
        <v>0.37095728225856828</v>
      </c>
      <c r="D145" s="409">
        <f>Scenarios!D67</f>
        <v>8.8905355068522027</v>
      </c>
      <c r="E145" s="410">
        <f>Scenarios!E67</f>
        <v>9.2614927891107719</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2026-01-23T08:08:50Z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