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FAF598A-2220-4EA7-AAE4-D1BA8AC2ABD5}"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<sst xmlns="http://schemas.openxmlformats.org/spreadsheetml/2006/main" count="768" uniqueCount="558">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</sst>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6.42</v>
      </c>
      <c r="E8" s="32"/>
    </row>
    <row r="9" spans="1:9">
      <c r="B9" s="4" t="s">
        <v>346</v>
      </c>
      <c r="C9" s="48">
        <v>1043529089</v>
      </c>
    </row>
    <row r="10" spans="1:9">
      <c r="B10" s="4" t="s">
        <v>352</v>
      </c>
      <c r="C10" s="33">
        <f>Thesis!C8*Common_Shares/1000000</f>
        <v>6699.4567513800002</v>
      </c>
      <c r="D10" s="1" t="s">
        <v>528</v>
      </c>
      <c r="E10" s="303">
        <f>Scenarios!F34</f>
        <v>0.2141750898751657</v>
      </c>
    </row>
    <row r="11" spans="1:9">
      <c r="D11" s="5"/>
      <c r="E11" s="5"/>
    </row>
    <row r="12" spans="1:9" ht="24.5" customHeight="1">
      <c r="B12" s="463" t="s">
        <v>355</v>
      </c>
      <c r="C12" s="463"/>
      <c r="D12" s="463"/>
      <c r="E12" s="463"/>
      <c r="F12" s="463"/>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685770.70000000019</v>
      </c>
      <c r="D34" s="1" t="str">
        <f>Reporting_currency</f>
        <v>HKD</v>
      </c>
    </row>
    <row r="35" spans="2:6">
      <c r="B35" s="44"/>
      <c r="C35" s="73"/>
    </row>
    <row r="36" spans="2:6" ht="24.5" customHeight="1">
      <c r="B36" s="464" t="s">
        <v>198</v>
      </c>
      <c r="C36" s="464"/>
      <c r="D36" s="464"/>
      <c r="E36" s="464"/>
      <c r="F36" s="464"/>
    </row>
    <row r="37" spans="2:6">
      <c r="B37" s="44" t="s">
        <v>199</v>
      </c>
      <c r="C37" s="285">
        <f>Normalized_FCF!C15</f>
        <v>0</v>
      </c>
      <c r="D37" s="1" t="str">
        <f>Reporting_currency</f>
        <v>HKD</v>
      </c>
    </row>
    <row r="38" spans="2:6">
      <c r="B38" s="49" t="s">
        <v>200</v>
      </c>
      <c r="C38" s="285">
        <f>Normalized_FCF!C16</f>
        <v>0</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4" t="s">
        <v>206</v>
      </c>
      <c r="C51" s="464"/>
      <c r="D51" s="464"/>
      <c r="E51" s="464"/>
      <c r="F51" s="464"/>
    </row>
    <row r="52" spans="2:6">
      <c r="B52" s="44" t="s">
        <v>204</v>
      </c>
      <c r="C52" s="285">
        <f>Normalized_FCF!C12</f>
        <v>-141442.24702650897</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7.1504693208415224E-2</v>
      </c>
      <c r="F62" s="257"/>
    </row>
    <row r="63" spans="2:6">
      <c r="B63" s="204" t="s">
        <v>332</v>
      </c>
      <c r="C63" s="89">
        <f>Normalized_FCF!C92</f>
        <v>2.2118380062305293E-2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4" t="s">
        <v>357</v>
      </c>
      <c r="C124" s="464"/>
      <c r="D124" s="464"/>
      <c r="E124" s="464"/>
      <c r="F124" s="464"/>
    </row>
    <row r="125" spans="2:6">
      <c r="B125" s="193" t="s">
        <v>218</v>
      </c>
      <c r="C125" s="197">
        <f>Scenarios!C36</f>
        <v>10.967807599967429</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2.2118380062305293E-2</v>
      </c>
      <c r="E92" s="237"/>
      <c r="G92" s="22">
        <f t="shared" ref="G92:Q92" si="38">IF(G$4="","",(G88*(1-dividend_tax_rate))/Market_Price)</f>
        <v>2.2118380062305293E-2</v>
      </c>
      <c r="H92" s="22">
        <f t="shared" si="38"/>
        <v>1.1993769470404984E-2</v>
      </c>
      <c r="I92" s="22">
        <f t="shared" si="38"/>
        <v>4.2056074766355141E-3</v>
      </c>
      <c r="J92" s="22">
        <f t="shared" si="38"/>
        <v>5.1090342679127723E-2</v>
      </c>
      <c r="K92" s="22">
        <f t="shared" si="38"/>
        <v>5.0155763239875382E-2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7.1504693208415224E-2</v>
      </c>
      <c r="D124" s="26"/>
      <c r="E124" s="234"/>
      <c r="F124" s="26"/>
      <c r="G124" s="74">
        <f t="shared" ref="G124" si="49">IF(G$4="","",G123/Market_Price)</f>
        <v>7.5674792571139265E-2</v>
      </c>
      <c r="H124" s="74">
        <f t="shared" ref="H124" si="50">IF(H$4="","",H123/Market_Price)</f>
        <v>5.8030078322383154E-2</v>
      </c>
      <c r="I124" s="74">
        <f t="shared" ref="I124" si="51">IF(I$4="","",I123/Market_Price)</f>
        <v>3.807846060763833E-2</v>
      </c>
      <c r="J124" s="74">
        <f t="shared" ref="J124" si="52">IF(J$4="","",J123/Market_Price)</f>
        <v>3.0538894061500781E-2</v>
      </c>
      <c r="K124" s="74">
        <f t="shared" ref="K124" si="53">IF(K$4="","",K123/Market_Price)</f>
        <v>0.13236729975416783</v>
      </c>
      <c r="L124" s="74">
        <f t="shared" ref="L124" si="54">IF(L$4="","",L123/Market_Price)</f>
        <v>0.12956752050398668</v>
      </c>
      <c r="M124" s="74">
        <f t="shared" ref="M124" si="55">IF(M$4="","",M123/Market_Price)</f>
        <v>0.15523915424721116</v>
      </c>
      <c r="N124" s="74">
        <f t="shared" ref="N124" si="56">IF(N$4="","",N123/Market_Price)</f>
        <v>0.13622462743893526</v>
      </c>
      <c r="O124" s="74">
        <f t="shared" ref="O124" si="57">IF(O$4="","",O123/Market_Price)</f>
        <v>9.9267601042877199E-2</v>
      </c>
      <c r="P124" s="74">
        <f t="shared" ref="P124" si="58">IF(P$4="","",P123/Market_Price)</f>
        <v>0.11761535737023615</v>
      </c>
      <c r="Q124" s="74" t="str">
        <f t="shared" ref="Q124" si="59">IF(Q$4="","",Q123/Market_Price)</f>
        <v/>
      </c>
    </row>
    <row r="125" spans="1:17" ht="15.75" customHeight="1">
      <c r="B125" s="2" t="s">
        <v>306</v>
      </c>
      <c r="C125" s="151"/>
      <c r="G125" s="22">
        <f>IF(G$4="","",(Data!C47*$C$3)/(Market_Price*Common_Shares))</f>
        <v>3.5908583177351829E-2</v>
      </c>
      <c r="H125" s="22">
        <f>IF(H$4="","",(Data!D47*$C$3)/(Market_Price*Common_Shares))</f>
        <v>1.7581724066766641E-2</v>
      </c>
      <c r="I125" s="22">
        <f>IF(I$4="","",(Data!E47*$C$3)/(Market_Price*Common_Shares))</f>
        <v>3.1430906686072024E-3</v>
      </c>
      <c r="J125" s="22">
        <f>IF(J$4="","",(Data!F47*$C$3)/(Market_Price*Common_Shares))</f>
        <v>-2.4088669572612381E-2</v>
      </c>
      <c r="K125" s="22">
        <f>IF(K$4="","",(Data!G47*$C$3)/(Market_Price*Common_Shares))</f>
        <v>8.7993403327601014E-2</v>
      </c>
      <c r="L125" s="22">
        <f>IF(L$4="","",(Data!H47*$C$3)/(Market_Price*Common_Shares))</f>
        <v>8.5020475709865845E-2</v>
      </c>
      <c r="M125" s="22">
        <f>IF(M$4="","",(Data!I47*$C$3)/(Market_Price*Common_Shares))</f>
        <v>0.11160531782610353</v>
      </c>
      <c r="N125" s="22">
        <f>IF(N$4="","",(Data!J47*$C$3)/(Market_Price*Common_Shares))</f>
        <v>9.5836875111962636E-2</v>
      </c>
      <c r="O125" s="22">
        <f>IF(O$4="","",(Data!K47*$C$3)/(Market_Price*Common_Shares))</f>
        <v>9.7514473821393055E-2</v>
      </c>
      <c r="P125" s="22">
        <f>IF(P$4="","",(Data!L47*$C$3)/(Market_Price*Common_Shares))</f>
        <v>8.4371617129040677E-2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0" t="s">
        <v>420</v>
      </c>
      <c r="K52" s="460"/>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6.42</v>
      </c>
      <c r="D34" t="str">
        <f>Market_currency</f>
        <v>HKD</v>
      </c>
      <c r="E34" s="97" t="s">
        <v>454</v>
      </c>
      <c r="F34" s="330">
        <f>RATE(Holding_Period,$C$33,-C34,$C$36)</f>
        <v>0.2141750898751657</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6.42</v>
      </c>
    </row>
    <row r="9" spans="1:10">
      <c r="B9" s="351" t="s">
        <v>361</v>
      </c>
      <c r="C9" s="353">
        <f>Common_Shares</f>
        <v>1043529089</v>
      </c>
    </row>
    <row r="10" spans="1:10">
      <c r="B10" s="351" t="s">
        <v>367</v>
      </c>
      <c r="C10" s="357">
        <f>投资主题!C8*Common_Shares/1000000</f>
        <v>6699.4567513800002</v>
      </c>
      <c r="D10" s="343" t="s">
        <v>529</v>
      </c>
      <c r="E10" s="360">
        <f>Scenarios!F34</f>
        <v>0.2141750898751657</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7.1504693208415224E-2</v>
      </c>
      <c r="F62" s="379"/>
    </row>
    <row r="63" spans="2:6">
      <c r="B63" s="377" t="s">
        <v>332</v>
      </c>
      <c r="C63" s="378">
        <f>Normalized_FCF!C92</f>
        <v>2.2118380062305293E-2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