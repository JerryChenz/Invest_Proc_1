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EBE7FCD-39EA-4056-A260-31D2CEF51D3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41" i="2"/>
  <c r="C35" i="2"/>
  <c r="C4"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116" i="2"/>
  <c r="C40" i="9" s="1"/>
  <c r="F17" i="8" s="1"/>
  <c r="C52" i="6"/>
  <c r="C52" i="12"/>
  <c r="C68" i="6"/>
  <c r="C68" i="12"/>
  <c r="C14" i="2"/>
  <c r="C19" i="2" s="1"/>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E33" i="8" l="1"/>
  <c r="A31" i="8"/>
  <c r="E35" i="8"/>
  <c r="A35" i="8"/>
  <c r="E32" i="8"/>
  <c r="A34" i="8"/>
  <c r="E31" i="8"/>
  <c r="E34" i="8"/>
  <c r="A33" i="8"/>
  <c r="A32" i="8"/>
  <c r="A28" i="8"/>
  <c r="A27" i="8"/>
  <c r="E29" i="8"/>
  <c r="A30" i="8"/>
  <c r="E26" i="8"/>
  <c r="E27" i="8"/>
  <c r="E28" i="8"/>
  <c r="E30" i="8"/>
  <c r="A29" i="8"/>
  <c r="A26" i="8"/>
  <c r="A21" i="8"/>
  <c r="E23" i="8"/>
  <c r="A25" i="8"/>
  <c r="A22" i="8"/>
  <c r="E24" i="8"/>
  <c r="E22" i="8"/>
  <c r="E25" i="8"/>
  <c r="A24" i="8"/>
  <c r="A23" i="8"/>
  <c r="C61" i="6"/>
  <c r="C124" i="2"/>
  <c r="C85" i="2"/>
  <c r="G34" i="8" l="1"/>
  <c r="D34" i="8"/>
  <c r="D35" i="8"/>
  <c r="G35" i="8"/>
  <c r="G31" i="8"/>
  <c r="D31" i="8"/>
  <c r="D32" i="8"/>
  <c r="G32" i="8"/>
  <c r="D33" i="8"/>
  <c r="G33"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F33" i="8" l="1"/>
  <c r="H33" i="8" s="1"/>
  <c r="C34" i="8"/>
  <c r="J32" i="8"/>
  <c r="I32" i="8"/>
  <c r="L32" i="8"/>
  <c r="C35" i="8" l="1"/>
  <c r="F34" i="8"/>
  <c r="H34" i="8" s="1"/>
  <c r="I33" i="8"/>
  <c r="J33" i="8"/>
  <c r="L33" i="8"/>
  <c r="J34" i="8" l="1"/>
  <c r="I34" i="8"/>
  <c r="L34" i="8"/>
  <c r="C36" i="8"/>
  <c r="F35" i="8"/>
  <c r="H35" i="8" s="1"/>
  <c r="C51" i="8"/>
  <c r="F51" i="8" s="1"/>
  <c r="I51" i="8" l="1"/>
  <c r="H51" i="8"/>
  <c r="L51" i="8" s="1"/>
  <c r="I35" i="8"/>
  <c r="J35" i="8"/>
  <c r="L35" i="8"/>
  <c r="L52" i="8" l="1"/>
  <c r="I18" i="8" s="1"/>
  <c r="C47" i="9" s="1"/>
  <c r="A55" i="8"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<sst xmlns="http://schemas.openxmlformats.org/spreadsheetml/2006/main" count="767" uniqueCount="558">
  <si>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</si>
  <si>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</si>
  <si>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</si>
  <si>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</si>
  <si>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</si>
  <si>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</si>
  <si>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</si>
  <si>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</si>
  <si>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</si>
  <si>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</si>
  <si>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</si>
  <si>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</si>
  <si>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</si>
  <si>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</si>
  <si>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</si>
  <si>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</si>
  <si>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</si>
  <si>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</si>
  <si>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</si>
  <si>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</si>
  <si>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</si>
  <si>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</si>
  <si>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</si>
  <si>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</si>
  <si>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</si>
  <si>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</si>
  <si>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</si>
  <si>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</si>
  <si>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</si>
  <si>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</si>
  <si>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</si>
  <si>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</si>
  <si>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</si>
  <si>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</si>
  <si>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</si>
  <si>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</si>
  <si>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</si>
  <si>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</si>
  <si>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</si>
  <si>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</si>
  <si>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</si>
  <si>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</si>
  <si>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</si>
  <si>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</si>
  <si>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</si>
  <si>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</si>
  <si>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</si>
  <si>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</si>
  <si>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</si>
  <si>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</si>
  <si>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</si>
  <si>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</si>
  <si>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</si>
  <si>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</si>
  <si>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</si>
  <si>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</si>
  <si>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</si>
  <si>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</si>
  <si>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</si>
  <si>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</si>
  <si>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</si>
  <si>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</si>
  <si>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</si>
  <si>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</si>
  <si>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</si>
  <si>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</si>
  <si>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</si>
  <si>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</si>
  <si>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</si>
  <si>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</si>
  <si>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</si>
  <si>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</si>
  <si>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</si>
  <si>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</si>
  <si>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</si>
  <si>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</si>
  <si>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</si>
  <si>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</si>
  <si>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</si>
  <si>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</si>
  <si>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</si>
  <si>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</si>
  <si>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</si>
  <si>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</si>
  <si>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</si>
  <si>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</si>
  <si>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</si>
  <si>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</si>
  <si>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</si>
  <si>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</si>
  <si>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</si>
  <si>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</si>
  <si>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</si>
  <si>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</si>
  <si>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</si>
  <si>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</si>
  <si>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</si>
  <si>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</si>
  <si>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</si>
  <si>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</si>
  <si>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</si>
  <si>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</si>
  <si>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</si>
  <si>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</si>
  <si>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</si>
  <si>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</si>
  <si>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</si>
  <si>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</si>
  <si>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</si>
  <si>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</si>
  <si>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</si>
  <si>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</si>
  <si>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</si>
  <si>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</si>
  <si>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</si>
  <si>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</si>
  <si>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</si>
  <si>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</si>
  <si>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</si>
  <si>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</si>
  <si>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</si>
  <si>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</si>
  <si>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</si>
  <si>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</si>
  <si>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</si>
  <si>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</si>
  <si>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</si>
  <si>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</si>
  <si>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</si>
  <si>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</si>
  <si>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</si>
  <si>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</si>
  <si>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</si>
  <si>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</si>
  <si>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</si>
  <si>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</si>
  <si>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</si>
  <si>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</si>
  <si>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</si>
  <si>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</si>
  <si>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</si>
  <si>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</si>
  <si>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</si>
  <si>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</si>
  <si>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</si>
  <si>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</si>
  <si>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</si>
  <si>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</si>
  <si>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</si>
  <si>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</si>
  <si>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</si>
  <si>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</si>
  <si>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</si>
  <si>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</si>
  <si>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</si>
  <si>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</si>
  <si>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</si>
  <si>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</si>
  <si>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</si>
  <si>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</si>
  <si>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</si>
  <si>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</si>
  <si>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</si>
  <si>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</si>
  <si>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</si>
  <si>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</si>
  <si>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</si>
  <si>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</si>
  <si>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</si>
  <si>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</si>
  <si>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</si>
  <si>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</si>
  <si>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</si>
  <si>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</si>
  <si>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</si>
  <si>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</si>
  <si>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</si>
  <si>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</si>
  <si>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</si>
  <si>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</si>
  <si>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</si>
  <si>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</si>
  <si>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</si>
  <si>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</si>
  <si>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</si>
  <si>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</si>
  <si>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</si>
  <si>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</si>
  <si>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</si>
  <si>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</si>
  <si>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</si>
  <si>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</si>
  <si>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</si>
  <si>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</si>
  <si>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</si>
  <si>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</si>
  <si>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</si>
  <si>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</si>
  <si>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</si>
  <si>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</si>
  <si>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</si>
  <si>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</si>
  <si>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</si>
  <si>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</si>
  <si>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</si>
  <si>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</si>
  <si>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</si>
  <si>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</si>
  <si>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</si>
  <si>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</si>
  <si>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</si>
  <si>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</si>
  <si>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</si>
  <si>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</si>
  <si>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</si>
  <si>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</si>
  <si>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</si>
  <si>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</si>
  <si>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</si>
  <si>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</si>
  <si>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</si>
  <si>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</si>
  <si>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</si>
  <si>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</si>
  <si>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</si>
  <si>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</si>
  <si>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</si>
  <si>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</si>
  <si>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</si>
  <si>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</si>
  <si>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</si>
  <si>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</si>
  <si>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</si>
  <si>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</si>
  <si>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</si>
  <si>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</si>
  <si>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</si>
  <si>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</si>
  <si>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</si>
  <si>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</si>
  <si>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</si>
  <si>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</si>
  <si>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</si>
  <si>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</si>
  <si>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</si>
  <si>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</si>
  <si>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</si>
  <si>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</si>
  <si>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</si>
  <si>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</si>
  <si>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</si>
  <si>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</si>
  <si>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</si>
  <si>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</si>
  <si>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</si>
  <si>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</si>
  <si>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</si>
  <si>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</si>
  <si>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</si>
  <si>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</si>
  <si>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</si>
  <si>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</si>
  <si>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</si>
  <si>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</si>
  <si>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</si>
  <si>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</si>
  <si>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</si>
  <si>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</si>
  <si>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</si>
  <si>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</si>
  <si>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</si>
  <si>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</si>
  <si>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</si>
  <si>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</si>
  <si>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</si>
  <si>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</si>
  <si>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</si>
  <si>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</si>
  <si>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</si>
  <si>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</si>
  <si>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</si>
  <si>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</si>
  <si>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</si>
  <si>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</si>
  <si>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</si>
  <si>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</si>
  <si>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</si>
  <si>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</si>
  <si>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</si>
  <si>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</si>
  <si>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</si>
  <si>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</si>
  <si>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</si>
  <si>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</si>
  <si>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</si>
  <si>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</si>
  <si>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</si>
  <si>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</si>
  <si>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</si>
  <si>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</si>
  <si>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</si>
  <si>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</si>
  <si>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</si>
  <si>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</si>
  <si>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</si>
  <si>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</si>
  <si>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</si>
  <si>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</si>
  <si>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</si>
  <si>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</si>
  <si>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</si>
  <si>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</si>
  <si>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</si>
  <si>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</si>
  <si>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</si>
  <si>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</si>
  <si>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</si>
  <si>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</si>
  <si>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</si>
  <si>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</si>
  <si>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</si>
  <si>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</si>
  <si>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</si>
  <si>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</si>
  <si>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</si>
  <si>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</si>
  <si>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</si>
  <si>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</si>
  <si>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</si>
  <si>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</si>
  <si>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</si>
  <si>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</si>
  <si>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</si>
  <si>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</si>
  <si>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</si>
  <si>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</si>
  <si>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</si>
  <si>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</si>
  <si>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</si>
  <si>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</si>
  <si>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</si>
  <si>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</si>
  <si>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</si>
  <si>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</si>
  <si>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</si>
  <si>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</si>
  <si>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</si>
  <si>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</si>
  <si>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</si>
  <si>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</si>
  <si>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</si>
  <si>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</si>
  <si>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</si>
  <si>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</si>
  <si>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</si>
  <si>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</si>
  <si>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</si>
  <si>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</si>
  <si>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</si>
  <si>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</si>
  <si>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</si>
  <si>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</si>
  <si>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</si>
  <si>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</si>
  <si>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</si>
  <si>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</si>
  <si>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</si>
  <si>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</si>
  <si>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</si>
  <si>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</si>
  <si>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</si>
  <si>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</si>
  <si>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</si>
  <si>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</si>
  <si>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</si>
  <si>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</si>
  <si>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</si>
  <si>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</si>
  <si>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</si>
  <si>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</si>
  <si>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</si>
  <si>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</si>
  <si>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</si>
  <si>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</si>
  <si>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</si>
  <si>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</si>
  <si>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</si>
  <si>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</si>
  <si>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</si>
  <si>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</si>
  <si>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</si>
  <si>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</si>
  <si>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</si>
  <si>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</si>
  <si>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</si>
  <si>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</si>
  <si>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</si>
  <si>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</si>
  <si>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</si>
  <si>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</si>
  <si>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</si>
  <si>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</si>
  <si>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</si>
  <si>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</si>
  <si>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</si>
  <si>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</si>
  <si>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</si>
  <si>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</si>
  <si>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</si>
  <si>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</si>
  <si>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</si>
  <si>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</si>
  <si>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</si>
  <si>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</si>
  <si>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</si>
  <si>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</si>
  <si>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</si>
  <si>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</si>
  <si>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</si>
  <si>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</si>
  <si>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</si>
  <si>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</si>
  <si>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</si>
  <si>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</si>
  <si>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</si>
  <si>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</si>
  <si>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</si>
  <si>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</si>
  <si>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</si>
  <si>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</si>
  <si>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</si>
  <si>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</si>
  <si>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</si>
  <si>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</si>
  <si>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</si>
  <si>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</si>
  <si>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</si>
  <si>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</si>
  <si>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</si>
  <si>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</si>
  <si>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</si>
  <si>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</si>
  <si>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</si>
  <si>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</si>
  <si>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</si>
  <si>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</si>
  <si>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</si>
  <si>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</si>
  <si>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</si>
  <si>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</si>
  <si>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</si>
  <si>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</si>
  <si>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</si>
  <si>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</si>
  <si>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</si>
  <si>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</si>
  <si>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</si>
  <si>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</si>
  <si>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</si>
  <si>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</si>
  <si>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</si>
  <si>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</si>
  <si>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</si>
  <si>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</si>
  <si>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</si>
  <si>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</si>
  <si>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</si>
  <si>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</si>
  <si>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</si>
  <si>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</si>
  <si>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</si>
  <si>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</si>
  <si>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</si>
  <si>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</si>
  <si>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</si>
  <si>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</si>
  <si>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</si>
  <si>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</si>
  <si>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</si>
  <si>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</si>
  <si>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</si>
  <si>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</si>
  <si>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</si>
  <si>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</si>
  <si>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</si>
  <si>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</si>
  <si>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</si>
  <si>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</si>
  <si>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</si>
  <si>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</si>
  <si>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</si>
  <si>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</si>
  <si>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</si>
  <si>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</si>
  <si>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</si>
  <si>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</si>
  <si>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</si>
  <si>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</si>
  <si>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</si>
  <si>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</si>
  <si>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</si>
  <si>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</si>
  <si>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</si>
  <si>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</si>
  <si>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</si>
  <si>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</si>
  <si>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</si>
  <si>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</si>
  <si>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</si>
  <si>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</si>
  <si>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</si>
  <si>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</si>
  <si>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</si>
  <si>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</si>
  <si>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</si>
  <si>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</si>
  <si>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</si>
  <si>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</si>
  <si>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</si>
  <si>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</si>
  <si>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</si>
  <si>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</si>
  <si>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</si>
  <si>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</si>
  <si>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</si>
  <si>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</si>
  <si>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</si>
  <si>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</si>
  <si>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</si>
  <si>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</si>
  <si>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</si>
  <si>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</si>
  <si>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</si>
  <si>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</si>
  <si>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</si>
  <si>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</si>
  <si>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</si>
  <si>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</si>
  <si>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</si>
  <si>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</si>
  <si>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</si>
  <si>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</si>
  <si>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</si>
  <si>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</si>
  <si>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</si>
  <si>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</si>
  <si>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</si>
  <si>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</si>
  <si>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</si>
  <si>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</si>
  <si>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</si>
  <si>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</si>
  <si>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</si>
  <si>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</si>
  <si>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</si>
  <si>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</si>
  <si>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Long-term Projection</t>
  </si>
  <si>
    <t>FCFE and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</si>
</sst>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538</v>
      </c>
      <c r="F3" s="432">
        <v>46038</v>
      </c>
    </row>
    <row r="4" spans="1:9" ht="12.4">
      <c r="B4" s="424" t="s">
        <v>533</v>
      </c>
      <c r="C4" s="423" t="s">
        <v>549</v>
      </c>
      <c r="E4" s="433" t="s">
        <v>537</v>
      </c>
      <c r="F4" s="434" t="s">
        <v>324</v>
      </c>
    </row>
    <row r="5" spans="1:9">
      <c r="B5" s="1" t="s">
        <v>349</v>
      </c>
      <c r="C5" s="46" t="s">
        <v>550</v>
      </c>
      <c r="E5" s="436" t="s">
        <v>539</v>
      </c>
      <c r="F5" s="435" t="s">
        <v>497</v>
      </c>
    </row>
    <row r="6" spans="1:9">
      <c r="B6" s="2" t="s">
        <v>53</v>
      </c>
      <c r="C6" s="45" t="s">
        <v>551</v>
      </c>
      <c r="D6" s="45"/>
      <c r="E6" s="45"/>
    </row>
    <row r="7" spans="1:9">
      <c r="B7" s="1" t="s">
        <v>351</v>
      </c>
      <c r="C7" s="45" t="s">
        <v>308</v>
      </c>
      <c r="D7" s="45"/>
      <c r="E7" s="45"/>
    </row>
    <row r="8" spans="1:9">
      <c r="B8" s="4" t="s">
        <v>350</v>
      </c>
      <c r="C8" s="47">
        <v>6.53</v>
      </c>
      <c r="E8" s="32"/>
    </row>
    <row r="9" spans="1:9">
      <c r="B9" s="4" t="s">
        <v>346</v>
      </c>
      <c r="C9" s="48">
        <v>1043529089</v>
      </c>
    </row>
    <row r="10" spans="1:9">
      <c r="B10" s="4" t="s">
        <v>352</v>
      </c>
      <c r="C10" s="33">
        <f>Thesis!C8*Common_Shares/1000000</f>
        <v>6814.2449511699997</v>
      </c>
      <c r="D10" s="1" t="s">
        <v>528</v>
      </c>
      <c r="E10" s="306">
        <f>Scenarios!F34</f>
        <v>0.18430807784929162</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20" t="s">
        <v>546</v>
      </c>
      <c r="D15" s="4" t="s">
        <v>353</v>
      </c>
      <c r="E15" s="255" t="str">
        <f>IF(E17=C7,C7,E17&amp;"/"&amp;C7)</f>
        <v>HKD</v>
      </c>
    </row>
    <row r="16" spans="1:9">
      <c r="B16" s="1" t="s">
        <v>320</v>
      </c>
      <c r="C16" s="420" t="s">
        <v>546</v>
      </c>
      <c r="D16" s="4" t="s">
        <v>354</v>
      </c>
      <c r="E16" s="419">
        <v>1</v>
      </c>
    </row>
    <row r="17" spans="1:6">
      <c r="B17" s="1" t="s">
        <v>532</v>
      </c>
      <c r="C17" s="459">
        <v>0.02</v>
      </c>
      <c r="D17" s="4" t="s">
        <v>274</v>
      </c>
      <c r="E17" s="224" t="s">
        <v>308</v>
      </c>
    </row>
    <row r="18" spans="1:6">
      <c r="B18" s="1" t="str">
        <f>"Expected Equity Value ("&amp;C7&amp;") :"</f>
        <v>Expected Equity Value (HKD) :</v>
      </c>
      <c r="C18" s="254">
        <f>C125</f>
        <v>10.337601541704334</v>
      </c>
      <c r="D18" s="2" t="s">
        <v>347</v>
      </c>
      <c r="E18" s="421">
        <v>6</v>
      </c>
    </row>
    <row r="19" spans="1:6">
      <c r="B19" s="2" t="s">
        <v>275</v>
      </c>
      <c r="C19" s="31" t="str">
        <f>IF(Terminal_Growth&lt;2%, "Lower than Inflation rate", IF(Terminal_Growth&lt;5%, "Low growth", IF(Terminal_Growth&lt;8%, "Medium growth", "High growth")))</f>
        <v>Low growth</v>
      </c>
      <c r="D19" s="1" t="s">
        <v>348</v>
      </c>
      <c r="E19" s="422">
        <f>EOMONTH(EDATE(BS!C1,E18+2),0)</f>
        <v>46081</v>
      </c>
    </row>
    <row r="20" spans="1:6">
      <c r="D20" s="5"/>
      <c r="E20" s="5"/>
    </row>
    <row r="21" spans="1:6">
      <c r="B21" s="42" t="s">
        <v>404</v>
      </c>
      <c r="C21" s="256" t="str">
        <f>C138&amp;" ("&amp;Market_currency&amp;")"</f>
        <v xml:space="preserve"> (HKD)</v>
      </c>
      <c r="D21" s="31" t="s">
        <v>316</v>
      </c>
      <c r="E21" s="445">
        <v>3</v>
      </c>
    </row>
    <row r="22" spans="1:6">
      <c r="B22" s="1" t="s">
        <v>312</v>
      </c>
      <c r="C22" s="257">
        <f>E140</f>
        <v>5.0237106020124003</v>
      </c>
      <c r="D22" s="38" t="s">
        <v>406</v>
      </c>
      <c r="E22" s="79">
        <v>0.29465259038036601</v>
      </c>
    </row>
    <row r="23" spans="1:6">
      <c r="B23" s="1" t="s">
        <v>313</v>
      </c>
      <c r="C23" s="258">
        <f>E141</f>
        <v>6.2699463463342093</v>
      </c>
      <c r="D23" s="38" t="s">
        <v>407</v>
      </c>
      <c r="E23" s="446">
        <v>0.20075184365903001</v>
      </c>
    </row>
    <row r="24" spans="1:6">
      <c r="B24" s="1" t="s">
        <v>315</v>
      </c>
      <c r="C24" s="258">
        <f>E144</f>
        <v>7.7521729877457162</v>
      </c>
      <c r="D24" s="38" t="s">
        <v>408</v>
      </c>
      <c r="E24" s="446">
        <v>0.1174</v>
      </c>
    </row>
    <row r="25" spans="1:6">
      <c r="B25" s="1" t="s">
        <v>314</v>
      </c>
      <c r="C25" s="258">
        <f>E145</f>
        <v>8.7506459962076875</v>
      </c>
      <c r="D25" s="38" t="s">
        <v>409</v>
      </c>
      <c r="E25" s="447">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8">
        <f>Normalized_FCF!C8</f>
        <v>685770.70000000019</v>
      </c>
      <c r="D34" s="1" t="str">
        <f>Reporting_currency</f>
        <v>HKD</v>
      </c>
    </row>
    <row r="35" spans="2:6">
      <c r="B35" s="44"/>
      <c r="C35" s="73"/>
    </row>
    <row r="36" spans="2:6" ht="24.5" customHeight="1">
      <c r="B36" s="464" t="s">
        <v>198</v>
      </c>
      <c r="C36" s="464"/>
      <c r="D36" s="464"/>
      <c r="E36" s="464"/>
      <c r="F36" s="464"/>
    </row>
    <row r="37" spans="2:6">
      <c r="B37" s="44" t="s">
        <v>199</v>
      </c>
      <c r="C37" s="288">
        <f>Normalized_FCF!C15</f>
        <v>0</v>
      </c>
      <c r="D37" s="1" t="str">
        <f>Reporting_currency</f>
        <v>HKD</v>
      </c>
    </row>
    <row r="38" spans="2:6">
      <c r="B38" s="49" t="s">
        <v>200</v>
      </c>
      <c r="C38" s="288">
        <f>Normalized_FCF!C16</f>
        <v>0</v>
      </c>
      <c r="D38" s="1" t="str">
        <f>Reporting_currency</f>
        <v>HKD</v>
      </c>
    </row>
    <row r="40" spans="2:6">
      <c r="B40" s="464" t="s">
        <v>201</v>
      </c>
      <c r="C40" s="464"/>
      <c r="D40" s="464"/>
      <c r="E40" s="464"/>
      <c r="F40" s="464"/>
    </row>
    <row r="41" spans="2:6">
      <c r="B41" s="44" t="s">
        <v>202</v>
      </c>
      <c r="C41" s="288">
        <f>Normalized_FCF!C9</f>
        <v>0</v>
      </c>
      <c r="D41" s="1" t="str">
        <f>Reporting_currency</f>
        <v>HKD</v>
      </c>
    </row>
    <row r="43" spans="2:6">
      <c r="B43" s="464" t="s">
        <v>205</v>
      </c>
      <c r="C43" s="464"/>
      <c r="D43" s="464"/>
      <c r="E43" s="464"/>
      <c r="F43" s="464"/>
    </row>
    <row r="44" spans="2:6">
      <c r="B44" s="44" t="s">
        <v>267</v>
      </c>
      <c r="C44" s="289">
        <f>Normalized_FCF!C46</f>
        <v>2867.9977153189998</v>
      </c>
      <c r="D44" s="1" t="str">
        <f>Reporting_currency</f>
        <v>HKD</v>
      </c>
      <c r="E44" s="246"/>
      <c r="F44" s="246"/>
    </row>
    <row r="45" spans="2:6">
      <c r="B45" s="44" t="s">
        <v>268</v>
      </c>
      <c r="C45" s="289">
        <f>Normalized_FCF!C45</f>
        <v>-33813.479999999996</v>
      </c>
      <c r="D45" s="1" t="str">
        <f>Reporting_currency</f>
        <v>HKD</v>
      </c>
      <c r="E45" s="246"/>
      <c r="F45" s="246"/>
    </row>
    <row r="46" spans="2:6">
      <c r="B46" s="44" t="s">
        <v>203</v>
      </c>
      <c r="C46" s="288">
        <f>Normalized_FCF!C10</f>
        <v>-30945.482284680995</v>
      </c>
      <c r="D46" s="1" t="str">
        <f>Reporting_currency</f>
        <v>HKD</v>
      </c>
    </row>
    <row r="48" spans="2:6">
      <c r="B48" s="1" t="s">
        <v>211</v>
      </c>
    </row>
    <row r="49" spans="2:6">
      <c r="B49" s="44" t="s">
        <v>223</v>
      </c>
      <c r="C49" s="288">
        <f>Normalized_FCF!C13</f>
        <v>-34340.371018337282</v>
      </c>
      <c r="D49" s="1" t="str">
        <f>Reporting_currency</f>
        <v>HKD</v>
      </c>
    </row>
    <row r="51" spans="2:6">
      <c r="B51" s="464" t="s">
        <v>206</v>
      </c>
      <c r="C51" s="464"/>
      <c r="D51" s="464"/>
      <c r="E51" s="464"/>
      <c r="F51" s="464"/>
    </row>
    <row r="52" spans="2:6">
      <c r="B52" s="44" t="s">
        <v>204</v>
      </c>
      <c r="C52" s="288">
        <f>Normalized_FCF!C12</f>
        <v>-141442.24702650897</v>
      </c>
      <c r="D52" s="1" t="str">
        <f>Reporting_currency</f>
        <v>HKD</v>
      </c>
    </row>
    <row r="54" spans="2:6">
      <c r="B54" s="464" t="s">
        <v>265</v>
      </c>
      <c r="C54" s="465"/>
      <c r="D54" s="465"/>
      <c r="E54" s="465"/>
      <c r="F54" s="465"/>
    </row>
    <row r="55" spans="2:6">
      <c r="B55" s="44" t="s">
        <v>207</v>
      </c>
      <c r="C55" s="288">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8">
        <f>Normalized_FCF!G19</f>
        <v>506980</v>
      </c>
      <c r="D60" s="1" t="str">
        <f>Reporting_currency</f>
        <v>HKD</v>
      </c>
    </row>
    <row r="61" spans="2:6">
      <c r="B61" s="44" t="s">
        <v>213</v>
      </c>
      <c r="C61" s="288">
        <f>Normalized_FCF!C19</f>
        <v>479042.59967047302</v>
      </c>
      <c r="D61" s="1" t="str">
        <f>Reporting_currency</f>
        <v>HKD</v>
      </c>
    </row>
    <row r="62" spans="2:6">
      <c r="B62" s="204" t="s">
        <v>302</v>
      </c>
      <c r="C62" s="89">
        <f>Normalized_FCF!C124</f>
        <v>7.0300173108426608E-2</v>
      </c>
      <c r="F62" s="259"/>
    </row>
    <row r="63" spans="2:6">
      <c r="B63" s="204" t="s">
        <v>332</v>
      </c>
      <c r="C63" s="89">
        <f>Normalized_FCF!C92</f>
        <v>2.1745788667687591E-2</v>
      </c>
      <c r="E63" s="44" t="s">
        <v>322</v>
      </c>
      <c r="F63" s="260">
        <f>Normalized_FCF!C90</f>
        <v>0.3093276688543603</v>
      </c>
    </row>
    <row r="65" spans="1:6">
      <c r="B65" s="192" t="s">
        <v>325</v>
      </c>
      <c r="C65" s="266" t="s">
        <v>327</v>
      </c>
      <c r="D65" s="266" t="s">
        <v>328</v>
      </c>
    </row>
    <row r="66" spans="1:6">
      <c r="B66" s="44" t="s">
        <v>326</v>
      </c>
      <c r="C66" s="89">
        <f>Normalized_FCF!C119</f>
        <v>0.3</v>
      </c>
      <c r="D66" s="89">
        <f>Normalized_FCF!G119</f>
        <v>0.18518613957341221</v>
      </c>
    </row>
    <row r="67" spans="1:6">
      <c r="B67" s="229" t="str">
        <f>Normalized_FCF!B116</f>
        <v>Pre-tax Profit/Sales</v>
      </c>
      <c r="C67" s="265">
        <f>Normalized_FCF!C116</f>
        <v>0.14083691822897304</v>
      </c>
      <c r="D67" s="265">
        <f>Normalized_FCF!G116</f>
        <v>9.3932894828076763E-2</v>
      </c>
    </row>
    <row r="68" spans="1:6">
      <c r="B68" s="229" t="str">
        <f>Normalized_FCF!B117</f>
        <v>Sales/Total Assets</v>
      </c>
      <c r="C68" s="267">
        <f>Normalized_FCF!C117</f>
        <v>1.2</v>
      </c>
      <c r="D68" s="267">
        <f>Normalized_FCF!G117</f>
        <v>1.1106245684847842</v>
      </c>
    </row>
    <row r="69" spans="1:6">
      <c r="B69" s="229" t="str">
        <f>Normalized_FCF!B118</f>
        <v>Total Assets/Equity</v>
      </c>
      <c r="C69" s="267">
        <f>Normalized_FCF!C118</f>
        <v>1.775102743966247</v>
      </c>
      <c r="D69" s="267">
        <f>Normalized_FCF!G118</f>
        <v>1.775102743966247</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8">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40">
        <f>IF(BS!G31/BS!G27&gt;300%,"nm",BS!G31/BS!G27)</f>
        <v>0.17709797868255178</v>
      </c>
    </row>
    <row r="81" spans="1:6">
      <c r="A81" s="191"/>
      <c r="B81" s="229" t="s">
        <v>311</v>
      </c>
      <c r="C81" s="341">
        <f>IF(BS!C50&gt;30,"nm",BS!C50)</f>
        <v>0.82178780749892033</v>
      </c>
    </row>
    <row r="82" spans="1:6">
      <c r="A82" s="191"/>
    </row>
    <row r="83" spans="1:6">
      <c r="A83" s="191"/>
      <c r="B83" s="1" t="s">
        <v>466</v>
      </c>
    </row>
    <row r="84" spans="1:6">
      <c r="A84" s="191"/>
      <c r="B84" s="1" t="s">
        <v>224</v>
      </c>
      <c r="C84" s="288">
        <f>DCF!F5</f>
        <v>791294.38078016671</v>
      </c>
      <c r="D84" s="1" t="str">
        <f>Reporting_currency</f>
        <v>HKD</v>
      </c>
    </row>
    <row r="85" spans="1:6">
      <c r="A85" s="191"/>
      <c r="B85" s="229" t="s">
        <v>222</v>
      </c>
      <c r="C85" s="294">
        <f>BS!C66</f>
        <v>1269294</v>
      </c>
      <c r="D85" s="342"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8">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0.02</v>
      </c>
    </row>
    <row r="106" spans="2:6">
      <c r="B106" s="252"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3" t="s">
        <v>491</v>
      </c>
      <c r="C114" s="463"/>
      <c r="D114" s="463"/>
      <c r="E114" s="463"/>
      <c r="F114" s="463"/>
    </row>
    <row r="116" spans="2:6">
      <c r="B116" s="192" t="s">
        <v>488</v>
      </c>
    </row>
    <row r="117" spans="2:6" ht="12.4">
      <c r="B117" s="345" t="s">
        <v>101</v>
      </c>
      <c r="C117" s="345" t="s">
        <v>110</v>
      </c>
      <c r="D117" s="345" t="s">
        <v>219</v>
      </c>
      <c r="E117" s="345" t="s">
        <v>124</v>
      </c>
      <c r="F117" s="345" t="s">
        <v>545</v>
      </c>
    </row>
    <row r="118" spans="2:6">
      <c r="B118" s="205" t="str">
        <f>DCF!B90&amp;" ("&amp;DCF!D90&amp;"yrs)"</f>
        <v>Snowball Scenario (15yrs)</v>
      </c>
      <c r="C118" s="206">
        <f>DCF!C90</f>
        <v>0.05</v>
      </c>
      <c r="D118" s="207" t="str">
        <f>ROUND(DCF!E90,2)&amp;" "&amp;Market_currency</f>
        <v>13.59 HKD</v>
      </c>
      <c r="E118" s="208">
        <f>DCF!F90</f>
        <v>0.15</v>
      </c>
      <c r="F118" s="208">
        <f>RATE(Holding_Period,Scenarios!C$58,-DCF!E90,C$18)</f>
        <v>-7.5699841649487162E-2</v>
      </c>
    </row>
    <row r="119" spans="2:6">
      <c r="B119" s="205" t="str">
        <f>DCF!B91&amp;" ("&amp;DCF!D91&amp;"yrs)"</f>
        <v>Optimistic (15yrs)</v>
      </c>
      <c r="C119" s="198">
        <f>DCF!C91</f>
        <v>0.03</v>
      </c>
      <c r="D119" s="207" t="str">
        <f>ROUND(DCF!E91,2)&amp;" "&amp;Market_currency</f>
        <v>10.98 HKD</v>
      </c>
      <c r="E119" s="199">
        <f>DCF!F91</f>
        <v>0.15999999999999995</v>
      </c>
      <c r="F119" s="208">
        <f>RATE(Holding_Period,Scenarios!C$58,-DCF!E91,C$18)</f>
        <v>-6.8377965543912405E-3</v>
      </c>
    </row>
    <row r="120" spans="2:6">
      <c r="B120" s="205" t="str">
        <f>DCF!B92&amp;" ("&amp;DCF!D92&amp;"yrs)"</f>
        <v>Base (15yrs)</v>
      </c>
      <c r="C120" s="198">
        <f>DCF!C92</f>
        <v>0.02</v>
      </c>
      <c r="D120" s="207" t="str">
        <f>ROUND(DCF!E92,2)&amp;" "&amp;Market_currency</f>
        <v>9.89 HKD</v>
      </c>
      <c r="E120" s="199">
        <f>DCF!F92</f>
        <v>0.44</v>
      </c>
      <c r="F120" s="208">
        <f>RATE(Holding_Period,Scenarios!C$58,-DCF!E92,C$18)</f>
        <v>2.8874468263158797E-2</v>
      </c>
    </row>
    <row r="121" spans="2:6">
      <c r="B121" s="205" t="str">
        <f>DCF!B93&amp;" ("&amp;DCF!D93&amp;"yrs)"</f>
        <v>Pessimistic (15yrs)</v>
      </c>
      <c r="C121" s="198">
        <f>DCF!C93</f>
        <v>0.01</v>
      </c>
      <c r="D121" s="207" t="str">
        <f>ROUND(DCF!E93,2)&amp;" "&amp;Market_currency</f>
        <v>8.92 HKD</v>
      </c>
      <c r="E121" s="199">
        <f>DCF!F93</f>
        <v>0.19999999999999998</v>
      </c>
      <c r="F121" s="208">
        <f>RATE(Holding_Period,Scenarios!C$58,-DCF!E93,C$18)</f>
        <v>6.5378243516026238E-2</v>
      </c>
    </row>
    <row r="122" spans="2:6">
      <c r="B122" s="205" t="str">
        <f>DCF!B94&amp;" ("&amp;DCF!D94&amp;"yrs)"</f>
        <v>Devil's advocate (15yrs)</v>
      </c>
      <c r="C122" s="198">
        <f>DCF!C94</f>
        <v>0</v>
      </c>
      <c r="D122" s="207" t="str">
        <f>ROUND(DCF!E94,2)&amp;" "&amp;Market_currency</f>
        <v>8.06 HKD</v>
      </c>
      <c r="E122" s="199">
        <f>DCF!F94</f>
        <v>0.05</v>
      </c>
      <c r="F122" s="208">
        <f>RATE(Holding_Period,Scenarios!C$58,-DCF!E94,C$18)</f>
        <v>0.10261595731202246</v>
      </c>
    </row>
    <row r="124" spans="2:6">
      <c r="B124" s="464" t="s">
        <v>357</v>
      </c>
      <c r="C124" s="464"/>
      <c r="D124" s="464"/>
      <c r="E124" s="464"/>
      <c r="F124" s="464"/>
    </row>
    <row r="125" spans="2:6">
      <c r="B125" s="193" t="s">
        <v>218</v>
      </c>
      <c r="C125" s="197">
        <f>Scenarios!C36</f>
        <v>10.337601541704334</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3" t="s">
        <v>462</v>
      </c>
      <c r="C139" s="343" t="str">
        <f>"PV("&amp;Holding_Period&amp;" yrs of Dividends)"</f>
        <v>PV(3 yrs of Dividends)</v>
      </c>
      <c r="D139" s="343" t="s">
        <v>471</v>
      </c>
      <c r="E139" s="344" t="str">
        <f>"Buy below ("&amp;Market_currency&amp;")"</f>
        <v>Buy below (HKD)</v>
      </c>
      <c r="F139" s="344" t="s">
        <v>472</v>
      </c>
    </row>
    <row r="140" spans="1:6">
      <c r="B140" s="339" t="s">
        <v>312</v>
      </c>
      <c r="C140" s="336">
        <f>Scenarios!C62</f>
        <v>0.25983892380763701</v>
      </c>
      <c r="D140" s="336">
        <f>Scenarios!D62</f>
        <v>4.7638716782047634</v>
      </c>
      <c r="E140" s="337">
        <f>Scenarios!E62</f>
        <v>5.0237106020124003</v>
      </c>
      <c r="F140" s="338">
        <f>E22</f>
        <v>0.29465259038036601</v>
      </c>
    </row>
    <row r="141" spans="1:6">
      <c r="B141" s="339" t="s">
        <v>313</v>
      </c>
      <c r="C141" s="336">
        <f>Scenarios!C63</f>
        <v>0.29876856051220924</v>
      </c>
      <c r="D141" s="336">
        <f>Scenarios!D63</f>
        <v>5.9711777858220003</v>
      </c>
      <c r="E141" s="337">
        <f>Scenarios!E63</f>
        <v>6.2699463463342093</v>
      </c>
      <c r="F141" s="338">
        <f>Scenarios!F63</f>
        <v>0.20075184365903001</v>
      </c>
    </row>
    <row r="142" spans="1:6">
      <c r="B142" s="194"/>
      <c r="C142" s="194"/>
      <c r="D142" s="194"/>
      <c r="E142" s="194"/>
      <c r="F142" s="194"/>
    </row>
    <row r="143" spans="1:6" ht="12.4">
      <c r="B143" s="343" t="s">
        <v>463</v>
      </c>
      <c r="C143" s="343" t="str">
        <f>"PV("&amp;Holding_Period&amp;" yrs of Dividends)"</f>
        <v>PV(3 yrs of Dividends)</v>
      </c>
      <c r="D143" s="343" t="s">
        <v>471</v>
      </c>
      <c r="E143" s="344" t="str">
        <f>"Sell above ("&amp;Market_currency&amp;")"</f>
        <v>Sell above (HKD)</v>
      </c>
      <c r="F143" s="344" t="s">
        <v>472</v>
      </c>
    </row>
    <row r="144" spans="1:6">
      <c r="B144" s="339" t="s">
        <v>315</v>
      </c>
      <c r="C144" s="336">
        <f>Scenarios!C66</f>
        <v>0.34258964388328816</v>
      </c>
      <c r="D144" s="336">
        <f>Scenarios!D66</f>
        <v>7.4095833438624279</v>
      </c>
      <c r="E144" s="337">
        <f>Scenarios!E66</f>
        <v>7.7521729877457162</v>
      </c>
      <c r="F144" s="338">
        <f>E24</f>
        <v>0.1174</v>
      </c>
    </row>
    <row r="145" spans="1:6">
      <c r="B145" s="339" t="s">
        <v>314</v>
      </c>
      <c r="C145" s="336">
        <f>Scenarios!C67</f>
        <v>0.37095728225856828</v>
      </c>
      <c r="D145" s="336">
        <f>Scenarios!D67</f>
        <v>8.3796887139491201</v>
      </c>
      <c r="E145" s="337">
        <f>Scenarios!E67</f>
        <v>8.7506459962076875</v>
      </c>
      <c r="F145" s="338">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0">
        <v>6273585</v>
      </c>
      <c r="D4" s="290">
        <v>6217123</v>
      </c>
      <c r="E4" s="290">
        <v>6340559</v>
      </c>
      <c r="F4" s="290">
        <v>6501215</v>
      </c>
      <c r="G4" s="290">
        <v>7519817</v>
      </c>
      <c r="H4" s="290">
        <v>7232641</v>
      </c>
      <c r="I4" s="290">
        <v>7526495</v>
      </c>
      <c r="J4" s="290">
        <v>6464525</v>
      </c>
      <c r="K4" s="290">
        <v>5406090</v>
      </c>
      <c r="L4" s="290">
        <v>5551898</v>
      </c>
      <c r="M4" s="290"/>
    </row>
    <row r="5" spans="2:13">
      <c r="B5" s="38" t="s">
        <v>40</v>
      </c>
      <c r="C5" s="290">
        <v>3056039</v>
      </c>
      <c r="D5" s="290">
        <v>3105686</v>
      </c>
      <c r="E5" s="290">
        <v>3328763</v>
      </c>
      <c r="F5" s="290">
        <v>3430534</v>
      </c>
      <c r="G5" s="290">
        <v>3565412</v>
      </c>
      <c r="H5" s="290">
        <v>3381150</v>
      </c>
      <c r="I5" s="290">
        <v>3484665</v>
      </c>
      <c r="J5" s="290">
        <v>3044767</v>
      </c>
      <c r="K5" s="290">
        <v>2532704</v>
      </c>
      <c r="L5" s="290">
        <v>2726117</v>
      </c>
      <c r="M5" s="290"/>
    </row>
    <row r="6" spans="2:13">
      <c r="B6" s="38" t="s">
        <v>51</v>
      </c>
      <c r="C6" s="290">
        <v>2595134</v>
      </c>
      <c r="D6" s="290">
        <v>2677338</v>
      </c>
      <c r="E6" s="290">
        <v>2696408</v>
      </c>
      <c r="F6" s="290">
        <v>2917557</v>
      </c>
      <c r="G6" s="290">
        <v>2837533</v>
      </c>
      <c r="H6" s="290">
        <v>2829337</v>
      </c>
      <c r="I6" s="290">
        <v>2739795</v>
      </c>
      <c r="J6" s="290">
        <v>2288467</v>
      </c>
      <c r="K6" s="290">
        <v>1979312</v>
      </c>
      <c r="L6" s="290">
        <v>1965086</v>
      </c>
      <c r="M6" s="290"/>
    </row>
    <row r="7" spans="2:13">
      <c r="B7" s="66" t="s">
        <v>58</v>
      </c>
      <c r="C7" s="291">
        <v>1900716</v>
      </c>
      <c r="D7" s="291">
        <v>1976349</v>
      </c>
      <c r="E7" s="291">
        <v>2024430</v>
      </c>
      <c r="F7" s="291">
        <v>2215199</v>
      </c>
      <c r="G7" s="291">
        <v>2114530</v>
      </c>
      <c r="H7" s="291">
        <v>2112457</v>
      </c>
      <c r="I7" s="291">
        <v>2104514</v>
      </c>
      <c r="J7" s="291">
        <v>1729371</v>
      </c>
      <c r="K7" s="291">
        <v>1491517</v>
      </c>
      <c r="L7" s="291">
        <v>1496807</v>
      </c>
      <c r="M7" s="291"/>
    </row>
    <row r="8" spans="2:13">
      <c r="B8" s="38" t="s">
        <v>46</v>
      </c>
      <c r="C8" s="290"/>
      <c r="D8" s="290"/>
      <c r="E8" s="290"/>
      <c r="F8" s="290"/>
      <c r="G8" s="290"/>
      <c r="H8" s="290"/>
      <c r="I8" s="290"/>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33116</v>
      </c>
      <c r="D12" s="290">
        <v>30028</v>
      </c>
      <c r="E12" s="290">
        <v>32547</v>
      </c>
      <c r="F12" s="290">
        <v>23071</v>
      </c>
      <c r="G12" s="290">
        <v>11770</v>
      </c>
      <c r="H12" s="290">
        <v>10932</v>
      </c>
      <c r="I12" s="290">
        <v>2086</v>
      </c>
      <c r="J12" s="290">
        <v>1700</v>
      </c>
      <c r="K12" s="290">
        <v>3730</v>
      </c>
      <c r="L12" s="290">
        <v>4044</v>
      </c>
      <c r="M12" s="290"/>
    </row>
    <row r="13" spans="2:13">
      <c r="B13" s="38" t="s">
        <v>64</v>
      </c>
      <c r="C13" s="290"/>
      <c r="D13" s="290"/>
      <c r="E13" s="290"/>
      <c r="F13" s="290"/>
      <c r="G13" s="290"/>
      <c r="H13" s="290"/>
      <c r="I13" s="290"/>
      <c r="J13" s="290"/>
      <c r="K13" s="290"/>
      <c r="L13" s="290"/>
      <c r="M13" s="290"/>
    </row>
    <row r="14" spans="2:13">
      <c r="B14" s="38" t="s">
        <v>47</v>
      </c>
      <c r="C14" s="290">
        <v>76422</v>
      </c>
      <c r="D14" s="290">
        <v>13880</v>
      </c>
      <c r="E14" s="290">
        <v>27736</v>
      </c>
      <c r="F14" s="290">
        <v>-74541</v>
      </c>
      <c r="G14" s="290">
        <v>177151</v>
      </c>
      <c r="H14" s="290">
        <v>109477</v>
      </c>
      <c r="I14" s="290">
        <v>208143</v>
      </c>
      <c r="J14" s="290">
        <v>160679</v>
      </c>
      <c r="K14" s="290">
        <v>190383</v>
      </c>
      <c r="L14" s="290">
        <v>34064</v>
      </c>
      <c r="M14" s="290"/>
    </row>
    <row r="15" spans="2:13">
      <c r="B15" s="41" t="s">
        <v>39</v>
      </c>
      <c r="C15" s="292">
        <v>240568</v>
      </c>
      <c r="D15" s="292">
        <v>117788</v>
      </c>
      <c r="E15" s="292">
        <v>21057</v>
      </c>
      <c r="F15" s="292">
        <v>-161381</v>
      </c>
      <c r="G15" s="292">
        <v>589508</v>
      </c>
      <c r="H15" s="292">
        <v>569591</v>
      </c>
      <c r="I15" s="292">
        <v>747695</v>
      </c>
      <c r="J15" s="292">
        <v>642055</v>
      </c>
      <c r="K15" s="292">
        <v>653294</v>
      </c>
      <c r="L15" s="292">
        <v>565244</v>
      </c>
      <c r="M15" s="292"/>
    </row>
    <row r="16" spans="2:13">
      <c r="B16" s="27" t="s">
        <v>41</v>
      </c>
      <c r="C16" s="290">
        <v>5894</v>
      </c>
      <c r="D16" s="290">
        <v>1421</v>
      </c>
      <c r="E16" s="290">
        <v>-24664</v>
      </c>
      <c r="F16" s="290">
        <v>-2631</v>
      </c>
      <c r="G16" s="290">
        <v>41162</v>
      </c>
      <c r="H16" s="290">
        <v>33713</v>
      </c>
      <c r="I16" s="290">
        <v>51788</v>
      </c>
      <c r="J16" s="290">
        <v>56281</v>
      </c>
      <c r="K16" s="290">
        <v>34922</v>
      </c>
      <c r="L16" s="290">
        <v>34628</v>
      </c>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859017</v>
      </c>
      <c r="D22" s="290">
        <v>790543</v>
      </c>
      <c r="E22" s="290">
        <v>502355</v>
      </c>
      <c r="F22" s="290">
        <v>124390</v>
      </c>
      <c r="G22" s="290">
        <v>1259766</v>
      </c>
      <c r="H22" s="290">
        <v>1259778</v>
      </c>
      <c r="I22" s="290">
        <v>1273230</v>
      </c>
      <c r="J22" s="290">
        <v>1065540</v>
      </c>
      <c r="K22" s="290">
        <v>944912</v>
      </c>
      <c r="L22" s="290">
        <v>630744</v>
      </c>
      <c r="M22" s="290"/>
    </row>
    <row r="23" spans="2:13">
      <c r="B23" s="26" t="s">
        <v>288</v>
      </c>
      <c r="C23" s="290">
        <v>65893</v>
      </c>
      <c r="D23" s="290">
        <v>-294294</v>
      </c>
      <c r="E23" s="290">
        <v>-189160</v>
      </c>
      <c r="F23" s="290">
        <v>-400263</v>
      </c>
      <c r="G23" s="290">
        <v>-636697</v>
      </c>
      <c r="H23" s="290">
        <v>-1061277</v>
      </c>
      <c r="I23" s="290">
        <v>-897654</v>
      </c>
      <c r="J23" s="290">
        <v>-443458</v>
      </c>
      <c r="K23" s="290">
        <v>98298</v>
      </c>
      <c r="L23" s="290">
        <v>-635426</v>
      </c>
      <c r="M23" s="290"/>
    </row>
    <row r="24" spans="2:13">
      <c r="B24" s="26" t="s">
        <v>287</v>
      </c>
      <c r="C24" s="290">
        <v>-298236</v>
      </c>
      <c r="D24" s="290">
        <v>-403493</v>
      </c>
      <c r="E24" s="290">
        <v>-366255</v>
      </c>
      <c r="F24" s="290">
        <v>-84826</v>
      </c>
      <c r="G24" s="290">
        <v>-552409</v>
      </c>
      <c r="H24" s="290">
        <v>-316296</v>
      </c>
      <c r="I24" s="290">
        <v>-337381</v>
      </c>
      <c r="J24" s="290">
        <v>-511235</v>
      </c>
      <c r="K24" s="290">
        <v>-451377</v>
      </c>
      <c r="L24" s="290">
        <v>-50755</v>
      </c>
      <c r="M24" s="290"/>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3">
        <f>BS!C4</f>
        <v>823619</v>
      </c>
      <c r="D28" s="290">
        <v>715301</v>
      </c>
      <c r="E28" s="290">
        <v>788957</v>
      </c>
      <c r="F28" s="290">
        <v>804496</v>
      </c>
      <c r="G28" s="290">
        <v>819987</v>
      </c>
      <c r="H28" s="290">
        <v>707687</v>
      </c>
      <c r="I28" s="290">
        <v>716425</v>
      </c>
      <c r="J28" s="290">
        <v>726443</v>
      </c>
      <c r="K28" s="290">
        <v>673754</v>
      </c>
      <c r="L28" s="290">
        <v>636713</v>
      </c>
      <c r="M28" s="290"/>
    </row>
    <row r="29" spans="2:13">
      <c r="B29" s="25" t="s">
        <v>30</v>
      </c>
      <c r="C29" s="273">
        <f>BS!C6</f>
        <v>533268</v>
      </c>
      <c r="D29" s="290">
        <v>554546</v>
      </c>
      <c r="E29" s="290">
        <v>639615</v>
      </c>
      <c r="F29" s="290">
        <v>773384</v>
      </c>
      <c r="G29" s="290">
        <v>725526</v>
      </c>
      <c r="H29" s="290">
        <v>593559</v>
      </c>
      <c r="I29" s="290">
        <v>748284</v>
      </c>
      <c r="J29" s="290">
        <v>709312</v>
      </c>
      <c r="K29" s="290">
        <v>582446</v>
      </c>
      <c r="L29" s="290">
        <v>528264</v>
      </c>
      <c r="M29" s="290"/>
    </row>
    <row r="30" spans="2:13">
      <c r="B30" s="28" t="s">
        <v>38</v>
      </c>
      <c r="C30" s="274">
        <f>BS!C33+BS!C42</f>
        <v>2466518</v>
      </c>
      <c r="D30" s="292">
        <v>2524058</v>
      </c>
      <c r="E30" s="292">
        <v>2748929</v>
      </c>
      <c r="F30" s="292">
        <v>3238021</v>
      </c>
      <c r="G30" s="292">
        <v>3319536</v>
      </c>
      <c r="H30" s="292">
        <v>2992391</v>
      </c>
      <c r="I30" s="292">
        <v>2408649</v>
      </c>
      <c r="J30" s="292">
        <v>2013032</v>
      </c>
      <c r="K30" s="292">
        <v>1796901</v>
      </c>
      <c r="L30" s="292">
        <v>1772963</v>
      </c>
      <c r="M30" s="292"/>
    </row>
    <row r="31" spans="2:13">
      <c r="B31" s="28" t="s">
        <v>28</v>
      </c>
      <c r="C31" s="274">
        <f>BS!G27</f>
        <v>3182182</v>
      </c>
      <c r="D31" s="292">
        <v>3112637</v>
      </c>
      <c r="E31" s="292">
        <v>3100590</v>
      </c>
      <c r="F31" s="292">
        <v>3569099</v>
      </c>
      <c r="G31" s="292">
        <v>3956874</v>
      </c>
      <c r="H31" s="292">
        <v>3418104</v>
      </c>
      <c r="I31" s="292">
        <v>3469560</v>
      </c>
      <c r="J31" s="292">
        <v>3169146</v>
      </c>
      <c r="K31" s="292">
        <v>2689706</v>
      </c>
      <c r="L31" s="292">
        <v>2411863</v>
      </c>
      <c r="M31" s="292"/>
    </row>
    <row r="32" spans="2:13">
      <c r="B32" s="25" t="s">
        <v>143</v>
      </c>
      <c r="C32" s="273">
        <f>BS!G28</f>
        <v>99024</v>
      </c>
      <c r="D32" s="290">
        <v>108077</v>
      </c>
      <c r="E32" s="290">
        <v>115875</v>
      </c>
      <c r="F32" s="290">
        <v>311186</v>
      </c>
      <c r="G32" s="290">
        <v>340821</v>
      </c>
      <c r="H32" s="290">
        <v>289714</v>
      </c>
      <c r="I32" s="290">
        <v>304148</v>
      </c>
      <c r="J32" s="290">
        <v>259389</v>
      </c>
      <c r="K32" s="290">
        <v>218337</v>
      </c>
      <c r="L32" s="290">
        <v>212128</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6273585</v>
      </c>
      <c r="D36" s="273">
        <f t="shared" si="1"/>
        <v>6217123</v>
      </c>
      <c r="E36" s="273">
        <f t="shared" si="1"/>
        <v>6340559</v>
      </c>
      <c r="F36" s="273">
        <f t="shared" si="1"/>
        <v>6501215</v>
      </c>
      <c r="G36" s="273">
        <f t="shared" si="1"/>
        <v>7519817</v>
      </c>
      <c r="H36" s="273">
        <f t="shared" si="1"/>
        <v>7232641</v>
      </c>
      <c r="I36" s="273">
        <f t="shared" si="1"/>
        <v>7526495</v>
      </c>
      <c r="J36" s="273">
        <f t="shared" si="1"/>
        <v>6464525</v>
      </c>
      <c r="K36" s="273">
        <f t="shared" si="1"/>
        <v>5406090</v>
      </c>
      <c r="L36" s="273">
        <f t="shared" si="1"/>
        <v>5551898</v>
      </c>
      <c r="M36" s="273" t="str">
        <f t="shared" si="1"/>
        <v/>
      </c>
    </row>
    <row r="37" spans="2:13">
      <c r="B37" s="38" t="s">
        <v>40</v>
      </c>
      <c r="C37" s="273">
        <f t="shared" ref="C37:M37" si="2">IF(C$4="","",-C5)</f>
        <v>-3056039</v>
      </c>
      <c r="D37" s="273">
        <f t="shared" si="2"/>
        <v>-3105686</v>
      </c>
      <c r="E37" s="273">
        <f t="shared" si="2"/>
        <v>-3328763</v>
      </c>
      <c r="F37" s="273">
        <f t="shared" si="2"/>
        <v>-3430534</v>
      </c>
      <c r="G37" s="273">
        <f t="shared" si="2"/>
        <v>-3565412</v>
      </c>
      <c r="H37" s="273">
        <f t="shared" si="2"/>
        <v>-3381150</v>
      </c>
      <c r="I37" s="273">
        <f t="shared" si="2"/>
        <v>-3484665</v>
      </c>
      <c r="J37" s="273">
        <f t="shared" si="2"/>
        <v>-3044767</v>
      </c>
      <c r="K37" s="273">
        <f t="shared" si="2"/>
        <v>-2532704</v>
      </c>
      <c r="L37" s="273">
        <f t="shared" si="2"/>
        <v>-2726117</v>
      </c>
      <c r="M37" s="273" t="str">
        <f t="shared" si="2"/>
        <v/>
      </c>
    </row>
    <row r="38" spans="2:13">
      <c r="B38" s="30" t="s">
        <v>55</v>
      </c>
      <c r="C38" s="270">
        <f>IF(C36="","",C36+C37)</f>
        <v>3217546</v>
      </c>
      <c r="D38" s="270">
        <f t="shared" ref="D38" si="3">IF(D36="","",D36+D37)</f>
        <v>3111437</v>
      </c>
      <c r="E38" s="270">
        <f t="shared" ref="E38" si="4">IF(E36="","",E36+E37)</f>
        <v>3011796</v>
      </c>
      <c r="F38" s="270">
        <f t="shared" ref="F38" si="5">IF(F36="","",F36+F37)</f>
        <v>3070681</v>
      </c>
      <c r="G38" s="270">
        <f t="shared" ref="G38" si="6">IF(G36="","",G36+G37)</f>
        <v>3954405</v>
      </c>
      <c r="H38" s="270">
        <f t="shared" ref="H38" si="7">IF(H36="","",H36+H37)</f>
        <v>3851491</v>
      </c>
      <c r="I38" s="270">
        <f t="shared" ref="I38" si="8">IF(I36="","",I36+I37)</f>
        <v>4041830</v>
      </c>
      <c r="J38" s="270">
        <f t="shared" ref="J38" si="9">IF(J36="","",J36+J37)</f>
        <v>3419758</v>
      </c>
      <c r="K38" s="270">
        <f t="shared" ref="K38" si="10">IF(K36="","",K36+K37)</f>
        <v>2873386</v>
      </c>
      <c r="L38" s="270">
        <f t="shared" ref="L38" si="11">IF(L36="","",L36+L37)</f>
        <v>2825781</v>
      </c>
      <c r="M38" s="270" t="str">
        <f t="shared" ref="M38" si="12">IF(M36="","",M36+M37)</f>
        <v/>
      </c>
    </row>
    <row r="39" spans="2:13">
      <c r="B39" s="38" t="s">
        <v>51</v>
      </c>
      <c r="C39" s="273">
        <f t="shared" ref="C39:M39" si="13">IF(C$4="","",-C6)</f>
        <v>-2595134</v>
      </c>
      <c r="D39" s="273">
        <f t="shared" si="13"/>
        <v>-2677338</v>
      </c>
      <c r="E39" s="273">
        <f t="shared" si="13"/>
        <v>-2696408</v>
      </c>
      <c r="F39" s="273">
        <f t="shared" si="13"/>
        <v>-2917557</v>
      </c>
      <c r="G39" s="273">
        <f t="shared" si="13"/>
        <v>-2837533</v>
      </c>
      <c r="H39" s="273">
        <f t="shared" si="13"/>
        <v>-2829337</v>
      </c>
      <c r="I39" s="273">
        <f t="shared" si="13"/>
        <v>-2739795</v>
      </c>
      <c r="J39" s="273">
        <f t="shared" si="13"/>
        <v>-2288467</v>
      </c>
      <c r="K39" s="273">
        <f t="shared" si="13"/>
        <v>-1979312</v>
      </c>
      <c r="L39" s="273">
        <f t="shared" si="13"/>
        <v>-1965086</v>
      </c>
      <c r="M39" s="273" t="str">
        <f t="shared" si="13"/>
        <v/>
      </c>
    </row>
    <row r="40" spans="2:13">
      <c r="B40" s="66" t="s">
        <v>58</v>
      </c>
      <c r="C40" s="285">
        <f t="shared" ref="C40:M40" si="14">IF(C$4="","",-C7)</f>
        <v>-1900716</v>
      </c>
      <c r="D40" s="285">
        <f t="shared" si="14"/>
        <v>-1976349</v>
      </c>
      <c r="E40" s="285">
        <f t="shared" si="14"/>
        <v>-2024430</v>
      </c>
      <c r="F40" s="285">
        <f t="shared" si="14"/>
        <v>-2215199</v>
      </c>
      <c r="G40" s="285">
        <f t="shared" si="14"/>
        <v>-2114530</v>
      </c>
      <c r="H40" s="285">
        <f t="shared" si="14"/>
        <v>-2112457</v>
      </c>
      <c r="I40" s="285">
        <f t="shared" si="14"/>
        <v>-2104514</v>
      </c>
      <c r="J40" s="285">
        <f t="shared" si="14"/>
        <v>-1729371</v>
      </c>
      <c r="K40" s="285">
        <f t="shared" si="14"/>
        <v>-1491517</v>
      </c>
      <c r="L40" s="285">
        <f t="shared" si="14"/>
        <v>-1496807</v>
      </c>
      <c r="M40" s="285" t="str">
        <f t="shared" si="14"/>
        <v/>
      </c>
    </row>
    <row r="41" spans="2:13">
      <c r="B41" s="66" t="s">
        <v>61</v>
      </c>
      <c r="C41" s="285">
        <f>IF(C$4="","",C39-C40)</f>
        <v>-694418</v>
      </c>
      <c r="D41" s="285">
        <f t="shared" ref="D41:M41" si="15">IF(D$4="","",D39-D40)</f>
        <v>-700989</v>
      </c>
      <c r="E41" s="285">
        <f t="shared" si="15"/>
        <v>-671978</v>
      </c>
      <c r="F41" s="285">
        <f t="shared" si="15"/>
        <v>-702358</v>
      </c>
      <c r="G41" s="285">
        <f t="shared" si="15"/>
        <v>-723003</v>
      </c>
      <c r="H41" s="285">
        <f t="shared" si="15"/>
        <v>-716880</v>
      </c>
      <c r="I41" s="285">
        <f t="shared" si="15"/>
        <v>-635281</v>
      </c>
      <c r="J41" s="285">
        <f t="shared" si="15"/>
        <v>-559096</v>
      </c>
      <c r="K41" s="285">
        <f t="shared" si="15"/>
        <v>-487795</v>
      </c>
      <c r="L41" s="285">
        <f t="shared" si="15"/>
        <v>-468279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127</v>
      </c>
      <c r="C43" s="274">
        <f>IF(C$4="","",C38+C39+C42)</f>
        <v>622412</v>
      </c>
      <c r="D43" s="274">
        <f t="shared" ref="D43:M43" si="17">IF(D$4="","",D38+D39+D42)</f>
        <v>434099</v>
      </c>
      <c r="E43" s="274">
        <f t="shared" si="17"/>
        <v>315388</v>
      </c>
      <c r="F43" s="274">
        <f t="shared" si="17"/>
        <v>153124</v>
      </c>
      <c r="G43" s="274">
        <f t="shared" si="17"/>
        <v>1116872</v>
      </c>
      <c r="H43" s="274">
        <f t="shared" si="17"/>
        <v>1022154</v>
      </c>
      <c r="I43" s="274">
        <f t="shared" si="17"/>
        <v>1302035</v>
      </c>
      <c r="J43" s="274">
        <f t="shared" si="17"/>
        <v>1131291</v>
      </c>
      <c r="K43" s="274">
        <f t="shared" si="17"/>
        <v>894074</v>
      </c>
      <c r="L43" s="274">
        <f t="shared" si="17"/>
        <v>860695</v>
      </c>
      <c r="M43" s="274" t="str">
        <f t="shared" si="17"/>
        <v/>
      </c>
    </row>
    <row r="44" spans="2:13">
      <c r="B44" s="41" t="s">
        <v>139</v>
      </c>
      <c r="C44" s="293">
        <f t="shared" ref="C44:M44" si="18">IF(C$4="","",C47-C46-C45-C43)</f>
        <v>-272306</v>
      </c>
      <c r="D44" s="293">
        <f t="shared" si="18"/>
        <v>-272403</v>
      </c>
      <c r="E44" s="293">
        <f t="shared" si="18"/>
        <v>-234048</v>
      </c>
      <c r="F44" s="293">
        <f t="shared" si="18"/>
        <v>-365975</v>
      </c>
      <c r="G44" s="293">
        <f t="shared" si="18"/>
        <v>-338443</v>
      </c>
      <c r="H44" s="293">
        <f t="shared" si="18"/>
        <v>-332154</v>
      </c>
      <c r="I44" s="293">
        <f t="shared" si="18"/>
        <v>-344111</v>
      </c>
      <c r="J44" s="293">
        <f t="shared" si="18"/>
        <v>-326857</v>
      </c>
      <c r="K44" s="293">
        <f t="shared" si="18"/>
        <v>-46667</v>
      </c>
      <c r="L44" s="293">
        <f t="shared" si="18"/>
        <v>-257343</v>
      </c>
      <c r="M44" s="293" t="str">
        <f t="shared" si="18"/>
        <v/>
      </c>
    </row>
    <row r="45" spans="2:13">
      <c r="B45" s="38" t="s">
        <v>65</v>
      </c>
      <c r="C45" s="288">
        <f t="shared" ref="C45:M45" si="19">IF(C$4="","",C51+C52)</f>
        <v>-33116</v>
      </c>
      <c r="D45" s="288">
        <f t="shared" si="19"/>
        <v>-30028</v>
      </c>
      <c r="E45" s="288">
        <f t="shared" si="19"/>
        <v>-32547</v>
      </c>
      <c r="F45" s="288">
        <f t="shared" si="19"/>
        <v>-23071</v>
      </c>
      <c r="G45" s="288">
        <f t="shared" si="19"/>
        <v>-11770</v>
      </c>
      <c r="H45" s="288">
        <f t="shared" si="19"/>
        <v>-10932</v>
      </c>
      <c r="I45" s="288">
        <f t="shared" si="19"/>
        <v>-2086</v>
      </c>
      <c r="J45" s="288">
        <f t="shared" si="19"/>
        <v>-1700</v>
      </c>
      <c r="K45" s="288">
        <f t="shared" si="19"/>
        <v>-3730</v>
      </c>
      <c r="L45" s="288">
        <f t="shared" si="19"/>
        <v>-4044</v>
      </c>
      <c r="M45" s="288" t="str">
        <f t="shared" si="19"/>
        <v/>
      </c>
    </row>
    <row r="46" spans="2:13">
      <c r="B46" s="38" t="s">
        <v>47</v>
      </c>
      <c r="C46" s="273">
        <f>IF(C$4="","",-C14)</f>
        <v>-76422</v>
      </c>
      <c r="D46" s="273">
        <f t="shared" ref="D46:M46" si="20">IF(D$4="","",-D14)</f>
        <v>-13880</v>
      </c>
      <c r="E46" s="273">
        <f t="shared" si="20"/>
        <v>-27736</v>
      </c>
      <c r="F46" s="273">
        <f t="shared" si="20"/>
        <v>74541</v>
      </c>
      <c r="G46" s="273">
        <f t="shared" si="20"/>
        <v>-177151</v>
      </c>
      <c r="H46" s="273">
        <f t="shared" si="20"/>
        <v>-109477</v>
      </c>
      <c r="I46" s="273">
        <f t="shared" si="20"/>
        <v>-208143</v>
      </c>
      <c r="J46" s="273">
        <f t="shared" si="20"/>
        <v>-160679</v>
      </c>
      <c r="K46" s="273">
        <f t="shared" si="20"/>
        <v>-190383</v>
      </c>
      <c r="L46" s="273">
        <f t="shared" si="20"/>
        <v>-34064</v>
      </c>
      <c r="M46" s="273" t="str">
        <f t="shared" si="20"/>
        <v/>
      </c>
    </row>
    <row r="47" spans="2:13">
      <c r="B47" s="41" t="s">
        <v>39</v>
      </c>
      <c r="C47" s="274">
        <f t="shared" ref="C47:M47" si="21">IF(C$4="","",C15)</f>
        <v>240568</v>
      </c>
      <c r="D47" s="274">
        <f t="shared" si="21"/>
        <v>117788</v>
      </c>
      <c r="E47" s="274">
        <f t="shared" si="21"/>
        <v>21057</v>
      </c>
      <c r="F47" s="274">
        <f t="shared" si="21"/>
        <v>-161381</v>
      </c>
      <c r="G47" s="274">
        <f t="shared" si="21"/>
        <v>589508</v>
      </c>
      <c r="H47" s="274">
        <f t="shared" si="21"/>
        <v>569591</v>
      </c>
      <c r="I47" s="274">
        <f t="shared" si="21"/>
        <v>747695</v>
      </c>
      <c r="J47" s="274">
        <f t="shared" si="21"/>
        <v>642055</v>
      </c>
      <c r="K47" s="274">
        <f t="shared" si="21"/>
        <v>653294</v>
      </c>
      <c r="L47" s="274">
        <f t="shared" si="21"/>
        <v>565244</v>
      </c>
      <c r="M47" s="274" t="str">
        <f t="shared" si="21"/>
        <v/>
      </c>
    </row>
    <row r="48" spans="2:13">
      <c r="B48" s="27" t="s">
        <v>41</v>
      </c>
      <c r="C48" s="273">
        <f t="shared" ref="C48:M48" si="22">IF(C$4="","",MIN(-C16,0))</f>
        <v>-5894</v>
      </c>
      <c r="D48" s="273">
        <f t="shared" si="22"/>
        <v>-1421</v>
      </c>
      <c r="E48" s="273">
        <f t="shared" si="22"/>
        <v>0</v>
      </c>
      <c r="F48" s="273">
        <f t="shared" si="22"/>
        <v>0</v>
      </c>
      <c r="G48" s="273">
        <f t="shared" si="22"/>
        <v>-41162</v>
      </c>
      <c r="H48" s="273">
        <f t="shared" si="22"/>
        <v>-33713</v>
      </c>
      <c r="I48" s="273">
        <f t="shared" si="22"/>
        <v>-51788</v>
      </c>
      <c r="J48" s="273">
        <f t="shared" si="22"/>
        <v>-56281</v>
      </c>
      <c r="K48" s="273">
        <f t="shared" si="22"/>
        <v>-34922</v>
      </c>
      <c r="L48" s="273">
        <f t="shared" si="22"/>
        <v>-34628</v>
      </c>
      <c r="M48" s="273" t="str">
        <f t="shared" si="22"/>
        <v/>
      </c>
    </row>
    <row r="50" spans="2:13">
      <c r="B50" s="16" t="s">
        <v>65</v>
      </c>
    </row>
    <row r="51" spans="2:13">
      <c r="B51" s="38" t="s">
        <v>37</v>
      </c>
      <c r="C51" s="273">
        <f t="shared" ref="C51:M51" si="23">IF(C$4="","",-C12)</f>
        <v>-33116</v>
      </c>
      <c r="D51" s="273">
        <f t="shared" si="23"/>
        <v>-30028</v>
      </c>
      <c r="E51" s="273">
        <f t="shared" si="23"/>
        <v>-32547</v>
      </c>
      <c r="F51" s="273">
        <f t="shared" si="23"/>
        <v>-23071</v>
      </c>
      <c r="G51" s="273">
        <f t="shared" si="23"/>
        <v>-11770</v>
      </c>
      <c r="H51" s="273">
        <f t="shared" si="23"/>
        <v>-10932</v>
      </c>
      <c r="I51" s="273">
        <f t="shared" si="23"/>
        <v>-2086</v>
      </c>
      <c r="J51" s="273">
        <f t="shared" si="23"/>
        <v>-1700</v>
      </c>
      <c r="K51" s="273">
        <f t="shared" si="23"/>
        <v>-3730</v>
      </c>
      <c r="L51" s="273">
        <f t="shared" si="23"/>
        <v>-4044</v>
      </c>
      <c r="M51" s="273" t="str">
        <f t="shared" si="23"/>
        <v/>
      </c>
    </row>
    <row r="52" spans="2:13">
      <c r="B52" s="38" t="s">
        <v>64</v>
      </c>
      <c r="C52" s="273">
        <f>IF(C$4="","",C13)</f>
        <v>0</v>
      </c>
      <c r="D52" s="273">
        <f t="shared" ref="D52:M52" si="24">IF(D$4="","",D13)</f>
        <v>0</v>
      </c>
      <c r="E52" s="273">
        <f t="shared" si="24"/>
        <v>0</v>
      </c>
      <c r="F52" s="273">
        <f t="shared" si="24"/>
        <v>0</v>
      </c>
      <c r="G52" s="273">
        <f t="shared" si="24"/>
        <v>0</v>
      </c>
      <c r="H52" s="273">
        <f t="shared" si="24"/>
        <v>0</v>
      </c>
      <c r="I52" s="273">
        <f t="shared" si="24"/>
        <v>0</v>
      </c>
      <c r="J52" s="273">
        <f t="shared" si="24"/>
        <v>0</v>
      </c>
      <c r="K52" s="273">
        <f t="shared" si="24"/>
        <v>0</v>
      </c>
      <c r="L52" s="273">
        <f t="shared" si="24"/>
        <v>0</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-272306</v>
      </c>
      <c r="D58" s="288">
        <f t="shared" ref="D58:M58" si="28">IF(D$4="","",D44-D55-D56-D57)</f>
        <v>-272403</v>
      </c>
      <c r="E58" s="288">
        <f t="shared" si="28"/>
        <v>-234048</v>
      </c>
      <c r="F58" s="288">
        <f t="shared" si="28"/>
        <v>-365975</v>
      </c>
      <c r="G58" s="288">
        <f t="shared" si="28"/>
        <v>-338443</v>
      </c>
      <c r="H58" s="288">
        <f t="shared" si="28"/>
        <v>-332154</v>
      </c>
      <c r="I58" s="288">
        <f t="shared" si="28"/>
        <v>-344111</v>
      </c>
      <c r="J58" s="288">
        <f t="shared" si="28"/>
        <v>-326857</v>
      </c>
      <c r="K58" s="288">
        <f t="shared" si="28"/>
        <v>-46667</v>
      </c>
      <c r="L58" s="288">
        <f t="shared" si="28"/>
        <v>-257343</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626674</v>
      </c>
      <c r="D64" s="273">
        <f t="shared" ref="D64:M64" si="32">IF(D$4="","",D22+D23+D24)</f>
        <v>92756</v>
      </c>
      <c r="E64" s="273">
        <f t="shared" si="32"/>
        <v>-53060</v>
      </c>
      <c r="F64" s="273">
        <f t="shared" si="32"/>
        <v>-360699</v>
      </c>
      <c r="G64" s="273">
        <f t="shared" si="32"/>
        <v>70660</v>
      </c>
      <c r="H64" s="273">
        <f t="shared" si="32"/>
        <v>-117795</v>
      </c>
      <c r="I64" s="273">
        <f t="shared" si="32"/>
        <v>38195</v>
      </c>
      <c r="J64" s="273">
        <f t="shared" si="32"/>
        <v>110847</v>
      </c>
      <c r="K64" s="273">
        <f t="shared" si="32"/>
        <v>591833</v>
      </c>
      <c r="L64" s="273">
        <f t="shared" si="32"/>
        <v>-55437</v>
      </c>
      <c r="M64" s="273"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8">
        <f t="shared" ref="D76:M76" si="39">IF(D$4="","",D79+D80)</f>
        <v>5636695</v>
      </c>
      <c r="E76" s="288">
        <f t="shared" si="39"/>
        <v>5849519</v>
      </c>
      <c r="F76" s="288">
        <f t="shared" si="39"/>
        <v>6807120</v>
      </c>
      <c r="G76" s="288">
        <f t="shared" si="39"/>
        <v>7276410</v>
      </c>
      <c r="H76" s="288">
        <f t="shared" si="39"/>
        <v>6410495</v>
      </c>
      <c r="I76" s="288">
        <f t="shared" si="39"/>
        <v>5878209</v>
      </c>
      <c r="J76" s="288">
        <f t="shared" si="39"/>
        <v>5182178</v>
      </c>
      <c r="K76" s="288">
        <f t="shared" si="39"/>
        <v>4486607</v>
      </c>
      <c r="L76" s="288">
        <f t="shared" si="39"/>
        <v>4184826</v>
      </c>
      <c r="M76" s="288" t="str">
        <f t="shared" si="39"/>
        <v/>
      </c>
    </row>
    <row r="77" spans="2:13">
      <c r="B77" s="90" t="s">
        <v>82</v>
      </c>
      <c r="C77" s="262">
        <f t="shared" ref="C77:H78" si="40">IF(C$4="","",C28)</f>
        <v>823619</v>
      </c>
      <c r="D77" s="285">
        <f t="shared" si="40"/>
        <v>715301</v>
      </c>
      <c r="E77" s="285">
        <f t="shared" si="40"/>
        <v>788957</v>
      </c>
      <c r="F77" s="285">
        <f t="shared" si="40"/>
        <v>804496</v>
      </c>
      <c r="G77" s="285">
        <f t="shared" si="40"/>
        <v>819987</v>
      </c>
      <c r="H77" s="285">
        <f t="shared" si="40"/>
        <v>707687</v>
      </c>
      <c r="I77" s="294"/>
      <c r="J77" s="294"/>
      <c r="K77" s="294"/>
      <c r="L77" s="294"/>
      <c r="M77" s="294"/>
    </row>
    <row r="78" spans="2:13">
      <c r="B78" s="90" t="s">
        <v>83</v>
      </c>
      <c r="C78" s="262">
        <f t="shared" si="40"/>
        <v>533268</v>
      </c>
      <c r="D78" s="285">
        <f t="shared" si="40"/>
        <v>554546</v>
      </c>
      <c r="E78" s="285">
        <f t="shared" si="40"/>
        <v>639615</v>
      </c>
      <c r="F78" s="285">
        <f t="shared" si="40"/>
        <v>773384</v>
      </c>
      <c r="G78" s="285">
        <f t="shared" si="40"/>
        <v>725526</v>
      </c>
      <c r="H78" s="285">
        <f t="shared" si="40"/>
        <v>593559</v>
      </c>
      <c r="I78" s="294"/>
      <c r="J78" s="294"/>
      <c r="K78" s="294"/>
      <c r="L78" s="294"/>
      <c r="M78" s="294"/>
    </row>
    <row r="79" spans="2:13">
      <c r="B79" s="25" t="s">
        <v>38</v>
      </c>
      <c r="C79" s="261">
        <f t="shared" ref="C79:M79" si="41">IF(C$4="","",C30)</f>
        <v>2466518</v>
      </c>
      <c r="D79" s="273">
        <f t="shared" si="41"/>
        <v>2524058</v>
      </c>
      <c r="E79" s="273">
        <f t="shared" si="41"/>
        <v>2748929</v>
      </c>
      <c r="F79" s="273">
        <f t="shared" si="41"/>
        <v>3238021</v>
      </c>
      <c r="G79" s="273">
        <f t="shared" si="41"/>
        <v>3319536</v>
      </c>
      <c r="H79" s="273">
        <f t="shared" si="41"/>
        <v>2992391</v>
      </c>
      <c r="I79" s="273">
        <f t="shared" si="41"/>
        <v>2408649</v>
      </c>
      <c r="J79" s="273">
        <f t="shared" si="41"/>
        <v>2013032</v>
      </c>
      <c r="K79" s="273">
        <f t="shared" si="41"/>
        <v>1796901</v>
      </c>
      <c r="L79" s="273">
        <f t="shared" si="41"/>
        <v>1772963</v>
      </c>
      <c r="M79" s="273" t="str">
        <f t="shared" si="41"/>
        <v/>
      </c>
    </row>
    <row r="80" spans="2:13">
      <c r="B80" s="25" t="s">
        <v>28</v>
      </c>
      <c r="C80" s="261">
        <f t="shared" ref="C80:M80" si="42">IF(C$4="","",C31)</f>
        <v>3182182</v>
      </c>
      <c r="D80" s="273">
        <f t="shared" si="42"/>
        <v>3112637</v>
      </c>
      <c r="E80" s="273">
        <f t="shared" si="42"/>
        <v>3100590</v>
      </c>
      <c r="F80" s="273">
        <f t="shared" si="42"/>
        <v>3569099</v>
      </c>
      <c r="G80" s="273">
        <f t="shared" si="42"/>
        <v>3956874</v>
      </c>
      <c r="H80" s="273">
        <f t="shared" si="42"/>
        <v>3418104</v>
      </c>
      <c r="I80" s="273">
        <f t="shared" si="42"/>
        <v>3469560</v>
      </c>
      <c r="J80" s="273">
        <f t="shared" si="42"/>
        <v>3169146</v>
      </c>
      <c r="K80" s="273">
        <f t="shared" si="42"/>
        <v>2689706</v>
      </c>
      <c r="L80" s="273">
        <f t="shared" si="42"/>
        <v>2411863</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0">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-483279.51088649995</v>
      </c>
      <c r="D73" s="288">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3"/>
      <c r="D75" s="264">
        <f>MAX(-D73*D76,G5)</f>
        <v>477999.61921983329</v>
      </c>
      <c r="F75" s="223" t="s">
        <v>279</v>
      </c>
    </row>
    <row r="76" spans="2:6" ht="15" customHeight="1">
      <c r="B76" s="229" t="s">
        <v>260</v>
      </c>
      <c r="C76" s="230"/>
      <c r="D76" s="250">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268">
        <f>G4</f>
        <v>6273585</v>
      </c>
      <c r="D4" s="54"/>
      <c r="E4" s="235"/>
      <c r="F4" s="54"/>
      <c r="G4" s="273">
        <f>Data!C36</f>
        <v>6273585</v>
      </c>
      <c r="H4" s="273">
        <f>Data!D36</f>
        <v>6217123</v>
      </c>
      <c r="I4" s="273">
        <f>Data!E36</f>
        <v>6340559</v>
      </c>
      <c r="J4" s="273">
        <f>Data!F36</f>
        <v>6501215</v>
      </c>
      <c r="K4" s="273">
        <f>Data!G36</f>
        <v>7519817</v>
      </c>
      <c r="L4" s="273">
        <f>Data!H36</f>
        <v>7232641</v>
      </c>
      <c r="M4" s="273">
        <f>Data!I36</f>
        <v>7526495</v>
      </c>
      <c r="N4" s="273">
        <f>Data!J36</f>
        <v>6464525</v>
      </c>
      <c r="O4" s="273">
        <f>Data!K36</f>
        <v>5406090</v>
      </c>
      <c r="P4" s="273">
        <f>Data!L36</f>
        <v>5551898</v>
      </c>
      <c r="Q4" s="273" t="str">
        <f>Data!M36</f>
        <v/>
      </c>
    </row>
    <row r="5" spans="1:17" ht="15.75" customHeight="1">
      <c r="A5" s="10"/>
      <c r="B5" s="2" t="s">
        <v>43</v>
      </c>
      <c r="C5" s="269">
        <f>C26</f>
        <v>-4893396.3</v>
      </c>
      <c r="E5" s="237"/>
      <c r="G5" s="273">
        <f t="shared" ref="G5:Q5" si="1">G26</f>
        <v>-4956755</v>
      </c>
      <c r="H5" s="273">
        <f t="shared" si="1"/>
        <v>-5082035</v>
      </c>
      <c r="I5" s="273">
        <f t="shared" si="1"/>
        <v>-5353193</v>
      </c>
      <c r="J5" s="273">
        <f t="shared" si="1"/>
        <v>-5645733</v>
      </c>
      <c r="K5" s="273">
        <f t="shared" si="1"/>
        <v>-5679942</v>
      </c>
      <c r="L5" s="273">
        <f t="shared" si="1"/>
        <v>-5493607</v>
      </c>
      <c r="M5" s="273">
        <f t="shared" si="1"/>
        <v>-5589179</v>
      </c>
      <c r="N5" s="273">
        <f t="shared" si="1"/>
        <v>-4774138</v>
      </c>
      <c r="O5" s="273">
        <f t="shared" si="1"/>
        <v>-4024221</v>
      </c>
      <c r="P5" s="273">
        <f t="shared" si="1"/>
        <v>-4222924</v>
      </c>
      <c r="Q5" s="273" t="str">
        <f t="shared" si="1"/>
        <v/>
      </c>
    </row>
    <row r="6" spans="1:17" ht="15.75" customHeight="1">
      <c r="A6" s="10"/>
      <c r="B6" s="30" t="s">
        <v>45</v>
      </c>
      <c r="C6" s="270">
        <f>C4+C5</f>
        <v>1380188.7000000002</v>
      </c>
      <c r="E6" s="237"/>
      <c r="G6" s="270">
        <f>IF(G4="","",G4+G5)</f>
        <v>1316830</v>
      </c>
      <c r="H6" s="270">
        <f t="shared" ref="H6:Q6" si="2">IF(H4="","",H4+H5)</f>
        <v>1135088</v>
      </c>
      <c r="I6" s="270">
        <f t="shared" si="2"/>
        <v>987366</v>
      </c>
      <c r="J6" s="270">
        <f t="shared" si="2"/>
        <v>855482</v>
      </c>
      <c r="K6" s="270">
        <f t="shared" si="2"/>
        <v>1839875</v>
      </c>
      <c r="L6" s="270">
        <f t="shared" si="2"/>
        <v>1739034</v>
      </c>
      <c r="M6" s="270">
        <f t="shared" si="2"/>
        <v>1937316</v>
      </c>
      <c r="N6" s="270">
        <f t="shared" si="2"/>
        <v>1690387</v>
      </c>
      <c r="O6" s="270">
        <f t="shared" si="2"/>
        <v>1381869</v>
      </c>
      <c r="P6" s="270">
        <f t="shared" si="2"/>
        <v>1328974</v>
      </c>
      <c r="Q6" s="270" t="str">
        <f t="shared" si="2"/>
        <v/>
      </c>
    </row>
    <row r="7" spans="1:17" ht="15.75" customHeight="1">
      <c r="A7" s="10"/>
      <c r="B7" s="8" t="s">
        <v>42</v>
      </c>
      <c r="C7" s="269">
        <f>C35</f>
        <v>-694418</v>
      </c>
      <c r="E7" s="237"/>
      <c r="G7" s="269">
        <f t="shared" ref="G7:Q7" si="3">G35</f>
        <v>-694418</v>
      </c>
      <c r="H7" s="269">
        <f t="shared" si="3"/>
        <v>-700989</v>
      </c>
      <c r="I7" s="269">
        <f t="shared" si="3"/>
        <v>-671978</v>
      </c>
      <c r="J7" s="269">
        <f t="shared" si="3"/>
        <v>-702358</v>
      </c>
      <c r="K7" s="269">
        <f t="shared" si="3"/>
        <v>-723003</v>
      </c>
      <c r="L7" s="269">
        <f t="shared" si="3"/>
        <v>-716880</v>
      </c>
      <c r="M7" s="269">
        <f t="shared" si="3"/>
        <v>-635281</v>
      </c>
      <c r="N7" s="269">
        <f t="shared" si="3"/>
        <v>-559096</v>
      </c>
      <c r="O7" s="269">
        <f t="shared" si="3"/>
        <v>-487795</v>
      </c>
      <c r="P7" s="269">
        <f t="shared" si="3"/>
        <v>-468279</v>
      </c>
      <c r="Q7" s="269" t="str">
        <f t="shared" si="3"/>
        <v/>
      </c>
    </row>
    <row r="8" spans="1:17" ht="15.75" customHeight="1">
      <c r="A8" s="10"/>
      <c r="B8" s="28" t="s">
        <v>127</v>
      </c>
      <c r="C8" s="271">
        <f>C6+C7</f>
        <v>685770.70000000019</v>
      </c>
      <c r="D8" s="56"/>
      <c r="E8" s="243"/>
      <c r="F8" s="56"/>
      <c r="G8" s="270">
        <f>IF(G$4="","",G6+G7)</f>
        <v>622412</v>
      </c>
      <c r="H8" s="270">
        <f t="shared" ref="H8:Q8" si="4">IF(H$4="","",H6+H7)</f>
        <v>434099</v>
      </c>
      <c r="I8" s="270">
        <f t="shared" si="4"/>
        <v>315388</v>
      </c>
      <c r="J8" s="270">
        <f t="shared" si="4"/>
        <v>153124</v>
      </c>
      <c r="K8" s="270">
        <f t="shared" si="4"/>
        <v>1116872</v>
      </c>
      <c r="L8" s="270">
        <f t="shared" si="4"/>
        <v>1022154</v>
      </c>
      <c r="M8" s="270">
        <f t="shared" si="4"/>
        <v>1302035</v>
      </c>
      <c r="N8" s="270">
        <f t="shared" si="4"/>
        <v>1131291</v>
      </c>
      <c r="O8" s="270">
        <f t="shared" si="4"/>
        <v>894074</v>
      </c>
      <c r="P8" s="270">
        <f t="shared" si="4"/>
        <v>860695</v>
      </c>
      <c r="Q8" s="270" t="str">
        <f t="shared" si="4"/>
        <v/>
      </c>
    </row>
    <row r="9" spans="1:17" ht="15.75" customHeight="1">
      <c r="A9" s="10"/>
      <c r="B9" s="26" t="s">
        <v>415</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-30945.482284680995</v>
      </c>
      <c r="E10" s="237"/>
      <c r="G10" s="269">
        <f>G48</f>
        <v>-33116</v>
      </c>
      <c r="H10" s="269">
        <f t="shared" ref="H10:Q10" si="6">H48</f>
        <v>-30028</v>
      </c>
      <c r="I10" s="269">
        <f t="shared" si="6"/>
        <v>-32547</v>
      </c>
      <c r="J10" s="269">
        <f t="shared" si="6"/>
        <v>-23071</v>
      </c>
      <c r="K10" s="269">
        <f t="shared" si="6"/>
        <v>-11770</v>
      </c>
      <c r="L10" s="269">
        <f t="shared" si="6"/>
        <v>-10932</v>
      </c>
      <c r="M10" s="269">
        <f t="shared" si="6"/>
        <v>-2086</v>
      </c>
      <c r="N10" s="269">
        <f t="shared" si="6"/>
        <v>-1700</v>
      </c>
      <c r="O10" s="269">
        <f t="shared" si="6"/>
        <v>-3730</v>
      </c>
      <c r="P10" s="269">
        <f t="shared" si="6"/>
        <v>-4044</v>
      </c>
      <c r="Q10" s="269" t="str">
        <f t="shared" si="6"/>
        <v/>
      </c>
    </row>
    <row r="11" spans="1:17" ht="15.75" customHeight="1">
      <c r="A11" s="10"/>
      <c r="B11" s="67" t="s">
        <v>137</v>
      </c>
      <c r="C11" s="270">
        <f>SUM(C8:C10)</f>
        <v>654825.21771531925</v>
      </c>
      <c r="E11" s="237"/>
      <c r="G11" s="270">
        <f t="shared" ref="G11:Q11" si="7">IF(G$4="","",SUM(G8:G10))</f>
        <v>589296</v>
      </c>
      <c r="H11" s="270">
        <f t="shared" si="7"/>
        <v>404071</v>
      </c>
      <c r="I11" s="270">
        <f t="shared" si="7"/>
        <v>282841</v>
      </c>
      <c r="J11" s="270">
        <f t="shared" si="7"/>
        <v>130053</v>
      </c>
      <c r="K11" s="270">
        <f t="shared" si="7"/>
        <v>1105102</v>
      </c>
      <c r="L11" s="270">
        <f t="shared" si="7"/>
        <v>1011222</v>
      </c>
      <c r="M11" s="270">
        <f t="shared" si="7"/>
        <v>1299949</v>
      </c>
      <c r="N11" s="270">
        <f t="shared" si="7"/>
        <v>1129591</v>
      </c>
      <c r="O11" s="270">
        <f t="shared" si="7"/>
        <v>890344</v>
      </c>
      <c r="P11" s="270">
        <f t="shared" si="7"/>
        <v>856651</v>
      </c>
      <c r="Q11" s="270" t="str">
        <f t="shared" si="7"/>
        <v/>
      </c>
    </row>
    <row r="12" spans="1:17" ht="15.75" customHeight="1">
      <c r="A12" s="10"/>
      <c r="B12" s="2" t="s">
        <v>60</v>
      </c>
      <c r="C12" s="269">
        <f>-C11*C41</f>
        <v>-141442.24702650897</v>
      </c>
      <c r="E12" s="237"/>
      <c r="G12" s="269">
        <f>Data!C46</f>
        <v>-76422</v>
      </c>
      <c r="H12" s="269">
        <f>Data!D46</f>
        <v>-13880</v>
      </c>
      <c r="I12" s="269">
        <f>Data!E46</f>
        <v>-27736</v>
      </c>
      <c r="J12" s="269">
        <f>Data!F46</f>
        <v>74541</v>
      </c>
      <c r="K12" s="269">
        <f>Data!G46</f>
        <v>-177151</v>
      </c>
      <c r="L12" s="269">
        <f>Data!H46</f>
        <v>-109477</v>
      </c>
      <c r="M12" s="269">
        <f>Data!I46</f>
        <v>-208143</v>
      </c>
      <c r="N12" s="269">
        <f>Data!J46</f>
        <v>-160679</v>
      </c>
      <c r="O12" s="269">
        <f>Data!K46</f>
        <v>-190383</v>
      </c>
      <c r="P12" s="269">
        <f>Data!L46</f>
        <v>-34064</v>
      </c>
      <c r="Q12" s="269" t="str">
        <f>Data!M46</f>
        <v/>
      </c>
    </row>
    <row r="13" spans="1:17" ht="15.75" customHeight="1">
      <c r="A13" s="10"/>
      <c r="B13" s="38" t="s">
        <v>208</v>
      </c>
      <c r="C13" s="269">
        <f>-C4*C79</f>
        <v>-34340.371018337282</v>
      </c>
      <c r="D13" s="57"/>
      <c r="E13" s="244"/>
      <c r="F13" s="57"/>
      <c r="G13" s="273">
        <f>Data!C48</f>
        <v>-5894</v>
      </c>
      <c r="H13" s="273">
        <f>Data!D48</f>
        <v>-1421</v>
      </c>
      <c r="I13" s="273">
        <f>Data!E48</f>
        <v>0</v>
      </c>
      <c r="J13" s="273">
        <f>Data!F48</f>
        <v>0</v>
      </c>
      <c r="K13" s="273">
        <f>Data!G48</f>
        <v>-41162</v>
      </c>
      <c r="L13" s="273">
        <f>Data!H48</f>
        <v>-33713</v>
      </c>
      <c r="M13" s="273">
        <f>Data!I48</f>
        <v>-51788</v>
      </c>
      <c r="N13" s="273">
        <f>Data!J48</f>
        <v>-56281</v>
      </c>
      <c r="O13" s="273">
        <f>Data!K48</f>
        <v>-34922</v>
      </c>
      <c r="P13" s="273">
        <f>Data!L48</f>
        <v>-34628</v>
      </c>
      <c r="Q13" s="273" t="str">
        <f>Data!M48</f>
        <v/>
      </c>
    </row>
    <row r="14" spans="1:17" ht="15.75" customHeight="1">
      <c r="A14" s="10"/>
      <c r="B14" s="39" t="s">
        <v>129</v>
      </c>
      <c r="C14" s="272">
        <f>SUM(C11:C13)</f>
        <v>479042.59967047302</v>
      </c>
      <c r="D14" s="58"/>
      <c r="E14" s="245"/>
      <c r="F14" s="58"/>
      <c r="G14" s="270">
        <f t="shared" ref="G14:Q14" si="8">IF(G$4="","",SUM(G11:G13))</f>
        <v>506980</v>
      </c>
      <c r="H14" s="270">
        <f t="shared" si="8"/>
        <v>388770</v>
      </c>
      <c r="I14" s="270">
        <f t="shared" si="8"/>
        <v>255105</v>
      </c>
      <c r="J14" s="270">
        <f t="shared" si="8"/>
        <v>204594</v>
      </c>
      <c r="K14" s="270">
        <f t="shared" si="8"/>
        <v>886789</v>
      </c>
      <c r="L14" s="270">
        <f t="shared" si="8"/>
        <v>868032</v>
      </c>
      <c r="M14" s="270">
        <f t="shared" si="8"/>
        <v>1040018</v>
      </c>
      <c r="N14" s="270">
        <f t="shared" si="8"/>
        <v>912631</v>
      </c>
      <c r="O14" s="270">
        <f t="shared" si="8"/>
        <v>665039</v>
      </c>
      <c r="P14" s="270">
        <f t="shared" si="8"/>
        <v>787959</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479042.59967047302</v>
      </c>
      <c r="D19" s="26"/>
      <c r="E19" s="234"/>
      <c r="F19" s="26"/>
      <c r="G19" s="274">
        <f t="shared" ref="G19:Q19" si="9">IF(G$4="","",G14+G17)</f>
        <v>506980</v>
      </c>
      <c r="H19" s="274">
        <f t="shared" si="9"/>
        <v>388770</v>
      </c>
      <c r="I19" s="274">
        <f t="shared" si="9"/>
        <v>255105</v>
      </c>
      <c r="J19" s="274">
        <f t="shared" si="9"/>
        <v>204594</v>
      </c>
      <c r="K19" s="274">
        <f t="shared" si="9"/>
        <v>886789</v>
      </c>
      <c r="L19" s="274">
        <f t="shared" si="9"/>
        <v>868032</v>
      </c>
      <c r="M19" s="274">
        <f t="shared" si="9"/>
        <v>1040018</v>
      </c>
      <c r="N19" s="274">
        <f t="shared" si="9"/>
        <v>912631</v>
      </c>
      <c r="O19" s="274">
        <f t="shared" si="9"/>
        <v>665039</v>
      </c>
      <c r="P19" s="274">
        <f t="shared" si="9"/>
        <v>787959</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-2948584.9499999997</v>
      </c>
      <c r="D23" s="55"/>
      <c r="E23" s="236"/>
      <c r="F23" s="55"/>
      <c r="G23" s="273">
        <f>Data!C37</f>
        <v>-3056039</v>
      </c>
      <c r="H23" s="273">
        <f>Data!D37</f>
        <v>-3105686</v>
      </c>
      <c r="I23" s="273">
        <f>Data!E37</f>
        <v>-3328763</v>
      </c>
      <c r="J23" s="273">
        <f>Data!F37</f>
        <v>-3430534</v>
      </c>
      <c r="K23" s="273">
        <f>Data!G37</f>
        <v>-3565412</v>
      </c>
      <c r="L23" s="273">
        <f>Data!H37</f>
        <v>-3381150</v>
      </c>
      <c r="M23" s="273">
        <f>Data!I37</f>
        <v>-3484665</v>
      </c>
      <c r="N23" s="273">
        <f>Data!J37</f>
        <v>-3044767</v>
      </c>
      <c r="O23" s="273">
        <f>Data!K37</f>
        <v>-2532704</v>
      </c>
      <c r="P23" s="273">
        <f>Data!L37</f>
        <v>-2726117</v>
      </c>
      <c r="Q23" s="273" t="str">
        <f>Data!M37</f>
        <v/>
      </c>
    </row>
    <row r="24" spans="1:17" ht="15.75" customHeight="1">
      <c r="A24" s="10"/>
      <c r="B24" s="65" t="s">
        <v>59</v>
      </c>
      <c r="C24" s="269">
        <f>-C4*C30</f>
        <v>-1944811.35</v>
      </c>
      <c r="D24" s="26"/>
      <c r="E24" s="234"/>
      <c r="F24" s="26"/>
      <c r="G24" s="273">
        <f>Data!C40</f>
        <v>-1900716</v>
      </c>
      <c r="H24" s="273">
        <f>Data!D40</f>
        <v>-1976349</v>
      </c>
      <c r="I24" s="273">
        <f>Data!E40</f>
        <v>-2024430</v>
      </c>
      <c r="J24" s="273">
        <f>Data!F40</f>
        <v>-2215199</v>
      </c>
      <c r="K24" s="273">
        <f>Data!G40</f>
        <v>-2114530</v>
      </c>
      <c r="L24" s="273">
        <f>Data!H40</f>
        <v>-2112457</v>
      </c>
      <c r="M24" s="273">
        <f>Data!I40</f>
        <v>-2104514</v>
      </c>
      <c r="N24" s="273">
        <f>Data!J40</f>
        <v>-1729371</v>
      </c>
      <c r="O24" s="273">
        <f>Data!K40</f>
        <v>-1491517</v>
      </c>
      <c r="P24" s="273">
        <f>Data!L40</f>
        <v>-1496807</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7" t="s">
        <v>43</v>
      </c>
      <c r="C26" s="270">
        <f>SUM(C23:C25)</f>
        <v>-4893396.3</v>
      </c>
      <c r="D26" s="9"/>
      <c r="E26" s="242"/>
      <c r="F26" s="9"/>
      <c r="G26" s="270">
        <f>IF(G$4="","",SUM(G23:G25))</f>
        <v>-4956755</v>
      </c>
      <c r="H26" s="270">
        <f t="shared" ref="H26:Q26" si="10">IF(H$4="","",SUM(H23:H25))</f>
        <v>-5082035</v>
      </c>
      <c r="I26" s="270">
        <f t="shared" si="10"/>
        <v>-5353193</v>
      </c>
      <c r="J26" s="270">
        <f t="shared" si="10"/>
        <v>-5645733</v>
      </c>
      <c r="K26" s="270">
        <f t="shared" si="10"/>
        <v>-5679942</v>
      </c>
      <c r="L26" s="270">
        <f t="shared" si="10"/>
        <v>-5493607</v>
      </c>
      <c r="M26" s="270">
        <f t="shared" si="10"/>
        <v>-5589179</v>
      </c>
      <c r="N26" s="270">
        <f t="shared" si="10"/>
        <v>-4774138</v>
      </c>
      <c r="O26" s="270">
        <f t="shared" si="10"/>
        <v>-4024221</v>
      </c>
      <c r="P26" s="270">
        <f t="shared" si="10"/>
        <v>-4222924</v>
      </c>
      <c r="Q26" s="270"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-694418</v>
      </c>
      <c r="D35" s="55"/>
      <c r="E35" s="236"/>
      <c r="F35" s="55"/>
      <c r="G35" s="270">
        <f>IF(G4="","",Data!C41)</f>
        <v>-694418</v>
      </c>
      <c r="H35" s="270">
        <f>IF(H4="","",Data!D41)</f>
        <v>-700989</v>
      </c>
      <c r="I35" s="270">
        <f>IF(I4="","",Data!E41)</f>
        <v>-671978</v>
      </c>
      <c r="J35" s="270">
        <f>IF(J4="","",Data!F41)</f>
        <v>-702358</v>
      </c>
      <c r="K35" s="270">
        <f>IF(K4="","",Data!G41)</f>
        <v>-723003</v>
      </c>
      <c r="L35" s="270">
        <f>IF(L4="","",Data!H41)</f>
        <v>-716880</v>
      </c>
      <c r="M35" s="270">
        <f>IF(M4="","",Data!I41)</f>
        <v>-635281</v>
      </c>
      <c r="N35" s="270">
        <f>IF(N4="","",Data!J41)</f>
        <v>-559096</v>
      </c>
      <c r="O35" s="270">
        <f>IF(O4="","",Data!K41)</f>
        <v>-487795</v>
      </c>
      <c r="P35" s="270">
        <f>IF(P4="","",Data!L41)</f>
        <v>-468279</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60">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-33813.479999999996</v>
      </c>
      <c r="E45" s="237"/>
      <c r="G45" s="269">
        <f>Data!C51</f>
        <v>-33116</v>
      </c>
      <c r="H45" s="269">
        <f>Data!D51</f>
        <v>-30028</v>
      </c>
      <c r="I45" s="269">
        <f>Data!E51</f>
        <v>-32547</v>
      </c>
      <c r="J45" s="269">
        <f>Data!F51</f>
        <v>-23071</v>
      </c>
      <c r="K45" s="269">
        <f>Data!G51</f>
        <v>-11770</v>
      </c>
      <c r="L45" s="269">
        <f>Data!H51</f>
        <v>-10932</v>
      </c>
      <c r="M45" s="269">
        <f>Data!I51</f>
        <v>-2086</v>
      </c>
      <c r="N45" s="269">
        <f>Data!J51</f>
        <v>-1700</v>
      </c>
      <c r="O45" s="269">
        <f>Data!K51</f>
        <v>-3730</v>
      </c>
      <c r="P45" s="269">
        <f>Data!L51</f>
        <v>-4044</v>
      </c>
      <c r="Q45" s="269" t="str">
        <f>Data!M51</f>
        <v/>
      </c>
    </row>
    <row r="46" spans="1:17" ht="15.75" customHeight="1">
      <c r="A46" s="10"/>
      <c r="B46" s="2" t="s">
        <v>272</v>
      </c>
      <c r="C46" s="269">
        <f>BS!D75*C51</f>
        <v>2867.9977153189998</v>
      </c>
      <c r="E46" s="237"/>
      <c r="G46" s="277">
        <f t="shared" ref="G46:Q46" si="17">IFERROR(IF(G$4="","",($C$46/$C$47)*G47),0)</f>
        <v>0</v>
      </c>
      <c r="H46" s="277">
        <f t="shared" si="17"/>
        <v>0</v>
      </c>
      <c r="I46" s="277">
        <f t="shared" si="17"/>
        <v>0</v>
      </c>
      <c r="J46" s="277">
        <f t="shared" si="17"/>
        <v>0</v>
      </c>
      <c r="K46" s="277">
        <f t="shared" si="17"/>
        <v>0</v>
      </c>
      <c r="L46" s="277">
        <f t="shared" si="17"/>
        <v>0</v>
      </c>
      <c r="M46" s="277">
        <f t="shared" si="17"/>
        <v>0</v>
      </c>
      <c r="N46" s="277">
        <f t="shared" si="17"/>
        <v>0</v>
      </c>
      <c r="O46" s="277">
        <f t="shared" si="17"/>
        <v>0</v>
      </c>
      <c r="P46" s="277">
        <f t="shared" si="17"/>
        <v>0</v>
      </c>
      <c r="Q46" s="277" t="str">
        <f t="shared" si="17"/>
        <v/>
      </c>
    </row>
    <row r="47" spans="1:17" ht="15.75" customHeight="1">
      <c r="A47" s="10"/>
      <c r="B47" s="247" t="s">
        <v>269</v>
      </c>
      <c r="C47" s="281">
        <f>BS!$C$66*C51</f>
        <v>7615.7640000000001</v>
      </c>
      <c r="D47" s="248"/>
      <c r="E47" s="249"/>
      <c r="F47" s="248"/>
      <c r="G47" s="281">
        <f>Data!C52</f>
        <v>0</v>
      </c>
      <c r="H47" s="281">
        <f>Data!D52</f>
        <v>0</v>
      </c>
      <c r="I47" s="281">
        <f>Data!E52</f>
        <v>0</v>
      </c>
      <c r="J47" s="281">
        <f>Data!F52</f>
        <v>0</v>
      </c>
      <c r="K47" s="281">
        <f>Data!G52</f>
        <v>0</v>
      </c>
      <c r="L47" s="281">
        <f>Data!H52</f>
        <v>0</v>
      </c>
      <c r="M47" s="281">
        <f>Data!I52</f>
        <v>0</v>
      </c>
      <c r="N47" s="281">
        <f>Data!J52</f>
        <v>0</v>
      </c>
      <c r="O47" s="281">
        <f>Data!K52</f>
        <v>0</v>
      </c>
      <c r="P47" s="281">
        <f>Data!L52</f>
        <v>0</v>
      </c>
      <c r="Q47" s="281" t="str">
        <f>Data!M52</f>
        <v/>
      </c>
    </row>
    <row r="48" spans="1:17" ht="15.75" customHeight="1">
      <c r="A48" s="10"/>
      <c r="B48" s="67" t="s">
        <v>65</v>
      </c>
      <c r="C48" s="270">
        <f>C45+C46</f>
        <v>-30945.482284680995</v>
      </c>
      <c r="E48" s="237"/>
      <c r="G48" s="270">
        <f>IF(G$4="","",(G45+G46))</f>
        <v>-33116</v>
      </c>
      <c r="H48" s="270">
        <f t="shared" ref="H48:Q48" si="18">IF(H$4="","",(H45+H46))</f>
        <v>-30028</v>
      </c>
      <c r="I48" s="270">
        <f t="shared" si="18"/>
        <v>-32547</v>
      </c>
      <c r="J48" s="270">
        <f t="shared" si="18"/>
        <v>-23071</v>
      </c>
      <c r="K48" s="270">
        <f t="shared" si="18"/>
        <v>-11770</v>
      </c>
      <c r="L48" s="270">
        <f t="shared" si="18"/>
        <v>-10932</v>
      </c>
      <c r="M48" s="270">
        <f t="shared" si="18"/>
        <v>-2086</v>
      </c>
      <c r="N48" s="270">
        <f t="shared" si="18"/>
        <v>-1700</v>
      </c>
      <c r="O48" s="270">
        <f t="shared" si="18"/>
        <v>-3730</v>
      </c>
      <c r="P48" s="270">
        <f t="shared" si="18"/>
        <v>-4044</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-272306</v>
      </c>
      <c r="H60" s="269">
        <f>Data!D58</f>
        <v>-272403</v>
      </c>
      <c r="I60" s="269">
        <f>Data!E58</f>
        <v>-234048</v>
      </c>
      <c r="J60" s="269">
        <f>Data!F58</f>
        <v>-365975</v>
      </c>
      <c r="K60" s="269">
        <f>Data!G58</f>
        <v>-338443</v>
      </c>
      <c r="L60" s="269">
        <f>Data!H58</f>
        <v>-332154</v>
      </c>
      <c r="M60" s="269">
        <f>Data!I58</f>
        <v>-344111</v>
      </c>
      <c r="N60" s="269">
        <f>Data!J58</f>
        <v>-326857</v>
      </c>
      <c r="O60" s="269">
        <f>Data!K58</f>
        <v>-46667</v>
      </c>
      <c r="P60" s="269">
        <f>Data!L58</f>
        <v>-257343</v>
      </c>
      <c r="Q60" s="269" t="str">
        <f>Data!M58</f>
        <v/>
      </c>
    </row>
    <row r="61" spans="1:17" ht="15.75" customHeight="1">
      <c r="A61" s="10"/>
      <c r="B61" s="30" t="s">
        <v>164</v>
      </c>
      <c r="C61" s="270">
        <f>C59+C60</f>
        <v>0</v>
      </c>
      <c r="E61" s="237"/>
      <c r="G61" s="270">
        <f t="shared" ref="G61:Q61" si="21">IF(G4="","",G59+G60)</f>
        <v>-272306</v>
      </c>
      <c r="H61" s="270">
        <f t="shared" si="21"/>
        <v>-272403</v>
      </c>
      <c r="I61" s="270">
        <f t="shared" si="21"/>
        <v>-234048</v>
      </c>
      <c r="J61" s="270">
        <f t="shared" si="21"/>
        <v>-365975</v>
      </c>
      <c r="K61" s="270">
        <f t="shared" si="21"/>
        <v>-338443</v>
      </c>
      <c r="L61" s="270">
        <f t="shared" si="21"/>
        <v>-332154</v>
      </c>
      <c r="M61" s="270">
        <f t="shared" si="21"/>
        <v>-344111</v>
      </c>
      <c r="N61" s="270">
        <f t="shared" si="21"/>
        <v>-326857</v>
      </c>
      <c r="O61" s="270">
        <f t="shared" si="21"/>
        <v>-46667</v>
      </c>
      <c r="P61" s="270">
        <f t="shared" si="21"/>
        <v>-257343</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v>
      </c>
      <c r="E91" s="237"/>
      <c r="G91" s="296"/>
      <c r="H91" s="296"/>
      <c r="I91" s="296"/>
      <c r="J91" s="296"/>
      <c r="K91" s="296"/>
      <c r="L91" s="296"/>
      <c r="M91" s="296"/>
      <c r="N91" s="296"/>
      <c r="O91" s="296"/>
      <c r="P91" s="296"/>
      <c r="Q91" s="296"/>
    </row>
    <row r="92" spans="1:17" ht="15.75" customHeight="1">
      <c r="A92" s="10"/>
      <c r="B92" s="2" t="s">
        <v>330</v>
      </c>
      <c r="C92" s="22">
        <f>(C88*(1-dividend_tax_rate))/Market_Price</f>
        <v>2.1745788667687591E-2</v>
      </c>
      <c r="E92" s="237"/>
      <c r="G92" s="22">
        <f t="shared" ref="G92:Q92" si="38">IF(G$4="","",(G88*(1-dividend_tax_rate))/Market_Price)</f>
        <v>2.1745788667687591E-2</v>
      </c>
      <c r="H92" s="22">
        <f t="shared" si="38"/>
        <v>1.1791730474732006E-2</v>
      </c>
      <c r="I92" s="22">
        <f t="shared" si="38"/>
        <v>4.1347626339969367E-3</v>
      </c>
      <c r="J92" s="22">
        <f t="shared" si="38"/>
        <v>5.0229709035222045E-2</v>
      </c>
      <c r="K92" s="22">
        <f t="shared" si="38"/>
        <v>4.9310872894333835E-2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5648700</v>
      </c>
      <c r="D100" s="25"/>
      <c r="E100" s="238"/>
      <c r="F100" s="25"/>
      <c r="G100" s="273">
        <f t="shared" ref="G100:Q100" si="41">IF(G$4="","",G104+G103)</f>
        <v>5648700</v>
      </c>
      <c r="H100" s="273">
        <f t="shared" si="41"/>
        <v>5636695</v>
      </c>
      <c r="I100" s="273">
        <f t="shared" si="41"/>
        <v>5849519</v>
      </c>
      <c r="J100" s="273">
        <f t="shared" si="41"/>
        <v>6807120</v>
      </c>
      <c r="K100" s="273">
        <f t="shared" si="41"/>
        <v>7276410</v>
      </c>
      <c r="L100" s="273">
        <f t="shared" si="41"/>
        <v>6410495</v>
      </c>
      <c r="M100" s="273">
        <f t="shared" si="41"/>
        <v>5878209</v>
      </c>
      <c r="N100" s="273">
        <f t="shared" si="41"/>
        <v>5182178</v>
      </c>
      <c r="O100" s="273">
        <f t="shared" si="41"/>
        <v>4486607</v>
      </c>
      <c r="P100" s="273">
        <f t="shared" si="41"/>
        <v>4184826</v>
      </c>
      <c r="Q100" s="273" t="str">
        <f t="shared" si="41"/>
        <v/>
      </c>
    </row>
    <row r="101" spans="1:17" ht="15.75" customHeight="1">
      <c r="A101" s="10"/>
      <c r="B101" s="90" t="s">
        <v>179</v>
      </c>
      <c r="C101" s="284">
        <f>BS!C4</f>
        <v>823619</v>
      </c>
      <c r="D101" s="86"/>
      <c r="E101" s="239"/>
      <c r="F101" s="86"/>
      <c r="G101" s="285">
        <f>IF(G$4="","",Data!D77)</f>
        <v>715301</v>
      </c>
      <c r="H101" s="285">
        <f>IF(H$4="","",Data!E77)</f>
        <v>788957</v>
      </c>
      <c r="I101" s="285">
        <f>IF(I$4="","",Data!F77)</f>
        <v>804496</v>
      </c>
      <c r="J101" s="285">
        <f>IF(J$4="","",Data!G77)</f>
        <v>819987</v>
      </c>
      <c r="K101" s="285">
        <f>IF(K$4="","",Data!H77)</f>
        <v>707687</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533268</v>
      </c>
      <c r="D102" s="86"/>
      <c r="E102" s="239"/>
      <c r="F102" s="86"/>
      <c r="G102" s="285">
        <f>IF(G$4="","",Data!D78)</f>
        <v>554546</v>
      </c>
      <c r="H102" s="285">
        <f>IF(H$4="","",Data!E78)</f>
        <v>639615</v>
      </c>
      <c r="I102" s="285">
        <f>IF(I$4="","",Data!F78)</f>
        <v>773384</v>
      </c>
      <c r="J102" s="285">
        <f>IF(J$4="","",Data!G78)</f>
        <v>725526</v>
      </c>
      <c r="K102" s="285">
        <f>IF(K$4="","",Data!H78)</f>
        <v>593559</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2466518</v>
      </c>
      <c r="D103" s="25"/>
      <c r="E103" s="238"/>
      <c r="F103" s="25"/>
      <c r="G103" s="273">
        <f>Data!C79</f>
        <v>2466518</v>
      </c>
      <c r="H103" s="273">
        <f>Data!D79</f>
        <v>2524058</v>
      </c>
      <c r="I103" s="273">
        <f>Data!E79</f>
        <v>2748929</v>
      </c>
      <c r="J103" s="273">
        <f>Data!F79</f>
        <v>3238021</v>
      </c>
      <c r="K103" s="273">
        <f>Data!G79</f>
        <v>3319536</v>
      </c>
      <c r="L103" s="273">
        <f>Data!H79</f>
        <v>2992391</v>
      </c>
      <c r="M103" s="273">
        <f>Data!I79</f>
        <v>2408649</v>
      </c>
      <c r="N103" s="273">
        <f>Data!J79</f>
        <v>2013032</v>
      </c>
      <c r="O103" s="273">
        <f>Data!K79</f>
        <v>1796901</v>
      </c>
      <c r="P103" s="273">
        <f>Data!L79</f>
        <v>1772963</v>
      </c>
      <c r="Q103" s="273" t="str">
        <f>Data!M79</f>
        <v/>
      </c>
    </row>
    <row r="104" spans="1:17" ht="15.75" customHeight="1">
      <c r="A104" s="10"/>
      <c r="B104" s="25" t="s">
        <v>28</v>
      </c>
      <c r="C104" s="283">
        <f>BS!G27</f>
        <v>3182182</v>
      </c>
      <c r="D104" s="25"/>
      <c r="E104" s="238"/>
      <c r="F104" s="25"/>
      <c r="G104" s="273">
        <f>Data!C80</f>
        <v>3182182</v>
      </c>
      <c r="H104" s="273">
        <f>Data!D80</f>
        <v>3112637</v>
      </c>
      <c r="I104" s="273">
        <f>Data!E80</f>
        <v>3100590</v>
      </c>
      <c r="J104" s="273">
        <f>Data!F80</f>
        <v>3569099</v>
      </c>
      <c r="K104" s="273">
        <f>Data!G80</f>
        <v>3956874</v>
      </c>
      <c r="L104" s="273">
        <f>Data!H80</f>
        <v>3418104</v>
      </c>
      <c r="M104" s="273">
        <f>Data!I80</f>
        <v>3469560</v>
      </c>
      <c r="N104" s="273">
        <f>Data!J80</f>
        <v>3169146</v>
      </c>
      <c r="O104" s="273">
        <f>Data!K80</f>
        <v>2689706</v>
      </c>
      <c r="P104" s="273">
        <f>Data!L80</f>
        <v>2411863</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3.5707866382893818</v>
      </c>
      <c r="H112" s="253">
        <f>IF(H$4="","",Data!D$22/Data!D15)</f>
        <v>6.7115750331103339</v>
      </c>
      <c r="I112" s="253">
        <f>IF(I$4="","",Data!E$22/Data!E15)</f>
        <v>23.856912190720426</v>
      </c>
      <c r="J112" s="253">
        <f>IF(J$4="","",Data!F$22/Data!F15)</f>
        <v>-0.77078466486141495</v>
      </c>
      <c r="K112" s="253">
        <f>IF(K$4="","",Data!G$22/Data!G15)</f>
        <v>2.1369786330295772</v>
      </c>
      <c r="L112" s="253">
        <f>IF(L$4="","",Data!H$22/Data!H15)</f>
        <v>2.2117238509737689</v>
      </c>
      <c r="M112" s="253">
        <f>IF(M$4="","",Data!I$22/Data!I15)</f>
        <v>1.7028734978834952</v>
      </c>
      <c r="N112" s="253">
        <f>IF(N$4="","",Data!J$22/Data!J15)</f>
        <v>1.659577450529939</v>
      </c>
      <c r="O112" s="253">
        <f>IF(O$4="","",Data!K$22/Data!K15)</f>
        <v>1.4463809555881426</v>
      </c>
      <c r="P112" s="253">
        <f>IF(P$4="","",Data!L$22/Data!L15)</f>
        <v>1.1158791601503069</v>
      </c>
      <c r="Q112" s="253" t="str">
        <f>IF(Q$4="","",Data!M$22/Data!M15)</f>
        <v/>
      </c>
    </row>
    <row r="113" spans="1:17" ht="15.75" customHeight="1">
      <c r="A113" s="10"/>
      <c r="B113" s="2" t="s">
        <v>304</v>
      </c>
      <c r="C113" s="151"/>
      <c r="E113" s="237"/>
      <c r="G113" s="253">
        <f>IF(G$4="","",Data!C$22/G19)</f>
        <v>1.6943804489328969</v>
      </c>
      <c r="H113" s="253">
        <f>IF(H$4="","",Data!D$22/H19)</f>
        <v>2.0334465107904416</v>
      </c>
      <c r="I113" s="253">
        <f>IF(I$4="","",Data!E$22/I19)</f>
        <v>1.9692087571784167</v>
      </c>
      <c r="J113" s="253">
        <f>IF(J$4="","",Data!F$22/J19)</f>
        <v>0.60798459387860837</v>
      </c>
      <c r="K113" s="253">
        <f>IF(K$4="","",Data!G$22/K19)</f>
        <v>1.4205927227333672</v>
      </c>
      <c r="L113" s="253">
        <f>IF(L$4="","",Data!H$22/L19)</f>
        <v>1.4513036385755365</v>
      </c>
      <c r="M113" s="253">
        <f>IF(M$4="","",Data!I$22/M19)</f>
        <v>1.2242384266426158</v>
      </c>
      <c r="N113" s="253">
        <f>IF(N$4="","",Data!J$22/N19)</f>
        <v>1.1675474534614756</v>
      </c>
      <c r="O113" s="253">
        <f>IF(O$4="","",Data!K$22/O19)</f>
        <v>1.4208369734707287</v>
      </c>
      <c r="P113" s="253">
        <f>IF(P$4="","",Data!L$22/P19)</f>
        <v>0.80047819746966531</v>
      </c>
      <c r="Q113" s="253" t="str">
        <f>IF(Q$4="","",Data!M$22/Q19)</f>
        <v/>
      </c>
    </row>
    <row r="114" spans="1:17" ht="15.75" customHeight="1">
      <c r="A114" s="10"/>
      <c r="E114" s="237"/>
    </row>
    <row r="115" spans="1:17" ht="15.75" customHeight="1">
      <c r="A115" s="10"/>
      <c r="B115" s="88" t="s">
        <v>36</v>
      </c>
      <c r="C115" s="454" t="s">
        <v>556</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0.14083691822897304</v>
      </c>
      <c r="E116" s="237"/>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5">
        <v>1.2</v>
      </c>
      <c r="E117" s="237"/>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1"/>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456">
        <v>0.3</v>
      </c>
      <c r="D119" s="100"/>
      <c r="E119" s="240"/>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7.0300173108426608E-2</v>
      </c>
      <c r="D124" s="26"/>
      <c r="E124" s="234"/>
      <c r="F124" s="26"/>
      <c r="G124" s="74">
        <f t="shared" ref="G124" si="49">IF(G$4="","",G123/Market_Price)</f>
        <v>7.4400025774381928E-2</v>
      </c>
      <c r="H124" s="74">
        <f t="shared" ref="H124" si="50">IF(H$4="","",H123/Market_Price)</f>
        <v>5.7052542546661533E-2</v>
      </c>
      <c r="I124" s="74">
        <f t="shared" ref="I124" si="51">IF(I$4="","",I123/Market_Price)</f>
        <v>3.7437016401384089E-2</v>
      </c>
      <c r="J124" s="74">
        <f t="shared" ref="J124" si="52">IF(J$4="","",J123/Market_Price)</f>
        <v>3.0024456336115623E-2</v>
      </c>
      <c r="K124" s="74">
        <f t="shared" ref="K124" si="53">IF(K$4="","",K123/Market_Price)</f>
        <v>0.13013752900792611</v>
      </c>
      <c r="L124" s="74">
        <f t="shared" ref="L124" si="54">IF(L$4="","",L123/Market_Price)</f>
        <v>0.12738491296104049</v>
      </c>
      <c r="M124" s="74">
        <f t="shared" ref="M124" si="55">IF(M$4="","",M123/Market_Price)</f>
        <v>0.15262409958148476</v>
      </c>
      <c r="N124" s="74">
        <f t="shared" ref="N124" si="56">IF(N$4="","",N123/Market_Price)</f>
        <v>0.13392987873781995</v>
      </c>
      <c r="O124" s="74">
        <f t="shared" ref="O124" si="57">IF(O$4="","",O123/Market_Price)</f>
        <v>9.7595405619490289E-2</v>
      </c>
      <c r="P124" s="74">
        <f t="shared" ref="P124" si="58">IF(P$4="","",P123/Market_Price)</f>
        <v>0.11563408795052313</v>
      </c>
      <c r="Q124" s="74" t="str">
        <f t="shared" ref="Q124" si="59">IF(Q$4="","",Q123/Market_Price)</f>
        <v/>
      </c>
    </row>
    <row r="125" spans="1:17" ht="15.75" customHeight="1">
      <c r="B125" s="2" t="s">
        <v>306</v>
      </c>
      <c r="C125" s="151"/>
      <c r="G125" s="22">
        <f>IF(G$4="","",(Data!C47*$C$3)/(Market_Price*Common_Shares))</f>
        <v>3.5303691270842076E-2</v>
      </c>
      <c r="H125" s="22">
        <f>IF(H$4="","",(Data!D47*$C$3)/(Market_Price*Common_Shares))</f>
        <v>1.728555413608604E-2</v>
      </c>
      <c r="I125" s="22">
        <f>IF(I$4="","",(Data!E47*$C$3)/(Market_Price*Common_Shares))</f>
        <v>3.0901442714331147E-3</v>
      </c>
      <c r="J125" s="22">
        <f>IF(J$4="","",(Data!F47*$C$3)/(Market_Price*Common_Shares))</f>
        <v>-2.368288800247649E-2</v>
      </c>
      <c r="K125" s="22">
        <f>IF(K$4="","",(Data!G47*$C$3)/(Market_Price*Common_Shares))</f>
        <v>8.6511125476753215E-2</v>
      </c>
      <c r="L125" s="22">
        <f>IF(L$4="","",(Data!H47*$C$3)/(Market_Price*Common_Shares))</f>
        <v>8.3588277803574071E-2</v>
      </c>
      <c r="M125" s="22">
        <f>IF(M$4="","",(Data!I47*$C$3)/(Market_Price*Common_Shares))</f>
        <v>0.10972528950131466</v>
      </c>
      <c r="N125" s="22">
        <f>IF(N$4="","",(Data!J47*$C$3)/(Market_Price*Common_Shares))</f>
        <v>9.4222471396447183E-2</v>
      </c>
      <c r="O125" s="22">
        <f>IF(O$4="","",(Data!K47*$C$3)/(Market_Price*Common_Shares))</f>
        <v>9.5871810403268518E-2</v>
      </c>
      <c r="P125" s="22">
        <f>IF(P$4="","",(Data!L47*$C$3)/(Market_Price*Common_Shares))</f>
        <v>8.295034945917934E-2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8">
        <f>Normalized_FCF!C19</f>
        <v>479042.59967047302</v>
      </c>
      <c r="D4" t="str">
        <f>Reporting_currency</f>
        <v>HKD</v>
      </c>
      <c r="E4" s="135" t="s">
        <v>431</v>
      </c>
      <c r="F4" s="278">
        <f>-BS!G31</f>
        <v>-563558</v>
      </c>
      <c r="G4" t="str">
        <f>Reporting_currency</f>
        <v>HKD</v>
      </c>
      <c r="H4" s="311" t="s">
        <v>394</v>
      </c>
      <c r="I4" s="308">
        <f>Normalized_FCF!C4</f>
        <v>6273585</v>
      </c>
      <c r="J4" s="308"/>
    </row>
    <row r="5" spans="2:15">
      <c r="B5" s="187" t="s">
        <v>105</v>
      </c>
      <c r="C5" s="188">
        <f>Equity_Cost</f>
        <v>7.2499999999999995E-2</v>
      </c>
      <c r="E5" s="135" t="s">
        <v>432</v>
      </c>
      <c r="F5" s="278">
        <f>BS!D66</f>
        <v>791294.38078016671</v>
      </c>
      <c r="G5" t="str">
        <f>Reporting_currency</f>
        <v>HKD</v>
      </c>
      <c r="H5" s="311" t="s">
        <v>395</v>
      </c>
      <c r="I5" s="308">
        <f>Normalized_FCF!C7</f>
        <v>-694418</v>
      </c>
      <c r="J5" s="308"/>
    </row>
    <row r="6" spans="2:15" ht="13.25" customHeight="1">
      <c r="B6" s="136" t="s">
        <v>194</v>
      </c>
      <c r="C6" s="286">
        <f>(C4*(1+Terminal_Growth))/(Equity_Cost-Terminal_Growth)</f>
        <v>9307113.3650263343</v>
      </c>
      <c r="D6" t="str">
        <f>Reporting_currency</f>
        <v>HKD</v>
      </c>
      <c r="E6" s="187" t="s">
        <v>433</v>
      </c>
      <c r="F6" s="287">
        <f>BS!H42</f>
        <v>0</v>
      </c>
      <c r="G6" t="str">
        <f>Reporting_currency</f>
        <v>HKD</v>
      </c>
      <c r="H6" s="311" t="s">
        <v>416</v>
      </c>
      <c r="I6" s="308">
        <f>I7+I8</f>
        <v>-30945.482284680995</v>
      </c>
      <c r="J6" s="308"/>
      <c r="N6" s="135"/>
    </row>
    <row r="7" spans="2:15" ht="12.75" customHeight="1">
      <c r="B7" s="321" t="s">
        <v>430</v>
      </c>
      <c r="C7" s="278">
        <f>F7</f>
        <v>227736.38078016671</v>
      </c>
      <c r="E7" s="140" t="s">
        <v>424</v>
      </c>
      <c r="F7" s="286">
        <f>SUM(F4:F6)</f>
        <v>227736.38078016671</v>
      </c>
      <c r="G7" t="str">
        <f>Reporting_currency</f>
        <v>HKD</v>
      </c>
      <c r="H7" s="315" t="s">
        <v>417</v>
      </c>
      <c r="I7" s="316">
        <f>Normalized_FCF!C9</f>
        <v>0</v>
      </c>
      <c r="J7" s="316"/>
      <c r="N7" s="307"/>
      <c r="O7" s="307"/>
    </row>
    <row r="8" spans="2:15" ht="13.15">
      <c r="B8" s="136" t="s">
        <v>426</v>
      </c>
      <c r="C8" s="286">
        <f>C6+C7</f>
        <v>9534849.7458065003</v>
      </c>
      <c r="D8" t="str">
        <f>Reporting_currency</f>
        <v>HKD</v>
      </c>
      <c r="E8" s="140" t="s">
        <v>464</v>
      </c>
      <c r="F8" s="108">
        <f>FV_adjustments*scaling_factor/Common_Shares*Exchange_Rate</f>
        <v>0.21823673453933465</v>
      </c>
      <c r="G8" s="297" t="str">
        <f>Market_currency</f>
        <v>HKD</v>
      </c>
      <c r="H8" s="317" t="str">
        <f>Normalized_FCF!B10</f>
        <v>Net Interest Income</v>
      </c>
      <c r="I8" s="316">
        <f>Normalized_FCF!C10</f>
        <v>-30945.482284680995</v>
      </c>
      <c r="J8" s="316"/>
      <c r="N8" s="307"/>
      <c r="O8" s="307"/>
    </row>
    <row r="9" spans="2:15" ht="13.15" thickBot="1">
      <c r="B9" s="189" t="str">
        <f>"*"&amp;Thesis!E15</f>
        <v>*HKD</v>
      </c>
      <c r="C9" s="190">
        <f>Exchange_Rate</f>
        <v>1</v>
      </c>
      <c r="D9" t="str">
        <f>Thesis!E15</f>
        <v>HKD</v>
      </c>
      <c r="F9" s="325"/>
      <c r="H9" s="311" t="str">
        <f>Normalized_FCF!B79</f>
        <v>NCI’s Share of Profits</v>
      </c>
      <c r="I9" s="144">
        <f>Normalized_FCF!C79</f>
        <v>5.4738034183544624E-3</v>
      </c>
      <c r="J9" s="309"/>
      <c r="N9" s="307"/>
      <c r="O9" s="307"/>
    </row>
    <row r="10" spans="2:15" ht="13.5" thickTop="1">
      <c r="B10" s="107" t="s">
        <v>427</v>
      </c>
      <c r="C10" s="286">
        <f>C8*Exchange_Rate</f>
        <v>9534849.7458065003</v>
      </c>
      <c r="D10" t="str">
        <f>Market_currency</f>
        <v>HKD</v>
      </c>
      <c r="H10" s="311" t="s">
        <v>397</v>
      </c>
      <c r="I10" s="309">
        <f>Normalized_FCF!C41</f>
        <v>0.216</v>
      </c>
      <c r="N10" s="307"/>
      <c r="O10" s="307"/>
    </row>
    <row r="11" spans="2:15" ht="13.15">
      <c r="B11" s="136" t="s">
        <v>425</v>
      </c>
      <c r="C11" s="108">
        <f>(C10*scaling_factor)/Common_Shares</f>
        <v>9.1371192679866926</v>
      </c>
      <c r="D11" t="str">
        <f>Market_currency</f>
        <v>HKD</v>
      </c>
      <c r="E11" s="310"/>
      <c r="I11" s="310"/>
      <c r="J11" s="310"/>
    </row>
    <row r="13" spans="2:15" ht="13.9">
      <c r="B13" s="34" t="s">
        <v>428</v>
      </c>
      <c r="C13" s="35"/>
      <c r="D13" s="35"/>
      <c r="E13" s="35"/>
      <c r="F13" s="35"/>
      <c r="G13" s="35"/>
      <c r="H13" s="35"/>
      <c r="I13" s="35"/>
      <c r="J13" s="35"/>
      <c r="K13" s="35"/>
      <c r="L13" s="35"/>
    </row>
    <row r="14" spans="2:15" ht="13.15">
      <c r="B14" s="106" t="s">
        <v>399</v>
      </c>
      <c r="C14" s="312" t="s">
        <v>405</v>
      </c>
      <c r="E14" s="106" t="s">
        <v>399</v>
      </c>
      <c r="F14" s="312" t="str">
        <f>IF(ROUND(F17,2)=ROUND(C17,2),"I","II")</f>
        <v>II</v>
      </c>
      <c r="H14" s="106" t="s">
        <v>413</v>
      </c>
    </row>
    <row r="15" spans="2:15">
      <c r="B15" s="139" t="s">
        <v>421</v>
      </c>
      <c r="C15" s="148">
        <f>Scenarios!C45</f>
        <v>15</v>
      </c>
      <c r="E15" s="311" t="str">
        <f>IF(F14="II","Change year","Terminal Year")</f>
        <v>Change year</v>
      </c>
      <c r="F15" s="313">
        <f>IF(F14="II",_xlfn.CEILING.MATH(C15/2),C15+1)</f>
        <v>8</v>
      </c>
      <c r="H15" s="97" t="s">
        <v>429</v>
      </c>
      <c r="I15" s="126">
        <f>Terminal_Growth</f>
        <v>0.02</v>
      </c>
      <c r="J15" s="126"/>
    </row>
    <row r="16" spans="2:15" ht="13.25" customHeight="1">
      <c r="B16" s="114" t="s">
        <v>422</v>
      </c>
      <c r="C16" s="147">
        <f>Scenarios!C46</f>
        <v>2.38559171477595E-2</v>
      </c>
      <c r="E16" s="311" t="s">
        <v>400</v>
      </c>
      <c r="F16" s="314">
        <f>Scenarios!C41</f>
        <v>2.38559171477595E-2</v>
      </c>
    </row>
    <row r="17" spans="1:21" ht="13.25" customHeight="1">
      <c r="B17" s="311" t="s">
        <v>552</v>
      </c>
      <c r="C17" s="309">
        <f>Normalized_FCF!C77</f>
        <v>0.10437815343465008</v>
      </c>
      <c r="E17" s="311" t="s">
        <v>553</v>
      </c>
      <c r="F17" s="314">
        <f>Scenarios!C40</f>
        <v>0.14083691822897304</v>
      </c>
      <c r="H17" s="106" t="s">
        <v>412</v>
      </c>
    </row>
    <row r="18" spans="1:21" ht="13.25" customHeight="1">
      <c r="B18" s="311" t="s">
        <v>423</v>
      </c>
      <c r="C18" s="309">
        <f>Normalized_FCF!C81-Normalized_FCF!C82</f>
        <v>0</v>
      </c>
      <c r="E18" s="311" t="s">
        <v>423</v>
      </c>
      <c r="F18" s="144">
        <f>IF(F14="II",C18/2,C18)</f>
        <v>0</v>
      </c>
      <c r="H18" s="140" t="s">
        <v>97</v>
      </c>
      <c r="I18" s="129">
        <f>(L52+FV_adjustments)*Exchange_Rate/Common_Shares*scaling_factor</f>
        <v>10.299331762385481</v>
      </c>
      <c r="J18" t="str">
        <f>Market_currency</f>
        <v>HKD</v>
      </c>
    </row>
    <row r="19" spans="1:21">
      <c r="L19" s="278"/>
    </row>
    <row r="20" spans="1:21" ht="13.15">
      <c r="A20" s="121" t="s">
        <v>399</v>
      </c>
      <c r="B20" s="121" t="s">
        <v>98</v>
      </c>
      <c r="C20" s="121" t="s">
        <v>394</v>
      </c>
      <c r="D20" s="121" t="s">
        <v>102</v>
      </c>
      <c r="E20" s="121" t="s">
        <v>552</v>
      </c>
      <c r="F20" s="121" t="s">
        <v>554</v>
      </c>
      <c r="G20" s="121" t="str">
        <f>B18</f>
        <v>D&amp;A - maint. Capx</v>
      </c>
      <c r="H20" s="121" t="s">
        <v>557</v>
      </c>
      <c r="I20" s="121" t="s">
        <v>530</v>
      </c>
      <c r="J20" s="121" t="s">
        <v>555</v>
      </c>
      <c r="K20" s="121" t="s">
        <v>531</v>
      </c>
      <c r="L20" s="122" t="s">
        <v>419</v>
      </c>
    </row>
    <row r="21" spans="1:21">
      <c r="A21" s="305" t="str">
        <f t="shared" ref="A21:A50" si="0">IF($C$15&lt;B21,"",IF(B21&gt;=$F$15,"II","I"))</f>
        <v>I</v>
      </c>
      <c r="B21" s="117">
        <v>1</v>
      </c>
      <c r="C21" s="280">
        <f>I4*(1+D21)</f>
        <v>6423247.1239794269</v>
      </c>
      <c r="D21" s="302">
        <f t="shared" ref="D21:D50" si="1">IF(A21="",0,IF(A21="I",$C$16,$F$16))</f>
        <v>2.38559171477595E-2</v>
      </c>
      <c r="E21" s="302">
        <f>$C$17</f>
        <v>0.10437815343465008</v>
      </c>
      <c r="F21" s="280">
        <f>C21*E21</f>
        <v>670446.67385539948</v>
      </c>
      <c r="G21" s="302">
        <f t="shared" ref="G21:G50" si="2">IF(A21="",0%,IF(A21="I",$C$18,$F$18))</f>
        <v>0</v>
      </c>
      <c r="H21" s="280">
        <f>(F21*(1-$I$10)+C21*(G21-$I$9))</f>
        <v>490470.60023845913</v>
      </c>
      <c r="I21" s="302">
        <f>H21/C4-1</f>
        <v>2.3855917147759476E-2</v>
      </c>
      <c r="J21" s="302">
        <f>H21/C21</f>
        <v>7.6358668874411201E-2</v>
      </c>
      <c r="K21" s="119">
        <f t="shared" ref="K21:K50" si="3">IF($C$15&lt;B21,0,1/(1+Equity_Cost)^B21)</f>
        <v>0.93240093240093236</v>
      </c>
      <c r="L21" s="280">
        <f t="shared" ref="L21:L51" si="4">H21*K21</f>
        <v>457315.24497758423</v>
      </c>
    </row>
    <row r="22" spans="1:21">
      <c r="A22" s="305" t="str">
        <f t="shared" si="0"/>
        <v>I</v>
      </c>
      <c r="B22" s="117">
        <v>2</v>
      </c>
      <c r="C22" s="280">
        <f t="shared" ref="C22:C50" si="5">IF(A22="",0,C21*(1+D22))</f>
        <v>6576479.5751886647</v>
      </c>
      <c r="D22" s="302">
        <f t="shared" si="1"/>
        <v>2.38559171477595E-2</v>
      </c>
      <c r="E22" s="302">
        <f t="shared" ref="E22:E50" si="6">IF($C$15&lt;B22,0,IF(B22&gt;=$F$15,$F$17,$C$17))</f>
        <v>0.10437815343465008</v>
      </c>
      <c r="F22" s="280">
        <f t="shared" ref="F22:F50" si="7">IF(A22="", 0,C22*E22)</f>
        <v>686440.79415888479</v>
      </c>
      <c r="G22" s="302">
        <f t="shared" si="2"/>
        <v>0</v>
      </c>
      <c r="H22" s="280">
        <f t="shared" ref="H22:H50" si="8">IF(A22="", 0,F22*(1-$I$10)+C22*(G22-$I$9))</f>
        <v>502171.22624115966</v>
      </c>
      <c r="I22" s="302">
        <f t="shared" ref="I22:I50" si="9">IF(A22="", 0,H22/H21-1)</f>
        <v>2.3855917147759476E-2</v>
      </c>
      <c r="J22" s="302">
        <f>IF(A22="", 0,H22/C22)</f>
        <v>7.6358668874411201E-2</v>
      </c>
      <c r="K22" s="119">
        <f t="shared" si="3"/>
        <v>0.86937149874212816</v>
      </c>
      <c r="L22" s="280">
        <f t="shared" si="4"/>
        <v>436573.35158244928</v>
      </c>
    </row>
    <row r="23" spans="1:21">
      <c r="A23" s="305" t="str">
        <f t="shared" si="0"/>
        <v>I</v>
      </c>
      <c r="B23" s="117">
        <v>3</v>
      </c>
      <c r="C23" s="280">
        <f t="shared" si="5"/>
        <v>6733367.5270582978</v>
      </c>
      <c r="D23" s="302">
        <f t="shared" si="1"/>
        <v>2.38559171477595E-2</v>
      </c>
      <c r="E23" s="302">
        <f t="shared" si="6"/>
        <v>0.10437815343465008</v>
      </c>
      <c r="F23" s="280">
        <f t="shared" si="7"/>
        <v>702816.46887118137</v>
      </c>
      <c r="G23" s="302">
        <f t="shared" si="2"/>
        <v>0</v>
      </c>
      <c r="H23" s="280">
        <f t="shared" si="8"/>
        <v>514150.98140835756</v>
      </c>
      <c r="I23" s="302">
        <f t="shared" si="9"/>
        <v>2.3855917147759476E-2</v>
      </c>
      <c r="J23" s="302">
        <f t="shared" ref="J23:J50" si="10">IF(A23="", 0,H23/C23)</f>
        <v>7.6358668874411201E-2</v>
      </c>
      <c r="K23" s="119">
        <f t="shared" si="3"/>
        <v>0.81060279602995633</v>
      </c>
      <c r="L23" s="280">
        <f t="shared" si="4"/>
        <v>416772.22311116074</v>
      </c>
      <c r="N23" s="278"/>
      <c r="O23" s="278"/>
      <c r="P23" s="278"/>
      <c r="Q23" s="278"/>
      <c r="R23" s="278"/>
      <c r="S23" s="278"/>
      <c r="T23" s="278"/>
      <c r="U23" s="278"/>
    </row>
    <row r="24" spans="1:21">
      <c r="A24" s="305" t="str">
        <f t="shared" si="0"/>
        <v>I</v>
      </c>
      <c r="B24" s="117">
        <v>4</v>
      </c>
      <c r="C24" s="280">
        <f t="shared" si="5"/>
        <v>6893998.1849092143</v>
      </c>
      <c r="D24" s="302">
        <f t="shared" si="1"/>
        <v>2.38559171477595E-2</v>
      </c>
      <c r="E24" s="302">
        <f t="shared" si="6"/>
        <v>0.10437815343465008</v>
      </c>
      <c r="F24" s="280">
        <f t="shared" si="7"/>
        <v>719582.80032265314</v>
      </c>
      <c r="G24" s="302">
        <f t="shared" si="2"/>
        <v>0</v>
      </c>
      <c r="H24" s="280">
        <f t="shared" si="8"/>
        <v>526416.52462227456</v>
      </c>
      <c r="I24" s="302">
        <f t="shared" si="9"/>
        <v>2.3855917147759476E-2</v>
      </c>
      <c r="J24" s="302">
        <f t="shared" si="10"/>
        <v>7.6358668874411201E-2</v>
      </c>
      <c r="K24" s="119">
        <f t="shared" si="3"/>
        <v>0.75580680282513402</v>
      </c>
      <c r="L24" s="280">
        <f t="shared" si="4"/>
        <v>397869.19042907975</v>
      </c>
      <c r="N24" s="278"/>
      <c r="O24" s="278"/>
      <c r="P24" s="278"/>
      <c r="Q24" s="278"/>
      <c r="R24" s="278"/>
      <c r="S24" s="278"/>
      <c r="T24" s="278"/>
      <c r="U24" s="278"/>
    </row>
    <row r="25" spans="1:21">
      <c r="A25" s="305" t="str">
        <f t="shared" si="0"/>
        <v>I</v>
      </c>
      <c r="B25" s="117">
        <v>5</v>
      </c>
      <c r="C25" s="280">
        <f t="shared" si="5"/>
        <v>7058460.8344252128</v>
      </c>
      <c r="D25" s="302">
        <f t="shared" si="1"/>
        <v>2.38559171477595E-2</v>
      </c>
      <c r="E25" s="302">
        <f t="shared" si="6"/>
        <v>0.10437815343465008</v>
      </c>
      <c r="F25" s="280">
        <f t="shared" si="7"/>
        <v>736749.10798810306</v>
      </c>
      <c r="G25" s="302">
        <f t="shared" si="2"/>
        <v>0</v>
      </c>
      <c r="H25" s="280">
        <f t="shared" si="8"/>
        <v>538974.67361887498</v>
      </c>
      <c r="I25" s="302">
        <f t="shared" si="9"/>
        <v>2.3855917147759476E-2</v>
      </c>
      <c r="J25" s="302">
        <f t="shared" si="10"/>
        <v>7.6358668874411201E-2</v>
      </c>
      <c r="K25" s="119">
        <f t="shared" si="3"/>
        <v>0.70471496766912267</v>
      </c>
      <c r="L25" s="280">
        <f t="shared" si="4"/>
        <v>379823.51969380141</v>
      </c>
      <c r="N25" s="278"/>
      <c r="O25" s="278"/>
      <c r="P25" s="278"/>
      <c r="Q25" s="278"/>
      <c r="R25" s="278"/>
      <c r="S25" s="278"/>
      <c r="T25" s="278"/>
      <c r="U25" s="278"/>
    </row>
    <row r="26" spans="1:21">
      <c r="A26" s="305" t="str">
        <f t="shared" si="0"/>
        <v>I</v>
      </c>
      <c r="B26" s="117">
        <v>6</v>
      </c>
      <c r="C26" s="280">
        <f t="shared" si="5"/>
        <v>7226846.8912819661</v>
      </c>
      <c r="D26" s="302">
        <f t="shared" si="1"/>
        <v>2.38559171477595E-2</v>
      </c>
      <c r="E26" s="302">
        <f t="shared" si="6"/>
        <v>0.10437815343465008</v>
      </c>
      <c r="F26" s="280">
        <f t="shared" si="7"/>
        <v>754324.933666953</v>
      </c>
      <c r="G26" s="302">
        <f t="shared" si="2"/>
        <v>0</v>
      </c>
      <c r="H26" s="280">
        <f t="shared" si="8"/>
        <v>551832.40877746756</v>
      </c>
      <c r="I26" s="302">
        <f t="shared" si="9"/>
        <v>2.3855917147759476E-2</v>
      </c>
      <c r="J26" s="302">
        <f t="shared" si="10"/>
        <v>7.6358668874411187E-2</v>
      </c>
      <c r="K26" s="119">
        <f t="shared" si="3"/>
        <v>0.65707689293158289</v>
      </c>
      <c r="L26" s="280">
        <f t="shared" si="4"/>
        <v>362596.32457844954</v>
      </c>
    </row>
    <row r="27" spans="1:21">
      <c r="A27" s="305" t="str">
        <f t="shared" si="0"/>
        <v>I</v>
      </c>
      <c r="B27" s="117">
        <v>7</v>
      </c>
      <c r="C27" s="280">
        <f t="shared" si="5"/>
        <v>7399249.9519599322</v>
      </c>
      <c r="D27" s="302">
        <f t="shared" si="1"/>
        <v>2.38559171477595E-2</v>
      </c>
      <c r="E27" s="302">
        <f t="shared" si="6"/>
        <v>0.10437815343465008</v>
      </c>
      <c r="F27" s="280">
        <f t="shared" si="7"/>
        <v>772320.04678700108</v>
      </c>
      <c r="G27" s="302">
        <f t="shared" si="2"/>
        <v>0</v>
      </c>
      <c r="H27" s="280">
        <f t="shared" si="8"/>
        <v>564996.87700071151</v>
      </c>
      <c r="I27" s="302">
        <f t="shared" si="9"/>
        <v>2.3855917147759698E-2</v>
      </c>
      <c r="J27" s="302">
        <f t="shared" si="10"/>
        <v>7.6358668874411215E-2</v>
      </c>
      <c r="K27" s="119">
        <f t="shared" si="3"/>
        <v>0.61265910762851561</v>
      </c>
      <c r="L27" s="280">
        <f t="shared" si="4"/>
        <v>346150.48247615411</v>
      </c>
    </row>
    <row r="28" spans="1:21">
      <c r="A28" s="305" t="str">
        <f t="shared" si="0"/>
        <v>II</v>
      </c>
      <c r="B28" s="117">
        <v>8</v>
      </c>
      <c r="C28" s="280">
        <f t="shared" si="5"/>
        <v>7575765.8457694519</v>
      </c>
      <c r="D28" s="302">
        <f t="shared" si="1"/>
        <v>2.38559171477595E-2</v>
      </c>
      <c r="E28" s="302">
        <f t="shared" si="6"/>
        <v>0.14083691822897304</v>
      </c>
      <c r="F28" s="280">
        <f t="shared" si="7"/>
        <v>1066947.5149424791</v>
      </c>
      <c r="G28" s="302">
        <f t="shared" si="2"/>
        <v>0</v>
      </c>
      <c r="H28" s="280">
        <f t="shared" si="8"/>
        <v>795018.59873167775</v>
      </c>
      <c r="I28" s="302">
        <f t="shared" si="9"/>
        <v>0.40712034188938806</v>
      </c>
      <c r="J28" s="302">
        <f t="shared" si="10"/>
        <v>0.10494234047316039</v>
      </c>
      <c r="K28" s="119">
        <f t="shared" si="3"/>
        <v>0.5712439231967511</v>
      </c>
      <c r="L28" s="280">
        <f t="shared" si="4"/>
        <v>454149.54335386719</v>
      </c>
    </row>
    <row r="29" spans="1:21">
      <c r="A29" s="305" t="str">
        <f t="shared" si="0"/>
        <v>II</v>
      </c>
      <c r="B29" s="117">
        <v>9</v>
      </c>
      <c r="C29" s="280">
        <f t="shared" si="5"/>
        <v>7756492.6881169537</v>
      </c>
      <c r="D29" s="302">
        <f t="shared" si="1"/>
        <v>2.38559171477595E-2</v>
      </c>
      <c r="E29" s="302">
        <f t="shared" si="6"/>
        <v>0.14083691822897304</v>
      </c>
      <c r="F29" s="280">
        <f t="shared" si="7"/>
        <v>1092400.5264599547</v>
      </c>
      <c r="G29" s="302">
        <f t="shared" si="2"/>
        <v>0</v>
      </c>
      <c r="H29" s="280">
        <f t="shared" si="8"/>
        <v>813984.4965539485</v>
      </c>
      <c r="I29" s="302">
        <f t="shared" si="9"/>
        <v>2.3855917147759476E-2</v>
      </c>
      <c r="J29" s="302">
        <f t="shared" si="10"/>
        <v>0.10494234047316039</v>
      </c>
      <c r="K29" s="119">
        <f t="shared" si="3"/>
        <v>0.53262836661701729</v>
      </c>
      <c r="L29" s="280">
        <f t="shared" si="4"/>
        <v>433551.23285110475</v>
      </c>
    </row>
    <row r="30" spans="1:21">
      <c r="A30" s="305" t="str">
        <f t="shared" si="0"/>
        <v>II</v>
      </c>
      <c r="B30" s="117">
        <v>10</v>
      </c>
      <c r="C30" s="280">
        <f t="shared" si="5"/>
        <v>7941530.9350418737</v>
      </c>
      <c r="D30" s="302">
        <f t="shared" si="1"/>
        <v>2.38559171477595E-2</v>
      </c>
      <c r="E30" s="302">
        <f t="shared" si="6"/>
        <v>0.14083691822897304</v>
      </c>
      <c r="F30" s="280">
        <f t="shared" si="7"/>
        <v>1118460.7429113521</v>
      </c>
      <c r="G30" s="302">
        <f t="shared" si="2"/>
        <v>0</v>
      </c>
      <c r="H30" s="280">
        <f t="shared" si="8"/>
        <v>833402.84326330014</v>
      </c>
      <c r="I30" s="302">
        <f t="shared" si="9"/>
        <v>2.3855917147759476E-2</v>
      </c>
      <c r="J30" s="302">
        <f t="shared" si="10"/>
        <v>0.10494234047316039</v>
      </c>
      <c r="K30" s="119">
        <f t="shared" si="3"/>
        <v>0.49662318565689262</v>
      </c>
      <c r="L30" s="280">
        <f t="shared" si="4"/>
        <v>413887.17495693208</v>
      </c>
    </row>
    <row r="31" spans="1:21">
      <c r="A31" s="305" t="str">
        <f t="shared" si="0"/>
        <v>II</v>
      </c>
      <c r="B31" s="117">
        <v>11</v>
      </c>
      <c r="C31" s="280">
        <f t="shared" si="5"/>
        <v>8130983.4390546018</v>
      </c>
      <c r="D31" s="302">
        <f t="shared" si="1"/>
        <v>2.38559171477595E-2</v>
      </c>
      <c r="E31" s="302">
        <f t="shared" si="6"/>
        <v>0.14083691822897304</v>
      </c>
      <c r="F31" s="280">
        <f t="shared" si="7"/>
        <v>1145142.649727267</v>
      </c>
      <c r="G31" s="302">
        <f t="shared" si="2"/>
        <v>0</v>
      </c>
      <c r="H31" s="280">
        <f t="shared" si="8"/>
        <v>853284.43244289677</v>
      </c>
      <c r="I31" s="302">
        <f t="shared" si="9"/>
        <v>2.3855917147759698E-2</v>
      </c>
      <c r="J31" s="302">
        <f t="shared" si="10"/>
        <v>0.10494234047316041</v>
      </c>
      <c r="K31" s="119">
        <f t="shared" si="3"/>
        <v>0.46305192135840806</v>
      </c>
      <c r="L31" s="280">
        <f t="shared" si="4"/>
        <v>395114.99590790208</v>
      </c>
    </row>
    <row r="32" spans="1:21">
      <c r="A32" s="305" t="str">
        <f t="shared" si="0"/>
        <v>II</v>
      </c>
      <c r="B32" s="117">
        <v>12</v>
      </c>
      <c r="C32" s="280">
        <f t="shared" si="5"/>
        <v>8324955.5063064927</v>
      </c>
      <c r="D32" s="302">
        <f t="shared" si="1"/>
        <v>2.38559171477595E-2</v>
      </c>
      <c r="E32" s="302">
        <f t="shared" si="6"/>
        <v>0.14083691822897304</v>
      </c>
      <c r="F32" s="280">
        <f t="shared" si="7"/>
        <v>1172461.0779015264</v>
      </c>
      <c r="G32" s="302">
        <f t="shared" si="2"/>
        <v>0</v>
      </c>
      <c r="H32" s="280">
        <f t="shared" si="8"/>
        <v>873640.31516672741</v>
      </c>
      <c r="I32" s="302">
        <f t="shared" si="9"/>
        <v>2.3855917147759476E-2</v>
      </c>
      <c r="J32" s="302">
        <f t="shared" si="10"/>
        <v>0.10494234047316041</v>
      </c>
      <c r="K32" s="119">
        <f t="shared" si="3"/>
        <v>0.43175004322462285</v>
      </c>
      <c r="L32" s="280">
        <f t="shared" si="4"/>
        <v>377194.24383600766</v>
      </c>
    </row>
    <row r="33" spans="1:21">
      <c r="A33" s="305" t="str">
        <f t="shared" si="0"/>
        <v>II</v>
      </c>
      <c r="B33" s="117">
        <v>13</v>
      </c>
      <c r="C33" s="280">
        <f t="shared" si="5"/>
        <v>8523554.9551237244</v>
      </c>
      <c r="D33" s="302">
        <f t="shared" si="1"/>
        <v>2.38559171477595E-2</v>
      </c>
      <c r="E33" s="302">
        <f t="shared" si="6"/>
        <v>0.14083691822897304</v>
      </c>
      <c r="F33" s="280">
        <f t="shared" si="7"/>
        <v>1200431.212234918</v>
      </c>
      <c r="G33" s="302">
        <f t="shared" si="2"/>
        <v>0</v>
      </c>
      <c r="H33" s="280">
        <f t="shared" si="8"/>
        <v>894481.80614228745</v>
      </c>
      <c r="I33" s="302">
        <f t="shared" si="9"/>
        <v>2.3855917147759698E-2</v>
      </c>
      <c r="J33" s="302">
        <f t="shared" si="10"/>
        <v>0.10494234047316042</v>
      </c>
      <c r="K33" s="119">
        <f t="shared" si="3"/>
        <v>0.40256414286678116</v>
      </c>
      <c r="L33" s="280">
        <f t="shared" si="4"/>
        <v>360086.30159960024</v>
      </c>
      <c r="N33" s="278"/>
      <c r="O33" s="278"/>
      <c r="P33" s="278"/>
      <c r="Q33" s="278"/>
      <c r="R33" s="278"/>
      <c r="S33" s="278"/>
      <c r="T33" s="278"/>
      <c r="U33" s="278"/>
    </row>
    <row r="34" spans="1:21">
      <c r="A34" s="305" t="str">
        <f t="shared" si="0"/>
        <v>II</v>
      </c>
      <c r="B34" s="117">
        <v>14</v>
      </c>
      <c r="C34" s="280">
        <f t="shared" si="5"/>
        <v>8726892.1759375315</v>
      </c>
      <c r="D34" s="302">
        <f t="shared" si="1"/>
        <v>2.38559171477595E-2</v>
      </c>
      <c r="E34" s="302">
        <f t="shared" si="6"/>
        <v>0.14083691822897304</v>
      </c>
      <c r="F34" s="280">
        <f t="shared" si="7"/>
        <v>1229068.5997755788</v>
      </c>
      <c r="G34" s="302">
        <f t="shared" si="2"/>
        <v>0</v>
      </c>
      <c r="H34" s="280">
        <f t="shared" si="8"/>
        <v>915820.48999979615</v>
      </c>
      <c r="I34" s="302">
        <f t="shared" si="9"/>
        <v>2.3855917147759476E-2</v>
      </c>
      <c r="J34" s="302">
        <f t="shared" si="10"/>
        <v>0.10494234047316041</v>
      </c>
      <c r="K34" s="119">
        <f t="shared" si="3"/>
        <v>0.37535118216016894</v>
      </c>
      <c r="L34" s="280">
        <f t="shared" si="4"/>
        <v>343754.30356792867</v>
      </c>
      <c r="N34" s="278"/>
      <c r="O34" s="278"/>
      <c r="P34" s="278"/>
      <c r="Q34" s="278"/>
      <c r="R34" s="278"/>
      <c r="S34" s="278"/>
      <c r="T34" s="278"/>
      <c r="U34" s="278"/>
    </row>
    <row r="35" spans="1:21">
      <c r="A35" s="305" t="str">
        <f t="shared" si="0"/>
        <v>II</v>
      </c>
      <c r="B35" s="117">
        <v>15</v>
      </c>
      <c r="C35" s="280">
        <f t="shared" si="5"/>
        <v>8935080.1926441286</v>
      </c>
      <c r="D35" s="302">
        <f t="shared" si="1"/>
        <v>2.38559171477595E-2</v>
      </c>
      <c r="E35" s="302">
        <f t="shared" si="6"/>
        <v>0.14083691822897304</v>
      </c>
      <c r="F35" s="280">
        <f t="shared" si="7"/>
        <v>1258389.1584607379</v>
      </c>
      <c r="G35" s="302">
        <f t="shared" si="2"/>
        <v>0</v>
      </c>
      <c r="H35" s="280">
        <f t="shared" si="8"/>
        <v>937668.22773145186</v>
      </c>
      <c r="I35" s="302">
        <f t="shared" si="9"/>
        <v>2.3855917147759476E-2</v>
      </c>
      <c r="J35" s="302">
        <f t="shared" si="10"/>
        <v>0.10494234047316041</v>
      </c>
      <c r="K35" s="119">
        <f t="shared" si="3"/>
        <v>0.34997779222393377</v>
      </c>
      <c r="L35" s="280">
        <f t="shared" si="4"/>
        <v>328163.05617998226</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418</v>
      </c>
      <c r="B51" s="319">
        <f>C15+1</f>
        <v>16</v>
      </c>
      <c r="C51" s="280">
        <f>VLOOKUP(C15,B21:C50,2,FALSE)*(1+Terminal_Growth)</f>
        <v>9113781.7964970116</v>
      </c>
      <c r="D51" s="304">
        <f>Terminal_Growth</f>
        <v>0.02</v>
      </c>
      <c r="E51" s="304">
        <f>F17</f>
        <v>0.14083691822897304</v>
      </c>
      <c r="F51" s="280">
        <f>C51*E51</f>
        <v>1283556.9416299525</v>
      </c>
      <c r="G51" s="302">
        <f>F18</f>
        <v>0</v>
      </c>
      <c r="H51" s="280">
        <f>(F51*(1-$I$10)+C51*(G51-$I$9))/Equity_Cost</f>
        <v>13192021.962566633</v>
      </c>
      <c r="I51" s="418">
        <f>(F51*(1-$I$10)+C51*(G51-$I$9))/VLOOKUP(C15,B21:H50,7,FALSE)-1</f>
        <v>2.0000000000000018E-2</v>
      </c>
      <c r="J51" s="457"/>
      <c r="K51" s="119">
        <f>1/(1+Equity_Cost)^C15</f>
        <v>0.34997779222393377</v>
      </c>
      <c r="L51" s="280">
        <f t="shared" si="4"/>
        <v>4616914.7214287156</v>
      </c>
    </row>
    <row r="52" spans="1:21" ht="13.15">
      <c r="G52" s="111"/>
      <c r="H52" s="111"/>
      <c r="I52" s="111"/>
      <c r="J52" s="469" t="s">
        <v>420</v>
      </c>
      <c r="K52" s="469"/>
      <c r="L52" s="320">
        <f>SUM(L21:L51)</f>
        <v>10519915.91053072</v>
      </c>
    </row>
    <row r="53" spans="1:21">
      <c r="C53" s="111"/>
    </row>
    <row r="54" spans="1:21" ht="13.15">
      <c r="B54" s="115" t="s">
        <v>108</v>
      </c>
      <c r="C54" s="128"/>
      <c r="D54" s="128"/>
      <c r="E54" s="113"/>
      <c r="F54" s="113"/>
      <c r="G54" s="113"/>
      <c r="H54" s="113"/>
      <c r="I54" s="113"/>
      <c r="J54" s="113"/>
      <c r="K54" s="113"/>
      <c r="L54" s="113"/>
    </row>
    <row r="55" spans="1:21" ht="13.15">
      <c r="A55" s="125">
        <f>L52</f>
        <v>10519915.91053072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9083032.8802452236</v>
      </c>
      <c r="C56" s="118">
        <v>9173863.2090476733</v>
      </c>
      <c r="D56" s="118">
        <v>9264693.5378501285</v>
      </c>
      <c r="E56" s="118">
        <v>9355523.8666525781</v>
      </c>
      <c r="F56" s="118">
        <v>9537184.5242574867</v>
      </c>
      <c r="G56" s="298"/>
      <c r="H56" s="298"/>
      <c r="I56" s="298"/>
      <c r="J56" s="298"/>
      <c r="K56" s="298"/>
      <c r="L56" s="298"/>
    </row>
    <row r="57" spans="1:21" ht="13.15">
      <c r="A57" s="131">
        <v>2</v>
      </c>
      <c r="B57" s="118">
        <v>9071585.6102467813</v>
      </c>
      <c r="C57" s="118">
        <v>9249413.2173701543</v>
      </c>
      <c r="D57" s="118">
        <v>9428965.8096622638</v>
      </c>
      <c r="E57" s="118">
        <v>9610243.3871231023</v>
      </c>
      <c r="F57" s="118">
        <v>9977973.4975509699</v>
      </c>
      <c r="G57" s="298"/>
      <c r="H57" s="298"/>
      <c r="I57" s="298"/>
      <c r="J57" s="298"/>
      <c r="K57" s="298"/>
      <c r="L57" s="298"/>
    </row>
    <row r="58" spans="1:21" ht="13.15">
      <c r="A58" s="131">
        <v>3</v>
      </c>
      <c r="B58" s="118">
        <v>9060912.1650267877</v>
      </c>
      <c r="C58" s="118">
        <v>9320560.5445549637</v>
      </c>
      <c r="D58" s="118">
        <v>9585196.7814556248</v>
      </c>
      <c r="E58" s="118">
        <v>9854869.1270621549</v>
      </c>
      <c r="F58" s="118">
        <v>10409515.149726408</v>
      </c>
      <c r="G58" s="298"/>
      <c r="H58" s="298"/>
      <c r="I58" s="298"/>
      <c r="J58" s="298"/>
      <c r="K58" s="298"/>
      <c r="L58" s="298"/>
    </row>
    <row r="59" spans="1:21" ht="13.15">
      <c r="A59" s="131">
        <v>4</v>
      </c>
      <c r="B59" s="118">
        <v>9050960.2347517349</v>
      </c>
      <c r="C59" s="118">
        <v>9387561.7571019586</v>
      </c>
      <c r="D59" s="118">
        <v>9733780.0833010562</v>
      </c>
      <c r="E59" s="118">
        <v>10089801.073110851</v>
      </c>
      <c r="F59" s="118">
        <v>10832003.480527537</v>
      </c>
      <c r="G59" s="298"/>
      <c r="H59" s="298"/>
      <c r="I59" s="298"/>
      <c r="J59" s="298"/>
      <c r="K59" s="298"/>
      <c r="L59" s="298"/>
    </row>
    <row r="60" spans="1:21" ht="13.15">
      <c r="A60" s="131">
        <v>5</v>
      </c>
      <c r="B60" s="118">
        <v>8885783.5285987966</v>
      </c>
      <c r="C60" s="118">
        <v>9291627.4129045755</v>
      </c>
      <c r="D60" s="118">
        <v>9712894.2998890094</v>
      </c>
      <c r="E60" s="118">
        <v>10150031.68574803</v>
      </c>
      <c r="F60" s="118">
        <v>11073751.407186866</v>
      </c>
      <c r="G60" s="298"/>
      <c r="H60" s="298"/>
      <c r="I60" s="298"/>
      <c r="J60" s="298"/>
      <c r="K60" s="298"/>
      <c r="L60" s="298"/>
    </row>
    <row r="61" spans="1:21" ht="13.15">
      <c r="A61" s="131">
        <v>6</v>
      </c>
      <c r="B61" s="118">
        <v>8877131.6040601954</v>
      </c>
      <c r="C61" s="118">
        <v>9351047.1612599473</v>
      </c>
      <c r="D61" s="118">
        <v>9847287.0208500847</v>
      </c>
      <c r="E61" s="118">
        <v>10366713.230893353</v>
      </c>
      <c r="F61" s="118">
        <v>11478698.90015484</v>
      </c>
      <c r="G61" s="298"/>
      <c r="H61" s="298"/>
      <c r="I61" s="298"/>
      <c r="J61" s="298"/>
      <c r="K61" s="298"/>
      <c r="L61" s="298"/>
    </row>
    <row r="62" spans="1:21" ht="13.15">
      <c r="A62" s="131">
        <v>7</v>
      </c>
      <c r="B62" s="118">
        <v>8723705.551264029</v>
      </c>
      <c r="C62" s="118">
        <v>9257240.7072631456</v>
      </c>
      <c r="D62" s="118">
        <v>9820844.9537817929</v>
      </c>
      <c r="E62" s="118">
        <v>10415970.634480879</v>
      </c>
      <c r="F62" s="118">
        <v>11706879.790038768</v>
      </c>
      <c r="G62" s="298"/>
      <c r="H62" s="298"/>
      <c r="I62" s="298"/>
      <c r="J62" s="298"/>
      <c r="K62" s="298"/>
      <c r="L62" s="298"/>
    </row>
    <row r="63" spans="1:21" ht="13.15">
      <c r="A63" s="131">
        <v>8</v>
      </c>
      <c r="B63" s="118">
        <v>8716183.8146609012</v>
      </c>
      <c r="C63" s="118">
        <v>9309936.8654429559</v>
      </c>
      <c r="D63" s="118">
        <v>9942402.3779539354</v>
      </c>
      <c r="E63" s="118">
        <v>10615819.538796477</v>
      </c>
      <c r="F63" s="118">
        <v>12095014.704321733</v>
      </c>
      <c r="G63" s="298"/>
      <c r="H63" s="298"/>
      <c r="I63" s="298"/>
      <c r="J63" s="298"/>
      <c r="K63" s="298"/>
      <c r="L63" s="298"/>
    </row>
    <row r="64" spans="1:21" ht="13.15">
      <c r="A64" s="131">
        <v>9</v>
      </c>
      <c r="B64" s="118">
        <v>8573637.6823602561</v>
      </c>
      <c r="C64" s="118">
        <v>9218526.1163305938</v>
      </c>
      <c r="D64" s="118">
        <v>9911304.3143840525</v>
      </c>
      <c r="E64" s="118">
        <v>10655205.596849378</v>
      </c>
      <c r="F64" s="118">
        <v>12310265.892020341</v>
      </c>
      <c r="G64" s="298"/>
      <c r="H64" s="298"/>
      <c r="I64" s="298"/>
      <c r="J64" s="298"/>
      <c r="K64" s="298"/>
      <c r="L64" s="298"/>
    </row>
    <row r="65" spans="1:21" ht="13.15">
      <c r="A65" s="131">
        <v>10</v>
      </c>
      <c r="B65" s="118">
        <v>8567098.4989364538</v>
      </c>
      <c r="C65" s="118">
        <v>9265259.486359423</v>
      </c>
      <c r="D65" s="118">
        <v>10021252.288245264</v>
      </c>
      <c r="E65" s="118">
        <v>10839529.48345153</v>
      </c>
      <c r="F65" s="118">
        <v>12682286.250959463</v>
      </c>
      <c r="G65" s="298"/>
      <c r="H65" s="298"/>
      <c r="I65" s="298"/>
      <c r="J65" s="298"/>
      <c r="K65" s="298"/>
      <c r="L65" s="298"/>
    </row>
    <row r="66" spans="1:21" ht="13.15">
      <c r="A66" s="131">
        <v>15</v>
      </c>
      <c r="B66" s="118">
        <v>8186402.3974899156</v>
      </c>
      <c r="C66" s="280">
        <v>9085431.3561821394</v>
      </c>
      <c r="D66" s="118">
        <v>10096924.50577344</v>
      </c>
      <c r="E66" s="118">
        <v>11234895.437171992</v>
      </c>
      <c r="F66" s="118">
        <v>13954767.299205326</v>
      </c>
      <c r="G66" s="298"/>
      <c r="H66" s="298"/>
      <c r="I66" s="298"/>
      <c r="J66" s="298"/>
      <c r="K66" s="298"/>
      <c r="L66" s="298"/>
      <c r="M66" s="278"/>
      <c r="N66" s="278"/>
      <c r="O66" s="278"/>
      <c r="P66" s="278"/>
      <c r="Q66" s="278"/>
      <c r="R66" s="278"/>
      <c r="S66" s="278"/>
      <c r="T66" s="278"/>
      <c r="U66" s="278"/>
    </row>
    <row r="67" spans="1:21" ht="13.15">
      <c r="A67" s="132">
        <v>20</v>
      </c>
      <c r="B67" s="118">
        <v>7969684.7375582475</v>
      </c>
      <c r="C67" s="280">
        <v>9015109.1843693815</v>
      </c>
      <c r="D67" s="118">
        <v>10231628.137682453</v>
      </c>
      <c r="E67" s="118">
        <v>11648516.845941782</v>
      </c>
      <c r="F67" s="118">
        <v>15225859.564350951</v>
      </c>
      <c r="G67" s="298"/>
      <c r="H67" s="298"/>
      <c r="I67" s="298"/>
      <c r="J67" s="298"/>
      <c r="K67" s="298"/>
      <c r="L67" s="298"/>
      <c r="M67" s="278"/>
      <c r="N67" s="278"/>
      <c r="O67" s="278"/>
      <c r="P67" s="278"/>
      <c r="Q67" s="278"/>
      <c r="R67" s="278"/>
      <c r="S67" s="278"/>
      <c r="T67" s="278"/>
      <c r="U67" s="278"/>
    </row>
    <row r="68" spans="1:21" ht="13.15">
      <c r="A68" s="132">
        <v>25</v>
      </c>
      <c r="B68" s="118">
        <v>7706944.6926755914</v>
      </c>
      <c r="C68" s="280">
        <v>8844297.1753781438</v>
      </c>
      <c r="D68" s="118">
        <v>10208639.614034884</v>
      </c>
      <c r="E68" s="118">
        <v>11849240.731900616</v>
      </c>
      <c r="F68" s="118">
        <v>16212367.667223901</v>
      </c>
      <c r="G68" s="298"/>
      <c r="H68" s="298"/>
      <c r="I68" s="298"/>
      <c r="J68" s="298"/>
      <c r="K68" s="298"/>
      <c r="L68" s="298"/>
      <c r="M68" s="278"/>
      <c r="N68" s="278"/>
      <c r="O68" s="278"/>
      <c r="P68" s="278"/>
      <c r="Q68" s="278"/>
      <c r="R68" s="278"/>
      <c r="S68" s="278"/>
      <c r="T68" s="278"/>
      <c r="U68" s="278"/>
    </row>
    <row r="69" spans="1:21" ht="13.15">
      <c r="A69" s="132">
        <v>30</v>
      </c>
      <c r="B69" s="118">
        <v>7558126.1823961921</v>
      </c>
      <c r="C69" s="280">
        <v>8764348.4150230829</v>
      </c>
      <c r="D69" s="118">
        <v>10249750.409927662</v>
      </c>
      <c r="E69" s="118">
        <v>12087259.749175571</v>
      </c>
      <c r="F69" s="118">
        <v>17213517.148998849</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9"/>
      <c r="H73" s="299"/>
      <c r="I73" s="299"/>
      <c r="J73" s="299"/>
      <c r="K73" s="299"/>
      <c r="L73" s="299"/>
    </row>
    <row r="74" spans="1:21" ht="13.15">
      <c r="A74" s="131">
        <v>1</v>
      </c>
      <c r="B74" s="119">
        <f t="shared" ref="B74:F87" si="11">(B56+FV_adjustments)/Common_Shares*scaling_factor*Exchange_Rate</f>
        <v>8.922385929794995</v>
      </c>
      <c r="C74" s="119">
        <f t="shared" si="11"/>
        <v>9.0094274217475512</v>
      </c>
      <c r="D74" s="119">
        <f t="shared" si="11"/>
        <v>9.0964689137001091</v>
      </c>
      <c r="E74" s="119">
        <f t="shared" si="11"/>
        <v>9.1835104056526635</v>
      </c>
      <c r="F74" s="119">
        <f t="shared" si="11"/>
        <v>9.3575933895577812</v>
      </c>
      <c r="G74" s="299"/>
      <c r="H74" s="299"/>
      <c r="I74" s="299"/>
      <c r="J74" s="299"/>
      <c r="K74" s="299"/>
      <c r="L74" s="299"/>
    </row>
    <row r="75" spans="1:21" ht="13.15">
      <c r="A75" s="131">
        <v>2</v>
      </c>
      <c r="B75" s="119">
        <f t="shared" si="11"/>
        <v>8.9114161637203271</v>
      </c>
      <c r="C75" s="119">
        <f t="shared" si="11"/>
        <v>9.0818259865013893</v>
      </c>
      <c r="D75" s="119">
        <f t="shared" si="11"/>
        <v>9.2538888395495711</v>
      </c>
      <c r="E75" s="119">
        <f t="shared" si="11"/>
        <v>9.4276047228648618</v>
      </c>
      <c r="F75" s="119">
        <f t="shared" si="11"/>
        <v>9.7799955802967915</v>
      </c>
      <c r="G75" s="299"/>
      <c r="H75" s="299"/>
      <c r="I75" s="299"/>
      <c r="J75" s="299"/>
      <c r="K75" s="299"/>
      <c r="L75" s="299"/>
    </row>
    <row r="76" spans="1:21" ht="13.15">
      <c r="A76" s="131">
        <v>3</v>
      </c>
      <c r="B76" s="119">
        <f t="shared" si="11"/>
        <v>8.9011879436040857</v>
      </c>
      <c r="C76" s="119">
        <f t="shared" si="11"/>
        <v>9.1500055206751689</v>
      </c>
      <c r="D76" s="119">
        <f t="shared" si="11"/>
        <v>9.4036028949029031</v>
      </c>
      <c r="E76" s="119">
        <f t="shared" si="11"/>
        <v>9.6620263048961554</v>
      </c>
      <c r="F76" s="119">
        <f t="shared" si="11"/>
        <v>10.193536186614702</v>
      </c>
      <c r="G76" s="299"/>
      <c r="H76" s="299"/>
      <c r="I76" s="299"/>
      <c r="J76" s="299"/>
      <c r="K76" s="299"/>
      <c r="L76" s="299"/>
    </row>
    <row r="77" spans="1:21" ht="13.15">
      <c r="A77" s="131">
        <v>4</v>
      </c>
      <c r="B77" s="119">
        <f t="shared" si="11"/>
        <v>8.8916511416308985</v>
      </c>
      <c r="C77" s="119">
        <f t="shared" si="11"/>
        <v>9.2142118885218007</v>
      </c>
      <c r="D77" s="119">
        <f t="shared" si="11"/>
        <v>9.5459882902039759</v>
      </c>
      <c r="E77" s="119">
        <f t="shared" si="11"/>
        <v>9.88715845360686</v>
      </c>
      <c r="F77" s="119">
        <f t="shared" si="11"/>
        <v>10.598401115876994</v>
      </c>
      <c r="G77" s="299"/>
      <c r="H77" s="299"/>
      <c r="I77" s="299"/>
      <c r="J77" s="299"/>
      <c r="K77" s="299"/>
      <c r="L77" s="299"/>
    </row>
    <row r="78" spans="1:21" ht="13.15">
      <c r="A78" s="131">
        <v>5</v>
      </c>
      <c r="B78" s="119">
        <f t="shared" si="11"/>
        <v>8.733364508422401</v>
      </c>
      <c r="C78" s="119">
        <f t="shared" si="11"/>
        <v>9.1222792867298228</v>
      </c>
      <c r="D78" s="119">
        <f t="shared" si="11"/>
        <v>9.5259737226828527</v>
      </c>
      <c r="E78" s="119">
        <f t="shared" si="11"/>
        <v>9.9448766459141762</v>
      </c>
      <c r="F78" s="119">
        <f t="shared" si="11"/>
        <v>10.830064927847001</v>
      </c>
      <c r="G78" s="299"/>
      <c r="H78" s="299"/>
      <c r="I78" s="299"/>
      <c r="J78" s="299"/>
      <c r="K78" s="299"/>
      <c r="L78" s="299"/>
    </row>
    <row r="79" spans="1:21" ht="13.15">
      <c r="A79" s="131">
        <v>6</v>
      </c>
      <c r="B79" s="119">
        <f t="shared" si="11"/>
        <v>8.7250734845977647</v>
      </c>
      <c r="C79" s="119">
        <f t="shared" si="11"/>
        <v>9.1792204386169374</v>
      </c>
      <c r="D79" s="119">
        <f t="shared" si="11"/>
        <v>9.6547604736970101</v>
      </c>
      <c r="E79" s="119">
        <f t="shared" si="11"/>
        <v>10.152519678992407</v>
      </c>
      <c r="F79" s="119">
        <f t="shared" si="11"/>
        <v>11.218120706297826</v>
      </c>
      <c r="G79" s="299"/>
      <c r="H79" s="299"/>
      <c r="I79" s="299"/>
      <c r="J79" s="299"/>
      <c r="K79" s="299"/>
      <c r="L79" s="299"/>
    </row>
    <row r="80" spans="1:21" ht="13.15">
      <c r="A80" s="131">
        <f t="shared" ref="A80" si="12">A62</f>
        <v>7</v>
      </c>
      <c r="B80" s="119">
        <f t="shared" si="11"/>
        <v>8.5780473456875477</v>
      </c>
      <c r="C80" s="119">
        <f t="shared" si="11"/>
        <v>9.0893269656072917</v>
      </c>
      <c r="D80" s="119">
        <f t="shared" si="11"/>
        <v>9.6294213936972088</v>
      </c>
      <c r="E80" s="119">
        <f t="shared" si="11"/>
        <v>10.199722391505892</v>
      </c>
      <c r="F80" s="119">
        <f t="shared" si="11"/>
        <v>11.436783407979281</v>
      </c>
      <c r="G80" s="299"/>
      <c r="H80" s="299"/>
      <c r="I80" s="299"/>
      <c r="J80" s="299"/>
      <c r="K80" s="299"/>
      <c r="L80" s="299"/>
    </row>
    <row r="81" spans="1:12" ht="13.15">
      <c r="A81" s="131">
        <v>8</v>
      </c>
      <c r="B81" s="119">
        <f t="shared" si="11"/>
        <v>8.5708393658790172</v>
      </c>
      <c r="C81" s="119">
        <f t="shared" si="11"/>
        <v>9.1398249907560754</v>
      </c>
      <c r="D81" s="119">
        <f t="shared" si="11"/>
        <v>9.7459082510867141</v>
      </c>
      <c r="E81" s="119">
        <f t="shared" si="11"/>
        <v>10.391234929510089</v>
      </c>
      <c r="F81" s="119">
        <f t="shared" si="11"/>
        <v>11.808727916641622</v>
      </c>
      <c r="G81" s="299"/>
      <c r="H81" s="299"/>
      <c r="I81" s="299"/>
      <c r="J81" s="299"/>
      <c r="K81" s="299"/>
      <c r="L81" s="299"/>
    </row>
    <row r="82" spans="1:12" ht="13.15">
      <c r="A82" s="131">
        <f t="shared" ref="A82" si="13">A64</f>
        <v>9</v>
      </c>
      <c r="B82" s="119">
        <f t="shared" si="11"/>
        <v>8.4342393095861485</v>
      </c>
      <c r="C82" s="119">
        <f t="shared" si="11"/>
        <v>9.052227289766293</v>
      </c>
      <c r="D82" s="119">
        <f t="shared" si="11"/>
        <v>9.7161073917741252</v>
      </c>
      <c r="E82" s="119">
        <f t="shared" si="11"/>
        <v>10.428978063331728</v>
      </c>
      <c r="F82" s="119">
        <f t="shared" si="11"/>
        <v>12.015000257266912</v>
      </c>
      <c r="G82" s="299"/>
      <c r="H82" s="299"/>
      <c r="I82" s="299"/>
      <c r="J82" s="299"/>
      <c r="K82" s="299"/>
      <c r="L82" s="299"/>
    </row>
    <row r="83" spans="1:12" ht="13.15">
      <c r="A83" s="131">
        <f t="shared" ref="A83:A87" si="14">A65</f>
        <v>10</v>
      </c>
      <c r="B83" s="119">
        <f t="shared" si="11"/>
        <v>8.4279728973771046</v>
      </c>
      <c r="C83" s="119">
        <f t="shared" si="11"/>
        <v>9.0970112546039328</v>
      </c>
      <c r="D83" s="119">
        <f t="shared" si="11"/>
        <v>9.8214690678598142</v>
      </c>
      <c r="E83" s="119">
        <f t="shared" si="11"/>
        <v>10.605613184043877</v>
      </c>
      <c r="F83" s="119">
        <f t="shared" si="11"/>
        <v>12.371502402593427</v>
      </c>
      <c r="G83" s="299"/>
      <c r="H83" s="299"/>
      <c r="I83" s="299"/>
      <c r="J83" s="299"/>
      <c r="K83" s="299"/>
      <c r="L83" s="299"/>
    </row>
    <row r="84" spans="1:12" ht="13.15">
      <c r="A84" s="131">
        <f t="shared" si="14"/>
        <v>15</v>
      </c>
      <c r="B84" s="119">
        <f t="shared" si="11"/>
        <v>8.063156903784293</v>
      </c>
      <c r="C84" s="119">
        <f t="shared" si="11"/>
        <v>8.9246843572774672</v>
      </c>
      <c r="D84" s="119">
        <f t="shared" si="11"/>
        <v>9.8939847440645767</v>
      </c>
      <c r="E84" s="119">
        <f t="shared" si="11"/>
        <v>10.984487101300305</v>
      </c>
      <c r="F84" s="119">
        <f t="shared" si="11"/>
        <v>13.590904009754434</v>
      </c>
      <c r="G84" s="299"/>
      <c r="H84" s="299"/>
      <c r="I84" s="299"/>
      <c r="J84" s="299"/>
      <c r="K84" s="299"/>
      <c r="L84" s="299"/>
    </row>
    <row r="85" spans="1:12" ht="13.15">
      <c r="A85" s="132">
        <f t="shared" si="14"/>
        <v>20</v>
      </c>
      <c r="B85" s="119">
        <f t="shared" si="11"/>
        <v>7.8554792623882603</v>
      </c>
      <c r="C85" s="119">
        <f t="shared" si="11"/>
        <v>8.8572955584849513</v>
      </c>
      <c r="D85" s="119">
        <f t="shared" si="11"/>
        <v>10.02306943689101</v>
      </c>
      <c r="E85" s="119">
        <f t="shared" si="11"/>
        <v>11.380854977509829</v>
      </c>
      <c r="F85" s="119">
        <f t="shared" si="11"/>
        <v>14.808974764603919</v>
      </c>
      <c r="G85" s="299"/>
      <c r="H85" s="299"/>
      <c r="I85" s="299"/>
      <c r="J85" s="299"/>
      <c r="K85" s="299"/>
      <c r="L85" s="299"/>
    </row>
    <row r="86" spans="1:12" ht="13.15">
      <c r="A86" s="132">
        <f t="shared" si="14"/>
        <v>25</v>
      </c>
      <c r="B86" s="119">
        <f t="shared" si="11"/>
        <v>7.6036989836665283</v>
      </c>
      <c r="C86" s="119">
        <f t="shared" si="11"/>
        <v>8.6936086897701319</v>
      </c>
      <c r="D86" s="119">
        <f t="shared" si="11"/>
        <v>10.001039841463442</v>
      </c>
      <c r="E86" s="119">
        <f t="shared" si="11"/>
        <v>11.573205998746031</v>
      </c>
      <c r="F86" s="119">
        <f t="shared" si="11"/>
        <v>15.754332314548508</v>
      </c>
      <c r="G86" s="299"/>
      <c r="H86" s="299"/>
      <c r="I86" s="299"/>
      <c r="J86" s="299"/>
      <c r="K86" s="299"/>
      <c r="L86" s="299"/>
    </row>
    <row r="87" spans="1:12" ht="13.15">
      <c r="A87" s="132">
        <f t="shared" si="14"/>
        <v>30</v>
      </c>
      <c r="B87" s="119">
        <f t="shared" si="11"/>
        <v>7.4610881912620641</v>
      </c>
      <c r="C87" s="119">
        <f t="shared" si="11"/>
        <v>8.6169948596452102</v>
      </c>
      <c r="D87" s="119">
        <f t="shared" si="11"/>
        <v>10.040435768540256</v>
      </c>
      <c r="E87" s="119">
        <f t="shared" si="11"/>
        <v>11.801296446615622</v>
      </c>
      <c r="F87" s="119">
        <f t="shared" si="11"/>
        <v>16.71372050250438</v>
      </c>
      <c r="G87" s="299"/>
      <c r="H87" s="299"/>
      <c r="I87" s="299"/>
      <c r="J87" s="299"/>
      <c r="K87" s="299"/>
      <c r="L87" s="299"/>
    </row>
    <row r="89" spans="1:12" ht="13.15">
      <c r="B89" s="153" t="s">
        <v>101</v>
      </c>
      <c r="C89" s="153" t="s">
        <v>110</v>
      </c>
      <c r="D89" s="153" t="s">
        <v>99</v>
      </c>
      <c r="E89" s="154" t="s">
        <v>100</v>
      </c>
      <c r="F89" s="154" t="s">
        <v>457</v>
      </c>
      <c r="G89" s="326"/>
      <c r="H89" s="326"/>
      <c r="I89" s="326"/>
      <c r="J89" s="326"/>
      <c r="K89" s="326"/>
      <c r="L89" s="326"/>
    </row>
    <row r="90" spans="1:12">
      <c r="B90" s="120" t="str">
        <f>Scenarios!B29</f>
        <v>Snowball Scenario</v>
      </c>
      <c r="C90" s="130">
        <f>Scenarios!C29</f>
        <v>0.05</v>
      </c>
      <c r="D90" s="133">
        <f>Scenarios!D29</f>
        <v>15</v>
      </c>
      <c r="E90" s="127">
        <f>INDEX(B$73:F$87, MATCH(D90, A$73:A$87, 0), MATCH(C90, B$72:F$72, 0))</f>
        <v>13.590904009754434</v>
      </c>
      <c r="F90" s="130">
        <f>Scenarios!F29</f>
        <v>0.15</v>
      </c>
      <c r="G90" s="300"/>
      <c r="H90" s="300"/>
      <c r="I90" s="300"/>
      <c r="J90" s="300"/>
      <c r="K90" s="300"/>
      <c r="L90" s="300"/>
    </row>
    <row r="91" spans="1:12">
      <c r="B91" s="120" t="str">
        <f>Scenarios!B22</f>
        <v>Optimistic</v>
      </c>
      <c r="C91" s="130">
        <f>Scenarios!C22</f>
        <v>0.03</v>
      </c>
      <c r="D91" s="133">
        <f>Scenarios!D22</f>
        <v>15</v>
      </c>
      <c r="E91" s="127">
        <f>INDEX(B$73:F$87, MATCH(D91, A$73:A$87, 0), MATCH(C91, B$72:F$72, 0))</f>
        <v>10.984487101300305</v>
      </c>
      <c r="F91" s="130">
        <f>Scenarios!F22*(1-F$90-F$94)</f>
        <v>0.15999999999999995</v>
      </c>
      <c r="G91" s="300"/>
      <c r="H91" s="300"/>
      <c r="I91" s="300"/>
      <c r="J91" s="300"/>
      <c r="K91" s="300"/>
      <c r="L91" s="300"/>
    </row>
    <row r="92" spans="1:12">
      <c r="B92" s="120" t="str">
        <f>Scenarios!B23</f>
        <v>Base</v>
      </c>
      <c r="C92" s="130">
        <f>Scenarios!C23</f>
        <v>0.02</v>
      </c>
      <c r="D92" s="133">
        <f>Scenarios!D23</f>
        <v>15</v>
      </c>
      <c r="E92" s="127">
        <f>INDEX(B$73:F$87, MATCH(D92, A$73:A$87, 0), MATCH(C92, B$72:F$72, 0))</f>
        <v>9.8939847440645767</v>
      </c>
      <c r="F92" s="130">
        <f>Scenarios!F23*(1-F$90-F$94)</f>
        <v>0.44</v>
      </c>
      <c r="G92" s="300"/>
      <c r="H92" s="300"/>
      <c r="I92" s="300"/>
      <c r="J92" s="300"/>
      <c r="K92" s="300"/>
      <c r="L92" s="300"/>
    </row>
    <row r="93" spans="1:12">
      <c r="B93" s="120" t="str">
        <f>Scenarios!B24</f>
        <v>Pessimistic</v>
      </c>
      <c r="C93" s="130">
        <f>Scenarios!C24</f>
        <v>0.01</v>
      </c>
      <c r="D93" s="133">
        <f>Scenarios!D24</f>
        <v>15</v>
      </c>
      <c r="E93" s="127">
        <f>INDEX(B$73:F$87, MATCH(D93, A$73:A$87, 0), MATCH(C93, B$72:F$72, 0))</f>
        <v>8.9246843572774672</v>
      </c>
      <c r="F93" s="130">
        <f>Scenarios!F24*(1-F$90-F$94)</f>
        <v>0.19999999999999998</v>
      </c>
      <c r="G93" s="300"/>
      <c r="H93" s="300"/>
      <c r="I93" s="300"/>
      <c r="J93" s="300"/>
      <c r="K93" s="300"/>
      <c r="L93" s="300"/>
    </row>
    <row r="94" spans="1:12">
      <c r="B94" s="120" t="str">
        <f>Scenarios!B30</f>
        <v>Devil's advocate</v>
      </c>
      <c r="C94" s="130">
        <f>Scenarios!C30</f>
        <v>0</v>
      </c>
      <c r="D94" s="133">
        <f>Scenarios!D30</f>
        <v>15</v>
      </c>
      <c r="E94" s="127">
        <f>INDEX(B$73:F$87, MATCH(D94, A$73:A$87, 0), MATCH(C94, B$72:F$72, 0))</f>
        <v>8.063156903784293</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HKD</v>
      </c>
      <c r="D6" s="470"/>
      <c r="E6" s="470"/>
      <c r="F6" s="470"/>
      <c r="G6" s="470"/>
    </row>
    <row r="7" spans="2:7" ht="12.75" customHeight="1">
      <c r="B7" s="97" t="s">
        <v>232</v>
      </c>
      <c r="C7" s="450">
        <f>Normalized_FCF!G8</f>
        <v>622412</v>
      </c>
      <c r="D7" s="470"/>
      <c r="E7" s="470"/>
      <c r="F7" s="470"/>
      <c r="G7" s="470"/>
    </row>
    <row r="8" spans="2:7">
      <c r="B8" s="97" t="s">
        <v>63</v>
      </c>
      <c r="C8" s="450">
        <f>Normalized_FCF!G19</f>
        <v>506980</v>
      </c>
      <c r="D8" s="470"/>
      <c r="E8" s="470"/>
      <c r="F8" s="470"/>
      <c r="G8" s="470"/>
    </row>
    <row r="9" spans="2:7">
      <c r="B9" s="97" t="s">
        <v>54</v>
      </c>
      <c r="C9" s="450">
        <f>Normalized_FCF!C19</f>
        <v>479042.59967047302</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-5.2954162529068594E-3</v>
      </c>
      <c r="D12" s="470"/>
      <c r="E12" s="470"/>
      <c r="F12" s="470"/>
      <c r="G12" s="470"/>
    </row>
    <row r="13" spans="2:7">
      <c r="B13" s="135" t="s">
        <v>127</v>
      </c>
      <c r="C13" s="251">
        <f ca="1">(Normalized_FCF!G8/OFFSET(Normalized_FCF!G8, 0, $C$4))^(1/$C$4) - 1</f>
        <v>0.40480613772926821</v>
      </c>
      <c r="D13" s="470"/>
      <c r="E13" s="470"/>
      <c r="F13" s="470"/>
      <c r="G13" s="470"/>
    </row>
    <row r="14" spans="2:7">
      <c r="B14" s="97" t="s">
        <v>63</v>
      </c>
      <c r="C14" s="251">
        <f ca="1">(Normalized_FCF!G19/OFFSET(Normalized_FCF!G19, 0, $C$4))^(1/$C$4) - 1</f>
        <v>0.40972995530096346</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15</v>
      </c>
      <c r="E18" s="453" t="s">
        <v>544</v>
      </c>
      <c r="F18" s="322"/>
    </row>
    <row r="19" spans="2:7">
      <c r="E19" s="322"/>
      <c r="F19" s="322"/>
    </row>
    <row r="20" spans="2:7" ht="13.15">
      <c r="B20" s="106" t="s">
        <v>450</v>
      </c>
      <c r="E20" s="322"/>
      <c r="F20" s="322"/>
    </row>
    <row r="21" spans="2:7" ht="13.15">
      <c r="B21" s="153" t="s">
        <v>436</v>
      </c>
      <c r="C21" s="153" t="s">
        <v>379</v>
      </c>
      <c r="D21" s="153" t="s">
        <v>448</v>
      </c>
      <c r="E21" s="154" t="str">
        <f>"Value per share ("&amp;Market_currency&amp;")"</f>
        <v>Value per share (HKD)</v>
      </c>
      <c r="F21" s="154" t="s">
        <v>449</v>
      </c>
      <c r="G21" s="154" t="s">
        <v>457</v>
      </c>
    </row>
    <row r="22" spans="2:7">
      <c r="B22" s="305" t="s">
        <v>445</v>
      </c>
      <c r="C22" s="327">
        <v>0.03</v>
      </c>
      <c r="D22" s="328">
        <f>C18</f>
        <v>15</v>
      </c>
      <c r="E22" s="329">
        <f>DCF!E91</f>
        <v>10.984487101300305</v>
      </c>
      <c r="F22" s="331">
        <f>1-F23-F24</f>
        <v>0.19999999999999996</v>
      </c>
      <c r="G22" s="331">
        <f>F22*(1-F$29-F$30)</f>
        <v>0.15999999999999995</v>
      </c>
    </row>
    <row r="23" spans="2:7">
      <c r="B23" s="305" t="s">
        <v>437</v>
      </c>
      <c r="C23" s="327">
        <v>0.02</v>
      </c>
      <c r="D23" s="328">
        <f>C18</f>
        <v>15</v>
      </c>
      <c r="E23" s="329">
        <f>DCF!E92</f>
        <v>9.8939847440645767</v>
      </c>
      <c r="F23" s="330">
        <v>0.55000000000000004</v>
      </c>
      <c r="G23" s="331">
        <f t="shared" ref="G23:G24" si="0">F23*(1-F$29-F$30)</f>
        <v>0.44</v>
      </c>
    </row>
    <row r="24" spans="2:7">
      <c r="B24" s="305" t="s">
        <v>446</v>
      </c>
      <c r="C24" s="327">
        <v>0.01</v>
      </c>
      <c r="D24" s="328">
        <f>C18</f>
        <v>15</v>
      </c>
      <c r="E24" s="329">
        <f>DCF!E93</f>
        <v>8.9246843572774672</v>
      </c>
      <c r="F24" s="330">
        <v>0.25</v>
      </c>
      <c r="G24" s="331">
        <f t="shared" si="0"/>
        <v>0.19999999999999998</v>
      </c>
    </row>
    <row r="25" spans="2:7">
      <c r="B25" s="141" t="s">
        <v>451</v>
      </c>
      <c r="C25" s="444">
        <f>E23*F23+E24*F24+E22*F22</f>
        <v>9.8697601188149449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5" t="s">
        <v>444</v>
      </c>
      <c r="C29" s="327">
        <v>0.05</v>
      </c>
      <c r="D29" s="328">
        <f>C18</f>
        <v>15</v>
      </c>
      <c r="E29" s="329">
        <f>DCF!E90</f>
        <v>13.590904009754434</v>
      </c>
      <c r="F29" s="330">
        <v>0.15</v>
      </c>
      <c r="G29" s="331">
        <f>F29</f>
        <v>0.15</v>
      </c>
    </row>
    <row r="30" spans="2:7">
      <c r="B30" s="318" t="s">
        <v>447</v>
      </c>
      <c r="C30" s="327">
        <v>0</v>
      </c>
      <c r="D30" s="328">
        <f>C18</f>
        <v>15</v>
      </c>
      <c r="E30" s="329">
        <f>DCF!E94</f>
        <v>8.063156903784293</v>
      </c>
      <c r="F30" s="330">
        <v>0.05</v>
      </c>
      <c r="G30" s="331">
        <f>F30</f>
        <v>0.05</v>
      </c>
    </row>
    <row r="31" spans="2:7">
      <c r="E31" s="332"/>
      <c r="F31" s="332"/>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6.53</v>
      </c>
      <c r="D34" t="str">
        <f>Market_currency</f>
        <v>HKD</v>
      </c>
      <c r="E34" s="97" t="s">
        <v>454</v>
      </c>
      <c r="F34" s="333">
        <f>RATE(Holding_Period,$C$33,-C34,$C$36)</f>
        <v>0.18430807784929162</v>
      </c>
    </row>
    <row r="35" spans="2:7">
      <c r="B35" s="97" t="s">
        <v>434</v>
      </c>
      <c r="C35" s="323">
        <f>DCF!C11</f>
        <v>9.1371192679866926</v>
      </c>
      <c r="D35" s="97" t="str">
        <f>Market_currency</f>
        <v>HKD</v>
      </c>
      <c r="E35" s="97" t="s">
        <v>454</v>
      </c>
      <c r="F35" s="333">
        <f>RATE(Holding_Period,$C$33,-C35,$C$36)</f>
        <v>5.6934615171245644E-2</v>
      </c>
    </row>
    <row r="36" spans="2:7">
      <c r="B36" s="97" t="s">
        <v>435</v>
      </c>
      <c r="C36" s="324">
        <f>E22*G22+E23*G23+E24*G24+E30*G30+E29*G29</f>
        <v>10.337601541704334</v>
      </c>
      <c r="D36" t="str">
        <f>Market_currency</f>
        <v>HKD</v>
      </c>
      <c r="E36" s="97" t="s">
        <v>460</v>
      </c>
      <c r="F36" s="334" t="s">
        <v>459</v>
      </c>
    </row>
    <row r="38" spans="2:7" ht="13.9">
      <c r="B38" s="34" t="s">
        <v>411</v>
      </c>
      <c r="C38" s="35"/>
      <c r="D38" s="35"/>
      <c r="E38" s="35"/>
      <c r="F38" s="35"/>
      <c r="G38" s="35"/>
    </row>
    <row r="39" spans="2:7" ht="13.15">
      <c r="B39" s="417" t="str">
        <f>IF(DCF!F14="II","2","1")&amp;"-stage DCF"</f>
        <v>2-stage DCF</v>
      </c>
      <c r="E39" s="222" t="s">
        <v>251</v>
      </c>
    </row>
    <row r="40" spans="2:7">
      <c r="B40" t="s">
        <v>553</v>
      </c>
      <c r="C40" s="126">
        <f>Normalized_FCF!C116</f>
        <v>0.14083691822897304</v>
      </c>
      <c r="E40" s="97" t="s">
        <v>401</v>
      </c>
    </row>
    <row r="41" spans="2:7">
      <c r="B41" s="97" t="s">
        <v>400</v>
      </c>
      <c r="C41" s="458">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10.299331762385481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1">
        <f>BS!D89/C36</f>
        <v>2.1110964052823662E-2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6"/>
    </row>
    <row r="61" spans="2:7" ht="13.15">
      <c r="B61" s="153" t="s">
        <v>462</v>
      </c>
      <c r="C61" s="153" t="s">
        <v>103</v>
      </c>
      <c r="D61" s="153" t="s">
        <v>104</v>
      </c>
      <c r="E61" s="154" t="str">
        <f>"Buy below ("&amp;Market_currency&amp;")"</f>
        <v>Buy below (HKD)</v>
      </c>
      <c r="F61" s="154" t="s">
        <v>454</v>
      </c>
      <c r="G61" s="154" t="s">
        <v>461</v>
      </c>
    </row>
    <row r="62" spans="2:7" ht="13.15">
      <c r="B62" s="305" t="s">
        <v>312</v>
      </c>
      <c r="C62" s="119">
        <f>PV(F62, Holding_Period, -C58, 0)</f>
        <v>0.25983892380763701</v>
      </c>
      <c r="D62" s="119">
        <f>C36/(1+F62)^Holding_Period</f>
        <v>4.7638716782047634</v>
      </c>
      <c r="E62" s="335">
        <f>C62+D62</f>
        <v>5.0237106020124003</v>
      </c>
      <c r="F62" s="304">
        <f>Thesis!E22</f>
        <v>0.29465259038036601</v>
      </c>
      <c r="G62" s="443">
        <f>(1-E62/C36)</f>
        <v>0.51403518681334726</v>
      </c>
    </row>
    <row r="63" spans="2:7" ht="13.15">
      <c r="B63" s="305" t="s">
        <v>313</v>
      </c>
      <c r="C63" s="119">
        <f>PV(F63, Holding_Period, -C58, 0)</f>
        <v>0.29876856051220924</v>
      </c>
      <c r="D63" s="119">
        <f>C36/(1+F63)^Holding_Period</f>
        <v>5.9711777858220003</v>
      </c>
      <c r="E63" s="335">
        <f>C63+D63</f>
        <v>6.2699463463342093</v>
      </c>
      <c r="F63" s="304">
        <f>Thesis!E23</f>
        <v>0.20075184365903001</v>
      </c>
      <c r="G63" s="443">
        <f>(1-E63/C36)</f>
        <v>0.39348152266850678</v>
      </c>
    </row>
    <row r="65" spans="2:7" ht="13.15">
      <c r="B65" s="153" t="s">
        <v>463</v>
      </c>
      <c r="C65" s="153" t="s">
        <v>103</v>
      </c>
      <c r="D65" s="153" t="s">
        <v>104</v>
      </c>
      <c r="E65" s="154" t="str">
        <f>"Sell above ("&amp;Market_currency&amp;")"</f>
        <v>Sell above (HKD)</v>
      </c>
      <c r="F65" s="154" t="s">
        <v>454</v>
      </c>
      <c r="G65" s="154" t="s">
        <v>461</v>
      </c>
    </row>
    <row r="66" spans="2:7" ht="13.15">
      <c r="B66" s="305" t="s">
        <v>315</v>
      </c>
      <c r="C66" s="119">
        <f>PV(F66, Holding_Period, -C58, 0)</f>
        <v>0.34258964388328816</v>
      </c>
      <c r="D66" s="119">
        <f>C36/(1+F66)^Holding_Period</f>
        <v>7.4095833438624279</v>
      </c>
      <c r="E66" s="335">
        <f>C66+D66</f>
        <v>7.7521729877457162</v>
      </c>
      <c r="F66" s="304">
        <f>Thesis!E24</f>
        <v>0.1174</v>
      </c>
      <c r="G66" s="443">
        <f>(1-E66/C36)</f>
        <v>0.25009945909874609</v>
      </c>
    </row>
    <row r="67" spans="2:7" ht="13.15">
      <c r="B67" s="305" t="s">
        <v>314</v>
      </c>
      <c r="C67" s="119">
        <f>PV(F67, Holding_Period, -C58, 0)</f>
        <v>0.37095728225856828</v>
      </c>
      <c r="D67" s="119">
        <f>C36/(1+F67)^Holding_Period</f>
        <v>8.3796887139491201</v>
      </c>
      <c r="E67" s="335">
        <f>C67+D67</f>
        <v>8.7506459962076875</v>
      </c>
      <c r="F67" s="304">
        <f>Thesis!E25</f>
        <v>7.2499999999999995E-2</v>
      </c>
      <c r="G67" s="443">
        <f>(1-E67/C36)</f>
        <v>0.15351293422313594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542</v>
      </c>
      <c r="F3" s="439">
        <f>Thesis!F3</f>
        <v>46038</v>
      </c>
    </row>
    <row r="4" spans="1:10">
      <c r="B4" s="425" t="s">
        <v>534</v>
      </c>
      <c r="C4" s="426" t="str">
        <f>Thesis!C4</f>
        <v>维他奶</v>
      </c>
      <c r="D4" s="352"/>
      <c r="E4" s="437" t="s">
        <v>540</v>
      </c>
      <c r="F4" s="440" t="str">
        <f>Thesis!F4</f>
        <v>INT</v>
      </c>
    </row>
    <row r="5" spans="1:10">
      <c r="B5" s="346" t="s">
        <v>364</v>
      </c>
      <c r="C5" s="358" t="str">
        <f>Thesis!C5</f>
        <v>0345.HK</v>
      </c>
      <c r="E5" s="441" t="s">
        <v>541</v>
      </c>
      <c r="F5" s="442" t="str">
        <f>Thesis!F5</f>
        <v>Y</v>
      </c>
    </row>
    <row r="6" spans="1:10">
      <c r="B6" s="353" t="s">
        <v>336</v>
      </c>
      <c r="C6" s="355" t="str">
        <f>Thesis!C6</f>
        <v>CNS_01</v>
      </c>
      <c r="E6" s="357"/>
    </row>
    <row r="7" spans="1:10">
      <c r="B7" s="346" t="s">
        <v>366</v>
      </c>
      <c r="C7" s="355" t="str">
        <f>Market_currency</f>
        <v>HKD</v>
      </c>
      <c r="D7" s="357"/>
      <c r="E7" s="357"/>
    </row>
    <row r="8" spans="1:10">
      <c r="B8" s="354" t="s">
        <v>365</v>
      </c>
      <c r="C8" s="359">
        <f>Market_Price</f>
        <v>6.53</v>
      </c>
    </row>
    <row r="9" spans="1:10">
      <c r="B9" s="354" t="s">
        <v>361</v>
      </c>
      <c r="C9" s="356">
        <f>Common_Shares</f>
        <v>1043529089</v>
      </c>
    </row>
    <row r="10" spans="1:10">
      <c r="B10" s="354" t="s">
        <v>367</v>
      </c>
      <c r="C10" s="360">
        <f>投资主题!C8*Common_Shares/1000000</f>
        <v>6814.2449511699997</v>
      </c>
      <c r="D10" s="346" t="s">
        <v>529</v>
      </c>
      <c r="E10" s="363">
        <f>Scenarios!F34</f>
        <v>0.18430807784929162</v>
      </c>
    </row>
    <row r="11" spans="1:10">
      <c r="D11" s="352"/>
      <c r="E11" s="352"/>
    </row>
    <row r="12" spans="1:10" ht="24.5" customHeight="1">
      <c r="B12" s="475" t="s">
        <v>498</v>
      </c>
      <c r="C12" s="475"/>
      <c r="D12" s="475"/>
      <c r="E12" s="475"/>
      <c r="F12" s="475"/>
    </row>
    <row r="14" spans="1:10">
      <c r="B14" s="350" t="s">
        <v>370</v>
      </c>
      <c r="C14" s="351"/>
      <c r="D14" s="352"/>
    </row>
    <row r="15" spans="1:10">
      <c r="B15" s="346" t="s">
        <v>337</v>
      </c>
      <c r="C15" s="361" t="str">
        <f>Thesis!C15</f>
        <v>N</v>
      </c>
      <c r="D15" s="354" t="s">
        <v>368</v>
      </c>
      <c r="E15" s="347" t="str">
        <f>IF(E17=C7,C7,E17&amp;"/"&amp;C7)</f>
        <v>HKD</v>
      </c>
    </row>
    <row r="16" spans="1:10">
      <c r="B16" s="346" t="s">
        <v>338</v>
      </c>
      <c r="C16" s="361" t="str">
        <f>Thesis!C16</f>
        <v>N</v>
      </c>
      <c r="D16" s="354" t="s">
        <v>369</v>
      </c>
      <c r="E16" s="428">
        <f>Exchange_Rate</f>
        <v>1</v>
      </c>
    </row>
    <row r="17" spans="1:6">
      <c r="B17" s="346" t="s">
        <v>535</v>
      </c>
      <c r="C17" s="427">
        <f>Terminal_Growth</f>
        <v>0.02</v>
      </c>
      <c r="D17" s="354" t="s">
        <v>339</v>
      </c>
      <c r="E17" s="347" t="str">
        <f>Reporting_currency</f>
        <v>HKD</v>
      </c>
    </row>
    <row r="18" spans="1:6">
      <c r="B18" s="346" t="str">
        <f>"预期股权价值 ("&amp;C7&amp;") :"</f>
        <v>预期股权价值 (HKD) :</v>
      </c>
      <c r="C18" s="362">
        <f>C125</f>
        <v>10.337601541704334</v>
      </c>
      <c r="D18" s="353" t="s">
        <v>362</v>
      </c>
      <c r="E18" s="429">
        <f>Thesis!E18</f>
        <v>6</v>
      </c>
    </row>
    <row r="19" spans="1:6">
      <c r="B19" s="353" t="s">
        <v>335</v>
      </c>
      <c r="C19" s="355" t="str">
        <f>IF(Scenarios!C50="Y",Scenarios!B50,"")&amp;IF(Scenarios!C51="Y",Scenarios!B51,"")&amp;IF(Scenarios!C52="Y",Scenarios!B52,"")&amp;" "&amp;IF(Scenarios!C53="Y",Scenarios!B53,"")</f>
        <v xml:space="preserve">Low Growth </v>
      </c>
      <c r="D19" s="346" t="s">
        <v>363</v>
      </c>
      <c r="E19" s="430">
        <f>EOMONTH(EDATE(BS!C1,E18+2),0)</f>
        <v>46081</v>
      </c>
    </row>
    <row r="20" spans="1:6">
      <c r="D20" s="352"/>
      <c r="E20" s="352"/>
    </row>
    <row r="21" spans="1:6">
      <c r="B21" s="350" t="s">
        <v>493</v>
      </c>
      <c r="C21" s="364" t="str">
        <f>C138&amp;" ("&amp;Market_currency&amp;")"</f>
        <v xml:space="preserve"> (HKD)</v>
      </c>
      <c r="D21" s="365" t="s">
        <v>344</v>
      </c>
      <c r="E21" s="366">
        <f>Holding_Period</f>
        <v>3</v>
      </c>
    </row>
    <row r="22" spans="1:6">
      <c r="B22" s="346" t="s">
        <v>340</v>
      </c>
      <c r="C22" s="367">
        <f>E140</f>
        <v>5.0237106020124003</v>
      </c>
      <c r="D22" s="368" t="s">
        <v>440</v>
      </c>
      <c r="E22" s="369">
        <f>Thesis!E22</f>
        <v>0.29465259038036601</v>
      </c>
    </row>
    <row r="23" spans="1:6">
      <c r="B23" s="346" t="s">
        <v>341</v>
      </c>
      <c r="C23" s="370">
        <f>E141</f>
        <v>6.2699463463342093</v>
      </c>
      <c r="D23" s="368" t="s">
        <v>441</v>
      </c>
      <c r="E23" s="371">
        <f>Thesis!E23</f>
        <v>0.20075184365903001</v>
      </c>
    </row>
    <row r="24" spans="1:6">
      <c r="B24" s="346" t="s">
        <v>343</v>
      </c>
      <c r="C24" s="370">
        <f>E144</f>
        <v>7.7521729877457162</v>
      </c>
      <c r="D24" s="368" t="s">
        <v>443</v>
      </c>
      <c r="E24" s="371">
        <f>Thesis!E24</f>
        <v>0.1174</v>
      </c>
    </row>
    <row r="25" spans="1:6">
      <c r="B25" s="346" t="s">
        <v>342</v>
      </c>
      <c r="C25" s="370">
        <f>E145</f>
        <v>8.7506459962076875</v>
      </c>
      <c r="D25" s="368" t="s">
        <v>442</v>
      </c>
      <c r="E25" s="371">
        <f>Thesis!E25</f>
        <v>7.2499999999999995E-2</v>
      </c>
    </row>
    <row r="27" spans="1:6" ht="13.9">
      <c r="A27" s="348" t="s">
        <v>345</v>
      </c>
      <c r="B27" s="348"/>
      <c r="C27" s="348"/>
      <c r="D27" s="348"/>
      <c r="E27" s="348"/>
      <c r="F27" s="348"/>
    </row>
    <row r="29" spans="1:6">
      <c r="B29" s="475" t="s">
        <v>499</v>
      </c>
      <c r="C29" s="475"/>
      <c r="D29" s="475"/>
      <c r="E29" s="475"/>
      <c r="F29" s="475"/>
    </row>
    <row r="30" spans="1:6" ht="24.5" customHeight="1">
      <c r="B30" s="478" t="s">
        <v>500</v>
      </c>
      <c r="C30" s="478"/>
      <c r="D30" s="478"/>
      <c r="E30" s="478"/>
      <c r="F30" s="478"/>
    </row>
    <row r="32" spans="1:6">
      <c r="B32" s="372" t="s">
        <v>371</v>
      </c>
      <c r="C32" s="373">
        <f>scaling_factor</f>
        <v>1000</v>
      </c>
    </row>
    <row r="33" spans="2:6">
      <c r="B33" s="471" t="s">
        <v>501</v>
      </c>
      <c r="C33" s="471"/>
      <c r="D33" s="471"/>
      <c r="E33" s="471"/>
      <c r="F33" s="471"/>
    </row>
    <row r="34" spans="2:6">
      <c r="B34" s="375" t="s">
        <v>197</v>
      </c>
      <c r="C34" s="376">
        <f>Normalized_FCF!C8</f>
        <v>685770.70000000019</v>
      </c>
      <c r="D34" s="346" t="str">
        <f>Reporting_currency</f>
        <v>HKD</v>
      </c>
    </row>
    <row r="35" spans="2:6">
      <c r="B35" s="375"/>
      <c r="C35" s="377"/>
    </row>
    <row r="36" spans="2:6" ht="24.5" customHeight="1">
      <c r="B36" s="471" t="s">
        <v>502</v>
      </c>
      <c r="C36" s="471"/>
      <c r="D36" s="471"/>
      <c r="E36" s="471"/>
      <c r="F36" s="471"/>
    </row>
    <row r="37" spans="2:6">
      <c r="B37" s="375" t="s">
        <v>199</v>
      </c>
      <c r="C37" s="376">
        <f>Normalized_FCF!C15</f>
        <v>0</v>
      </c>
      <c r="D37" s="346" t="str">
        <f>Reporting_currency</f>
        <v>HKD</v>
      </c>
    </row>
    <row r="38" spans="2:6">
      <c r="B38" s="378" t="s">
        <v>200</v>
      </c>
      <c r="C38" s="376">
        <f>Normalized_FCF!C16</f>
        <v>0</v>
      </c>
      <c r="D38" s="346" t="str">
        <f>Reporting_currency</f>
        <v>HKD</v>
      </c>
    </row>
    <row r="40" spans="2:6">
      <c r="B40" s="471" t="s">
        <v>503</v>
      </c>
      <c r="C40" s="471"/>
      <c r="D40" s="471"/>
      <c r="E40" s="471"/>
      <c r="F40" s="471"/>
    </row>
    <row r="41" spans="2:6">
      <c r="B41" s="375" t="s">
        <v>202</v>
      </c>
      <c r="C41" s="376">
        <f>Normalized_FCF!C9</f>
        <v>0</v>
      </c>
      <c r="D41" s="346" t="str">
        <f>Reporting_currency</f>
        <v>HKD</v>
      </c>
    </row>
    <row r="43" spans="2:6">
      <c r="B43" s="471" t="s">
        <v>504</v>
      </c>
      <c r="C43" s="471"/>
      <c r="D43" s="471"/>
      <c r="E43" s="471"/>
      <c r="F43" s="471"/>
    </row>
    <row r="44" spans="2:6">
      <c r="B44" s="375" t="s">
        <v>267</v>
      </c>
      <c r="C44" s="379">
        <f>Normalized_FCF!C46</f>
        <v>2867.9977153189998</v>
      </c>
      <c r="D44" s="346" t="str">
        <f>Reporting_currency</f>
        <v>HKD</v>
      </c>
      <c r="E44" s="374"/>
      <c r="F44" s="374"/>
    </row>
    <row r="45" spans="2:6">
      <c r="B45" s="375" t="s">
        <v>268</v>
      </c>
      <c r="C45" s="379">
        <f>Normalized_FCF!C45</f>
        <v>-33813.479999999996</v>
      </c>
      <c r="D45" s="346" t="str">
        <f>Reporting_currency</f>
        <v>HKD</v>
      </c>
      <c r="E45" s="374"/>
      <c r="F45" s="374"/>
    </row>
    <row r="46" spans="2:6">
      <c r="B46" s="375" t="s">
        <v>203</v>
      </c>
      <c r="C46" s="376">
        <f>Normalized_FCF!C10</f>
        <v>-30945.482284680995</v>
      </c>
      <c r="D46" s="346" t="str">
        <f>Reporting_currency</f>
        <v>HKD</v>
      </c>
    </row>
    <row r="48" spans="2:6">
      <c r="B48" s="346" t="s">
        <v>505</v>
      </c>
    </row>
    <row r="49" spans="2:6">
      <c r="B49" s="375" t="s">
        <v>223</v>
      </c>
      <c r="C49" s="376">
        <f>Normalized_FCF!C13</f>
        <v>-34340.371018337282</v>
      </c>
      <c r="D49" s="346" t="str">
        <f>Reporting_currency</f>
        <v>HKD</v>
      </c>
    </row>
    <row r="51" spans="2:6">
      <c r="B51" s="471" t="s">
        <v>506</v>
      </c>
      <c r="C51" s="471"/>
      <c r="D51" s="471"/>
      <c r="E51" s="471"/>
      <c r="F51" s="471"/>
    </row>
    <row r="52" spans="2:6">
      <c r="B52" s="375" t="s">
        <v>496</v>
      </c>
      <c r="C52" s="376">
        <f>Normalized_FCF!C12</f>
        <v>-141442.24702650897</v>
      </c>
      <c r="D52" s="346" t="str">
        <f>Reporting_currency</f>
        <v>HKD</v>
      </c>
    </row>
    <row r="54" spans="2:6">
      <c r="B54" s="471" t="s">
        <v>507</v>
      </c>
      <c r="C54" s="477"/>
      <c r="D54" s="477"/>
      <c r="E54" s="477"/>
      <c r="F54" s="477"/>
    </row>
    <row r="55" spans="2:6">
      <c r="B55" s="375" t="s">
        <v>207</v>
      </c>
      <c r="C55" s="376">
        <f>Normalized_FCF!C17</f>
        <v>0</v>
      </c>
      <c r="D55" s="346" t="str">
        <f>Reporting_currency</f>
        <v>HKD</v>
      </c>
    </row>
    <row r="57" spans="2:6">
      <c r="B57" s="475" t="s">
        <v>508</v>
      </c>
      <c r="C57" s="475"/>
      <c r="D57" s="475"/>
      <c r="E57" s="475"/>
      <c r="F57" s="475"/>
    </row>
    <row r="58" spans="2:6">
      <c r="B58" s="475" t="s">
        <v>509</v>
      </c>
      <c r="C58" s="475"/>
      <c r="D58" s="475"/>
      <c r="E58" s="475"/>
      <c r="F58" s="475"/>
    </row>
    <row r="60" spans="2:6">
      <c r="B60" s="375" t="s">
        <v>372</v>
      </c>
      <c r="C60" s="376">
        <f>Normalized_FCF!G19</f>
        <v>506980</v>
      </c>
      <c r="D60" s="346" t="str">
        <f>Reporting_currency</f>
        <v>HKD</v>
      </c>
    </row>
    <row r="61" spans="2:6">
      <c r="B61" s="375" t="s">
        <v>213</v>
      </c>
      <c r="C61" s="376">
        <f>Normalized_FCF!C19</f>
        <v>479042.59967047302</v>
      </c>
      <c r="D61" s="346" t="str">
        <f>Reporting_currency</f>
        <v>HKD</v>
      </c>
    </row>
    <row r="62" spans="2:6">
      <c r="B62" s="380" t="s">
        <v>302</v>
      </c>
      <c r="C62" s="381">
        <f>Normalized_FCF!C124</f>
        <v>7.0300173108426608E-2</v>
      </c>
      <c r="F62" s="382"/>
    </row>
    <row r="63" spans="2:6">
      <c r="B63" s="380" t="s">
        <v>332</v>
      </c>
      <c r="C63" s="381">
        <f>Normalized_FCF!C92</f>
        <v>2.1745788667687591E-2</v>
      </c>
      <c r="E63" s="375" t="s">
        <v>373</v>
      </c>
      <c r="F63" s="383">
        <f>Normalized_FCF!C90</f>
        <v>0.3093276688543603</v>
      </c>
    </row>
    <row r="65" spans="1:6">
      <c r="B65" s="372" t="s">
        <v>376</v>
      </c>
      <c r="C65" s="384" t="s">
        <v>327</v>
      </c>
      <c r="D65" s="384" t="s">
        <v>374</v>
      </c>
    </row>
    <row r="66" spans="1:6">
      <c r="B66" s="375" t="s">
        <v>326</v>
      </c>
      <c r="C66" s="381">
        <f>Normalized_FCF!C119</f>
        <v>0.3</v>
      </c>
      <c r="D66" s="381">
        <f>Normalized_FCF!G119</f>
        <v>0.18518613957341221</v>
      </c>
    </row>
    <row r="67" spans="1:6">
      <c r="B67" s="385" t="str">
        <f>Normalized_FCF!B116</f>
        <v>Pre-tax Profit/Sales</v>
      </c>
      <c r="C67" s="386">
        <f>Normalized_FCF!C116</f>
        <v>0.14083691822897304</v>
      </c>
      <c r="D67" s="386">
        <f>Normalized_FCF!G116</f>
        <v>9.3932894828076763E-2</v>
      </c>
    </row>
    <row r="68" spans="1:6">
      <c r="B68" s="385" t="str">
        <f>Normalized_FCF!B117</f>
        <v>Sales/Total Assets</v>
      </c>
      <c r="C68" s="387">
        <f>Normalized_FCF!C117</f>
        <v>1.2</v>
      </c>
      <c r="D68" s="387">
        <f>Normalized_FCF!G117</f>
        <v>1.1106245684847842</v>
      </c>
    </row>
    <row r="69" spans="1:6">
      <c r="B69" s="385" t="str">
        <f>Normalized_FCF!B118</f>
        <v>Total Assets/Equity</v>
      </c>
      <c r="C69" s="387">
        <f>Normalized_FCF!C118</f>
        <v>1.775102743966247</v>
      </c>
      <c r="D69" s="387">
        <f>Normalized_FCF!G118</f>
        <v>1.775102743966247</v>
      </c>
    </row>
    <row r="71" spans="1:6" ht="13.9">
      <c r="A71" s="348" t="s">
        <v>476</v>
      </c>
      <c r="B71" s="348"/>
      <c r="C71" s="348"/>
      <c r="D71" s="348"/>
      <c r="E71" s="348"/>
      <c r="F71" s="348"/>
    </row>
    <row r="72" spans="1:6">
      <c r="A72" s="388"/>
    </row>
    <row r="73" spans="1:6">
      <c r="A73" s="389"/>
      <c r="B73" s="475" t="s">
        <v>510</v>
      </c>
      <c r="C73" s="475"/>
      <c r="D73" s="475"/>
      <c r="E73" s="475"/>
      <c r="F73" s="475"/>
    </row>
    <row r="74" spans="1:6">
      <c r="B74" s="478" t="s">
        <v>479</v>
      </c>
      <c r="C74" s="478"/>
      <c r="D74" s="478"/>
      <c r="E74" s="478"/>
      <c r="F74" s="478"/>
    </row>
    <row r="76" spans="1:6">
      <c r="B76" s="372" t="s">
        <v>371</v>
      </c>
    </row>
    <row r="77" spans="1:6">
      <c r="B77" s="475" t="s">
        <v>511</v>
      </c>
      <c r="C77" s="475"/>
      <c r="D77" s="475"/>
      <c r="E77" s="475"/>
      <c r="F77" s="475"/>
    </row>
    <row r="78" spans="1:6">
      <c r="B78" s="346" t="s">
        <v>215</v>
      </c>
      <c r="C78" s="376">
        <f>DCF!F4</f>
        <v>-563558</v>
      </c>
      <c r="D78" s="346" t="str">
        <f>Reporting_currency</f>
        <v>HKD</v>
      </c>
    </row>
    <row r="79" spans="1:6">
      <c r="B79" s="375" t="s">
        <v>234</v>
      </c>
      <c r="C79" s="390">
        <f>C78*scaling_factor*Exchange_Rate/Common_Shares</f>
        <v>-0.54005011066826136</v>
      </c>
      <c r="D79" s="346" t="str">
        <f>Market_currency</f>
        <v>HKD</v>
      </c>
    </row>
    <row r="80" spans="1:6">
      <c r="B80" s="385" t="s">
        <v>309</v>
      </c>
      <c r="C80" s="391">
        <f>IF(BS!G31/BS!G27&gt;300%,"nm",BS!G31/BS!G27)</f>
        <v>0.17709797868255178</v>
      </c>
    </row>
    <row r="81" spans="1:6">
      <c r="B81" s="385" t="s">
        <v>311</v>
      </c>
      <c r="C81" s="392">
        <f>IF(BS!C50&gt;30,"nm",BS!C50)</f>
        <v>0.82178780749892033</v>
      </c>
    </row>
    <row r="83" spans="1:6">
      <c r="B83" s="346" t="s">
        <v>512</v>
      </c>
    </row>
    <row r="84" spans="1:6">
      <c r="B84" s="346" t="s">
        <v>224</v>
      </c>
      <c r="C84" s="376">
        <f>DCF!F5</f>
        <v>791294.38078016671</v>
      </c>
      <c r="D84" s="346" t="str">
        <f>Reporting_currency</f>
        <v>HKD</v>
      </c>
    </row>
    <row r="85" spans="1:6">
      <c r="B85" s="385" t="s">
        <v>481</v>
      </c>
      <c r="C85" s="393">
        <f>BS!C66</f>
        <v>1269294</v>
      </c>
      <c r="D85" s="394" t="str">
        <f>Reporting_currency</f>
        <v>HKD</v>
      </c>
    </row>
    <row r="86" spans="1:6">
      <c r="B86" s="375" t="s">
        <v>235</v>
      </c>
      <c r="C86" s="390">
        <f>C84*scaling_factor*Exchange_Rate/Common_Shares</f>
        <v>0.75828684520759604</v>
      </c>
      <c r="D86" s="346" t="str">
        <f>Market_currency</f>
        <v>HKD</v>
      </c>
    </row>
    <row r="88" spans="1:6">
      <c r="B88" s="346" t="s">
        <v>513</v>
      </c>
    </row>
    <row r="89" spans="1:6">
      <c r="B89" s="346" t="s">
        <v>217</v>
      </c>
      <c r="C89" s="376">
        <f>DCF!F6</f>
        <v>0</v>
      </c>
      <c r="D89" s="346" t="str">
        <f>Reporting_currency</f>
        <v>HKD</v>
      </c>
    </row>
    <row r="90" spans="1:6">
      <c r="B90" s="375" t="s">
        <v>236</v>
      </c>
      <c r="C90" s="390">
        <f>C89*scaling_factor*Exchange_Rate/Common_Shares</f>
        <v>0</v>
      </c>
      <c r="D90" s="346" t="str">
        <f>Market_currency</f>
        <v>HKD</v>
      </c>
    </row>
    <row r="92" spans="1:6">
      <c r="B92" s="375" t="s">
        <v>480</v>
      </c>
      <c r="C92" s="390">
        <f>DCF!F8</f>
        <v>0.21823673453933465</v>
      </c>
      <c r="D92" s="346" t="str">
        <f>Market_currency</f>
        <v>HKD</v>
      </c>
    </row>
    <row r="94" spans="1:6" ht="13.9">
      <c r="A94" s="348" t="s">
        <v>482</v>
      </c>
      <c r="B94" s="348"/>
      <c r="C94" s="348"/>
      <c r="D94" s="348"/>
      <c r="E94" s="348"/>
      <c r="F94" s="348"/>
    </row>
    <row r="95" spans="1:6">
      <c r="A95" s="388"/>
    </row>
    <row r="96" spans="1:6">
      <c r="A96" s="388"/>
      <c r="B96" s="475" t="s">
        <v>514</v>
      </c>
      <c r="C96" s="475"/>
      <c r="D96" s="475"/>
      <c r="E96" s="475"/>
      <c r="F96" s="475"/>
    </row>
    <row r="97" spans="1:6">
      <c r="A97" s="388"/>
      <c r="B97" s="478" t="s">
        <v>515</v>
      </c>
      <c r="C97" s="478"/>
      <c r="D97" s="478"/>
      <c r="E97" s="478"/>
      <c r="F97" s="478"/>
    </row>
    <row r="98" spans="1:6">
      <c r="A98" s="388"/>
      <c r="B98" s="478" t="s">
        <v>516</v>
      </c>
      <c r="C98" s="478"/>
      <c r="D98" s="478"/>
      <c r="E98" s="478"/>
      <c r="F98" s="478"/>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535</v>
      </c>
      <c r="C104" s="371">
        <v>0</v>
      </c>
    </row>
    <row r="105" spans="1:6">
      <c r="A105" s="388"/>
      <c r="C105" s="395"/>
    </row>
    <row r="106" spans="1:6">
      <c r="A106" s="388"/>
      <c r="B106" s="396" t="s">
        <v>375</v>
      </c>
      <c r="C106" s="395"/>
    </row>
    <row r="107" spans="1:6">
      <c r="A107" s="388"/>
      <c r="B107" s="475" t="s">
        <v>517</v>
      </c>
      <c r="C107" s="475"/>
      <c r="D107" s="475"/>
      <c r="E107" s="475"/>
      <c r="F107" s="475"/>
    </row>
    <row r="108" spans="1:6">
      <c r="A108" s="388"/>
      <c r="B108" s="475" t="s">
        <v>536</v>
      </c>
      <c r="C108" s="475"/>
      <c r="D108" s="475"/>
      <c r="E108" s="475"/>
      <c r="F108" s="475"/>
    </row>
    <row r="109" spans="1:6">
      <c r="A109" s="388"/>
    </row>
    <row r="110" spans="1:6">
      <c r="A110" s="388"/>
      <c r="B110" s="372" t="s">
        <v>489</v>
      </c>
    </row>
    <row r="111" spans="1:6">
      <c r="A111" s="388"/>
      <c r="B111" s="378" t="s">
        <v>486</v>
      </c>
      <c r="C111" s="397">
        <f>BS!D47</f>
        <v>-0.16650139591844174</v>
      </c>
      <c r="D111" s="346" t="str">
        <f>Market_currency</f>
        <v>HKD</v>
      </c>
    </row>
    <row r="112" spans="1:6">
      <c r="A112" s="388"/>
      <c r="B112" s="375" t="s">
        <v>377</v>
      </c>
      <c r="C112" s="397">
        <f>DCF!C11</f>
        <v>9.1371192679866926</v>
      </c>
      <c r="D112" s="346" t="str">
        <f>Market_currency</f>
        <v>HKD</v>
      </c>
    </row>
    <row r="113" spans="1:6">
      <c r="A113" s="388"/>
    </row>
    <row r="114" spans="1:6">
      <c r="A114" s="388"/>
      <c r="B114" s="475" t="s">
        <v>518</v>
      </c>
      <c r="C114" s="475"/>
      <c r="D114" s="475"/>
      <c r="E114" s="475"/>
      <c r="F114" s="475"/>
    </row>
    <row r="115" spans="1:6">
      <c r="A115" s="388"/>
    </row>
    <row r="116" spans="1:6">
      <c r="A116" s="388"/>
      <c r="B116" s="372" t="s">
        <v>490</v>
      </c>
    </row>
    <row r="117" spans="1:6">
      <c r="A117" s="388"/>
      <c r="B117" s="345" t="s">
        <v>378</v>
      </c>
      <c r="C117" s="345" t="s">
        <v>379</v>
      </c>
      <c r="D117" s="345" t="s">
        <v>99</v>
      </c>
      <c r="E117" s="345" t="s">
        <v>380</v>
      </c>
      <c r="F117" s="345" t="s">
        <v>381</v>
      </c>
    </row>
    <row r="118" spans="1:6">
      <c r="A118" s="388"/>
      <c r="B118" s="398" t="str">
        <f>DCF!B90</f>
        <v>Snowball Scenario</v>
      </c>
      <c r="C118" s="399">
        <f>DCF!C90</f>
        <v>0.05</v>
      </c>
      <c r="D118" s="400">
        <f>DCF!D90</f>
        <v>15</v>
      </c>
      <c r="E118" s="401" t="str">
        <f>ROUND(DCF!E90,2)&amp;" "&amp;Market_currency</f>
        <v>13.59 HKD</v>
      </c>
      <c r="F118" s="402">
        <f>DCF!F90</f>
        <v>0.15</v>
      </c>
    </row>
    <row r="119" spans="1:6">
      <c r="A119" s="388"/>
      <c r="B119" s="403" t="str">
        <f>DCF!B91</f>
        <v>Optimistic</v>
      </c>
      <c r="C119" s="404">
        <f>DCF!C91</f>
        <v>0.03</v>
      </c>
      <c r="D119" s="405">
        <f>DCF!D91</f>
        <v>15</v>
      </c>
      <c r="E119" s="401" t="str">
        <f>ROUND(DCF!E91,2)&amp;" "&amp;Market_currency</f>
        <v>10.98 HKD</v>
      </c>
      <c r="F119" s="406">
        <f>DCF!F91</f>
        <v>0.15999999999999995</v>
      </c>
    </row>
    <row r="120" spans="1:6">
      <c r="B120" s="403" t="str">
        <f>DCF!B92</f>
        <v>Base</v>
      </c>
      <c r="C120" s="404">
        <f>DCF!C92</f>
        <v>0.02</v>
      </c>
      <c r="D120" s="405">
        <f>DCF!D92</f>
        <v>15</v>
      </c>
      <c r="E120" s="401" t="str">
        <f>ROUND(DCF!E92,2)&amp;" "&amp;Market_currency</f>
        <v>9.89 HKD</v>
      </c>
      <c r="F120" s="406">
        <f>DCF!F92</f>
        <v>0.44</v>
      </c>
    </row>
    <row r="121" spans="1:6">
      <c r="B121" s="403" t="str">
        <f>DCF!B93</f>
        <v>Pessimistic</v>
      </c>
      <c r="C121" s="404">
        <f>DCF!C93</f>
        <v>0.01</v>
      </c>
      <c r="D121" s="405">
        <f>DCF!D93</f>
        <v>15</v>
      </c>
      <c r="E121" s="401" t="str">
        <f>ROUND(DCF!E93,2)&amp;" "&amp;Market_currency</f>
        <v>8.92 HKD</v>
      </c>
      <c r="F121" s="406">
        <f>DCF!F93</f>
        <v>0.19999999999999998</v>
      </c>
    </row>
    <row r="122" spans="1:6">
      <c r="B122" s="403" t="str">
        <f>DCF!B94</f>
        <v>Devil's advocate</v>
      </c>
      <c r="C122" s="404">
        <f>DCF!C94</f>
        <v>0</v>
      </c>
      <c r="D122" s="405">
        <f>DCF!D94</f>
        <v>15</v>
      </c>
      <c r="E122" s="401" t="str">
        <f>ROUND(DCF!E94,2)&amp;" "&amp;Market_currency</f>
        <v>8.06 HKD</v>
      </c>
      <c r="F122" s="406">
        <f>DCF!F94</f>
        <v>0.05</v>
      </c>
    </row>
    <row r="124" spans="1:6">
      <c r="B124" s="471" t="s">
        <v>519</v>
      </c>
      <c r="C124" s="471"/>
      <c r="D124" s="471"/>
      <c r="E124" s="471"/>
      <c r="F124" s="471"/>
    </row>
    <row r="125" spans="1:6">
      <c r="B125" s="375" t="s">
        <v>218</v>
      </c>
      <c r="C125" s="407">
        <f>Scenarios!C36</f>
        <v>10.337601541704334</v>
      </c>
      <c r="D125" s="346" t="str">
        <f>Market_currency</f>
        <v>HKD</v>
      </c>
    </row>
    <row r="127" spans="1:6">
      <c r="B127" s="473" t="s">
        <v>520</v>
      </c>
      <c r="C127" s="473"/>
      <c r="D127" s="473"/>
      <c r="E127" s="473"/>
      <c r="F127" s="473"/>
    </row>
    <row r="129" spans="1:6" ht="13.9">
      <c r="A129" s="348" t="s">
        <v>492</v>
      </c>
      <c r="B129" s="348"/>
      <c r="C129" s="348"/>
      <c r="D129" s="348"/>
      <c r="E129" s="348"/>
      <c r="F129" s="348"/>
    </row>
    <row r="131" spans="1:6">
      <c r="B131" s="474" t="s">
        <v>521</v>
      </c>
      <c r="C131" s="474"/>
      <c r="D131" s="474"/>
      <c r="E131" s="474"/>
      <c r="F131" s="474"/>
    </row>
    <row r="132" spans="1:6" ht="24.5" customHeight="1">
      <c r="B132" s="475" t="s">
        <v>522</v>
      </c>
      <c r="C132" s="475"/>
      <c r="D132" s="475"/>
      <c r="E132" s="475"/>
      <c r="F132" s="475"/>
    </row>
    <row r="134" spans="1:6">
      <c r="B134" s="372" t="s">
        <v>371</v>
      </c>
    </row>
    <row r="135" spans="1:6">
      <c r="B135" s="346" t="s">
        <v>382</v>
      </c>
      <c r="C135" s="408">
        <f>E21</f>
        <v>3</v>
      </c>
    </row>
    <row r="136" spans="1:6">
      <c r="B136" s="346" t="s">
        <v>383</v>
      </c>
      <c r="C136" s="409">
        <f>Scenarios!C58</f>
        <v>0.14199999999999999</v>
      </c>
      <c r="D136" s="346" t="str">
        <f>Market_currency</f>
        <v>HKD</v>
      </c>
    </row>
    <row r="138" spans="1:6">
      <c r="B138" s="372" t="s">
        <v>493</v>
      </c>
      <c r="C138" s="410"/>
      <c r="D138" s="410"/>
    </row>
    <row r="139" spans="1:6">
      <c r="B139" s="343" t="s">
        <v>462</v>
      </c>
      <c r="C139" s="343" t="str">
        <f>"PV("&amp;Holding_Period&amp;" yrs of Dividends)"</f>
        <v>PV(3 yrs of Dividends)</v>
      </c>
      <c r="D139" s="343" t="s">
        <v>471</v>
      </c>
      <c r="E139" s="344" t="str">
        <f>"Buy below ("&amp;Market_currency&amp;")"</f>
        <v>Buy below (HKD)</v>
      </c>
      <c r="F139" s="344" t="s">
        <v>495</v>
      </c>
    </row>
    <row r="140" spans="1:6">
      <c r="B140" s="411" t="s">
        <v>312</v>
      </c>
      <c r="C140" s="412">
        <f>Scenarios!C62</f>
        <v>0.25983892380763701</v>
      </c>
      <c r="D140" s="412">
        <f>Scenarios!D62</f>
        <v>4.7638716782047634</v>
      </c>
      <c r="E140" s="413">
        <f>Scenarios!E62</f>
        <v>5.0237106020124003</v>
      </c>
      <c r="F140" s="414">
        <f>E22</f>
        <v>0.29465259038036601</v>
      </c>
    </row>
    <row r="141" spans="1:6">
      <c r="B141" s="411" t="s">
        <v>313</v>
      </c>
      <c r="C141" s="412">
        <f>Scenarios!C63</f>
        <v>0.29876856051220924</v>
      </c>
      <c r="D141" s="412">
        <f>Scenarios!D63</f>
        <v>5.9711777858220003</v>
      </c>
      <c r="E141" s="413">
        <f>Scenarios!E63</f>
        <v>6.2699463463342093</v>
      </c>
      <c r="F141" s="414">
        <f>Scenarios!F63</f>
        <v>0.20075184365903001</v>
      </c>
    </row>
    <row r="143" spans="1:6">
      <c r="B143" s="343" t="s">
        <v>463</v>
      </c>
      <c r="C143" s="343" t="str">
        <f>"PV("&amp;Holding_Period&amp;" yrs of Dividends)"</f>
        <v>PV(3 yrs of Dividends)</v>
      </c>
      <c r="D143" s="343" t="s">
        <v>471</v>
      </c>
      <c r="E143" s="344" t="str">
        <f>"Sell above ("&amp;Market_currency&amp;")"</f>
        <v>Sell above (HKD)</v>
      </c>
      <c r="F143" s="344" t="s">
        <v>495</v>
      </c>
    </row>
    <row r="144" spans="1:6">
      <c r="B144" s="411" t="s">
        <v>315</v>
      </c>
      <c r="C144" s="412">
        <f>Scenarios!C66</f>
        <v>0.34258964388328816</v>
      </c>
      <c r="D144" s="412">
        <f>Scenarios!D66</f>
        <v>7.4095833438624279</v>
      </c>
      <c r="E144" s="413">
        <f>Scenarios!E66</f>
        <v>7.7521729877457162</v>
      </c>
      <c r="F144" s="414">
        <f>E24</f>
        <v>0.1174</v>
      </c>
    </row>
    <row r="145" spans="1:6">
      <c r="B145" s="411" t="s">
        <v>314</v>
      </c>
      <c r="C145" s="412">
        <f>Scenarios!C67</f>
        <v>0.37095728225856828</v>
      </c>
      <c r="D145" s="412">
        <f>Scenarios!D67</f>
        <v>8.3796887139491201</v>
      </c>
      <c r="E145" s="413">
        <f>Scenarios!E67</f>
        <v>8.7506459962076875</v>
      </c>
      <c r="F145" s="414">
        <f>Scenarios!F67</f>
        <v>7.2499999999999995E-2</v>
      </c>
    </row>
    <row r="147" spans="1:6" ht="13.9">
      <c r="A147" s="348" t="s">
        <v>475</v>
      </c>
      <c r="B147" s="348"/>
      <c r="C147" s="348"/>
      <c r="D147" s="348"/>
      <c r="E147" s="348"/>
      <c r="F147" s="348"/>
    </row>
    <row r="149" spans="1:6">
      <c r="B149" s="476" t="s">
        <v>523</v>
      </c>
      <c r="C149" s="475"/>
      <c r="D149" s="475"/>
      <c r="E149" s="475"/>
      <c r="F149" s="475"/>
    </row>
    <row r="151" spans="1:6">
      <c r="B151" s="372" t="s">
        <v>384</v>
      </c>
    </row>
    <row r="152" spans="1:6">
      <c r="B152" s="477" t="s">
        <v>524</v>
      </c>
      <c r="C152" s="477"/>
      <c r="D152" s="477"/>
      <c r="E152" s="477"/>
      <c r="F152" s="477"/>
    </row>
    <row r="153" spans="1:6">
      <c r="B153" s="415" t="s">
        <v>385</v>
      </c>
    </row>
    <row r="154" spans="1:6">
      <c r="B154" s="415" t="s">
        <v>386</v>
      </c>
    </row>
    <row r="155" spans="1:6">
      <c r="B155" s="415" t="s">
        <v>387</v>
      </c>
    </row>
    <row r="157" spans="1:6">
      <c r="B157" s="346" t="s">
        <v>525</v>
      </c>
    </row>
    <row r="158" spans="1:6" ht="24.5" customHeight="1">
      <c r="B158" s="471" t="s">
        <v>439</v>
      </c>
      <c r="C158" s="471"/>
      <c r="D158" s="471"/>
      <c r="E158" s="471"/>
      <c r="F158" s="471"/>
    </row>
    <row r="160" spans="1:6">
      <c r="B160" s="346" t="s">
        <v>526</v>
      </c>
    </row>
    <row r="161" spans="2:6">
      <c r="B161" s="472" t="s">
        <v>388</v>
      </c>
      <c r="C161" s="472"/>
      <c r="D161" s="472"/>
      <c r="E161" s="472"/>
      <c r="F161" s="472"/>
    </row>
    <row r="162" spans="2:6">
      <c r="B162" s="472" t="s">
        <v>389</v>
      </c>
      <c r="C162" s="472"/>
      <c r="D162" s="472"/>
      <c r="E162" s="472"/>
      <c r="F162" s="472"/>
    </row>
    <row r="164" spans="2:6">
      <c r="B164" s="346" t="s">
        <v>527</v>
      </c>
    </row>
    <row r="165" spans="2:6">
      <c r="B165" s="415" t="s">
        <v>390</v>
      </c>
    </row>
    <row r="166" spans="2:6">
      <c r="B166" s="415" t="s">
        <v>391</v>
      </c>
    </row>
    <row r="167" spans="2:6">
      <c r="B167" s="415"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2026-01-16T09:36:55Z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