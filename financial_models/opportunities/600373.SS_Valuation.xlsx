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BA79F7-93DC-42C5-9042-C48D1334AFE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K118" i="2"/>
  <c r="P118" i="2"/>
  <c r="Q120" i="2"/>
  <c r="Q118" i="2"/>
  <c r="Q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<sst xmlns="http://schemas.openxmlformats.org/spreadsheetml/2006/main" count="685" uniqueCount="466">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</sst>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1395022307</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10.42</v>
      </c>
      <c r="D12" s="50"/>
      <c r="E12" s="48"/>
    </row>
    <row r="13" spans="1:10">
      <c r="B13" s="1" t="s">
        <v>417</v>
      </c>
      <c r="C13" s="48" t="s">
        <v>415</v>
      </c>
      <c r="D13" s="48"/>
      <c r="E13" s="5"/>
    </row>
    <row r="14" spans="1:10">
      <c r="B14" s="4" t="s">
        <v>421</v>
      </c>
      <c r="C14" s="35">
        <f>Thesis!C12*Common_Shares/1000000</f>
        <v>14536.13243894</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12.91528670453229</v>
      </c>
      <c r="D26" s="1" t="s">
        <v>400</v>
      </c>
      <c r="E26" s="301">
        <f ca="1">Scenarios!C87</f>
        <v>0.11003791920656925</v>
      </c>
    </row>
    <row r="27" spans="2:6">
      <c r="D27" s="5"/>
      <c r="E27" s="5"/>
    </row>
    <row r="28" spans="2:6">
      <c r="B28" s="45" t="s">
        <v>434</v>
      </c>
      <c r="C28" s="309" t="str">
        <f>C145&amp;" ("&amp;Market_currency&amp;")"</f>
        <v>600373.SS (CNY)</v>
      </c>
      <c r="D28" s="309" t="str">
        <f>IF(D11="","",D145&amp;" ("&amp;D13&amp;")")</f>
        <v/>
      </c>
      <c r="E28" s="305" t="s">
        <v>430</v>
      </c>
      <c r="F28" s="303">
        <v>3</v>
      </c>
    </row>
    <row r="29" spans="2:6">
      <c r="B29" s="1" t="s">
        <v>426</v>
      </c>
      <c r="C29" s="310">
        <f>C149</f>
        <v>6.0942417132402751</v>
      </c>
      <c r="D29" s="310" t="str">
        <f>D149</f>
        <v/>
      </c>
      <c r="E29" s="306" t="s">
        <v>425</v>
      </c>
      <c r="F29" s="302">
        <v>0.33699999999999997</v>
      </c>
    </row>
    <row r="30" spans="2:6">
      <c r="B30" s="1" t="s">
        <v>427</v>
      </c>
      <c r="C30" s="311">
        <f>C157</f>
        <v>8.582443057830476</v>
      </c>
      <c r="D30" s="311" t="str">
        <f>D157</f>
        <v/>
      </c>
      <c r="E30" s="307" t="s">
        <v>438</v>
      </c>
      <c r="F30" s="312">
        <v>0.187</v>
      </c>
    </row>
    <row r="31" spans="2:6">
      <c r="B31" s="1" t="s">
        <v>428</v>
      </c>
      <c r="C31" s="311">
        <f>C165</f>
        <v>11.913128542800674</v>
      </c>
      <c r="D31" s="311" t="str">
        <f>D165</f>
        <v/>
      </c>
      <c r="E31" s="307" t="s">
        <v>437</v>
      </c>
      <c r="F31" s="312">
        <v>0.06</v>
      </c>
    </row>
    <row r="32" spans="2:6">
      <c r="B32" s="1" t="s">
        <v>429</v>
      </c>
      <c r="C32" s="311">
        <f>C173</f>
        <v>11.073728055846336</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805173862.5</v>
      </c>
      <c r="D41" s="1" t="str">
        <f>Reporting_currency</f>
        <v>CNY</v>
      </c>
    </row>
    <row r="42" spans="1:6">
      <c r="B42" s="47"/>
      <c r="C42" s="76"/>
    </row>
    <row r="43" spans="1:6" ht="24.5" customHeight="1">
      <c r="B43" s="360" t="s">
        <v>234</v>
      </c>
      <c r="C43" s="360"/>
      <c r="D43" s="360"/>
      <c r="E43" s="360"/>
      <c r="F43" s="360"/>
    </row>
    <row r="44" spans="1:6">
      <c r="B44" s="47" t="s">
        <v>235</v>
      </c>
      <c r="C44" s="355">
        <f>Normalized_FCF!C9</f>
        <v>304213708</v>
      </c>
      <c r="D44" s="1" t="str">
        <f>Reporting_currency</f>
        <v>CNY</v>
      </c>
    </row>
    <row r="45" spans="1:6">
      <c r="B45" s="52" t="s">
        <v>236</v>
      </c>
      <c r="C45" s="355">
        <f>Normalized_FCF!C10</f>
        <v>-304213708</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30189572.474333331</v>
      </c>
      <c r="D51" s="1" t="str">
        <f>Reporting_currency</f>
        <v>CNY</v>
      </c>
      <c r="E51" s="286"/>
      <c r="F51" s="286"/>
    </row>
    <row r="52" spans="2:6">
      <c r="B52" s="47" t="s">
        <v>342</v>
      </c>
      <c r="C52" s="356">
        <f>Normalized_FCF!C47</f>
        <v>-127330087.00000001</v>
      </c>
      <c r="D52" s="1" t="str">
        <f>Reporting_currency</f>
        <v>CNY</v>
      </c>
      <c r="E52" s="286"/>
      <c r="F52" s="286"/>
    </row>
    <row r="53" spans="2:6">
      <c r="B53" s="47" t="s">
        <v>239</v>
      </c>
      <c r="C53" s="355">
        <f>Normalized_FCF!C12</f>
        <v>-97140514.525666684</v>
      </c>
      <c r="D53" s="1" t="str">
        <f>Reporting_currency</f>
        <v>CNY</v>
      </c>
    </row>
    <row r="55" spans="2:6">
      <c r="B55" s="1" t="s">
        <v>247</v>
      </c>
    </row>
    <row r="56" spans="2:6">
      <c r="B56" s="47" t="s">
        <v>266</v>
      </c>
      <c r="C56" s="355">
        <f>Normalized_FCF!C15</f>
        <v>-38841055</v>
      </c>
      <c r="D56" s="1" t="str">
        <f>Reporting_currency</f>
        <v>CNY</v>
      </c>
    </row>
    <row r="58" spans="2:6">
      <c r="B58" s="360" t="s">
        <v>242</v>
      </c>
      <c r="C58" s="360"/>
      <c r="D58" s="360"/>
      <c r="E58" s="360"/>
      <c r="F58" s="360"/>
    </row>
    <row r="59" spans="2:6">
      <c r="B59" s="47" t="s">
        <v>240</v>
      </c>
      <c r="C59" s="355">
        <f>Normalized_FCF!C14</f>
        <v>-177008336.99358332</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335956918.03600812</v>
      </c>
      <c r="D67" s="1" t="str">
        <f>Reporting_currency</f>
        <v>CNY</v>
      </c>
    </row>
    <row r="68" spans="1:6">
      <c r="B68" s="47" t="s">
        <v>249</v>
      </c>
      <c r="C68" s="355">
        <f>Normalized_FCF!C19</f>
        <v>492183955.98074996</v>
      </c>
      <c r="D68" s="1" t="str">
        <f>Reporting_currency</f>
        <v>CNY</v>
      </c>
    </row>
    <row r="69" spans="1:6">
      <c r="B69" s="227" t="s">
        <v>391</v>
      </c>
      <c r="C69" s="92">
        <f>Normalized_FCF!C125</f>
        <v>3.3859347254037601E-2</v>
      </c>
      <c r="F69" s="314"/>
    </row>
    <row r="70" spans="1:6">
      <c r="B70" s="227" t="s">
        <v>309</v>
      </c>
      <c r="C70" s="92">
        <f>Normalized_FCF!C93</f>
        <v>3.8387715930902115E-2</v>
      </c>
      <c r="E70" s="47" t="s">
        <v>449</v>
      </c>
      <c r="F70" s="315">
        <f>Normalized_FCF!C92</f>
        <v>1.1337405781301506</v>
      </c>
    </row>
    <row r="72" spans="1:6">
      <c r="B72" s="210" t="s">
        <v>451</v>
      </c>
      <c r="C72" s="329" t="s">
        <v>453</v>
      </c>
      <c r="D72" s="329" t="s">
        <v>454</v>
      </c>
    </row>
    <row r="73" spans="1:6">
      <c r="B73" s="47" t="s">
        <v>452</v>
      </c>
      <c r="C73" s="92">
        <f>Normalized_FCF!C120</f>
        <v>3.888300021475994E-2</v>
      </c>
      <c r="D73" s="92">
        <f>Normalized_FCF!G120</f>
        <v>4.2520188912675866E-2</v>
      </c>
    </row>
    <row r="74" spans="1:6">
      <c r="B74" s="259" t="str">
        <f>Normalized_FCF!B117</f>
        <v>Pre-tax Profit/Sales</v>
      </c>
      <c r="C74" s="328">
        <f>Normalized_FCF!C117</f>
        <v>7.6099586896956867E-2</v>
      </c>
      <c r="D74" s="328">
        <f>Normalized_FCF!G117</f>
        <v>8.3218084848475898E-2</v>
      </c>
    </row>
    <row r="75" spans="1:6">
      <c r="B75" s="259" t="str">
        <f>Normalized_FCF!B118</f>
        <v>Sales/Total Assets</v>
      </c>
      <c r="C75" s="330">
        <f>Normalized_FCF!C118</f>
        <v>0.30413488760323032</v>
      </c>
      <c r="D75" s="330">
        <f>Normalized_FCF!G118</f>
        <v>0.30413488760323026</v>
      </c>
    </row>
    <row r="76" spans="1:6">
      <c r="B76" s="259" t="str">
        <f>Normalized_FCF!B119</f>
        <v>Total Assets/Equity</v>
      </c>
      <c r="C76" s="330">
        <f>Normalized_FCF!C119</f>
        <v>1.6800075256655485</v>
      </c>
      <c r="D76" s="330">
        <f>Normalized_FCF!G119</f>
        <v>1.6800075256655487</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5.8802399731178632</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1685959940.8299999</v>
      </c>
      <c r="D102" s="1" t="str">
        <f>Reporting_currency</f>
        <v>CNY</v>
      </c>
    </row>
    <row r="103" spans="2:6">
      <c r="B103" s="47" t="s">
        <v>282</v>
      </c>
      <c r="C103" s="223">
        <f>C102*scaling_factor*Exchange_Rate/Common_Shares</f>
        <v>1.2085541086835108</v>
      </c>
      <c r="D103" s="1" t="str">
        <f>Market_currency</f>
        <v>CNY</v>
      </c>
    </row>
    <row r="104" spans="2:6">
      <c r="B104" s="296" t="s">
        <v>405</v>
      </c>
      <c r="C104" s="331">
        <f>IF(BS!G31/BS!G27&gt;300%,"nm",BS!G31/BS!G27)</f>
        <v>9.2587702159681276E-2</v>
      </c>
    </row>
    <row r="105" spans="2:6">
      <c r="B105" s="296" t="s">
        <v>407</v>
      </c>
      <c r="C105" s="332">
        <f>IF(BS!C50&gt;30,"nm",BS!C50)</f>
        <v>2.0939079363495856</v>
      </c>
    </row>
    <row r="107" spans="2:6">
      <c r="B107" s="1" t="s">
        <v>255</v>
      </c>
    </row>
    <row r="108" spans="2:6">
      <c r="B108" s="47" t="s">
        <v>265</v>
      </c>
      <c r="C108" s="355">
        <f>BS!C66</f>
        <v>10570865213.440001</v>
      </c>
      <c r="D108" s="1" t="str">
        <f>Reporting_currency</f>
        <v>CNY</v>
      </c>
    </row>
    <row r="109" spans="2:6">
      <c r="B109" s="47" t="s">
        <v>267</v>
      </c>
      <c r="C109" s="355">
        <f>DCF!C8</f>
        <v>7551907966.0066681</v>
      </c>
      <c r="D109" s="1" t="str">
        <f>Reporting_currency</f>
        <v>CNY</v>
      </c>
    </row>
    <row r="110" spans="2:6">
      <c r="B110" s="47" t="s">
        <v>283</v>
      </c>
      <c r="C110" s="223">
        <f>C109*scaling_factor*Exchange_Rate/Common_Shares</f>
        <v>5.4134675324633843</v>
      </c>
      <c r="D110" s="1" t="str">
        <f>Market_currency</f>
        <v>CNY</v>
      </c>
    </row>
    <row r="112" spans="2:6">
      <c r="B112" s="1" t="s">
        <v>257</v>
      </c>
    </row>
    <row r="113" spans="1:6">
      <c r="B113" s="47" t="s">
        <v>258</v>
      </c>
      <c r="C113" s="355">
        <f>DCF!C9</f>
        <v>3684979983.197</v>
      </c>
      <c r="D113" s="1" t="str">
        <f>Reporting_currency</f>
        <v>CNY</v>
      </c>
    </row>
    <row r="114" spans="1:6">
      <c r="B114" s="47" t="s">
        <v>284</v>
      </c>
      <c r="C114" s="223">
        <f>C113*scaling_factor*Exchange_Rate/Common_Shares</f>
        <v>2.6415204722579393</v>
      </c>
      <c r="D114" s="1" t="str">
        <f>Market_currency</f>
        <v>CNY</v>
      </c>
    </row>
    <row r="116" spans="1:6" ht="24.5" customHeight="1">
      <c r="B116" s="359" t="s">
        <v>367</v>
      </c>
      <c r="C116" s="359"/>
      <c r="D116" s="359"/>
      <c r="E116" s="359"/>
      <c r="F116" s="359"/>
    </row>
    <row r="118" spans="1:6">
      <c r="B118" s="47" t="s">
        <v>450</v>
      </c>
      <c r="C118" s="223">
        <f>IF(valuation_method="DCF",DCF!C12,DDM!C7)</f>
        <v>12.726673869155675</v>
      </c>
      <c r="D118" s="1" t="str">
        <f>Market_currency</f>
        <v>CNY</v>
      </c>
    </row>
    <row r="119" spans="1:6">
      <c r="B119" s="296" t="s">
        <v>406</v>
      </c>
      <c r="C119" s="223">
        <f>BS!D47</f>
        <v>2.6400638402357823</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259</v>
      </c>
      <c r="C132" s="217">
        <f>Scenarios!C60</f>
        <v>12.91528670453229</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0.4</v>
      </c>
      <c r="D143" s="212" t="str">
        <f>Market_currency</f>
        <v>CNY</v>
      </c>
    </row>
    <row r="145" spans="2:4">
      <c r="B145" s="210" t="s">
        <v>409</v>
      </c>
      <c r="C145" s="241" t="str">
        <f>C11</f>
        <v>600373.SS</v>
      </c>
      <c r="D145" s="241" t="str">
        <f>IF(D11="","",D11)</f>
        <v/>
      </c>
    </row>
    <row r="146" spans="2:4">
      <c r="B146" s="1" t="s">
        <v>408</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261</v>
      </c>
      <c r="C149" s="215">
        <f>Scenarios!C83</f>
        <v>6.0942417132402751</v>
      </c>
      <c r="D149" s="300" t="str">
        <f>IF($D$11="","",C149*$E$25)</f>
        <v/>
      </c>
    </row>
    <row r="150" spans="2:4">
      <c r="B150" s="259" t="s">
        <v>417</v>
      </c>
      <c r="C150" s="298" t="str">
        <f>Market_currency</f>
        <v>CNY</v>
      </c>
      <c r="D150" s="298" t="str">
        <f>IF($D$11="","",D$13)</f>
        <v/>
      </c>
    </row>
    <row r="151" spans="2:4">
      <c r="B151" s="214" t="s">
        <v>263</v>
      </c>
      <c r="C151" s="92">
        <f>Scenarios!F83</f>
        <v>0.52813732651388556</v>
      </c>
    </row>
    <row r="153" spans="2:4">
      <c r="B153" s="210" t="s">
        <v>412</v>
      </c>
    </row>
    <row r="154" spans="2:4">
      <c r="B154" s="1" t="s">
        <v>411</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261</v>
      </c>
      <c r="C157" s="215">
        <f>Scenarios!C93</f>
        <v>8.582443057830476</v>
      </c>
      <c r="D157" s="300" t="str">
        <f>IF($D$11="","",C157*$E$25)</f>
        <v/>
      </c>
    </row>
    <row r="158" spans="2:4">
      <c r="B158" s="259" t="s">
        <v>417</v>
      </c>
      <c r="C158" s="298" t="str">
        <f>Market_currency</f>
        <v>CNY</v>
      </c>
      <c r="D158" s="298" t="str">
        <f>IF($D$11="","",D$13)</f>
        <v/>
      </c>
    </row>
    <row r="159" spans="2:4">
      <c r="B159" s="214" t="s">
        <v>263</v>
      </c>
      <c r="C159" s="92">
        <f>Scenarios!F93</f>
        <v>0.33548180120394178</v>
      </c>
    </row>
    <row r="161" spans="2:4">
      <c r="B161" s="210" t="s">
        <v>401</v>
      </c>
    </row>
    <row r="162" spans="2:4">
      <c r="B162" s="1" t="s">
        <v>410</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402</v>
      </c>
      <c r="C165" s="215">
        <f>Scenarios!C99</f>
        <v>11.913128542800674</v>
      </c>
      <c r="D165" s="300" t="str">
        <f>IF($D$11="","",C165*$E$25)</f>
        <v/>
      </c>
    </row>
    <row r="166" spans="2:4">
      <c r="B166" s="259" t="s">
        <v>417</v>
      </c>
      <c r="C166" s="298" t="str">
        <f>Market_currency</f>
        <v>CNY</v>
      </c>
      <c r="D166" s="298" t="str">
        <f>IF($D$11="","",D$13)</f>
        <v/>
      </c>
    </row>
    <row r="167" spans="2:4">
      <c r="B167" s="214" t="s">
        <v>263</v>
      </c>
      <c r="C167" s="92">
        <f>Scenarios!F99</f>
        <v>7.7594728220778397E-2</v>
      </c>
    </row>
    <row r="169" spans="2:4">
      <c r="B169" s="210" t="s">
        <v>433</v>
      </c>
    </row>
    <row r="170" spans="2:4">
      <c r="B170" s="1" t="s">
        <v>424</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402</v>
      </c>
      <c r="C173" s="215">
        <f>Scenarios!C105</f>
        <v>11.073728055846336</v>
      </c>
      <c r="D173" s="300" t="str">
        <f>IF($D$11="","",C173*$E$25)</f>
        <v/>
      </c>
    </row>
    <row r="174" spans="2:4">
      <c r="B174" s="259" t="s">
        <v>417</v>
      </c>
      <c r="C174" s="298" t="str">
        <f>Market_currency</f>
        <v>CNY</v>
      </c>
      <c r="D174" s="298" t="str">
        <f>IF($D$11="","",D$13)</f>
        <v/>
      </c>
    </row>
    <row r="175" spans="2:4">
      <c r="B175" s="214" t="s">
        <v>263</v>
      </c>
      <c r="C175" s="92">
        <f>Scenarios!F105</f>
        <v>0.14359457232654926</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9304036682</v>
      </c>
      <c r="D4" s="321">
        <v>10083626566</v>
      </c>
      <c r="E4" s="321">
        <v>10236379917</v>
      </c>
      <c r="F4" s="321">
        <v>10714557474</v>
      </c>
      <c r="G4" s="321">
        <v>10339544971</v>
      </c>
      <c r="H4" s="321">
        <v>11258180127</v>
      </c>
      <c r="I4" s="321">
        <v>11512673967</v>
      </c>
      <c r="J4" s="321">
        <v>13306047614</v>
      </c>
      <c r="K4" s="321">
        <v>12775837643</v>
      </c>
      <c r="L4" s="321">
        <v>11601620038</v>
      </c>
      <c r="M4" s="321"/>
    </row>
    <row r="5" spans="2:13">
      <c r="B5" s="40" t="s">
        <v>43</v>
      </c>
      <c r="C5" s="321">
        <v>5676944377</v>
      </c>
      <c r="D5" s="321">
        <v>5916816097</v>
      </c>
      <c r="E5" s="321">
        <v>6311388363</v>
      </c>
      <c r="F5" s="321">
        <v>6550446555</v>
      </c>
      <c r="G5" s="321">
        <v>6394029156</v>
      </c>
      <c r="H5" s="321">
        <v>7367488537</v>
      </c>
      <c r="I5" s="321">
        <v>7224602455</v>
      </c>
      <c r="J5" s="321">
        <v>8540494147</v>
      </c>
      <c r="K5" s="321">
        <v>7781713253</v>
      </c>
      <c r="L5" s="321">
        <v>7483557979</v>
      </c>
      <c r="M5" s="321"/>
    </row>
    <row r="6" spans="2:13">
      <c r="B6" s="40" t="s">
        <v>54</v>
      </c>
      <c r="C6" s="321">
        <v>2587076947</v>
      </c>
      <c r="D6" s="321">
        <v>2472052826</v>
      </c>
      <c r="E6" s="321">
        <v>2474489551</v>
      </c>
      <c r="F6" s="321">
        <v>2654508105</v>
      </c>
      <c r="G6" s="321">
        <v>1974885174</v>
      </c>
      <c r="H6" s="321">
        <v>1837469000</v>
      </c>
      <c r="I6" s="321">
        <v>1855864520</v>
      </c>
      <c r="J6" s="321">
        <v>3107662903</v>
      </c>
      <c r="K6" s="321">
        <v>3565289873</v>
      </c>
      <c r="L6" s="321">
        <v>2862797189</v>
      </c>
      <c r="M6" s="321"/>
    </row>
    <row r="7" spans="2:13">
      <c r="B7" s="69" t="s">
        <v>61</v>
      </c>
      <c r="C7" s="322">
        <v>775878829</v>
      </c>
      <c r="D7" s="322">
        <v>812050107</v>
      </c>
      <c r="E7" s="322">
        <v>922966476</v>
      </c>
      <c r="F7" s="322">
        <v>1146157898</v>
      </c>
      <c r="G7" s="322">
        <v>634916493</v>
      </c>
      <c r="H7" s="322">
        <v>595595416</v>
      </c>
      <c r="I7" s="322">
        <v>678292721</v>
      </c>
      <c r="J7" s="322">
        <v>1085064842</v>
      </c>
      <c r="K7" s="322">
        <v>1910926978</v>
      </c>
      <c r="L7" s="322">
        <v>1707428207</v>
      </c>
      <c r="M7" s="322"/>
    </row>
    <row r="8" spans="2:13">
      <c r="B8" s="40" t="s">
        <v>49</v>
      </c>
      <c r="C8" s="321">
        <v>218971112</v>
      </c>
      <c r="D8" s="321">
        <v>230826900</v>
      </c>
      <c r="E8" s="321">
        <v>251189350</v>
      </c>
      <c r="F8" s="321">
        <v>238378620</v>
      </c>
      <c r="G8" s="321">
        <v>208413520</v>
      </c>
      <c r="H8" s="321">
        <v>390411956</v>
      </c>
      <c r="I8" s="321">
        <v>833049901</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127330087</v>
      </c>
      <c r="D12" s="321">
        <v>145285501</v>
      </c>
      <c r="E12" s="321">
        <v>161564792</v>
      </c>
      <c r="F12" s="321">
        <v>169466694</v>
      </c>
      <c r="G12" s="321">
        <v>139996345</v>
      </c>
      <c r="H12" s="321">
        <v>156549769</v>
      </c>
      <c r="I12" s="321">
        <v>87319034</v>
      </c>
      <c r="J12" s="321"/>
      <c r="K12" s="321"/>
      <c r="L12" s="321"/>
      <c r="M12" s="321"/>
    </row>
    <row r="13" spans="2:13">
      <c r="B13" s="40" t="s">
        <v>67</v>
      </c>
      <c r="C13" s="321">
        <v>282045305</v>
      </c>
      <c r="D13" s="321">
        <v>408337182</v>
      </c>
      <c r="E13" s="321">
        <v>577191429</v>
      </c>
      <c r="F13" s="321">
        <v>441101398</v>
      </c>
      <c r="G13" s="321">
        <v>264423586</v>
      </c>
      <c r="H13" s="321">
        <v>197905422</v>
      </c>
      <c r="I13" s="321">
        <v>115750108</v>
      </c>
      <c r="J13" s="321"/>
      <c r="K13" s="321"/>
      <c r="L13" s="321"/>
      <c r="M13" s="321"/>
    </row>
    <row r="14" spans="2:13">
      <c r="B14" s="40" t="s">
        <v>50</v>
      </c>
      <c r="C14" s="321">
        <v>399466141</v>
      </c>
      <c r="D14" s="321">
        <v>-245723033</v>
      </c>
      <c r="E14" s="321">
        <v>42708255</v>
      </c>
      <c r="F14" s="321">
        <v>256010400</v>
      </c>
      <c r="G14" s="321">
        <v>87059787</v>
      </c>
      <c r="H14" s="321">
        <v>55904457</v>
      </c>
      <c r="I14" s="321">
        <v>94528010</v>
      </c>
      <c r="J14" s="321">
        <v>46504665</v>
      </c>
      <c r="K14" s="321">
        <v>88878250</v>
      </c>
      <c r="L14" s="321">
        <v>58244331</v>
      </c>
      <c r="M14" s="321"/>
    </row>
    <row r="15" spans="2:13">
      <c r="B15" s="43" t="s">
        <v>42</v>
      </c>
      <c r="C15" s="323">
        <v>783228215</v>
      </c>
      <c r="D15" s="323">
        <v>1954193845</v>
      </c>
      <c r="E15" s="323">
        <v>1916546670</v>
      </c>
      <c r="F15" s="323">
        <v>2050300759</v>
      </c>
      <c r="G15" s="323">
        <v>1830124141</v>
      </c>
      <c r="H15" s="323">
        <v>1731358283</v>
      </c>
      <c r="I15" s="323">
        <v>1626252473</v>
      </c>
      <c r="J15" s="323">
        <v>1452046692</v>
      </c>
      <c r="K15" s="323">
        <v>1279739173</v>
      </c>
      <c r="L15" s="323">
        <v>1161959682</v>
      </c>
      <c r="M15" s="323"/>
    </row>
    <row r="16" spans="2:13">
      <c r="B16" s="28" t="s">
        <v>44</v>
      </c>
      <c r="C16" s="321">
        <v>38841055</v>
      </c>
      <c r="D16" s="321">
        <v>-12469089</v>
      </c>
      <c r="E16" s="321">
        <v>-13791461</v>
      </c>
      <c r="F16" s="321">
        <v>6877210</v>
      </c>
      <c r="G16" s="321">
        <v>24515876</v>
      </c>
      <c r="H16" s="321">
        <v>5877927</v>
      </c>
      <c r="I16" s="321">
        <v>7143161</v>
      </c>
      <c r="J16" s="321">
        <v>305152</v>
      </c>
      <c r="K16" s="321">
        <v>-14934895</v>
      </c>
      <c r="L16" s="321">
        <v>104004453</v>
      </c>
      <c r="M16" s="321"/>
    </row>
    <row r="18" spans="2:13">
      <c r="B18" s="16" t="s">
        <v>51</v>
      </c>
      <c r="C18" s="9"/>
    </row>
    <row r="19" spans="2:13">
      <c r="B19" s="27" t="s">
        <v>47</v>
      </c>
      <c r="C19" s="321">
        <v>304213708</v>
      </c>
      <c r="D19" s="321">
        <v>284765003</v>
      </c>
      <c r="E19" s="321">
        <v>280160892</v>
      </c>
      <c r="F19" s="321">
        <v>262044527</v>
      </c>
      <c r="G19" s="321">
        <v>233520143</v>
      </c>
      <c r="H19" s="321">
        <v>241901529</v>
      </c>
      <c r="I19" s="321">
        <v>213366792</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401377348</v>
      </c>
      <c r="D22" s="321">
        <v>1956255182</v>
      </c>
      <c r="E22" s="321">
        <v>2083950094</v>
      </c>
      <c r="F22" s="321">
        <v>1804027448</v>
      </c>
      <c r="G22" s="321">
        <v>2770158153</v>
      </c>
      <c r="H22" s="321">
        <v>2326723445</v>
      </c>
      <c r="I22" s="321">
        <v>2605766691</v>
      </c>
      <c r="J22" s="321">
        <v>1503187129</v>
      </c>
      <c r="K22" s="321">
        <v>2357234262</v>
      </c>
      <c r="L22" s="321">
        <v>1011750597</v>
      </c>
      <c r="M22" s="321"/>
    </row>
    <row r="23" spans="2:13">
      <c r="B23" s="27" t="s">
        <v>374</v>
      </c>
      <c r="C23" s="321">
        <v>-5702735165</v>
      </c>
      <c r="D23" s="321">
        <v>-2481866338</v>
      </c>
      <c r="E23" s="321">
        <v>474401567</v>
      </c>
      <c r="F23" s="321">
        <v>1138014522</v>
      </c>
      <c r="G23" s="321">
        <v>-2480713998</v>
      </c>
      <c r="H23" s="321">
        <v>1129192930</v>
      </c>
      <c r="I23" s="321">
        <v>-2458554273</v>
      </c>
      <c r="J23" s="321">
        <v>-2519375006</v>
      </c>
      <c r="K23" s="321">
        <v>-1120642674</v>
      </c>
      <c r="L23" s="321">
        <v>-922976904</v>
      </c>
      <c r="M23" s="321"/>
    </row>
    <row r="24" spans="2:13">
      <c r="B24" s="27" t="s">
        <v>373</v>
      </c>
      <c r="C24" s="321">
        <v>-1440890089</v>
      </c>
      <c r="D24" s="321">
        <v>-859747503</v>
      </c>
      <c r="E24" s="321">
        <v>-291365390</v>
      </c>
      <c r="F24" s="321">
        <v>-848504375</v>
      </c>
      <c r="G24" s="321">
        <v>-215048943</v>
      </c>
      <c r="H24" s="321">
        <v>-2175532336</v>
      </c>
      <c r="I24" s="321">
        <v>1191203049</v>
      </c>
      <c r="J24" s="321">
        <v>571517672</v>
      </c>
      <c r="K24" s="321">
        <v>-353867404</v>
      </c>
      <c r="L24" s="321">
        <v>1755067231</v>
      </c>
      <c r="M24" s="32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18">
        <f>BS!C4</f>
        <v>1910217201.7599998</v>
      </c>
      <c r="D28" s="321">
        <v>834568719</v>
      </c>
      <c r="E28" s="321">
        <v>1061824178</v>
      </c>
      <c r="F28" s="321">
        <v>925201481</v>
      </c>
      <c r="G28" s="321">
        <v>854194501</v>
      </c>
      <c r="H28" s="321">
        <v>1181367947</v>
      </c>
      <c r="I28" s="321">
        <v>1188191051</v>
      </c>
      <c r="J28" s="321">
        <v>1801027889</v>
      </c>
      <c r="K28" s="321">
        <v>1423555374</v>
      </c>
      <c r="L28" s="321">
        <v>2019329272</v>
      </c>
      <c r="M28" s="321"/>
    </row>
    <row r="29" spans="2:13">
      <c r="B29" s="26" t="s">
        <v>32</v>
      </c>
      <c r="C29" s="318">
        <f>BS!C6</f>
        <v>1152244678.0699999</v>
      </c>
      <c r="D29" s="321">
        <v>959867234</v>
      </c>
      <c r="E29" s="321">
        <v>1086298738</v>
      </c>
      <c r="F29" s="321">
        <v>1224714311</v>
      </c>
      <c r="G29" s="321">
        <v>1118318039</v>
      </c>
      <c r="H29" s="321">
        <v>1167338551</v>
      </c>
      <c r="I29" s="321">
        <v>1312102814</v>
      </c>
      <c r="J29" s="321">
        <v>1053507533</v>
      </c>
      <c r="K29" s="321">
        <v>1025018847</v>
      </c>
      <c r="L29" s="321">
        <v>940108789</v>
      </c>
      <c r="M29" s="321"/>
    </row>
    <row r="30" spans="2:13">
      <c r="B30" s="29" t="s">
        <v>40</v>
      </c>
      <c r="C30" s="319">
        <f>BS!C33+BS!C42</f>
        <v>12382480837.01</v>
      </c>
      <c r="D30" s="323">
        <v>10670434743</v>
      </c>
      <c r="E30" s="323">
        <v>11040803287</v>
      </c>
      <c r="F30" s="323">
        <v>9869570784</v>
      </c>
      <c r="G30" s="323">
        <v>9001654126</v>
      </c>
      <c r="H30" s="323">
        <v>8576109791</v>
      </c>
      <c r="I30" s="323">
        <v>10230716015</v>
      </c>
      <c r="J30" s="323">
        <v>8088092587</v>
      </c>
      <c r="K30" s="323">
        <v>7643685931</v>
      </c>
      <c r="L30" s="323">
        <v>7296360629</v>
      </c>
      <c r="M30" s="323"/>
    </row>
    <row r="31" spans="2:13">
      <c r="B31" s="29" t="s">
        <v>30</v>
      </c>
      <c r="C31" s="319">
        <f>BS!G27</f>
        <v>18209329117.190002</v>
      </c>
      <c r="D31" s="323">
        <v>18619255819</v>
      </c>
      <c r="E31" s="323">
        <v>17690189005</v>
      </c>
      <c r="F31" s="323">
        <v>16697566222</v>
      </c>
      <c r="G31" s="323">
        <v>15368696907</v>
      </c>
      <c r="H31" s="323">
        <v>14238226833</v>
      </c>
      <c r="I31" s="323">
        <v>13494814071</v>
      </c>
      <c r="J31" s="323">
        <v>12392566731</v>
      </c>
      <c r="K31" s="323">
        <v>11212733584</v>
      </c>
      <c r="L31" s="323">
        <v>10310906068</v>
      </c>
      <c r="M31" s="323"/>
    </row>
    <row r="32" spans="2:13">
      <c r="B32" s="26" t="s">
        <v>173</v>
      </c>
      <c r="C32" s="318">
        <f>BS!G28</f>
        <v>337582462.13999999</v>
      </c>
      <c r="D32" s="321">
        <v>183358225</v>
      </c>
      <c r="E32" s="321">
        <v>204627353</v>
      </c>
      <c r="F32" s="321">
        <v>244147889</v>
      </c>
      <c r="G32" s="321">
        <v>209715743</v>
      </c>
      <c r="H32" s="321">
        <v>206701848</v>
      </c>
      <c r="I32" s="321">
        <v>205332329</v>
      </c>
      <c r="J32" s="321">
        <v>199184480</v>
      </c>
      <c r="K32" s="321">
        <v>205687459</v>
      </c>
      <c r="L32" s="321">
        <v>551331945</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9304036682</v>
      </c>
      <c r="D36" s="318">
        <f t="shared" si="1"/>
        <v>10083626566</v>
      </c>
      <c r="E36" s="318">
        <f t="shared" si="1"/>
        <v>10236379917</v>
      </c>
      <c r="F36" s="318">
        <f t="shared" si="1"/>
        <v>10714557474</v>
      </c>
      <c r="G36" s="318">
        <f t="shared" si="1"/>
        <v>10339544971</v>
      </c>
      <c r="H36" s="318">
        <f t="shared" si="1"/>
        <v>11258180127</v>
      </c>
      <c r="I36" s="318">
        <f t="shared" si="1"/>
        <v>11512673967</v>
      </c>
      <c r="J36" s="318">
        <f t="shared" si="1"/>
        <v>13306047614</v>
      </c>
      <c r="K36" s="318">
        <f t="shared" si="1"/>
        <v>12775837643</v>
      </c>
      <c r="L36" s="318">
        <f t="shared" si="1"/>
        <v>11601620038</v>
      </c>
      <c r="M36" s="318" t="str">
        <f t="shared" si="1"/>
        <v/>
      </c>
    </row>
    <row r="37" spans="2:13">
      <c r="B37" s="40" t="s">
        <v>43</v>
      </c>
      <c r="C37" s="318">
        <f t="shared" ref="C37:M37" si="2">IF(C$4="","",-C5)</f>
        <v>-5676944377</v>
      </c>
      <c r="D37" s="318">
        <f t="shared" si="2"/>
        <v>-5916816097</v>
      </c>
      <c r="E37" s="318">
        <f t="shared" si="2"/>
        <v>-6311388363</v>
      </c>
      <c r="F37" s="318">
        <f t="shared" si="2"/>
        <v>-6550446555</v>
      </c>
      <c r="G37" s="318">
        <f t="shared" si="2"/>
        <v>-6394029156</v>
      </c>
      <c r="H37" s="318">
        <f t="shared" si="2"/>
        <v>-7367488537</v>
      </c>
      <c r="I37" s="318">
        <f t="shared" si="2"/>
        <v>-7224602455</v>
      </c>
      <c r="J37" s="318">
        <f t="shared" si="2"/>
        <v>-8540494147</v>
      </c>
      <c r="K37" s="318">
        <f t="shared" si="2"/>
        <v>-7781713253</v>
      </c>
      <c r="L37" s="318">
        <f t="shared" si="2"/>
        <v>-7483557979</v>
      </c>
      <c r="M37" s="318" t="str">
        <f t="shared" si="2"/>
        <v/>
      </c>
    </row>
    <row r="38" spans="2:13">
      <c r="B38" s="31" t="s">
        <v>58</v>
      </c>
      <c r="C38" s="317">
        <f>IF(C36="","",C36+C37)</f>
        <v>3627092305</v>
      </c>
      <c r="D38" s="317">
        <f t="shared" ref="D38" si="3">IF(D36="","",D36+D37)</f>
        <v>4166810469</v>
      </c>
      <c r="E38" s="317">
        <f t="shared" ref="E38" si="4">IF(E36="","",E36+E37)</f>
        <v>3924991554</v>
      </c>
      <c r="F38" s="317">
        <f t="shared" ref="F38" si="5">IF(F36="","",F36+F37)</f>
        <v>4164110919</v>
      </c>
      <c r="G38" s="317">
        <f t="shared" ref="G38" si="6">IF(G36="","",G36+G37)</f>
        <v>3945515815</v>
      </c>
      <c r="H38" s="317">
        <f t="shared" ref="H38" si="7">IF(H36="","",H36+H37)</f>
        <v>3890691590</v>
      </c>
      <c r="I38" s="317">
        <f t="shared" ref="I38" si="8">IF(I36="","",I36+I37)</f>
        <v>4288071512</v>
      </c>
      <c r="J38" s="317">
        <f t="shared" ref="J38" si="9">IF(J36="","",J36+J37)</f>
        <v>4765553467</v>
      </c>
      <c r="K38" s="317">
        <f t="shared" ref="K38" si="10">IF(K36="","",K36+K37)</f>
        <v>4994124390</v>
      </c>
      <c r="L38" s="317">
        <f t="shared" ref="L38" si="11">IF(L36="","",L36+L37)</f>
        <v>4118062059</v>
      </c>
      <c r="M38" s="317" t="str">
        <f t="shared" ref="M38" si="12">IF(M36="","",M36+M37)</f>
        <v/>
      </c>
    </row>
    <row r="39" spans="2:13">
      <c r="B39" s="40" t="s">
        <v>54</v>
      </c>
      <c r="C39" s="318">
        <f t="shared" ref="C39:M39" si="13">IF(C$4="","",-C6)</f>
        <v>-2587076947</v>
      </c>
      <c r="D39" s="318">
        <f t="shared" si="13"/>
        <v>-2472052826</v>
      </c>
      <c r="E39" s="318">
        <f t="shared" si="13"/>
        <v>-2474489551</v>
      </c>
      <c r="F39" s="318">
        <f t="shared" si="13"/>
        <v>-2654508105</v>
      </c>
      <c r="G39" s="318">
        <f t="shared" si="13"/>
        <v>-1974885174</v>
      </c>
      <c r="H39" s="318">
        <f t="shared" si="13"/>
        <v>-1837469000</v>
      </c>
      <c r="I39" s="318">
        <f t="shared" si="13"/>
        <v>-1855864520</v>
      </c>
      <c r="J39" s="318">
        <f t="shared" si="13"/>
        <v>-3107662903</v>
      </c>
      <c r="K39" s="318">
        <f t="shared" si="13"/>
        <v>-3565289873</v>
      </c>
      <c r="L39" s="318">
        <f t="shared" si="13"/>
        <v>-2862797189</v>
      </c>
      <c r="M39" s="318" t="str">
        <f t="shared" si="13"/>
        <v/>
      </c>
    </row>
    <row r="40" spans="2:13">
      <c r="B40" s="69" t="s">
        <v>61</v>
      </c>
      <c r="C40" s="320">
        <f t="shared" ref="C40:M40" si="14">IF(C$4="","",-C7)</f>
        <v>-775878829</v>
      </c>
      <c r="D40" s="320">
        <f t="shared" si="14"/>
        <v>-812050107</v>
      </c>
      <c r="E40" s="320">
        <f t="shared" si="14"/>
        <v>-922966476</v>
      </c>
      <c r="F40" s="320">
        <f t="shared" si="14"/>
        <v>-1146157898</v>
      </c>
      <c r="G40" s="320">
        <f t="shared" si="14"/>
        <v>-634916493</v>
      </c>
      <c r="H40" s="320">
        <f t="shared" si="14"/>
        <v>-595595416</v>
      </c>
      <c r="I40" s="320">
        <f t="shared" si="14"/>
        <v>-678292721</v>
      </c>
      <c r="J40" s="320">
        <f t="shared" si="14"/>
        <v>-1085064842</v>
      </c>
      <c r="K40" s="320">
        <f t="shared" si="14"/>
        <v>-1910926978</v>
      </c>
      <c r="L40" s="320">
        <f t="shared" si="14"/>
        <v>-1707428207</v>
      </c>
      <c r="M40" s="320" t="str">
        <f t="shared" si="14"/>
        <v/>
      </c>
    </row>
    <row r="41" spans="2:13">
      <c r="B41" s="69" t="s">
        <v>64</v>
      </c>
      <c r="C41" s="320">
        <f>IF(C$4="","",C39-C40)</f>
        <v>-1811198118</v>
      </c>
      <c r="D41" s="320">
        <f t="shared" ref="D41:M41" si="15">IF(D$4="","",D39-D40)</f>
        <v>-1660002719</v>
      </c>
      <c r="E41" s="320">
        <f t="shared" si="15"/>
        <v>-1551523075</v>
      </c>
      <c r="F41" s="320">
        <f t="shared" si="15"/>
        <v>-1508350207</v>
      </c>
      <c r="G41" s="320">
        <f t="shared" si="15"/>
        <v>-1339968681</v>
      </c>
      <c r="H41" s="320">
        <f t="shared" si="15"/>
        <v>-1241873584</v>
      </c>
      <c r="I41" s="320">
        <f t="shared" si="15"/>
        <v>-1177571799</v>
      </c>
      <c r="J41" s="320">
        <f t="shared" si="15"/>
        <v>-2022598061</v>
      </c>
      <c r="K41" s="320">
        <f t="shared" si="15"/>
        <v>-1654362895</v>
      </c>
      <c r="L41" s="320">
        <f t="shared" si="15"/>
        <v>-1155368982</v>
      </c>
      <c r="M41" s="320" t="str">
        <f t="shared" si="15"/>
        <v/>
      </c>
    </row>
    <row r="42" spans="2:13">
      <c r="B42" s="40" t="s">
        <v>49</v>
      </c>
      <c r="C42" s="318">
        <f t="shared" ref="C42:M42" si="16">IF(C$4="","",-C8)</f>
        <v>-218971112</v>
      </c>
      <c r="D42" s="318">
        <f t="shared" si="16"/>
        <v>-230826900</v>
      </c>
      <c r="E42" s="318">
        <f t="shared" si="16"/>
        <v>-251189350</v>
      </c>
      <c r="F42" s="318">
        <f t="shared" si="16"/>
        <v>-238378620</v>
      </c>
      <c r="G42" s="318">
        <f t="shared" si="16"/>
        <v>-208413520</v>
      </c>
      <c r="H42" s="318">
        <f t="shared" si="16"/>
        <v>-390411956</v>
      </c>
      <c r="I42" s="318">
        <f t="shared" si="16"/>
        <v>-833049901</v>
      </c>
      <c r="J42" s="318">
        <f t="shared" si="16"/>
        <v>0</v>
      </c>
      <c r="K42" s="318">
        <f t="shared" si="16"/>
        <v>0</v>
      </c>
      <c r="L42" s="318">
        <f t="shared" si="16"/>
        <v>0</v>
      </c>
      <c r="M42" s="318" t="str">
        <f t="shared" si="16"/>
        <v/>
      </c>
    </row>
    <row r="43" spans="2:13">
      <c r="B43" s="43" t="s">
        <v>153</v>
      </c>
      <c r="C43" s="319">
        <f>IF(C$4="","",C38+C39+C42)</f>
        <v>821044246</v>
      </c>
      <c r="D43" s="319">
        <f t="shared" ref="D43:M43" si="17">IF(D$4="","",D38+D39+D42)</f>
        <v>1463930743</v>
      </c>
      <c r="E43" s="319">
        <f t="shared" si="17"/>
        <v>1199312653</v>
      </c>
      <c r="F43" s="319">
        <f t="shared" si="17"/>
        <v>1271224194</v>
      </c>
      <c r="G43" s="319">
        <f t="shared" si="17"/>
        <v>1762217121</v>
      </c>
      <c r="H43" s="319">
        <f t="shared" si="17"/>
        <v>1662810634</v>
      </c>
      <c r="I43" s="319">
        <f t="shared" si="17"/>
        <v>1599157091</v>
      </c>
      <c r="J43" s="319">
        <f t="shared" si="17"/>
        <v>1657890564</v>
      </c>
      <c r="K43" s="319">
        <f t="shared" si="17"/>
        <v>1428834517</v>
      </c>
      <c r="L43" s="319">
        <f t="shared" si="17"/>
        <v>1255264870</v>
      </c>
      <c r="M43" s="319" t="str">
        <f t="shared" si="17"/>
        <v/>
      </c>
    </row>
    <row r="44" spans="2:13">
      <c r="B44" s="43" t="s">
        <v>169</v>
      </c>
      <c r="C44" s="180">
        <f t="shared" ref="C44:M44" si="18">IF(C$4="","",C47-C46-C45-C43)</f>
        <v>206934892</v>
      </c>
      <c r="D44" s="180">
        <f t="shared" si="18"/>
        <v>-18511612</v>
      </c>
      <c r="E44" s="180">
        <f t="shared" si="18"/>
        <v>344315635</v>
      </c>
      <c r="F44" s="180">
        <f t="shared" si="18"/>
        <v>763452261</v>
      </c>
      <c r="G44" s="180">
        <f t="shared" si="18"/>
        <v>30539566</v>
      </c>
      <c r="H44" s="180">
        <f t="shared" si="18"/>
        <v>83096453</v>
      </c>
      <c r="I44" s="180">
        <f t="shared" si="18"/>
        <v>93192318</v>
      </c>
      <c r="J44" s="180">
        <f t="shared" si="18"/>
        <v>-159339207</v>
      </c>
      <c r="K44" s="180">
        <f t="shared" si="18"/>
        <v>-60217094</v>
      </c>
      <c r="L44" s="180">
        <f t="shared" si="18"/>
        <v>-35060857</v>
      </c>
      <c r="M44" s="180" t="str">
        <f t="shared" si="18"/>
        <v/>
      </c>
    </row>
    <row r="45" spans="2:13">
      <c r="B45" s="40" t="s">
        <v>68</v>
      </c>
      <c r="C45" s="76">
        <f t="shared" ref="C45:M45" si="19">IF(C$4="","",C51+C52)</f>
        <v>154715218</v>
      </c>
      <c r="D45" s="76">
        <f t="shared" si="19"/>
        <v>263051681</v>
      </c>
      <c r="E45" s="76">
        <f t="shared" si="19"/>
        <v>415626637</v>
      </c>
      <c r="F45" s="76">
        <f t="shared" si="19"/>
        <v>271634704</v>
      </c>
      <c r="G45" s="76">
        <f t="shared" si="19"/>
        <v>124427241</v>
      </c>
      <c r="H45" s="76">
        <f t="shared" si="19"/>
        <v>41355653</v>
      </c>
      <c r="I45" s="76">
        <f t="shared" si="19"/>
        <v>28431074</v>
      </c>
      <c r="J45" s="76">
        <f t="shared" si="19"/>
        <v>0</v>
      </c>
      <c r="K45" s="76">
        <f t="shared" si="19"/>
        <v>0</v>
      </c>
      <c r="L45" s="76">
        <f t="shared" si="19"/>
        <v>0</v>
      </c>
      <c r="M45" s="76" t="str">
        <f t="shared" si="19"/>
        <v/>
      </c>
    </row>
    <row r="46" spans="2:13">
      <c r="B46" s="40" t="s">
        <v>50</v>
      </c>
      <c r="C46" s="318">
        <f t="shared" ref="C46:M46" si="20">IF(C$4="","",-C14)</f>
        <v>-399466141</v>
      </c>
      <c r="D46" s="318">
        <f t="shared" si="20"/>
        <v>245723033</v>
      </c>
      <c r="E46" s="318">
        <f t="shared" si="20"/>
        <v>-42708255</v>
      </c>
      <c r="F46" s="318">
        <f t="shared" si="20"/>
        <v>-256010400</v>
      </c>
      <c r="G46" s="318">
        <f t="shared" si="20"/>
        <v>-87059787</v>
      </c>
      <c r="H46" s="318">
        <f t="shared" si="20"/>
        <v>-55904457</v>
      </c>
      <c r="I46" s="318">
        <f t="shared" si="20"/>
        <v>-94528010</v>
      </c>
      <c r="J46" s="318">
        <f t="shared" si="20"/>
        <v>-46504665</v>
      </c>
      <c r="K46" s="318">
        <f t="shared" si="20"/>
        <v>-88878250</v>
      </c>
      <c r="L46" s="318">
        <f t="shared" si="20"/>
        <v>-58244331</v>
      </c>
      <c r="M46" s="318" t="str">
        <f t="shared" si="20"/>
        <v/>
      </c>
    </row>
    <row r="47" spans="2:13">
      <c r="B47" s="43" t="s">
        <v>42</v>
      </c>
      <c r="C47" s="319">
        <f t="shared" ref="C47:M47" si="21">IF(C$4="","",C15)</f>
        <v>783228215</v>
      </c>
      <c r="D47" s="319">
        <f t="shared" si="21"/>
        <v>1954193845</v>
      </c>
      <c r="E47" s="319">
        <f t="shared" si="21"/>
        <v>1916546670</v>
      </c>
      <c r="F47" s="319">
        <f t="shared" si="21"/>
        <v>2050300759</v>
      </c>
      <c r="G47" s="319">
        <f t="shared" si="21"/>
        <v>1830124141</v>
      </c>
      <c r="H47" s="319">
        <f t="shared" si="21"/>
        <v>1731358283</v>
      </c>
      <c r="I47" s="319">
        <f t="shared" si="21"/>
        <v>1626252473</v>
      </c>
      <c r="J47" s="319">
        <f t="shared" si="21"/>
        <v>1452046692</v>
      </c>
      <c r="K47" s="319">
        <f t="shared" si="21"/>
        <v>1279739173</v>
      </c>
      <c r="L47" s="319">
        <f t="shared" si="21"/>
        <v>1161959682</v>
      </c>
      <c r="M47" s="319" t="str">
        <f t="shared" si="21"/>
        <v/>
      </c>
    </row>
    <row r="48" spans="2:13">
      <c r="B48" s="28" t="s">
        <v>44</v>
      </c>
      <c r="C48" s="318">
        <f t="shared" ref="C48:M48" si="22">IF(C$4="","",MIN(-C16,0))</f>
        <v>-38841055</v>
      </c>
      <c r="D48" s="318">
        <f t="shared" si="22"/>
        <v>0</v>
      </c>
      <c r="E48" s="318">
        <f t="shared" si="22"/>
        <v>0</v>
      </c>
      <c r="F48" s="318">
        <f t="shared" si="22"/>
        <v>-6877210</v>
      </c>
      <c r="G48" s="318">
        <f t="shared" si="22"/>
        <v>-24515876</v>
      </c>
      <c r="H48" s="318">
        <f t="shared" si="22"/>
        <v>-5877927</v>
      </c>
      <c r="I48" s="318">
        <f t="shared" si="22"/>
        <v>-7143161</v>
      </c>
      <c r="J48" s="318">
        <f t="shared" si="22"/>
        <v>-305152</v>
      </c>
      <c r="K48" s="318">
        <f t="shared" si="22"/>
        <v>0</v>
      </c>
      <c r="L48" s="318">
        <f t="shared" si="22"/>
        <v>-104004453</v>
      </c>
      <c r="M48" s="318" t="str">
        <f t="shared" si="22"/>
        <v/>
      </c>
    </row>
    <row r="50" spans="2:13">
      <c r="B50" s="16" t="s">
        <v>68</v>
      </c>
    </row>
    <row r="51" spans="2:13">
      <c r="B51" s="40" t="s">
        <v>39</v>
      </c>
      <c r="C51" s="318">
        <f t="shared" ref="C51:M51" si="23">IF(C$4="","",-C12)</f>
        <v>-127330087</v>
      </c>
      <c r="D51" s="318">
        <f t="shared" si="23"/>
        <v>-145285501</v>
      </c>
      <c r="E51" s="318">
        <f t="shared" si="23"/>
        <v>-161564792</v>
      </c>
      <c r="F51" s="318">
        <f t="shared" si="23"/>
        <v>-169466694</v>
      </c>
      <c r="G51" s="318">
        <f t="shared" si="23"/>
        <v>-139996345</v>
      </c>
      <c r="H51" s="318">
        <f t="shared" si="23"/>
        <v>-156549769</v>
      </c>
      <c r="I51" s="318">
        <f t="shared" si="23"/>
        <v>-87319034</v>
      </c>
      <c r="J51" s="318">
        <f t="shared" si="23"/>
        <v>0</v>
      </c>
      <c r="K51" s="318">
        <f t="shared" si="23"/>
        <v>0</v>
      </c>
      <c r="L51" s="318">
        <f t="shared" si="23"/>
        <v>0</v>
      </c>
      <c r="M51" s="318" t="str">
        <f t="shared" si="23"/>
        <v/>
      </c>
    </row>
    <row r="52" spans="2:13">
      <c r="B52" s="40" t="s">
        <v>67</v>
      </c>
      <c r="C52" s="318">
        <f t="shared" ref="C52:M52" si="24">IF(C$4="","",C13)</f>
        <v>282045305</v>
      </c>
      <c r="D52" s="318">
        <f t="shared" si="24"/>
        <v>408337182</v>
      </c>
      <c r="E52" s="318">
        <f t="shared" si="24"/>
        <v>577191429</v>
      </c>
      <c r="F52" s="318">
        <f t="shared" si="24"/>
        <v>441101398</v>
      </c>
      <c r="G52" s="318">
        <f t="shared" si="24"/>
        <v>264423586</v>
      </c>
      <c r="H52" s="318">
        <f t="shared" si="24"/>
        <v>197905422</v>
      </c>
      <c r="I52" s="318">
        <f t="shared" si="24"/>
        <v>115750108</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206934892</v>
      </c>
      <c r="D58" s="76">
        <f t="shared" ref="D58:M58" si="28">IF(D$4="","",D44-D55-D56-D57)</f>
        <v>-18511612</v>
      </c>
      <c r="E58" s="76">
        <f t="shared" si="28"/>
        <v>344315635</v>
      </c>
      <c r="F58" s="76">
        <f t="shared" si="28"/>
        <v>763452261</v>
      </c>
      <c r="G58" s="76">
        <f t="shared" si="28"/>
        <v>30539566</v>
      </c>
      <c r="H58" s="76">
        <f t="shared" si="28"/>
        <v>83096453</v>
      </c>
      <c r="I58" s="76">
        <f t="shared" si="28"/>
        <v>93192318</v>
      </c>
      <c r="J58" s="76">
        <f t="shared" si="28"/>
        <v>-159339207</v>
      </c>
      <c r="K58" s="76">
        <f t="shared" si="28"/>
        <v>-60217094</v>
      </c>
      <c r="L58" s="76">
        <f t="shared" si="28"/>
        <v>-35060857</v>
      </c>
      <c r="M58" s="76" t="str">
        <f t="shared" si="28"/>
        <v/>
      </c>
    </row>
    <row r="60" spans="2:13">
      <c r="B60" s="16" t="s">
        <v>51</v>
      </c>
      <c r="C60" s="9"/>
    </row>
    <row r="61" spans="2:13">
      <c r="B61" s="27" t="s">
        <v>47</v>
      </c>
      <c r="C61" s="318">
        <f>IF(C$4="","",-C19)</f>
        <v>-304213708</v>
      </c>
      <c r="D61" s="318">
        <f t="shared" ref="D61:M61" si="29">IF(D$4="","",-D19)</f>
        <v>-284765003</v>
      </c>
      <c r="E61" s="318">
        <f t="shared" si="29"/>
        <v>-280160892</v>
      </c>
      <c r="F61" s="318">
        <f t="shared" si="29"/>
        <v>-262044527</v>
      </c>
      <c r="G61" s="318">
        <f t="shared" si="29"/>
        <v>-233520143</v>
      </c>
      <c r="H61" s="318">
        <f t="shared" si="29"/>
        <v>-241901529</v>
      </c>
      <c r="I61" s="318">
        <f t="shared" si="29"/>
        <v>-213366792</v>
      </c>
      <c r="J61" s="318">
        <f t="shared" si="29"/>
        <v>0</v>
      </c>
      <c r="K61" s="318">
        <f t="shared" si="29"/>
        <v>0</v>
      </c>
      <c r="L61" s="318">
        <f t="shared" si="29"/>
        <v>0</v>
      </c>
      <c r="M61" s="318" t="str">
        <f t="shared" si="29"/>
        <v/>
      </c>
    </row>
    <row r="62" spans="2:13">
      <c r="B62" s="27" t="s">
        <v>53</v>
      </c>
      <c r="C62" s="318">
        <f>IF(C$4="","",IF(C20=0,C61,-C20))</f>
        <v>-304213708</v>
      </c>
      <c r="D62" s="318">
        <f t="shared" ref="D62:M62" si="30">IF(D$4="","",IF(D20=0,D61,-D20))</f>
        <v>-284765003</v>
      </c>
      <c r="E62" s="318">
        <f t="shared" si="30"/>
        <v>-280160892</v>
      </c>
      <c r="F62" s="318">
        <f t="shared" si="30"/>
        <v>-262044527</v>
      </c>
      <c r="G62" s="318">
        <f t="shared" si="30"/>
        <v>-233520143</v>
      </c>
      <c r="H62" s="318">
        <f t="shared" si="30"/>
        <v>-241901529</v>
      </c>
      <c r="I62" s="318">
        <f t="shared" si="30"/>
        <v>-213366792</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-6742247906</v>
      </c>
      <c r="D64" s="318">
        <f t="shared" ref="D64:M64" si="32">IF(D$4="","",D22+D23+D24)</f>
        <v>-1385358659</v>
      </c>
      <c r="E64" s="318">
        <f t="shared" si="32"/>
        <v>2266986271</v>
      </c>
      <c r="F64" s="318">
        <f t="shared" si="32"/>
        <v>2093537595</v>
      </c>
      <c r="G64" s="318">
        <f t="shared" si="32"/>
        <v>74395212</v>
      </c>
      <c r="H64" s="318">
        <f t="shared" si="32"/>
        <v>1280384039</v>
      </c>
      <c r="I64" s="318">
        <f t="shared" si="32"/>
        <v>1338415467</v>
      </c>
      <c r="J64" s="318">
        <f t="shared" si="32"/>
        <v>-444670205</v>
      </c>
      <c r="K64" s="318">
        <f t="shared" si="32"/>
        <v>882724184</v>
      </c>
      <c r="L64" s="318">
        <f t="shared" si="32"/>
        <v>1843840924</v>
      </c>
      <c r="M64" s="318"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169</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30591809954.200005</v>
      </c>
      <c r="D76" s="76">
        <f t="shared" ref="D76:M76" si="39">IF(D$4="","",D79+D80)</f>
        <v>29289690562</v>
      </c>
      <c r="E76" s="76">
        <f t="shared" si="39"/>
        <v>28730992292</v>
      </c>
      <c r="F76" s="76">
        <f t="shared" si="39"/>
        <v>26567137006</v>
      </c>
      <c r="G76" s="76">
        <f t="shared" si="39"/>
        <v>24370351033</v>
      </c>
      <c r="H76" s="76">
        <f t="shared" si="39"/>
        <v>22814336624</v>
      </c>
      <c r="I76" s="76">
        <f t="shared" si="39"/>
        <v>23725530086</v>
      </c>
      <c r="J76" s="76">
        <f t="shared" si="39"/>
        <v>20480659318</v>
      </c>
      <c r="K76" s="76">
        <f t="shared" si="39"/>
        <v>18856419515</v>
      </c>
      <c r="L76" s="76">
        <f t="shared" si="39"/>
        <v>17607266697</v>
      </c>
      <c r="M76" s="76" t="str">
        <f t="shared" si="39"/>
        <v/>
      </c>
    </row>
    <row r="77" spans="2:13">
      <c r="B77" s="93" t="s">
        <v>86</v>
      </c>
      <c r="C77" s="320">
        <f t="shared" ref="C77:H78" si="40">IF(C$4="","",C28)</f>
        <v>1910217201.7599998</v>
      </c>
      <c r="D77" s="320">
        <f t="shared" si="40"/>
        <v>834568719</v>
      </c>
      <c r="E77" s="320">
        <f t="shared" si="40"/>
        <v>1061824178</v>
      </c>
      <c r="F77" s="320">
        <f t="shared" si="40"/>
        <v>925201481</v>
      </c>
      <c r="G77" s="320">
        <f t="shared" si="40"/>
        <v>854194501</v>
      </c>
      <c r="H77" s="320">
        <f t="shared" si="40"/>
        <v>1181367947</v>
      </c>
      <c r="I77" s="324"/>
      <c r="J77" s="324"/>
      <c r="K77" s="324"/>
      <c r="L77" s="324"/>
      <c r="M77" s="324"/>
    </row>
    <row r="78" spans="2:13">
      <c r="B78" s="93" t="s">
        <v>87</v>
      </c>
      <c r="C78" s="320">
        <f t="shared" si="40"/>
        <v>1152244678.0699999</v>
      </c>
      <c r="D78" s="320">
        <f t="shared" si="40"/>
        <v>959867234</v>
      </c>
      <c r="E78" s="320">
        <f t="shared" si="40"/>
        <v>1086298738</v>
      </c>
      <c r="F78" s="320">
        <f t="shared" si="40"/>
        <v>1224714311</v>
      </c>
      <c r="G78" s="320">
        <f t="shared" si="40"/>
        <v>1118318039</v>
      </c>
      <c r="H78" s="320">
        <f t="shared" si="40"/>
        <v>1167338551</v>
      </c>
      <c r="I78" s="324"/>
      <c r="J78" s="324"/>
      <c r="K78" s="324"/>
      <c r="L78" s="324"/>
      <c r="M78" s="324"/>
    </row>
    <row r="79" spans="2:13">
      <c r="B79" s="26" t="s">
        <v>40</v>
      </c>
      <c r="C79" s="318">
        <f t="shared" ref="C79:M79" si="41">IF(C$4="","",C30)</f>
        <v>12382480837.01</v>
      </c>
      <c r="D79" s="318">
        <f t="shared" si="41"/>
        <v>10670434743</v>
      </c>
      <c r="E79" s="318">
        <f t="shared" si="41"/>
        <v>11040803287</v>
      </c>
      <c r="F79" s="318">
        <f t="shared" si="41"/>
        <v>9869570784</v>
      </c>
      <c r="G79" s="318">
        <f t="shared" si="41"/>
        <v>9001654126</v>
      </c>
      <c r="H79" s="318">
        <f t="shared" si="41"/>
        <v>8576109791</v>
      </c>
      <c r="I79" s="318">
        <f t="shared" si="41"/>
        <v>10230716015</v>
      </c>
      <c r="J79" s="318">
        <f t="shared" si="41"/>
        <v>8088092587</v>
      </c>
      <c r="K79" s="318">
        <f t="shared" si="41"/>
        <v>7643685931</v>
      </c>
      <c r="L79" s="318">
        <f t="shared" si="41"/>
        <v>7296360629</v>
      </c>
      <c r="M79" s="318" t="str">
        <f t="shared" si="41"/>
        <v/>
      </c>
    </row>
    <row r="80" spans="2:13">
      <c r="B80" s="26" t="s">
        <v>30</v>
      </c>
      <c r="C80" s="318">
        <f t="shared" ref="C80:M80" si="42">IF(C$4="","",C31)</f>
        <v>18209329117.190002</v>
      </c>
      <c r="D80" s="318">
        <f t="shared" si="42"/>
        <v>18619255819</v>
      </c>
      <c r="E80" s="318">
        <f t="shared" si="42"/>
        <v>17690189005</v>
      </c>
      <c r="F80" s="318">
        <f t="shared" si="42"/>
        <v>16697566222</v>
      </c>
      <c r="G80" s="318">
        <f t="shared" si="42"/>
        <v>15368696907</v>
      </c>
      <c r="H80" s="318">
        <f t="shared" si="42"/>
        <v>14238226833</v>
      </c>
      <c r="I80" s="318">
        <f t="shared" si="42"/>
        <v>13494814071</v>
      </c>
      <c r="J80" s="318">
        <f t="shared" si="42"/>
        <v>12392566731</v>
      </c>
      <c r="K80" s="318">
        <f t="shared" si="42"/>
        <v>11212733584</v>
      </c>
      <c r="L80" s="318">
        <f t="shared" si="42"/>
        <v>10310906068</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20858204.32+1750682273.49+7611314.85+131065409.1</f>
        <v>1910217201.7599998</v>
      </c>
      <c r="D4" s="261">
        <v>0.6</v>
      </c>
      <c r="E4" s="25"/>
      <c r="F4" s="4" t="s">
        <v>78</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178</v>
      </c>
      <c r="G6" s="19">
        <v>0</v>
      </c>
      <c r="H6" s="261">
        <v>0.6</v>
      </c>
    </row>
    <row r="7" spans="2:8" ht="15" customHeight="1">
      <c r="B7" s="1" t="s">
        <v>69</v>
      </c>
      <c r="C7" s="19">
        <v>0</v>
      </c>
      <c r="D7" s="261">
        <v>0.6</v>
      </c>
      <c r="E7" s="25"/>
      <c r="F7" s="4" t="s">
        <v>179</v>
      </c>
      <c r="G7" s="19">
        <v>5809566736.8500004</v>
      </c>
      <c r="H7" s="261">
        <v>0.6</v>
      </c>
    </row>
    <row r="8" spans="2:8" ht="15" customHeight="1">
      <c r="B8" s="1" t="s">
        <v>174</v>
      </c>
      <c r="C8" s="19">
        <v>0</v>
      </c>
      <c r="D8" s="261">
        <v>0.6</v>
      </c>
      <c r="E8" s="25"/>
      <c r="F8" s="1" t="s">
        <v>180</v>
      </c>
      <c r="G8" s="19">
        <v>0</v>
      </c>
      <c r="H8" s="261">
        <v>0.6</v>
      </c>
    </row>
    <row r="9" spans="2:8" ht="15" customHeight="1">
      <c r="B9" s="4" t="s">
        <v>25</v>
      </c>
      <c r="C9" s="19">
        <v>382020580.81</v>
      </c>
      <c r="D9" s="261">
        <v>0.1</v>
      </c>
      <c r="E9" s="25"/>
      <c r="F9" s="4" t="s">
        <v>181</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f>55162498.36</f>
        <v>55162498.359999999</v>
      </c>
      <c r="D15" s="261">
        <v>0.4</v>
      </c>
      <c r="F15" s="4" t="s">
        <v>79</v>
      </c>
      <c r="G15" s="19">
        <v>0</v>
      </c>
      <c r="H15" s="261">
        <v>0.8</v>
      </c>
    </row>
    <row r="16" spans="2:8" ht="15" customHeight="1">
      <c r="B16" s="1" t="s">
        <v>34</v>
      </c>
      <c r="C16" s="19">
        <f>44364412.13+1023569661.78</f>
        <v>1067934073.91</v>
      </c>
      <c r="D16" s="261">
        <v>0.5</v>
      </c>
      <c r="F16" s="4" t="s">
        <v>178</v>
      </c>
      <c r="G16" s="19">
        <v>0</v>
      </c>
      <c r="H16" s="261">
        <v>0.6</v>
      </c>
    </row>
    <row r="17" spans="2:8" ht="15" customHeight="1">
      <c r="B17" s="1" t="s">
        <v>69</v>
      </c>
      <c r="C17" s="19">
        <v>666543619.20000005</v>
      </c>
      <c r="D17" s="261">
        <v>0.6</v>
      </c>
      <c r="F17" s="4" t="s">
        <v>179</v>
      </c>
      <c r="G17" s="19">
        <v>11101623.65</v>
      </c>
      <c r="H17" s="261">
        <v>0.6</v>
      </c>
    </row>
    <row r="18" spans="2:8" ht="15" customHeight="1">
      <c r="B18" s="4" t="s">
        <v>174</v>
      </c>
      <c r="C18" s="19">
        <v>0</v>
      </c>
      <c r="D18" s="261">
        <v>0.6</v>
      </c>
      <c r="F18" s="4" t="s">
        <v>182</v>
      </c>
      <c r="G18" s="19">
        <v>0</v>
      </c>
      <c r="H18" s="261">
        <v>0.1</v>
      </c>
    </row>
    <row r="19" spans="2:8" ht="15" customHeight="1">
      <c r="B19" s="4" t="s">
        <v>26</v>
      </c>
      <c r="C19" s="19">
        <f>2110695200.78+216680982.55+108677337.18</f>
        <v>2436053520.5099998</v>
      </c>
      <c r="D19" s="261">
        <v>0.1</v>
      </c>
      <c r="F19" s="4" t="s">
        <v>183</v>
      </c>
      <c r="G19" s="19">
        <v>1925789668.97</v>
      </c>
      <c r="H19" s="261">
        <v>0.1</v>
      </c>
    </row>
    <row r="20" spans="2:8" ht="15" customHeight="1">
      <c r="B20" s="4" t="s">
        <v>18</v>
      </c>
      <c r="C20" s="19">
        <v>0</v>
      </c>
      <c r="D20" s="261">
        <v>0.05</v>
      </c>
      <c r="F20" s="4" t="s">
        <v>180</v>
      </c>
      <c r="G20" s="19">
        <v>0</v>
      </c>
      <c r="H20" s="261">
        <v>0.2</v>
      </c>
    </row>
    <row r="21" spans="2:8" ht="15" customHeight="1">
      <c r="B21" s="4" t="s">
        <v>19</v>
      </c>
      <c r="C21" s="19">
        <v>730819471.01999998</v>
      </c>
      <c r="D21" s="261">
        <v>0.05</v>
      </c>
      <c r="F21" s="1" t="s">
        <v>181</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74</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201</v>
      </c>
      <c r="C26" s="182" t="s">
        <v>137</v>
      </c>
      <c r="F26" s="184" t="s">
        <v>197</v>
      </c>
      <c r="G26" s="185" t="s">
        <v>137</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245</v>
      </c>
      <c r="G28" s="12">
        <v>337582462.13999999</v>
      </c>
      <c r="H28" s="188"/>
    </row>
    <row r="29" spans="2:8" ht="15" customHeight="1">
      <c r="B29" s="4" t="s">
        <v>7</v>
      </c>
      <c r="C29" s="19">
        <v>0</v>
      </c>
      <c r="F29" s="190" t="s">
        <v>76</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204</v>
      </c>
      <c r="C31" s="81">
        <f>SUM(C27:C30)</f>
        <v>1601516869.78</v>
      </c>
      <c r="F31" s="190" t="s">
        <v>77</v>
      </c>
      <c r="G31" s="191">
        <f>C31+C40</f>
        <v>1685959940.8299999</v>
      </c>
      <c r="H31" s="188"/>
    </row>
    <row r="32" spans="2:8" ht="15" customHeight="1">
      <c r="B32" s="4" t="s">
        <v>9</v>
      </c>
      <c r="C32" s="21">
        <f>C33-C31</f>
        <v>9721988024.8299999</v>
      </c>
      <c r="F32" s="192" t="s">
        <v>75</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12274486711.290001</v>
      </c>
      <c r="H35" s="200">
        <f>D12+D24</f>
        <v>3204252572.8899999</v>
      </c>
    </row>
    <row r="36" spans="2:8" ht="15" customHeight="1">
      <c r="B36" s="4" t="s">
        <v>13</v>
      </c>
      <c r="C36" s="19">
        <v>0</v>
      </c>
      <c r="F36" s="190" t="s">
        <v>198</v>
      </c>
      <c r="G36" s="191">
        <f>C4+C15</f>
        <v>1965379700.1199996</v>
      </c>
      <c r="H36" s="195"/>
    </row>
    <row r="37" spans="2:8" ht="15" customHeight="1">
      <c r="B37" s="4" t="s">
        <v>14</v>
      </c>
      <c r="C37" s="19">
        <v>84443071.049999997</v>
      </c>
      <c r="F37" s="190" t="s">
        <v>199</v>
      </c>
      <c r="G37" s="191">
        <f>C6</f>
        <v>1152244678.0699999</v>
      </c>
      <c r="H37" s="195"/>
    </row>
    <row r="38" spans="2:8" ht="15" customHeight="1">
      <c r="B38" s="4" t="s">
        <v>15</v>
      </c>
      <c r="C38" s="19">
        <v>0</v>
      </c>
      <c r="F38" s="190" t="s">
        <v>200</v>
      </c>
      <c r="G38" s="191">
        <f>C7+C17</f>
        <v>666543619.20000005</v>
      </c>
      <c r="H38" s="195"/>
    </row>
    <row r="39" spans="2:8" ht="15" customHeight="1">
      <c r="B39" s="2" t="s">
        <v>16</v>
      </c>
      <c r="C39" s="19">
        <v>0</v>
      </c>
      <c r="F39" s="190" t="s">
        <v>80</v>
      </c>
      <c r="G39" s="191">
        <f>C7+C17+C19+C20</f>
        <v>3102597139.71</v>
      </c>
      <c r="H39" s="188">
        <f>C7*D7+C17*D17+C19*D19+C20*D20</f>
        <v>643531523.5710001</v>
      </c>
    </row>
    <row r="40" spans="2:8" ht="15" customHeight="1">
      <c r="B40" s="80" t="s">
        <v>205</v>
      </c>
      <c r="C40" s="81">
        <f>SUM(C36:C39)</f>
        <v>84443071.049999997</v>
      </c>
      <c r="F40" s="199" t="s">
        <v>139</v>
      </c>
      <c r="G40" s="193">
        <f>G12+G24</f>
        <v>18317323242.91</v>
      </c>
      <c r="H40" s="200">
        <f>H12+H24</f>
        <v>13198758675.293001</v>
      </c>
    </row>
    <row r="41" spans="2:8" ht="15" customHeight="1">
      <c r="B41" s="4" t="s">
        <v>17</v>
      </c>
      <c r="C41" s="21">
        <f>C42-C40</f>
        <v>974532871.35000002</v>
      </c>
      <c r="F41" s="190" t="s">
        <v>192</v>
      </c>
      <c r="G41" s="191">
        <f>C70</f>
        <v>10570865213.440001</v>
      </c>
      <c r="H41" s="200">
        <f>H40-H42</f>
        <v>9513778692.0960007</v>
      </c>
    </row>
    <row r="42" spans="2:8" ht="15" customHeight="1">
      <c r="B42" s="83" t="s">
        <v>22</v>
      </c>
      <c r="C42" s="84">
        <v>1058975942.4</v>
      </c>
      <c r="F42" s="201" t="s">
        <v>193</v>
      </c>
      <c r="G42" s="202">
        <f>C82</f>
        <v>7746458029.4700003</v>
      </c>
      <c r="H42" s="203">
        <f>D82</f>
        <v>3684979983.197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2.0939079363495856</v>
      </c>
      <c r="D50" s="95">
        <f>G31/Normalized_FCF!G8</f>
        <v>2.0534337205866002</v>
      </c>
      <c r="F50" s="253"/>
    </row>
    <row r="51" spans="2:8" ht="15" customHeight="1">
      <c r="B51" s="1" t="s">
        <v>177</v>
      </c>
      <c r="C51" s="181"/>
      <c r="D51" s="92">
        <f>G29/G32</f>
        <v>0.58420036871981029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6.5597355020915529E-2</v>
      </c>
      <c r="D54" s="92">
        <f>Normalized_FCF!G8/G35</f>
        <v>6.6890312019712267E-2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9.8051308081988003E-2</v>
      </c>
      <c r="F58" s="5"/>
    </row>
    <row r="59" spans="2:8" ht="15" customHeight="1">
      <c r="B59" s="1" t="s">
        <v>93</v>
      </c>
      <c r="C59" s="98"/>
      <c r="D59" s="92">
        <f>G39/G32</f>
        <v>0.10141920809376757</v>
      </c>
      <c r="F59" s="253"/>
    </row>
    <row r="60" spans="2:8" ht="15" customHeight="1">
      <c r="F60" s="253"/>
    </row>
    <row r="61" spans="2:8" ht="15" customHeight="1">
      <c r="B61" s="157" t="s">
        <v>275</v>
      </c>
      <c r="C61" s="235" t="s">
        <v>138</v>
      </c>
      <c r="D61" s="197" t="s">
        <v>96</v>
      </c>
      <c r="F61" s="253"/>
    </row>
    <row r="62" spans="2:8" ht="15" customHeight="1">
      <c r="B62" s="1" t="s">
        <v>246</v>
      </c>
      <c r="C62" s="92">
        <f>IF(G28&lt;=0,0,G28/G29)</f>
        <v>1.8889170076983472E-2</v>
      </c>
      <c r="D62" s="92">
        <f>G28/G29</f>
        <v>1.8889170076983472E-2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10570865213.440001</v>
      </c>
      <c r="D66" s="76">
        <f>C66-D75</f>
        <v>7551907966.0066681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10570865213.440001</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-753416779.89999998</v>
      </c>
      <c r="D73" s="355">
        <f>(Normalized_FCF!C25+Normalized_FCF!C35-Normalized_FCF!C91)/12</f>
        <v>-754739311.85833323</v>
      </c>
      <c r="F73" s="1" t="s">
        <v>352</v>
      </c>
    </row>
    <row r="74" spans="2:6" ht="15" customHeight="1">
      <c r="B74" s="257" t="s">
        <v>322</v>
      </c>
      <c r="C74" s="258">
        <f>-$C$66/C73</f>
        <v>14.03056780185206</v>
      </c>
      <c r="D74" s="258">
        <f>-$C$66/D73</f>
        <v>14.005981995839356</v>
      </c>
      <c r="F74" s="253" t="s">
        <v>320</v>
      </c>
    </row>
    <row r="75" spans="2:6" ht="15" customHeight="1">
      <c r="B75" s="80" t="s">
        <v>321</v>
      </c>
      <c r="C75" s="326"/>
      <c r="D75" s="327">
        <f>MAX(-D73*D76,G5)</f>
        <v>3018957247.4333329</v>
      </c>
      <c r="F75" s="253" t="s">
        <v>353</v>
      </c>
    </row>
    <row r="76" spans="2:6" ht="15" customHeight="1">
      <c r="B76" s="259" t="s">
        <v>323</v>
      </c>
      <c r="C76" s="260"/>
      <c r="D76" s="290">
        <f>IF(valuation_method="DCF",IF(D74&lt;=3,1,IF(D74&gt;18,6,2))*2,-C66/D73)</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5820668360.5</v>
      </c>
      <c r="D79" s="76">
        <f>G7*H7+G17*H17</f>
        <v>3492401016.3000002</v>
      </c>
      <c r="F79" s="253"/>
    </row>
    <row r="80" spans="2:6" ht="15" customHeight="1">
      <c r="B80" s="105" t="s">
        <v>183</v>
      </c>
      <c r="C80" s="20">
        <f>G19</f>
        <v>1925789668.97</v>
      </c>
      <c r="D80" s="76">
        <f>G19*H19</f>
        <v>192578966.89700001</v>
      </c>
      <c r="F80" s="253"/>
    </row>
    <row r="81" spans="2:8" ht="15" customHeight="1">
      <c r="B81" s="105" t="s">
        <v>181</v>
      </c>
      <c r="C81" s="20">
        <f>G9+G21</f>
        <v>0</v>
      </c>
      <c r="D81" s="76">
        <f>G9*H9+G21*H21</f>
        <v>0</v>
      </c>
      <c r="F81" s="253"/>
    </row>
    <row r="82" spans="2:8" ht="15" customHeight="1">
      <c r="B82" s="80" t="s">
        <v>190</v>
      </c>
      <c r="C82" s="81">
        <f>SUM(C79:C81)</f>
        <v>7746458029.4700003</v>
      </c>
      <c r="D82" s="81">
        <f>SUM(D79:D81)</f>
        <v>3684979983.197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-1685959940.8299999</v>
      </c>
      <c r="D86" s="223">
        <f>C86*scaling_factor/Common_Shares</f>
        <v>-1.2085541086835108</v>
      </c>
      <c r="E86" s="240" t="str">
        <f>Market_currency</f>
        <v>CNY</v>
      </c>
    </row>
    <row r="87" spans="2:8" ht="15" customHeight="1">
      <c r="B87" s="238" t="s">
        <v>288</v>
      </c>
      <c r="C87" s="76">
        <f>DCF!C8*Exchange_Rate</f>
        <v>7551907966.0066681</v>
      </c>
      <c r="D87" s="223">
        <f>C87*scaling_factor/Common_Shares</f>
        <v>5.4134675324633843</v>
      </c>
      <c r="E87" s="240" t="str">
        <f>Market_currency</f>
        <v>CNY</v>
      </c>
    </row>
    <row r="88" spans="2:8" ht="15" customHeight="1">
      <c r="B88" s="239" t="s">
        <v>190</v>
      </c>
      <c r="C88" s="76">
        <f>DCF!C9*Exchange_Rate</f>
        <v>3684979983.197</v>
      </c>
      <c r="D88" s="223">
        <f>C88*scaling_factor/Common_Shares</f>
        <v>2.6415204722579393</v>
      </c>
      <c r="E88" s="240" t="str">
        <f>Market_currency</f>
        <v>CNY</v>
      </c>
    </row>
    <row r="89" spans="2:8" ht="15" customHeight="1">
      <c r="B89" s="80" t="s">
        <v>292</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G4</f>
        <v>9304036682</v>
      </c>
      <c r="D4" s="57"/>
      <c r="E4" s="266"/>
      <c r="F4" s="57"/>
      <c r="G4" s="339">
        <f>Data!C36</f>
        <v>9304036682</v>
      </c>
      <c r="H4" s="339">
        <f>Data!D36</f>
        <v>10083626566</v>
      </c>
      <c r="I4" s="339">
        <f>Data!E36</f>
        <v>10236379917</v>
      </c>
      <c r="J4" s="339">
        <f>Data!F36</f>
        <v>10714557474</v>
      </c>
      <c r="K4" s="339">
        <f>Data!G36</f>
        <v>10339544971</v>
      </c>
      <c r="L4" s="339">
        <f>Data!H36</f>
        <v>11258180127</v>
      </c>
      <c r="M4" s="339">
        <f>Data!I36</f>
        <v>11512673967</v>
      </c>
      <c r="N4" s="339">
        <f>Data!J36</f>
        <v>13306047614</v>
      </c>
      <c r="O4" s="339">
        <f>Data!K36</f>
        <v>12775837643</v>
      </c>
      <c r="P4" s="339">
        <f>Data!L36</f>
        <v>11601620038</v>
      </c>
      <c r="Q4" s="339" t="str">
        <f>Data!M36</f>
        <v/>
      </c>
    </row>
    <row r="5" spans="1:17" ht="15.75" customHeight="1">
      <c r="A5" s="10"/>
      <c r="B5" s="2" t="s">
        <v>46</v>
      </c>
      <c r="C5" s="334">
        <f>C25</f>
        <v>-6452823206</v>
      </c>
      <c r="E5" s="268"/>
      <c r="G5" s="339">
        <f t="shared" ref="G5:Q5" si="1">G25</f>
        <v>-6452823206</v>
      </c>
      <c r="H5" s="339">
        <f t="shared" si="1"/>
        <v>-6728866204</v>
      </c>
      <c r="I5" s="339">
        <f t="shared" si="1"/>
        <v>-7234354839</v>
      </c>
      <c r="J5" s="339">
        <f t="shared" si="1"/>
        <v>-7696604453</v>
      </c>
      <c r="K5" s="339">
        <f t="shared" si="1"/>
        <v>-7028945649</v>
      </c>
      <c r="L5" s="339">
        <f t="shared" si="1"/>
        <v>-7963083953</v>
      </c>
      <c r="M5" s="339">
        <f t="shared" si="1"/>
        <v>-7902895176</v>
      </c>
      <c r="N5" s="339">
        <f t="shared" si="1"/>
        <v>-9625558989</v>
      </c>
      <c r="O5" s="339">
        <f t="shared" si="1"/>
        <v>-9692640231</v>
      </c>
      <c r="P5" s="339">
        <f t="shared" si="1"/>
        <v>-9190986186</v>
      </c>
      <c r="Q5" s="339" t="str">
        <f t="shared" si="1"/>
        <v/>
      </c>
    </row>
    <row r="6" spans="1:17" ht="15.75" customHeight="1">
      <c r="A6" s="10"/>
      <c r="B6" s="31" t="s">
        <v>48</v>
      </c>
      <c r="C6" s="335">
        <f>C4+C5</f>
        <v>2851213476</v>
      </c>
      <c r="E6" s="268"/>
      <c r="G6" s="335">
        <f>IF(G4="","",G4+G5)</f>
        <v>2851213476</v>
      </c>
      <c r="H6" s="335">
        <f t="shared" ref="H6:Q6" si="2">IF(H4="","",H4+H5)</f>
        <v>3354760362</v>
      </c>
      <c r="I6" s="335">
        <f t="shared" si="2"/>
        <v>3002025078</v>
      </c>
      <c r="J6" s="335">
        <f t="shared" si="2"/>
        <v>3017953021</v>
      </c>
      <c r="K6" s="335">
        <f t="shared" si="2"/>
        <v>3310599322</v>
      </c>
      <c r="L6" s="335">
        <f t="shared" si="2"/>
        <v>3295096174</v>
      </c>
      <c r="M6" s="335">
        <f t="shared" si="2"/>
        <v>3609778791</v>
      </c>
      <c r="N6" s="335">
        <f t="shared" si="2"/>
        <v>3680488625</v>
      </c>
      <c r="O6" s="335">
        <f t="shared" si="2"/>
        <v>3083197412</v>
      </c>
      <c r="P6" s="335">
        <f t="shared" si="2"/>
        <v>2410633852</v>
      </c>
      <c r="Q6" s="335" t="str">
        <f t="shared" si="2"/>
        <v/>
      </c>
    </row>
    <row r="7" spans="1:17" ht="15.75" customHeight="1">
      <c r="A7" s="10"/>
      <c r="B7" s="8" t="s">
        <v>45</v>
      </c>
      <c r="C7" s="334">
        <f>C35</f>
        <v>-2046039613.5</v>
      </c>
      <c r="E7" s="268"/>
      <c r="G7" s="334">
        <f t="shared" ref="G7:Q7" si="3">G35</f>
        <v>-2030169230</v>
      </c>
      <c r="H7" s="334">
        <f t="shared" si="3"/>
        <v>-1890829619</v>
      </c>
      <c r="I7" s="334">
        <f t="shared" si="3"/>
        <v>-1802712425</v>
      </c>
      <c r="J7" s="334">
        <f t="shared" si="3"/>
        <v>-1746728827</v>
      </c>
      <c r="K7" s="334">
        <f t="shared" si="3"/>
        <v>-1548382201</v>
      </c>
      <c r="L7" s="334">
        <f t="shared" si="3"/>
        <v>-1632285540</v>
      </c>
      <c r="M7" s="334">
        <f t="shared" si="3"/>
        <v>-2010621700</v>
      </c>
      <c r="N7" s="334">
        <f t="shared" si="3"/>
        <v>-2022598061</v>
      </c>
      <c r="O7" s="334">
        <f t="shared" si="3"/>
        <v>-1654362895</v>
      </c>
      <c r="P7" s="334">
        <f t="shared" si="3"/>
        <v>-1155368982</v>
      </c>
      <c r="Q7" s="334" t="str">
        <f t="shared" si="3"/>
        <v/>
      </c>
    </row>
    <row r="8" spans="1:17" ht="15.75" customHeight="1">
      <c r="A8" s="10"/>
      <c r="B8" s="29" t="s">
        <v>153</v>
      </c>
      <c r="C8" s="336">
        <f>C6+C7</f>
        <v>805173862.5</v>
      </c>
      <c r="D8" s="59"/>
      <c r="E8" s="274"/>
      <c r="F8" s="59"/>
      <c r="G8" s="335">
        <f>IF(G$4="","",G6+G7)</f>
        <v>821044246</v>
      </c>
      <c r="H8" s="335">
        <f t="shared" ref="H8:Q8" si="4">IF(H$4="","",H6+H7)</f>
        <v>1463930743</v>
      </c>
      <c r="I8" s="335">
        <f t="shared" si="4"/>
        <v>1199312653</v>
      </c>
      <c r="J8" s="335">
        <f t="shared" si="4"/>
        <v>1271224194</v>
      </c>
      <c r="K8" s="335">
        <f t="shared" si="4"/>
        <v>1762217121</v>
      </c>
      <c r="L8" s="335">
        <f t="shared" si="4"/>
        <v>1662810634</v>
      </c>
      <c r="M8" s="335">
        <f t="shared" si="4"/>
        <v>1599157091</v>
      </c>
      <c r="N8" s="335">
        <f t="shared" si="4"/>
        <v>1657890564</v>
      </c>
      <c r="O8" s="335">
        <f t="shared" si="4"/>
        <v>1428834517</v>
      </c>
      <c r="P8" s="335">
        <f t="shared" si="4"/>
        <v>1255264870</v>
      </c>
      <c r="Q8" s="335" t="str">
        <f t="shared" si="4"/>
        <v/>
      </c>
    </row>
    <row r="9" spans="1:17" ht="15.75" customHeight="1">
      <c r="A9" s="10"/>
      <c r="B9" s="2" t="s">
        <v>65</v>
      </c>
      <c r="C9" s="334">
        <f>BS!$G$39*BS!D58</f>
        <v>304213708</v>
      </c>
      <c r="E9" s="268"/>
      <c r="G9" s="334">
        <f>IF(Data!C61="","",-Data!C61)</f>
        <v>304213708</v>
      </c>
      <c r="H9" s="334">
        <f>IF(Data!D61="","",-Data!D61)</f>
        <v>284765003</v>
      </c>
      <c r="I9" s="334">
        <f>IF(Data!E61="","",-Data!E61)</f>
        <v>280160892</v>
      </c>
      <c r="J9" s="334">
        <f>IF(Data!F61="","",-Data!F61)</f>
        <v>262044527</v>
      </c>
      <c r="K9" s="334">
        <f>IF(Data!G61="","",-Data!G61)</f>
        <v>233520143</v>
      </c>
      <c r="L9" s="334">
        <f>IF(Data!H61="","",-Data!H61)</f>
        <v>241901529</v>
      </c>
      <c r="M9" s="334">
        <f>IF(Data!I61="","",-Data!I61)</f>
        <v>213366792</v>
      </c>
      <c r="N9" s="334">
        <f>IF(Data!J61="","",-Data!J61)</f>
        <v>0</v>
      </c>
      <c r="O9" s="334">
        <f>IF(Data!K61="","",-Data!K61)</f>
        <v>0</v>
      </c>
      <c r="P9" s="334">
        <f>IF(Data!L61="","",-Data!L61)</f>
        <v>0</v>
      </c>
      <c r="Q9" s="334" t="str">
        <f>IF(Data!M61="","",-Data!M61)</f>
        <v/>
      </c>
    </row>
    <row r="10" spans="1:17" ht="15.75" customHeight="1">
      <c r="A10" s="10"/>
      <c r="B10" s="2" t="s">
        <v>81</v>
      </c>
      <c r="C10" s="334">
        <f>-C4*C78</f>
        <v>-304213708</v>
      </c>
      <c r="E10" s="268"/>
      <c r="G10" s="334">
        <f>Data!C62</f>
        <v>-304213708</v>
      </c>
      <c r="H10" s="334">
        <f>Data!D62</f>
        <v>-284765003</v>
      </c>
      <c r="I10" s="334">
        <f>Data!E62</f>
        <v>-280160892</v>
      </c>
      <c r="J10" s="334">
        <f>Data!F62</f>
        <v>-262044527</v>
      </c>
      <c r="K10" s="334">
        <f>Data!G62</f>
        <v>-233520143</v>
      </c>
      <c r="L10" s="334">
        <f>Data!H62</f>
        <v>-241901529</v>
      </c>
      <c r="M10" s="334">
        <f>Data!I62</f>
        <v>-213366792</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-97140514.525666684</v>
      </c>
      <c r="E12" s="268"/>
      <c r="G12" s="334">
        <f>G50</f>
        <v>-46780131.963991836</v>
      </c>
      <c r="H12" s="334">
        <f t="shared" ref="H12:Q12" si="6">H50</f>
        <v>-28667563.858198315</v>
      </c>
      <c r="I12" s="334">
        <f t="shared" si="6"/>
        <v>3276610.5297081172</v>
      </c>
      <c r="J12" s="334">
        <f t="shared" si="6"/>
        <v>-43491550.484597951</v>
      </c>
      <c r="K12" s="334">
        <f t="shared" si="6"/>
        <v>-64479016.453226149</v>
      </c>
      <c r="L12" s="334">
        <f t="shared" si="6"/>
        <v>-100029512.99544704</v>
      </c>
      <c r="M12" s="334">
        <f t="shared" si="6"/>
        <v>-54261699.488393471</v>
      </c>
      <c r="N12" s="334">
        <f t="shared" si="6"/>
        <v>0</v>
      </c>
      <c r="O12" s="334">
        <f t="shared" si="6"/>
        <v>0</v>
      </c>
      <c r="P12" s="334">
        <f t="shared" si="6"/>
        <v>0</v>
      </c>
      <c r="Q12" s="334" t="str">
        <f t="shared" si="6"/>
        <v/>
      </c>
    </row>
    <row r="13" spans="1:17" ht="15.75" customHeight="1">
      <c r="A13" s="10"/>
      <c r="B13" s="70" t="s">
        <v>165</v>
      </c>
      <c r="C13" s="335">
        <f>SUM(C8:C12)</f>
        <v>708033347.97433329</v>
      </c>
      <c r="E13" s="268"/>
      <c r="G13" s="335">
        <f>IF(G$4="","",SUM(G8:G12))</f>
        <v>774264114.03600812</v>
      </c>
      <c r="H13" s="335">
        <f t="shared" ref="H13:Q13" si="7">IF(H$4="","",SUM(H8:H12))</f>
        <v>1435263179.1418016</v>
      </c>
      <c r="I13" s="335">
        <f t="shared" si="7"/>
        <v>1202589263.5297081</v>
      </c>
      <c r="J13" s="335">
        <f t="shared" si="7"/>
        <v>1227732643.5154021</v>
      </c>
      <c r="K13" s="335">
        <f t="shared" si="7"/>
        <v>1697738104.5467739</v>
      </c>
      <c r="L13" s="335">
        <f t="shared" si="7"/>
        <v>1562781121.0045528</v>
      </c>
      <c r="M13" s="335">
        <f t="shared" si="7"/>
        <v>1544895391.5116065</v>
      </c>
      <c r="N13" s="335">
        <f t="shared" si="7"/>
        <v>1657890564</v>
      </c>
      <c r="O13" s="335">
        <f t="shared" si="7"/>
        <v>1428834517</v>
      </c>
      <c r="P13" s="335">
        <f t="shared" si="7"/>
        <v>1255264870</v>
      </c>
      <c r="Q13" s="335" t="str">
        <f t="shared" si="7"/>
        <v/>
      </c>
    </row>
    <row r="14" spans="1:17" ht="15.75" customHeight="1">
      <c r="A14" s="10"/>
      <c r="B14" s="2" t="s">
        <v>63</v>
      </c>
      <c r="C14" s="334">
        <f>-SUM(C8+C11,C12)*C43</f>
        <v>-177008336.99358332</v>
      </c>
      <c r="E14" s="268"/>
      <c r="G14" s="334">
        <f>Data!C46</f>
        <v>-399466141</v>
      </c>
      <c r="H14" s="334">
        <f>Data!D46</f>
        <v>245723033</v>
      </c>
      <c r="I14" s="334">
        <f>Data!E46</f>
        <v>-42708255</v>
      </c>
      <c r="J14" s="334">
        <f>Data!F46</f>
        <v>-256010400</v>
      </c>
      <c r="K14" s="334">
        <f>Data!G46</f>
        <v>-87059787</v>
      </c>
      <c r="L14" s="334">
        <f>Data!H46</f>
        <v>-55904457</v>
      </c>
      <c r="M14" s="334">
        <f>Data!I46</f>
        <v>-94528010</v>
      </c>
      <c r="N14" s="334">
        <f>Data!J46</f>
        <v>-46504665</v>
      </c>
      <c r="O14" s="334">
        <f>Data!K46</f>
        <v>-88878250</v>
      </c>
      <c r="P14" s="334">
        <f>Data!L46</f>
        <v>-58244331</v>
      </c>
      <c r="Q14" s="334" t="str">
        <f>Data!M46</f>
        <v/>
      </c>
    </row>
    <row r="15" spans="1:17" ht="15.75" customHeight="1">
      <c r="A15" s="10"/>
      <c r="B15" s="40" t="s">
        <v>244</v>
      </c>
      <c r="C15" s="334">
        <f>-C4*C83</f>
        <v>-38841055</v>
      </c>
      <c r="D15" s="60"/>
      <c r="E15" s="275"/>
      <c r="F15" s="60"/>
      <c r="G15" s="339">
        <f>Data!C48</f>
        <v>-38841055</v>
      </c>
      <c r="H15" s="339">
        <f>Data!D48</f>
        <v>0</v>
      </c>
      <c r="I15" s="339">
        <f>Data!E48</f>
        <v>0</v>
      </c>
      <c r="J15" s="339">
        <f>Data!F48</f>
        <v>-6877210</v>
      </c>
      <c r="K15" s="339">
        <f>Data!G48</f>
        <v>-24515876</v>
      </c>
      <c r="L15" s="339">
        <f>Data!H48</f>
        <v>-5877927</v>
      </c>
      <c r="M15" s="339">
        <f>Data!I48</f>
        <v>-7143161</v>
      </c>
      <c r="N15" s="339">
        <f>Data!J48</f>
        <v>-305152</v>
      </c>
      <c r="O15" s="339">
        <f>Data!K48</f>
        <v>0</v>
      </c>
      <c r="P15" s="339">
        <f>Data!L48</f>
        <v>-104004453</v>
      </c>
      <c r="Q15" s="339" t="str">
        <f>Data!M48</f>
        <v/>
      </c>
    </row>
    <row r="16" spans="1:17" ht="15.75" customHeight="1">
      <c r="A16" s="10"/>
      <c r="B16" s="41" t="s">
        <v>155</v>
      </c>
      <c r="C16" s="338">
        <f>SUM(C13:C15)</f>
        <v>492183955.98074996</v>
      </c>
      <c r="D16" s="61"/>
      <c r="E16" s="276"/>
      <c r="F16" s="61"/>
      <c r="G16" s="335">
        <f>IF(G$4="","",SUM(G13:G15))</f>
        <v>335956918.03600812</v>
      </c>
      <c r="H16" s="335">
        <f t="shared" ref="H16:Q16" si="8">IF(H$4="","",SUM(H13:H15))</f>
        <v>1680986212.1418016</v>
      </c>
      <c r="I16" s="335">
        <f t="shared" si="8"/>
        <v>1159881008.5297081</v>
      </c>
      <c r="J16" s="335">
        <f t="shared" si="8"/>
        <v>964845033.51540208</v>
      </c>
      <c r="K16" s="335">
        <f t="shared" si="8"/>
        <v>1586162441.5467739</v>
      </c>
      <c r="L16" s="335">
        <f t="shared" si="8"/>
        <v>1500998737.0045528</v>
      </c>
      <c r="M16" s="335">
        <f t="shared" si="8"/>
        <v>1443224220.5116065</v>
      </c>
      <c r="N16" s="335">
        <f t="shared" si="8"/>
        <v>1611080747</v>
      </c>
      <c r="O16" s="335">
        <f t="shared" si="8"/>
        <v>1339956267</v>
      </c>
      <c r="P16" s="335">
        <f t="shared" si="8"/>
        <v>1093016086</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492183955.98074996</v>
      </c>
      <c r="D19" s="27"/>
      <c r="E19" s="265"/>
      <c r="F19" s="27"/>
      <c r="G19" s="340">
        <f>IF(G$4="","",G16+G17)</f>
        <v>335956918.03600812</v>
      </c>
      <c r="H19" s="340">
        <f t="shared" ref="H19:Q19" si="9">IF(H$4="","",H16+H17)</f>
        <v>1680986212.1418016</v>
      </c>
      <c r="I19" s="340">
        <f t="shared" si="9"/>
        <v>1159881008.5297081</v>
      </c>
      <c r="J19" s="340">
        <f t="shared" si="9"/>
        <v>964845033.51540208</v>
      </c>
      <c r="K19" s="340">
        <f t="shared" si="9"/>
        <v>1586162441.5467739</v>
      </c>
      <c r="L19" s="340">
        <f t="shared" si="9"/>
        <v>1500998737.0045528</v>
      </c>
      <c r="M19" s="340">
        <f t="shared" si="9"/>
        <v>1443224220.5116065</v>
      </c>
      <c r="N19" s="340">
        <f t="shared" si="9"/>
        <v>1611080747</v>
      </c>
      <c r="O19" s="340">
        <f t="shared" si="9"/>
        <v>1339956267</v>
      </c>
      <c r="P19" s="340">
        <f t="shared" si="9"/>
        <v>1093016086</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-5676944377</v>
      </c>
      <c r="D23" s="58"/>
      <c r="E23" s="267"/>
      <c r="F23" s="58"/>
      <c r="G23" s="339">
        <f>Data!C37</f>
        <v>-5676944377</v>
      </c>
      <c r="H23" s="339">
        <f>Data!D37</f>
        <v>-5916816097</v>
      </c>
      <c r="I23" s="339">
        <f>Data!E37</f>
        <v>-6311388363</v>
      </c>
      <c r="J23" s="339">
        <f>Data!F37</f>
        <v>-6550446555</v>
      </c>
      <c r="K23" s="339">
        <f>Data!G37</f>
        <v>-6394029156</v>
      </c>
      <c r="L23" s="339">
        <f>Data!H37</f>
        <v>-7367488537</v>
      </c>
      <c r="M23" s="339">
        <f>Data!I37</f>
        <v>-7224602455</v>
      </c>
      <c r="N23" s="339">
        <f>Data!J37</f>
        <v>-8540494147</v>
      </c>
      <c r="O23" s="339">
        <f>Data!K37</f>
        <v>-7781713253</v>
      </c>
      <c r="P23" s="339">
        <f>Data!L37</f>
        <v>-7483557979</v>
      </c>
      <c r="Q23" s="339" t="str">
        <f>Data!M37</f>
        <v/>
      </c>
    </row>
    <row r="24" spans="1:17" ht="15.75" customHeight="1">
      <c r="A24" s="10"/>
      <c r="B24" s="68" t="s">
        <v>62</v>
      </c>
      <c r="C24" s="334">
        <f>-C4*C29</f>
        <v>-775878829</v>
      </c>
      <c r="D24" s="27"/>
      <c r="E24" s="265"/>
      <c r="F24" s="27"/>
      <c r="G24" s="339">
        <f>Data!C40</f>
        <v>-775878829</v>
      </c>
      <c r="H24" s="339">
        <f>Data!D40</f>
        <v>-812050107</v>
      </c>
      <c r="I24" s="339">
        <f>Data!E40</f>
        <v>-922966476</v>
      </c>
      <c r="J24" s="339">
        <f>Data!F40</f>
        <v>-1146157898</v>
      </c>
      <c r="K24" s="339">
        <f>Data!G40</f>
        <v>-634916493</v>
      </c>
      <c r="L24" s="339">
        <f>Data!H40</f>
        <v>-595595416</v>
      </c>
      <c r="M24" s="339">
        <f>Data!I40</f>
        <v>-678292721</v>
      </c>
      <c r="N24" s="339">
        <f>Data!J40</f>
        <v>-1085064842</v>
      </c>
      <c r="O24" s="339">
        <f>Data!K40</f>
        <v>-1910926978</v>
      </c>
      <c r="P24" s="339">
        <f>Data!L40</f>
        <v>-1707428207</v>
      </c>
      <c r="Q24" s="339" t="str">
        <f>Data!M40</f>
        <v/>
      </c>
    </row>
    <row r="25" spans="1:17" ht="15.75" customHeight="1">
      <c r="A25" s="10"/>
      <c r="B25" s="70" t="s">
        <v>46</v>
      </c>
      <c r="C25" s="335">
        <f>C23+C24</f>
        <v>-6452823206</v>
      </c>
      <c r="D25" s="9"/>
      <c r="E25" s="273"/>
      <c r="F25" s="9"/>
      <c r="G25" s="335">
        <f t="shared" ref="G25:Q25" si="10">IF(G$4="","",G23+G24)</f>
        <v>-6452823206</v>
      </c>
      <c r="H25" s="335">
        <f t="shared" si="10"/>
        <v>-6728866204</v>
      </c>
      <c r="I25" s="335">
        <f t="shared" si="10"/>
        <v>-7234354839</v>
      </c>
      <c r="J25" s="335">
        <f t="shared" si="10"/>
        <v>-7696604453</v>
      </c>
      <c r="K25" s="335">
        <f t="shared" si="10"/>
        <v>-7028945649</v>
      </c>
      <c r="L25" s="335">
        <f t="shared" si="10"/>
        <v>-7963083953</v>
      </c>
      <c r="M25" s="335">
        <f t="shared" si="10"/>
        <v>-7902895176</v>
      </c>
      <c r="N25" s="335">
        <f t="shared" si="10"/>
        <v>-9625558989</v>
      </c>
      <c r="O25" s="335">
        <f t="shared" si="10"/>
        <v>-9692640231</v>
      </c>
      <c r="P25" s="335">
        <f t="shared" si="10"/>
        <v>-9190986186</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0.61015928580579082</v>
      </c>
      <c r="D28" s="26"/>
      <c r="E28" s="266" t="s">
        <v>334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-1811198118</v>
      </c>
      <c r="E33" s="266" t="s">
        <v>334</v>
      </c>
      <c r="G33" s="334">
        <f>Data!C41</f>
        <v>-1811198118</v>
      </c>
      <c r="H33" s="334">
        <f>Data!D41</f>
        <v>-1660002719</v>
      </c>
      <c r="I33" s="334">
        <f>Data!E41</f>
        <v>-1551523075</v>
      </c>
      <c r="J33" s="334">
        <f>Data!F41</f>
        <v>-1508350207</v>
      </c>
      <c r="K33" s="334">
        <f>Data!G41</f>
        <v>-1339968681</v>
      </c>
      <c r="L33" s="334">
        <f>Data!H41</f>
        <v>-1241873584</v>
      </c>
      <c r="M33" s="334">
        <f>Data!I41</f>
        <v>-1177571799</v>
      </c>
      <c r="N33" s="334">
        <f>Data!J41</f>
        <v>-2022598061</v>
      </c>
      <c r="O33" s="334">
        <f>Data!K41</f>
        <v>-1654362895</v>
      </c>
      <c r="P33" s="334">
        <f>Data!L41</f>
        <v>-1155368982</v>
      </c>
      <c r="Q33" s="334" t="str">
        <f>Data!M41</f>
        <v/>
      </c>
    </row>
    <row r="34" spans="1:17" ht="15.75" customHeight="1">
      <c r="A34" s="10"/>
      <c r="B34" s="27" t="s">
        <v>49</v>
      </c>
      <c r="C34" s="346">
        <f>AVERAGE(G34:J34)</f>
        <v>-234841495.5</v>
      </c>
      <c r="D34" s="58"/>
      <c r="E34" s="266" t="s">
        <v>334</v>
      </c>
      <c r="F34" s="58"/>
      <c r="G34" s="339">
        <f>Data!C42</f>
        <v>-218971112</v>
      </c>
      <c r="H34" s="339">
        <f>Data!D42</f>
        <v>-230826900</v>
      </c>
      <c r="I34" s="339">
        <f>Data!E42</f>
        <v>-251189350</v>
      </c>
      <c r="J34" s="339">
        <f>Data!F42</f>
        <v>-238378620</v>
      </c>
      <c r="K34" s="339">
        <f>Data!G42</f>
        <v>-208413520</v>
      </c>
      <c r="L34" s="339">
        <f>Data!H42</f>
        <v>-390411956</v>
      </c>
      <c r="M34" s="339">
        <f>Data!I42</f>
        <v>-833049901</v>
      </c>
      <c r="N34" s="339">
        <f>Data!J42</f>
        <v>0</v>
      </c>
      <c r="O34" s="339">
        <f>Data!K42</f>
        <v>0</v>
      </c>
      <c r="P34" s="339">
        <f>Data!L42</f>
        <v>0</v>
      </c>
      <c r="Q34" s="339" t="str">
        <f>Data!M42</f>
        <v/>
      </c>
    </row>
    <row r="35" spans="1:17" ht="15.75" customHeight="1">
      <c r="A35" s="10"/>
      <c r="B35" s="70" t="s">
        <v>45</v>
      </c>
      <c r="C35" s="335">
        <f>C33+C34</f>
        <v>-2046039613.5</v>
      </c>
      <c r="D35" s="58"/>
      <c r="E35" s="267"/>
      <c r="F35" s="58"/>
      <c r="G35" s="335">
        <f t="shared" ref="G35:Q35" si="14">IF(G4="","",G33+G34)</f>
        <v>-2030169230</v>
      </c>
      <c r="H35" s="335">
        <f t="shared" si="14"/>
        <v>-1890829619</v>
      </c>
      <c r="I35" s="335">
        <f t="shared" si="14"/>
        <v>-1802712425</v>
      </c>
      <c r="J35" s="335">
        <f t="shared" si="14"/>
        <v>-1746728827</v>
      </c>
      <c r="K35" s="335">
        <f t="shared" si="14"/>
        <v>-1548382201</v>
      </c>
      <c r="L35" s="335">
        <f t="shared" si="14"/>
        <v>-1632285540</v>
      </c>
      <c r="M35" s="335">
        <f t="shared" si="14"/>
        <v>-2010621700</v>
      </c>
      <c r="N35" s="335">
        <f t="shared" si="14"/>
        <v>-2022598061</v>
      </c>
      <c r="O35" s="335">
        <f t="shared" si="14"/>
        <v>-1654362895</v>
      </c>
      <c r="P35" s="335">
        <f t="shared" si="14"/>
        <v>-1155368982</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-127330087.00000001</v>
      </c>
      <c r="E47" s="268"/>
      <c r="G47" s="334">
        <f>Data!C51</f>
        <v>-127330087</v>
      </c>
      <c r="H47" s="334">
        <f>Data!D51</f>
        <v>-145285501</v>
      </c>
      <c r="I47" s="334">
        <f>Data!E51</f>
        <v>-161564792</v>
      </c>
      <c r="J47" s="334">
        <f>Data!F51</f>
        <v>-169466694</v>
      </c>
      <c r="K47" s="334">
        <f>Data!G51</f>
        <v>-139996345</v>
      </c>
      <c r="L47" s="334">
        <f>Data!H51</f>
        <v>-156549769</v>
      </c>
      <c r="M47" s="334">
        <f>Data!I51</f>
        <v>-87319034</v>
      </c>
      <c r="N47" s="334">
        <f>Data!J51</f>
        <v>0</v>
      </c>
      <c r="O47" s="334">
        <f>Data!K51</f>
        <v>0</v>
      </c>
      <c r="P47" s="334">
        <f>Data!L51</f>
        <v>0</v>
      </c>
      <c r="Q47" s="334" t="str">
        <f>Data!M51</f>
        <v/>
      </c>
    </row>
    <row r="48" spans="1:17" ht="15.75" customHeight="1">
      <c r="A48" s="10"/>
      <c r="B48" s="2" t="s">
        <v>346</v>
      </c>
      <c r="C48" s="334">
        <f>BS!D75*C53</f>
        <v>30189572.474333331</v>
      </c>
      <c r="E48" s="268"/>
      <c r="G48" s="343">
        <f>IFERROR(IF(G$4="","",($C$48/$C$49)*G49),0)</f>
        <v>80549955.036008164</v>
      </c>
      <c r="H48" s="343">
        <f t="shared" ref="H48:Q48" si="19">IFERROR(IF(H$4="","",($C$48/$C$49)*H49),0)</f>
        <v>116617937.14180169</v>
      </c>
      <c r="I48" s="343">
        <f t="shared" si="19"/>
        <v>164841402.52970812</v>
      </c>
      <c r="J48" s="343">
        <f t="shared" si="19"/>
        <v>125975143.51540205</v>
      </c>
      <c r="K48" s="343">
        <f t="shared" si="19"/>
        <v>75517328.546773851</v>
      </c>
      <c r="L48" s="343">
        <f t="shared" si="19"/>
        <v>56520256.00455296</v>
      </c>
      <c r="M48" s="343">
        <f t="shared" si="19"/>
        <v>33057334.511606529</v>
      </c>
      <c r="N48" s="343">
        <f t="shared" si="19"/>
        <v>0</v>
      </c>
      <c r="O48" s="343">
        <f t="shared" si="19"/>
        <v>0</v>
      </c>
      <c r="P48" s="343">
        <f t="shared" si="19"/>
        <v>0</v>
      </c>
      <c r="Q48" s="343" t="str">
        <f t="shared" si="19"/>
        <v/>
      </c>
    </row>
    <row r="49" spans="1:17" ht="15.75" customHeight="1">
      <c r="A49" s="10"/>
      <c r="B49" s="287" t="s">
        <v>343</v>
      </c>
      <c r="C49" s="348">
        <f>BS!$C$66*C53</f>
        <v>105708652.13440001</v>
      </c>
      <c r="D49" s="288"/>
      <c r="E49" s="289"/>
      <c r="F49" s="288"/>
      <c r="G49" s="348">
        <f>Data!C52</f>
        <v>282045305</v>
      </c>
      <c r="H49" s="348">
        <f>Data!D52</f>
        <v>408337182</v>
      </c>
      <c r="I49" s="348">
        <f>Data!E52</f>
        <v>577191429</v>
      </c>
      <c r="J49" s="348">
        <f>Data!F52</f>
        <v>441101398</v>
      </c>
      <c r="K49" s="348">
        <f>Data!G52</f>
        <v>264423586</v>
      </c>
      <c r="L49" s="348">
        <f>Data!H52</f>
        <v>197905422</v>
      </c>
      <c r="M49" s="348">
        <f>Data!I52</f>
        <v>115750108</v>
      </c>
      <c r="N49" s="348">
        <f>Data!J52</f>
        <v>0</v>
      </c>
      <c r="O49" s="348">
        <f>Data!K52</f>
        <v>0</v>
      </c>
      <c r="P49" s="348">
        <f>Data!L52</f>
        <v>0</v>
      </c>
      <c r="Q49" s="348" t="str">
        <f>Data!M52</f>
        <v/>
      </c>
    </row>
    <row r="50" spans="1:17" ht="15.75" customHeight="1">
      <c r="A50" s="10"/>
      <c r="B50" s="70" t="s">
        <v>68</v>
      </c>
      <c r="C50" s="335">
        <f>C47+C48</f>
        <v>-97140514.525666684</v>
      </c>
      <c r="E50" s="268"/>
      <c r="G50" s="335">
        <f>IF(G$4="","",(G47+G48))</f>
        <v>-46780131.963991836</v>
      </c>
      <c r="H50" s="335">
        <f t="shared" ref="H50:Q50" si="20">IF(H$4="","",(H47+H48))</f>
        <v>-28667563.858198315</v>
      </c>
      <c r="I50" s="335">
        <f t="shared" si="20"/>
        <v>3276610.5297081172</v>
      </c>
      <c r="J50" s="335">
        <f t="shared" si="20"/>
        <v>-43491550.484597951</v>
      </c>
      <c r="K50" s="335">
        <f t="shared" si="20"/>
        <v>-64479016.453226149</v>
      </c>
      <c r="L50" s="335">
        <f t="shared" si="20"/>
        <v>-100029512.99544704</v>
      </c>
      <c r="M50" s="335">
        <f t="shared" si="20"/>
        <v>-54261699.488393471</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0.01</v>
      </c>
      <c r="E53" s="265" t="s">
        <v>336</v>
      </c>
      <c r="G53" s="6">
        <f>IF(Normalized_FCF!G4="","",Normalized_FCF!G49/BS!$C$66)</f>
        <v>2.6681383151248791E-2</v>
      </c>
      <c r="H53" s="169"/>
      <c r="I53" s="169"/>
      <c r="J53" s="169"/>
      <c r="K53" s="169"/>
      <c r="L53" s="169"/>
      <c r="M53" s="169"/>
      <c r="N53" s="169"/>
      <c r="O53" s="169"/>
      <c r="P53" s="169"/>
      <c r="Q53" s="169"/>
    </row>
    <row r="54" spans="1:17" ht="15.75" customHeight="1">
      <c r="A54" s="10"/>
      <c r="B54" s="8" t="s">
        <v>88</v>
      </c>
      <c r="C54" s="82">
        <f>G54</f>
        <v>7.5523791471175328E-2</v>
      </c>
      <c r="E54" s="265" t="s">
        <v>337</v>
      </c>
      <c r="G54" s="23">
        <f>IFERROR(ABS(Normalized_FCF!G47/BS!$G$31),0)</f>
        <v>7.5523791471175328E-2</v>
      </c>
      <c r="H54" s="169"/>
      <c r="I54" s="169"/>
      <c r="J54" s="169"/>
      <c r="K54" s="169"/>
      <c r="L54" s="169"/>
      <c r="M54" s="169"/>
      <c r="N54" s="169"/>
      <c r="O54" s="169"/>
      <c r="P54" s="169"/>
      <c r="Q54" s="169"/>
    </row>
    <row r="55" spans="1:17" ht="15.75" customHeight="1">
      <c r="A55" s="10"/>
      <c r="B55" s="26" t="s">
        <v>91</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206934892</v>
      </c>
      <c r="H62" s="334">
        <f>Data!D58</f>
        <v>-18511612</v>
      </c>
      <c r="I62" s="334">
        <f>Data!E58</f>
        <v>344315635</v>
      </c>
      <c r="J62" s="334">
        <f>Data!F58</f>
        <v>763452261</v>
      </c>
      <c r="K62" s="334">
        <f>Data!G58</f>
        <v>30539566</v>
      </c>
      <c r="L62" s="334">
        <f>Data!H58</f>
        <v>83096453</v>
      </c>
      <c r="M62" s="334">
        <f>Data!I58</f>
        <v>93192318</v>
      </c>
      <c r="N62" s="334">
        <f>Data!J58</f>
        <v>-159339207</v>
      </c>
      <c r="O62" s="334">
        <f>Data!K58</f>
        <v>-60217094</v>
      </c>
      <c r="P62" s="334">
        <f>Data!L58</f>
        <v>-35060857</v>
      </c>
      <c r="Q62" s="334" t="str">
        <f>Data!M58</f>
        <v/>
      </c>
    </row>
    <row r="63" spans="1:17" ht="15.75" customHeight="1">
      <c r="A63" s="10"/>
      <c r="B63" s="31" t="s">
        <v>196</v>
      </c>
      <c r="C63" s="335">
        <f>C61+C62</f>
        <v>0</v>
      </c>
      <c r="E63" s="268"/>
      <c r="G63" s="335">
        <f t="shared" ref="G63:Q63" si="23">IF(G4="","",G61+G62)</f>
        <v>206934892</v>
      </c>
      <c r="H63" s="335">
        <f t="shared" si="23"/>
        <v>-18511612</v>
      </c>
      <c r="I63" s="335">
        <f t="shared" si="23"/>
        <v>344315635</v>
      </c>
      <c r="J63" s="335">
        <f t="shared" si="23"/>
        <v>763452261</v>
      </c>
      <c r="K63" s="335">
        <f t="shared" si="23"/>
        <v>30539566</v>
      </c>
      <c r="L63" s="335">
        <f t="shared" si="23"/>
        <v>83096453</v>
      </c>
      <c r="M63" s="335">
        <f t="shared" si="23"/>
        <v>93192318</v>
      </c>
      <c r="N63" s="335">
        <f t="shared" si="23"/>
        <v>-159339207</v>
      </c>
      <c r="O63" s="335">
        <f t="shared" si="23"/>
        <v>-60217094</v>
      </c>
      <c r="P63" s="335">
        <f t="shared" si="23"/>
        <v>-35060857</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153</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81</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165</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155</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3.8387715930902115E-2</v>
      </c>
      <c r="E93" s="268"/>
      <c r="G93" s="23">
        <f t="shared" ref="G93:Q93" si="39">IF(G$4="","",G90/Market_Price)</f>
        <v>3.8387715930902115E-2</v>
      </c>
      <c r="H93" s="23">
        <f t="shared" si="39"/>
        <v>7.4856046065259127E-2</v>
      </c>
      <c r="I93" s="23">
        <f t="shared" si="39"/>
        <v>7.1976967370441458E-2</v>
      </c>
      <c r="J93" s="23">
        <f t="shared" si="39"/>
        <v>6.5259117082533583E-2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165</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30591809954.200001</v>
      </c>
      <c r="D101" s="26"/>
      <c r="E101" s="269"/>
      <c r="F101" s="26"/>
      <c r="G101" s="339">
        <f t="shared" ref="G101:Q101" si="42">IF(G$4="","",G105+G104)</f>
        <v>30591809954.200005</v>
      </c>
      <c r="H101" s="339">
        <f t="shared" si="42"/>
        <v>29289690562</v>
      </c>
      <c r="I101" s="339">
        <f t="shared" si="42"/>
        <v>28730992292</v>
      </c>
      <c r="J101" s="339">
        <f t="shared" si="42"/>
        <v>26567137006</v>
      </c>
      <c r="K101" s="339">
        <f t="shared" si="42"/>
        <v>24370351033</v>
      </c>
      <c r="L101" s="339">
        <f t="shared" si="42"/>
        <v>22814336624</v>
      </c>
      <c r="M101" s="339">
        <f t="shared" si="42"/>
        <v>23725530086</v>
      </c>
      <c r="N101" s="339">
        <f t="shared" si="42"/>
        <v>20480659318</v>
      </c>
      <c r="O101" s="339">
        <f t="shared" si="42"/>
        <v>18856419515</v>
      </c>
      <c r="P101" s="339">
        <f t="shared" si="42"/>
        <v>17607266697</v>
      </c>
      <c r="Q101" s="339" t="str">
        <f t="shared" si="42"/>
        <v/>
      </c>
    </row>
    <row r="102" spans="1:17" ht="15.75" customHeight="1">
      <c r="A102" s="10"/>
      <c r="B102" s="93" t="s">
        <v>211</v>
      </c>
      <c r="C102" s="351">
        <f>BS!C4</f>
        <v>1910217201.7599998</v>
      </c>
      <c r="D102" s="89"/>
      <c r="E102" s="270"/>
      <c r="F102" s="89"/>
      <c r="G102" s="352">
        <f>IF(G$4="","",Data!D77)</f>
        <v>834568719</v>
      </c>
      <c r="H102" s="352">
        <f>IF(H$4="","",Data!E77)</f>
        <v>1061824178</v>
      </c>
      <c r="I102" s="352">
        <f>IF(I$4="","",Data!F77)</f>
        <v>925201481</v>
      </c>
      <c r="J102" s="352">
        <f>IF(J$4="","",Data!G77)</f>
        <v>854194501</v>
      </c>
      <c r="K102" s="352">
        <f>IF(K$4="","",Data!H77)</f>
        <v>1181367947</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1152244678.0699999</v>
      </c>
      <c r="D103" s="89"/>
      <c r="E103" s="270"/>
      <c r="F103" s="89"/>
      <c r="G103" s="352">
        <f>IF(G$4="","",Data!D78)</f>
        <v>959867234</v>
      </c>
      <c r="H103" s="352">
        <f>IF(H$4="","",Data!E78)</f>
        <v>1086298738</v>
      </c>
      <c r="I103" s="352">
        <f>IF(I$4="","",Data!F78)</f>
        <v>1224714311</v>
      </c>
      <c r="J103" s="352">
        <f>IF(J$4="","",Data!G78)</f>
        <v>1118318039</v>
      </c>
      <c r="K103" s="352">
        <f>IF(K$4="","",Data!H78)</f>
        <v>1167338551</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12382480837.01</v>
      </c>
      <c r="D104" s="26"/>
      <c r="E104" s="269"/>
      <c r="F104" s="26"/>
      <c r="G104" s="339">
        <f>Data!C79</f>
        <v>12382480837.01</v>
      </c>
      <c r="H104" s="339">
        <f>Data!D79</f>
        <v>10670434743</v>
      </c>
      <c r="I104" s="339">
        <f>Data!E79</f>
        <v>11040803287</v>
      </c>
      <c r="J104" s="339">
        <f>Data!F79</f>
        <v>9869570784</v>
      </c>
      <c r="K104" s="339">
        <f>Data!G79</f>
        <v>9001654126</v>
      </c>
      <c r="L104" s="339">
        <f>Data!H79</f>
        <v>8576109791</v>
      </c>
      <c r="M104" s="339">
        <f>Data!I79</f>
        <v>10230716015</v>
      </c>
      <c r="N104" s="339">
        <f>Data!J79</f>
        <v>8088092587</v>
      </c>
      <c r="O104" s="339">
        <f>Data!K79</f>
        <v>7643685931</v>
      </c>
      <c r="P104" s="339">
        <f>Data!L79</f>
        <v>7296360629</v>
      </c>
      <c r="Q104" s="339" t="str">
        <f>Data!M79</f>
        <v/>
      </c>
    </row>
    <row r="105" spans="1:17" ht="15.75" customHeight="1">
      <c r="A105" s="10"/>
      <c r="B105" s="26" t="s">
        <v>30</v>
      </c>
      <c r="C105" s="350">
        <f>BS!G27</f>
        <v>18209329117.190002</v>
      </c>
      <c r="D105" s="26"/>
      <c r="E105" s="269"/>
      <c r="F105" s="26"/>
      <c r="G105" s="339">
        <f>Data!C80</f>
        <v>18209329117.190002</v>
      </c>
      <c r="H105" s="339">
        <f>Data!D80</f>
        <v>18619255819</v>
      </c>
      <c r="I105" s="339">
        <f>Data!E80</f>
        <v>17690189005</v>
      </c>
      <c r="J105" s="339">
        <f>Data!F80</f>
        <v>16697566222</v>
      </c>
      <c r="K105" s="339">
        <f>Data!G80</f>
        <v>15368696907</v>
      </c>
      <c r="L105" s="339">
        <f>Data!H80</f>
        <v>14238226833</v>
      </c>
      <c r="M105" s="339">
        <f>Data!I80</f>
        <v>13494814071</v>
      </c>
      <c r="N105" s="339">
        <f>Data!J80</f>
        <v>12392566731</v>
      </c>
      <c r="O105" s="339">
        <f>Data!K80</f>
        <v>11212733584</v>
      </c>
      <c r="P105" s="339">
        <f>Data!L80</f>
        <v>10310906068</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393</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84</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92</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223</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270</v>
      </c>
      <c r="C125" s="77">
        <f>C19*Exchange_Rate*$C$3/(Market_Price*Common_Shares)</f>
        <v>3.3859347254037601E-2</v>
      </c>
      <c r="D125" s="27"/>
      <c r="E125" s="265"/>
      <c r="F125" s="27"/>
      <c r="G125" s="77">
        <f t="shared" ref="G125" si="50">IF(G$4="","",G124/Market_Price)</f>
        <v>2.3111850380231311E-2</v>
      </c>
      <c r="H125" s="77">
        <f t="shared" ref="H125" si="51">IF(H$4="","",H124/Market_Price)</f>
        <v>0.11564191639027073</v>
      </c>
      <c r="I125" s="77">
        <f t="shared" ref="I125" si="52">IF(I$4="","",I124/Market_Price)</f>
        <v>7.9792958230249081E-2</v>
      </c>
      <c r="J125" s="77">
        <f t="shared" ref="J125" si="53">IF(J$4="","",J124/Market_Price)</f>
        <v>6.6375635855568757E-2</v>
      </c>
      <c r="K125" s="77">
        <f t="shared" ref="K125" si="54">IF(K$4="","",K124/Market_Price)</f>
        <v>0.10911860140305929</v>
      </c>
      <c r="L125" s="77">
        <f t="shared" ref="L125" si="55">IF(L$4="","",L124/Market_Price)</f>
        <v>0.10325984186712654</v>
      </c>
      <c r="M125" s="77">
        <f t="shared" ref="M125" si="56">IF(M$4="","",M124/Market_Price)</f>
        <v>9.9285296592746833E-2</v>
      </c>
      <c r="N125" s="77">
        <f t="shared" ref="N125" si="57">IF(N$4="","",N124/Market_Price)</f>
        <v>0.11083283354547387</v>
      </c>
      <c r="O125" s="77">
        <f t="shared" ref="O125" si="58">IF(O$4="","",O124/Market_Price)</f>
        <v>9.2181071727887476E-2</v>
      </c>
      <c r="P125" s="77">
        <f t="shared" ref="P125" si="59">IF(P$4="","",P124/Market_Price)</f>
        <v>7.5193046746876269E-2</v>
      </c>
      <c r="Q125" s="77" t="str">
        <f t="shared" ref="Q125" si="60">IF(Q$4="","",Q124/Market_Price)</f>
        <v/>
      </c>
    </row>
    <row r="126" spans="1:17" ht="15.75" customHeight="1">
      <c r="B126" s="2" t="s">
        <v>395</v>
      </c>
      <c r="C126" s="169"/>
      <c r="G126" s="23">
        <f>IF(G$4="","",(Data!C47*$C$3)/(Market_Price*Common_Shares))</f>
        <v>5.3881472137791993E-2</v>
      </c>
      <c r="H126" s="23">
        <f>IF(H$4="","",(Data!D47*$C$3)/(Market_Price*Common_Shares))</f>
        <v>0.13443698681260111</v>
      </c>
      <c r="I126" s="23">
        <f>IF(I$4="","",(Data!E47*$C$3)/(Market_Price*Common_Shares))</f>
        <v>0.131847083675839</v>
      </c>
      <c r="J126" s="23">
        <f>IF(J$4="","",(Data!F47*$C$3)/(Market_Price*Common_Shares))</f>
        <v>0.14104857448240968</v>
      </c>
      <c r="K126" s="23">
        <f>IF(K$4="","",(Data!G47*$C$3)/(Market_Price*Common_Shares))</f>
        <v>0.12590172445714562</v>
      </c>
      <c r="L126" s="23">
        <f>IF(L$4="","",(Data!H47*$C$3)/(Market_Price*Common_Shares))</f>
        <v>0.11910721715509175</v>
      </c>
      <c r="M126" s="23">
        <f>IF(M$4="","",(Data!I47*$C$3)/(Market_Price*Common_Shares))</f>
        <v>0.11187655862597445</v>
      </c>
      <c r="N126" s="23">
        <f>IF(N$4="","",(Data!J47*$C$3)/(Market_Price*Common_Shares))</f>
        <v>9.989223048836543E-2</v>
      </c>
      <c r="O126" s="23">
        <f>IF(O$4="","",(Data!K47*$C$3)/(Market_Price*Common_Shares))</f>
        <v>8.8038491557202739E-2</v>
      </c>
      <c r="P126" s="23">
        <f>IF(P$4="","",(Data!L47*$C$3)/(Market_Price*Common_Shares))</f>
        <v>7.9935958679579283E-2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492183955.98074996</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8203065933.0124998</v>
      </c>
      <c r="D6" t="str">
        <f>Reporting_currency</f>
        <v>CNY</v>
      </c>
      <c r="E6" s="365" t="s">
        <v>250</v>
      </c>
      <c r="F6" s="365"/>
      <c r="H6" s="120"/>
    </row>
    <row r="7" spans="2:8">
      <c r="B7" s="148" t="s">
        <v>225</v>
      </c>
      <c r="C7" s="344">
        <f>BS!G31</f>
        <v>1685959940.8299999</v>
      </c>
      <c r="D7" t="str">
        <f>Reporting_currency</f>
        <v>CNY</v>
      </c>
      <c r="E7" s="365"/>
      <c r="F7" s="365"/>
      <c r="H7" s="120"/>
    </row>
    <row r="8" spans="2:8">
      <c r="B8" s="148" t="s">
        <v>226</v>
      </c>
      <c r="C8" s="344">
        <f>BS!D66</f>
        <v>7551907966.0066681</v>
      </c>
      <c r="D8" t="str">
        <f>Reporting_currency</f>
        <v>CNY</v>
      </c>
      <c r="E8" s="365"/>
      <c r="F8" s="365"/>
      <c r="H8" s="120"/>
    </row>
    <row r="9" spans="2:8">
      <c r="B9" s="205" t="s">
        <v>191</v>
      </c>
      <c r="C9" s="354">
        <f>BS!H42</f>
        <v>3684979983.197</v>
      </c>
      <c r="D9" t="str">
        <f>Reporting_currency</f>
        <v>CNY</v>
      </c>
      <c r="E9" s="365"/>
      <c r="F9" s="365"/>
      <c r="H9" s="120"/>
    </row>
    <row r="10" spans="2:8" ht="13.15">
      <c r="B10" s="149" t="s">
        <v>228</v>
      </c>
      <c r="C10" s="353">
        <f>C6-C7+C8+C9</f>
        <v>17753993941.386166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12.726673869155675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2.3134236943577701E-2</v>
      </c>
      <c r="H16" s="120"/>
    </row>
    <row r="17" spans="2:17" ht="13.25" customHeight="1">
      <c r="B17" s="118" t="s">
        <v>135</v>
      </c>
      <c r="C17" s="162">
        <f>Scenarios!C64</f>
        <v>5</v>
      </c>
      <c r="H17" s="120"/>
    </row>
    <row r="18" spans="2:17" ht="13.25" customHeight="1">
      <c r="B18" s="153" t="s">
        <v>107</v>
      </c>
      <c r="C18" s="140">
        <f>(F52-C7+C8+C9)*Exchange_Rate/Common_Shares*scaling_factor</f>
        <v>12.930473929771464</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44"/>
      <c r="H23" s="345"/>
      <c r="I23" s="344"/>
      <c r="J23" s="344"/>
      <c r="K23" s="344"/>
      <c r="L23" s="344"/>
      <c r="M23" s="344"/>
      <c r="N23" s="344"/>
      <c r="O23" s="344"/>
      <c r="P23" s="344"/>
      <c r="Q23" s="344"/>
    </row>
    <row r="24" spans="2:17">
      <c r="B24" s="122">
        <v>4</v>
      </c>
      <c r="C24" s="123">
        <f t="shared" si="2"/>
        <v>539334153.66515183</v>
      </c>
      <c r="D24" s="138">
        <f>IF($C$17&lt;B24,0,DCF!$C$16)</f>
        <v>2.3134236943577701E-2</v>
      </c>
      <c r="E24" s="124">
        <f t="shared" si="0"/>
        <v>0.79209366323802044</v>
      </c>
      <c r="F24" s="125">
        <f t="shared" si="1"/>
        <v>427203165.48600757</v>
      </c>
      <c r="G24" s="344"/>
      <c r="H24" s="345"/>
      <c r="I24" s="344"/>
      <c r="J24" s="344"/>
      <c r="K24" s="344"/>
      <c r="L24" s="344"/>
      <c r="M24" s="344"/>
      <c r="N24" s="344"/>
      <c r="O24" s="344"/>
      <c r="P24" s="344"/>
      <c r="Q24" s="344"/>
    </row>
    <row r="25" spans="2:17">
      <c r="B25" s="122">
        <v>5</v>
      </c>
      <c r="C25" s="123">
        <f t="shared" si="2"/>
        <v>551811237.76780534</v>
      </c>
      <c r="D25" s="138">
        <f>IF($C$17&lt;B25,0,DCF!$C$16)</f>
        <v>2.3134236943577701E-2</v>
      </c>
      <c r="E25" s="124">
        <f t="shared" si="0"/>
        <v>0.74725817286605689</v>
      </c>
      <c r="F25" s="125">
        <f t="shared" si="1"/>
        <v>412345457.30132753</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8392837603.9706001</v>
      </c>
      <c r="D51" s="139">
        <f>Terminal_Growth</f>
        <v>0</v>
      </c>
      <c r="E51" s="124">
        <f>1/(1+Equity_Cost)^C17</f>
        <v>0.74725817286605689</v>
      </c>
      <c r="F51" s="125">
        <f t="shared" si="1"/>
        <v>6271616493.1046057</v>
      </c>
      <c r="H51" s="120"/>
    </row>
    <row r="52" spans="1:17">
      <c r="C52" s="114"/>
      <c r="E52" s="127" t="s">
        <v>101</v>
      </c>
      <c r="F52" s="137">
        <f>SUM(F21:F51)</f>
        <v>8487371563.7394762</v>
      </c>
      <c r="H52" s="120"/>
    </row>
    <row r="53" spans="1:17">
      <c r="C53" s="114"/>
      <c r="H53" s="120"/>
    </row>
    <row r="54" spans="1:17" ht="13.15">
      <c r="B54" s="119" t="s">
        <v>130</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7">
        <v>8203065933.0124931</v>
      </c>
      <c r="D58" s="123">
        <v>8993735636.8626118</v>
      </c>
      <c r="E58" s="123">
        <v>9438506339.1455936</v>
      </c>
      <c r="F58" s="123">
        <v>10443360379.329018</v>
      </c>
      <c r="G58" s="344"/>
      <c r="H58" s="345"/>
      <c r="I58" s="344"/>
      <c r="J58" s="344"/>
      <c r="K58" s="344"/>
      <c r="L58" s="344"/>
      <c r="M58" s="344"/>
      <c r="N58" s="344"/>
      <c r="O58" s="344"/>
      <c r="P58" s="344"/>
      <c r="Q58" s="344"/>
    </row>
    <row r="59" spans="1:17" ht="13.15">
      <c r="A59" s="144">
        <v>20</v>
      </c>
      <c r="B59" s="123">
        <v>8203065933.0124931</v>
      </c>
      <c r="C59" s="347">
        <v>8203065933.0124931</v>
      </c>
      <c r="D59" s="123">
        <v>9344546558.1996136</v>
      </c>
      <c r="E59" s="123">
        <v>10016448706.21312</v>
      </c>
      <c r="F59" s="123">
        <v>11610103840.277256</v>
      </c>
      <c r="G59" s="344"/>
      <c r="H59" s="345"/>
      <c r="I59" s="344"/>
      <c r="J59" s="344"/>
      <c r="K59" s="344"/>
      <c r="L59" s="344"/>
      <c r="M59" s="344"/>
      <c r="N59" s="344"/>
      <c r="O59" s="344"/>
      <c r="P59" s="344"/>
      <c r="Q59" s="344"/>
    </row>
    <row r="60" spans="1:17" ht="13.15">
      <c r="A60" s="144">
        <v>25</v>
      </c>
      <c r="B60" s="123">
        <v>8203065933.0124912</v>
      </c>
      <c r="C60" s="347">
        <v>8203065933.0124912</v>
      </c>
      <c r="D60" s="123">
        <v>9702606152.9596539</v>
      </c>
      <c r="E60" s="123">
        <v>10623158771.830408</v>
      </c>
      <c r="F60" s="123">
        <v>12910373672.111689</v>
      </c>
      <c r="G60" s="344"/>
      <c r="H60" s="345"/>
      <c r="I60" s="344"/>
      <c r="J60" s="344"/>
      <c r="K60" s="344"/>
      <c r="L60" s="344"/>
      <c r="M60" s="344"/>
      <c r="N60" s="344"/>
      <c r="O60" s="344"/>
      <c r="P60" s="344"/>
      <c r="Q60" s="344"/>
    </row>
    <row r="61" spans="1:17" ht="13.15">
      <c r="A61" s="144">
        <v>30</v>
      </c>
      <c r="B61" s="123">
        <v>8203065933.0124912</v>
      </c>
      <c r="C61" s="347">
        <v>8203065933.0124912</v>
      </c>
      <c r="D61" s="123">
        <v>10049300760.369524</v>
      </c>
      <c r="E61" s="123">
        <v>11227985890.334045</v>
      </c>
      <c r="F61" s="123">
        <v>14290591802.684071</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558008922.80000007</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9300148713.333334</v>
      </c>
      <c r="D6" t="str">
        <f>Reporting_currency</f>
        <v>CNY</v>
      </c>
      <c r="E6" s="365"/>
      <c r="F6" s="365"/>
      <c r="H6" s="120"/>
    </row>
    <row r="7" spans="2:8" ht="13.15">
      <c r="B7" s="149" t="s">
        <v>445</v>
      </c>
      <c r="C7" s="111">
        <f>(C6*scaling_factor)/Common_Shares*Exchange_Rate</f>
        <v>6.666666666666667</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2.3134236943577701E-2</v>
      </c>
      <c r="H11" s="120"/>
    </row>
    <row r="12" spans="2:8" ht="13.25" customHeight="1">
      <c r="B12" s="118" t="s">
        <v>135</v>
      </c>
      <c r="C12" s="162">
        <f>Scenarios!C64</f>
        <v>5</v>
      </c>
      <c r="H12" s="120"/>
    </row>
    <row r="13" spans="2:8" ht="13.25" customHeight="1">
      <c r="B13" s="153" t="s">
        <v>107</v>
      </c>
      <c r="C13" s="140">
        <f>F47/Common_Shares*scaling_factor</f>
        <v>6.8977230652121717</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9515300557.2780972</v>
      </c>
      <c r="D46" s="139">
        <f>Terminal_Growth</f>
        <v>0</v>
      </c>
      <c r="E46" s="124">
        <f>1/(1+Equity_Cost)^C12</f>
        <v>0.74725817286605689</v>
      </c>
      <c r="F46" s="125">
        <f t="shared" si="1"/>
        <v>7110386108.7030039</v>
      </c>
      <c r="H46" s="120"/>
    </row>
    <row r="47" spans="2:8">
      <c r="C47" s="114"/>
      <c r="E47" s="127" t="s">
        <v>101</v>
      </c>
      <c r="F47" s="137">
        <f>SUM(F16:F46)</f>
        <v>9622477543.4793949</v>
      </c>
      <c r="H47" s="120"/>
    </row>
    <row r="48" spans="2:8">
      <c r="C48" s="114"/>
      <c r="H48" s="120"/>
    </row>
    <row r="49" spans="1:8" ht="13.15">
      <c r="B49" s="119" t="s">
        <v>130</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-10.42</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13.315286704532291</v>
      </c>
    </row>
    <row r="7" spans="2:9" ht="12.75" customHeight="1">
      <c r="B7" s="100" t="s">
        <v>276</v>
      </c>
      <c r="C7" s="344">
        <f>Normalized_FCF!G8</f>
        <v>821044246</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7"/>
      <c r="H7" s="247">
        <v>4</v>
      </c>
      <c r="I7" s="124" t="str">
        <f t="shared" si="0"/>
        <v/>
      </c>
    </row>
    <row r="8" spans="2:9">
      <c r="B8" s="100" t="s">
        <v>66</v>
      </c>
      <c r="C8" s="344">
        <f>Normalized_FCF!G19</f>
        <v>335956918.03600812</v>
      </c>
      <c r="D8" t="str">
        <f>Reporting_currency</f>
        <v>CNY</v>
      </c>
      <c r="E8" s="367"/>
      <c r="F8" s="367"/>
      <c r="H8" s="247">
        <v>5</v>
      </c>
      <c r="I8" s="124" t="str">
        <f t="shared" si="0"/>
        <v/>
      </c>
    </row>
    <row r="9" spans="2:9">
      <c r="B9" s="100" t="s">
        <v>57</v>
      </c>
      <c r="C9" s="344">
        <f>Normalized_FCF!C19</f>
        <v>492183955.98074996</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-4.5961886297537391E-2</v>
      </c>
      <c r="D12" s="158"/>
      <c r="E12" s="367"/>
      <c r="F12" s="367"/>
      <c r="H12" s="247">
        <v>9</v>
      </c>
      <c r="I12" s="124" t="str">
        <f t="shared" si="0"/>
        <v/>
      </c>
    </row>
    <row r="13" spans="2:9">
      <c r="B13" s="148" t="s">
        <v>153</v>
      </c>
      <c r="C13" s="158">
        <f ca="1">(Normalized_FCF!G8/OFFSET(Normalized_FCF!G8, 0, $C$4))^(1/$C$4) - 1</f>
        <v>-0.135599908831609</v>
      </c>
      <c r="E13" s="367"/>
      <c r="F13" s="367"/>
      <c r="H13" s="247">
        <v>10</v>
      </c>
      <c r="I13" s="124" t="str">
        <f t="shared" si="0"/>
        <v/>
      </c>
    </row>
    <row r="14" spans="2:9">
      <c r="B14" s="100" t="s">
        <v>66</v>
      </c>
      <c r="C14" s="158">
        <f ca="1">(Normalized_FCF!G19/OFFSET(Normalized_FCF!G19, 0, $C$4))^(1/$C$4) - 1</f>
        <v>-0.29648179377498129</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10.42</v>
      </c>
      <c r="D21" t="str">
        <f>Market_currency</f>
        <v>CNY</v>
      </c>
      <c r="E21" s="368"/>
      <c r="F21" s="368"/>
    </row>
    <row r="22" spans="2:6">
      <c r="B22" s="100" t="s">
        <v>279</v>
      </c>
      <c r="C22" s="160">
        <f>IF(valuation_method="DCF",DCF!C12,DDM!C7)</f>
        <v>12.726673869155675</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0.02</v>
      </c>
      <c r="D26" s="164"/>
      <c r="E26" s="366"/>
      <c r="F26" s="366"/>
    </row>
    <row r="27" spans="2:6">
      <c r="B27" s="100" t="s">
        <v>114</v>
      </c>
      <c r="C27" s="160">
        <f>IF(valuation_method="DCF",DCF!E76,DDM!E71)</f>
        <v>12.902506149460001</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v>
      </c>
      <c r="D32" s="164"/>
      <c r="E32" s="366"/>
      <c r="F32" s="366"/>
    </row>
    <row r="33" spans="2:6">
      <c r="B33" s="100" t="s">
        <v>114</v>
      </c>
      <c r="C33" s="160">
        <f>IF(valuation_method="DCF",DCF!E77,DDM!E72)</f>
        <v>12.726673869155675</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0.03</v>
      </c>
      <c r="D38" s="164"/>
      <c r="E38" s="366"/>
      <c r="F38" s="366"/>
    </row>
    <row r="39" spans="2:6">
      <c r="B39" s="100" t="s">
        <v>114</v>
      </c>
      <c r="C39" s="160">
        <f>IF(valuation_method="DCF",DCF!E75,DDM!E70)</f>
        <v>12.992138732995663</v>
      </c>
      <c r="D39" t="str">
        <f>Market_currency</f>
        <v>CNY</v>
      </c>
      <c r="E39" s="366"/>
      <c r="F39" s="366"/>
    </row>
    <row r="40" spans="2:6">
      <c r="B40" s="100" t="s">
        <v>148</v>
      </c>
      <c r="C40" s="167">
        <f>1-C28-C34</f>
        <v>0.2</v>
      </c>
      <c r="D40" s="165"/>
      <c r="E40" s="366"/>
      <c r="F40" s="366"/>
    </row>
    <row r="42" spans="2:6" ht="13.15">
      <c r="B42" s="100" t="s">
        <v>121</v>
      </c>
      <c r="C42" s="154">
        <f>C27*C28+C33*C34+C39*C40</f>
        <v>12.885266210106266</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12.726673869155672</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0.05</v>
      </c>
      <c r="D56" s="164"/>
      <c r="E56" s="366"/>
      <c r="F56" s="366"/>
    </row>
    <row r="57" spans="2:6">
      <c r="B57" s="100" t="s">
        <v>114</v>
      </c>
      <c r="C57" s="160">
        <f>IF(valuation_method="DCF",DCF!E74,DDM!E69)</f>
        <v>13.644268439577344</v>
      </c>
      <c r="D57" t="str">
        <f>Market_currency</f>
        <v>CNY</v>
      </c>
      <c r="E57" s="366"/>
      <c r="F57" s="366"/>
    </row>
    <row r="58" spans="2:6">
      <c r="B58" s="100" t="s">
        <v>148</v>
      </c>
      <c r="C58" s="165">
        <v>0.05</v>
      </c>
      <c r="D58" s="165"/>
      <c r="E58" s="366"/>
      <c r="F58" s="366"/>
    </row>
    <row r="60" spans="2:6" ht="13.15">
      <c r="B60" s="100" t="s">
        <v>121</v>
      </c>
      <c r="C60" s="154">
        <f>C51*C52+C57*C58+C42*(1-C52-C58)</f>
        <v>12.91528670453229</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2.3134236943577701E-2</v>
      </c>
      <c r="D65" s="151"/>
      <c r="E65" s="251" t="s">
        <v>313</v>
      </c>
    </row>
    <row r="66" spans="2:6">
      <c r="B66" s="100" t="s">
        <v>103</v>
      </c>
      <c r="C66" s="160">
        <f>IF(valuation_method="DCF",DCF!C18,DDM!C13)</f>
        <v>12.930473929771464</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0.53010312915742175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v>
      </c>
      <c r="D77" t="str">
        <f>Market_currency</f>
        <v>CNY</v>
      </c>
    </row>
    <row r="79" spans="2:6" ht="13.15">
      <c r="B79" s="109" t="s">
        <v>302</v>
      </c>
    </row>
    <row r="80" spans="2:6">
      <c r="B80" s="148" t="s">
        <v>300</v>
      </c>
      <c r="C80" s="167">
        <f>Thesis!F29</f>
        <v>0.33699999999999997</v>
      </c>
    </row>
    <row r="81" spans="2:8">
      <c r="B81" s="100" t="s">
        <v>122</v>
      </c>
      <c r="C81" s="116">
        <f>PV(C80, C76, -C77, 0)</f>
        <v>0.69031028314322296</v>
      </c>
      <c r="D81" s="116"/>
      <c r="E81" s="100"/>
      <c r="F81" s="100"/>
    </row>
    <row r="82" spans="2:8">
      <c r="B82" s="100" t="s">
        <v>123</v>
      </c>
      <c r="C82" s="116">
        <f>C60/(1+C80)^C76</f>
        <v>5.4039314300970522</v>
      </c>
      <c r="D82" s="116"/>
    </row>
    <row r="83" spans="2:8" ht="13.15">
      <c r="B83" s="110" t="s">
        <v>102</v>
      </c>
      <c r="C83" s="111">
        <f>C81+C82</f>
        <v>6.0942417132402751</v>
      </c>
      <c r="D83" t="str">
        <f>Market_currency</f>
        <v>CNY</v>
      </c>
      <c r="E83" s="146" t="s">
        <v>127</v>
      </c>
      <c r="F83" s="291">
        <f>(1-C83/C60)</f>
        <v>0.52813732651388556</v>
      </c>
    </row>
    <row r="84" spans="2:8">
      <c r="E84" s="120"/>
    </row>
    <row r="85" spans="2:8" ht="13.15">
      <c r="B85" s="109" t="s">
        <v>303</v>
      </c>
    </row>
    <row r="86" spans="2:8">
      <c r="B86" s="148" t="s">
        <v>301</v>
      </c>
      <c r="C86" s="116">
        <f>Market_Price</f>
        <v>10.42</v>
      </c>
      <c r="D86" t="str">
        <f>Market_currency</f>
        <v>CNY</v>
      </c>
    </row>
    <row r="87" spans="2:8" ht="13.15">
      <c r="B87" s="100" t="s">
        <v>299</v>
      </c>
      <c r="C87" s="237">
        <f ca="1">IRR(OFFSET($I$3, 0, 0, $C$76 + 1, 1))</f>
        <v>0.11003791920656925</v>
      </c>
    </row>
    <row r="88" spans="2:8">
      <c r="B88" s="100"/>
    </row>
    <row r="89" spans="2:8" ht="13.15">
      <c r="B89" s="109" t="s">
        <v>413</v>
      </c>
    </row>
    <row r="90" spans="2:8">
      <c r="B90" s="148" t="s">
        <v>414</v>
      </c>
      <c r="C90" s="167">
        <f>Thesis!F30</f>
        <v>0.187</v>
      </c>
    </row>
    <row r="91" spans="2:8">
      <c r="B91" s="100" t="s">
        <v>122</v>
      </c>
      <c r="C91" s="116">
        <f>PV(C90, C76, -C77, 0)</f>
        <v>0.86005014536183588</v>
      </c>
      <c r="D91" s="116"/>
      <c r="E91" s="100"/>
      <c r="F91" s="100"/>
    </row>
    <row r="92" spans="2:8">
      <c r="B92" s="100" t="s">
        <v>123</v>
      </c>
      <c r="C92" s="116">
        <f>C60/(1+C90)^C76</f>
        <v>7.7223929124686403</v>
      </c>
      <c r="D92" s="116"/>
    </row>
    <row r="93" spans="2:8" ht="13.15">
      <c r="B93" s="110" t="s">
        <v>102</v>
      </c>
      <c r="C93" s="111">
        <f>C91+C92</f>
        <v>8.582443057830476</v>
      </c>
      <c r="D93" t="str">
        <f>Market_currency</f>
        <v>CNY</v>
      </c>
      <c r="E93" s="146" t="s">
        <v>127</v>
      </c>
      <c r="F93" s="291">
        <f>(1-C93/C60)</f>
        <v>0.33548180120394178</v>
      </c>
    </row>
    <row r="95" spans="2:8" ht="13.15">
      <c r="B95" s="109" t="s">
        <v>398</v>
      </c>
      <c r="G95" s="2"/>
      <c r="H95" s="281"/>
    </row>
    <row r="96" spans="2:8">
      <c r="B96" s="148" t="s">
        <v>404</v>
      </c>
      <c r="C96" s="134">
        <f>Thesis!F31</f>
        <v>0.06</v>
      </c>
      <c r="G96" s="2"/>
      <c r="H96" s="281"/>
    </row>
    <row r="97" spans="2:8">
      <c r="B97" s="100" t="s">
        <v>122</v>
      </c>
      <c r="C97" s="116">
        <f>PV(C96, C76, -C77, 0)</f>
        <v>1.069204779784656</v>
      </c>
      <c r="D97" s="116"/>
      <c r="G97" s="2"/>
      <c r="H97" s="281"/>
    </row>
    <row r="98" spans="2:8">
      <c r="B98" s="100" t="s">
        <v>123</v>
      </c>
      <c r="C98" s="116">
        <f>C60/(1+C96)^C76</f>
        <v>10.843923763016019</v>
      </c>
      <c r="D98" s="116"/>
      <c r="G98" s="2"/>
      <c r="H98" s="281"/>
    </row>
    <row r="99" spans="2:8" ht="13.15">
      <c r="B99" s="110" t="s">
        <v>399</v>
      </c>
      <c r="C99" s="111">
        <f>C97+C98</f>
        <v>11.913128542800674</v>
      </c>
      <c r="D99" t="s">
        <v>397</v>
      </c>
      <c r="E99" s="146" t="s">
        <v>127</v>
      </c>
      <c r="F99" s="291">
        <f>(1-C99/C60)</f>
        <v>7.7594728220778397E-2</v>
      </c>
    </row>
    <row r="100" spans="2:8">
      <c r="B100" s="100"/>
    </row>
    <row r="101" spans="2:8" ht="13.15">
      <c r="B101" s="109" t="s">
        <v>423</v>
      </c>
    </row>
    <row r="102" spans="2:8">
      <c r="B102" s="148" t="s">
        <v>422</v>
      </c>
      <c r="C102" s="134">
        <f>Thesis!F32</f>
        <v>8.6999999999999994E-2</v>
      </c>
    </row>
    <row r="103" spans="2:8">
      <c r="B103" s="100" t="s">
        <v>122</v>
      </c>
      <c r="C103" s="116">
        <f>PV(C102, C76, -C77, 0)</f>
        <v>1.0179560233797402</v>
      </c>
      <c r="D103" s="116"/>
    </row>
    <row r="104" spans="2:8">
      <c r="B104" s="100" t="s">
        <v>123</v>
      </c>
      <c r="C104" s="116">
        <f>C60/(1+C102)^C76</f>
        <v>10.055772032466596</v>
      </c>
      <c r="D104" s="116"/>
    </row>
    <row r="105" spans="2:8" ht="13.15">
      <c r="B105" s="110" t="s">
        <v>399</v>
      </c>
      <c r="C105" s="111">
        <f>C103+C104</f>
        <v>11.073728055846336</v>
      </c>
      <c r="D105" t="s">
        <v>397</v>
      </c>
      <c r="E105" s="146" t="s">
        <v>127</v>
      </c>
      <c r="F105" s="291">
        <f>(1-C105/C66)</f>
        <v>0.14359457232654926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