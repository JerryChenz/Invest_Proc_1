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78CC860-2855-654A-A284-92B41A90B81A}" xr6:coauthVersionLast="47" xr6:coauthVersionMax="47" xr10:uidLastSave="{00000000-0000-0000-0000-000000000000}"/>
  <bookViews>
    <workbookView xWindow="0" yWindow="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<sst xmlns="http://schemas.openxmlformats.org/spreadsheetml/2006/main" count="685" uniqueCount="466">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</sst>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1395022307</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10.48</v>
      </c>
      <c r="D12" s="50"/>
      <c r="E12" s="48"/>
    </row>
    <row r="13" spans="1:10" x14ac:dyDescent="0.15">
      <c r="B13" s="1" t="s">
        <v>416</v>
      </c>
      <c r="C13" s="48" t="s">
        <v>414</v>
      </c>
      <c r="D13" s="48"/>
      <c r="E13" s="5"/>
    </row>
    <row r="14" spans="1:10" x14ac:dyDescent="0.15">
      <c r="B14" s="4" t="s">
        <v>420</v>
      </c>
      <c r="C14" s="35">
        <f>Thesis!C12*Common_Shares/1000000</f>
        <v>14619.833777360001</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Low Growth Asset Play</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12.91528670453229</v>
      </c>
      <c r="D26" s="1" t="s">
        <v>399</v>
      </c>
      <c r="E26" s="301">
        <f ca="1">Scenarios!C87</f>
        <v>0.10784223317227548</v>
      </c>
    </row>
    <row r="27" spans="2:6" x14ac:dyDescent="0.15">
      <c r="D27" s="5"/>
      <c r="E27" s="5"/>
    </row>
    <row r="28" spans="2:6" x14ac:dyDescent="0.15">
      <c r="B28" s="45" t="s">
        <v>433</v>
      </c>
      <c r="C28" s="309" t="str">
        <f>C145&amp;" ("&amp;Market_currency&amp;")"</f>
        <v>600373.SS (CNY)</v>
      </c>
      <c r="D28" s="309" t="str">
        <f>IF(D11="","",D145&amp;" ("&amp;D13&amp;")")</f>
        <v/>
      </c>
      <c r="E28" s="305" t="s">
        <v>429</v>
      </c>
      <c r="F28" s="303">
        <v>3</v>
      </c>
    </row>
    <row r="29" spans="2:6" x14ac:dyDescent="0.15">
      <c r="B29" s="1" t="s">
        <v>425</v>
      </c>
      <c r="C29" s="310">
        <f>C149</f>
        <v>6.0942417132402751</v>
      </c>
      <c r="D29" s="310" t="str">
        <f>D149</f>
        <v/>
      </c>
      <c r="E29" s="306" t="s">
        <v>424</v>
      </c>
      <c r="F29" s="302">
        <v>0.33699999999999997</v>
      </c>
    </row>
    <row r="30" spans="2:6" x14ac:dyDescent="0.15">
      <c r="B30" s="1" t="s">
        <v>426</v>
      </c>
      <c r="C30" s="311">
        <f>C157</f>
        <v>8.582443057830476</v>
      </c>
      <c r="D30" s="311" t="str">
        <f>D157</f>
        <v/>
      </c>
      <c r="E30" s="307" t="s">
        <v>437</v>
      </c>
      <c r="F30" s="312">
        <v>0.187</v>
      </c>
    </row>
    <row r="31" spans="2:6" x14ac:dyDescent="0.15">
      <c r="B31" s="1" t="s">
        <v>427</v>
      </c>
      <c r="C31" s="311">
        <f>C165</f>
        <v>11.913128542800674</v>
      </c>
      <c r="D31" s="311" t="str">
        <f>D165</f>
        <v/>
      </c>
      <c r="E31" s="307" t="s">
        <v>436</v>
      </c>
      <c r="F31" s="312">
        <v>0.06</v>
      </c>
    </row>
    <row r="32" spans="2:6" x14ac:dyDescent="0.15">
      <c r="B32" s="1" t="s">
        <v>428</v>
      </c>
      <c r="C32" s="311">
        <f>C173</f>
        <v>11.073728055846336</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805173862.5</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304213708</v>
      </c>
      <c r="D44" s="1" t="str">
        <f>Reporting_currency</f>
        <v>CNY</v>
      </c>
    </row>
    <row r="45" spans="1:6" x14ac:dyDescent="0.15">
      <c r="B45" s="52" t="s">
        <v>235</v>
      </c>
      <c r="C45" s="349">
        <f>Normalized_FCF!C10</f>
        <v>-304213708</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30189572.474333331</v>
      </c>
      <c r="D51" s="1" t="str">
        <f>Reporting_currency</f>
        <v>CNY</v>
      </c>
      <c r="E51" s="286"/>
      <c r="F51" s="286"/>
    </row>
    <row r="52" spans="2:6" x14ac:dyDescent="0.15">
      <c r="B52" s="47" t="s">
        <v>341</v>
      </c>
      <c r="C52" s="350">
        <f>Normalized_FCF!C47</f>
        <v>-127330087.00000001</v>
      </c>
      <c r="D52" s="1" t="str">
        <f>Reporting_currency</f>
        <v>CNY</v>
      </c>
      <c r="E52" s="286"/>
      <c r="F52" s="286"/>
    </row>
    <row r="53" spans="2:6" x14ac:dyDescent="0.15">
      <c r="B53" s="47" t="s">
        <v>238</v>
      </c>
      <c r="C53" s="349">
        <f>Normalized_FCF!C12</f>
        <v>-97140514.525666684</v>
      </c>
      <c r="D53" s="1" t="str">
        <f>Reporting_currency</f>
        <v>CNY</v>
      </c>
    </row>
    <row r="55" spans="2:6" x14ac:dyDescent="0.15">
      <c r="B55" s="1" t="s">
        <v>246</v>
      </c>
    </row>
    <row r="56" spans="2:6" x14ac:dyDescent="0.15">
      <c r="B56" s="47" t="s">
        <v>265</v>
      </c>
      <c r="C56" s="349">
        <f>Normalized_FCF!C15</f>
        <v>-38841055</v>
      </c>
      <c r="D56" s="1" t="str">
        <f>Reporting_currency</f>
        <v>CNY</v>
      </c>
    </row>
    <row r="58" spans="2:6" x14ac:dyDescent="0.15">
      <c r="B58" s="357" t="s">
        <v>241</v>
      </c>
      <c r="C58" s="357"/>
      <c r="D58" s="357"/>
      <c r="E58" s="357"/>
      <c r="F58" s="357"/>
    </row>
    <row r="59" spans="2:6" x14ac:dyDescent="0.15">
      <c r="B59" s="47" t="s">
        <v>239</v>
      </c>
      <c r="C59" s="349">
        <f>Normalized_FCF!C14</f>
        <v>-177008336.99358332</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335956918.03600812</v>
      </c>
      <c r="D67" s="1" t="str">
        <f>Reporting_currency</f>
        <v>CNY</v>
      </c>
    </row>
    <row r="68" spans="1:6" x14ac:dyDescent="0.15">
      <c r="B68" s="47" t="s">
        <v>248</v>
      </c>
      <c r="C68" s="349">
        <f>Normalized_FCF!C19</f>
        <v>492183955.98074996</v>
      </c>
      <c r="D68" s="1" t="str">
        <f>Reporting_currency</f>
        <v>CNY</v>
      </c>
    </row>
    <row r="69" spans="1:6" x14ac:dyDescent="0.15">
      <c r="B69" s="227" t="s">
        <v>390</v>
      </c>
      <c r="C69" s="92">
        <f>Normalized_FCF!C125</f>
        <v>3.3665496029300739E-2</v>
      </c>
      <c r="F69" s="314"/>
    </row>
    <row r="70" spans="1:6" x14ac:dyDescent="0.15">
      <c r="B70" s="227" t="s">
        <v>308</v>
      </c>
      <c r="C70" s="92">
        <f>Normalized_FCF!C93</f>
        <v>3.8167938931297711E-2</v>
      </c>
      <c r="E70" s="47" t="s">
        <v>448</v>
      </c>
      <c r="F70" s="315">
        <f>Normalized_FCF!C92</f>
        <v>1.1337405781301506</v>
      </c>
    </row>
    <row r="72" spans="1:6" x14ac:dyDescent="0.15">
      <c r="B72" s="210" t="s">
        <v>450</v>
      </c>
      <c r="C72" s="323" t="s">
        <v>452</v>
      </c>
      <c r="D72" s="323" t="s">
        <v>453</v>
      </c>
    </row>
    <row r="73" spans="1:6" x14ac:dyDescent="0.15">
      <c r="B73" s="47" t="s">
        <v>451</v>
      </c>
      <c r="C73" s="92">
        <f>Normalized_FCF!C120</f>
        <v>3.888300021475994E-2</v>
      </c>
      <c r="D73" s="92">
        <f>Normalized_FCF!G120</f>
        <v>4.2520188912675866E-2</v>
      </c>
    </row>
    <row r="74" spans="1:6" x14ac:dyDescent="0.15">
      <c r="B74" s="259" t="str">
        <f>Normalized_FCF!B117</f>
        <v>Pre-tax Profit/Sales</v>
      </c>
      <c r="C74" s="322">
        <f>Normalized_FCF!C117</f>
        <v>7.6099586896956867E-2</v>
      </c>
      <c r="D74" s="322">
        <f>Normalized_FCF!G117</f>
        <v>8.3218084848475898E-2</v>
      </c>
    </row>
    <row r="75" spans="1:6" x14ac:dyDescent="0.15">
      <c r="B75" s="259" t="str">
        <f>Normalized_FCF!B118</f>
        <v>Sales/Total Assets</v>
      </c>
      <c r="C75" s="324">
        <f>Normalized_FCF!C118</f>
        <v>0.30413488760323032</v>
      </c>
      <c r="D75" s="324">
        <f>Normalized_FCF!G118</f>
        <v>0.30413488760323026</v>
      </c>
    </row>
    <row r="76" spans="1:6" x14ac:dyDescent="0.15">
      <c r="B76" s="259" t="str">
        <f>Normalized_FCF!B119</f>
        <v>Total Assets/Equity</v>
      </c>
      <c r="C76" s="324">
        <f>Normalized_FCF!C119</f>
        <v>1.6800075256655485</v>
      </c>
      <c r="D76" s="324">
        <f>Normalized_FCF!G119</f>
        <v>1.6800075256655487</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5.8802399731178632</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1685959940.8299999</v>
      </c>
      <c r="D102" s="1" t="str">
        <f>Reporting_currency</f>
        <v>CNY</v>
      </c>
    </row>
    <row r="103" spans="2:6" x14ac:dyDescent="0.15">
      <c r="B103" s="47" t="s">
        <v>281</v>
      </c>
      <c r="C103" s="223">
        <f>C102*scaling_factor*Exchange_Rate/Common_Shares</f>
        <v>1.2085541086835108</v>
      </c>
      <c r="D103" s="1" t="str">
        <f>Market_currency</f>
        <v>CNY</v>
      </c>
    </row>
    <row r="104" spans="2:6" x14ac:dyDescent="0.15">
      <c r="B104" s="296" t="s">
        <v>404</v>
      </c>
      <c r="C104" s="325">
        <f>IF(BS!G31/BS!G27&gt;300%,"nm",BS!G31/BS!G27)</f>
        <v>9.2587702159681276E-2</v>
      </c>
    </row>
    <row r="105" spans="2:6" x14ac:dyDescent="0.15">
      <c r="B105" s="296" t="s">
        <v>406</v>
      </c>
      <c r="C105" s="326">
        <f>IF(BS!C50&gt;30,"nm",BS!C50)</f>
        <v>2.0939079363495856</v>
      </c>
    </row>
    <row r="107" spans="2:6" x14ac:dyDescent="0.15">
      <c r="B107" s="1" t="s">
        <v>254</v>
      </c>
    </row>
    <row r="108" spans="2:6" x14ac:dyDescent="0.15">
      <c r="B108" s="47" t="s">
        <v>264</v>
      </c>
      <c r="C108" s="349">
        <f>BS!C66</f>
        <v>10570865213.440001</v>
      </c>
      <c r="D108" s="1" t="str">
        <f>Reporting_currency</f>
        <v>CNY</v>
      </c>
    </row>
    <row r="109" spans="2:6" x14ac:dyDescent="0.15">
      <c r="B109" s="47" t="s">
        <v>266</v>
      </c>
      <c r="C109" s="349">
        <f>DCF!C8</f>
        <v>7551907966.0066681</v>
      </c>
      <c r="D109" s="1" t="str">
        <f>Reporting_currency</f>
        <v>CNY</v>
      </c>
    </row>
    <row r="110" spans="2:6" x14ac:dyDescent="0.15">
      <c r="B110" s="47" t="s">
        <v>282</v>
      </c>
      <c r="C110" s="223">
        <f>C109*scaling_factor*Exchange_Rate/Common_Shares</f>
        <v>5.4134675324633843</v>
      </c>
      <c r="D110" s="1" t="str">
        <f>Market_currency</f>
        <v>CNY</v>
      </c>
    </row>
    <row r="112" spans="2:6" x14ac:dyDescent="0.15">
      <c r="B112" s="1" t="s">
        <v>256</v>
      </c>
    </row>
    <row r="113" spans="1:6" x14ac:dyDescent="0.15">
      <c r="B113" s="47" t="s">
        <v>257</v>
      </c>
      <c r="C113" s="349">
        <f>DCF!C9</f>
        <v>3684979983.197</v>
      </c>
      <c r="D113" s="1" t="str">
        <f>Reporting_currency</f>
        <v>CNY</v>
      </c>
    </row>
    <row r="114" spans="1:6" x14ac:dyDescent="0.15">
      <c r="B114" s="47" t="s">
        <v>283</v>
      </c>
      <c r="C114" s="223">
        <f>C113*scaling_factor*Exchange_Rate/Common_Shares</f>
        <v>2.6415204722579393</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12.726673869155675</v>
      </c>
      <c r="D118" s="1" t="str">
        <f>Market_currency</f>
        <v>CNY</v>
      </c>
    </row>
    <row r="119" spans="1:6" x14ac:dyDescent="0.15">
      <c r="B119" s="296" t="s">
        <v>405</v>
      </c>
      <c r="C119" s="223">
        <f>BS!D47</f>
        <v>2.6400638402357823</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0.05</v>
      </c>
      <c r="D126" s="230">
        <f>DCF!D74</f>
        <v>10</v>
      </c>
      <c r="E126" s="231" t="str">
        <f>ROUND(IF(valuation_method="DCF",DCF!E74,DDM!E69),2)&amp;" "&amp;Market_currency</f>
        <v>13.64 CNY</v>
      </c>
      <c r="F126" s="232">
        <f>DCF!F74</f>
        <v>0.05</v>
      </c>
    </row>
    <row r="127" spans="1:6" x14ac:dyDescent="0.15">
      <c r="B127" s="218" t="str">
        <f>DCF!B75</f>
        <v>Optimistic</v>
      </c>
      <c r="C127" s="219">
        <f>DCF!C75</f>
        <v>0.03</v>
      </c>
      <c r="D127" s="220">
        <f>DCF!D75</f>
        <v>5</v>
      </c>
      <c r="E127" s="231" t="str">
        <f>ROUND(IF(valuation_method="DCF",DCF!E75,DDM!E70),2)&amp;" "&amp;Market_currency</f>
        <v>12.99 CNY</v>
      </c>
      <c r="F127" s="221">
        <f>DCF!F75</f>
        <v>0.18</v>
      </c>
    </row>
    <row r="128" spans="1:6" x14ac:dyDescent="0.15">
      <c r="B128" s="218" t="str">
        <f>DCF!B76</f>
        <v>Base</v>
      </c>
      <c r="C128" s="219">
        <f>DCF!C76</f>
        <v>0.02</v>
      </c>
      <c r="D128" s="220">
        <f>DCF!D76</f>
        <v>5</v>
      </c>
      <c r="E128" s="231" t="str">
        <f>ROUND(IF(valuation_method="DCF",DCF!E76,DDM!E71),2)&amp;" "&amp;Market_currency</f>
        <v>12.9 CNY</v>
      </c>
      <c r="F128" s="221">
        <f>DCF!F76</f>
        <v>0.53999999999999992</v>
      </c>
    </row>
    <row r="129" spans="1:6" x14ac:dyDescent="0.15">
      <c r="B129" s="218" t="str">
        <f>DCF!B77</f>
        <v>Pessimistic</v>
      </c>
      <c r="C129" s="219">
        <f>DCF!C77</f>
        <v>0</v>
      </c>
      <c r="D129" s="220">
        <f>DCF!D77</f>
        <v>5</v>
      </c>
      <c r="E129" s="231" t="str">
        <f>ROUND(IF(valuation_method="DCF",DCF!E77,DDM!E72),2)&amp;" "&amp;Market_currency</f>
        <v>12.73 CNY</v>
      </c>
      <c r="F129" s="221">
        <f>DCF!F77</f>
        <v>0.18</v>
      </c>
    </row>
    <row r="130" spans="1:6" x14ac:dyDescent="0.15">
      <c r="B130" s="218" t="str">
        <f>DCF!B78</f>
        <v>Devil's advocate</v>
      </c>
      <c r="C130" s="219">
        <f>DCF!C78</f>
        <v>0</v>
      </c>
      <c r="D130" s="220">
        <f>DCF!D78</f>
        <v>10</v>
      </c>
      <c r="E130" s="231" t="str">
        <f>ROUND(IF(valuation_method="DCF",DCF!E78,DDM!E73),2)&amp;" "&amp;Market_currency</f>
        <v>12.73 CNY</v>
      </c>
      <c r="F130" s="221">
        <f>DCF!F78</f>
        <v>0.05</v>
      </c>
    </row>
    <row r="132" spans="1:6" x14ac:dyDescent="0.15">
      <c r="B132" s="211" t="s">
        <v>258</v>
      </c>
      <c r="C132" s="217">
        <f>Scenarios!C60</f>
        <v>12.91528670453229</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0.4</v>
      </c>
      <c r="D143" s="212" t="str">
        <f>Market_currency</f>
        <v>CNY</v>
      </c>
    </row>
    <row r="145" spans="2:4" x14ac:dyDescent="0.15">
      <c r="B145" s="210" t="s">
        <v>408</v>
      </c>
      <c r="C145" s="241" t="str">
        <f>C11</f>
        <v>600373.SS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0.69031028314322296</v>
      </c>
    </row>
    <row r="148" spans="2:4" x14ac:dyDescent="0.15">
      <c r="B148" s="212" t="str">
        <f>"+ PV(Equity Value realized at year "&amp;C141&amp;")"</f>
        <v>+ PV(Equity Value realized at year 3)</v>
      </c>
      <c r="C148" s="216">
        <f>Scenarios!C82</f>
        <v>5.4039314300970522</v>
      </c>
    </row>
    <row r="149" spans="2:4" x14ac:dyDescent="0.15">
      <c r="B149" s="80" t="s">
        <v>260</v>
      </c>
      <c r="C149" s="215">
        <f>Scenarios!C83</f>
        <v>6.0942417132402751</v>
      </c>
      <c r="D149" s="300" t="str">
        <f>IF($D$11="","",C149*$E$25)</f>
        <v/>
      </c>
    </row>
    <row r="150" spans="2:4" x14ac:dyDescent="0.15">
      <c r="B150" s="259" t="s">
        <v>416</v>
      </c>
      <c r="C150" s="298" t="str">
        <f>Market_currency</f>
        <v>CNY</v>
      </c>
      <c r="D150" s="298" t="str">
        <f>IF($D$11="","",D$13)</f>
        <v/>
      </c>
    </row>
    <row r="151" spans="2:4" x14ac:dyDescent="0.15">
      <c r="B151" s="214" t="s">
        <v>262</v>
      </c>
      <c r="C151" s="92">
        <f>Scenarios!F83</f>
        <v>0.52813732651388556</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0.86005014536183588</v>
      </c>
    </row>
    <row r="156" spans="2:4" x14ac:dyDescent="0.15">
      <c r="B156" s="212" t="str">
        <f>"+ PV(Equity Value realized at year "&amp;C141&amp;")"</f>
        <v>+ PV(Equity Value realized at year 3)</v>
      </c>
      <c r="C156" s="216">
        <f>Scenarios!C92</f>
        <v>7.7223929124686403</v>
      </c>
    </row>
    <row r="157" spans="2:4" x14ac:dyDescent="0.15">
      <c r="B157" s="80" t="s">
        <v>260</v>
      </c>
      <c r="C157" s="215">
        <f>Scenarios!C93</f>
        <v>8.582443057830476</v>
      </c>
      <c r="D157" s="300" t="str">
        <f>IF($D$11="","",C157*$E$25)</f>
        <v/>
      </c>
    </row>
    <row r="158" spans="2:4" x14ac:dyDescent="0.15">
      <c r="B158" s="259" t="s">
        <v>416</v>
      </c>
      <c r="C158" s="298" t="str">
        <f>Market_currency</f>
        <v>CNY</v>
      </c>
      <c r="D158" s="298" t="str">
        <f>IF($D$11="","",D$13)</f>
        <v/>
      </c>
    </row>
    <row r="159" spans="2:4" x14ac:dyDescent="0.15">
      <c r="B159" s="214" t="s">
        <v>262</v>
      </c>
      <c r="C159" s="92">
        <f>Scenarios!F93</f>
        <v>0.33548180120394178</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1.069204779784656</v>
      </c>
    </row>
    <row r="164" spans="2:4" x14ac:dyDescent="0.15">
      <c r="B164" s="212" t="str">
        <f>"+ PV(Equity Value realized at year "&amp;C141&amp;")"</f>
        <v>+ PV(Equity Value realized at year 3)</v>
      </c>
      <c r="C164" s="216">
        <f>Scenarios!C98</f>
        <v>10.843923763016019</v>
      </c>
    </row>
    <row r="165" spans="2:4" x14ac:dyDescent="0.15">
      <c r="B165" s="80" t="s">
        <v>401</v>
      </c>
      <c r="C165" s="215">
        <f>Scenarios!C99</f>
        <v>11.913128542800674</v>
      </c>
      <c r="D165" s="300" t="str">
        <f>IF($D$11="","",C165*$E$25)</f>
        <v/>
      </c>
    </row>
    <row r="166" spans="2:4" x14ac:dyDescent="0.15">
      <c r="B166" s="259" t="s">
        <v>416</v>
      </c>
      <c r="C166" s="298" t="str">
        <f>Market_currency</f>
        <v>CNY</v>
      </c>
      <c r="D166" s="298" t="str">
        <f>IF($D$11="","",D$13)</f>
        <v/>
      </c>
    </row>
    <row r="167" spans="2:4" x14ac:dyDescent="0.15">
      <c r="B167" s="214" t="s">
        <v>262</v>
      </c>
      <c r="C167" s="92">
        <f>Scenarios!F99</f>
        <v>7.7594728220778397E-2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1.0179560233797402</v>
      </c>
    </row>
    <row r="172" spans="2:4" x14ac:dyDescent="0.15">
      <c r="B172" s="212" t="str">
        <f>"+ PV(Equity Value realized at year "&amp;C141&amp;")"</f>
        <v>+ PV(Equity Value realized at year 3)</v>
      </c>
      <c r="C172" s="216">
        <f>Scenarios!C104</f>
        <v>10.055772032466596</v>
      </c>
    </row>
    <row r="173" spans="2:4" x14ac:dyDescent="0.15">
      <c r="B173" s="80" t="s">
        <v>401</v>
      </c>
      <c r="C173" s="215">
        <f>Scenarios!C105</f>
        <v>11.073728055846336</v>
      </c>
      <c r="D173" s="300" t="str">
        <f>IF($D$11="","",C173*$E$25)</f>
        <v/>
      </c>
    </row>
    <row r="174" spans="2:4" x14ac:dyDescent="0.15">
      <c r="B174" s="259" t="s">
        <v>416</v>
      </c>
      <c r="C174" s="298" t="str">
        <f>Market_currency</f>
        <v>CNY</v>
      </c>
      <c r="D174" s="298" t="str">
        <f>IF($D$11="","",D$13)</f>
        <v/>
      </c>
    </row>
    <row r="175" spans="2:4" x14ac:dyDescent="0.15">
      <c r="B175" s="214" t="s">
        <v>262</v>
      </c>
      <c r="C175" s="92">
        <f>Scenarios!F105</f>
        <v>0.14359457232654926</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x14ac:dyDescent="0.15">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x14ac:dyDescent="0.15">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x14ac:dyDescent="0.15">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x14ac:dyDescent="0.15">
      <c r="B8" s="40" t="s">
        <v>49</v>
      </c>
      <c r="C8" s="351">
        <v>218971112</v>
      </c>
      <c r="D8" s="351">
        <v>230826900</v>
      </c>
      <c r="E8" s="351">
        <v>251189350</v>
      </c>
      <c r="F8" s="351">
        <v>238378620</v>
      </c>
      <c r="G8" s="351">
        <v>208413520</v>
      </c>
      <c r="H8" s="351">
        <v>390411956</v>
      </c>
      <c r="I8" s="351">
        <v>833049901</v>
      </c>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127330087</v>
      </c>
      <c r="D12" s="351">
        <v>145285501</v>
      </c>
      <c r="E12" s="351">
        <v>161564792</v>
      </c>
      <c r="F12" s="351">
        <v>169466694</v>
      </c>
      <c r="G12" s="351">
        <v>139996345</v>
      </c>
      <c r="H12" s="351">
        <v>156549769</v>
      </c>
      <c r="I12" s="351">
        <v>87319034</v>
      </c>
      <c r="J12" s="351"/>
      <c r="K12" s="351"/>
      <c r="L12" s="351"/>
      <c r="M12" s="351"/>
    </row>
    <row r="13" spans="2:13" x14ac:dyDescent="0.15">
      <c r="B13" s="40" t="s">
        <v>67</v>
      </c>
      <c r="C13" s="351">
        <v>282045305</v>
      </c>
      <c r="D13" s="351">
        <v>408337182</v>
      </c>
      <c r="E13" s="351">
        <v>577191429</v>
      </c>
      <c r="F13" s="351">
        <v>441101398</v>
      </c>
      <c r="G13" s="351">
        <v>264423586</v>
      </c>
      <c r="H13" s="351">
        <v>197905422</v>
      </c>
      <c r="I13" s="351">
        <v>115750108</v>
      </c>
      <c r="J13" s="351"/>
      <c r="K13" s="351"/>
      <c r="L13" s="351"/>
      <c r="M13" s="351"/>
    </row>
    <row r="14" spans="2:13" x14ac:dyDescent="0.15">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x14ac:dyDescent="0.15">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x14ac:dyDescent="0.15">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x14ac:dyDescent="0.15">
      <c r="B18" s="16" t="s">
        <v>51</v>
      </c>
      <c r="C18" s="9"/>
    </row>
    <row r="19" spans="2:13" ht="13" x14ac:dyDescent="0.15">
      <c r="B19" s="27" t="s">
        <v>47</v>
      </c>
      <c r="C19" s="351">
        <v>304213708</v>
      </c>
      <c r="D19" s="351">
        <v>284765003</v>
      </c>
      <c r="E19" s="351">
        <v>280160892</v>
      </c>
      <c r="F19" s="351">
        <v>262044527</v>
      </c>
      <c r="G19" s="351">
        <v>233520143</v>
      </c>
      <c r="H19" s="351">
        <v>241901529</v>
      </c>
      <c r="I19" s="351">
        <v>213366792</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ht="13" x14ac:dyDescent="0.15">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ht="13" x14ac:dyDescent="0.15">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x14ac:dyDescent="0.15">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x14ac:dyDescent="0.15">
      <c r="B27" s="16" t="s">
        <v>28</v>
      </c>
      <c r="C27" s="97" t="s">
        <v>463</v>
      </c>
    </row>
    <row r="28" spans="2:13" ht="13" x14ac:dyDescent="0.15">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ht="13" x14ac:dyDescent="0.15">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ht="13" x14ac:dyDescent="0.15">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ht="13" x14ac:dyDescent="0.15">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ht="13" x14ac:dyDescent="0.15">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x14ac:dyDescent="0.15">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ht="13" x14ac:dyDescent="0.15">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x14ac:dyDescent="0.15">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x14ac:dyDescent="0.15">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x14ac:dyDescent="0.15">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x14ac:dyDescent="0.15">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x14ac:dyDescent="0.15">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x14ac:dyDescent="0.15">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x14ac:dyDescent="0.15">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x14ac:dyDescent="0.15">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x14ac:dyDescent="0.15">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x14ac:dyDescent="0.15">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x14ac:dyDescent="0.15">
      <c r="B50" s="16" t="s">
        <v>68</v>
      </c>
    </row>
    <row r="51" spans="2:13" x14ac:dyDescent="0.15">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x14ac:dyDescent="0.15">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x14ac:dyDescent="0.15">
      <c r="B60" s="16" t="s">
        <v>51</v>
      </c>
      <c r="C60" s="9"/>
    </row>
    <row r="61" spans="2:13" ht="13" x14ac:dyDescent="0.15">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ht="13" x14ac:dyDescent="0.15">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x14ac:dyDescent="0.15">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ht="13" x14ac:dyDescent="0.15">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x14ac:dyDescent="0.15">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x14ac:dyDescent="0.15">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x14ac:dyDescent="0.15">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ht="13" x14ac:dyDescent="0.15">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ht="13" x14ac:dyDescent="0.15">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ht="13" x14ac:dyDescent="0.15">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ht="13" x14ac:dyDescent="0.15">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20858204.32+1750682273.49+7611314.85+131065409.1</f>
        <v>1910217201.7599998</v>
      </c>
      <c r="D4" s="261">
        <v>0.6</v>
      </c>
      <c r="E4" s="25"/>
      <c r="F4" s="4" t="s">
        <v>77</v>
      </c>
      <c r="G4" s="19">
        <v>10570865213.440001</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1152244678.0699999</v>
      </c>
      <c r="D6" s="261">
        <v>0.5</v>
      </c>
      <c r="E6" s="25"/>
      <c r="F6" s="4" t="s">
        <v>177</v>
      </c>
      <c r="G6" s="19">
        <v>0</v>
      </c>
      <c r="H6" s="261">
        <v>0.6</v>
      </c>
    </row>
    <row r="7" spans="2:8" ht="15" customHeight="1" x14ac:dyDescent="0.15">
      <c r="B7" s="1" t="s">
        <v>69</v>
      </c>
      <c r="C7" s="19">
        <v>0</v>
      </c>
      <c r="D7" s="261">
        <v>0.6</v>
      </c>
      <c r="E7" s="25"/>
      <c r="F7" s="4" t="s">
        <v>178</v>
      </c>
      <c r="G7" s="19">
        <v>5809566736.8500004</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382020580.81</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f>27904732.88+601371713.32</f>
        <v>629276446.20000005</v>
      </c>
      <c r="D11" s="261">
        <v>0.05</v>
      </c>
      <c r="H11" s="262"/>
    </row>
    <row r="12" spans="2:8" ht="15" customHeight="1" x14ac:dyDescent="0.15">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f>55162498.36</f>
        <v>55162498.359999999</v>
      </c>
      <c r="D15" s="261">
        <v>0.4</v>
      </c>
      <c r="F15" s="4" t="s">
        <v>78</v>
      </c>
      <c r="G15" s="19">
        <v>0</v>
      </c>
      <c r="H15" s="261">
        <v>0.8</v>
      </c>
    </row>
    <row r="16" spans="2:8" ht="15" customHeight="1" x14ac:dyDescent="0.15">
      <c r="B16" s="1" t="s">
        <v>34</v>
      </c>
      <c r="C16" s="19">
        <f>44364412.13+1023569661.78</f>
        <v>1067934073.91</v>
      </c>
      <c r="D16" s="261">
        <v>0.5</v>
      </c>
      <c r="F16" s="4" t="s">
        <v>177</v>
      </c>
      <c r="G16" s="19">
        <v>0</v>
      </c>
      <c r="H16" s="261">
        <v>0.6</v>
      </c>
    </row>
    <row r="17" spans="2:8" ht="15" customHeight="1" x14ac:dyDescent="0.15">
      <c r="B17" s="1" t="s">
        <v>69</v>
      </c>
      <c r="C17" s="19">
        <v>666543619.20000005</v>
      </c>
      <c r="D17" s="261">
        <v>0.6</v>
      </c>
      <c r="F17" s="4" t="s">
        <v>178</v>
      </c>
      <c r="G17" s="19">
        <v>11101623.65</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2110695200.78+216680982.55+108677337.18</f>
        <v>2436053520.5099998</v>
      </c>
      <c r="D19" s="261">
        <v>0.1</v>
      </c>
      <c r="F19" s="4" t="s">
        <v>182</v>
      </c>
      <c r="G19" s="19">
        <v>1925789668.97</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730819471.01999998</v>
      </c>
      <c r="D21" s="261">
        <v>0.05</v>
      </c>
      <c r="F21" s="1" t="s">
        <v>180</v>
      </c>
      <c r="G21" s="19">
        <v>0</v>
      </c>
      <c r="H21" s="261">
        <v>0.1</v>
      </c>
    </row>
    <row r="22" spans="2:8" ht="15" customHeight="1" x14ac:dyDescent="0.15">
      <c r="B22" s="4" t="s">
        <v>20</v>
      </c>
      <c r="C22" s="19">
        <v>195810554.43000001</v>
      </c>
      <c r="D22" s="261">
        <v>0.9</v>
      </c>
      <c r="H22" s="262"/>
    </row>
    <row r="23" spans="2:8" ht="15" customHeight="1" x14ac:dyDescent="0.15">
      <c r="B23" s="4" t="s">
        <v>21</v>
      </c>
      <c r="C23" s="19">
        <f>2858698047.61+71365873.11+118340146.3</f>
        <v>3048404067.0200005</v>
      </c>
      <c r="D23" s="261">
        <v>0</v>
      </c>
      <c r="H23" s="262"/>
    </row>
    <row r="24" spans="2:8" ht="15" customHeight="1" x14ac:dyDescent="0.15">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x14ac:dyDescent="0.15">
      <c r="B26" s="16" t="s">
        <v>200</v>
      </c>
      <c r="C26" s="182" t="s">
        <v>136</v>
      </c>
      <c r="F26" s="184" t="s">
        <v>196</v>
      </c>
      <c r="G26" s="185" t="s">
        <v>136</v>
      </c>
      <c r="H26" s="186" t="s">
        <v>35</v>
      </c>
    </row>
    <row r="27" spans="2:8" ht="15" customHeight="1" x14ac:dyDescent="0.15">
      <c r="B27" s="4" t="s">
        <v>5</v>
      </c>
      <c r="C27" s="19">
        <v>1601516869.78</v>
      </c>
      <c r="F27" s="187" t="s">
        <v>30</v>
      </c>
      <c r="G27" s="85">
        <f>G32-G30</f>
        <v>18209329117.190002</v>
      </c>
      <c r="H27" s="188">
        <f>H32-G30</f>
        <v>4020530411.1730003</v>
      </c>
    </row>
    <row r="28" spans="2:8" ht="15" customHeight="1" x14ac:dyDescent="0.15">
      <c r="B28" s="4" t="s">
        <v>6</v>
      </c>
      <c r="C28" s="19">
        <v>0</v>
      </c>
      <c r="F28" s="189" t="s">
        <v>244</v>
      </c>
      <c r="G28" s="12">
        <v>337582462.13999999</v>
      </c>
      <c r="H28" s="188"/>
    </row>
    <row r="29" spans="2:8" ht="15" customHeight="1" x14ac:dyDescent="0.15">
      <c r="B29" s="4" t="s">
        <v>7</v>
      </c>
      <c r="C29" s="19">
        <v>0</v>
      </c>
      <c r="F29" s="190" t="s">
        <v>75</v>
      </c>
      <c r="G29" s="14">
        <f>G27-G28</f>
        <v>17871746655.050003</v>
      </c>
      <c r="H29" s="188">
        <f>H27-G28</f>
        <v>3682947949.0330005</v>
      </c>
    </row>
    <row r="30" spans="2:8" ht="15" customHeight="1" x14ac:dyDescent="0.15">
      <c r="B30" s="2" t="s">
        <v>8</v>
      </c>
      <c r="C30" s="19">
        <v>0</v>
      </c>
      <c r="F30" s="187" t="s">
        <v>23</v>
      </c>
      <c r="G30" s="85">
        <f>C33+C42</f>
        <v>12382480837.01</v>
      </c>
      <c r="H30" s="188"/>
    </row>
    <row r="31" spans="2:8" ht="15" customHeight="1" x14ac:dyDescent="0.15">
      <c r="B31" s="80" t="s">
        <v>203</v>
      </c>
      <c r="C31" s="81">
        <f>SUM(C27:C30)</f>
        <v>1601516869.78</v>
      </c>
      <c r="F31" s="190" t="s">
        <v>76</v>
      </c>
      <c r="G31" s="191">
        <f>C31+C40</f>
        <v>1685959940.8299999</v>
      </c>
      <c r="H31" s="188"/>
    </row>
    <row r="32" spans="2:8" ht="15" customHeight="1" x14ac:dyDescent="0.15">
      <c r="B32" s="4" t="s">
        <v>9</v>
      </c>
      <c r="C32" s="21">
        <f>C33-C31</f>
        <v>9721988024.8299999</v>
      </c>
      <c r="F32" s="192" t="s">
        <v>74</v>
      </c>
      <c r="G32" s="193">
        <f>G35+G40</f>
        <v>30591809954.200001</v>
      </c>
      <c r="H32" s="188">
        <f>H35+H40</f>
        <v>16403011248.183001</v>
      </c>
    </row>
    <row r="33" spans="2:8" ht="15" customHeight="1" x14ac:dyDescent="0.15">
      <c r="B33" s="83" t="s">
        <v>4</v>
      </c>
      <c r="C33" s="84">
        <v>11323504894.610001</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12274486711.290001</v>
      </c>
      <c r="H35" s="200">
        <f>D12+D24</f>
        <v>3204252572.8899999</v>
      </c>
    </row>
    <row r="36" spans="2:8" ht="15" customHeight="1" x14ac:dyDescent="0.15">
      <c r="B36" s="4" t="s">
        <v>13</v>
      </c>
      <c r="C36" s="19">
        <v>0</v>
      </c>
      <c r="F36" s="190" t="s">
        <v>197</v>
      </c>
      <c r="G36" s="191">
        <f>C4+C15</f>
        <v>1965379700.1199996</v>
      </c>
      <c r="H36" s="195"/>
    </row>
    <row r="37" spans="2:8" ht="15" customHeight="1" x14ac:dyDescent="0.15">
      <c r="B37" s="4" t="s">
        <v>14</v>
      </c>
      <c r="C37" s="19">
        <v>84443071.049999997</v>
      </c>
      <c r="F37" s="190" t="s">
        <v>198</v>
      </c>
      <c r="G37" s="191">
        <f>C6</f>
        <v>1152244678.0699999</v>
      </c>
      <c r="H37" s="195"/>
    </row>
    <row r="38" spans="2:8" ht="15" customHeight="1" x14ac:dyDescent="0.15">
      <c r="B38" s="4" t="s">
        <v>15</v>
      </c>
      <c r="C38" s="19">
        <v>0</v>
      </c>
      <c r="F38" s="190" t="s">
        <v>199</v>
      </c>
      <c r="G38" s="191">
        <f>C7+C17</f>
        <v>666543619.20000005</v>
      </c>
      <c r="H38" s="195"/>
    </row>
    <row r="39" spans="2:8" ht="15" customHeight="1" x14ac:dyDescent="0.15">
      <c r="B39" s="2" t="s">
        <v>16</v>
      </c>
      <c r="C39" s="19">
        <v>0</v>
      </c>
      <c r="F39" s="190" t="s">
        <v>79</v>
      </c>
      <c r="G39" s="191">
        <f>C7+C17+C19+C20</f>
        <v>3102597139.71</v>
      </c>
      <c r="H39" s="188">
        <f>C7*D7+C17*D17+C19*D19+C20*D20</f>
        <v>643531523.5710001</v>
      </c>
    </row>
    <row r="40" spans="2:8" ht="15" customHeight="1" x14ac:dyDescent="0.15">
      <c r="B40" s="80" t="s">
        <v>204</v>
      </c>
      <c r="C40" s="81">
        <f>SUM(C36:C39)</f>
        <v>84443071.049999997</v>
      </c>
      <c r="F40" s="199" t="s">
        <v>138</v>
      </c>
      <c r="G40" s="193">
        <f>G12+G24</f>
        <v>18317323242.91</v>
      </c>
      <c r="H40" s="200">
        <f>H12+H24</f>
        <v>13198758675.293001</v>
      </c>
    </row>
    <row r="41" spans="2:8" ht="15" customHeight="1" x14ac:dyDescent="0.15">
      <c r="B41" s="4" t="s">
        <v>17</v>
      </c>
      <c r="C41" s="21">
        <f>C42-C40</f>
        <v>974532871.35000002</v>
      </c>
      <c r="F41" s="190" t="s">
        <v>191</v>
      </c>
      <c r="G41" s="191">
        <f>C70</f>
        <v>10570865213.440001</v>
      </c>
      <c r="H41" s="200">
        <f>H40-H42</f>
        <v>9513778692.0960007</v>
      </c>
    </row>
    <row r="42" spans="2:8" ht="15" customHeight="1" x14ac:dyDescent="0.15">
      <c r="B42" s="83" t="s">
        <v>22</v>
      </c>
      <c r="C42" s="84">
        <v>1058975942.4</v>
      </c>
      <c r="F42" s="201" t="s">
        <v>192</v>
      </c>
      <c r="G42" s="202">
        <f>C82</f>
        <v>7746458029.4700003</v>
      </c>
      <c r="H42" s="203">
        <f>D82</f>
        <v>3684979983.197</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17871746655.050003</v>
      </c>
      <c r="D46" s="76">
        <f>H29</f>
        <v>3682947949.0330005</v>
      </c>
      <c r="F46" s="253"/>
    </row>
    <row r="47" spans="2:8" ht="15" customHeight="1" x14ac:dyDescent="0.15">
      <c r="B47" s="1" t="str">
        <f>"Equity per share ("&amp;Market_currency&amp;")"</f>
        <v>Equity per share (CNY)</v>
      </c>
      <c r="C47" s="147">
        <f>C46*H1/Common_Shares*Exchange_Rate</f>
        <v>12.811083066824395</v>
      </c>
      <c r="D47" s="147">
        <f>D46*H1/Common_Shares*Exchange_Rate</f>
        <v>2.6400638402357823</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2.0939079363495856</v>
      </c>
      <c r="D50" s="95">
        <f>G31/Normalized_FCF!G8</f>
        <v>2.0534337205866002</v>
      </c>
      <c r="F50" s="253"/>
    </row>
    <row r="51" spans="2:8" ht="15" customHeight="1" x14ac:dyDescent="0.15">
      <c r="B51" s="1" t="s">
        <v>176</v>
      </c>
      <c r="C51" s="181"/>
      <c r="D51" s="92">
        <f>G29/G32</f>
        <v>0.58420036871981029</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6.5597355020915529E-2</v>
      </c>
      <c r="D54" s="92">
        <f>Normalized_FCF!G8/G35</f>
        <v>6.6890312019712267E-2</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9.8051308081988003E-2</v>
      </c>
      <c r="F58" s="5"/>
    </row>
    <row r="59" spans="2:8" ht="15" customHeight="1" x14ac:dyDescent="0.15">
      <c r="B59" s="1" t="s">
        <v>92</v>
      </c>
      <c r="C59" s="98"/>
      <c r="D59" s="92">
        <f>G39/G32</f>
        <v>0.10141920809376757</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1.8889170076983472E-2</v>
      </c>
      <c r="D62" s="92">
        <f>G28/G29</f>
        <v>1.8889170076983472E-2</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10570865213.440001</v>
      </c>
      <c r="D66" s="76">
        <f>C66-D75</f>
        <v>7551907966.0066681</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10570865213.440001</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-753416779.89999998</v>
      </c>
      <c r="D73" s="349">
        <f>(Normalized_FCF!C25+Normalized_FCF!C35-Normalized_FCF!C91)/12</f>
        <v>-754739311.85833323</v>
      </c>
      <c r="F73" s="1" t="s">
        <v>351</v>
      </c>
    </row>
    <row r="74" spans="2:6" ht="15" customHeight="1" x14ac:dyDescent="0.15">
      <c r="B74" s="257" t="s">
        <v>321</v>
      </c>
      <c r="C74" s="258">
        <f>-$C$66/C73</f>
        <v>14.03056780185206</v>
      </c>
      <c r="D74" s="258">
        <f>-$C$66/D73</f>
        <v>14.005981995839356</v>
      </c>
      <c r="F74" s="253" t="s">
        <v>319</v>
      </c>
    </row>
    <row r="75" spans="2:6" ht="15" customHeight="1" x14ac:dyDescent="0.15">
      <c r="B75" s="80" t="s">
        <v>320</v>
      </c>
      <c r="C75" s="320"/>
      <c r="D75" s="321">
        <f>MAX(-D73*D76,G5)</f>
        <v>3018957247.4333329</v>
      </c>
      <c r="F75" s="253" t="s">
        <v>352</v>
      </c>
    </row>
    <row r="76" spans="2:6" ht="15" customHeight="1" x14ac:dyDescent="0.15">
      <c r="B76" s="259" t="s">
        <v>322</v>
      </c>
      <c r="C76" s="260"/>
      <c r="D76" s="290">
        <f>IF(valuation_method="DCF",IF(D74&lt;=3,1,IF(D74&gt;18,6,2))*2,-C66/D73)</f>
        <v>4</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5820668360.5</v>
      </c>
      <c r="D79" s="76">
        <f>G7*H7+G17*H17</f>
        <v>3492401016.3000002</v>
      </c>
      <c r="F79" s="253"/>
    </row>
    <row r="80" spans="2:6" ht="15" customHeight="1" x14ac:dyDescent="0.15">
      <c r="B80" s="105" t="s">
        <v>182</v>
      </c>
      <c r="C80" s="20">
        <f>G19</f>
        <v>1925789668.97</v>
      </c>
      <c r="D80" s="76">
        <f>G19*H19</f>
        <v>192578966.89700001</v>
      </c>
      <c r="F80" s="253"/>
    </row>
    <row r="81" spans="2:8" ht="15" customHeight="1" x14ac:dyDescent="0.15">
      <c r="B81" s="105" t="s">
        <v>180</v>
      </c>
      <c r="C81" s="20">
        <f>G9+G21</f>
        <v>0</v>
      </c>
      <c r="D81" s="76">
        <f>G9*H9+G21*H21</f>
        <v>0</v>
      </c>
      <c r="F81" s="253"/>
    </row>
    <row r="82" spans="2:8" ht="15" customHeight="1" x14ac:dyDescent="0.15">
      <c r="B82" s="80" t="s">
        <v>189</v>
      </c>
      <c r="C82" s="81">
        <f>SUM(C79:C81)</f>
        <v>7746458029.4700003</v>
      </c>
      <c r="D82" s="81">
        <f>SUM(D79:D81)</f>
        <v>3684979983.197</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-1685959940.8299999</v>
      </c>
      <c r="D86" s="223">
        <f>C86*scaling_factor/Common_Shares</f>
        <v>-1.2085541086835108</v>
      </c>
      <c r="E86" s="240" t="str">
        <f>Market_currency</f>
        <v>CNY</v>
      </c>
    </row>
    <row r="87" spans="2:8" ht="15" customHeight="1" x14ac:dyDescent="0.15">
      <c r="B87" s="238" t="s">
        <v>287</v>
      </c>
      <c r="C87" s="76">
        <f>DCF!C8*Exchange_Rate</f>
        <v>7551907966.0066681</v>
      </c>
      <c r="D87" s="223">
        <f>C87*scaling_factor/Common_Shares</f>
        <v>5.4134675324633843</v>
      </c>
      <c r="E87" s="240" t="str">
        <f>Market_currency</f>
        <v>CNY</v>
      </c>
    </row>
    <row r="88" spans="2:8" ht="15" customHeight="1" x14ac:dyDescent="0.15">
      <c r="B88" s="239" t="s">
        <v>189</v>
      </c>
      <c r="C88" s="76">
        <f>DCF!C9*Exchange_Rate</f>
        <v>3684979983.197</v>
      </c>
      <c r="D88" s="223">
        <f>C88*scaling_factor/Common_Shares</f>
        <v>2.6415204722579393</v>
      </c>
      <c r="E88" s="240" t="str">
        <f>Market_currency</f>
        <v>CNY</v>
      </c>
    </row>
    <row r="89" spans="2:8" ht="15" customHeight="1" x14ac:dyDescent="0.15">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x14ac:dyDescent="0.15">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x14ac:dyDescent="0.15">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x14ac:dyDescent="0.15">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x14ac:dyDescent="0.15">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x14ac:dyDescent="0.15">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x14ac:dyDescent="0.15">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x14ac:dyDescent="0.15">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x14ac:dyDescent="0.15">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x14ac:dyDescent="0.15">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x14ac:dyDescent="0.15">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x14ac:dyDescent="0.2">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x14ac:dyDescent="0.15">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x14ac:dyDescent="0.2">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x14ac:dyDescent="0.15">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x14ac:dyDescent="0.15">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x14ac:dyDescent="0.15">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x14ac:dyDescent="0.15">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x14ac:dyDescent="0.15">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x14ac:dyDescent="0.15">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x14ac:dyDescent="0.15">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x14ac:dyDescent="0.15">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x14ac:dyDescent="0.15">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x14ac:dyDescent="0.15">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x14ac:dyDescent="0.15">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x14ac:dyDescent="0.15">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x14ac:dyDescent="0.15">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x14ac:dyDescent="0.15">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x14ac:dyDescent="0.15">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x14ac:dyDescent="0.15">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x14ac:dyDescent="0.15">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x14ac:dyDescent="0.15">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x14ac:dyDescent="0.15">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x14ac:dyDescent="0.15">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3.8167938931297711E-2</v>
      </c>
      <c r="E93" s="268"/>
      <c r="G93" s="23">
        <f t="shared" ref="G93:Q93" si="39">IF(G$4="","",G90/Market_Price)</f>
        <v>3.8167938931297711E-2</v>
      </c>
      <c r="H93" s="23">
        <f t="shared" si="39"/>
        <v>7.4427480916030533E-2</v>
      </c>
      <c r="I93" s="23">
        <f t="shared" si="39"/>
        <v>7.15648854961832E-2</v>
      </c>
      <c r="J93" s="23">
        <f t="shared" si="39"/>
        <v>6.4885496183206104E-2</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x14ac:dyDescent="0.15">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x14ac:dyDescent="0.15">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x14ac:dyDescent="0.15">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x14ac:dyDescent="0.15">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x14ac:dyDescent="0.15">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x14ac:dyDescent="0.15">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x14ac:dyDescent="0.15">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x14ac:dyDescent="0.15">
      <c r="A125" s="10"/>
      <c r="B125" s="27" t="s">
        <v>269</v>
      </c>
      <c r="C125" s="77">
        <f>C19*Exchange_Rate*$C$3/(Market_Price*Common_Shares)</f>
        <v>3.3665496029300739E-2</v>
      </c>
      <c r="D125" s="27"/>
      <c r="E125" s="265"/>
      <c r="F125" s="27"/>
      <c r="G125" s="77">
        <f t="shared" ref="G125" si="50">IF(G$4="","",G124/Market_Price)</f>
        <v>2.2979530626146015E-2</v>
      </c>
      <c r="H125" s="77">
        <f t="shared" ref="H125" si="51">IF(H$4="","",H124/Market_Price)</f>
        <v>0.11497984434986841</v>
      </c>
      <c r="I125" s="77">
        <f t="shared" ref="I125" si="52">IF(I$4="","",I124/Market_Price)</f>
        <v>7.9336128316717117E-2</v>
      </c>
      <c r="J125" s="77">
        <f t="shared" ref="J125" si="53">IF(J$4="","",J124/Market_Price)</f>
        <v>6.599562267318955E-2</v>
      </c>
      <c r="K125" s="77">
        <f t="shared" ref="K125" si="54">IF(K$4="","",K124/Market_Price)</f>
        <v>0.10849387658586619</v>
      </c>
      <c r="L125" s="77">
        <f t="shared" ref="L125" si="55">IF(L$4="","",L124/Market_Price)</f>
        <v>0.10266865956636055</v>
      </c>
      <c r="M125" s="77">
        <f t="shared" ref="M125" si="56">IF(M$4="","",M124/Market_Price)</f>
        <v>9.8716869322177672E-2</v>
      </c>
      <c r="N125" s="77">
        <f t="shared" ref="N125" si="57">IF(N$4="","",N124/Market_Price)</f>
        <v>0.11019829442212191</v>
      </c>
      <c r="O125" s="77">
        <f t="shared" ref="O125" si="58">IF(O$4="","",O124/Market_Price)</f>
        <v>9.1653317500437731E-2</v>
      </c>
      <c r="P125" s="77">
        <f t="shared" ref="P125" si="59">IF(P$4="","",P124/Market_Price)</f>
        <v>7.4762552204432314E-2</v>
      </c>
      <c r="Q125" s="77" t="str">
        <f t="shared" ref="Q125" si="60">IF(Q$4="","",Q124/Market_Price)</f>
        <v/>
      </c>
    </row>
    <row r="126" spans="1:17" ht="15.75" customHeight="1" x14ac:dyDescent="0.15">
      <c r="B126" s="2" t="s">
        <v>394</v>
      </c>
      <c r="C126" s="169"/>
      <c r="G126" s="23">
        <f>IF(G$4="","",(Data!C47*$C$3)/(Market_Price*Common_Shares))</f>
        <v>5.3572990427079442E-2</v>
      </c>
      <c r="H126" s="23">
        <f>IF(H$4="","",(Data!D47*$C$3)/(Market_Price*Common_Shares))</f>
        <v>0.13366730940718544</v>
      </c>
      <c r="I126" s="23">
        <f>IF(I$4="","",(Data!E47*$C$3)/(Market_Price*Common_Shares))</f>
        <v>0.13109223396013764</v>
      </c>
      <c r="J126" s="23">
        <f>IF(J$4="","",(Data!F47*$C$3)/(Market_Price*Common_Shares))</f>
        <v>0.14024104447583099</v>
      </c>
      <c r="K126" s="23">
        <f>IF(K$4="","",(Data!G47*$C$3)/(Market_Price*Common_Shares))</f>
        <v>0.12518091305758181</v>
      </c>
      <c r="L126" s="23">
        <f>IF(L$4="","",(Data!H47*$C$3)/(Market_Price*Common_Shares))</f>
        <v>0.11842530560649389</v>
      </c>
      <c r="M126" s="23">
        <f>IF(M$4="","",(Data!I47*$C$3)/(Market_Price*Common_Shares))</f>
        <v>0.11123604397735247</v>
      </c>
      <c r="N126" s="23">
        <f>IF(N$4="","",(Data!J47*$C$3)/(Market_Price*Common_Shares))</f>
        <v>9.9320328405416769E-2</v>
      </c>
      <c r="O126" s="23">
        <f>IF(O$4="","",(Data!K47*$C$3)/(Market_Price*Common_Shares))</f>
        <v>8.7534454391798897E-2</v>
      </c>
      <c r="P126" s="23">
        <f>IF(P$4="","",(Data!L47*$C$3)/(Market_Price*Common_Shares))</f>
        <v>7.9478310061184748E-2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492183955.98074996</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8203065933.0124998</v>
      </c>
      <c r="D6" t="str">
        <f>Reporting_currency</f>
        <v>CNY</v>
      </c>
      <c r="E6" s="364" t="s">
        <v>249</v>
      </c>
      <c r="F6" s="364"/>
      <c r="H6" s="120"/>
    </row>
    <row r="7" spans="2:8" x14ac:dyDescent="0.15">
      <c r="B7" s="148" t="s">
        <v>224</v>
      </c>
      <c r="C7" s="338">
        <f>BS!G31</f>
        <v>1685959940.8299999</v>
      </c>
      <c r="D7" t="str">
        <f>Reporting_currency</f>
        <v>CNY</v>
      </c>
      <c r="E7" s="364"/>
      <c r="F7" s="364"/>
      <c r="H7" s="120"/>
    </row>
    <row r="8" spans="2:8" x14ac:dyDescent="0.15">
      <c r="B8" s="148" t="s">
        <v>225</v>
      </c>
      <c r="C8" s="338">
        <f>BS!D66</f>
        <v>7551907966.0066681</v>
      </c>
      <c r="D8" t="str">
        <f>Reporting_currency</f>
        <v>CNY</v>
      </c>
      <c r="E8" s="364"/>
      <c r="F8" s="364"/>
      <c r="H8" s="120"/>
    </row>
    <row r="9" spans="2:8" x14ac:dyDescent="0.15">
      <c r="B9" s="205" t="s">
        <v>190</v>
      </c>
      <c r="C9" s="348">
        <f>BS!H42</f>
        <v>3684979983.197</v>
      </c>
      <c r="D9" t="str">
        <f>Reporting_currency</f>
        <v>CNY</v>
      </c>
      <c r="E9" s="364"/>
      <c r="F9" s="364"/>
      <c r="H9" s="120"/>
    </row>
    <row r="10" spans="2:8" x14ac:dyDescent="0.15">
      <c r="B10" s="149" t="s">
        <v>227</v>
      </c>
      <c r="C10" s="347">
        <f>C6-C7+C8+C9</f>
        <v>17753993941.386166</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12.726673869155675</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2.3134236943577701E-2</v>
      </c>
      <c r="H16" s="120"/>
    </row>
    <row r="17" spans="2:17" ht="13.25" customHeight="1" x14ac:dyDescent="0.15">
      <c r="B17" s="118" t="s">
        <v>134</v>
      </c>
      <c r="C17" s="162">
        <f>Scenarios!C64</f>
        <v>5</v>
      </c>
      <c r="H17" s="120"/>
    </row>
    <row r="18" spans="2:17" ht="13.25" customHeight="1" x14ac:dyDescent="0.15">
      <c r="B18" s="153" t="s">
        <v>106</v>
      </c>
      <c r="C18" s="140">
        <f>(F52-C7+C8+C9)*Exchange_Rate/Common_Shares*scaling_factor</f>
        <v>12.930473929771464</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x14ac:dyDescent="0.15">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x14ac:dyDescent="0.15">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x14ac:dyDescent="0.15">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x14ac:dyDescent="0.15">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8392837603.9706001</v>
      </c>
      <c r="D51" s="139">
        <f>Terminal_Growth</f>
        <v>0</v>
      </c>
      <c r="E51" s="124">
        <f>1/(1+Equity_Cost)^C17</f>
        <v>0.74725817286605689</v>
      </c>
      <c r="F51" s="125">
        <f t="shared" si="1"/>
        <v>6271616493.1046057</v>
      </c>
      <c r="H51" s="120"/>
    </row>
    <row r="52" spans="1:17" x14ac:dyDescent="0.15">
      <c r="C52" s="114"/>
      <c r="E52" s="127" t="s">
        <v>100</v>
      </c>
      <c r="F52" s="137">
        <f>SUM(F21:F51)</f>
        <v>8487371563.7394762</v>
      </c>
      <c r="H52" s="120"/>
    </row>
    <row r="53" spans="1:17" x14ac:dyDescent="0.15">
      <c r="C53" s="114"/>
      <c r="H53" s="120"/>
    </row>
    <row r="54" spans="1:17" x14ac:dyDescent="0.15">
      <c r="B54" s="119" t="s">
        <v>129</v>
      </c>
      <c r="C54" s="136"/>
      <c r="D54" s="136"/>
      <c r="E54" s="117"/>
      <c r="F54" s="117"/>
      <c r="H54" s="120"/>
    </row>
    <row r="55" spans="1:17" x14ac:dyDescent="0.15">
      <c r="A55" s="133">
        <f>F52</f>
        <v>8487371563.7394762</v>
      </c>
      <c r="B55" s="131">
        <f>C78</f>
        <v>0</v>
      </c>
      <c r="C55" s="131">
        <f>C77</f>
        <v>0</v>
      </c>
      <c r="D55" s="131">
        <f>C76</f>
        <v>0.02</v>
      </c>
      <c r="E55" s="131">
        <f>C75</f>
        <v>0.03</v>
      </c>
      <c r="F55" s="131">
        <f>C74</f>
        <v>0.05</v>
      </c>
      <c r="H55" s="120"/>
    </row>
    <row r="56" spans="1:17" x14ac:dyDescent="0.15">
      <c r="A56" s="143">
        <v>5</v>
      </c>
      <c r="B56" s="123">
        <f t="dataTable" ref="B56:F61" dt2D="1" dtr="1" r1="C16" r2="C17"/>
        <v>8203065933.0124969</v>
      </c>
      <c r="C56" s="123">
        <v>8203065933.0124969</v>
      </c>
      <c r="D56" s="123">
        <v>8448355886.3277092</v>
      </c>
      <c r="E56" s="123">
        <v>8573395339.7940006</v>
      </c>
      <c r="F56" s="123">
        <v>8828439479.5252323</v>
      </c>
      <c r="H56" s="120"/>
    </row>
    <row r="57" spans="1:17" x14ac:dyDescent="0.15">
      <c r="A57" s="143">
        <v>10</v>
      </c>
      <c r="B57" s="123">
        <v>8203065933.012495</v>
      </c>
      <c r="C57" s="123">
        <v>8203065933.012495</v>
      </c>
      <c r="D57" s="123">
        <v>8679845295.0109253</v>
      </c>
      <c r="E57" s="123">
        <v>8935178848.911768</v>
      </c>
      <c r="F57" s="123">
        <v>9483130827.5328064</v>
      </c>
      <c r="H57" s="120"/>
    </row>
    <row r="58" spans="1:17" x14ac:dyDescent="0.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x14ac:dyDescent="0.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x14ac:dyDescent="0.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x14ac:dyDescent="0.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v>
      </c>
      <c r="D64" s="132">
        <f>D55</f>
        <v>0.02</v>
      </c>
      <c r="E64" s="132">
        <f>E55</f>
        <v>0.03</v>
      </c>
      <c r="F64" s="132">
        <f>F55</f>
        <v>0.05</v>
      </c>
      <c r="H64" s="120"/>
    </row>
    <row r="65" spans="1:8" x14ac:dyDescent="0.15">
      <c r="A65" s="143">
        <v>0</v>
      </c>
      <c r="B65" s="124">
        <f>C12</f>
        <v>12.726673869155675</v>
      </c>
      <c r="C65" s="124">
        <f>C12</f>
        <v>12.726673869155675</v>
      </c>
      <c r="D65" s="124">
        <f>C12</f>
        <v>12.726673869155675</v>
      </c>
      <c r="E65" s="141">
        <f>C12</f>
        <v>12.726673869155675</v>
      </c>
      <c r="F65" s="124">
        <f>C12</f>
        <v>12.726673869155675</v>
      </c>
      <c r="H65" s="120"/>
    </row>
    <row r="66" spans="1:8" x14ac:dyDescent="0.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x14ac:dyDescent="0.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x14ac:dyDescent="0.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x14ac:dyDescent="0.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x14ac:dyDescent="0.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x14ac:dyDescent="0.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0.05</v>
      </c>
      <c r="D74" s="145">
        <f>Scenarios!C55</f>
        <v>10</v>
      </c>
      <c r="E74" s="135">
        <f>INDEX(B$65:F$71, MATCH(D74, A$65:A$71, 0), MATCH(C74, B$64:F$64, 0))</f>
        <v>13.644268439577344</v>
      </c>
      <c r="F74" s="142">
        <f>Scenarios!C58</f>
        <v>0.05</v>
      </c>
    </row>
    <row r="75" spans="1:8" x14ac:dyDescent="0.15">
      <c r="B75" s="127" t="str">
        <f>Scenarios!B36</f>
        <v>Optimistic</v>
      </c>
      <c r="C75" s="142">
        <f>Scenarios!C38</f>
        <v>0.03</v>
      </c>
      <c r="D75" s="145">
        <f>Scenarios!C37</f>
        <v>5</v>
      </c>
      <c r="E75" s="135">
        <f>INDEX(B$65:F$71, MATCH(D75, A$65:A$71, 0), MATCH(C75, B$64:F$64, 0))</f>
        <v>12.992138732995663</v>
      </c>
      <c r="F75" s="142">
        <f>Scenarios!C40*(1-F$74-F$78)</f>
        <v>0.18</v>
      </c>
      <c r="H75" s="120"/>
    </row>
    <row r="76" spans="1:8" x14ac:dyDescent="0.15">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x14ac:dyDescent="0.15">
      <c r="B77" s="127" t="str">
        <f>Scenarios!B30</f>
        <v>Pessimistic</v>
      </c>
      <c r="C77" s="142">
        <f>Scenarios!C32</f>
        <v>0</v>
      </c>
      <c r="D77" s="145">
        <f>Scenarios!C31</f>
        <v>5</v>
      </c>
      <c r="E77" s="135">
        <f>INDEX(B$65:F$71, MATCH(D77, A$65:A$71, 0), MATCH(C77, B$64:F$64, 0))</f>
        <v>12.726673869155675</v>
      </c>
      <c r="F77" s="142">
        <f>Scenarios!C34*(1-F$74-F$78)</f>
        <v>0.18</v>
      </c>
      <c r="H77" s="120"/>
    </row>
    <row r="78" spans="1:8" x14ac:dyDescent="0.15">
      <c r="B78" s="127" t="str">
        <f>Scenarios!B48</f>
        <v>Devil's advocate</v>
      </c>
      <c r="C78" s="142">
        <f>Scenarios!C50</f>
        <v>0</v>
      </c>
      <c r="D78" s="145">
        <f>Scenarios!C49</f>
        <v>10</v>
      </c>
      <c r="E78" s="135">
        <f>INDEX(B$65:F$71, MATCH(D78, A$65:A$71, 0), MATCH(C78, B$64:F$64, 0))</f>
        <v>12.726673869155672</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558008922.80000007</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9300148713.333334</v>
      </c>
      <c r="D6" t="str">
        <f>Reporting_currency</f>
        <v>CNY</v>
      </c>
      <c r="E6" s="364"/>
      <c r="F6" s="364"/>
      <c r="H6" s="120"/>
    </row>
    <row r="7" spans="2:8" x14ac:dyDescent="0.15">
      <c r="B7" s="149" t="s">
        <v>444</v>
      </c>
      <c r="C7" s="111">
        <f>(C6*scaling_factor)/Common_Shares*Exchange_Rate</f>
        <v>6.666666666666667</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2.3134236943577701E-2</v>
      </c>
      <c r="H11" s="120"/>
    </row>
    <row r="12" spans="2:8" ht="13.25" customHeight="1" x14ac:dyDescent="0.15">
      <c r="B12" s="118" t="s">
        <v>134</v>
      </c>
      <c r="C12" s="162">
        <f>Scenarios!C64</f>
        <v>5</v>
      </c>
      <c r="H12" s="120"/>
    </row>
    <row r="13" spans="2:8" ht="13.25" customHeight="1" x14ac:dyDescent="0.15">
      <c r="B13" s="153" t="s">
        <v>106</v>
      </c>
      <c r="C13" s="140">
        <f>F47/Common_Shares*scaling_factor</f>
        <v>6.8977230652121717</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x14ac:dyDescent="0.15">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x14ac:dyDescent="0.15">
      <c r="B18" s="122">
        <v>3</v>
      </c>
      <c r="C18" s="123">
        <f t="shared" si="2"/>
        <v>597639090.84726</v>
      </c>
      <c r="D18" s="138">
        <f>IF($C$12&lt;B18,0,DDM!$C$11)</f>
        <v>2.3134236943577701E-2</v>
      </c>
      <c r="E18" s="124">
        <f t="shared" si="0"/>
        <v>0.8396192830323016</v>
      </c>
      <c r="F18" s="125">
        <f t="shared" si="1"/>
        <v>501789304.969253</v>
      </c>
      <c r="H18" s="120"/>
    </row>
    <row r="19" spans="2:8" x14ac:dyDescent="0.15">
      <c r="B19" s="122">
        <v>4</v>
      </c>
      <c r="C19" s="123">
        <f t="shared" si="2"/>
        <v>611465015.18166482</v>
      </c>
      <c r="D19" s="138">
        <f>IF($C$12&lt;B19,0,DDM!$C$11)</f>
        <v>2.3134236943577701E-2</v>
      </c>
      <c r="E19" s="124">
        <f t="shared" si="0"/>
        <v>0.79209366323802044</v>
      </c>
      <c r="F19" s="125">
        <f t="shared" si="1"/>
        <v>484337563.81713665</v>
      </c>
      <c r="H19" s="120"/>
    </row>
    <row r="20" spans="2:8" x14ac:dyDescent="0.15">
      <c r="B20" s="122">
        <v>5</v>
      </c>
      <c r="C20" s="123">
        <f t="shared" si="2"/>
        <v>625610791.7255857</v>
      </c>
      <c r="D20" s="138">
        <f>IF($C$12&lt;B20,0,DDM!$C$11)</f>
        <v>2.3134236943577701E-2</v>
      </c>
      <c r="E20" s="124">
        <f t="shared" si="0"/>
        <v>0.74725817286605689</v>
      </c>
      <c r="F20" s="125">
        <f t="shared" si="1"/>
        <v>467492777.15014845</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9515300557.2780972</v>
      </c>
      <c r="D46" s="139">
        <f>Terminal_Growth</f>
        <v>0</v>
      </c>
      <c r="E46" s="124">
        <f>1/(1+Equity_Cost)^C12</f>
        <v>0.74725817286605689</v>
      </c>
      <c r="F46" s="125">
        <f t="shared" si="1"/>
        <v>7110386108.7030039</v>
      </c>
      <c r="H46" s="120"/>
    </row>
    <row r="47" spans="2:8" x14ac:dyDescent="0.15">
      <c r="C47" s="114"/>
      <c r="E47" s="127" t="s">
        <v>100</v>
      </c>
      <c r="F47" s="137">
        <f>SUM(F16:F46)</f>
        <v>9622477543.4793949</v>
      </c>
      <c r="H47" s="120"/>
    </row>
    <row r="48" spans="2:8" x14ac:dyDescent="0.15">
      <c r="C48" s="114"/>
      <c r="H48" s="120"/>
    </row>
    <row r="49" spans="1:8" x14ac:dyDescent="0.15">
      <c r="B49" s="119" t="s">
        <v>129</v>
      </c>
      <c r="C49" s="136"/>
      <c r="D49" s="136"/>
      <c r="E49" s="117"/>
      <c r="F49" s="117"/>
      <c r="H49" s="120"/>
    </row>
    <row r="50" spans="1:8" x14ac:dyDescent="0.15">
      <c r="A50" s="133">
        <f>F47</f>
        <v>9622477543.4793949</v>
      </c>
      <c r="B50" s="131">
        <f>C73</f>
        <v>0</v>
      </c>
      <c r="C50" s="131">
        <f>C72</f>
        <v>0</v>
      </c>
      <c r="D50" s="131">
        <f>C71</f>
        <v>0.02</v>
      </c>
      <c r="E50" s="131">
        <f>C70</f>
        <v>0.03</v>
      </c>
      <c r="F50" s="131">
        <f>C69</f>
        <v>0.05</v>
      </c>
      <c r="H50" s="120"/>
    </row>
    <row r="51" spans="1:8" x14ac:dyDescent="0.15">
      <c r="A51" s="143">
        <v>5</v>
      </c>
      <c r="B51" s="123">
        <f t="dataTable" ref="B51:F56" dt2D="1" dtr="1" r1="C11" r2="C12"/>
        <v>9300148713.3333321</v>
      </c>
      <c r="C51" s="123">
        <v>9300148713.3333321</v>
      </c>
      <c r="D51" s="123">
        <v>9578243886.814436</v>
      </c>
      <c r="E51" s="123">
        <v>9720006189.0763893</v>
      </c>
      <c r="F51" s="123">
        <v>10009160079.503984</v>
      </c>
      <c r="H51" s="120"/>
    </row>
    <row r="52" spans="1:8" x14ac:dyDescent="0.15">
      <c r="A52" s="143">
        <v>10</v>
      </c>
      <c r="B52" s="123">
        <v>9300148713.3333282</v>
      </c>
      <c r="C52" s="123">
        <v>9300148713.3333282</v>
      </c>
      <c r="D52" s="123">
        <v>9840692822.8459511</v>
      </c>
      <c r="E52" s="123">
        <v>10130174833.861521</v>
      </c>
      <c r="F52" s="123">
        <v>10751410226.890896</v>
      </c>
      <c r="H52" s="120"/>
    </row>
    <row r="53" spans="1:8" x14ac:dyDescent="0.15">
      <c r="A53" s="143">
        <v>15</v>
      </c>
      <c r="B53" s="123">
        <v>9300148713.3333263</v>
      </c>
      <c r="C53" s="123">
        <v>9300148713.3333263</v>
      </c>
      <c r="D53" s="123">
        <v>10196563040.486353</v>
      </c>
      <c r="E53" s="123">
        <v>10700817633.628017</v>
      </c>
      <c r="F53" s="123">
        <v>11840061434.081987</v>
      </c>
      <c r="H53" s="120"/>
    </row>
    <row r="54" spans="1:8" x14ac:dyDescent="0.15">
      <c r="A54" s="144">
        <v>20</v>
      </c>
      <c r="B54" s="123">
        <v>9300148713.3333282</v>
      </c>
      <c r="C54" s="123">
        <v>9300148713.3333282</v>
      </c>
      <c r="D54" s="123">
        <v>10594291617.257338</v>
      </c>
      <c r="E54" s="123">
        <v>11356054346.993061</v>
      </c>
      <c r="F54" s="123">
        <v>13162845840.027014</v>
      </c>
      <c r="H54" s="120"/>
    </row>
    <row r="55" spans="1:8" x14ac:dyDescent="0.15">
      <c r="A55" s="144">
        <v>25</v>
      </c>
      <c r="B55" s="123">
        <v>9300148713.3333282</v>
      </c>
      <c r="C55" s="123">
        <v>9300148713.3333282</v>
      </c>
      <c r="D55" s="123">
        <v>11000238309.225636</v>
      </c>
      <c r="E55" s="123">
        <v>12043906167.543388</v>
      </c>
      <c r="F55" s="123">
        <v>14637014510.896175</v>
      </c>
      <c r="H55" s="120"/>
    </row>
    <row r="56" spans="1:8" x14ac:dyDescent="0.15">
      <c r="A56" s="144">
        <v>30</v>
      </c>
      <c r="B56" s="123">
        <v>9300148713.3333263</v>
      </c>
      <c r="C56" s="123">
        <v>9300148713.3333263</v>
      </c>
      <c r="D56" s="123">
        <v>11393300053.865107</v>
      </c>
      <c r="E56" s="123">
        <v>12729623214.544498</v>
      </c>
      <c r="F56" s="123">
        <v>16201823812.197025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v>
      </c>
      <c r="D59" s="132">
        <f>D50</f>
        <v>0.02</v>
      </c>
      <c r="E59" s="132">
        <f>E50</f>
        <v>0.03</v>
      </c>
      <c r="F59" s="132">
        <f>F50</f>
        <v>0.05</v>
      </c>
      <c r="H59" s="120"/>
    </row>
    <row r="60" spans="1:8" x14ac:dyDescent="0.15">
      <c r="A60" s="143">
        <v>0</v>
      </c>
      <c r="B60" s="124">
        <f>C7</f>
        <v>6.666666666666667</v>
      </c>
      <c r="C60" s="124">
        <f>C7</f>
        <v>6.666666666666667</v>
      </c>
      <c r="D60" s="124">
        <f>C7</f>
        <v>6.666666666666667</v>
      </c>
      <c r="E60" s="141">
        <f>C7</f>
        <v>6.666666666666667</v>
      </c>
      <c r="F60" s="124">
        <f>C7</f>
        <v>6.666666666666667</v>
      </c>
      <c r="H60" s="120"/>
    </row>
    <row r="61" spans="1:8" x14ac:dyDescent="0.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x14ac:dyDescent="0.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x14ac:dyDescent="0.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x14ac:dyDescent="0.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x14ac:dyDescent="0.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x14ac:dyDescent="0.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0.05</v>
      </c>
      <c r="D69" s="145">
        <f>Scenarios!C55</f>
        <v>10</v>
      </c>
      <c r="E69" s="135">
        <f>INDEX(B$60:F$66, MATCH(D69, A$60:A$66, 0), MATCH(C69, B$59:F$59, 0))</f>
        <v>7.7069808654256136</v>
      </c>
      <c r="F69" s="142">
        <f>Scenarios!C58</f>
        <v>0.05</v>
      </c>
    </row>
    <row r="70" spans="1:8" x14ac:dyDescent="0.15">
      <c r="B70" s="127" t="str">
        <f>Scenarios!B36</f>
        <v>Optimistic</v>
      </c>
      <c r="C70" s="142">
        <f>Scenarios!C38</f>
        <v>0.03</v>
      </c>
      <c r="D70" s="145">
        <f>Scenarios!C37</f>
        <v>5</v>
      </c>
      <c r="E70" s="135">
        <f>INDEX(B$60:F$66, MATCH(D70, A$60:A$66, 0), MATCH(C70, B$59:F$59, 0))</f>
        <v>6.9676349548698573</v>
      </c>
      <c r="F70" s="142">
        <f>Scenarios!C40*(1-F$69-F$73)</f>
        <v>0.18</v>
      </c>
      <c r="H70" s="120"/>
    </row>
    <row r="71" spans="1:8" x14ac:dyDescent="0.15">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x14ac:dyDescent="0.15">
      <c r="B72" s="127" t="str">
        <f>Scenarios!B30</f>
        <v>Pessimistic</v>
      </c>
      <c r="C72" s="142">
        <f>Scenarios!C32</f>
        <v>0</v>
      </c>
      <c r="D72" s="145">
        <f>Scenarios!C31</f>
        <v>5</v>
      </c>
      <c r="E72" s="135">
        <f>INDEX(B$60:F$66, MATCH(D72, A$60:A$66, 0), MATCH(C72, B$59:F$59, 0))</f>
        <v>6.6666666666666661</v>
      </c>
      <c r="F72" s="142">
        <f>Scenarios!C34*(1-F$69-F$73)</f>
        <v>0.18</v>
      </c>
      <c r="H72" s="120"/>
    </row>
    <row r="73" spans="1:8" x14ac:dyDescent="0.15">
      <c r="B73" s="127" t="str">
        <f>Scenarios!B48</f>
        <v>Devil's advocate</v>
      </c>
      <c r="C73" s="142">
        <f>Scenarios!C50</f>
        <v>0</v>
      </c>
      <c r="D73" s="145">
        <f>Scenarios!C49</f>
        <v>10</v>
      </c>
      <c r="E73" s="135">
        <f>INDEX(B$60:F$66, MATCH(D73, A$60:A$66, 0), MATCH(C73, B$59:F$59, 0))</f>
        <v>6.6666666666666634</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-10.48</v>
      </c>
    </row>
    <row r="4" spans="2:9" x14ac:dyDescent="0.15">
      <c r="B4" s="152" t="s">
        <v>146</v>
      </c>
      <c r="C4" s="120">
        <v>3</v>
      </c>
      <c r="D4" s="120"/>
      <c r="E4" s="155" t="s">
        <v>150</v>
      </c>
      <c r="F4" s="155"/>
      <c r="H4" s="247">
        <v>1</v>
      </c>
      <c r="I4" s="124">
        <f t="shared" ref="I4:I13" si="0">IF(ROW()-3 &lt; $C$76, $C$77, IF(ROW()-3 = $C$76, $C$77 + $C$60, ""))</f>
        <v>0.4</v>
      </c>
    </row>
    <row r="5" spans="2:9" x14ac:dyDescent="0.15">
      <c r="H5" s="247">
        <v>2</v>
      </c>
      <c r="I5" s="124">
        <f t="shared" si="0"/>
        <v>0.4</v>
      </c>
    </row>
    <row r="6" spans="2:9" x14ac:dyDescent="0.15">
      <c r="B6" s="159" t="s">
        <v>95</v>
      </c>
      <c r="C6" s="107">
        <f>DCF!C3</f>
        <v>1</v>
      </c>
      <c r="E6" s="100" t="s">
        <v>279</v>
      </c>
      <c r="F6" s="100"/>
      <c r="H6" s="247">
        <v>3</v>
      </c>
      <c r="I6" s="124">
        <f t="shared" si="0"/>
        <v>13.315286704532291</v>
      </c>
    </row>
    <row r="7" spans="2:9" ht="12.75" customHeight="1" x14ac:dyDescent="0.15">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x14ac:dyDescent="0.15">
      <c r="B8" s="100" t="s">
        <v>66</v>
      </c>
      <c r="C8" s="338">
        <f>Normalized_FCF!G19</f>
        <v>335956918.03600812</v>
      </c>
      <c r="D8" t="str">
        <f>Reporting_currency</f>
        <v>CNY</v>
      </c>
      <c r="E8" s="366"/>
      <c r="F8" s="366"/>
      <c r="H8" s="247">
        <v>5</v>
      </c>
      <c r="I8" s="124" t="str">
        <f t="shared" si="0"/>
        <v/>
      </c>
    </row>
    <row r="9" spans="2:9" x14ac:dyDescent="0.15">
      <c r="B9" s="100" t="s">
        <v>57</v>
      </c>
      <c r="C9" s="338">
        <f>Normalized_FCF!C19</f>
        <v>492183955.98074996</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-4.5961886297537391E-2</v>
      </c>
      <c r="D12" s="158"/>
      <c r="E12" s="366"/>
      <c r="F12" s="366"/>
      <c r="H12" s="247">
        <v>9</v>
      </c>
      <c r="I12" s="124" t="str">
        <f t="shared" si="0"/>
        <v/>
      </c>
    </row>
    <row r="13" spans="2:9" x14ac:dyDescent="0.15">
      <c r="B13" s="148" t="s">
        <v>152</v>
      </c>
      <c r="C13" s="158">
        <f ca="1">(Normalized_FCF!G8/OFFSET(Normalized_FCF!G8, 0, $C$4))^(1/$C$4) - 1</f>
        <v>-0.135599908831609</v>
      </c>
      <c r="E13" s="366"/>
      <c r="F13" s="366"/>
      <c r="H13" s="247">
        <v>10</v>
      </c>
      <c r="I13" s="124" t="str">
        <f t="shared" si="0"/>
        <v/>
      </c>
    </row>
    <row r="14" spans="2:9" x14ac:dyDescent="0.15">
      <c r="B14" s="100" t="s">
        <v>66</v>
      </c>
      <c r="C14" s="158">
        <f ca="1">(Normalized_FCF!G19/OFFSET(Normalized_FCF!G19, 0, $C$4))^(1/$C$4) - 1</f>
        <v>-0.29648179377498129</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5</v>
      </c>
      <c r="E18" s="366" t="s">
        <v>330</v>
      </c>
      <c r="F18" s="367"/>
    </row>
    <row r="19" spans="2:6" x14ac:dyDescent="0.15">
      <c r="E19" s="367"/>
      <c r="F19" s="367"/>
    </row>
    <row r="20" spans="2:6" x14ac:dyDescent="0.15">
      <c r="B20" s="159" t="s">
        <v>303</v>
      </c>
      <c r="E20" s="367"/>
      <c r="F20" s="367"/>
    </row>
    <row r="21" spans="2:6" x14ac:dyDescent="0.15">
      <c r="B21" s="100" t="s">
        <v>277</v>
      </c>
      <c r="C21" s="160">
        <f>Market_Price</f>
        <v>10.48</v>
      </c>
      <c r="D21" t="str">
        <f>Market_currency</f>
        <v>CNY</v>
      </c>
      <c r="E21" s="367"/>
      <c r="F21" s="367"/>
    </row>
    <row r="22" spans="2:6" x14ac:dyDescent="0.15">
      <c r="B22" s="100" t="s">
        <v>278</v>
      </c>
      <c r="C22" s="160">
        <f>IF(valuation_method="DCF",DCF!C12,DDM!C7)</f>
        <v>12.726673869155675</v>
      </c>
      <c r="D22" t="str">
        <f>Market_currency</f>
        <v>CNY</v>
      </c>
      <c r="E22" s="367"/>
      <c r="F22" s="367"/>
    </row>
    <row r="24" spans="2:6" x14ac:dyDescent="0.15">
      <c r="B24" s="159" t="s">
        <v>115</v>
      </c>
      <c r="E24" s="159" t="s">
        <v>149</v>
      </c>
      <c r="F24" s="159"/>
    </row>
    <row r="25" spans="2:6" x14ac:dyDescent="0.15">
      <c r="B25" s="152" t="s">
        <v>133</v>
      </c>
      <c r="C25" s="166">
        <f>C18</f>
        <v>5</v>
      </c>
      <c r="D25" s="163"/>
      <c r="E25" s="365"/>
      <c r="F25" s="365"/>
    </row>
    <row r="26" spans="2:6" ht="14" x14ac:dyDescent="0.15">
      <c r="B26" s="118" t="s">
        <v>134</v>
      </c>
      <c r="C26" s="164">
        <v>0.02</v>
      </c>
      <c r="D26" s="164"/>
      <c r="E26" s="365"/>
      <c r="F26" s="365"/>
    </row>
    <row r="27" spans="2:6" x14ac:dyDescent="0.15">
      <c r="B27" s="100" t="s">
        <v>113</v>
      </c>
      <c r="C27" s="160">
        <f>IF(valuation_method="DCF",DCF!E76,DDM!E71)</f>
        <v>12.902506149460001</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5</v>
      </c>
      <c r="D31" s="163"/>
      <c r="E31" s="365"/>
      <c r="F31" s="365"/>
    </row>
    <row r="32" spans="2:6" ht="14" x14ac:dyDescent="0.15">
      <c r="B32" s="118" t="s">
        <v>134</v>
      </c>
      <c r="C32" s="164">
        <v>0</v>
      </c>
      <c r="D32" s="164"/>
      <c r="E32" s="365"/>
      <c r="F32" s="365"/>
    </row>
    <row r="33" spans="2:6" x14ac:dyDescent="0.15">
      <c r="B33" s="100" t="s">
        <v>113</v>
      </c>
      <c r="C33" s="160">
        <f>IF(valuation_method="DCF",DCF!E77,DDM!E72)</f>
        <v>12.726673869155675</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5</v>
      </c>
      <c r="D37" s="163"/>
      <c r="E37" s="365"/>
      <c r="F37" s="365"/>
    </row>
    <row r="38" spans="2:6" ht="14" x14ac:dyDescent="0.15">
      <c r="B38" s="118" t="s">
        <v>134</v>
      </c>
      <c r="C38" s="164">
        <v>0.03</v>
      </c>
      <c r="D38" s="164"/>
      <c r="E38" s="365"/>
      <c r="F38" s="365"/>
    </row>
    <row r="39" spans="2:6" x14ac:dyDescent="0.15">
      <c r="B39" s="100" t="s">
        <v>113</v>
      </c>
      <c r="C39" s="160">
        <f>IF(valuation_method="DCF",DCF!E75,DDM!E70)</f>
        <v>12.992138732995663</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12.885266210106266</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10</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10</v>
      </c>
      <c r="D49" s="163"/>
      <c r="E49" s="365"/>
      <c r="F49" s="365"/>
    </row>
    <row r="50" spans="2:6" ht="14" x14ac:dyDescent="0.15">
      <c r="B50" s="118" t="s">
        <v>134</v>
      </c>
      <c r="C50" s="164">
        <v>0</v>
      </c>
      <c r="D50" s="164"/>
      <c r="E50" s="365"/>
      <c r="F50" s="365"/>
    </row>
    <row r="51" spans="2:6" x14ac:dyDescent="0.15">
      <c r="B51" s="100" t="s">
        <v>113</v>
      </c>
      <c r="C51" s="160">
        <f>IF(valuation_method="DCF",DCF!E78,DDM!E73)</f>
        <v>12.726673869155672</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10</v>
      </c>
      <c r="D55" s="163"/>
      <c r="E55" s="365"/>
      <c r="F55" s="365"/>
    </row>
    <row r="56" spans="2:6" ht="14" x14ac:dyDescent="0.15">
      <c r="B56" s="118" t="s">
        <v>134</v>
      </c>
      <c r="C56" s="164">
        <v>0.05</v>
      </c>
      <c r="D56" s="164"/>
      <c r="E56" s="365"/>
      <c r="F56" s="365"/>
    </row>
    <row r="57" spans="2:6" x14ac:dyDescent="0.15">
      <c r="B57" s="100" t="s">
        <v>113</v>
      </c>
      <c r="C57" s="160">
        <f>IF(valuation_method="DCF",DCF!E74,DDM!E69)</f>
        <v>13.644268439577344</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12.91528670453229</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5</v>
      </c>
      <c r="D64" s="150"/>
      <c r="E64" s="251" t="s">
        <v>395</v>
      </c>
    </row>
    <row r="65" spans="2:6" ht="14" x14ac:dyDescent="0.15">
      <c r="B65" s="118" t="s">
        <v>134</v>
      </c>
      <c r="C65" s="151">
        <v>2.3134236943577701E-2</v>
      </c>
      <c r="D65" s="151"/>
      <c r="E65" s="251" t="s">
        <v>312</v>
      </c>
    </row>
    <row r="66" spans="2:6" x14ac:dyDescent="0.15">
      <c r="B66" s="100" t="s">
        <v>102</v>
      </c>
      <c r="C66" s="160">
        <f>IF(valuation_method="DCF",DCF!C18,DDM!C13)</f>
        <v>12.930473929771464</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Y</v>
      </c>
      <c r="E72" s="134" t="s">
        <v>346</v>
      </c>
      <c r="F72" s="291">
        <f>BS!D89/C60</f>
        <v>0.53010312915742175</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0.4</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0.69031028314322296</v>
      </c>
      <c r="D81" s="116"/>
      <c r="E81" s="100"/>
      <c r="F81" s="100"/>
    </row>
    <row r="82" spans="2:8" x14ac:dyDescent="0.15">
      <c r="B82" s="100" t="s">
        <v>122</v>
      </c>
      <c r="C82" s="116">
        <f>C60/(1+C80)^C76</f>
        <v>5.4039314300970522</v>
      </c>
      <c r="D82" s="116"/>
    </row>
    <row r="83" spans="2:8" x14ac:dyDescent="0.15">
      <c r="B83" s="110" t="s">
        <v>101</v>
      </c>
      <c r="C83" s="111">
        <f>C81+C82</f>
        <v>6.0942417132402751</v>
      </c>
      <c r="D83" t="str">
        <f>Market_currency</f>
        <v>CNY</v>
      </c>
      <c r="E83" s="146" t="s">
        <v>126</v>
      </c>
      <c r="F83" s="291">
        <f>(1-C83/C60)</f>
        <v>0.52813732651388556</v>
      </c>
    </row>
    <row r="84" spans="2:8" x14ac:dyDescent="0.15">
      <c r="E84" s="120"/>
    </row>
    <row r="85" spans="2:8" x14ac:dyDescent="0.15">
      <c r="B85" s="109" t="s">
        <v>302</v>
      </c>
    </row>
    <row r="86" spans="2:8" x14ac:dyDescent="0.15">
      <c r="B86" s="148" t="s">
        <v>300</v>
      </c>
      <c r="C86" s="116">
        <f>Market_Price</f>
        <v>10.48</v>
      </c>
      <c r="D86" t="str">
        <f>Market_currency</f>
        <v>CNY</v>
      </c>
    </row>
    <row r="87" spans="2:8" x14ac:dyDescent="0.15">
      <c r="B87" s="100" t="s">
        <v>298</v>
      </c>
      <c r="C87" s="237">
        <f ca="1">IRR(OFFSET($I$3, 0, 0, $C$76 + 1, 1))</f>
        <v>0.10784223317227548</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0.86005014536183588</v>
      </c>
      <c r="D91" s="116"/>
      <c r="E91" s="100"/>
      <c r="F91" s="100"/>
    </row>
    <row r="92" spans="2:8" x14ac:dyDescent="0.15">
      <c r="B92" s="100" t="s">
        <v>122</v>
      </c>
      <c r="C92" s="116">
        <f>C60/(1+C90)^C76</f>
        <v>7.7223929124686403</v>
      </c>
      <c r="D92" s="116"/>
    </row>
    <row r="93" spans="2:8" x14ac:dyDescent="0.15">
      <c r="B93" s="110" t="s">
        <v>101</v>
      </c>
      <c r="C93" s="111">
        <f>C91+C92</f>
        <v>8.582443057830476</v>
      </c>
      <c r="D93" t="str">
        <f>Market_currency</f>
        <v>CNY</v>
      </c>
      <c r="E93" s="146" t="s">
        <v>126</v>
      </c>
      <c r="F93" s="291">
        <f>(1-C93/C60)</f>
        <v>0.33548180120394178</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1.069204779784656</v>
      </c>
      <c r="D97" s="116"/>
      <c r="G97" s="2"/>
      <c r="H97" s="281"/>
    </row>
    <row r="98" spans="2:8" x14ac:dyDescent="0.15">
      <c r="B98" s="100" t="s">
        <v>122</v>
      </c>
      <c r="C98" s="116">
        <f>C60/(1+C96)^C76</f>
        <v>10.843923763016019</v>
      </c>
      <c r="D98" s="116"/>
      <c r="G98" s="2"/>
      <c r="H98" s="281"/>
    </row>
    <row r="99" spans="2:8" x14ac:dyDescent="0.15">
      <c r="B99" s="110" t="s">
        <v>398</v>
      </c>
      <c r="C99" s="111">
        <f>C97+C98</f>
        <v>11.913128542800674</v>
      </c>
      <c r="D99" t="s">
        <v>396</v>
      </c>
      <c r="E99" s="146" t="s">
        <v>126</v>
      </c>
      <c r="F99" s="291">
        <f>(1-C99/C60)</f>
        <v>7.7594728220778397E-2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1.0179560233797402</v>
      </c>
      <c r="D103" s="116"/>
    </row>
    <row r="104" spans="2:8" x14ac:dyDescent="0.15">
      <c r="B104" s="100" t="s">
        <v>122</v>
      </c>
      <c r="C104" s="116">
        <f>C60/(1+C102)^C76</f>
        <v>10.055772032466596</v>
      </c>
      <c r="D104" s="116"/>
    </row>
    <row r="105" spans="2:8" x14ac:dyDescent="0.15">
      <c r="B105" s="110" t="s">
        <v>398</v>
      </c>
      <c r="C105" s="111">
        <f>C103+C104</f>
        <v>11.073728055846336</v>
      </c>
      <c r="D105" t="s">
        <v>396</v>
      </c>
      <c r="E105" s="146" t="s">
        <v>126</v>
      </c>
      <c r="F105" s="291">
        <f>(1-C105/C66)</f>
        <v>0.14359457232654926</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