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409D8F5-28E5-4B99-85FA-E4CE612F9163}"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5" i="3"/>
  <c r="C16" i="3"/>
  <c r="C19" i="3"/>
  <c r="C23" i="3"/>
  <c r="C4" i="3"/>
  <c r="C28" i="4" s="1"/>
  <c r="C11" i="3"/>
  <c r="C25" i="4"/>
  <c r="D25" i="4"/>
  <c r="E25" i="4"/>
  <c r="F25"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P94" i="2"/>
  <c r="O94" i="2"/>
  <c r="Q92" i="2"/>
  <c r="Q94" i="2"/>
  <c r="J94" i="2"/>
  <c r="K94" i="2"/>
  <c r="I94" i="2"/>
  <c r="C44" i="6"/>
  <c r="C44" i="12"/>
  <c r="L94" i="2"/>
  <c r="M94" i="2"/>
  <c r="H94" i="2"/>
  <c r="C147" i="6"/>
  <c r="C147" i="12"/>
  <c r="C163" i="6"/>
  <c r="C163" i="12"/>
  <c r="C171" i="6"/>
  <c r="C171" i="12"/>
  <c r="C155" i="6"/>
  <c r="C155" i="12"/>
  <c r="H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l="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<sst xmlns="http://schemas.openxmlformats.org/spreadsheetml/2006/main" count="836" uniqueCount="561">
  <si>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</si>
  <si>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</si>
  <si>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</si>
  <si>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</si>
  <si>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</si>
  <si>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</si>
  <si>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</si>
  <si>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</si>
  <si>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</si>
  <si>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</si>
  <si>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</si>
  <si>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</si>
  <si>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</si>
  <si>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</si>
  <si>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</si>
  <si>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</si>
  <si>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</si>
  <si>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</si>
  <si>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</si>
  <si>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</si>
  <si>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</si>
  <si>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</si>
  <si>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</si>
  <si>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</si>
  <si>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</si>
  <si>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</si>
  <si>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</si>
  <si>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</si>
  <si>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</si>
  <si>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</si>
  <si>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</si>
  <si>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</si>
  <si>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</si>
  <si>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</si>
  <si>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</si>
  <si>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</si>
  <si>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</si>
  <si>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</si>
  <si>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</si>
  <si>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</si>
  <si>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</si>
  <si>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</si>
  <si>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</si>
  <si>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</si>
  <si>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</si>
  <si>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</si>
  <si>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</si>
  <si>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</si>
  <si>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</si>
  <si>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</si>
  <si>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</si>
  <si>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</si>
  <si>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</si>
  <si>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</si>
  <si>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</si>
  <si>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</si>
  <si>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</si>
  <si>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</si>
  <si>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</si>
  <si>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</si>
  <si>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</si>
  <si>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</si>
  <si>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</si>
  <si>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</si>
  <si>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</si>
  <si>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</si>
  <si>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</si>
  <si>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</si>
  <si>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</si>
  <si>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</si>
  <si>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</si>
  <si>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</si>
  <si>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</si>
  <si>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</si>
  <si>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</si>
  <si>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</si>
  <si>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</si>
  <si>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</si>
  <si>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</si>
  <si>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</si>
  <si>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</si>
  <si>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</si>
  <si>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</si>
  <si>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</si>
  <si>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</si>
  <si>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</si>
  <si>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</si>
  <si>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</si>
  <si>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</si>
  <si>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</si>
  <si>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</si>
  <si>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</si>
  <si>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</si>
  <si>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</si>
  <si>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</si>
  <si>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</si>
  <si>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</si>
  <si>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</si>
  <si>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</si>
  <si>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</si>
  <si>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</si>
  <si>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</si>
  <si>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</si>
  <si>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</si>
  <si>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</si>
  <si>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</si>
  <si>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</si>
  <si>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</si>
  <si>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</si>
  <si>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</si>
  <si>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</si>
  <si>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</si>
  <si>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</si>
  <si>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</si>
  <si>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</si>
  <si>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</si>
  <si>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</si>
  <si>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</si>
  <si>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</si>
  <si>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</si>
  <si>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</si>
  <si>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</si>
  <si>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</si>
  <si>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</si>
  <si>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</si>
  <si>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</si>
  <si>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</si>
  <si>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</si>
  <si>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</si>
  <si>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</si>
  <si>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</si>
  <si>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</si>
  <si>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</si>
  <si>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</si>
  <si>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</si>
  <si>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</si>
  <si>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</si>
  <si>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</si>
  <si>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</si>
  <si>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</si>
  <si>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</si>
  <si>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</si>
  <si>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</si>
  <si>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</si>
  <si>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</si>
  <si>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</si>
  <si>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</si>
  <si>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</si>
  <si>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</si>
  <si>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</si>
  <si>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</si>
  <si>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</si>
  <si>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</si>
  <si>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</si>
  <si>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</si>
  <si>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</si>
  <si>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</si>
  <si>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</si>
  <si>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</si>
  <si>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</si>
  <si>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</si>
  <si>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</si>
  <si>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</si>
  <si>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</si>
  <si>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</si>
  <si>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</si>
  <si>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</si>
  <si>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</si>
  <si>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</si>
  <si>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</si>
  <si>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</si>
  <si>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</si>
  <si>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</si>
  <si>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</si>
  <si>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</si>
  <si>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</si>
  <si>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</si>
  <si>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</si>
  <si>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</si>
  <si>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</si>
  <si>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</si>
  <si>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</si>
  <si>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</si>
  <si>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</si>
  <si>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</si>
  <si>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</si>
  <si>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</si>
  <si>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</si>
  <si>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</si>
  <si>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</si>
  <si>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</si>
  <si>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</si>
  <si>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</si>
  <si>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</si>
  <si>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</si>
  <si>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</si>
  <si>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</si>
  <si>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</si>
  <si>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</si>
  <si>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</si>
  <si>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</si>
  <si>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</si>
  <si>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</si>
  <si>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</si>
  <si>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</si>
  <si>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</si>
  <si>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</si>
  <si>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</si>
  <si>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</si>
  <si>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</si>
  <si>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</si>
  <si>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</si>
  <si>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</si>
  <si>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</si>
  <si>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</si>
  <si>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</si>
  <si>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</si>
  <si>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</si>
  <si>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</si>
  <si>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</si>
  <si>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</si>
  <si>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</si>
  <si>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</si>
  <si>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</si>
  <si>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</si>
  <si>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</si>
  <si>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</si>
  <si>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</si>
  <si>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</si>
  <si>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</si>
  <si>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</si>
  <si>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</si>
  <si>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</si>
  <si>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</si>
  <si>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</si>
  <si>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</si>
  <si>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</si>
  <si>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</si>
  <si>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</si>
  <si>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</si>
  <si>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</si>
  <si>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</si>
  <si>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</si>
  <si>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</si>
  <si>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</si>
  <si>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</si>
  <si>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</si>
  <si>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</si>
  <si>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</si>
  <si>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</si>
  <si>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</si>
  <si>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</si>
  <si>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</si>
  <si>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</si>
  <si>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</si>
  <si>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</si>
  <si>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</si>
  <si>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</si>
  <si>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</si>
  <si>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</si>
  <si>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</si>
  <si>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</si>
  <si>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</si>
  <si>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</si>
  <si>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</si>
  <si>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</si>
  <si>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</si>
  <si>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</si>
  <si>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</si>
  <si>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</si>
  <si>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</si>
  <si>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</si>
  <si>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</si>
  <si>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</si>
  <si>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</si>
  <si>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</si>
  <si>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</si>
  <si>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</si>
  <si>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</si>
  <si>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</si>
  <si>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</si>
  <si>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</si>
  <si>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</si>
  <si>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</si>
  <si>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</si>
  <si>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</si>
  <si>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</si>
  <si>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</si>
  <si>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</si>
  <si>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</si>
  <si>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</si>
  <si>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</si>
  <si>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</si>
  <si>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</si>
  <si>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</si>
  <si>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</si>
  <si>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</si>
  <si>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</si>
  <si>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</si>
  <si>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</si>
  <si>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</si>
  <si>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</si>
  <si>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</si>
  <si>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</si>
  <si>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</si>
  <si>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</si>
  <si>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</si>
  <si>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</si>
  <si>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</si>
  <si>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</si>
  <si>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</si>
  <si>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</si>
  <si>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</si>
  <si>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</si>
  <si>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</si>
  <si>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</si>
  <si>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</si>
  <si>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</si>
  <si>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</si>
  <si>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</si>
  <si>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</si>
  <si>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</si>
  <si>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</si>
  <si>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</si>
  <si>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</si>
  <si>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</si>
  <si>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</si>
  <si>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</si>
  <si>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</si>
  <si>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</si>
  <si>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</si>
  <si>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</si>
  <si>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</si>
  <si>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</si>
  <si>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</si>
  <si>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</si>
  <si>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</si>
  <si>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</si>
  <si>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</si>
  <si>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</si>
  <si>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</si>
  <si>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</si>
  <si>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</si>
  <si>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</si>
  <si>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</si>
  <si>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</si>
  <si>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</si>
  <si>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</si>
  <si>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</si>
  <si>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</si>
  <si>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</si>
  <si>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</si>
  <si>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</si>
  <si>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</si>
  <si>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</si>
  <si>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</si>
  <si>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</si>
  <si>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</si>
  <si>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</si>
  <si>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</si>
  <si>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</si>
  <si>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</si>
  <si>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</si>
  <si>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</si>
  <si>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</si>
  <si>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</si>
  <si>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</si>
  <si>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</si>
  <si>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</si>
  <si>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</si>
  <si>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</si>
  <si>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</si>
  <si>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</si>
  <si>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</si>
  <si>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</si>
  <si>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</si>
  <si>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</si>
  <si>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</si>
  <si>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</si>
  <si>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</si>
  <si>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</si>
  <si>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</si>
  <si>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</si>
  <si>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</si>
  <si>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</si>
  <si>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</si>
  <si>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</si>
  <si>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</si>
  <si>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</si>
  <si>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</si>
  <si>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</si>
  <si>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</si>
  <si>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</si>
  <si>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</si>
  <si>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</si>
  <si>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</si>
  <si>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</si>
  <si>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</si>
  <si>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</si>
  <si>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</si>
  <si>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</si>
  <si>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</si>
  <si>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</si>
  <si>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</si>
  <si>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</si>
  <si>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</si>
  <si>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</si>
  <si>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</si>
  <si>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</si>
  <si>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</si>
  <si>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</si>
  <si>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</si>
  <si>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</si>
  <si>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</si>
  <si>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</si>
  <si>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</si>
  <si>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</si>
  <si>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</si>
  <si>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</si>
  <si>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</si>
  <si>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</si>
  <si>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</si>
  <si>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</si>
  <si>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</si>
  <si>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</si>
  <si>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</si>
  <si>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</si>
  <si>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</si>
  <si>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</si>
  <si>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</si>
  <si>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</si>
  <si>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</si>
  <si>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</si>
  <si>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</si>
  <si>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</si>
  <si>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</si>
  <si>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</si>
  <si>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</si>
  <si>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</si>
  <si>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</si>
  <si>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</si>
  <si>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</si>
  <si>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</si>
  <si>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</si>
  <si>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</si>
  <si>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</si>
  <si>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</si>
  <si>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</si>
  <si>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</si>
  <si>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</si>
  <si>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</si>
  <si>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</si>
  <si>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</si>
  <si>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</si>
  <si>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</si>
  <si>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</si>
  <si>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</si>
  <si>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</si>
  <si>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</si>
  <si>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</si>
  <si>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</si>
  <si>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</si>
  <si>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</si>
  <si>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</si>
  <si>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</si>
  <si>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</si>
  <si>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</si>
  <si>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</si>
  <si>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</si>
  <si>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</si>
  <si>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</si>
  <si>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</si>
  <si>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</si>
  <si>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</si>
  <si>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</si>
  <si>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</si>
  <si>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</si>
  <si>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</si>
  <si>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</si>
  <si>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</si>
  <si>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</si>
  <si>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</si>
  <si>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</si>
  <si>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</si>
  <si>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</si>
  <si>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</si>
  <si>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</si>
  <si>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</si>
  <si>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</si>
  <si>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</si>
  <si>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</si>
  <si>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</si>
  <si>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</si>
  <si>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</si>
  <si>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</si>
  <si>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</si>
  <si>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</si>
  <si>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</si>
  <si>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</si>
  <si>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</si>
  <si>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</si>
  <si>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</si>
  <si>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</si>
  <si>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</si>
  <si>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</si>
  <si>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</si>
  <si>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</si>
  <si>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</si>
  <si>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</si>
  <si>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</si>
  <si>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</si>
  <si>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</si>
  <si>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</si>
  <si>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</si>
  <si>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</si>
  <si>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</si>
  <si>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</si>
  <si>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</si>
  <si>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</si>
  <si>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</si>
  <si>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</si>
  <si>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</si>
  <si>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</si>
  <si>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</si>
  <si>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</si>
  <si>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</si>
  <si>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</si>
  <si>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</si>
  <si>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</si>
  <si>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</si>
  <si>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</si>
  <si>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</si>
  <si>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</si>
  <si>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</si>
  <si>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</si>
  <si>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</si>
  <si>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</si>
  <si>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</si>
  <si>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</si>
  <si>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</si>
  <si>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</si>
  <si>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</si>
  <si>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</si>
  <si>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</si>
  <si>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</si>
  <si>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</si>
  <si>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</si>
  <si>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</si>
  <si>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</si>
  <si>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</si>
  <si>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</si>
  <si>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</si>
  <si>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</si>
  <si>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中文传媒</t>
  </si>
  <si>
    <t>600373.SS</t>
  </si>
  <si>
    <t/>
  </si>
  <si>
    <t>TMT_02</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</si>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</sst>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5EC71C59-AADA-4CA0-87ED-438C3E75AF1F}"/>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0373.SS_Valuation_backup.xlsx" TargetMode="External"/><Relationship Id="rId1" Type="http://schemas.openxmlformats.org/officeDocument/2006/relationships/externalLinkPath" Target="600373.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1395022307</v>
          </cell>
        </row>
        <row r="12">
          <cell r="C12">
            <v>10.28</v>
          </cell>
        </row>
        <row r="13">
          <cell r="C13" t="str">
            <v>CNY</v>
          </cell>
        </row>
        <row r="16">
          <cell r="C16">
            <v>1</v>
          </cell>
        </row>
        <row r="21">
          <cell r="E21" t="str">
            <v>DCF</v>
          </cell>
        </row>
        <row r="25">
          <cell r="C25" t="str">
            <v>CNY</v>
          </cell>
        </row>
        <row r="86">
          <cell r="C86">
            <v>7.4999999999999997E-2</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中文传媒</v>
      </c>
    </row>
    <row r="6" spans="1:10">
      <c r="B6" s="4" t="s">
        <v>480</v>
      </c>
      <c r="C6" s="34">
        <f>Common_Shares</f>
        <v>1395022307</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600373.SS</v>
      </c>
      <c r="D11" s="49"/>
      <c r="E11" s="34"/>
    </row>
    <row r="12" spans="1:10">
      <c r="B12" s="4" t="s">
        <v>484</v>
      </c>
      <c r="C12" s="366">
        <f>Market_Price</f>
        <v>10</v>
      </c>
      <c r="D12" s="50"/>
      <c r="E12" s="48"/>
    </row>
    <row r="13" spans="1:10">
      <c r="B13" s="1" t="s">
        <v>485</v>
      </c>
      <c r="C13" s="32" t="str">
        <f>Market_currency</f>
        <v>CNY</v>
      </c>
      <c r="D13" s="48"/>
      <c r="E13" s="5"/>
    </row>
    <row r="14" spans="1:10">
      <c r="B14" s="4" t="s">
        <v>486</v>
      </c>
      <c r="C14" s="35">
        <f>投资主题!C12*Common_Shares/1000000</f>
        <v>13950.22307</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Low Growth Asset Play</v>
      </c>
      <c r="D21" s="1" t="s">
        <v>447</v>
      </c>
      <c r="E21" s="363" t="str">
        <f>valuation_method</f>
        <v>DCF</v>
      </c>
    </row>
    <row r="22" spans="2:6">
      <c r="B22" s="2" t="s">
        <v>442</v>
      </c>
      <c r="C22" s="32" t="str">
        <f>Thesis!C22</f>
        <v>TMT_02</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11.711712236864567</v>
      </c>
      <c r="D26" s="1" t="s">
        <v>446</v>
      </c>
      <c r="E26" s="301">
        <f ca="1">Scenarios!C87</f>
        <v>8.830266843905421E-2</v>
      </c>
    </row>
    <row r="27" spans="2:6">
      <c r="D27" s="5"/>
      <c r="E27" s="5"/>
    </row>
    <row r="28" spans="2:6">
      <c r="B28" s="45" t="s">
        <v>448</v>
      </c>
      <c r="C28" s="309" t="str">
        <f>C145&amp;" ("&amp;Market_currency&amp;")"</f>
        <v>600373.SS (CNY)</v>
      </c>
      <c r="D28" s="309" t="str">
        <f>IF(D11="","",D145&amp;" ("&amp;D13&amp;")")</f>
        <v/>
      </c>
      <c r="E28" s="305" t="s">
        <v>453</v>
      </c>
      <c r="F28" s="361">
        <f>Thesis!F28</f>
        <v>3</v>
      </c>
    </row>
    <row r="29" spans="2:6">
      <c r="B29" s="1" t="s">
        <v>449</v>
      </c>
      <c r="C29" s="310">
        <f>C149</f>
        <v>4.3792241541234382</v>
      </c>
      <c r="D29" s="310" t="str">
        <f>D149</f>
        <v/>
      </c>
      <c r="E29" s="306" t="s">
        <v>455</v>
      </c>
      <c r="F29" s="362">
        <f>Thesis!F29</f>
        <v>0.45</v>
      </c>
    </row>
    <row r="30" spans="2:6">
      <c r="B30" s="1" t="s">
        <v>450</v>
      </c>
      <c r="C30" s="311">
        <f>C157</f>
        <v>5.9845754378081768</v>
      </c>
      <c r="D30" s="311" t="str">
        <f>D157</f>
        <v/>
      </c>
      <c r="E30" s="307" t="s">
        <v>454</v>
      </c>
      <c r="F30" s="224">
        <f>Thesis!F30</f>
        <v>0.3</v>
      </c>
    </row>
    <row r="31" spans="2:6">
      <c r="B31" s="1" t="s">
        <v>451</v>
      </c>
      <c r="C31" s="311">
        <f>C165</f>
        <v>10.363655818472994</v>
      </c>
      <c r="D31" s="311" t="str">
        <f>D165</f>
        <v/>
      </c>
      <c r="E31" s="307" t="s">
        <v>491</v>
      </c>
      <c r="F31" s="224">
        <f>Thesis!F31</f>
        <v>7.4999999999999997E-2</v>
      </c>
    </row>
    <row r="32" spans="2:6">
      <c r="B32" s="1" t="s">
        <v>452</v>
      </c>
      <c r="C32" s="311">
        <f>C173</f>
        <v>10.034835914511921</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v>
      </c>
    </row>
    <row r="40" spans="1:6">
      <c r="B40" s="370" t="s">
        <v>494</v>
      </c>
      <c r="C40" s="370"/>
      <c r="D40" s="370"/>
      <c r="E40" s="370"/>
      <c r="F40" s="370"/>
    </row>
    <row r="41" spans="1:6">
      <c r="B41" s="47" t="s">
        <v>228</v>
      </c>
      <c r="C41" s="349">
        <f>Normalized_FCF!C8</f>
        <v>805173862.5</v>
      </c>
      <c r="D41" s="1" t="str">
        <f>Reporting_currency</f>
        <v>CNY</v>
      </c>
    </row>
    <row r="42" spans="1:6">
      <c r="B42" s="47"/>
      <c r="C42" s="76"/>
    </row>
    <row r="43" spans="1:6" ht="24.6" customHeight="1">
      <c r="B43" s="370" t="s">
        <v>495</v>
      </c>
      <c r="C43" s="370"/>
      <c r="D43" s="370"/>
      <c r="E43" s="370"/>
      <c r="F43" s="370"/>
    </row>
    <row r="44" spans="1:6">
      <c r="B44" s="47" t="s">
        <v>230</v>
      </c>
      <c r="C44" s="349">
        <f>Normalized_FCF!C9</f>
        <v>304213708</v>
      </c>
      <c r="D44" s="1" t="str">
        <f>Reporting_currency</f>
        <v>CNY</v>
      </c>
    </row>
    <row r="45" spans="1:6">
      <c r="B45" s="52" t="s">
        <v>231</v>
      </c>
      <c r="C45" s="349">
        <f>Normalized_FCF!C10</f>
        <v>-304213708</v>
      </c>
      <c r="D45" s="1" t="str">
        <f>Reporting_currency</f>
        <v>CNY</v>
      </c>
    </row>
    <row r="47" spans="1:6">
      <c r="B47" s="370" t="s">
        <v>496</v>
      </c>
      <c r="C47" s="370"/>
      <c r="D47" s="370"/>
      <c r="E47" s="370"/>
      <c r="F47" s="370"/>
    </row>
    <row r="48" spans="1:6">
      <c r="B48" s="47" t="s">
        <v>233</v>
      </c>
      <c r="C48" s="349">
        <f>Normalized_FCF!C11</f>
        <v>0</v>
      </c>
      <c r="D48" s="1" t="str">
        <f>Reporting_currency</f>
        <v>CNY</v>
      </c>
    </row>
    <row r="50" spans="2:6">
      <c r="B50" s="370" t="s">
        <v>497</v>
      </c>
      <c r="C50" s="370"/>
      <c r="D50" s="370"/>
      <c r="E50" s="370"/>
      <c r="F50" s="370"/>
    </row>
    <row r="51" spans="2:6">
      <c r="B51" s="47" t="s">
        <v>331</v>
      </c>
      <c r="C51" s="350">
        <f>Normalized_FCF!C48</f>
        <v>30189572.474333331</v>
      </c>
      <c r="D51" s="1" t="str">
        <f>Reporting_currency</f>
        <v>CNY</v>
      </c>
      <c r="E51" s="286"/>
      <c r="F51" s="286"/>
    </row>
    <row r="52" spans="2:6">
      <c r="B52" s="47" t="s">
        <v>332</v>
      </c>
      <c r="C52" s="350">
        <f>Normalized_FCF!C47</f>
        <v>-127330087.00000001</v>
      </c>
      <c r="D52" s="1" t="str">
        <f>Reporting_currency</f>
        <v>CNY</v>
      </c>
      <c r="E52" s="286"/>
      <c r="F52" s="286"/>
    </row>
    <row r="53" spans="2:6">
      <c r="B53" s="47" t="s">
        <v>234</v>
      </c>
      <c r="C53" s="349">
        <f>Normalized_FCF!C12</f>
        <v>-97140514.525666684</v>
      </c>
      <c r="D53" s="1" t="str">
        <f>Reporting_currency</f>
        <v>CNY</v>
      </c>
    </row>
    <row r="55" spans="2:6">
      <c r="B55" s="1" t="s">
        <v>498</v>
      </c>
    </row>
    <row r="56" spans="2:6">
      <c r="B56" s="47" t="s">
        <v>261</v>
      </c>
      <c r="C56" s="349">
        <f>Normalized_FCF!C15</f>
        <v>-38841055</v>
      </c>
      <c r="D56" s="1" t="str">
        <f>Reporting_currency</f>
        <v>CNY</v>
      </c>
    </row>
    <row r="58" spans="2:6">
      <c r="B58" s="370" t="s">
        <v>237</v>
      </c>
      <c r="C58" s="370"/>
      <c r="D58" s="370"/>
      <c r="E58" s="370"/>
      <c r="F58" s="370"/>
    </row>
    <row r="59" spans="2:6">
      <c r="B59" s="47" t="s">
        <v>235</v>
      </c>
      <c r="C59" s="349">
        <f>Normalized_FCF!C14</f>
        <v>-177008336.99358332</v>
      </c>
      <c r="D59" s="1" t="str">
        <f>Reporting_currency</f>
        <v>CNY</v>
      </c>
    </row>
    <row r="61" spans="2:6">
      <c r="B61" s="370" t="s">
        <v>499</v>
      </c>
      <c r="C61" s="373"/>
      <c r="D61" s="373"/>
      <c r="E61" s="373"/>
      <c r="F61" s="373"/>
    </row>
    <row r="62" spans="2:6">
      <c r="B62" s="47" t="s">
        <v>238</v>
      </c>
      <c r="C62" s="349">
        <f>Normalized_FCF!C17</f>
        <v>0</v>
      </c>
      <c r="D62" s="1" t="str">
        <f>Reporting_currency</f>
        <v>CNY</v>
      </c>
    </row>
    <row r="64" spans="2:6">
      <c r="B64" s="371" t="s">
        <v>500</v>
      </c>
      <c r="C64" s="371"/>
      <c r="D64" s="371"/>
      <c r="E64" s="371"/>
      <c r="F64" s="371"/>
    </row>
    <row r="65" spans="1:6">
      <c r="B65" s="371" t="s">
        <v>501</v>
      </c>
      <c r="C65" s="371"/>
      <c r="D65" s="371"/>
      <c r="E65" s="371"/>
      <c r="F65" s="371"/>
    </row>
    <row r="67" spans="1:6">
      <c r="B67" s="47" t="s">
        <v>502</v>
      </c>
      <c r="C67" s="349">
        <f>Normalized_FCF!G19</f>
        <v>335956918.03600812</v>
      </c>
      <c r="D67" s="1" t="str">
        <f>Reporting_currency</f>
        <v>CNY</v>
      </c>
    </row>
    <row r="68" spans="1:6">
      <c r="B68" s="47" t="s">
        <v>244</v>
      </c>
      <c r="C68" s="349">
        <f>Normalized_FCF!C19</f>
        <v>492183955.98074996</v>
      </c>
      <c r="D68" s="1" t="str">
        <f>Reporting_currency</f>
        <v>CNY</v>
      </c>
    </row>
    <row r="69" spans="1:6">
      <c r="B69" s="227" t="s">
        <v>371</v>
      </c>
      <c r="C69" s="92">
        <f>Normalized_FCF!C126</f>
        <v>3.5281439838707178E-2</v>
      </c>
      <c r="F69" s="314"/>
    </row>
    <row r="70" spans="1:6">
      <c r="B70" s="227" t="s">
        <v>434</v>
      </c>
      <c r="C70" s="92">
        <f>Normalized_FCF!C94</f>
        <v>3.6000000000000004E-2</v>
      </c>
      <c r="E70" s="47" t="s">
        <v>503</v>
      </c>
      <c r="F70" s="315">
        <f>Normalized_FCF!C92</f>
        <v>1.1337405781301506</v>
      </c>
    </row>
    <row r="72" spans="1:6">
      <c r="B72" s="210" t="s">
        <v>513</v>
      </c>
      <c r="C72" s="323" t="s">
        <v>429</v>
      </c>
      <c r="D72" s="323" t="s">
        <v>504</v>
      </c>
    </row>
    <row r="73" spans="1:6">
      <c r="B73" s="47" t="s">
        <v>428</v>
      </c>
      <c r="C73" s="92">
        <f>Normalized_FCF!C121</f>
        <v>3.888300021475994E-2</v>
      </c>
      <c r="D73" s="92">
        <f>Normalized_FCF!G121</f>
        <v>4.2520188912675866E-2</v>
      </c>
    </row>
    <row r="74" spans="1:6">
      <c r="B74" s="259" t="str">
        <f>Normalized_FCF!B118</f>
        <v>Pre-tax Profit/Sales</v>
      </c>
      <c r="C74" s="322">
        <f>Normalized_FCF!C118</f>
        <v>7.6099586896956867E-2</v>
      </c>
      <c r="D74" s="322">
        <f>Normalized_FCF!G118</f>
        <v>8.3218084848475898E-2</v>
      </c>
    </row>
    <row r="75" spans="1:6">
      <c r="B75" s="259" t="str">
        <f>Normalized_FCF!B119</f>
        <v>Sales/Total Assets</v>
      </c>
      <c r="C75" s="324">
        <f>Normalized_FCF!C119</f>
        <v>0.30413488760323032</v>
      </c>
      <c r="D75" s="324">
        <f>Normalized_FCF!G119</f>
        <v>0.30413488760323026</v>
      </c>
    </row>
    <row r="76" spans="1:6">
      <c r="B76" s="259" t="str">
        <f>Normalized_FCF!B120</f>
        <v>Total Assets/Equity</v>
      </c>
      <c r="C76" s="324">
        <f>Normalized_FCF!C120</f>
        <v>1.6800075256655485</v>
      </c>
      <c r="D76" s="324">
        <f>Normalized_FCF!G120</f>
        <v>1.6800075256655487</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4.7041919784942907</v>
      </c>
      <c r="D93" s="1" t="str">
        <f>Market_currency</f>
        <v>CNY</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1685959940.8299999</v>
      </c>
      <c r="D102" s="1" t="str">
        <f>Reporting_currency</f>
        <v>CNY</v>
      </c>
    </row>
    <row r="103" spans="2:6">
      <c r="B103" s="47" t="s">
        <v>276</v>
      </c>
      <c r="C103" s="223">
        <f>C102*scaling_factor*Exchange_Rate/Common_Shares</f>
        <v>1.2085541086835108</v>
      </c>
      <c r="D103" s="1" t="str">
        <f>Market_currency</f>
        <v>CNY</v>
      </c>
    </row>
    <row r="104" spans="2:6">
      <c r="B104" s="296" t="s">
        <v>384</v>
      </c>
      <c r="C104" s="325">
        <f>IF(BS!G31/BS!G27&gt;300%,"nm",BS!G31/BS!G27)</f>
        <v>9.2587702159681276E-2</v>
      </c>
    </row>
    <row r="105" spans="2:6">
      <c r="B105" s="296" t="s">
        <v>386</v>
      </c>
      <c r="C105" s="326">
        <f>IF(BS!C50&gt;30,"nm",BS!C50)</f>
        <v>2.0939079363495856</v>
      </c>
    </row>
    <row r="107" spans="2:6">
      <c r="B107" s="1" t="s">
        <v>514</v>
      </c>
    </row>
    <row r="108" spans="2:6">
      <c r="B108" s="47" t="s">
        <v>260</v>
      </c>
      <c r="C108" s="349">
        <f>BS!C66</f>
        <v>10570865213.440001</v>
      </c>
      <c r="D108" s="1" t="str">
        <f>Reporting_currency</f>
        <v>CNY</v>
      </c>
    </row>
    <row r="109" spans="2:6">
      <c r="B109" s="47" t="s">
        <v>262</v>
      </c>
      <c r="C109" s="349">
        <f>DCF!C8</f>
        <v>7551907966.0066681</v>
      </c>
      <c r="D109" s="1" t="str">
        <f>Reporting_currency</f>
        <v>CNY</v>
      </c>
    </row>
    <row r="110" spans="2:6">
      <c r="B110" s="47" t="s">
        <v>277</v>
      </c>
      <c r="C110" s="223">
        <f>C109*scaling_factor*Exchange_Rate/Common_Shares</f>
        <v>5.4134675324633843</v>
      </c>
      <c r="D110" s="1" t="str">
        <f>Market_currency</f>
        <v>CNY</v>
      </c>
    </row>
    <row r="112" spans="2:6">
      <c r="B112" s="1" t="s">
        <v>515</v>
      </c>
    </row>
    <row r="113" spans="1:6">
      <c r="B113" s="47" t="s">
        <v>253</v>
      </c>
      <c r="C113" s="349">
        <f>DCF!C9</f>
        <v>3684979983.197</v>
      </c>
      <c r="D113" s="1" t="str">
        <f>Reporting_currency</f>
        <v>CNY</v>
      </c>
    </row>
    <row r="114" spans="1:6">
      <c r="B114" s="47" t="s">
        <v>278</v>
      </c>
      <c r="C114" s="223">
        <f>C113*scaling_factor*Exchange_Rate/Common_Shares</f>
        <v>2.6415204722579393</v>
      </c>
      <c r="D114" s="1" t="str">
        <f>Market_currency</f>
        <v>CNY</v>
      </c>
    </row>
    <row r="116" spans="1:6">
      <c r="B116" s="371" t="s">
        <v>516</v>
      </c>
      <c r="C116" s="371"/>
      <c r="D116" s="371"/>
      <c r="E116" s="371"/>
      <c r="F116" s="371"/>
    </row>
    <row r="118" spans="1:6">
      <c r="B118" s="47" t="s">
        <v>517</v>
      </c>
      <c r="C118" s="223">
        <f>IF(valuation_method="DCF",DCF!C12,DDM!C7)</f>
        <v>11.550625874532104</v>
      </c>
      <c r="D118" s="1" t="str">
        <f>Market_currency</f>
        <v>CNY</v>
      </c>
    </row>
    <row r="119" spans="1:6">
      <c r="B119" s="296" t="s">
        <v>550</v>
      </c>
      <c r="C119" s="223">
        <f>BS!D47</f>
        <v>2.6400638402357823</v>
      </c>
      <c r="D119" s="1" t="str">
        <f>Market_currency</f>
        <v>CNY</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0.05</v>
      </c>
      <c r="D126" s="230">
        <f>DCF!D74</f>
        <v>10</v>
      </c>
      <c r="E126" s="231" t="str">
        <f>ROUND(IF(valuation_method="DCF",DCF!E74,DDM!E69),2)&amp;" "&amp;Market_currency</f>
        <v>12.35 CNY</v>
      </c>
      <c r="F126" s="232">
        <f>DCF!F74</f>
        <v>0.05</v>
      </c>
    </row>
    <row r="127" spans="1:6">
      <c r="B127" s="218" t="str">
        <f>DCF!B75</f>
        <v>Optimistic</v>
      </c>
      <c r="C127" s="219">
        <f>DCF!C75</f>
        <v>0.03</v>
      </c>
      <c r="D127" s="220">
        <f>DCF!D75</f>
        <v>5</v>
      </c>
      <c r="E127" s="231" t="str">
        <f>ROUND(IF(valuation_method="DCF",DCF!E75,DDM!E70),2)&amp;" "&amp;Market_currency</f>
        <v>11.78 CNY</v>
      </c>
      <c r="F127" s="221">
        <f>DCF!F75</f>
        <v>0.18</v>
      </c>
    </row>
    <row r="128" spans="1:6">
      <c r="B128" s="218" t="str">
        <f>DCF!B76</f>
        <v>Base</v>
      </c>
      <c r="C128" s="219">
        <f>DCF!C76</f>
        <v>0.02</v>
      </c>
      <c r="D128" s="220">
        <f>DCF!D76</f>
        <v>5</v>
      </c>
      <c r="E128" s="231" t="str">
        <f>ROUND(IF(valuation_method="DCF",DCF!E76,DDM!E71),2)&amp;" "&amp;Market_currency</f>
        <v>11.7 CNY</v>
      </c>
      <c r="F128" s="221">
        <f>DCF!F76</f>
        <v>0.53999999999999992</v>
      </c>
    </row>
    <row r="129" spans="1:6">
      <c r="B129" s="218" t="str">
        <f>DCF!B77</f>
        <v>Pessimistic</v>
      </c>
      <c r="C129" s="219">
        <f>DCF!C77</f>
        <v>0</v>
      </c>
      <c r="D129" s="220">
        <f>DCF!D77</f>
        <v>5</v>
      </c>
      <c r="E129" s="231" t="str">
        <f>ROUND(IF(valuation_method="DCF",DCF!E77,DDM!E72),2)&amp;" "&amp;Market_currency</f>
        <v>11.55 CNY</v>
      </c>
      <c r="F129" s="221">
        <f>DCF!F77</f>
        <v>0.18</v>
      </c>
    </row>
    <row r="130" spans="1:6">
      <c r="B130" s="218" t="str">
        <f>DCF!B78</f>
        <v>Devil's advocate</v>
      </c>
      <c r="C130" s="219">
        <f>DCF!C78</f>
        <v>0</v>
      </c>
      <c r="D130" s="220">
        <f>DCF!D78</f>
        <v>10</v>
      </c>
      <c r="E130" s="231" t="str">
        <f>ROUND(IF(valuation_method="DCF",DCF!E78,DDM!E73),2)&amp;" "&amp;Market_currency</f>
        <v>11.55 CNY</v>
      </c>
      <c r="F130" s="221">
        <f>DCF!F78</f>
        <v>0.05</v>
      </c>
    </row>
    <row r="132" spans="1:6">
      <c r="B132" s="211" t="s">
        <v>254</v>
      </c>
      <c r="C132" s="217">
        <f>Scenarios!C60</f>
        <v>11.711712236864567</v>
      </c>
      <c r="D132" s="212" t="str">
        <f>Market_currency</f>
        <v>CNY</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0.45</v>
      </c>
    </row>
    <row r="143" spans="1:6">
      <c r="B143" s="212" t="s">
        <v>530</v>
      </c>
      <c r="C143" s="213">
        <f>Scenarios!C77</f>
        <v>0.36000000000000004</v>
      </c>
      <c r="D143" s="212" t="str">
        <f>Market_currency</f>
        <v>CNY</v>
      </c>
    </row>
    <row r="145" spans="2:4">
      <c r="B145" s="210" t="s">
        <v>531</v>
      </c>
      <c r="C145" s="241" t="str">
        <f>C11</f>
        <v>600373.SS</v>
      </c>
      <c r="D145" s="241" t="str">
        <f>IF(D11="","",D11)</f>
        <v/>
      </c>
    </row>
    <row r="146" spans="2:4">
      <c r="B146" s="1" t="s">
        <v>387</v>
      </c>
      <c r="C146" s="297">
        <f>F29</f>
        <v>0.45</v>
      </c>
    </row>
    <row r="147" spans="2:4">
      <c r="B147" s="212" t="str">
        <f>"PV("&amp;C141&amp;" yrs of Dividends)"</f>
        <v>PV(3 yrs of Dividends)</v>
      </c>
      <c r="C147" s="216">
        <f>Scenarios!C81</f>
        <v>0.53758661691746279</v>
      </c>
    </row>
    <row r="148" spans="2:4">
      <c r="B148" s="212" t="str">
        <f>"+ PV(Equity Value realized at year "&amp;C141&amp;")"</f>
        <v>+ PV(Equity Value realized at year 3)</v>
      </c>
      <c r="C148" s="216">
        <f>Scenarios!C82</f>
        <v>3.8416375372059757</v>
      </c>
    </row>
    <row r="149" spans="2:4">
      <c r="B149" s="80" t="s">
        <v>256</v>
      </c>
      <c r="C149" s="215">
        <f>Scenarios!C83</f>
        <v>4.3792241541234382</v>
      </c>
      <c r="D149" s="300" t="str">
        <f>IF($D$11="","",C149*$E$25)</f>
        <v/>
      </c>
    </row>
    <row r="150" spans="2:4">
      <c r="B150" s="259" t="s">
        <v>532</v>
      </c>
      <c r="C150" s="298" t="str">
        <f>Market_currency</f>
        <v>CNY</v>
      </c>
      <c r="D150" s="298" t="str">
        <f>IF($D$11="","",D$13)</f>
        <v/>
      </c>
    </row>
    <row r="151" spans="2:4">
      <c r="B151" s="214" t="s">
        <v>533</v>
      </c>
      <c r="C151" s="92">
        <f>Scenarios!F83</f>
        <v>0.62608164668364208</v>
      </c>
    </row>
    <row r="153" spans="2:4">
      <c r="B153" s="210" t="s">
        <v>391</v>
      </c>
    </row>
    <row r="154" spans="2:4">
      <c r="B154" s="1" t="s">
        <v>390</v>
      </c>
      <c r="C154" s="297">
        <f>Scenarios!C90</f>
        <v>0.3</v>
      </c>
    </row>
    <row r="155" spans="2:4">
      <c r="B155" s="212" t="str">
        <f>"PV("&amp;C141&amp;" yrs of Dividends)"</f>
        <v>PV(3 yrs of Dividends)</v>
      </c>
      <c r="C155" s="216">
        <f>Scenarios!C91</f>
        <v>0.65380063723259008</v>
      </c>
    </row>
    <row r="156" spans="2:4">
      <c r="B156" s="212" t="str">
        <f>"+ PV(Equity Value realized at year "&amp;C141&amp;")"</f>
        <v>+ PV(Equity Value realized at year 3)</v>
      </c>
      <c r="C156" s="216">
        <f>Scenarios!C92</f>
        <v>5.3307748005755871</v>
      </c>
    </row>
    <row r="157" spans="2:4">
      <c r="B157" s="80" t="s">
        <v>256</v>
      </c>
      <c r="C157" s="215">
        <f>Scenarios!C93</f>
        <v>5.9845754378081768</v>
      </c>
      <c r="D157" s="300" t="str">
        <f>IF($D$11="","",C157*$E$25)</f>
        <v/>
      </c>
    </row>
    <row r="158" spans="2:4">
      <c r="B158" s="259" t="s">
        <v>532</v>
      </c>
      <c r="C158" s="298" t="str">
        <f>Market_currency</f>
        <v>CNY</v>
      </c>
      <c r="D158" s="298" t="str">
        <f>IF($D$11="","",D$13)</f>
        <v/>
      </c>
    </row>
    <row r="159" spans="2:4">
      <c r="B159" s="214" t="s">
        <v>533</v>
      </c>
      <c r="C159" s="92">
        <f>Scenarios!F93</f>
        <v>0.48900935091534037</v>
      </c>
    </row>
    <row r="161" spans="2:4">
      <c r="B161" s="210" t="s">
        <v>381</v>
      </c>
    </row>
    <row r="162" spans="2:4">
      <c r="B162" s="1" t="s">
        <v>389</v>
      </c>
      <c r="C162" s="92">
        <f>Scenarios!C96</f>
        <v>7.4999999999999997E-2</v>
      </c>
    </row>
    <row r="163" spans="2:4">
      <c r="B163" s="212" t="str">
        <f>"PV("&amp;C141&amp;" yrs of Dividends)"</f>
        <v>PV(3 yrs of Dividends)</v>
      </c>
      <c r="C163" s="216">
        <f>Scenarios!C97</f>
        <v>0.93618926635390565</v>
      </c>
    </row>
    <row r="164" spans="2:4">
      <c r="B164" s="212" t="str">
        <f>"+ PV(Equity Value realized at year "&amp;C141&amp;")"</f>
        <v>+ PV(Equity Value realized at year 3)</v>
      </c>
      <c r="C164" s="216">
        <f>Scenarios!C98</f>
        <v>9.427466552119089</v>
      </c>
    </row>
    <row r="165" spans="2:4">
      <c r="B165" s="80" t="s">
        <v>382</v>
      </c>
      <c r="C165" s="215">
        <f>Scenarios!C99</f>
        <v>10.363655818472994</v>
      </c>
      <c r="D165" s="300" t="str">
        <f>IF($D$11="","",C165*$E$25)</f>
        <v/>
      </c>
    </row>
    <row r="166" spans="2:4">
      <c r="B166" s="259" t="s">
        <v>532</v>
      </c>
      <c r="C166" s="298" t="str">
        <f>Market_currency</f>
        <v>CNY</v>
      </c>
      <c r="D166" s="298" t="str">
        <f>IF($D$11="","",D$13)</f>
        <v/>
      </c>
    </row>
    <row r="167" spans="2:4">
      <c r="B167" s="214" t="s">
        <v>533</v>
      </c>
      <c r="C167" s="92">
        <f>Scenarios!F99</f>
        <v>0.11510327363989881</v>
      </c>
    </row>
    <row r="169" spans="2:4">
      <c r="B169" s="210" t="s">
        <v>409</v>
      </c>
    </row>
    <row r="170" spans="2:4">
      <c r="B170" s="1" t="s">
        <v>400</v>
      </c>
      <c r="C170" s="92">
        <f>F32</f>
        <v>8.6999999999999994E-2</v>
      </c>
    </row>
    <row r="171" spans="2:4">
      <c r="B171" s="212" t="str">
        <f>"PV("&amp;C141&amp;" yrs of Dividends)"</f>
        <v>PV(3 yrs of Dividends)</v>
      </c>
      <c r="C171" s="216">
        <f>Scenarios!C103</f>
        <v>0.91616042104176609</v>
      </c>
    </row>
    <row r="172" spans="2:4">
      <c r="B172" s="212" t="str">
        <f>"+ PV(Equity Value realized at year "&amp;C141&amp;")"</f>
        <v>+ PV(Equity Value realized at year 3)</v>
      </c>
      <c r="C172" s="216">
        <f>Scenarios!C104</f>
        <v>9.118675493470155</v>
      </c>
    </row>
    <row r="173" spans="2:4">
      <c r="B173" s="80" t="s">
        <v>382</v>
      </c>
      <c r="C173" s="215">
        <f>Scenarios!C105</f>
        <v>10.034835914511921</v>
      </c>
      <c r="D173" s="300" t="str">
        <f>IF($D$11="","",C173*$E$25)</f>
        <v/>
      </c>
    </row>
    <row r="174" spans="2:4">
      <c r="B174" s="259" t="s">
        <v>532</v>
      </c>
      <c r="C174" s="298" t="str">
        <f>Market_currency</f>
        <v>CNY</v>
      </c>
      <c r="D174" s="298" t="str">
        <f>IF($D$11="","",D$13)</f>
        <v/>
      </c>
    </row>
    <row r="175" spans="2:4">
      <c r="B175" s="214" t="s">
        <v>533</v>
      </c>
      <c r="C175" s="92">
        <f>Scenarios!F105</f>
        <v>0.14404564603873704</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1395022307</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10</v>
      </c>
      <c r="D12" s="50"/>
      <c r="E12" s="48"/>
    </row>
    <row r="13" spans="1:10">
      <c r="B13" s="1" t="s">
        <v>464</v>
      </c>
      <c r="C13" s="48" t="s">
        <v>394</v>
      </c>
      <c r="D13" s="48"/>
      <c r="E13" s="5"/>
    </row>
    <row r="14" spans="1:10">
      <c r="B14" s="4" t="s">
        <v>465</v>
      </c>
      <c r="C14" s="35">
        <f>Thesis!C12*Common_Shares/1000000</f>
        <v>13950.22307</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Low Growth Asset Play</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11.711712236864567</v>
      </c>
      <c r="D26" s="1" t="s">
        <v>380</v>
      </c>
      <c r="E26" s="301">
        <f ca="1">Scenarios!C87</f>
        <v>8.830266843905421E-2</v>
      </c>
    </row>
    <row r="27" spans="2:6">
      <c r="D27" s="5"/>
      <c r="E27" s="5"/>
    </row>
    <row r="28" spans="2:6">
      <c r="B28" s="45" t="s">
        <v>410</v>
      </c>
      <c r="C28" s="309" t="str">
        <f>C145&amp;" ("&amp;Market_currency&amp;")"</f>
        <v>600373.SS (CNY)</v>
      </c>
      <c r="D28" s="309" t="str">
        <f>IF(D11="","",D145&amp;" ("&amp;D13&amp;")")</f>
        <v/>
      </c>
      <c r="E28" s="305" t="s">
        <v>406</v>
      </c>
      <c r="F28" s="303">
        <v>3</v>
      </c>
    </row>
    <row r="29" spans="2:6">
      <c r="B29" s="1" t="s">
        <v>402</v>
      </c>
      <c r="C29" s="310">
        <f>C149</f>
        <v>4.3792241541234382</v>
      </c>
      <c r="D29" s="310" t="str">
        <f>D149</f>
        <v/>
      </c>
      <c r="E29" s="306" t="s">
        <v>401</v>
      </c>
      <c r="F29" s="302">
        <v>0.45</v>
      </c>
    </row>
    <row r="30" spans="2:6">
      <c r="B30" s="1" t="s">
        <v>403</v>
      </c>
      <c r="C30" s="311">
        <f>C157</f>
        <v>5.9845754378081768</v>
      </c>
      <c r="D30" s="311" t="str">
        <f>D157</f>
        <v/>
      </c>
      <c r="E30" s="307" t="s">
        <v>414</v>
      </c>
      <c r="F30" s="312">
        <v>0.3</v>
      </c>
    </row>
    <row r="31" spans="2:6">
      <c r="B31" s="1" t="s">
        <v>404</v>
      </c>
      <c r="C31" s="311">
        <f>C165</f>
        <v>10.363655818472994</v>
      </c>
      <c r="D31" s="311" t="str">
        <f>D165</f>
        <v/>
      </c>
      <c r="E31" s="307" t="s">
        <v>413</v>
      </c>
      <c r="F31" s="312">
        <v>7.4999999999999997E-2</v>
      </c>
    </row>
    <row r="32" spans="2:6">
      <c r="B32" s="1" t="s">
        <v>405</v>
      </c>
      <c r="C32" s="311">
        <f>C173</f>
        <v>10.034835914511921</v>
      </c>
      <c r="D32" s="311" t="str">
        <f>D173</f>
        <v/>
      </c>
      <c r="E32" s="307" t="s">
        <v>415</v>
      </c>
      <c r="F32" s="312">
        <v>8.6999999999999994E-2</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v>
      </c>
    </row>
    <row r="40" spans="1:6" ht="24.6" customHeight="1">
      <c r="B40" s="370" t="s">
        <v>227</v>
      </c>
      <c r="C40" s="370"/>
      <c r="D40" s="370"/>
      <c r="E40" s="370"/>
      <c r="F40" s="370"/>
    </row>
    <row r="41" spans="1:6">
      <c r="B41" s="47" t="s">
        <v>228</v>
      </c>
      <c r="C41" s="349">
        <f>Normalized_FCF!C8</f>
        <v>805173862.5</v>
      </c>
      <c r="D41" s="1" t="str">
        <f>Reporting_currency</f>
        <v>CNY</v>
      </c>
    </row>
    <row r="42" spans="1:6">
      <c r="B42" s="47"/>
      <c r="C42" s="76"/>
    </row>
    <row r="43" spans="1:6" ht="24.6" customHeight="1">
      <c r="B43" s="370" t="s">
        <v>229</v>
      </c>
      <c r="C43" s="370"/>
      <c r="D43" s="370"/>
      <c r="E43" s="370"/>
      <c r="F43" s="370"/>
    </row>
    <row r="44" spans="1:6">
      <c r="B44" s="47" t="s">
        <v>230</v>
      </c>
      <c r="C44" s="349">
        <f>Normalized_FCF!C9</f>
        <v>304213708</v>
      </c>
      <c r="D44" s="1" t="str">
        <f>Reporting_currency</f>
        <v>CNY</v>
      </c>
    </row>
    <row r="45" spans="1:6">
      <c r="B45" s="52" t="s">
        <v>231</v>
      </c>
      <c r="C45" s="349">
        <f>Normalized_FCF!C10</f>
        <v>-304213708</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30189572.474333331</v>
      </c>
      <c r="D51" s="1" t="str">
        <f>Reporting_currency</f>
        <v>CNY</v>
      </c>
      <c r="E51" s="286"/>
      <c r="F51" s="286"/>
    </row>
    <row r="52" spans="2:6">
      <c r="B52" s="47" t="s">
        <v>332</v>
      </c>
      <c r="C52" s="350">
        <f>Normalized_FCF!C47</f>
        <v>-127330087.00000001</v>
      </c>
      <c r="D52" s="1" t="str">
        <f>Reporting_currency</f>
        <v>CNY</v>
      </c>
      <c r="E52" s="286"/>
      <c r="F52" s="286"/>
    </row>
    <row r="53" spans="2:6">
      <c r="B53" s="47" t="s">
        <v>234</v>
      </c>
      <c r="C53" s="349">
        <f>Normalized_FCF!C12</f>
        <v>-97140514.525666684</v>
      </c>
      <c r="D53" s="1" t="str">
        <f>Reporting_currency</f>
        <v>CNY</v>
      </c>
    </row>
    <row r="55" spans="2:6">
      <c r="B55" s="1" t="s">
        <v>242</v>
      </c>
    </row>
    <row r="56" spans="2:6">
      <c r="B56" s="47" t="s">
        <v>261</v>
      </c>
      <c r="C56" s="349">
        <f>Normalized_FCF!C15</f>
        <v>-38841055</v>
      </c>
      <c r="D56" s="1" t="str">
        <f>Reporting_currency</f>
        <v>CNY</v>
      </c>
    </row>
    <row r="58" spans="2:6">
      <c r="B58" s="370" t="s">
        <v>237</v>
      </c>
      <c r="C58" s="370"/>
      <c r="D58" s="370"/>
      <c r="E58" s="370"/>
      <c r="F58" s="370"/>
    </row>
    <row r="59" spans="2:6">
      <c r="B59" s="47" t="s">
        <v>235</v>
      </c>
      <c r="C59" s="349">
        <f>Normalized_FCF!C14</f>
        <v>-177008336.99358332</v>
      </c>
      <c r="D59" s="1" t="str">
        <f>Reporting_currency</f>
        <v>CNY</v>
      </c>
    </row>
    <row r="61" spans="2:6">
      <c r="B61" s="370" t="s">
        <v>329</v>
      </c>
      <c r="C61" s="373"/>
      <c r="D61" s="373"/>
      <c r="E61" s="373"/>
      <c r="F61" s="373"/>
    </row>
    <row r="62" spans="2:6">
      <c r="B62" s="47" t="s">
        <v>238</v>
      </c>
      <c r="C62" s="349">
        <f>Normalized_FCF!C17</f>
        <v>0</v>
      </c>
      <c r="D62" s="1" t="str">
        <f>Reporting_currency</f>
        <v>CNY</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335956918.03600812</v>
      </c>
      <c r="D67" s="1" t="str">
        <f>Reporting_currency</f>
        <v>CNY</v>
      </c>
    </row>
    <row r="68" spans="1:6">
      <c r="B68" s="47" t="s">
        <v>244</v>
      </c>
      <c r="C68" s="349">
        <f>Normalized_FCF!C19</f>
        <v>492183955.98074996</v>
      </c>
      <c r="D68" s="1" t="str">
        <f>Reporting_currency</f>
        <v>CNY</v>
      </c>
    </row>
    <row r="69" spans="1:6">
      <c r="B69" s="227" t="s">
        <v>371</v>
      </c>
      <c r="C69" s="92">
        <f>Normalized_FCF!C126</f>
        <v>3.5281439838707178E-2</v>
      </c>
      <c r="F69" s="314"/>
    </row>
    <row r="70" spans="1:6">
      <c r="B70" s="227" t="s">
        <v>434</v>
      </c>
      <c r="C70" s="92">
        <f>Normalized_FCF!C94</f>
        <v>3.6000000000000004E-2</v>
      </c>
      <c r="E70" s="47" t="s">
        <v>425</v>
      </c>
      <c r="F70" s="315">
        <f>Normalized_FCF!C92</f>
        <v>1.1337405781301506</v>
      </c>
    </row>
    <row r="72" spans="1:6">
      <c r="B72" s="210" t="s">
        <v>427</v>
      </c>
      <c r="C72" s="323" t="s">
        <v>429</v>
      </c>
      <c r="D72" s="323" t="s">
        <v>430</v>
      </c>
    </row>
    <row r="73" spans="1:6">
      <c r="B73" s="47" t="s">
        <v>428</v>
      </c>
      <c r="C73" s="92">
        <f>Normalized_FCF!C121</f>
        <v>3.888300021475994E-2</v>
      </c>
      <c r="D73" s="92">
        <f>Normalized_FCF!G121</f>
        <v>4.2520188912675866E-2</v>
      </c>
    </row>
    <row r="74" spans="1:6">
      <c r="B74" s="259" t="str">
        <f>Normalized_FCF!B118</f>
        <v>Pre-tax Profit/Sales</v>
      </c>
      <c r="C74" s="322">
        <f>Normalized_FCF!C118</f>
        <v>7.6099586896956867E-2</v>
      </c>
      <c r="D74" s="322">
        <f>Normalized_FCF!G118</f>
        <v>8.3218084848475898E-2</v>
      </c>
    </row>
    <row r="75" spans="1:6">
      <c r="B75" s="259" t="str">
        <f>Normalized_FCF!B119</f>
        <v>Sales/Total Assets</v>
      </c>
      <c r="C75" s="324">
        <f>Normalized_FCF!C119</f>
        <v>0.30413488760323032</v>
      </c>
      <c r="D75" s="324">
        <f>Normalized_FCF!G119</f>
        <v>0.30413488760323026</v>
      </c>
    </row>
    <row r="76" spans="1:6">
      <c r="B76" s="259" t="str">
        <f>Normalized_FCF!B120</f>
        <v>Total Assets/Equity</v>
      </c>
      <c r="C76" s="324">
        <f>Normalized_FCF!C120</f>
        <v>1.6800075256655485</v>
      </c>
      <c r="D76" s="324">
        <f>Normalized_FCF!G120</f>
        <v>1.6800075256655487</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4.7041919784942907</v>
      </c>
      <c r="D93" s="1" t="str">
        <f>Market_currency</f>
        <v>CNY</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1685959940.8299999</v>
      </c>
      <c r="D102" s="1" t="str">
        <f>Reporting_currency</f>
        <v>CNY</v>
      </c>
    </row>
    <row r="103" spans="2:6">
      <c r="B103" s="47" t="s">
        <v>276</v>
      </c>
      <c r="C103" s="223">
        <f>C102*scaling_factor*Exchange_Rate/Common_Shares</f>
        <v>1.2085541086835108</v>
      </c>
      <c r="D103" s="1" t="str">
        <f>Market_currency</f>
        <v>CNY</v>
      </c>
    </row>
    <row r="104" spans="2:6">
      <c r="B104" s="296" t="s">
        <v>384</v>
      </c>
      <c r="C104" s="325">
        <f>IF(BS!G31/BS!G27&gt;300%,"nm",BS!G31/BS!G27)</f>
        <v>9.2587702159681276E-2</v>
      </c>
    </row>
    <row r="105" spans="2:6">
      <c r="B105" s="296" t="s">
        <v>386</v>
      </c>
      <c r="C105" s="326">
        <f>IF(BS!C50&gt;30,"nm",BS!C50)</f>
        <v>2.0939079363495856</v>
      </c>
    </row>
    <row r="107" spans="2:6">
      <c r="B107" s="1" t="s">
        <v>250</v>
      </c>
    </row>
    <row r="108" spans="2:6">
      <c r="B108" s="47" t="s">
        <v>260</v>
      </c>
      <c r="C108" s="349">
        <f>BS!C66</f>
        <v>10570865213.440001</v>
      </c>
      <c r="D108" s="1" t="str">
        <f>Reporting_currency</f>
        <v>CNY</v>
      </c>
    </row>
    <row r="109" spans="2:6">
      <c r="B109" s="47" t="s">
        <v>262</v>
      </c>
      <c r="C109" s="349">
        <f>DCF!C8</f>
        <v>7551907966.0066681</v>
      </c>
      <c r="D109" s="1" t="str">
        <f>Reporting_currency</f>
        <v>CNY</v>
      </c>
    </row>
    <row r="110" spans="2:6">
      <c r="B110" s="47" t="s">
        <v>277</v>
      </c>
      <c r="C110" s="223">
        <f>C109*scaling_factor*Exchange_Rate/Common_Shares</f>
        <v>5.4134675324633843</v>
      </c>
      <c r="D110" s="1" t="str">
        <f>Market_currency</f>
        <v>CNY</v>
      </c>
    </row>
    <row r="112" spans="2:6">
      <c r="B112" s="1" t="s">
        <v>252</v>
      </c>
    </row>
    <row r="113" spans="1:6">
      <c r="B113" s="47" t="s">
        <v>253</v>
      </c>
      <c r="C113" s="349">
        <f>DCF!C9</f>
        <v>3684979983.197</v>
      </c>
      <c r="D113" s="1" t="str">
        <f>Reporting_currency</f>
        <v>CNY</v>
      </c>
    </row>
    <row r="114" spans="1:6">
      <c r="B114" s="47" t="s">
        <v>278</v>
      </c>
      <c r="C114" s="223">
        <f>C113*scaling_factor*Exchange_Rate/Common_Shares</f>
        <v>2.6415204722579393</v>
      </c>
      <c r="D114" s="1" t="str">
        <f>Market_currency</f>
        <v>CNY</v>
      </c>
    </row>
    <row r="116" spans="1:6" ht="24.6" customHeight="1">
      <c r="B116" s="371" t="s">
        <v>352</v>
      </c>
      <c r="C116" s="371"/>
      <c r="D116" s="371"/>
      <c r="E116" s="371"/>
      <c r="F116" s="371"/>
    </row>
    <row r="118" spans="1:6">
      <c r="B118" s="47" t="s">
        <v>426</v>
      </c>
      <c r="C118" s="223">
        <f>IF(valuation_method="DCF",DCF!C12,DDM!C7)</f>
        <v>11.550625874532104</v>
      </c>
      <c r="D118" s="1" t="str">
        <f>Market_currency</f>
        <v>CNY</v>
      </c>
    </row>
    <row r="119" spans="1:6">
      <c r="B119" s="296" t="s">
        <v>549</v>
      </c>
      <c r="C119" s="223">
        <f>BS!D47</f>
        <v>2.6400638402357823</v>
      </c>
      <c r="D119" s="1" t="str">
        <f>Market_currency</f>
        <v>CNY</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0.05</v>
      </c>
      <c r="D126" s="230">
        <f>DCF!D74</f>
        <v>10</v>
      </c>
      <c r="E126" s="231" t="str">
        <f>ROUND(IF(valuation_method="DCF",DCF!E74,DDM!E69),2)&amp;" "&amp;Market_currency</f>
        <v>12.35 CNY</v>
      </c>
      <c r="F126" s="232">
        <f>DCF!F74</f>
        <v>0.05</v>
      </c>
    </row>
    <row r="127" spans="1:6">
      <c r="B127" s="218" t="str">
        <f>DCF!B75</f>
        <v>Optimistic</v>
      </c>
      <c r="C127" s="219">
        <f>DCF!C75</f>
        <v>0.03</v>
      </c>
      <c r="D127" s="220">
        <f>DCF!D75</f>
        <v>5</v>
      </c>
      <c r="E127" s="231" t="str">
        <f>ROUND(IF(valuation_method="DCF",DCF!E75,DDM!E70),2)&amp;" "&amp;Market_currency</f>
        <v>11.78 CNY</v>
      </c>
      <c r="F127" s="221">
        <f>DCF!F75</f>
        <v>0.18</v>
      </c>
    </row>
    <row r="128" spans="1:6">
      <c r="B128" s="218" t="str">
        <f>DCF!B76</f>
        <v>Base</v>
      </c>
      <c r="C128" s="219">
        <f>DCF!C76</f>
        <v>0.02</v>
      </c>
      <c r="D128" s="220">
        <f>DCF!D76</f>
        <v>5</v>
      </c>
      <c r="E128" s="231" t="str">
        <f>ROUND(IF(valuation_method="DCF",DCF!E76,DDM!E71),2)&amp;" "&amp;Market_currency</f>
        <v>11.7 CNY</v>
      </c>
      <c r="F128" s="221">
        <f>DCF!F76</f>
        <v>0.53999999999999992</v>
      </c>
    </row>
    <row r="129" spans="1:6">
      <c r="B129" s="218" t="str">
        <f>DCF!B77</f>
        <v>Pessimistic</v>
      </c>
      <c r="C129" s="219">
        <f>DCF!C77</f>
        <v>0</v>
      </c>
      <c r="D129" s="220">
        <f>DCF!D77</f>
        <v>5</v>
      </c>
      <c r="E129" s="231" t="str">
        <f>ROUND(IF(valuation_method="DCF",DCF!E77,DDM!E72),2)&amp;" "&amp;Market_currency</f>
        <v>11.55 CNY</v>
      </c>
      <c r="F129" s="221">
        <f>DCF!F77</f>
        <v>0.18</v>
      </c>
    </row>
    <row r="130" spans="1:6">
      <c r="B130" s="218" t="str">
        <f>DCF!B78</f>
        <v>Devil's advocate</v>
      </c>
      <c r="C130" s="219">
        <f>DCF!C78</f>
        <v>0</v>
      </c>
      <c r="D130" s="220">
        <f>DCF!D78</f>
        <v>10</v>
      </c>
      <c r="E130" s="231" t="str">
        <f>ROUND(IF(valuation_method="DCF",DCF!E78,DDM!E73),2)&amp;" "&amp;Market_currency</f>
        <v>11.55 CNY</v>
      </c>
      <c r="F130" s="221">
        <f>DCF!F78</f>
        <v>0.05</v>
      </c>
    </row>
    <row r="132" spans="1:6">
      <c r="B132" s="211" t="s">
        <v>254</v>
      </c>
      <c r="C132" s="217">
        <f>Scenarios!C60</f>
        <v>11.711712236864567</v>
      </c>
      <c r="D132" s="212" t="str">
        <f>Market_currency</f>
        <v>CNY</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0.45</v>
      </c>
    </row>
    <row r="143" spans="1:6">
      <c r="B143" s="212" t="s">
        <v>257</v>
      </c>
      <c r="C143" s="213">
        <f>Scenarios!C77</f>
        <v>0.36000000000000004</v>
      </c>
      <c r="D143" s="212" t="str">
        <f>Market_currency</f>
        <v>CNY</v>
      </c>
    </row>
    <row r="145" spans="2:4">
      <c r="B145" s="210" t="s">
        <v>388</v>
      </c>
      <c r="C145" s="241" t="str">
        <f>C11</f>
        <v>600373.SS</v>
      </c>
      <c r="D145" s="241" t="str">
        <f>IF(D11="","",D11)</f>
        <v/>
      </c>
    </row>
    <row r="146" spans="2:4">
      <c r="B146" s="1" t="s">
        <v>387</v>
      </c>
      <c r="C146" s="297">
        <f>F29</f>
        <v>0.45</v>
      </c>
    </row>
    <row r="147" spans="2:4">
      <c r="B147" s="212" t="str">
        <f>"PV("&amp;C141&amp;" yrs of Dividends)"</f>
        <v>PV(3 yrs of Dividends)</v>
      </c>
      <c r="C147" s="216">
        <f>Scenarios!C81</f>
        <v>0.53758661691746279</v>
      </c>
    </row>
    <row r="148" spans="2:4">
      <c r="B148" s="212" t="str">
        <f>"+ PV(Equity Value realized at year "&amp;C141&amp;")"</f>
        <v>+ PV(Equity Value realized at year 3)</v>
      </c>
      <c r="C148" s="216">
        <f>Scenarios!C82</f>
        <v>3.8416375372059757</v>
      </c>
    </row>
    <row r="149" spans="2:4">
      <c r="B149" s="80" t="s">
        <v>256</v>
      </c>
      <c r="C149" s="215">
        <f>Scenarios!C83</f>
        <v>4.3792241541234382</v>
      </c>
      <c r="D149" s="300" t="str">
        <f>IF($D$11="","",C149*$E$25)</f>
        <v/>
      </c>
    </row>
    <row r="150" spans="2:4">
      <c r="B150" s="259" t="s">
        <v>396</v>
      </c>
      <c r="C150" s="298" t="str">
        <f>Market_currency</f>
        <v>CNY</v>
      </c>
      <c r="D150" s="298" t="str">
        <f>IF($D$11="","",D$13)</f>
        <v/>
      </c>
    </row>
    <row r="151" spans="2:4">
      <c r="B151" s="214" t="s">
        <v>258</v>
      </c>
      <c r="C151" s="92">
        <f>Scenarios!F83</f>
        <v>0.62608164668364208</v>
      </c>
    </row>
    <row r="153" spans="2:4">
      <c r="B153" s="210" t="s">
        <v>391</v>
      </c>
    </row>
    <row r="154" spans="2:4">
      <c r="B154" s="1" t="s">
        <v>390</v>
      </c>
      <c r="C154" s="297">
        <f>Scenarios!C90</f>
        <v>0.3</v>
      </c>
    </row>
    <row r="155" spans="2:4">
      <c r="B155" s="212" t="str">
        <f>"PV("&amp;C141&amp;" yrs of Dividends)"</f>
        <v>PV(3 yrs of Dividends)</v>
      </c>
      <c r="C155" s="216">
        <f>Scenarios!C91</f>
        <v>0.65380063723259008</v>
      </c>
    </row>
    <row r="156" spans="2:4">
      <c r="B156" s="212" t="str">
        <f>"+ PV(Equity Value realized at year "&amp;C141&amp;")"</f>
        <v>+ PV(Equity Value realized at year 3)</v>
      </c>
      <c r="C156" s="216">
        <f>Scenarios!C92</f>
        <v>5.3307748005755871</v>
      </c>
    </row>
    <row r="157" spans="2:4">
      <c r="B157" s="80" t="s">
        <v>256</v>
      </c>
      <c r="C157" s="215">
        <f>Scenarios!C93</f>
        <v>5.9845754378081768</v>
      </c>
      <c r="D157" s="300" t="str">
        <f>IF($D$11="","",C157*$E$25)</f>
        <v/>
      </c>
    </row>
    <row r="158" spans="2:4">
      <c r="B158" s="259" t="s">
        <v>396</v>
      </c>
      <c r="C158" s="298" t="str">
        <f>Market_currency</f>
        <v>CNY</v>
      </c>
      <c r="D158" s="298" t="str">
        <f>IF($D$11="","",D$13)</f>
        <v/>
      </c>
    </row>
    <row r="159" spans="2:4">
      <c r="B159" s="214" t="s">
        <v>258</v>
      </c>
      <c r="C159" s="92">
        <f>Scenarios!F93</f>
        <v>0.48900935091534037</v>
      </c>
    </row>
    <row r="161" spans="2:4">
      <c r="B161" s="210" t="s">
        <v>381</v>
      </c>
    </row>
    <row r="162" spans="2:4">
      <c r="B162" s="1" t="s">
        <v>389</v>
      </c>
      <c r="C162" s="92">
        <f>Scenarios!C96</f>
        <v>7.4999999999999997E-2</v>
      </c>
    </row>
    <row r="163" spans="2:4">
      <c r="B163" s="212" t="str">
        <f>"PV("&amp;C141&amp;" yrs of Dividends)"</f>
        <v>PV(3 yrs of Dividends)</v>
      </c>
      <c r="C163" s="216">
        <f>Scenarios!C97</f>
        <v>0.93618926635390565</v>
      </c>
    </row>
    <row r="164" spans="2:4">
      <c r="B164" s="212" t="str">
        <f>"+ PV(Equity Value realized at year "&amp;C141&amp;")"</f>
        <v>+ PV(Equity Value realized at year 3)</v>
      </c>
      <c r="C164" s="216">
        <f>Scenarios!C98</f>
        <v>9.427466552119089</v>
      </c>
    </row>
    <row r="165" spans="2:4">
      <c r="B165" s="80" t="s">
        <v>382</v>
      </c>
      <c r="C165" s="215">
        <f>Scenarios!C99</f>
        <v>10.363655818472994</v>
      </c>
      <c r="D165" s="300" t="str">
        <f>IF($D$11="","",C165*$E$25)</f>
        <v/>
      </c>
    </row>
    <row r="166" spans="2:4">
      <c r="B166" s="259" t="s">
        <v>396</v>
      </c>
      <c r="C166" s="298" t="str">
        <f>Market_currency</f>
        <v>CNY</v>
      </c>
      <c r="D166" s="298" t="str">
        <f>IF($D$11="","",D$13)</f>
        <v/>
      </c>
    </row>
    <row r="167" spans="2:4">
      <c r="B167" s="214" t="s">
        <v>258</v>
      </c>
      <c r="C167" s="92">
        <f>Scenarios!F99</f>
        <v>0.11510327363989881</v>
      </c>
    </row>
    <row r="169" spans="2:4">
      <c r="B169" s="210" t="s">
        <v>409</v>
      </c>
    </row>
    <row r="170" spans="2:4">
      <c r="B170" s="1" t="s">
        <v>400</v>
      </c>
      <c r="C170" s="92">
        <f>F32</f>
        <v>8.6999999999999994E-2</v>
      </c>
    </row>
    <row r="171" spans="2:4">
      <c r="B171" s="212" t="str">
        <f>"PV("&amp;C141&amp;" yrs of Dividends)"</f>
        <v>PV(3 yrs of Dividends)</v>
      </c>
      <c r="C171" s="216">
        <f>Scenarios!C103</f>
        <v>0.91616042104176609</v>
      </c>
    </row>
    <row r="172" spans="2:4">
      <c r="B172" s="212" t="str">
        <f>"+ PV(Equity Value realized at year "&amp;C141&amp;")"</f>
        <v>+ PV(Equity Value realized at year 3)</v>
      </c>
      <c r="C172" s="216">
        <f>Scenarios!C104</f>
        <v>9.118675493470155</v>
      </c>
    </row>
    <row r="173" spans="2:4">
      <c r="B173" s="80" t="s">
        <v>382</v>
      </c>
      <c r="C173" s="215">
        <f>Scenarios!C105</f>
        <v>10.034835914511921</v>
      </c>
      <c r="D173" s="300" t="str">
        <f>IF($D$11="","",C173*$E$25)</f>
        <v/>
      </c>
    </row>
    <row r="174" spans="2:4">
      <c r="B174" s="259" t="s">
        <v>396</v>
      </c>
      <c r="C174" s="298" t="str">
        <f>Market_currency</f>
        <v>CNY</v>
      </c>
      <c r="D174" s="298" t="str">
        <f>IF($D$11="","",D$13)</f>
        <v/>
      </c>
    </row>
    <row r="175" spans="2:4">
      <c r="B175" s="214" t="s">
        <v>258</v>
      </c>
      <c r="C175" s="92">
        <f>Scenarios!F105</f>
        <v>0.14404564603873704</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9304036682</v>
      </c>
      <c r="D4" s="351">
        <v>10083626566</v>
      </c>
      <c r="E4" s="351">
        <v>10236379917</v>
      </c>
      <c r="F4" s="351">
        <v>10714557474</v>
      </c>
      <c r="G4" s="351">
        <v>10339544971</v>
      </c>
      <c r="H4" s="351">
        <v>11258180127</v>
      </c>
      <c r="I4" s="351">
        <v>11512673967</v>
      </c>
      <c r="J4" s="351">
        <v>13306047614</v>
      </c>
      <c r="K4" s="351">
        <v>12775837643</v>
      </c>
      <c r="L4" s="351">
        <v>11601620038</v>
      </c>
      <c r="M4" s="351"/>
    </row>
    <row r="5" spans="2:13">
      <c r="B5" s="40" t="s">
        <v>41</v>
      </c>
      <c r="C5" s="351">
        <v>5676944377</v>
      </c>
      <c r="D5" s="351">
        <v>5916816097</v>
      </c>
      <c r="E5" s="351">
        <v>6311388363</v>
      </c>
      <c r="F5" s="351">
        <v>6550446555</v>
      </c>
      <c r="G5" s="351">
        <v>6394029156</v>
      </c>
      <c r="H5" s="351">
        <v>7367488537</v>
      </c>
      <c r="I5" s="351">
        <v>7224602455</v>
      </c>
      <c r="J5" s="351">
        <v>8540494147</v>
      </c>
      <c r="K5" s="351">
        <v>7781713253</v>
      </c>
      <c r="L5" s="351">
        <v>7483557979</v>
      </c>
      <c r="M5" s="351"/>
    </row>
    <row r="6" spans="2:13">
      <c r="B6" s="40" t="s">
        <v>52</v>
      </c>
      <c r="C6" s="351">
        <v>2587076947</v>
      </c>
      <c r="D6" s="351">
        <v>2472052826</v>
      </c>
      <c r="E6" s="351">
        <v>2474489551</v>
      </c>
      <c r="F6" s="351">
        <v>2654508105</v>
      </c>
      <c r="G6" s="351">
        <v>1974885174</v>
      </c>
      <c r="H6" s="351">
        <v>1837469000</v>
      </c>
      <c r="I6" s="351">
        <v>1855864520</v>
      </c>
      <c r="J6" s="351">
        <v>3107662903</v>
      </c>
      <c r="K6" s="351">
        <v>3565289873</v>
      </c>
      <c r="L6" s="351">
        <v>2862797189</v>
      </c>
      <c r="M6" s="351"/>
    </row>
    <row r="7" spans="2:13">
      <c r="B7" s="69" t="s">
        <v>59</v>
      </c>
      <c r="C7" s="352">
        <v>775878829</v>
      </c>
      <c r="D7" s="352">
        <v>812050107</v>
      </c>
      <c r="E7" s="352">
        <v>922966476</v>
      </c>
      <c r="F7" s="352">
        <v>1146157898</v>
      </c>
      <c r="G7" s="352">
        <v>634916493</v>
      </c>
      <c r="H7" s="352">
        <v>595595416</v>
      </c>
      <c r="I7" s="352">
        <v>678292721</v>
      </c>
      <c r="J7" s="352">
        <v>1085064842</v>
      </c>
      <c r="K7" s="352">
        <v>1910926978</v>
      </c>
      <c r="L7" s="352">
        <v>1707428207</v>
      </c>
      <c r="M7" s="352"/>
    </row>
    <row r="8" spans="2:13">
      <c r="B8" s="40" t="s">
        <v>47</v>
      </c>
      <c r="C8" s="351">
        <v>218971112</v>
      </c>
      <c r="D8" s="351">
        <v>230826900</v>
      </c>
      <c r="E8" s="351">
        <v>251189350</v>
      </c>
      <c r="F8" s="351">
        <v>238378620</v>
      </c>
      <c r="G8" s="351">
        <v>208413520</v>
      </c>
      <c r="H8" s="351">
        <v>390411956</v>
      </c>
      <c r="I8" s="351">
        <v>833049901</v>
      </c>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127330087</v>
      </c>
      <c r="D12" s="351">
        <v>145285501</v>
      </c>
      <c r="E12" s="351">
        <v>161564792</v>
      </c>
      <c r="F12" s="351">
        <v>169466694</v>
      </c>
      <c r="G12" s="351">
        <v>139996345</v>
      </c>
      <c r="H12" s="351">
        <v>156549769</v>
      </c>
      <c r="I12" s="351">
        <v>87319034</v>
      </c>
      <c r="J12" s="351"/>
      <c r="K12" s="351"/>
      <c r="L12" s="351"/>
      <c r="M12" s="351"/>
    </row>
    <row r="13" spans="2:13">
      <c r="B13" s="40" t="s">
        <v>65</v>
      </c>
      <c r="C13" s="351">
        <v>282045305</v>
      </c>
      <c r="D13" s="351">
        <v>408337182</v>
      </c>
      <c r="E13" s="351">
        <v>577191429</v>
      </c>
      <c r="F13" s="351">
        <v>441101398</v>
      </c>
      <c r="G13" s="351">
        <v>264423586</v>
      </c>
      <c r="H13" s="351">
        <v>197905422</v>
      </c>
      <c r="I13" s="351">
        <v>115750108</v>
      </c>
      <c r="J13" s="351"/>
      <c r="K13" s="351"/>
      <c r="L13" s="351"/>
      <c r="M13" s="351"/>
    </row>
    <row r="14" spans="2:13">
      <c r="B14" s="40" t="s">
        <v>48</v>
      </c>
      <c r="C14" s="351">
        <v>399466141</v>
      </c>
      <c r="D14" s="351">
        <v>-245723033</v>
      </c>
      <c r="E14" s="351">
        <v>42708255</v>
      </c>
      <c r="F14" s="351">
        <v>256010400</v>
      </c>
      <c r="G14" s="351">
        <v>87059787</v>
      </c>
      <c r="H14" s="351">
        <v>55904457</v>
      </c>
      <c r="I14" s="351">
        <v>94528010</v>
      </c>
      <c r="J14" s="351">
        <v>46504665</v>
      </c>
      <c r="K14" s="351">
        <v>88878250</v>
      </c>
      <c r="L14" s="351">
        <v>58244331</v>
      </c>
      <c r="M14" s="351"/>
    </row>
    <row r="15" spans="2:13">
      <c r="B15" s="43" t="s">
        <v>40</v>
      </c>
      <c r="C15" s="353">
        <v>783228215</v>
      </c>
      <c r="D15" s="353">
        <v>1954193845</v>
      </c>
      <c r="E15" s="353">
        <v>1916546670</v>
      </c>
      <c r="F15" s="353">
        <v>2050300759</v>
      </c>
      <c r="G15" s="353">
        <v>1830124141</v>
      </c>
      <c r="H15" s="353">
        <v>1731358283</v>
      </c>
      <c r="I15" s="353">
        <v>1626252473</v>
      </c>
      <c r="J15" s="353">
        <v>1452046692</v>
      </c>
      <c r="K15" s="353">
        <v>1279739173</v>
      </c>
      <c r="L15" s="353">
        <v>1161959682</v>
      </c>
      <c r="M15" s="353"/>
    </row>
    <row r="16" spans="2:13">
      <c r="B16" s="28" t="s">
        <v>42</v>
      </c>
      <c r="C16" s="351">
        <v>38841055</v>
      </c>
      <c r="D16" s="351">
        <v>-12469089</v>
      </c>
      <c r="E16" s="351">
        <v>-13791461</v>
      </c>
      <c r="F16" s="351">
        <v>6877210</v>
      </c>
      <c r="G16" s="351">
        <v>24515876</v>
      </c>
      <c r="H16" s="351">
        <v>5877927</v>
      </c>
      <c r="I16" s="351">
        <v>7143161</v>
      </c>
      <c r="J16" s="351">
        <v>305152</v>
      </c>
      <c r="K16" s="351">
        <v>-14934895</v>
      </c>
      <c r="L16" s="351">
        <v>104004453</v>
      </c>
      <c r="M16" s="351"/>
    </row>
    <row r="18" spans="2:13">
      <c r="B18" s="16" t="s">
        <v>49</v>
      </c>
      <c r="C18" s="9"/>
    </row>
    <row r="19" spans="2:13">
      <c r="B19" s="27" t="s">
        <v>45</v>
      </c>
      <c r="C19" s="351">
        <v>304213708</v>
      </c>
      <c r="D19" s="351">
        <v>284765003</v>
      </c>
      <c r="E19" s="351">
        <v>280160892</v>
      </c>
      <c r="F19" s="351">
        <v>262044527</v>
      </c>
      <c r="G19" s="351">
        <v>233520143</v>
      </c>
      <c r="H19" s="351">
        <v>241901529</v>
      </c>
      <c r="I19" s="351">
        <v>213366792</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401377348</v>
      </c>
      <c r="D22" s="351">
        <v>1956255182</v>
      </c>
      <c r="E22" s="351">
        <v>2083950094</v>
      </c>
      <c r="F22" s="351">
        <v>1804027448</v>
      </c>
      <c r="G22" s="351">
        <v>2770158153</v>
      </c>
      <c r="H22" s="351">
        <v>2326723445</v>
      </c>
      <c r="I22" s="351">
        <v>2605766691</v>
      </c>
      <c r="J22" s="351">
        <v>1503187129</v>
      </c>
      <c r="K22" s="351">
        <v>2357234262</v>
      </c>
      <c r="L22" s="351">
        <v>1011750597</v>
      </c>
      <c r="M22" s="351"/>
    </row>
    <row r="23" spans="2:13">
      <c r="B23" s="27" t="s">
        <v>356</v>
      </c>
      <c r="C23" s="351">
        <v>-5702735165</v>
      </c>
      <c r="D23" s="351">
        <v>-2481866338</v>
      </c>
      <c r="E23" s="351">
        <v>474401567</v>
      </c>
      <c r="F23" s="351">
        <v>1138014522</v>
      </c>
      <c r="G23" s="351">
        <v>-2480713998</v>
      </c>
      <c r="H23" s="351">
        <v>1129192930</v>
      </c>
      <c r="I23" s="351">
        <v>-2458554273</v>
      </c>
      <c r="J23" s="351">
        <v>-2519375006</v>
      </c>
      <c r="K23" s="351">
        <v>-1120642674</v>
      </c>
      <c r="L23" s="351">
        <v>-922976904</v>
      </c>
      <c r="M23" s="351"/>
    </row>
    <row r="24" spans="2:13">
      <c r="B24" s="27" t="s">
        <v>355</v>
      </c>
      <c r="C24" s="351">
        <v>-1440890089</v>
      </c>
      <c r="D24" s="351">
        <v>-859747503</v>
      </c>
      <c r="E24" s="351">
        <v>-291365390</v>
      </c>
      <c r="F24" s="351">
        <v>-848504375</v>
      </c>
      <c r="G24" s="351">
        <v>-215048943</v>
      </c>
      <c r="H24" s="351">
        <v>-2175532336</v>
      </c>
      <c r="I24" s="351">
        <v>1191203049</v>
      </c>
      <c r="J24" s="351">
        <v>571517672</v>
      </c>
      <c r="K24" s="351">
        <v>-353867404</v>
      </c>
      <c r="L24" s="351">
        <v>1755067231</v>
      </c>
      <c r="M24" s="351"/>
    </row>
    <row r="25" spans="2:13">
      <c r="B25" s="24" t="str">
        <f>"Dividend per share ("&amp;Market_currency&amp;")"</f>
        <v>Dividend per share (CNY)</v>
      </c>
      <c r="C25" s="39">
        <f>4/10</f>
        <v>0.4</v>
      </c>
      <c r="D25" s="39">
        <f>7.8/10</f>
        <v>0.78</v>
      </c>
      <c r="E25" s="39">
        <f>7.5/10</f>
        <v>0.75</v>
      </c>
      <c r="F25" s="39">
        <f>6.8/10</f>
        <v>0.67999999999999994</v>
      </c>
      <c r="G25" s="39"/>
      <c r="H25" s="39"/>
      <c r="I25" s="39"/>
      <c r="J25" s="39"/>
      <c r="K25" s="39"/>
      <c r="L25" s="39"/>
      <c r="M25" s="39"/>
    </row>
    <row r="27" spans="2:13">
      <c r="B27" s="16" t="s">
        <v>26</v>
      </c>
      <c r="C27" s="97" t="s">
        <v>559</v>
      </c>
    </row>
    <row r="28" spans="2:13">
      <c r="B28" s="26" t="s">
        <v>22</v>
      </c>
      <c r="C28" s="333">
        <f>BS!C4</f>
        <v>1910217201.7599998</v>
      </c>
      <c r="D28" s="351">
        <v>834568719</v>
      </c>
      <c r="E28" s="351">
        <v>1061824178</v>
      </c>
      <c r="F28" s="351">
        <v>925201481</v>
      </c>
      <c r="G28" s="351">
        <v>854194501</v>
      </c>
      <c r="H28" s="351">
        <v>1181367947</v>
      </c>
      <c r="I28" s="351">
        <v>1188191051</v>
      </c>
      <c r="J28" s="351">
        <v>1801027889</v>
      </c>
      <c r="K28" s="351">
        <v>1423555374</v>
      </c>
      <c r="L28" s="351">
        <v>2019329272</v>
      </c>
      <c r="M28" s="351"/>
    </row>
    <row r="29" spans="2:13">
      <c r="B29" s="26" t="s">
        <v>30</v>
      </c>
      <c r="C29" s="333">
        <f>BS!C6</f>
        <v>1152244678.0699999</v>
      </c>
      <c r="D29" s="351">
        <v>959867234</v>
      </c>
      <c r="E29" s="351">
        <v>1086298738</v>
      </c>
      <c r="F29" s="351">
        <v>1224714311</v>
      </c>
      <c r="G29" s="351">
        <v>1118318039</v>
      </c>
      <c r="H29" s="351">
        <v>1167338551</v>
      </c>
      <c r="I29" s="351">
        <v>1312102814</v>
      </c>
      <c r="J29" s="351">
        <v>1053507533</v>
      </c>
      <c r="K29" s="351">
        <v>1025018847</v>
      </c>
      <c r="L29" s="351">
        <v>940108789</v>
      </c>
      <c r="M29" s="351"/>
    </row>
    <row r="30" spans="2:13">
      <c r="B30" s="29" t="s">
        <v>38</v>
      </c>
      <c r="C30" s="334">
        <f>BS!C33+BS!C42</f>
        <v>12382480837.01</v>
      </c>
      <c r="D30" s="353">
        <v>10670434743</v>
      </c>
      <c r="E30" s="353">
        <v>11040803287</v>
      </c>
      <c r="F30" s="353">
        <v>9869570784</v>
      </c>
      <c r="G30" s="353">
        <v>9001654126</v>
      </c>
      <c r="H30" s="353">
        <v>8576109791</v>
      </c>
      <c r="I30" s="353">
        <v>10230716015</v>
      </c>
      <c r="J30" s="353">
        <v>8088092587</v>
      </c>
      <c r="K30" s="353">
        <v>7643685931</v>
      </c>
      <c r="L30" s="353">
        <v>7296360629</v>
      </c>
      <c r="M30" s="353"/>
    </row>
    <row r="31" spans="2:13">
      <c r="B31" s="29" t="s">
        <v>28</v>
      </c>
      <c r="C31" s="334">
        <f>BS!G27</f>
        <v>18209329117.190002</v>
      </c>
      <c r="D31" s="353">
        <v>18619255819</v>
      </c>
      <c r="E31" s="353">
        <v>17690189005</v>
      </c>
      <c r="F31" s="353">
        <v>16697566222</v>
      </c>
      <c r="G31" s="353">
        <v>15368696907</v>
      </c>
      <c r="H31" s="353">
        <v>14238226833</v>
      </c>
      <c r="I31" s="353">
        <v>13494814071</v>
      </c>
      <c r="J31" s="353">
        <v>12392566731</v>
      </c>
      <c r="K31" s="353">
        <v>11212733584</v>
      </c>
      <c r="L31" s="353">
        <v>10310906068</v>
      </c>
      <c r="M31" s="353"/>
    </row>
    <row r="32" spans="2:13">
      <c r="B32" s="26" t="s">
        <v>168</v>
      </c>
      <c r="C32" s="333">
        <f>BS!G28</f>
        <v>337582462.13999999</v>
      </c>
      <c r="D32" s="351">
        <v>183358225</v>
      </c>
      <c r="E32" s="351">
        <v>204627353</v>
      </c>
      <c r="F32" s="351">
        <v>244147889</v>
      </c>
      <c r="G32" s="351">
        <v>209715743</v>
      </c>
      <c r="H32" s="351">
        <v>206701848</v>
      </c>
      <c r="I32" s="351">
        <v>205332329</v>
      </c>
      <c r="J32" s="351">
        <v>199184480</v>
      </c>
      <c r="K32" s="351">
        <v>205687459</v>
      </c>
      <c r="L32" s="351">
        <v>551331945</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9304036682</v>
      </c>
      <c r="D36" s="333">
        <f t="shared" si="1"/>
        <v>10083626566</v>
      </c>
      <c r="E36" s="333">
        <f t="shared" si="1"/>
        <v>10236379917</v>
      </c>
      <c r="F36" s="333">
        <f t="shared" si="1"/>
        <v>10714557474</v>
      </c>
      <c r="G36" s="333">
        <f t="shared" si="1"/>
        <v>10339544971</v>
      </c>
      <c r="H36" s="333">
        <f t="shared" si="1"/>
        <v>11258180127</v>
      </c>
      <c r="I36" s="333">
        <f t="shared" si="1"/>
        <v>11512673967</v>
      </c>
      <c r="J36" s="333">
        <f t="shared" si="1"/>
        <v>13306047614</v>
      </c>
      <c r="K36" s="333">
        <f t="shared" si="1"/>
        <v>12775837643</v>
      </c>
      <c r="L36" s="333">
        <f t="shared" si="1"/>
        <v>11601620038</v>
      </c>
      <c r="M36" s="333" t="str">
        <f t="shared" si="1"/>
        <v/>
      </c>
    </row>
    <row r="37" spans="2:13">
      <c r="B37" s="40" t="s">
        <v>41</v>
      </c>
      <c r="C37" s="333">
        <f t="shared" ref="C37:M37" si="2">IF(C$4="","",-C5)</f>
        <v>-5676944377</v>
      </c>
      <c r="D37" s="333">
        <f t="shared" si="2"/>
        <v>-5916816097</v>
      </c>
      <c r="E37" s="333">
        <f t="shared" si="2"/>
        <v>-6311388363</v>
      </c>
      <c r="F37" s="333">
        <f t="shared" si="2"/>
        <v>-6550446555</v>
      </c>
      <c r="G37" s="333">
        <f t="shared" si="2"/>
        <v>-6394029156</v>
      </c>
      <c r="H37" s="333">
        <f t="shared" si="2"/>
        <v>-7367488537</v>
      </c>
      <c r="I37" s="333">
        <f t="shared" si="2"/>
        <v>-7224602455</v>
      </c>
      <c r="J37" s="333">
        <f t="shared" si="2"/>
        <v>-8540494147</v>
      </c>
      <c r="K37" s="333">
        <f t="shared" si="2"/>
        <v>-7781713253</v>
      </c>
      <c r="L37" s="333">
        <f t="shared" si="2"/>
        <v>-7483557979</v>
      </c>
      <c r="M37" s="333" t="str">
        <f t="shared" si="2"/>
        <v/>
      </c>
    </row>
    <row r="38" spans="2:13">
      <c r="B38" s="31" t="s">
        <v>56</v>
      </c>
      <c r="C38" s="329">
        <f>IF(C36="","",C36+C37)</f>
        <v>3627092305</v>
      </c>
      <c r="D38" s="329">
        <f t="shared" ref="D38" si="3">IF(D36="","",D36+D37)</f>
        <v>4166810469</v>
      </c>
      <c r="E38" s="329">
        <f t="shared" ref="E38" si="4">IF(E36="","",E36+E37)</f>
        <v>3924991554</v>
      </c>
      <c r="F38" s="329">
        <f t="shared" ref="F38" si="5">IF(F36="","",F36+F37)</f>
        <v>4164110919</v>
      </c>
      <c r="G38" s="329">
        <f t="shared" ref="G38" si="6">IF(G36="","",G36+G37)</f>
        <v>3945515815</v>
      </c>
      <c r="H38" s="329">
        <f t="shared" ref="H38" si="7">IF(H36="","",H36+H37)</f>
        <v>3890691590</v>
      </c>
      <c r="I38" s="329">
        <f t="shared" ref="I38" si="8">IF(I36="","",I36+I37)</f>
        <v>4288071512</v>
      </c>
      <c r="J38" s="329">
        <f t="shared" ref="J38" si="9">IF(J36="","",J36+J37)</f>
        <v>4765553467</v>
      </c>
      <c r="K38" s="329">
        <f t="shared" ref="K38" si="10">IF(K36="","",K36+K37)</f>
        <v>4994124390</v>
      </c>
      <c r="L38" s="329">
        <f t="shared" ref="L38" si="11">IF(L36="","",L36+L37)</f>
        <v>4118062059</v>
      </c>
      <c r="M38" s="329" t="str">
        <f t="shared" ref="M38" si="12">IF(M36="","",M36+M37)</f>
        <v/>
      </c>
    </row>
    <row r="39" spans="2:13">
      <c r="B39" s="40" t="s">
        <v>52</v>
      </c>
      <c r="C39" s="333">
        <f t="shared" ref="C39:M39" si="13">IF(C$4="","",-C6)</f>
        <v>-2587076947</v>
      </c>
      <c r="D39" s="333">
        <f t="shared" si="13"/>
        <v>-2472052826</v>
      </c>
      <c r="E39" s="333">
        <f t="shared" si="13"/>
        <v>-2474489551</v>
      </c>
      <c r="F39" s="333">
        <f t="shared" si="13"/>
        <v>-2654508105</v>
      </c>
      <c r="G39" s="333">
        <f t="shared" si="13"/>
        <v>-1974885174</v>
      </c>
      <c r="H39" s="333">
        <f t="shared" si="13"/>
        <v>-1837469000</v>
      </c>
      <c r="I39" s="333">
        <f t="shared" si="13"/>
        <v>-1855864520</v>
      </c>
      <c r="J39" s="333">
        <f t="shared" si="13"/>
        <v>-3107662903</v>
      </c>
      <c r="K39" s="333">
        <f t="shared" si="13"/>
        <v>-3565289873</v>
      </c>
      <c r="L39" s="333">
        <f t="shared" si="13"/>
        <v>-2862797189</v>
      </c>
      <c r="M39" s="333" t="str">
        <f t="shared" si="13"/>
        <v/>
      </c>
    </row>
    <row r="40" spans="2:13">
      <c r="B40" s="69" t="s">
        <v>59</v>
      </c>
      <c r="C40" s="346">
        <f t="shared" ref="C40:M40" si="14">IF(C$4="","",-C7)</f>
        <v>-775878829</v>
      </c>
      <c r="D40" s="346">
        <f t="shared" si="14"/>
        <v>-812050107</v>
      </c>
      <c r="E40" s="346">
        <f t="shared" si="14"/>
        <v>-922966476</v>
      </c>
      <c r="F40" s="346">
        <f t="shared" si="14"/>
        <v>-1146157898</v>
      </c>
      <c r="G40" s="346">
        <f t="shared" si="14"/>
        <v>-634916493</v>
      </c>
      <c r="H40" s="346">
        <f t="shared" si="14"/>
        <v>-595595416</v>
      </c>
      <c r="I40" s="346">
        <f t="shared" si="14"/>
        <v>-678292721</v>
      </c>
      <c r="J40" s="346">
        <f t="shared" si="14"/>
        <v>-1085064842</v>
      </c>
      <c r="K40" s="346">
        <f t="shared" si="14"/>
        <v>-1910926978</v>
      </c>
      <c r="L40" s="346">
        <f t="shared" si="14"/>
        <v>-1707428207</v>
      </c>
      <c r="M40" s="346" t="str">
        <f t="shared" si="14"/>
        <v/>
      </c>
    </row>
    <row r="41" spans="2:13">
      <c r="B41" s="69" t="s">
        <v>62</v>
      </c>
      <c r="C41" s="346">
        <f>IF(C$4="","",C39-C40)</f>
        <v>-1811198118</v>
      </c>
      <c r="D41" s="346">
        <f t="shared" ref="D41:M41" si="15">IF(D$4="","",D39-D40)</f>
        <v>-1660002719</v>
      </c>
      <c r="E41" s="346">
        <f t="shared" si="15"/>
        <v>-1551523075</v>
      </c>
      <c r="F41" s="346">
        <f t="shared" si="15"/>
        <v>-1508350207</v>
      </c>
      <c r="G41" s="346">
        <f t="shared" si="15"/>
        <v>-1339968681</v>
      </c>
      <c r="H41" s="346">
        <f t="shared" si="15"/>
        <v>-1241873584</v>
      </c>
      <c r="I41" s="346">
        <f t="shared" si="15"/>
        <v>-1177571799</v>
      </c>
      <c r="J41" s="346">
        <f t="shared" si="15"/>
        <v>-2022598061</v>
      </c>
      <c r="K41" s="346">
        <f t="shared" si="15"/>
        <v>-1654362895</v>
      </c>
      <c r="L41" s="346">
        <f t="shared" si="15"/>
        <v>-1155368982</v>
      </c>
      <c r="M41" s="346" t="str">
        <f t="shared" si="15"/>
        <v/>
      </c>
    </row>
    <row r="42" spans="2:13">
      <c r="B42" s="40" t="s">
        <v>47</v>
      </c>
      <c r="C42" s="333">
        <f t="shared" ref="C42:M42" si="16">IF(C$4="","",-C8)</f>
        <v>-218971112</v>
      </c>
      <c r="D42" s="333">
        <f t="shared" si="16"/>
        <v>-230826900</v>
      </c>
      <c r="E42" s="333">
        <f t="shared" si="16"/>
        <v>-251189350</v>
      </c>
      <c r="F42" s="333">
        <f t="shared" si="16"/>
        <v>-238378620</v>
      </c>
      <c r="G42" s="333">
        <f t="shared" si="16"/>
        <v>-208413520</v>
      </c>
      <c r="H42" s="333">
        <f t="shared" si="16"/>
        <v>-390411956</v>
      </c>
      <c r="I42" s="333">
        <f t="shared" si="16"/>
        <v>-833049901</v>
      </c>
      <c r="J42" s="333">
        <f t="shared" si="16"/>
        <v>0</v>
      </c>
      <c r="K42" s="333">
        <f t="shared" si="16"/>
        <v>0</v>
      </c>
      <c r="L42" s="333">
        <f t="shared" si="16"/>
        <v>0</v>
      </c>
      <c r="M42" s="333" t="str">
        <f t="shared" si="16"/>
        <v/>
      </c>
    </row>
    <row r="43" spans="2:13">
      <c r="B43" s="43" t="s">
        <v>148</v>
      </c>
      <c r="C43" s="334">
        <f>IF(C$4="","",C38+C39+C42)</f>
        <v>821044246</v>
      </c>
      <c r="D43" s="334">
        <f t="shared" ref="D43:M43" si="17">IF(D$4="","",D38+D39+D42)</f>
        <v>1463930743</v>
      </c>
      <c r="E43" s="334">
        <f t="shared" si="17"/>
        <v>1199312653</v>
      </c>
      <c r="F43" s="334">
        <f t="shared" si="17"/>
        <v>1271224194</v>
      </c>
      <c r="G43" s="334">
        <f t="shared" si="17"/>
        <v>1762217121</v>
      </c>
      <c r="H43" s="334">
        <f t="shared" si="17"/>
        <v>1662810634</v>
      </c>
      <c r="I43" s="334">
        <f t="shared" si="17"/>
        <v>1599157091</v>
      </c>
      <c r="J43" s="334">
        <f t="shared" si="17"/>
        <v>1657890564</v>
      </c>
      <c r="K43" s="334">
        <f t="shared" si="17"/>
        <v>1428834517</v>
      </c>
      <c r="L43" s="334">
        <f t="shared" si="17"/>
        <v>1255264870</v>
      </c>
      <c r="M43" s="334" t="str">
        <f t="shared" si="17"/>
        <v/>
      </c>
    </row>
    <row r="44" spans="2:13">
      <c r="B44" s="43" t="s">
        <v>164</v>
      </c>
      <c r="C44" s="354">
        <f t="shared" ref="C44:M44" si="18">IF(C$4="","",C47-C46-C45-C43)</f>
        <v>206934892</v>
      </c>
      <c r="D44" s="354">
        <f t="shared" si="18"/>
        <v>-18511612</v>
      </c>
      <c r="E44" s="354">
        <f t="shared" si="18"/>
        <v>344315635</v>
      </c>
      <c r="F44" s="354">
        <f t="shared" si="18"/>
        <v>763452261</v>
      </c>
      <c r="G44" s="354">
        <f t="shared" si="18"/>
        <v>30539566</v>
      </c>
      <c r="H44" s="354">
        <f t="shared" si="18"/>
        <v>83096453</v>
      </c>
      <c r="I44" s="354">
        <f t="shared" si="18"/>
        <v>93192318</v>
      </c>
      <c r="J44" s="354">
        <f t="shared" si="18"/>
        <v>-159339207</v>
      </c>
      <c r="K44" s="354">
        <f t="shared" si="18"/>
        <v>-60217094</v>
      </c>
      <c r="L44" s="354">
        <f t="shared" si="18"/>
        <v>-35060857</v>
      </c>
      <c r="M44" s="354" t="str">
        <f t="shared" si="18"/>
        <v/>
      </c>
    </row>
    <row r="45" spans="2:13">
      <c r="B45" s="40" t="s">
        <v>66</v>
      </c>
      <c r="C45" s="349">
        <f t="shared" ref="C45:M45" si="19">IF(C$4="","",C51+C52)</f>
        <v>154715218</v>
      </c>
      <c r="D45" s="349">
        <f t="shared" si="19"/>
        <v>263051681</v>
      </c>
      <c r="E45" s="349">
        <f t="shared" si="19"/>
        <v>415626637</v>
      </c>
      <c r="F45" s="349">
        <f t="shared" si="19"/>
        <v>271634704</v>
      </c>
      <c r="G45" s="349">
        <f t="shared" si="19"/>
        <v>124427241</v>
      </c>
      <c r="H45" s="349">
        <f t="shared" si="19"/>
        <v>41355653</v>
      </c>
      <c r="I45" s="349">
        <f t="shared" si="19"/>
        <v>28431074</v>
      </c>
      <c r="J45" s="349">
        <f t="shared" si="19"/>
        <v>0</v>
      </c>
      <c r="K45" s="349">
        <f t="shared" si="19"/>
        <v>0</v>
      </c>
      <c r="L45" s="349">
        <f t="shared" si="19"/>
        <v>0</v>
      </c>
      <c r="M45" s="349" t="str">
        <f t="shared" si="19"/>
        <v/>
      </c>
    </row>
    <row r="46" spans="2:13">
      <c r="B46" s="40" t="s">
        <v>48</v>
      </c>
      <c r="C46" s="333">
        <f t="shared" ref="C46:M46" si="20">IF(C$4="","",-C14)</f>
        <v>-399466141</v>
      </c>
      <c r="D46" s="333">
        <f t="shared" si="20"/>
        <v>245723033</v>
      </c>
      <c r="E46" s="333">
        <f t="shared" si="20"/>
        <v>-42708255</v>
      </c>
      <c r="F46" s="333">
        <f t="shared" si="20"/>
        <v>-256010400</v>
      </c>
      <c r="G46" s="333">
        <f t="shared" si="20"/>
        <v>-87059787</v>
      </c>
      <c r="H46" s="333">
        <f t="shared" si="20"/>
        <v>-55904457</v>
      </c>
      <c r="I46" s="333">
        <f t="shared" si="20"/>
        <v>-94528010</v>
      </c>
      <c r="J46" s="333">
        <f t="shared" si="20"/>
        <v>-46504665</v>
      </c>
      <c r="K46" s="333">
        <f t="shared" si="20"/>
        <v>-88878250</v>
      </c>
      <c r="L46" s="333">
        <f t="shared" si="20"/>
        <v>-58244331</v>
      </c>
      <c r="M46" s="333" t="str">
        <f t="shared" si="20"/>
        <v/>
      </c>
    </row>
    <row r="47" spans="2:13">
      <c r="B47" s="43" t="s">
        <v>40</v>
      </c>
      <c r="C47" s="334">
        <f t="shared" ref="C47:M47" si="21">IF(C$4="","",C15)</f>
        <v>783228215</v>
      </c>
      <c r="D47" s="334">
        <f t="shared" si="21"/>
        <v>1954193845</v>
      </c>
      <c r="E47" s="334">
        <f t="shared" si="21"/>
        <v>1916546670</v>
      </c>
      <c r="F47" s="334">
        <f t="shared" si="21"/>
        <v>2050300759</v>
      </c>
      <c r="G47" s="334">
        <f t="shared" si="21"/>
        <v>1830124141</v>
      </c>
      <c r="H47" s="334">
        <f t="shared" si="21"/>
        <v>1731358283</v>
      </c>
      <c r="I47" s="334">
        <f t="shared" si="21"/>
        <v>1626252473</v>
      </c>
      <c r="J47" s="334">
        <f t="shared" si="21"/>
        <v>1452046692</v>
      </c>
      <c r="K47" s="334">
        <f t="shared" si="21"/>
        <v>1279739173</v>
      </c>
      <c r="L47" s="334">
        <f t="shared" si="21"/>
        <v>1161959682</v>
      </c>
      <c r="M47" s="334" t="str">
        <f t="shared" si="21"/>
        <v/>
      </c>
    </row>
    <row r="48" spans="2:13">
      <c r="B48" s="28" t="s">
        <v>42</v>
      </c>
      <c r="C48" s="333">
        <f t="shared" ref="C48:M48" si="22">IF(C$4="","",MIN(-C16,0))</f>
        <v>-38841055</v>
      </c>
      <c r="D48" s="333">
        <f t="shared" si="22"/>
        <v>0</v>
      </c>
      <c r="E48" s="333">
        <f t="shared" si="22"/>
        <v>0</v>
      </c>
      <c r="F48" s="333">
        <f t="shared" si="22"/>
        <v>-6877210</v>
      </c>
      <c r="G48" s="333">
        <f t="shared" si="22"/>
        <v>-24515876</v>
      </c>
      <c r="H48" s="333">
        <f t="shared" si="22"/>
        <v>-5877927</v>
      </c>
      <c r="I48" s="333">
        <f t="shared" si="22"/>
        <v>-7143161</v>
      </c>
      <c r="J48" s="333">
        <f t="shared" si="22"/>
        <v>-305152</v>
      </c>
      <c r="K48" s="333">
        <f t="shared" si="22"/>
        <v>0</v>
      </c>
      <c r="L48" s="333">
        <f t="shared" si="22"/>
        <v>-104004453</v>
      </c>
      <c r="M48" s="333" t="str">
        <f t="shared" si="22"/>
        <v/>
      </c>
    </row>
    <row r="50" spans="2:13">
      <c r="B50" s="16" t="s">
        <v>66</v>
      </c>
    </row>
    <row r="51" spans="2:13">
      <c r="B51" s="40" t="s">
        <v>37</v>
      </c>
      <c r="C51" s="333">
        <f t="shared" ref="C51:M51" si="23">IF(C$4="","",-C12)</f>
        <v>-127330087</v>
      </c>
      <c r="D51" s="333">
        <f t="shared" si="23"/>
        <v>-145285501</v>
      </c>
      <c r="E51" s="333">
        <f t="shared" si="23"/>
        <v>-161564792</v>
      </c>
      <c r="F51" s="333">
        <f t="shared" si="23"/>
        <v>-169466694</v>
      </c>
      <c r="G51" s="333">
        <f t="shared" si="23"/>
        <v>-139996345</v>
      </c>
      <c r="H51" s="333">
        <f t="shared" si="23"/>
        <v>-156549769</v>
      </c>
      <c r="I51" s="333">
        <f t="shared" si="23"/>
        <v>-87319034</v>
      </c>
      <c r="J51" s="333">
        <f t="shared" si="23"/>
        <v>0</v>
      </c>
      <c r="K51" s="333">
        <f t="shared" si="23"/>
        <v>0</v>
      </c>
      <c r="L51" s="333">
        <f t="shared" si="23"/>
        <v>0</v>
      </c>
      <c r="M51" s="333" t="str">
        <f t="shared" si="23"/>
        <v/>
      </c>
    </row>
    <row r="52" spans="2:13">
      <c r="B52" s="40" t="s">
        <v>65</v>
      </c>
      <c r="C52" s="333">
        <f t="shared" ref="C52:M52" si="24">IF(C$4="","",C13)</f>
        <v>282045305</v>
      </c>
      <c r="D52" s="333">
        <f t="shared" si="24"/>
        <v>408337182</v>
      </c>
      <c r="E52" s="333">
        <f t="shared" si="24"/>
        <v>577191429</v>
      </c>
      <c r="F52" s="333">
        <f t="shared" si="24"/>
        <v>441101398</v>
      </c>
      <c r="G52" s="333">
        <f t="shared" si="24"/>
        <v>264423586</v>
      </c>
      <c r="H52" s="333">
        <f t="shared" si="24"/>
        <v>197905422</v>
      </c>
      <c r="I52" s="333">
        <f t="shared" si="24"/>
        <v>115750108</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206934892</v>
      </c>
      <c r="D58" s="349">
        <f t="shared" ref="D58:M58" si="28">IF(D$4="","",D44-D55-D56-D57)</f>
        <v>-18511612</v>
      </c>
      <c r="E58" s="349">
        <f t="shared" si="28"/>
        <v>344315635</v>
      </c>
      <c r="F58" s="349">
        <f t="shared" si="28"/>
        <v>763452261</v>
      </c>
      <c r="G58" s="349">
        <f t="shared" si="28"/>
        <v>30539566</v>
      </c>
      <c r="H58" s="349">
        <f t="shared" si="28"/>
        <v>83096453</v>
      </c>
      <c r="I58" s="349">
        <f t="shared" si="28"/>
        <v>93192318</v>
      </c>
      <c r="J58" s="349">
        <f t="shared" si="28"/>
        <v>-159339207</v>
      </c>
      <c r="K58" s="349">
        <f t="shared" si="28"/>
        <v>-60217094</v>
      </c>
      <c r="L58" s="349">
        <f t="shared" si="28"/>
        <v>-35060857</v>
      </c>
      <c r="M58" s="349" t="str">
        <f t="shared" si="28"/>
        <v/>
      </c>
    </row>
    <row r="60" spans="2:13">
      <c r="B60" s="16" t="s">
        <v>49</v>
      </c>
      <c r="C60" s="9"/>
    </row>
    <row r="61" spans="2:13">
      <c r="B61" s="27" t="s">
        <v>45</v>
      </c>
      <c r="C61" s="333">
        <f>IF(C$4="","",-C19)</f>
        <v>-304213708</v>
      </c>
      <c r="D61" s="333">
        <f t="shared" ref="D61:M61" si="29">IF(D$4="","",-D19)</f>
        <v>-284765003</v>
      </c>
      <c r="E61" s="333">
        <f t="shared" si="29"/>
        <v>-280160892</v>
      </c>
      <c r="F61" s="333">
        <f t="shared" si="29"/>
        <v>-262044527</v>
      </c>
      <c r="G61" s="333">
        <f t="shared" si="29"/>
        <v>-233520143</v>
      </c>
      <c r="H61" s="333">
        <f t="shared" si="29"/>
        <v>-241901529</v>
      </c>
      <c r="I61" s="333">
        <f t="shared" si="29"/>
        <v>-213366792</v>
      </c>
      <c r="J61" s="333">
        <f t="shared" si="29"/>
        <v>0</v>
      </c>
      <c r="K61" s="333">
        <f t="shared" si="29"/>
        <v>0</v>
      </c>
      <c r="L61" s="333">
        <f t="shared" si="29"/>
        <v>0</v>
      </c>
      <c r="M61" s="333" t="str">
        <f t="shared" si="29"/>
        <v/>
      </c>
    </row>
    <row r="62" spans="2:13">
      <c r="B62" s="27" t="s">
        <v>51</v>
      </c>
      <c r="C62" s="333">
        <f>IF(C$4="","",IF(C20=0,C61,-C20))</f>
        <v>-304213708</v>
      </c>
      <c r="D62" s="333">
        <f t="shared" ref="D62:M62" si="30">IF(D$4="","",IF(D20=0,D61,-D20))</f>
        <v>-284765003</v>
      </c>
      <c r="E62" s="333">
        <f t="shared" si="30"/>
        <v>-280160892</v>
      </c>
      <c r="F62" s="333">
        <f t="shared" si="30"/>
        <v>-262044527</v>
      </c>
      <c r="G62" s="333">
        <f t="shared" si="30"/>
        <v>-233520143</v>
      </c>
      <c r="H62" s="333">
        <f t="shared" si="30"/>
        <v>-241901529</v>
      </c>
      <c r="I62" s="333">
        <f t="shared" si="30"/>
        <v>-213366792</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-6742247906</v>
      </c>
      <c r="D64" s="333">
        <f t="shared" ref="D64:M64" si="32">IF(D$4="","",D22+D23+D24)</f>
        <v>-1385358659</v>
      </c>
      <c r="E64" s="333">
        <f t="shared" si="32"/>
        <v>2266986271</v>
      </c>
      <c r="F64" s="333">
        <f t="shared" si="32"/>
        <v>2093537595</v>
      </c>
      <c r="G64" s="333">
        <f t="shared" si="32"/>
        <v>74395212</v>
      </c>
      <c r="H64" s="333">
        <f t="shared" si="32"/>
        <v>1280384039</v>
      </c>
      <c r="I64" s="333">
        <f t="shared" si="32"/>
        <v>1338415467</v>
      </c>
      <c r="J64" s="333">
        <f t="shared" si="32"/>
        <v>-444670205</v>
      </c>
      <c r="K64" s="333">
        <f t="shared" si="32"/>
        <v>882724184</v>
      </c>
      <c r="L64" s="333">
        <f t="shared" si="32"/>
        <v>1843840924</v>
      </c>
      <c r="M64" s="333" t="str">
        <f t="shared" si="32"/>
        <v/>
      </c>
    </row>
    <row r="65" spans="2:13">
      <c r="B65" s="24" t="s">
        <v>34</v>
      </c>
      <c r="C65" s="73">
        <f>IF(C$4="","",C25)</f>
        <v>0.4</v>
      </c>
      <c r="D65" s="73">
        <f t="shared" ref="D65:M65" si="33">IF(D$4="","",D25)</f>
        <v>0.78</v>
      </c>
      <c r="E65" s="73">
        <f t="shared" si="33"/>
        <v>0.75</v>
      </c>
      <c r="F65" s="73">
        <f t="shared" si="33"/>
        <v>0.67999999999999994</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-7.7312450922034648E-2</v>
      </c>
      <c r="D68" s="92">
        <f t="shared" si="34"/>
        <v>-1.4922594925019905E-2</v>
      </c>
      <c r="E68" s="92">
        <f t="shared" si="34"/>
        <v>-4.4628773345081973E-2</v>
      </c>
      <c r="F68" s="92">
        <f t="shared" si="34"/>
        <v>3.6269729862563826E-2</v>
      </c>
      <c r="G68" s="92">
        <f t="shared" si="34"/>
        <v>-8.159712721213952E-2</v>
      </c>
      <c r="H68" s="92">
        <f t="shared" si="34"/>
        <v>-2.2105536969906581E-2</v>
      </c>
      <c r="I68" s="92">
        <f t="shared" si="34"/>
        <v>-0.13477883884265496</v>
      </c>
      <c r="J68" s="92">
        <f t="shared" si="34"/>
        <v>4.1500994753992382E-2</v>
      </c>
      <c r="K68" s="92">
        <f t="shared" si="34"/>
        <v>0.10121152055953919</v>
      </c>
      <c r="L68" s="92" t="str">
        <f t="shared" si="34"/>
        <v/>
      </c>
      <c r="M68" s="92" t="str">
        <f t="shared" si="34"/>
        <v/>
      </c>
    </row>
    <row r="69" spans="2:13">
      <c r="B69" s="31" t="s">
        <v>56</v>
      </c>
      <c r="C69" s="92">
        <f>IF(D$36="","",C38/D38-1)</f>
        <v>-0.12952788902095846</v>
      </c>
      <c r="D69" s="92">
        <f t="shared" ref="D69:M69" si="35">IF(E$36="","",D38/E38-1)</f>
        <v>6.1610047225085118E-2</v>
      </c>
      <c r="E69" s="92">
        <f t="shared" si="35"/>
        <v>-5.7423870221358975E-2</v>
      </c>
      <c r="F69" s="92">
        <f t="shared" si="35"/>
        <v>5.5403428664244192E-2</v>
      </c>
      <c r="G69" s="92">
        <f t="shared" si="35"/>
        <v>1.4091125891579681E-2</v>
      </c>
      <c r="H69" s="92">
        <f t="shared" si="35"/>
        <v>-9.2671010939987308E-2</v>
      </c>
      <c r="I69" s="92">
        <f t="shared" si="35"/>
        <v>-0.10019443875856526</v>
      </c>
      <c r="J69" s="92">
        <f t="shared" si="35"/>
        <v>-4.5767967545558119E-2</v>
      </c>
      <c r="K69" s="92">
        <f t="shared" si="35"/>
        <v>0.21273655385677626</v>
      </c>
      <c r="L69" s="92" t="str">
        <f t="shared" si="35"/>
        <v/>
      </c>
      <c r="M69" s="92" t="str">
        <f t="shared" si="35"/>
        <v/>
      </c>
    </row>
    <row r="70" spans="2:13">
      <c r="B70" s="80" t="str">
        <f>B43</f>
        <v>Operating EBIT</v>
      </c>
      <c r="C70" s="101">
        <f>IF(D$36="","",C43/D43-1)</f>
        <v>-0.43915089567867627</v>
      </c>
      <c r="D70" s="101">
        <f t="shared" ref="D70:M70" si="36">IF(E$36="","",D43/E43-1)</f>
        <v>0.22064145603573482</v>
      </c>
      <c r="E70" s="101">
        <f t="shared" si="36"/>
        <v>-5.656873220271641E-2</v>
      </c>
      <c r="F70" s="101">
        <f t="shared" si="36"/>
        <v>-0.27862226575200777</v>
      </c>
      <c r="G70" s="101">
        <f t="shared" si="36"/>
        <v>5.9782205482335149E-2</v>
      </c>
      <c r="H70" s="101">
        <f t="shared" si="36"/>
        <v>3.9804434072324701E-2</v>
      </c>
      <c r="I70" s="101">
        <f t="shared" si="36"/>
        <v>-3.542662843697808E-2</v>
      </c>
      <c r="J70" s="101">
        <f t="shared" si="36"/>
        <v>0.16030970995922544</v>
      </c>
      <c r="K70" s="101">
        <f t="shared" si="36"/>
        <v>0.13827332473663501</v>
      </c>
      <c r="L70" s="101" t="str">
        <f t="shared" si="36"/>
        <v/>
      </c>
      <c r="M70" s="101" t="str">
        <f t="shared" si="36"/>
        <v/>
      </c>
    </row>
    <row r="71" spans="2:13">
      <c r="B71" s="43" t="s">
        <v>164</v>
      </c>
      <c r="C71" s="101">
        <f>IF(D$36="","",C44/D44-1)</f>
        <v>-12.178653269094015</v>
      </c>
      <c r="D71" s="101">
        <f t="shared" ref="D71:M71" si="37">IF(E$36="","",D44/E44-1)</f>
        <v>-1.0537634952301831</v>
      </c>
      <c r="E71" s="101">
        <f t="shared" si="37"/>
        <v>-0.54900174825731507</v>
      </c>
      <c r="F71" s="101">
        <f t="shared" si="37"/>
        <v>23.998792091544459</v>
      </c>
      <c r="G71" s="101">
        <f t="shared" si="37"/>
        <v>-0.63248051032936381</v>
      </c>
      <c r="H71" s="101">
        <f t="shared" si="37"/>
        <v>-0.10833366115005316</v>
      </c>
      <c r="I71" s="101">
        <f t="shared" si="37"/>
        <v>-1.5848674645406011</v>
      </c>
      <c r="J71" s="101">
        <f t="shared" si="37"/>
        <v>1.6460793176103783</v>
      </c>
      <c r="K71" s="101">
        <f t="shared" si="37"/>
        <v>0.71750205649565268</v>
      </c>
      <c r="L71" s="101" t="str">
        <f t="shared" si="37"/>
        <v/>
      </c>
      <c r="M71" s="101" t="str">
        <f t="shared" si="37"/>
        <v/>
      </c>
    </row>
    <row r="72" spans="2:13">
      <c r="B72" s="80" t="str">
        <f>B47</f>
        <v>Reported Net Income</v>
      </c>
      <c r="C72" s="101">
        <f>IF(D$36="","",C47/D47-1)</f>
        <v>-0.5992064876245683</v>
      </c>
      <c r="D72" s="101">
        <f t="shared" ref="D72:M72" si="38">IF(E$36="","",D47/E47-1)</f>
        <v>1.9643234150932498E-2</v>
      </c>
      <c r="E72" s="101">
        <f t="shared" si="38"/>
        <v>-6.5236326140383549E-2</v>
      </c>
      <c r="F72" s="101">
        <f t="shared" si="38"/>
        <v>0.12030693058870479</v>
      </c>
      <c r="G72" s="101">
        <f t="shared" si="38"/>
        <v>5.7045303083579135E-2</v>
      </c>
      <c r="H72" s="101">
        <f t="shared" si="38"/>
        <v>6.4630684192662935E-2</v>
      </c>
      <c r="I72" s="101">
        <f t="shared" si="38"/>
        <v>0.11997257523451599</v>
      </c>
      <c r="J72" s="101">
        <f t="shared" si="38"/>
        <v>0.13464268550604097</v>
      </c>
      <c r="K72" s="101">
        <f t="shared" si="38"/>
        <v>0.10136280356756822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30591809954.200005</v>
      </c>
      <c r="D76" s="349">
        <f t="shared" ref="D76:M76" si="39">IF(D$4="","",D79+D80)</f>
        <v>29289690562</v>
      </c>
      <c r="E76" s="349">
        <f t="shared" si="39"/>
        <v>28730992292</v>
      </c>
      <c r="F76" s="349">
        <f t="shared" si="39"/>
        <v>26567137006</v>
      </c>
      <c r="G76" s="349">
        <f t="shared" si="39"/>
        <v>24370351033</v>
      </c>
      <c r="H76" s="349">
        <f t="shared" si="39"/>
        <v>22814336624</v>
      </c>
      <c r="I76" s="349">
        <f t="shared" si="39"/>
        <v>23725530086</v>
      </c>
      <c r="J76" s="349">
        <f t="shared" si="39"/>
        <v>20480659318</v>
      </c>
      <c r="K76" s="349">
        <f t="shared" si="39"/>
        <v>18856419515</v>
      </c>
      <c r="L76" s="349">
        <f t="shared" si="39"/>
        <v>17607266697</v>
      </c>
      <c r="M76" s="349" t="str">
        <f t="shared" si="39"/>
        <v/>
      </c>
    </row>
    <row r="77" spans="2:13">
      <c r="B77" s="93" t="s">
        <v>83</v>
      </c>
      <c r="C77" s="318">
        <f t="shared" ref="C77:H78" si="40">IF(C$4="","",C28)</f>
        <v>1910217201.7599998</v>
      </c>
      <c r="D77" s="346">
        <f t="shared" si="40"/>
        <v>834568719</v>
      </c>
      <c r="E77" s="346">
        <f t="shared" si="40"/>
        <v>1061824178</v>
      </c>
      <c r="F77" s="346">
        <f t="shared" si="40"/>
        <v>925201481</v>
      </c>
      <c r="G77" s="346">
        <f t="shared" si="40"/>
        <v>854194501</v>
      </c>
      <c r="H77" s="346">
        <f t="shared" si="40"/>
        <v>1181367947</v>
      </c>
      <c r="I77" s="355"/>
      <c r="J77" s="355"/>
      <c r="K77" s="355"/>
      <c r="L77" s="355"/>
      <c r="M77" s="355"/>
    </row>
    <row r="78" spans="2:13">
      <c r="B78" s="93" t="s">
        <v>84</v>
      </c>
      <c r="C78" s="318">
        <f t="shared" si="40"/>
        <v>1152244678.0699999</v>
      </c>
      <c r="D78" s="346">
        <f t="shared" si="40"/>
        <v>959867234</v>
      </c>
      <c r="E78" s="346">
        <f t="shared" si="40"/>
        <v>1086298738</v>
      </c>
      <c r="F78" s="346">
        <f t="shared" si="40"/>
        <v>1224714311</v>
      </c>
      <c r="G78" s="346">
        <f t="shared" si="40"/>
        <v>1118318039</v>
      </c>
      <c r="H78" s="346">
        <f t="shared" si="40"/>
        <v>1167338551</v>
      </c>
      <c r="I78" s="355"/>
      <c r="J78" s="355"/>
      <c r="K78" s="355"/>
      <c r="L78" s="355"/>
      <c r="M78" s="355"/>
    </row>
    <row r="79" spans="2:13">
      <c r="B79" s="26" t="s">
        <v>38</v>
      </c>
      <c r="C79" s="317">
        <f t="shared" ref="C79:M79" si="41">IF(C$4="","",C30)</f>
        <v>12382480837.01</v>
      </c>
      <c r="D79" s="333">
        <f t="shared" si="41"/>
        <v>10670434743</v>
      </c>
      <c r="E79" s="333">
        <f t="shared" si="41"/>
        <v>11040803287</v>
      </c>
      <c r="F79" s="333">
        <f t="shared" si="41"/>
        <v>9869570784</v>
      </c>
      <c r="G79" s="333">
        <f t="shared" si="41"/>
        <v>9001654126</v>
      </c>
      <c r="H79" s="333">
        <f t="shared" si="41"/>
        <v>8576109791</v>
      </c>
      <c r="I79" s="333">
        <f t="shared" si="41"/>
        <v>10230716015</v>
      </c>
      <c r="J79" s="333">
        <f t="shared" si="41"/>
        <v>8088092587</v>
      </c>
      <c r="K79" s="333">
        <f t="shared" si="41"/>
        <v>7643685931</v>
      </c>
      <c r="L79" s="333">
        <f t="shared" si="41"/>
        <v>7296360629</v>
      </c>
      <c r="M79" s="333" t="str">
        <f t="shared" si="41"/>
        <v/>
      </c>
    </row>
    <row r="80" spans="2:13">
      <c r="B80" s="26" t="s">
        <v>28</v>
      </c>
      <c r="C80" s="317">
        <f t="shared" ref="C80:M80" si="42">IF(C$4="","",C31)</f>
        <v>18209329117.190002</v>
      </c>
      <c r="D80" s="333">
        <f t="shared" si="42"/>
        <v>18619255819</v>
      </c>
      <c r="E80" s="333">
        <f t="shared" si="42"/>
        <v>17690189005</v>
      </c>
      <c r="F80" s="333">
        <f t="shared" si="42"/>
        <v>16697566222</v>
      </c>
      <c r="G80" s="333">
        <f t="shared" si="42"/>
        <v>15368696907</v>
      </c>
      <c r="H80" s="333">
        <f t="shared" si="42"/>
        <v>14238226833</v>
      </c>
      <c r="I80" s="333">
        <f t="shared" si="42"/>
        <v>13494814071</v>
      </c>
      <c r="J80" s="333">
        <f t="shared" si="42"/>
        <v>12392566731</v>
      </c>
      <c r="K80" s="333">
        <f t="shared" si="42"/>
        <v>11212733584</v>
      </c>
      <c r="L80" s="333">
        <f t="shared" si="42"/>
        <v>10310906068</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20858204.32+1750682273.49+7611314.85+131065409.1</f>
        <v>1910217201.7599998</v>
      </c>
      <c r="D4" s="261">
        <v>0.6</v>
      </c>
      <c r="E4" s="25"/>
      <c r="F4" s="4" t="s">
        <v>75</v>
      </c>
      <c r="G4" s="19">
        <v>10570865213.440001</v>
      </c>
      <c r="H4" s="261">
        <v>0.9</v>
      </c>
    </row>
    <row r="5" spans="2:8" ht="15" customHeight="1">
      <c r="B5" s="1" t="s">
        <v>31</v>
      </c>
      <c r="C5" s="19">
        <v>0</v>
      </c>
      <c r="D5" s="261">
        <v>0.6</v>
      </c>
      <c r="E5" s="25"/>
      <c r="F5" s="1" t="s">
        <v>27</v>
      </c>
      <c r="G5" s="19">
        <v>0</v>
      </c>
      <c r="H5" s="261">
        <v>0.7</v>
      </c>
    </row>
    <row r="6" spans="2:8" ht="15" customHeight="1">
      <c r="B6" s="4" t="s">
        <v>8</v>
      </c>
      <c r="C6" s="19">
        <v>1152244678.0699999</v>
      </c>
      <c r="D6" s="261">
        <v>0.5</v>
      </c>
      <c r="E6" s="25"/>
      <c r="F6" s="4" t="s">
        <v>173</v>
      </c>
      <c r="G6" s="19">
        <v>0</v>
      </c>
      <c r="H6" s="261">
        <v>0.6</v>
      </c>
    </row>
    <row r="7" spans="2:8" ht="15" customHeight="1">
      <c r="B7" s="1" t="s">
        <v>67</v>
      </c>
      <c r="C7" s="19">
        <v>0</v>
      </c>
      <c r="D7" s="261">
        <v>0.6</v>
      </c>
      <c r="E7" s="25"/>
      <c r="F7" s="4" t="s">
        <v>174</v>
      </c>
      <c r="G7" s="19">
        <v>5809566736.8500004</v>
      </c>
      <c r="H7" s="261">
        <v>0.6</v>
      </c>
    </row>
    <row r="8" spans="2:8" ht="15" customHeight="1">
      <c r="B8" s="1" t="s">
        <v>169</v>
      </c>
      <c r="C8" s="19">
        <v>0</v>
      </c>
      <c r="D8" s="261">
        <v>0.6</v>
      </c>
      <c r="E8" s="25"/>
      <c r="F8" s="1" t="s">
        <v>175</v>
      </c>
      <c r="G8" s="19">
        <v>0</v>
      </c>
      <c r="H8" s="261">
        <v>0.6</v>
      </c>
    </row>
    <row r="9" spans="2:8" ht="15" customHeight="1">
      <c r="B9" s="4" t="s">
        <v>23</v>
      </c>
      <c r="C9" s="19">
        <v>382020580.81</v>
      </c>
      <c r="D9" s="261">
        <v>0.1</v>
      </c>
      <c r="E9" s="25"/>
      <c r="F9" s="4" t="s">
        <v>176</v>
      </c>
      <c r="G9" s="19">
        <v>0</v>
      </c>
      <c r="H9" s="261">
        <v>0.6</v>
      </c>
    </row>
    <row r="10" spans="2:8" ht="15" customHeight="1">
      <c r="B10" s="4" t="s">
        <v>9</v>
      </c>
      <c r="C10" s="19">
        <v>0</v>
      </c>
      <c r="D10" s="261">
        <v>0.9</v>
      </c>
      <c r="H10" s="262"/>
    </row>
    <row r="11" spans="2:8" ht="15" customHeight="1">
      <c r="B11" s="4" t="s">
        <v>10</v>
      </c>
      <c r="C11" s="19">
        <f>27904732.88+601371713.32</f>
        <v>629276446.20000005</v>
      </c>
      <c r="D11" s="261">
        <v>0.05</v>
      </c>
      <c r="H11" s="262"/>
    </row>
    <row r="12" spans="2:8" ht="15" customHeight="1">
      <c r="B12" s="80" t="s">
        <v>70</v>
      </c>
      <c r="C12" s="81">
        <f>SUM(C4:C11)</f>
        <v>4073758906.8400002</v>
      </c>
      <c r="D12" s="20">
        <f>C4*D4+C5*D5+C9*D9+C6*D6+C8*D8+C7*D7+C10*D10+C11*D11</f>
        <v>1791918540.4819999</v>
      </c>
      <c r="F12" s="80" t="s">
        <v>68</v>
      </c>
      <c r="G12" s="81">
        <f>SUM(G4:G9)</f>
        <v>16380431950.290001</v>
      </c>
      <c r="H12" s="20">
        <f>G4*H4+G5*H5+G6*H6+G7*H7+G8*H8+G9*H9</f>
        <v>12999518734.206001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f>55162498.36</f>
        <v>55162498.359999999</v>
      </c>
      <c r="D15" s="261">
        <v>0.4</v>
      </c>
      <c r="F15" s="4" t="s">
        <v>76</v>
      </c>
      <c r="G15" s="19">
        <v>0</v>
      </c>
      <c r="H15" s="261">
        <v>0.8</v>
      </c>
    </row>
    <row r="16" spans="2:8" ht="15" customHeight="1">
      <c r="B16" s="1" t="s">
        <v>32</v>
      </c>
      <c r="C16" s="19">
        <f>44364412.13+1023569661.78</f>
        <v>1067934073.91</v>
      </c>
      <c r="D16" s="261">
        <v>0.5</v>
      </c>
      <c r="F16" s="4" t="s">
        <v>173</v>
      </c>
      <c r="G16" s="19">
        <v>0</v>
      </c>
      <c r="H16" s="261">
        <v>0.6</v>
      </c>
    </row>
    <row r="17" spans="2:8" ht="15" customHeight="1">
      <c r="B17" s="1" t="s">
        <v>67</v>
      </c>
      <c r="C17" s="19">
        <v>666543619.20000005</v>
      </c>
      <c r="D17" s="261">
        <v>0.6</v>
      </c>
      <c r="F17" s="4" t="s">
        <v>174</v>
      </c>
      <c r="G17" s="19">
        <v>11101623.65</v>
      </c>
      <c r="H17" s="261">
        <v>0.6</v>
      </c>
    </row>
    <row r="18" spans="2:8" ht="15" customHeight="1">
      <c r="B18" s="4" t="s">
        <v>169</v>
      </c>
      <c r="C18" s="19">
        <v>0</v>
      </c>
      <c r="D18" s="261">
        <v>0.6</v>
      </c>
      <c r="F18" s="4" t="s">
        <v>177</v>
      </c>
      <c r="G18" s="19">
        <v>0</v>
      </c>
      <c r="H18" s="261">
        <v>0.1</v>
      </c>
    </row>
    <row r="19" spans="2:8" ht="15" customHeight="1">
      <c r="B19" s="4" t="s">
        <v>24</v>
      </c>
      <c r="C19" s="19">
        <f>2110695200.78+216680982.55+108677337.18</f>
        <v>2436053520.5099998</v>
      </c>
      <c r="D19" s="261">
        <v>0.1</v>
      </c>
      <c r="F19" s="4" t="s">
        <v>178</v>
      </c>
      <c r="G19" s="19">
        <v>1925789668.97</v>
      </c>
      <c r="H19" s="261">
        <v>0.1</v>
      </c>
    </row>
    <row r="20" spans="2:8" ht="15" customHeight="1">
      <c r="B20" s="4" t="s">
        <v>16</v>
      </c>
      <c r="C20" s="19">
        <v>0</v>
      </c>
      <c r="D20" s="261">
        <v>0.05</v>
      </c>
      <c r="F20" s="4" t="s">
        <v>175</v>
      </c>
      <c r="G20" s="19">
        <v>0</v>
      </c>
      <c r="H20" s="261">
        <v>0.2</v>
      </c>
    </row>
    <row r="21" spans="2:8" ht="15" customHeight="1">
      <c r="B21" s="4" t="s">
        <v>17</v>
      </c>
      <c r="C21" s="19">
        <v>730819471.01999998</v>
      </c>
      <c r="D21" s="261">
        <v>0.05</v>
      </c>
      <c r="F21" s="1" t="s">
        <v>176</v>
      </c>
      <c r="G21" s="19">
        <v>0</v>
      </c>
      <c r="H21" s="261">
        <v>0.1</v>
      </c>
    </row>
    <row r="22" spans="2:8" ht="15" customHeight="1">
      <c r="B22" s="4" t="s">
        <v>18</v>
      </c>
      <c r="C22" s="19">
        <v>195810554.43000001</v>
      </c>
      <c r="D22" s="261">
        <v>0.9</v>
      </c>
      <c r="H22" s="262"/>
    </row>
    <row r="23" spans="2:8" ht="15" customHeight="1">
      <c r="B23" s="4" t="s">
        <v>19</v>
      </c>
      <c r="C23" s="19">
        <f>2858698047.61+71365873.11+118340146.3</f>
        <v>3048404067.0200005</v>
      </c>
      <c r="D23" s="261">
        <v>0</v>
      </c>
      <c r="H23" s="262"/>
    </row>
    <row r="24" spans="2:8" ht="15" customHeight="1">
      <c r="B24" s="80" t="s">
        <v>71</v>
      </c>
      <c r="C24" s="81">
        <f>SUM(C15:C23)</f>
        <v>8200727804.4500008</v>
      </c>
      <c r="D24" s="20">
        <f>C15*D15+C16*D16+C18*D18+C17*D17+C19*D19+C20*D20+C21*D21+C22*D22+C23*D23</f>
        <v>1412334032.408</v>
      </c>
      <c r="F24" s="80" t="s">
        <v>69</v>
      </c>
      <c r="G24" s="81">
        <f>SUM(G15:G21)</f>
        <v>1936891292.6200001</v>
      </c>
      <c r="H24" s="20">
        <f>G15*H15+G16*H16+G17*H17+G18*H18+G19*H19+G20*H20+G21*H21</f>
        <v>199239941.08700001</v>
      </c>
    </row>
    <row r="26" spans="2:8" ht="15" customHeight="1">
      <c r="B26" s="16" t="s">
        <v>196</v>
      </c>
      <c r="C26" s="182" t="s">
        <v>132</v>
      </c>
      <c r="F26" s="184" t="s">
        <v>192</v>
      </c>
      <c r="G26" s="185" t="s">
        <v>132</v>
      </c>
      <c r="H26" s="186" t="s">
        <v>33</v>
      </c>
    </row>
    <row r="27" spans="2:8" ht="15" customHeight="1">
      <c r="B27" s="4" t="s">
        <v>3</v>
      </c>
      <c r="C27" s="19">
        <v>1601516869.78</v>
      </c>
      <c r="F27" s="187" t="s">
        <v>28</v>
      </c>
      <c r="G27" s="85">
        <f>G32-G30</f>
        <v>18209329117.190002</v>
      </c>
      <c r="H27" s="188">
        <f>H32-G30</f>
        <v>4020530411.1730003</v>
      </c>
    </row>
    <row r="28" spans="2:8" ht="15" customHeight="1">
      <c r="B28" s="4" t="s">
        <v>4</v>
      </c>
      <c r="C28" s="19">
        <v>0</v>
      </c>
      <c r="F28" s="189" t="s">
        <v>240</v>
      </c>
      <c r="G28" s="12">
        <v>337582462.13999999</v>
      </c>
      <c r="H28" s="188"/>
    </row>
    <row r="29" spans="2:8" ht="15" customHeight="1">
      <c r="B29" s="4" t="s">
        <v>5</v>
      </c>
      <c r="C29" s="19">
        <v>0</v>
      </c>
      <c r="F29" s="190" t="s">
        <v>73</v>
      </c>
      <c r="G29" s="14">
        <f>G27-G28</f>
        <v>17871746655.050003</v>
      </c>
      <c r="H29" s="188">
        <f>H27-G28</f>
        <v>3682947949.0330005</v>
      </c>
    </row>
    <row r="30" spans="2:8" ht="15" customHeight="1">
      <c r="B30" s="2" t="s">
        <v>6</v>
      </c>
      <c r="C30" s="19">
        <v>0</v>
      </c>
      <c r="F30" s="187" t="s">
        <v>21</v>
      </c>
      <c r="G30" s="85">
        <f>C33+C42</f>
        <v>12382480837.01</v>
      </c>
      <c r="H30" s="188"/>
    </row>
    <row r="31" spans="2:8" ht="15" customHeight="1">
      <c r="B31" s="80" t="s">
        <v>199</v>
      </c>
      <c r="C31" s="81">
        <f>SUM(C27:C30)</f>
        <v>1601516869.78</v>
      </c>
      <c r="F31" s="190" t="s">
        <v>74</v>
      </c>
      <c r="G31" s="191">
        <f>C31+C40</f>
        <v>1685959940.8299999</v>
      </c>
      <c r="H31" s="188"/>
    </row>
    <row r="32" spans="2:8" ht="15" customHeight="1">
      <c r="B32" s="4" t="s">
        <v>7</v>
      </c>
      <c r="C32" s="21">
        <f>C33-C31</f>
        <v>9721988024.8299999</v>
      </c>
      <c r="F32" s="192" t="s">
        <v>72</v>
      </c>
      <c r="G32" s="193">
        <f>G35+G40</f>
        <v>30591809954.200001</v>
      </c>
      <c r="H32" s="188">
        <f>H35+H40</f>
        <v>16403011248.183001</v>
      </c>
    </row>
    <row r="33" spans="2:8" ht="15" customHeight="1">
      <c r="B33" s="83" t="s">
        <v>2</v>
      </c>
      <c r="C33" s="84">
        <v>11323504894.610001</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12274486711.290001</v>
      </c>
      <c r="H35" s="200">
        <f>D12+D24</f>
        <v>3204252572.8899999</v>
      </c>
    </row>
    <row r="36" spans="2:8" ht="15" customHeight="1">
      <c r="B36" s="4" t="s">
        <v>11</v>
      </c>
      <c r="C36" s="19">
        <v>0</v>
      </c>
      <c r="F36" s="190" t="s">
        <v>193</v>
      </c>
      <c r="G36" s="191">
        <f>C4+C15</f>
        <v>1965379700.1199996</v>
      </c>
      <c r="H36" s="195"/>
    </row>
    <row r="37" spans="2:8" ht="15" customHeight="1">
      <c r="B37" s="4" t="s">
        <v>12</v>
      </c>
      <c r="C37" s="19">
        <v>84443071.049999997</v>
      </c>
      <c r="F37" s="190" t="s">
        <v>194</v>
      </c>
      <c r="G37" s="191">
        <f>C6</f>
        <v>1152244678.0699999</v>
      </c>
      <c r="H37" s="195"/>
    </row>
    <row r="38" spans="2:8" ht="15" customHeight="1">
      <c r="B38" s="4" t="s">
        <v>13</v>
      </c>
      <c r="C38" s="19">
        <v>0</v>
      </c>
      <c r="F38" s="190" t="s">
        <v>195</v>
      </c>
      <c r="G38" s="191">
        <f>C7+C17</f>
        <v>666543619.20000005</v>
      </c>
      <c r="H38" s="195"/>
    </row>
    <row r="39" spans="2:8" ht="15" customHeight="1">
      <c r="B39" s="2" t="s">
        <v>14</v>
      </c>
      <c r="C39" s="19">
        <v>0</v>
      </c>
      <c r="F39" s="190" t="s">
        <v>77</v>
      </c>
      <c r="G39" s="191">
        <f>C7+C17+C19+C20</f>
        <v>3102597139.71</v>
      </c>
      <c r="H39" s="188">
        <f>C7*D7+C17*D17+C19*D19+C20*D20</f>
        <v>643531523.5710001</v>
      </c>
    </row>
    <row r="40" spans="2:8" ht="15" customHeight="1">
      <c r="B40" s="80" t="s">
        <v>200</v>
      </c>
      <c r="C40" s="81">
        <f>SUM(C36:C39)</f>
        <v>84443071.049999997</v>
      </c>
      <c r="F40" s="199" t="s">
        <v>134</v>
      </c>
      <c r="G40" s="193">
        <f>G12+G24</f>
        <v>18317323242.91</v>
      </c>
      <c r="H40" s="200">
        <f>H12+H24</f>
        <v>13198758675.293001</v>
      </c>
    </row>
    <row r="41" spans="2:8" ht="15" customHeight="1">
      <c r="B41" s="4" t="s">
        <v>15</v>
      </c>
      <c r="C41" s="21">
        <f>C42-C40</f>
        <v>974532871.35000002</v>
      </c>
      <c r="F41" s="190" t="s">
        <v>187</v>
      </c>
      <c r="G41" s="191">
        <f>C70</f>
        <v>10570865213.440001</v>
      </c>
      <c r="H41" s="200">
        <f>H40-H42</f>
        <v>9513778692.0960007</v>
      </c>
    </row>
    <row r="42" spans="2:8" ht="15" customHeight="1">
      <c r="B42" s="83" t="s">
        <v>20</v>
      </c>
      <c r="C42" s="84">
        <v>1058975942.4</v>
      </c>
      <c r="F42" s="201" t="s">
        <v>188</v>
      </c>
      <c r="G42" s="202">
        <f>C82</f>
        <v>7746458029.4700003</v>
      </c>
      <c r="H42" s="203">
        <f>D82</f>
        <v>3684979983.197</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17871746655.050003</v>
      </c>
      <c r="D46" s="76">
        <f>H29</f>
        <v>3682947949.0330005</v>
      </c>
      <c r="F46" s="253"/>
    </row>
    <row r="47" spans="2:8" ht="15" customHeight="1">
      <c r="B47" s="1" t="str">
        <f>"Equity per share ("&amp;Market_currency&amp;")"</f>
        <v>Equity per share (CNY)</v>
      </c>
      <c r="C47" s="147">
        <f>C46*H1/Common_Shares*Exchange_Rate</f>
        <v>12.811083066824395</v>
      </c>
      <c r="D47" s="147">
        <f>D46*H1/Common_Shares*Exchange_Rate</f>
        <v>2.6400638402357823</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2.0939079363495856</v>
      </c>
      <c r="D50" s="95">
        <f>G31/Normalized_FCF!G8</f>
        <v>2.0534337205866002</v>
      </c>
      <c r="F50" s="253"/>
    </row>
    <row r="51" spans="2:8" ht="15" customHeight="1">
      <c r="B51" s="1" t="s">
        <v>172</v>
      </c>
      <c r="C51" s="181"/>
      <c r="D51" s="92">
        <f>G29/G32</f>
        <v>0.58420036871981029</v>
      </c>
      <c r="F51" s="253"/>
    </row>
    <row r="52" spans="2:8" ht="15" customHeight="1">
      <c r="F52" s="253"/>
    </row>
    <row r="53" spans="2:8" ht="15" customHeight="1">
      <c r="B53" s="157" t="s">
        <v>138</v>
      </c>
      <c r="C53" s="235" t="s">
        <v>55</v>
      </c>
      <c r="D53" s="197" t="s">
        <v>92</v>
      </c>
      <c r="F53" s="253"/>
    </row>
    <row r="54" spans="2:8" ht="15" customHeight="1">
      <c r="B54" s="1" t="s">
        <v>135</v>
      </c>
      <c r="C54" s="92">
        <f>Normalized_FCF!C8/G35</f>
        <v>6.5597355020915529E-2</v>
      </c>
      <c r="D54" s="92">
        <f>Normalized_FCF!G8/G35</f>
        <v>6.6890312019712267E-2</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9.8051308081988003E-2</v>
      </c>
      <c r="F58" s="5"/>
    </row>
    <row r="59" spans="2:8" ht="15" customHeight="1">
      <c r="B59" s="1" t="s">
        <v>90</v>
      </c>
      <c r="C59" s="98"/>
      <c r="D59" s="92">
        <f>G39/G32</f>
        <v>0.10141920809376757</v>
      </c>
      <c r="F59" s="253"/>
    </row>
    <row r="60" spans="2:8" ht="15" customHeight="1">
      <c r="F60" s="253"/>
    </row>
    <row r="61" spans="2:8" ht="15" customHeight="1">
      <c r="B61" s="157" t="s">
        <v>269</v>
      </c>
      <c r="C61" s="235" t="s">
        <v>133</v>
      </c>
      <c r="D61" s="197" t="s">
        <v>92</v>
      </c>
      <c r="F61" s="253"/>
    </row>
    <row r="62" spans="2:8" ht="15" customHeight="1">
      <c r="B62" s="1" t="s">
        <v>241</v>
      </c>
      <c r="C62" s="92">
        <f>IF(G28&lt;=0,0,G28/G29)</f>
        <v>1.8889170076983472E-2</v>
      </c>
      <c r="D62" s="92">
        <f>G28/G29</f>
        <v>1.8889170076983472E-2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10570865213.440001</v>
      </c>
      <c r="D66" s="76">
        <f>C66-D75</f>
        <v>7551907966.0066681</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10570865213.440001</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-753416779.89999998</v>
      </c>
      <c r="D73" s="349">
        <f>(Normalized_FCF!C25+Normalized_FCF!C35-Normalized_FCF!C91)/12</f>
        <v>-754739311.85833323</v>
      </c>
      <c r="F73" s="1" t="s">
        <v>342</v>
      </c>
    </row>
    <row r="74" spans="2:6" ht="15" customHeight="1">
      <c r="B74" s="257" t="s">
        <v>312</v>
      </c>
      <c r="C74" s="258">
        <f>-$C$66/C73</f>
        <v>14.03056780185206</v>
      </c>
      <c r="D74" s="258">
        <f>-$C$66/D73</f>
        <v>14.005981995839356</v>
      </c>
      <c r="F74" s="253" t="s">
        <v>310</v>
      </c>
    </row>
    <row r="75" spans="2:6" ht="15" customHeight="1">
      <c r="B75" s="80" t="s">
        <v>311</v>
      </c>
      <c r="C75" s="320"/>
      <c r="D75" s="321">
        <f>MAX(-D73*D76,G5)</f>
        <v>3018957247.4333329</v>
      </c>
      <c r="F75" s="253" t="s">
        <v>343</v>
      </c>
    </row>
    <row r="76" spans="2:6" ht="15" customHeight="1">
      <c r="B76" s="259" t="s">
        <v>313</v>
      </c>
      <c r="C76" s="260"/>
      <c r="D76" s="290">
        <f>IF(valuation_method="DCF",IF(D74&lt;=3,1,IF(D74&gt;18,6,2))*2,-C66/D73)</f>
        <v>4</v>
      </c>
      <c r="F76" s="253" t="s">
        <v>314</v>
      </c>
    </row>
    <row r="77" spans="2:6" ht="15" customHeight="1">
      <c r="F77" s="253"/>
    </row>
    <row r="78" spans="2:6" ht="15" customHeight="1">
      <c r="B78" s="16" t="s">
        <v>185</v>
      </c>
      <c r="C78" s="234" t="s">
        <v>132</v>
      </c>
      <c r="D78" s="183" t="s">
        <v>33</v>
      </c>
      <c r="F78" s="253"/>
    </row>
    <row r="79" spans="2:6" ht="15" customHeight="1">
      <c r="B79" s="105" t="s">
        <v>174</v>
      </c>
      <c r="C79" s="20">
        <f>G7+G17</f>
        <v>5820668360.5</v>
      </c>
      <c r="D79" s="76">
        <f>G7*H7+G17*H17</f>
        <v>3492401016.3000002</v>
      </c>
      <c r="F79" s="253"/>
    </row>
    <row r="80" spans="2:6" ht="15" customHeight="1">
      <c r="B80" s="105" t="s">
        <v>178</v>
      </c>
      <c r="C80" s="20">
        <f>G19</f>
        <v>1925789668.97</v>
      </c>
      <c r="D80" s="76">
        <f>G19*H19</f>
        <v>192578966.89700001</v>
      </c>
      <c r="F80" s="253"/>
    </row>
    <row r="81" spans="2:8" ht="15" customHeight="1">
      <c r="B81" s="105" t="s">
        <v>176</v>
      </c>
      <c r="C81" s="20">
        <f>G9+G21</f>
        <v>0</v>
      </c>
      <c r="D81" s="76">
        <f>G9*H9+G21*H21</f>
        <v>0</v>
      </c>
      <c r="F81" s="253"/>
    </row>
    <row r="82" spans="2:8" ht="15" customHeight="1">
      <c r="B82" s="80" t="s">
        <v>185</v>
      </c>
      <c r="C82" s="81">
        <f>SUM(C79:C81)</f>
        <v>7746458029.4700003</v>
      </c>
      <c r="D82" s="81">
        <f>SUM(D79:D81)</f>
        <v>3684979983.197</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-1685959940.8299999</v>
      </c>
      <c r="D86" s="223">
        <f>C86*scaling_factor/Common_Shares</f>
        <v>-1.2085541086835108</v>
      </c>
      <c r="E86" s="240" t="str">
        <f>Market_currency</f>
        <v>CNY</v>
      </c>
    </row>
    <row r="87" spans="2:8" ht="15" customHeight="1">
      <c r="B87" s="238" t="s">
        <v>282</v>
      </c>
      <c r="C87" s="76">
        <f>DCF!C8*Exchange_Rate</f>
        <v>7551907966.0066681</v>
      </c>
      <c r="D87" s="223">
        <f>C87*scaling_factor/Common_Shares</f>
        <v>5.4134675324633843</v>
      </c>
      <c r="E87" s="240" t="str">
        <f>Market_currency</f>
        <v>CNY</v>
      </c>
    </row>
    <row r="88" spans="2:8" ht="15" customHeight="1">
      <c r="B88" s="239" t="s">
        <v>185</v>
      </c>
      <c r="C88" s="76">
        <f>DCF!C9*Exchange_Rate</f>
        <v>3684979983.197</v>
      </c>
      <c r="D88" s="223">
        <f>C88*scaling_factor/Common_Shares</f>
        <v>2.6415204722579393</v>
      </c>
      <c r="E88" s="240" t="str">
        <f>Market_currency</f>
        <v>CNY</v>
      </c>
    </row>
    <row r="89" spans="2:8" ht="15" customHeight="1">
      <c r="B89" s="80" t="s">
        <v>286</v>
      </c>
      <c r="C89" s="180">
        <f>SUM(C86:C88)</f>
        <v>9550928008.3736687</v>
      </c>
      <c r="D89" s="242">
        <f>SUM(D86:D88)</f>
        <v>6.846433896037813</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G4</f>
        <v>9304036682</v>
      </c>
      <c r="D4" s="57"/>
      <c r="E4" s="266"/>
      <c r="F4" s="57"/>
      <c r="G4" s="333">
        <f>Data!C36</f>
        <v>9304036682</v>
      </c>
      <c r="H4" s="333">
        <f>Data!D36</f>
        <v>10083626566</v>
      </c>
      <c r="I4" s="333">
        <f>Data!E36</f>
        <v>10236379917</v>
      </c>
      <c r="J4" s="333">
        <f>Data!F36</f>
        <v>10714557474</v>
      </c>
      <c r="K4" s="333">
        <f>Data!G36</f>
        <v>10339544971</v>
      </c>
      <c r="L4" s="333">
        <f>Data!H36</f>
        <v>11258180127</v>
      </c>
      <c r="M4" s="333">
        <f>Data!I36</f>
        <v>11512673967</v>
      </c>
      <c r="N4" s="333">
        <f>Data!J36</f>
        <v>13306047614</v>
      </c>
      <c r="O4" s="333">
        <f>Data!K36</f>
        <v>12775837643</v>
      </c>
      <c r="P4" s="333">
        <f>Data!L36</f>
        <v>11601620038</v>
      </c>
      <c r="Q4" s="333" t="str">
        <f>Data!M36</f>
        <v/>
      </c>
    </row>
    <row r="5" spans="1:17" ht="15.75" customHeight="1">
      <c r="A5" s="10"/>
      <c r="B5" s="2" t="s">
        <v>44</v>
      </c>
      <c r="C5" s="328">
        <f>C25</f>
        <v>-6452823206</v>
      </c>
      <c r="E5" s="268"/>
      <c r="G5" s="333">
        <f t="shared" ref="G5:Q5" si="1">G25</f>
        <v>-6452823206</v>
      </c>
      <c r="H5" s="333">
        <f t="shared" si="1"/>
        <v>-6728866204</v>
      </c>
      <c r="I5" s="333">
        <f t="shared" si="1"/>
        <v>-7234354839</v>
      </c>
      <c r="J5" s="333">
        <f t="shared" si="1"/>
        <v>-7696604453</v>
      </c>
      <c r="K5" s="333">
        <f t="shared" si="1"/>
        <v>-7028945649</v>
      </c>
      <c r="L5" s="333">
        <f t="shared" si="1"/>
        <v>-7963083953</v>
      </c>
      <c r="M5" s="333">
        <f t="shared" si="1"/>
        <v>-7902895176</v>
      </c>
      <c r="N5" s="333">
        <f t="shared" si="1"/>
        <v>-9625558989</v>
      </c>
      <c r="O5" s="333">
        <f t="shared" si="1"/>
        <v>-9692640231</v>
      </c>
      <c r="P5" s="333">
        <f t="shared" si="1"/>
        <v>-9190986186</v>
      </c>
      <c r="Q5" s="333" t="str">
        <f t="shared" si="1"/>
        <v/>
      </c>
    </row>
    <row r="6" spans="1:17" ht="15.75" customHeight="1">
      <c r="A6" s="10"/>
      <c r="B6" s="31" t="s">
        <v>46</v>
      </c>
      <c r="C6" s="329">
        <f>C4+C5</f>
        <v>2851213476</v>
      </c>
      <c r="E6" s="268"/>
      <c r="G6" s="329">
        <f>IF(G4="","",G4+G5)</f>
        <v>2851213476</v>
      </c>
      <c r="H6" s="329">
        <f t="shared" ref="H6:Q6" si="2">IF(H4="","",H4+H5)</f>
        <v>3354760362</v>
      </c>
      <c r="I6" s="329">
        <f t="shared" si="2"/>
        <v>3002025078</v>
      </c>
      <c r="J6" s="329">
        <f t="shared" si="2"/>
        <v>3017953021</v>
      </c>
      <c r="K6" s="329">
        <f t="shared" si="2"/>
        <v>3310599322</v>
      </c>
      <c r="L6" s="329">
        <f t="shared" si="2"/>
        <v>3295096174</v>
      </c>
      <c r="M6" s="329">
        <f t="shared" si="2"/>
        <v>3609778791</v>
      </c>
      <c r="N6" s="329">
        <f t="shared" si="2"/>
        <v>3680488625</v>
      </c>
      <c r="O6" s="329">
        <f t="shared" si="2"/>
        <v>3083197412</v>
      </c>
      <c r="P6" s="329">
        <f t="shared" si="2"/>
        <v>2410633852</v>
      </c>
      <c r="Q6" s="329" t="str">
        <f t="shared" si="2"/>
        <v/>
      </c>
    </row>
    <row r="7" spans="1:17" ht="15.75" customHeight="1">
      <c r="A7" s="10"/>
      <c r="B7" s="8" t="s">
        <v>43</v>
      </c>
      <c r="C7" s="328">
        <f>C35</f>
        <v>-2046039613.5</v>
      </c>
      <c r="E7" s="268"/>
      <c r="G7" s="328">
        <f t="shared" ref="G7:Q7" si="3">G35</f>
        <v>-2030169230</v>
      </c>
      <c r="H7" s="328">
        <f t="shared" si="3"/>
        <v>-1890829619</v>
      </c>
      <c r="I7" s="328">
        <f t="shared" si="3"/>
        <v>-1802712425</v>
      </c>
      <c r="J7" s="328">
        <f t="shared" si="3"/>
        <v>-1746728827</v>
      </c>
      <c r="K7" s="328">
        <f t="shared" si="3"/>
        <v>-1548382201</v>
      </c>
      <c r="L7" s="328">
        <f t="shared" si="3"/>
        <v>-1632285540</v>
      </c>
      <c r="M7" s="328">
        <f t="shared" si="3"/>
        <v>-2010621700</v>
      </c>
      <c r="N7" s="328">
        <f t="shared" si="3"/>
        <v>-2022598061</v>
      </c>
      <c r="O7" s="328">
        <f t="shared" si="3"/>
        <v>-1654362895</v>
      </c>
      <c r="P7" s="328">
        <f t="shared" si="3"/>
        <v>-1155368982</v>
      </c>
      <c r="Q7" s="328" t="str">
        <f t="shared" si="3"/>
        <v/>
      </c>
    </row>
    <row r="8" spans="1:17" ht="15.75" customHeight="1">
      <c r="A8" s="10"/>
      <c r="B8" s="29" t="s">
        <v>148</v>
      </c>
      <c r="C8" s="330">
        <f>C6+C7</f>
        <v>805173862.5</v>
      </c>
      <c r="D8" s="59"/>
      <c r="E8" s="274"/>
      <c r="F8" s="59"/>
      <c r="G8" s="329">
        <f>IF(G$4="","",G6+G7)</f>
        <v>821044246</v>
      </c>
      <c r="H8" s="329">
        <f t="shared" ref="H8:Q8" si="4">IF(H$4="","",H6+H7)</f>
        <v>1463930743</v>
      </c>
      <c r="I8" s="329">
        <f t="shared" si="4"/>
        <v>1199312653</v>
      </c>
      <c r="J8" s="329">
        <f t="shared" si="4"/>
        <v>1271224194</v>
      </c>
      <c r="K8" s="329">
        <f t="shared" si="4"/>
        <v>1762217121</v>
      </c>
      <c r="L8" s="329">
        <f t="shared" si="4"/>
        <v>1662810634</v>
      </c>
      <c r="M8" s="329">
        <f t="shared" si="4"/>
        <v>1599157091</v>
      </c>
      <c r="N8" s="329">
        <f t="shared" si="4"/>
        <v>1657890564</v>
      </c>
      <c r="O8" s="329">
        <f t="shared" si="4"/>
        <v>1428834517</v>
      </c>
      <c r="P8" s="329">
        <f t="shared" si="4"/>
        <v>1255264870</v>
      </c>
      <c r="Q8" s="329" t="str">
        <f t="shared" si="4"/>
        <v/>
      </c>
    </row>
    <row r="9" spans="1:17" ht="15.75" customHeight="1">
      <c r="A9" s="10"/>
      <c r="B9" s="2" t="s">
        <v>63</v>
      </c>
      <c r="C9" s="328">
        <f>BS!$G$39*BS!D58</f>
        <v>304213708</v>
      </c>
      <c r="E9" s="268"/>
      <c r="G9" s="328">
        <f>IF(Data!C61="","",-Data!C61)</f>
        <v>304213708</v>
      </c>
      <c r="H9" s="328">
        <f>IF(Data!D61="","",-Data!D61)</f>
        <v>284765003</v>
      </c>
      <c r="I9" s="328">
        <f>IF(Data!E61="","",-Data!E61)</f>
        <v>280160892</v>
      </c>
      <c r="J9" s="328">
        <f>IF(Data!F61="","",-Data!F61)</f>
        <v>262044527</v>
      </c>
      <c r="K9" s="328">
        <f>IF(Data!G61="","",-Data!G61)</f>
        <v>233520143</v>
      </c>
      <c r="L9" s="328">
        <f>IF(Data!H61="","",-Data!H61)</f>
        <v>241901529</v>
      </c>
      <c r="M9" s="328">
        <f>IF(Data!I61="","",-Data!I61)</f>
        <v>213366792</v>
      </c>
      <c r="N9" s="328">
        <f>IF(Data!J61="","",-Data!J61)</f>
        <v>0</v>
      </c>
      <c r="O9" s="328">
        <f>IF(Data!K61="","",-Data!K61)</f>
        <v>0</v>
      </c>
      <c r="P9" s="328">
        <f>IF(Data!L61="","",-Data!L61)</f>
        <v>0</v>
      </c>
      <c r="Q9" s="328" t="str">
        <f>IF(Data!M61="","",-Data!M61)</f>
        <v/>
      </c>
    </row>
    <row r="10" spans="1:17" ht="15.75" customHeight="1">
      <c r="A10" s="10"/>
      <c r="B10" s="2" t="s">
        <v>78</v>
      </c>
      <c r="C10" s="328">
        <f>-C4*C78</f>
        <v>-304213708</v>
      </c>
      <c r="E10" s="268"/>
      <c r="G10" s="328">
        <f>Data!C62</f>
        <v>-304213708</v>
      </c>
      <c r="H10" s="328">
        <f>Data!D62</f>
        <v>-284765003</v>
      </c>
      <c r="I10" s="328">
        <f>Data!E62</f>
        <v>-280160892</v>
      </c>
      <c r="J10" s="328">
        <f>Data!F62</f>
        <v>-262044527</v>
      </c>
      <c r="K10" s="328">
        <f>Data!G62</f>
        <v>-233520143</v>
      </c>
      <c r="L10" s="328">
        <f>Data!H62</f>
        <v>-241901529</v>
      </c>
      <c r="M10" s="328">
        <f>Data!I62</f>
        <v>-213366792</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-97140514.525666684</v>
      </c>
      <c r="E12" s="268"/>
      <c r="G12" s="328">
        <f>G50</f>
        <v>-46780131.963991836</v>
      </c>
      <c r="H12" s="328">
        <f t="shared" ref="H12:Q12" si="6">H50</f>
        <v>-28667563.858198315</v>
      </c>
      <c r="I12" s="328">
        <f t="shared" si="6"/>
        <v>3276610.5297081172</v>
      </c>
      <c r="J12" s="328">
        <f t="shared" si="6"/>
        <v>-43491550.484597951</v>
      </c>
      <c r="K12" s="328">
        <f t="shared" si="6"/>
        <v>-64479016.453226149</v>
      </c>
      <c r="L12" s="328">
        <f t="shared" si="6"/>
        <v>-100029512.99544704</v>
      </c>
      <c r="M12" s="328">
        <f t="shared" si="6"/>
        <v>-54261699.488393471</v>
      </c>
      <c r="N12" s="328">
        <f t="shared" si="6"/>
        <v>0</v>
      </c>
      <c r="O12" s="328">
        <f t="shared" si="6"/>
        <v>0</v>
      </c>
      <c r="P12" s="328">
        <f t="shared" si="6"/>
        <v>0</v>
      </c>
      <c r="Q12" s="328" t="str">
        <f t="shared" si="6"/>
        <v/>
      </c>
    </row>
    <row r="13" spans="1:17" ht="15.75" customHeight="1">
      <c r="A13" s="10"/>
      <c r="B13" s="70" t="s">
        <v>160</v>
      </c>
      <c r="C13" s="329">
        <f>SUM(C8:C12)</f>
        <v>708033347.97433329</v>
      </c>
      <c r="E13" s="268"/>
      <c r="G13" s="329">
        <f>IF(G$4="","",SUM(G8:G12))</f>
        <v>774264114.03600812</v>
      </c>
      <c r="H13" s="329">
        <f t="shared" ref="H13:Q13" si="7">IF(H$4="","",SUM(H8:H12))</f>
        <v>1435263179.1418016</v>
      </c>
      <c r="I13" s="329">
        <f t="shared" si="7"/>
        <v>1202589263.5297081</v>
      </c>
      <c r="J13" s="329">
        <f t="shared" si="7"/>
        <v>1227732643.5154021</v>
      </c>
      <c r="K13" s="329">
        <f t="shared" si="7"/>
        <v>1697738104.5467739</v>
      </c>
      <c r="L13" s="329">
        <f t="shared" si="7"/>
        <v>1562781121.0045528</v>
      </c>
      <c r="M13" s="329">
        <f t="shared" si="7"/>
        <v>1544895391.5116065</v>
      </c>
      <c r="N13" s="329">
        <f t="shared" si="7"/>
        <v>1657890564</v>
      </c>
      <c r="O13" s="329">
        <f t="shared" si="7"/>
        <v>1428834517</v>
      </c>
      <c r="P13" s="329">
        <f t="shared" si="7"/>
        <v>1255264870</v>
      </c>
      <c r="Q13" s="329" t="str">
        <f t="shared" si="7"/>
        <v/>
      </c>
    </row>
    <row r="14" spans="1:17" ht="15.75" customHeight="1">
      <c r="A14" s="10"/>
      <c r="B14" s="2" t="s">
        <v>61</v>
      </c>
      <c r="C14" s="328">
        <f>-SUM(C8+C11,C12)*C43</f>
        <v>-177008336.99358332</v>
      </c>
      <c r="E14" s="268"/>
      <c r="G14" s="328">
        <f>Data!C46</f>
        <v>-399466141</v>
      </c>
      <c r="H14" s="328">
        <f>Data!D46</f>
        <v>245723033</v>
      </c>
      <c r="I14" s="328">
        <f>Data!E46</f>
        <v>-42708255</v>
      </c>
      <c r="J14" s="328">
        <f>Data!F46</f>
        <v>-256010400</v>
      </c>
      <c r="K14" s="328">
        <f>Data!G46</f>
        <v>-87059787</v>
      </c>
      <c r="L14" s="328">
        <f>Data!H46</f>
        <v>-55904457</v>
      </c>
      <c r="M14" s="328">
        <f>Data!I46</f>
        <v>-94528010</v>
      </c>
      <c r="N14" s="328">
        <f>Data!J46</f>
        <v>-46504665</v>
      </c>
      <c r="O14" s="328">
        <f>Data!K46</f>
        <v>-88878250</v>
      </c>
      <c r="P14" s="328">
        <f>Data!L46</f>
        <v>-58244331</v>
      </c>
      <c r="Q14" s="328" t="str">
        <f>Data!M46</f>
        <v/>
      </c>
    </row>
    <row r="15" spans="1:17" ht="15.75" customHeight="1">
      <c r="A15" s="10"/>
      <c r="B15" s="40" t="s">
        <v>239</v>
      </c>
      <c r="C15" s="328">
        <f>-C4*C83</f>
        <v>-38841055</v>
      </c>
      <c r="D15" s="60"/>
      <c r="E15" s="275"/>
      <c r="F15" s="60"/>
      <c r="G15" s="333">
        <f>Data!C48</f>
        <v>-38841055</v>
      </c>
      <c r="H15" s="333">
        <f>Data!D48</f>
        <v>0</v>
      </c>
      <c r="I15" s="333">
        <f>Data!E48</f>
        <v>0</v>
      </c>
      <c r="J15" s="333">
        <f>Data!F48</f>
        <v>-6877210</v>
      </c>
      <c r="K15" s="333">
        <f>Data!G48</f>
        <v>-24515876</v>
      </c>
      <c r="L15" s="333">
        <f>Data!H48</f>
        <v>-5877927</v>
      </c>
      <c r="M15" s="333">
        <f>Data!I48</f>
        <v>-7143161</v>
      </c>
      <c r="N15" s="333">
        <f>Data!J48</f>
        <v>-305152</v>
      </c>
      <c r="O15" s="333">
        <f>Data!K48</f>
        <v>0</v>
      </c>
      <c r="P15" s="333">
        <f>Data!L48</f>
        <v>-104004453</v>
      </c>
      <c r="Q15" s="333" t="str">
        <f>Data!M48</f>
        <v/>
      </c>
    </row>
    <row r="16" spans="1:17" ht="15.75" customHeight="1">
      <c r="A16" s="10"/>
      <c r="B16" s="41" t="s">
        <v>150</v>
      </c>
      <c r="C16" s="332">
        <f>SUM(C13:C15)</f>
        <v>492183955.98074996</v>
      </c>
      <c r="D16" s="61"/>
      <c r="E16" s="276"/>
      <c r="F16" s="61"/>
      <c r="G16" s="329">
        <f>IF(G$4="","",SUM(G13:G15))</f>
        <v>335956918.03600812</v>
      </c>
      <c r="H16" s="329">
        <f t="shared" ref="H16:Q16" si="8">IF(H$4="","",SUM(H13:H15))</f>
        <v>1680986212.1418016</v>
      </c>
      <c r="I16" s="329">
        <f t="shared" si="8"/>
        <v>1159881008.5297081</v>
      </c>
      <c r="J16" s="329">
        <f t="shared" si="8"/>
        <v>964845033.51540208</v>
      </c>
      <c r="K16" s="329">
        <f t="shared" si="8"/>
        <v>1586162441.5467739</v>
      </c>
      <c r="L16" s="329">
        <f t="shared" si="8"/>
        <v>1500998737.0045528</v>
      </c>
      <c r="M16" s="329">
        <f t="shared" si="8"/>
        <v>1443224220.5116065</v>
      </c>
      <c r="N16" s="329">
        <f t="shared" si="8"/>
        <v>1611080747</v>
      </c>
      <c r="O16" s="329">
        <f t="shared" si="8"/>
        <v>1339956267</v>
      </c>
      <c r="P16" s="329">
        <f t="shared" si="8"/>
        <v>1093016086</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492183955.98074996</v>
      </c>
      <c r="D19" s="27"/>
      <c r="E19" s="265"/>
      <c r="F19" s="27"/>
      <c r="G19" s="334">
        <f>IF(G$4="","",G16+G17)</f>
        <v>335956918.03600812</v>
      </c>
      <c r="H19" s="334">
        <f t="shared" ref="H19:Q19" si="9">IF(H$4="","",H16+H17)</f>
        <v>1680986212.1418016</v>
      </c>
      <c r="I19" s="334">
        <f t="shared" si="9"/>
        <v>1159881008.5297081</v>
      </c>
      <c r="J19" s="334">
        <f t="shared" si="9"/>
        <v>964845033.51540208</v>
      </c>
      <c r="K19" s="334">
        <f t="shared" si="9"/>
        <v>1586162441.5467739</v>
      </c>
      <c r="L19" s="334">
        <f t="shared" si="9"/>
        <v>1500998737.0045528</v>
      </c>
      <c r="M19" s="334">
        <f t="shared" si="9"/>
        <v>1443224220.5116065</v>
      </c>
      <c r="N19" s="334">
        <f t="shared" si="9"/>
        <v>1611080747</v>
      </c>
      <c r="O19" s="334">
        <f t="shared" si="9"/>
        <v>1339956267</v>
      </c>
      <c r="P19" s="334">
        <f t="shared" si="9"/>
        <v>1093016086</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-5676944377</v>
      </c>
      <c r="D23" s="58"/>
      <c r="E23" s="267"/>
      <c r="F23" s="58"/>
      <c r="G23" s="333">
        <f>Data!C37</f>
        <v>-5676944377</v>
      </c>
      <c r="H23" s="333">
        <f>Data!D37</f>
        <v>-5916816097</v>
      </c>
      <c r="I23" s="333">
        <f>Data!E37</f>
        <v>-6311388363</v>
      </c>
      <c r="J23" s="333">
        <f>Data!F37</f>
        <v>-6550446555</v>
      </c>
      <c r="K23" s="333">
        <f>Data!G37</f>
        <v>-6394029156</v>
      </c>
      <c r="L23" s="333">
        <f>Data!H37</f>
        <v>-7367488537</v>
      </c>
      <c r="M23" s="333">
        <f>Data!I37</f>
        <v>-7224602455</v>
      </c>
      <c r="N23" s="333">
        <f>Data!J37</f>
        <v>-8540494147</v>
      </c>
      <c r="O23" s="333">
        <f>Data!K37</f>
        <v>-7781713253</v>
      </c>
      <c r="P23" s="333">
        <f>Data!L37</f>
        <v>-7483557979</v>
      </c>
      <c r="Q23" s="333" t="str">
        <f>Data!M37</f>
        <v/>
      </c>
    </row>
    <row r="24" spans="1:17" ht="15.75" customHeight="1">
      <c r="A24" s="10"/>
      <c r="B24" s="68" t="s">
        <v>60</v>
      </c>
      <c r="C24" s="328">
        <f>-C4*C29</f>
        <v>-775878829</v>
      </c>
      <c r="D24" s="27"/>
      <c r="E24" s="265"/>
      <c r="F24" s="27"/>
      <c r="G24" s="333">
        <f>Data!C40</f>
        <v>-775878829</v>
      </c>
      <c r="H24" s="333">
        <f>Data!D40</f>
        <v>-812050107</v>
      </c>
      <c r="I24" s="333">
        <f>Data!E40</f>
        <v>-922966476</v>
      </c>
      <c r="J24" s="333">
        <f>Data!F40</f>
        <v>-1146157898</v>
      </c>
      <c r="K24" s="333">
        <f>Data!G40</f>
        <v>-634916493</v>
      </c>
      <c r="L24" s="333">
        <f>Data!H40</f>
        <v>-595595416</v>
      </c>
      <c r="M24" s="333">
        <f>Data!I40</f>
        <v>-678292721</v>
      </c>
      <c r="N24" s="333">
        <f>Data!J40</f>
        <v>-1085064842</v>
      </c>
      <c r="O24" s="333">
        <f>Data!K40</f>
        <v>-1910926978</v>
      </c>
      <c r="P24" s="333">
        <f>Data!L40</f>
        <v>-1707428207</v>
      </c>
      <c r="Q24" s="333" t="str">
        <f>Data!M40</f>
        <v/>
      </c>
    </row>
    <row r="25" spans="1:17" ht="15.75" customHeight="1">
      <c r="A25" s="10"/>
      <c r="B25" s="70" t="s">
        <v>44</v>
      </c>
      <c r="C25" s="329">
        <f>C23+C24</f>
        <v>-6452823206</v>
      </c>
      <c r="D25" s="9"/>
      <c r="E25" s="273"/>
      <c r="F25" s="9"/>
      <c r="G25" s="329">
        <f t="shared" ref="G25:Q25" si="10">IF(G$4="","",G23+G24)</f>
        <v>-6452823206</v>
      </c>
      <c r="H25" s="329">
        <f t="shared" si="10"/>
        <v>-6728866204</v>
      </c>
      <c r="I25" s="329">
        <f t="shared" si="10"/>
        <v>-7234354839</v>
      </c>
      <c r="J25" s="329">
        <f t="shared" si="10"/>
        <v>-7696604453</v>
      </c>
      <c r="K25" s="329">
        <f t="shared" si="10"/>
        <v>-7028945649</v>
      </c>
      <c r="L25" s="329">
        <f t="shared" si="10"/>
        <v>-7963083953</v>
      </c>
      <c r="M25" s="329">
        <f t="shared" si="10"/>
        <v>-7902895176</v>
      </c>
      <c r="N25" s="329">
        <f t="shared" si="10"/>
        <v>-9625558989</v>
      </c>
      <c r="O25" s="329">
        <f t="shared" si="10"/>
        <v>-9692640231</v>
      </c>
      <c r="P25" s="329">
        <f t="shared" si="10"/>
        <v>-9190986186</v>
      </c>
      <c r="Q25" s="329" t="str">
        <f t="shared" si="10"/>
        <v/>
      </c>
    </row>
    <row r="26" spans="1:17" ht="15.75" customHeight="1">
      <c r="A26" s="10"/>
      <c r="E26" s="268"/>
    </row>
    <row r="27" spans="1:17" ht="15.75" customHeight="1">
      <c r="A27" s="10"/>
      <c r="B27" s="64" t="s">
        <v>202</v>
      </c>
      <c r="E27" s="268"/>
    </row>
    <row r="28" spans="1:17" ht="15.75" customHeight="1">
      <c r="A28" s="10"/>
      <c r="B28" s="26" t="s">
        <v>41</v>
      </c>
      <c r="C28" s="63">
        <f>G28</f>
        <v>0.61015928580579082</v>
      </c>
      <c r="D28" s="26"/>
      <c r="E28" s="266" t="s">
        <v>324</v>
      </c>
      <c r="F28" s="26"/>
      <c r="G28" s="13">
        <f t="shared" ref="G28:Q28" si="11">IF(G$4="","",ABS(G23/G$4))</f>
        <v>0.61015928580579082</v>
      </c>
      <c r="H28" s="13">
        <f t="shared" si="11"/>
        <v>0.58677461509238515</v>
      </c>
      <c r="I28" s="13">
        <f t="shared" si="11"/>
        <v>0.61656449000279911</v>
      </c>
      <c r="J28" s="13">
        <f t="shared" si="11"/>
        <v>0.61135950513078563</v>
      </c>
      <c r="K28" s="13">
        <f t="shared" si="11"/>
        <v>0.61840527546751356</v>
      </c>
      <c r="L28" s="13">
        <f t="shared" si="11"/>
        <v>0.65441203230803491</v>
      </c>
      <c r="M28" s="13">
        <f t="shared" si="11"/>
        <v>0.62753470442302506</v>
      </c>
      <c r="N28" s="13">
        <f t="shared" si="11"/>
        <v>0.6418505625978741</v>
      </c>
      <c r="O28" s="13">
        <f t="shared" si="11"/>
        <v>0.60909612899344201</v>
      </c>
      <c r="P28" s="13">
        <f t="shared" si="11"/>
        <v>0.64504422265927686</v>
      </c>
      <c r="Q28" s="13" t="str">
        <f t="shared" si="11"/>
        <v/>
      </c>
    </row>
    <row r="29" spans="1:17" ht="15.75" customHeight="1">
      <c r="A29" s="10"/>
      <c r="B29" s="68" t="str">
        <f>B24</f>
        <v>Selling Expenses</v>
      </c>
      <c r="C29" s="63">
        <f>G29</f>
        <v>8.3391634783754609E-2</v>
      </c>
      <c r="D29" s="26"/>
      <c r="E29" s="266" t="s">
        <v>324</v>
      </c>
      <c r="F29" s="26"/>
      <c r="G29" s="13">
        <f t="shared" ref="G29:Q29" si="12">IF(G$4="","",ABS(G24/G$4))</f>
        <v>8.3391634783754609E-2</v>
      </c>
      <c r="H29" s="13">
        <f t="shared" si="12"/>
        <v>8.0531552976988732E-2</v>
      </c>
      <c r="I29" s="13">
        <f t="shared" si="12"/>
        <v>9.0165320502337901E-2</v>
      </c>
      <c r="J29" s="13">
        <f t="shared" si="12"/>
        <v>0.10697202388257962</v>
      </c>
      <c r="K29" s="13">
        <f t="shared" si="12"/>
        <v>6.140661845185566E-2</v>
      </c>
      <c r="L29" s="13">
        <f t="shared" si="12"/>
        <v>5.2903347546519493E-2</v>
      </c>
      <c r="M29" s="13">
        <f t="shared" si="12"/>
        <v>5.8917044202264603E-2</v>
      </c>
      <c r="N29" s="13">
        <f t="shared" si="12"/>
        <v>8.1546742765172847E-2</v>
      </c>
      <c r="O29" s="13">
        <f t="shared" si="12"/>
        <v>0.14957351771349525</v>
      </c>
      <c r="P29" s="13">
        <f t="shared" si="12"/>
        <v>0.14717153306240696</v>
      </c>
      <c r="Q29" s="13" t="str">
        <f t="shared" si="12"/>
        <v/>
      </c>
    </row>
    <row r="30" spans="1:17" ht="15.75" customHeight="1">
      <c r="A30" s="10"/>
      <c r="B30" s="70" t="s">
        <v>44</v>
      </c>
      <c r="C30" s="71">
        <f>ABS(C25/$C$4)</f>
        <v>0.69355092058954548</v>
      </c>
      <c r="E30" s="268"/>
      <c r="G30" s="30">
        <f t="shared" ref="G30:Q30" si="13">IF(G$4="","",ABS(G25/G$4))</f>
        <v>0.69355092058954548</v>
      </c>
      <c r="H30" s="30">
        <f t="shared" si="13"/>
        <v>0.66730616806937393</v>
      </c>
      <c r="I30" s="30">
        <f t="shared" si="13"/>
        <v>0.70672981050513695</v>
      </c>
      <c r="J30" s="30">
        <f t="shared" si="13"/>
        <v>0.71833152901336517</v>
      </c>
      <c r="K30" s="30">
        <f t="shared" si="13"/>
        <v>0.67981189391936925</v>
      </c>
      <c r="L30" s="30">
        <f t="shared" si="13"/>
        <v>0.70731537985455439</v>
      </c>
      <c r="M30" s="30">
        <f t="shared" si="13"/>
        <v>0.68645174862528968</v>
      </c>
      <c r="N30" s="30">
        <f t="shared" si="13"/>
        <v>0.72339730536304692</v>
      </c>
      <c r="O30" s="30">
        <f t="shared" si="13"/>
        <v>0.75866964670693726</v>
      </c>
      <c r="P30" s="30">
        <f t="shared" si="13"/>
        <v>0.79221575572168379</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-1811198118</v>
      </c>
      <c r="E33" s="266" t="s">
        <v>324</v>
      </c>
      <c r="G33" s="328">
        <f>Data!C41</f>
        <v>-1811198118</v>
      </c>
      <c r="H33" s="328">
        <f>Data!D41</f>
        <v>-1660002719</v>
      </c>
      <c r="I33" s="328">
        <f>Data!E41</f>
        <v>-1551523075</v>
      </c>
      <c r="J33" s="328">
        <f>Data!F41</f>
        <v>-1508350207</v>
      </c>
      <c r="K33" s="328">
        <f>Data!G41</f>
        <v>-1339968681</v>
      </c>
      <c r="L33" s="328">
        <f>Data!H41</f>
        <v>-1241873584</v>
      </c>
      <c r="M33" s="328">
        <f>Data!I41</f>
        <v>-1177571799</v>
      </c>
      <c r="N33" s="328">
        <f>Data!J41</f>
        <v>-2022598061</v>
      </c>
      <c r="O33" s="328">
        <f>Data!K41</f>
        <v>-1654362895</v>
      </c>
      <c r="P33" s="328">
        <f>Data!L41</f>
        <v>-1155368982</v>
      </c>
      <c r="Q33" s="328" t="str">
        <f>Data!M41</f>
        <v/>
      </c>
    </row>
    <row r="34" spans="1:17" ht="15.75" customHeight="1">
      <c r="A34" s="10"/>
      <c r="B34" s="27" t="s">
        <v>47</v>
      </c>
      <c r="C34" s="340">
        <f>AVERAGE(G34:J34)</f>
        <v>-234841495.5</v>
      </c>
      <c r="D34" s="58"/>
      <c r="E34" s="266" t="s">
        <v>324</v>
      </c>
      <c r="F34" s="58"/>
      <c r="G34" s="333">
        <f>Data!C42</f>
        <v>-218971112</v>
      </c>
      <c r="H34" s="333">
        <f>Data!D42</f>
        <v>-230826900</v>
      </c>
      <c r="I34" s="333">
        <f>Data!E42</f>
        <v>-251189350</v>
      </c>
      <c r="J34" s="333">
        <f>Data!F42</f>
        <v>-238378620</v>
      </c>
      <c r="K34" s="333">
        <f>Data!G42</f>
        <v>-208413520</v>
      </c>
      <c r="L34" s="333">
        <f>Data!H42</f>
        <v>-390411956</v>
      </c>
      <c r="M34" s="333">
        <f>Data!I42</f>
        <v>-833049901</v>
      </c>
      <c r="N34" s="333">
        <f>Data!J42</f>
        <v>0</v>
      </c>
      <c r="O34" s="333">
        <f>Data!K42</f>
        <v>0</v>
      </c>
      <c r="P34" s="333">
        <f>Data!L42</f>
        <v>0</v>
      </c>
      <c r="Q34" s="333" t="str">
        <f>Data!M42</f>
        <v/>
      </c>
    </row>
    <row r="35" spans="1:17" ht="15.75" customHeight="1">
      <c r="A35" s="10"/>
      <c r="B35" s="70" t="s">
        <v>43</v>
      </c>
      <c r="C35" s="329">
        <f>C33+C34</f>
        <v>-2046039613.5</v>
      </c>
      <c r="D35" s="58"/>
      <c r="E35" s="267"/>
      <c r="F35" s="58"/>
      <c r="G35" s="329">
        <f t="shared" ref="G35:Q35" si="14">IF(G4="","",G33+G34)</f>
        <v>-2030169230</v>
      </c>
      <c r="H35" s="329">
        <f t="shared" si="14"/>
        <v>-1890829619</v>
      </c>
      <c r="I35" s="329">
        <f t="shared" si="14"/>
        <v>-1802712425</v>
      </c>
      <c r="J35" s="329">
        <f t="shared" si="14"/>
        <v>-1746728827</v>
      </c>
      <c r="K35" s="329">
        <f t="shared" si="14"/>
        <v>-1548382201</v>
      </c>
      <c r="L35" s="329">
        <f t="shared" si="14"/>
        <v>-1632285540</v>
      </c>
      <c r="M35" s="329">
        <f t="shared" si="14"/>
        <v>-2010621700</v>
      </c>
      <c r="N35" s="329">
        <f t="shared" si="14"/>
        <v>-2022598061</v>
      </c>
      <c r="O35" s="329">
        <f t="shared" si="14"/>
        <v>-1654362895</v>
      </c>
      <c r="P35" s="329">
        <f t="shared" si="14"/>
        <v>-1155368982</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0.19466798980963004</v>
      </c>
      <c r="D38" s="27"/>
      <c r="E38" s="265"/>
      <c r="F38" s="27"/>
      <c r="G38" s="13">
        <f t="shared" ref="G38:Q38" si="15">IF(G$4="","",ABS(G33/G$4))</f>
        <v>0.19466798980963004</v>
      </c>
      <c r="H38" s="13">
        <f t="shared" si="15"/>
        <v>0.16462358142031971</v>
      </c>
      <c r="I38" s="13">
        <f t="shared" si="15"/>
        <v>0.15156950871111363</v>
      </c>
      <c r="J38" s="13">
        <f t="shared" si="15"/>
        <v>0.14077578198261295</v>
      </c>
      <c r="K38" s="13">
        <f t="shared" si="15"/>
        <v>0.12959648463818263</v>
      </c>
      <c r="L38" s="13">
        <f t="shared" si="15"/>
        <v>0.11030855520082407</v>
      </c>
      <c r="M38" s="13">
        <f t="shared" si="15"/>
        <v>0.10228482126527678</v>
      </c>
      <c r="N38" s="13">
        <f t="shared" si="15"/>
        <v>0.15200592389823686</v>
      </c>
      <c r="O38" s="13">
        <f t="shared" si="15"/>
        <v>0.12949154029884222</v>
      </c>
      <c r="P38" s="13">
        <f t="shared" si="15"/>
        <v>9.9586866163147825E-2</v>
      </c>
      <c r="Q38" s="13" t="str">
        <f t="shared" si="15"/>
        <v/>
      </c>
    </row>
    <row r="39" spans="1:17" ht="15.75" customHeight="1">
      <c r="A39" s="10"/>
      <c r="B39" s="27" t="str">
        <f>B34</f>
        <v>R&amp;D</v>
      </c>
      <c r="C39" s="23">
        <f>ABS(C34/$C$4)</f>
        <v>2.524081788653464E-2</v>
      </c>
      <c r="D39" s="27"/>
      <c r="E39" s="265"/>
      <c r="F39" s="27"/>
      <c r="G39" s="13">
        <f t="shared" ref="G39:Q39" si="16">IF(G$4="","",ABS(G34/G$4))</f>
        <v>2.3535065422047526E-2</v>
      </c>
      <c r="H39" s="13">
        <f t="shared" si="16"/>
        <v>2.2891258267963115E-2</v>
      </c>
      <c r="I39" s="13">
        <f t="shared" si="16"/>
        <v>2.4538885039118073E-2</v>
      </c>
      <c r="J39" s="13">
        <f t="shared" si="16"/>
        <v>2.2248106893677202E-2</v>
      </c>
      <c r="K39" s="13">
        <f t="shared" si="16"/>
        <v>2.0156933461245256E-2</v>
      </c>
      <c r="L39" s="13">
        <f t="shared" si="16"/>
        <v>3.4678069776454552E-2</v>
      </c>
      <c r="M39" s="13">
        <f t="shared" si="16"/>
        <v>7.2359375709575319E-2</v>
      </c>
      <c r="N39" s="13">
        <f t="shared" si="16"/>
        <v>0</v>
      </c>
      <c r="O39" s="13">
        <f t="shared" si="16"/>
        <v>0</v>
      </c>
      <c r="P39" s="13">
        <f t="shared" si="16"/>
        <v>0</v>
      </c>
      <c r="Q39" s="13" t="str">
        <f t="shared" si="16"/>
        <v/>
      </c>
    </row>
    <row r="40" spans="1:17" ht="15.75" customHeight="1">
      <c r="A40" s="10"/>
      <c r="B40" s="70" t="s">
        <v>43</v>
      </c>
      <c r="C40" s="71">
        <f>ABS(C35/$C$4)</f>
        <v>0.21990880769616467</v>
      </c>
      <c r="E40" s="268"/>
      <c r="G40" s="30">
        <f t="shared" ref="G40:Q40" si="17">IF(G$4="","",ABS(G35/G$4))</f>
        <v>0.21820305523167755</v>
      </c>
      <c r="H40" s="30">
        <f t="shared" si="17"/>
        <v>0.18751483968828284</v>
      </c>
      <c r="I40" s="30">
        <f t="shared" si="17"/>
        <v>0.17610839375023168</v>
      </c>
      <c r="J40" s="30">
        <f t="shared" si="17"/>
        <v>0.16302388887629013</v>
      </c>
      <c r="K40" s="30">
        <f t="shared" si="17"/>
        <v>0.14975341809942788</v>
      </c>
      <c r="L40" s="30">
        <f t="shared" si="17"/>
        <v>0.14498662497727863</v>
      </c>
      <c r="M40" s="30">
        <f t="shared" si="17"/>
        <v>0.17464419697485212</v>
      </c>
      <c r="N40" s="30">
        <f t="shared" si="17"/>
        <v>0.15200592389823686</v>
      </c>
      <c r="O40" s="30">
        <f t="shared" si="17"/>
        <v>0.12949154029884222</v>
      </c>
      <c r="P40" s="30">
        <f t="shared" si="17"/>
        <v>9.9586866163147825E-2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0.5159300731603097</v>
      </c>
      <c r="H43" s="6">
        <f t="shared" si="18"/>
        <v>-0.171204164205569</v>
      </c>
      <c r="I43" s="6">
        <f t="shared" si="18"/>
        <v>3.5513584143140785E-2</v>
      </c>
      <c r="J43" s="6">
        <f t="shared" si="18"/>
        <v>0.20852292341674494</v>
      </c>
      <c r="K43" s="6">
        <f t="shared" si="18"/>
        <v>5.1279868648080665E-2</v>
      </c>
      <c r="L43" s="6">
        <f t="shared" si="18"/>
        <v>3.5772416398314764E-2</v>
      </c>
      <c r="M43" s="6">
        <f t="shared" si="18"/>
        <v>6.1187320849930719E-2</v>
      </c>
      <c r="N43" s="6">
        <f t="shared" si="18"/>
        <v>2.8050503458924327E-2</v>
      </c>
      <c r="O43" s="6">
        <f t="shared" si="18"/>
        <v>6.2203319518491167E-2</v>
      </c>
      <c r="P43" s="6">
        <f t="shared" si="18"/>
        <v>4.6400032687921873E-2</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-127330087.00000001</v>
      </c>
      <c r="E47" s="268"/>
      <c r="G47" s="328">
        <f>Data!C51</f>
        <v>-127330087</v>
      </c>
      <c r="H47" s="328">
        <f>Data!D51</f>
        <v>-145285501</v>
      </c>
      <c r="I47" s="328">
        <f>Data!E51</f>
        <v>-161564792</v>
      </c>
      <c r="J47" s="328">
        <f>Data!F51</f>
        <v>-169466694</v>
      </c>
      <c r="K47" s="328">
        <f>Data!G51</f>
        <v>-139996345</v>
      </c>
      <c r="L47" s="328">
        <f>Data!H51</f>
        <v>-156549769</v>
      </c>
      <c r="M47" s="328">
        <f>Data!I51</f>
        <v>-87319034</v>
      </c>
      <c r="N47" s="328">
        <f>Data!J51</f>
        <v>0</v>
      </c>
      <c r="O47" s="328">
        <f>Data!K51</f>
        <v>0</v>
      </c>
      <c r="P47" s="328">
        <f>Data!L51</f>
        <v>0</v>
      </c>
      <c r="Q47" s="328" t="str">
        <f>Data!M51</f>
        <v/>
      </c>
    </row>
    <row r="48" spans="1:17" ht="15.75" customHeight="1">
      <c r="A48" s="10"/>
      <c r="B48" s="2" t="s">
        <v>336</v>
      </c>
      <c r="C48" s="328">
        <f>BS!D75*C53</f>
        <v>30189572.474333331</v>
      </c>
      <c r="E48" s="268"/>
      <c r="G48" s="337">
        <f>IFERROR(IF(G$4="","",($C$48/$C$49)*G49),0)</f>
        <v>80549955.036008164</v>
      </c>
      <c r="H48" s="337">
        <f t="shared" ref="H48:Q48" si="19">IFERROR(IF(H$4="","",($C$48/$C$49)*H49),0)</f>
        <v>116617937.14180169</v>
      </c>
      <c r="I48" s="337">
        <f t="shared" si="19"/>
        <v>164841402.52970812</v>
      </c>
      <c r="J48" s="337">
        <f t="shared" si="19"/>
        <v>125975143.51540205</v>
      </c>
      <c r="K48" s="337">
        <f t="shared" si="19"/>
        <v>75517328.546773851</v>
      </c>
      <c r="L48" s="337">
        <f t="shared" si="19"/>
        <v>56520256.00455296</v>
      </c>
      <c r="M48" s="337">
        <f t="shared" si="19"/>
        <v>33057334.511606529</v>
      </c>
      <c r="N48" s="337">
        <f t="shared" si="19"/>
        <v>0</v>
      </c>
      <c r="O48" s="337">
        <f t="shared" si="19"/>
        <v>0</v>
      </c>
      <c r="P48" s="337">
        <f t="shared" si="19"/>
        <v>0</v>
      </c>
      <c r="Q48" s="337" t="str">
        <f t="shared" si="19"/>
        <v/>
      </c>
    </row>
    <row r="49" spans="1:17" ht="15.75" customHeight="1">
      <c r="A49" s="10"/>
      <c r="B49" s="287" t="s">
        <v>333</v>
      </c>
      <c r="C49" s="342">
        <f>BS!$C$66*C53</f>
        <v>105708652.13440001</v>
      </c>
      <c r="D49" s="288"/>
      <c r="E49" s="289"/>
      <c r="F49" s="288"/>
      <c r="G49" s="342">
        <f>Data!C52</f>
        <v>282045305</v>
      </c>
      <c r="H49" s="342">
        <f>Data!D52</f>
        <v>408337182</v>
      </c>
      <c r="I49" s="342">
        <f>Data!E52</f>
        <v>577191429</v>
      </c>
      <c r="J49" s="342">
        <f>Data!F52</f>
        <v>441101398</v>
      </c>
      <c r="K49" s="342">
        <f>Data!G52</f>
        <v>264423586</v>
      </c>
      <c r="L49" s="342">
        <f>Data!H52</f>
        <v>197905422</v>
      </c>
      <c r="M49" s="342">
        <f>Data!I52</f>
        <v>115750108</v>
      </c>
      <c r="N49" s="342">
        <f>Data!J52</f>
        <v>0</v>
      </c>
      <c r="O49" s="342">
        <f>Data!K52</f>
        <v>0</v>
      </c>
      <c r="P49" s="342">
        <f>Data!L52</f>
        <v>0</v>
      </c>
      <c r="Q49" s="342" t="str">
        <f>Data!M52</f>
        <v/>
      </c>
    </row>
    <row r="50" spans="1:17" ht="15.75" customHeight="1">
      <c r="A50" s="10"/>
      <c r="B50" s="70" t="s">
        <v>66</v>
      </c>
      <c r="C50" s="329">
        <f>C47+C48</f>
        <v>-97140514.525666684</v>
      </c>
      <c r="E50" s="268"/>
      <c r="G50" s="329">
        <f>IF(G$4="","",(G47+G48))</f>
        <v>-46780131.963991836</v>
      </c>
      <c r="H50" s="329">
        <f t="shared" ref="H50:Q50" si="20">IF(H$4="","",(H47+H48))</f>
        <v>-28667563.858198315</v>
      </c>
      <c r="I50" s="329">
        <f t="shared" si="20"/>
        <v>3276610.5297081172</v>
      </c>
      <c r="J50" s="329">
        <f t="shared" si="20"/>
        <v>-43491550.484597951</v>
      </c>
      <c r="K50" s="329">
        <f t="shared" si="20"/>
        <v>-64479016.453226149</v>
      </c>
      <c r="L50" s="329">
        <f t="shared" si="20"/>
        <v>-100029512.99544704</v>
      </c>
      <c r="M50" s="329">
        <f t="shared" si="20"/>
        <v>-54261699.488393471</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0.01</v>
      </c>
      <c r="E53" s="265" t="s">
        <v>326</v>
      </c>
      <c r="G53" s="6">
        <f>IF(Normalized_FCF!G4="","",Normalized_FCF!G49/BS!$C$66)</f>
        <v>2.6681383151248791E-2</v>
      </c>
      <c r="H53" s="169"/>
      <c r="I53" s="169"/>
      <c r="J53" s="169"/>
      <c r="K53" s="169"/>
      <c r="L53" s="169"/>
      <c r="M53" s="169"/>
      <c r="N53" s="169"/>
      <c r="O53" s="169"/>
      <c r="P53" s="169"/>
      <c r="Q53" s="169"/>
    </row>
    <row r="54" spans="1:17" ht="15.75" customHeight="1">
      <c r="A54" s="10"/>
      <c r="B54" s="8" t="s">
        <v>85</v>
      </c>
      <c r="C54" s="82">
        <f>G54</f>
        <v>7.5523791471175328E-2</v>
      </c>
      <c r="E54" s="265" t="s">
        <v>327</v>
      </c>
      <c r="G54" s="23">
        <f>IFERROR(ABS(Normalized_FCF!G47/BS!$G$31),0)</f>
        <v>7.5523791471175328E-2</v>
      </c>
      <c r="H54" s="169"/>
      <c r="I54" s="169"/>
      <c r="J54" s="169"/>
      <c r="K54" s="169"/>
      <c r="L54" s="169"/>
      <c r="M54" s="169"/>
      <c r="N54" s="169"/>
      <c r="O54" s="169"/>
      <c r="P54" s="169"/>
      <c r="Q54" s="169"/>
    </row>
    <row r="55" spans="1:17" ht="15.75" customHeight="1">
      <c r="A55" s="10"/>
      <c r="B55" s="26" t="s">
        <v>88</v>
      </c>
      <c r="C55" s="42">
        <f>-C8/C47</f>
        <v>6.3235161576540815</v>
      </c>
      <c r="E55" s="268"/>
      <c r="G55" s="42">
        <f t="shared" ref="G55:Q55" si="21">IF(G4="","",-G8/G47)</f>
        <v>6.4481558549473075</v>
      </c>
      <c r="H55" s="42">
        <f t="shared" si="21"/>
        <v>10.076234262357673</v>
      </c>
      <c r="I55" s="42">
        <f t="shared" si="21"/>
        <v>7.4231064711177916</v>
      </c>
      <c r="J55" s="42">
        <f t="shared" si="21"/>
        <v>7.5013217287403977</v>
      </c>
      <c r="K55" s="42">
        <f t="shared" si="21"/>
        <v>12.587593776108941</v>
      </c>
      <c r="L55" s="42">
        <f t="shared" si="21"/>
        <v>10.621610268872386</v>
      </c>
      <c r="M55" s="42">
        <f t="shared" si="21"/>
        <v>18.313957653264922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206934892</v>
      </c>
      <c r="H62" s="328">
        <f>Data!D58</f>
        <v>-18511612</v>
      </c>
      <c r="I62" s="328">
        <f>Data!E58</f>
        <v>344315635</v>
      </c>
      <c r="J62" s="328">
        <f>Data!F58</f>
        <v>763452261</v>
      </c>
      <c r="K62" s="328">
        <f>Data!G58</f>
        <v>30539566</v>
      </c>
      <c r="L62" s="328">
        <f>Data!H58</f>
        <v>83096453</v>
      </c>
      <c r="M62" s="328">
        <f>Data!I58</f>
        <v>93192318</v>
      </c>
      <c r="N62" s="328">
        <f>Data!J58</f>
        <v>-159339207</v>
      </c>
      <c r="O62" s="328">
        <f>Data!K58</f>
        <v>-60217094</v>
      </c>
      <c r="P62" s="328">
        <f>Data!L58</f>
        <v>-35060857</v>
      </c>
      <c r="Q62" s="328" t="str">
        <f>Data!M58</f>
        <v/>
      </c>
    </row>
    <row r="63" spans="1:17" ht="15.75" customHeight="1">
      <c r="A63" s="10"/>
      <c r="B63" s="31" t="s">
        <v>191</v>
      </c>
      <c r="C63" s="329">
        <f>C61+C62</f>
        <v>0</v>
      </c>
      <c r="E63" s="268"/>
      <c r="G63" s="329">
        <f t="shared" ref="G63:Q63" si="23">IF(G4="","",G61+G62)</f>
        <v>206934892</v>
      </c>
      <c r="H63" s="329">
        <f t="shared" si="23"/>
        <v>-18511612</v>
      </c>
      <c r="I63" s="329">
        <f t="shared" si="23"/>
        <v>344315635</v>
      </c>
      <c r="J63" s="329">
        <f t="shared" si="23"/>
        <v>763452261</v>
      </c>
      <c r="K63" s="329">
        <f t="shared" si="23"/>
        <v>30539566</v>
      </c>
      <c r="L63" s="329">
        <f t="shared" si="23"/>
        <v>83096453</v>
      </c>
      <c r="M63" s="329">
        <f t="shared" si="23"/>
        <v>93192318</v>
      </c>
      <c r="N63" s="329">
        <f t="shared" si="23"/>
        <v>-159339207</v>
      </c>
      <c r="O63" s="329">
        <f t="shared" si="23"/>
        <v>-60217094</v>
      </c>
      <c r="P63" s="329">
        <f t="shared" si="23"/>
        <v>-35060857</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0.69355092058954548</v>
      </c>
      <c r="D73" s="27"/>
      <c r="E73" s="265"/>
      <c r="F73" s="27"/>
      <c r="G73" s="6">
        <f t="shared" ref="G73:Q73" si="24">IF(G$4="","",ABS(G5/G$4))</f>
        <v>0.69355092058954548</v>
      </c>
      <c r="H73" s="6">
        <f t="shared" si="24"/>
        <v>0.66730616806937393</v>
      </c>
      <c r="I73" s="6">
        <f t="shared" si="24"/>
        <v>0.70672981050513695</v>
      </c>
      <c r="J73" s="6">
        <f t="shared" si="24"/>
        <v>0.71833152901336517</v>
      </c>
      <c r="K73" s="6">
        <f t="shared" si="24"/>
        <v>0.67981189391936925</v>
      </c>
      <c r="L73" s="6">
        <f t="shared" si="24"/>
        <v>0.70731537985455439</v>
      </c>
      <c r="M73" s="6">
        <f t="shared" si="24"/>
        <v>0.68645174862528968</v>
      </c>
      <c r="N73" s="6">
        <f t="shared" si="24"/>
        <v>0.72339730536304692</v>
      </c>
      <c r="O73" s="6">
        <f t="shared" si="24"/>
        <v>0.75866964670693726</v>
      </c>
      <c r="P73" s="6">
        <f t="shared" si="24"/>
        <v>0.79221575572168379</v>
      </c>
      <c r="Q73" s="6" t="str">
        <f t="shared" si="24"/>
        <v/>
      </c>
    </row>
    <row r="74" spans="1:17" ht="15.75" customHeight="1">
      <c r="A74" s="10"/>
      <c r="B74" s="31" t="s">
        <v>46</v>
      </c>
      <c r="C74" s="78">
        <f>ABS(C6/C$4)</f>
        <v>0.30644907941045452</v>
      </c>
      <c r="D74" s="27"/>
      <c r="E74" s="265"/>
      <c r="F74" s="27"/>
      <c r="G74" s="65">
        <f t="shared" ref="G74:Q74" si="25">IF(G$4="","",ABS(G6/G$4))</f>
        <v>0.30644907941045452</v>
      </c>
      <c r="H74" s="65">
        <f t="shared" si="25"/>
        <v>0.33269383193062607</v>
      </c>
      <c r="I74" s="65">
        <f t="shared" si="25"/>
        <v>0.293270189494863</v>
      </c>
      <c r="J74" s="65">
        <f t="shared" si="25"/>
        <v>0.28166847098663478</v>
      </c>
      <c r="K74" s="65">
        <f t="shared" si="25"/>
        <v>0.32018810608063075</v>
      </c>
      <c r="L74" s="65">
        <f t="shared" si="25"/>
        <v>0.29268462014544566</v>
      </c>
      <c r="M74" s="65">
        <f t="shared" si="25"/>
        <v>0.31354825137471037</v>
      </c>
      <c r="N74" s="65">
        <f t="shared" si="25"/>
        <v>0.27660269463695308</v>
      </c>
      <c r="O74" s="65">
        <f t="shared" si="25"/>
        <v>0.24133035329306274</v>
      </c>
      <c r="P74" s="65">
        <f t="shared" si="25"/>
        <v>0.20778424427831618</v>
      </c>
      <c r="Q74" s="65" t="str">
        <f t="shared" si="25"/>
        <v/>
      </c>
    </row>
    <row r="75" spans="1:17" ht="15.75" customHeight="1">
      <c r="A75" s="10"/>
      <c r="B75" s="8" t="s">
        <v>43</v>
      </c>
      <c r="C75" s="77">
        <f>ABS(C7/C$4)</f>
        <v>0.21990880769616467</v>
      </c>
      <c r="D75" s="27"/>
      <c r="E75" s="265"/>
      <c r="F75" s="27"/>
      <c r="G75" s="6">
        <f t="shared" ref="G75:Q75" si="26">IF(G$4="","",ABS(G7/G$4))</f>
        <v>0.21820305523167755</v>
      </c>
      <c r="H75" s="6">
        <f t="shared" si="26"/>
        <v>0.18751483968828284</v>
      </c>
      <c r="I75" s="6">
        <f t="shared" si="26"/>
        <v>0.17610839375023168</v>
      </c>
      <c r="J75" s="6">
        <f t="shared" si="26"/>
        <v>0.16302388887629013</v>
      </c>
      <c r="K75" s="6">
        <f t="shared" si="26"/>
        <v>0.14975341809942788</v>
      </c>
      <c r="L75" s="6">
        <f t="shared" si="26"/>
        <v>0.14498662497727863</v>
      </c>
      <c r="M75" s="6">
        <f t="shared" si="26"/>
        <v>0.17464419697485212</v>
      </c>
      <c r="N75" s="6">
        <f t="shared" si="26"/>
        <v>0.15200592389823686</v>
      </c>
      <c r="O75" s="6">
        <f t="shared" si="26"/>
        <v>0.12949154029884222</v>
      </c>
      <c r="P75" s="6">
        <f t="shared" si="26"/>
        <v>9.9586866163147825E-2</v>
      </c>
      <c r="Q75" s="6" t="str">
        <f t="shared" si="26"/>
        <v/>
      </c>
    </row>
    <row r="76" spans="1:17" ht="15.75" customHeight="1">
      <c r="A76" s="10"/>
      <c r="B76" s="29" t="s">
        <v>148</v>
      </c>
      <c r="C76" s="78">
        <f>ABS(C8/C$4)</f>
        <v>8.6540271714289879E-2</v>
      </c>
      <c r="D76" s="27"/>
      <c r="E76" s="265"/>
      <c r="F76" s="27"/>
      <c r="G76" s="65">
        <f t="shared" ref="G76:Q76" si="27">IF(G$4="","",ABS(G8/G$4))</f>
        <v>8.8246024178776986E-2</v>
      </c>
      <c r="H76" s="65">
        <f t="shared" si="27"/>
        <v>0.14517899224234321</v>
      </c>
      <c r="I76" s="65">
        <f t="shared" si="27"/>
        <v>0.11716179574463131</v>
      </c>
      <c r="J76" s="65">
        <f t="shared" si="27"/>
        <v>0.11864458211034465</v>
      </c>
      <c r="K76" s="65">
        <f t="shared" si="27"/>
        <v>0.17043468798120284</v>
      </c>
      <c r="L76" s="65">
        <f t="shared" si="27"/>
        <v>0.14769799516816703</v>
      </c>
      <c r="M76" s="65">
        <f t="shared" si="27"/>
        <v>0.13890405439985826</v>
      </c>
      <c r="N76" s="65">
        <f t="shared" si="27"/>
        <v>0.12459677073871622</v>
      </c>
      <c r="O76" s="65">
        <f t="shared" si="27"/>
        <v>0.11183881299422052</v>
      </c>
      <c r="P76" s="65">
        <f t="shared" si="27"/>
        <v>0.10819737811516837</v>
      </c>
      <c r="Q76" s="65" t="str">
        <f t="shared" si="27"/>
        <v/>
      </c>
    </row>
    <row r="77" spans="1:17" ht="15.75" customHeight="1">
      <c r="A77" s="10"/>
      <c r="B77" s="2" t="s">
        <v>63</v>
      </c>
      <c r="C77" s="77">
        <f>ABS(C9/C$4)</f>
        <v>3.2696959222930116E-2</v>
      </c>
      <c r="D77" s="27"/>
      <c r="E77" s="265"/>
      <c r="F77" s="27"/>
      <c r="G77" s="6">
        <f t="shared" ref="G77:Q77" si="28">IF(G$4="","",G9/G$4)</f>
        <v>3.2696959222930116E-2</v>
      </c>
      <c r="H77" s="6">
        <f t="shared" si="28"/>
        <v>2.8240336067201399E-2</v>
      </c>
      <c r="I77" s="6">
        <f t="shared" si="28"/>
        <v>2.7369137749051756E-2</v>
      </c>
      <c r="J77" s="6">
        <f t="shared" si="28"/>
        <v>2.4456868856775334E-2</v>
      </c>
      <c r="K77" s="6">
        <f t="shared" si="28"/>
        <v>2.2585146991958471E-2</v>
      </c>
      <c r="L77" s="6">
        <f t="shared" si="28"/>
        <v>2.1486734647268448E-2</v>
      </c>
      <c r="M77" s="6">
        <f t="shared" si="28"/>
        <v>1.853320893231198E-2</v>
      </c>
      <c r="N77" s="6">
        <f t="shared" si="28"/>
        <v>0</v>
      </c>
      <c r="O77" s="6">
        <f t="shared" si="28"/>
        <v>0</v>
      </c>
      <c r="P77" s="6">
        <f t="shared" si="28"/>
        <v>0</v>
      </c>
      <c r="Q77" s="6" t="str">
        <f t="shared" si="28"/>
        <v/>
      </c>
    </row>
    <row r="78" spans="1:17" ht="15.75" customHeight="1">
      <c r="A78" s="10"/>
      <c r="B78" s="2" t="s">
        <v>78</v>
      </c>
      <c r="C78" s="88">
        <f>MAX(AVERAGE(G78:J78),C77)</f>
        <v>3.2696959222930116E-2</v>
      </c>
      <c r="D78" s="27"/>
      <c r="E78" s="266" t="s">
        <v>560</v>
      </c>
      <c r="F78" s="27"/>
      <c r="G78" s="6">
        <f t="shared" ref="G78:Q78" si="29">IF(G$4="","",-G10/G$4)</f>
        <v>3.2696959222930116E-2</v>
      </c>
      <c r="H78" s="6">
        <f t="shared" si="29"/>
        <v>2.8240336067201399E-2</v>
      </c>
      <c r="I78" s="6">
        <f t="shared" si="29"/>
        <v>2.7369137749051756E-2</v>
      </c>
      <c r="J78" s="6">
        <f t="shared" si="29"/>
        <v>2.4456868856775334E-2</v>
      </c>
      <c r="K78" s="6">
        <f t="shared" si="29"/>
        <v>2.2585146991958471E-2</v>
      </c>
      <c r="L78" s="6">
        <f t="shared" si="29"/>
        <v>2.1486734647268448E-2</v>
      </c>
      <c r="M78" s="6">
        <f t="shared" si="29"/>
        <v>1.853320893231198E-2</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1.0440684817332999E-2</v>
      </c>
      <c r="D80" s="27"/>
      <c r="E80" s="265"/>
      <c r="F80" s="27"/>
      <c r="G80" s="6">
        <f t="shared" ref="G80:Q80" si="31">IF(G$4="","",ABS(G12/G$4))</f>
        <v>5.0279393303010881E-3</v>
      </c>
      <c r="H80" s="6">
        <f t="shared" si="31"/>
        <v>2.8429815077503648E-3</v>
      </c>
      <c r="I80" s="6">
        <f t="shared" si="31"/>
        <v>3.2009465809944277E-4</v>
      </c>
      <c r="J80" s="6">
        <f t="shared" si="31"/>
        <v>4.0591084223622646E-3</v>
      </c>
      <c r="K80" s="6">
        <f t="shared" si="31"/>
        <v>6.236156101073565E-3</v>
      </c>
      <c r="L80" s="6">
        <f t="shared" si="31"/>
        <v>8.8850517461122012E-3</v>
      </c>
      <c r="M80" s="6">
        <f t="shared" si="31"/>
        <v>4.7132142926942554E-3</v>
      </c>
      <c r="N80" s="6">
        <f t="shared" si="31"/>
        <v>0</v>
      </c>
      <c r="O80" s="6">
        <f t="shared" si="31"/>
        <v>0</v>
      </c>
      <c r="P80" s="6">
        <f t="shared" si="31"/>
        <v>0</v>
      </c>
      <c r="Q80" s="6" t="str">
        <f t="shared" si="31"/>
        <v/>
      </c>
    </row>
    <row r="81" spans="1:17" ht="15.75" customHeight="1">
      <c r="A81" s="10"/>
      <c r="B81" s="70" t="s">
        <v>160</v>
      </c>
      <c r="C81" s="78">
        <f>C13/C4</f>
        <v>7.6099586896956867E-2</v>
      </c>
      <c r="D81" s="27"/>
      <c r="E81" s="265"/>
      <c r="F81" s="27"/>
      <c r="G81" s="65">
        <f t="shared" ref="G81:Q81" si="32">IF(G$4="","",G13/G$4)</f>
        <v>8.3218084848475898E-2</v>
      </c>
      <c r="H81" s="65">
        <f t="shared" si="32"/>
        <v>0.14233601073459284</v>
      </c>
      <c r="I81" s="65">
        <f t="shared" si="32"/>
        <v>0.11748189040273076</v>
      </c>
      <c r="J81" s="65">
        <f t="shared" si="32"/>
        <v>0.11458547368798239</v>
      </c>
      <c r="K81" s="65">
        <f t="shared" si="32"/>
        <v>0.16419853188012928</v>
      </c>
      <c r="L81" s="65">
        <f t="shared" si="32"/>
        <v>0.1388129434220548</v>
      </c>
      <c r="M81" s="65">
        <f t="shared" si="32"/>
        <v>0.13419084010716401</v>
      </c>
      <c r="N81" s="65">
        <f t="shared" si="32"/>
        <v>0.12459677073871622</v>
      </c>
      <c r="O81" s="65">
        <f t="shared" si="32"/>
        <v>0.11183881299422052</v>
      </c>
      <c r="P81" s="65">
        <f t="shared" si="32"/>
        <v>0.10819737811516837</v>
      </c>
      <c r="Q81" s="65" t="str">
        <f t="shared" si="32"/>
        <v/>
      </c>
    </row>
    <row r="82" spans="1:17" ht="15.75" customHeight="1">
      <c r="A82" s="10"/>
      <c r="B82" s="2" t="s">
        <v>61</v>
      </c>
      <c r="C82" s="77">
        <f>ABS(C14/C$4)</f>
        <v>1.9024896724239217E-2</v>
      </c>
      <c r="D82" s="27"/>
      <c r="E82" s="265"/>
      <c r="F82" s="27"/>
      <c r="G82" s="6">
        <f t="shared" ref="G82:Q82" si="33">IF(G$4="","",ABS(G14/G$4))</f>
        <v>4.293471260413502E-2</v>
      </c>
      <c r="H82" s="6">
        <f t="shared" si="33"/>
        <v>2.4368517754170867E-2</v>
      </c>
      <c r="I82" s="6">
        <f t="shared" si="33"/>
        <v>4.1722030001126228E-3</v>
      </c>
      <c r="J82" s="6">
        <f t="shared" si="33"/>
        <v>2.3893697954510594E-2</v>
      </c>
      <c r="K82" s="6">
        <f t="shared" si="33"/>
        <v>8.4200791470207155E-3</v>
      </c>
      <c r="L82" s="6">
        <f t="shared" si="33"/>
        <v>4.9656744135694536E-3</v>
      </c>
      <c r="M82" s="6">
        <f t="shared" si="33"/>
        <v>8.210777988758796E-3</v>
      </c>
      <c r="N82" s="6">
        <f t="shared" si="33"/>
        <v>3.4950021485771606E-3</v>
      </c>
      <c r="O82" s="6">
        <f t="shared" si="33"/>
        <v>6.9567454192482805E-3</v>
      </c>
      <c r="P82" s="6">
        <f t="shared" si="33"/>
        <v>5.0203618812912545E-3</v>
      </c>
      <c r="Q82" s="6" t="str">
        <f t="shared" si="33"/>
        <v/>
      </c>
    </row>
    <row r="83" spans="1:17" ht="15.75" customHeight="1">
      <c r="A83" s="10"/>
      <c r="B83" s="40" t="str">
        <f>B15</f>
        <v>NCI’s Share of Profits</v>
      </c>
      <c r="C83" s="264">
        <f>MIN(BS!C62,MAX(G83:K83))</f>
        <v>4.1746455143651376E-3</v>
      </c>
      <c r="D83" s="27"/>
      <c r="E83" s="265"/>
      <c r="F83" s="27"/>
      <c r="G83" s="6">
        <f t="shared" ref="G83:Q83" si="34">IF(G$4="","",-G15/G$4)</f>
        <v>4.1746455143651376E-3</v>
      </c>
      <c r="H83" s="6">
        <f t="shared" si="34"/>
        <v>0</v>
      </c>
      <c r="I83" s="6">
        <f t="shared" si="34"/>
        <v>0</v>
      </c>
      <c r="J83" s="6">
        <f t="shared" si="34"/>
        <v>6.4185665312713777E-4</v>
      </c>
      <c r="K83" s="6">
        <f t="shared" si="34"/>
        <v>2.3710788113752864E-3</v>
      </c>
      <c r="L83" s="6">
        <f t="shared" si="34"/>
        <v>5.2210276738273405E-4</v>
      </c>
      <c r="M83" s="6">
        <f t="shared" si="34"/>
        <v>6.2046063499020308E-4</v>
      </c>
      <c r="N83" s="6">
        <f t="shared" si="34"/>
        <v>2.2933331433365184E-5</v>
      </c>
      <c r="O83" s="6">
        <f t="shared" si="34"/>
        <v>0</v>
      </c>
      <c r="P83" s="6">
        <f t="shared" si="34"/>
        <v>8.9646491317025845E-3</v>
      </c>
      <c r="Q83" s="6" t="str">
        <f t="shared" si="34"/>
        <v/>
      </c>
    </row>
    <row r="84" spans="1:17" ht="15.75" customHeight="1">
      <c r="A84" s="10"/>
      <c r="B84" s="41" t="s">
        <v>150</v>
      </c>
      <c r="C84" s="78">
        <f>ABS(C16/C$4)</f>
        <v>5.2900044658352519E-2</v>
      </c>
      <c r="D84" s="27"/>
      <c r="E84" s="265"/>
      <c r="F84" s="27"/>
      <c r="G84" s="65">
        <f t="shared" ref="G84:Q84" si="35">IF(G$4="","",ABS(G16/G$4))</f>
        <v>3.6108726729975733E-2</v>
      </c>
      <c r="H84" s="65">
        <f t="shared" si="35"/>
        <v>0.16670452848876371</v>
      </c>
      <c r="I84" s="65">
        <f t="shared" si="35"/>
        <v>0.11330968740261814</v>
      </c>
      <c r="J84" s="65">
        <f t="shared" si="35"/>
        <v>9.0049919080344654E-2</v>
      </c>
      <c r="K84" s="65">
        <f t="shared" si="35"/>
        <v>0.15340737392173329</v>
      </c>
      <c r="L84" s="65">
        <f t="shared" si="35"/>
        <v>0.13332516624110263</v>
      </c>
      <c r="M84" s="65">
        <f t="shared" si="35"/>
        <v>0.12535960148341499</v>
      </c>
      <c r="N84" s="65">
        <f t="shared" si="35"/>
        <v>0.12107883525870569</v>
      </c>
      <c r="O84" s="65">
        <f t="shared" si="35"/>
        <v>0.10488206757497223</v>
      </c>
      <c r="P84" s="65">
        <f t="shared" si="35"/>
        <v>9.4212367102174524E-2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5.2900044658352519E-2</v>
      </c>
      <c r="D87" s="75"/>
      <c r="E87" s="265"/>
      <c r="F87" s="75"/>
      <c r="G87" s="65">
        <f t="shared" ref="G87:Q87" si="36">IF(G$4="","",ABS(G19/G$4))</f>
        <v>3.6108726729975733E-2</v>
      </c>
      <c r="H87" s="65">
        <f t="shared" si="36"/>
        <v>0.16670452848876371</v>
      </c>
      <c r="I87" s="65">
        <f t="shared" si="36"/>
        <v>0.11330968740261814</v>
      </c>
      <c r="J87" s="65">
        <f t="shared" si="36"/>
        <v>9.0049919080344654E-2</v>
      </c>
      <c r="K87" s="65">
        <f t="shared" si="36"/>
        <v>0.15340737392173329</v>
      </c>
      <c r="L87" s="65">
        <f t="shared" si="36"/>
        <v>0.13332516624110263</v>
      </c>
      <c r="M87" s="65">
        <f t="shared" si="36"/>
        <v>0.12535960148341499</v>
      </c>
      <c r="N87" s="65">
        <f t="shared" si="36"/>
        <v>0.12107883525870569</v>
      </c>
      <c r="O87" s="65">
        <f t="shared" si="36"/>
        <v>0.10488206757497223</v>
      </c>
      <c r="P87" s="65">
        <f t="shared" si="36"/>
        <v>9.4212367102174524E-2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0.4</v>
      </c>
      <c r="E90" s="268"/>
      <c r="G90" s="112">
        <f>Data!C65</f>
        <v>0.4</v>
      </c>
      <c r="H90" s="112">
        <f>Data!D65</f>
        <v>0.78</v>
      </c>
      <c r="I90" s="112">
        <f>Data!E65</f>
        <v>0.75</v>
      </c>
      <c r="J90" s="112">
        <f>Data!F65</f>
        <v>0.67999999999999994</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558008922.80000007</v>
      </c>
      <c r="E91" s="268"/>
      <c r="G91" s="74">
        <f t="shared" ref="G91:Q91" si="37">IF(G$4="","",G90*Common_Shares/scaling_factor)</f>
        <v>558008922.80000007</v>
      </c>
      <c r="H91" s="74">
        <f t="shared" si="37"/>
        <v>1088117399.46</v>
      </c>
      <c r="I91" s="74">
        <f t="shared" si="37"/>
        <v>1046266730.25</v>
      </c>
      <c r="J91" s="74">
        <f t="shared" si="37"/>
        <v>948615168.75999987</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1.1337405781301506</v>
      </c>
      <c r="E92" s="268"/>
      <c r="G92" s="170">
        <f t="shared" ref="G92:Q92" si="38">IF(G$4="","",G90/(G19*scaling_factor/Common_Shares))</f>
        <v>1.6609538093815714</v>
      </c>
      <c r="H92" s="170">
        <f t="shared" si="38"/>
        <v>0.64730893781311427</v>
      </c>
      <c r="I92" s="170">
        <f t="shared" si="38"/>
        <v>0.90204660870882936</v>
      </c>
      <c r="J92" s="170">
        <f t="shared" si="38"/>
        <v>0.98317878603129794</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3.6000000000000004E-2</v>
      </c>
      <c r="E94" s="268"/>
      <c r="G94" s="23">
        <f t="shared" ref="G94:Q94" si="39">IF(G$4="","",(G90*(1-dividend_tax_rate))/Market_Price)</f>
        <v>3.6000000000000004E-2</v>
      </c>
      <c r="H94" s="23">
        <f t="shared" si="39"/>
        <v>7.0200000000000012E-2</v>
      </c>
      <c r="I94" s="23">
        <f t="shared" si="39"/>
        <v>6.7500000000000004E-2</v>
      </c>
      <c r="J94" s="23">
        <f t="shared" si="39"/>
        <v>6.1199999999999997E-2</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v>
      </c>
      <c r="D97" s="27"/>
      <c r="E97" s="265"/>
      <c r="F97" s="27"/>
      <c r="G97" s="6">
        <f t="shared" ref="G97:Q97" si="40">IF(H4="","",G4/H4-1)</f>
        <v>-7.7312450922034648E-2</v>
      </c>
      <c r="H97" s="6">
        <f t="shared" si="40"/>
        <v>-1.4922594925019905E-2</v>
      </c>
      <c r="I97" s="6">
        <f t="shared" si="40"/>
        <v>-4.4628773345081973E-2</v>
      </c>
      <c r="J97" s="6">
        <f t="shared" si="40"/>
        <v>3.6269729862563826E-2</v>
      </c>
      <c r="K97" s="6">
        <f t="shared" si="40"/>
        <v>-8.159712721213952E-2</v>
      </c>
      <c r="L97" s="6">
        <f t="shared" si="40"/>
        <v>-2.2105536969906581E-2</v>
      </c>
      <c r="M97" s="6">
        <f t="shared" si="40"/>
        <v>-0.13477883884265496</v>
      </c>
      <c r="N97" s="6">
        <f t="shared" si="40"/>
        <v>4.1500994753992382E-2</v>
      </c>
      <c r="O97" s="6">
        <f t="shared" si="40"/>
        <v>0.10121152055953919</v>
      </c>
      <c r="P97" s="6" t="str">
        <f t="shared" si="40"/>
        <v/>
      </c>
      <c r="Q97" s="6" t="str">
        <f t="shared" si="40"/>
        <v/>
      </c>
    </row>
    <row r="98" spans="1:17" ht="15.75" customHeight="1">
      <c r="A98" s="10"/>
      <c r="B98" s="70" t="s">
        <v>160</v>
      </c>
      <c r="C98" s="77">
        <f>C13/G13-1</f>
        <v>-8.5540276064757226E-2</v>
      </c>
      <c r="D98" s="27"/>
      <c r="E98" s="265"/>
      <c r="F98" s="27"/>
      <c r="G98" s="6">
        <f t="shared" ref="G98:Q98" si="41">IF(H5="","",G13/H13-1)</f>
        <v>-0.46054206274631104</v>
      </c>
      <c r="H98" s="6">
        <f t="shared" si="41"/>
        <v>0.19347745956851004</v>
      </c>
      <c r="I98" s="6">
        <f t="shared" si="41"/>
        <v>-2.0479523875572947E-2</v>
      </c>
      <c r="J98" s="6">
        <f t="shared" si="41"/>
        <v>-0.27684214648456862</v>
      </c>
      <c r="K98" s="6">
        <f t="shared" si="41"/>
        <v>8.6356932348575555E-2</v>
      </c>
      <c r="L98" s="6">
        <f t="shared" si="41"/>
        <v>1.1577307817227656E-2</v>
      </c>
      <c r="M98" s="6">
        <f t="shared" si="41"/>
        <v>-6.8155989871713563E-2</v>
      </c>
      <c r="N98" s="6">
        <f t="shared" si="41"/>
        <v>0.16030970995922544</v>
      </c>
      <c r="O98" s="6">
        <f t="shared" si="41"/>
        <v>0.13827332473663501</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30591809954.200001</v>
      </c>
      <c r="D102" s="26"/>
      <c r="E102" s="269"/>
      <c r="F102" s="26"/>
      <c r="G102" s="333">
        <f t="shared" ref="G102:Q102" si="42">IF(G$4="","",G106+G105)</f>
        <v>30591809954.200005</v>
      </c>
      <c r="H102" s="333">
        <f t="shared" si="42"/>
        <v>29289690562</v>
      </c>
      <c r="I102" s="333">
        <f t="shared" si="42"/>
        <v>28730992292</v>
      </c>
      <c r="J102" s="333">
        <f t="shared" si="42"/>
        <v>26567137006</v>
      </c>
      <c r="K102" s="333">
        <f t="shared" si="42"/>
        <v>24370351033</v>
      </c>
      <c r="L102" s="333">
        <f t="shared" si="42"/>
        <v>22814336624</v>
      </c>
      <c r="M102" s="333">
        <f t="shared" si="42"/>
        <v>23725530086</v>
      </c>
      <c r="N102" s="333">
        <f t="shared" si="42"/>
        <v>20480659318</v>
      </c>
      <c r="O102" s="333">
        <f t="shared" si="42"/>
        <v>18856419515</v>
      </c>
      <c r="P102" s="333">
        <f t="shared" si="42"/>
        <v>17607266697</v>
      </c>
      <c r="Q102" s="333" t="str">
        <f t="shared" si="42"/>
        <v/>
      </c>
    </row>
    <row r="103" spans="1:17" ht="15.75" customHeight="1">
      <c r="A103" s="10"/>
      <c r="B103" s="93" t="s">
        <v>206</v>
      </c>
      <c r="C103" s="345">
        <f>BS!C4</f>
        <v>1910217201.7599998</v>
      </c>
      <c r="D103" s="89"/>
      <c r="E103" s="270"/>
      <c r="F103" s="89"/>
      <c r="G103" s="346">
        <f>IF(G$4="","",Data!D77)</f>
        <v>834568719</v>
      </c>
      <c r="H103" s="346">
        <f>IF(H$4="","",Data!E77)</f>
        <v>1061824178</v>
      </c>
      <c r="I103" s="346">
        <f>IF(I$4="","",Data!F77)</f>
        <v>925201481</v>
      </c>
      <c r="J103" s="346">
        <f>IF(J$4="","",Data!G77)</f>
        <v>854194501</v>
      </c>
      <c r="K103" s="346">
        <f>IF(K$4="","",Data!H77)</f>
        <v>1181367947</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1152244678.0699999</v>
      </c>
      <c r="D104" s="89"/>
      <c r="E104" s="270"/>
      <c r="F104" s="89"/>
      <c r="G104" s="346">
        <f>IF(G$4="","",Data!D78)</f>
        <v>959867234</v>
      </c>
      <c r="H104" s="346">
        <f>IF(H$4="","",Data!E78)</f>
        <v>1086298738</v>
      </c>
      <c r="I104" s="346">
        <f>IF(I$4="","",Data!F78)</f>
        <v>1224714311</v>
      </c>
      <c r="J104" s="346">
        <f>IF(J$4="","",Data!G78)</f>
        <v>1118318039</v>
      </c>
      <c r="K104" s="346">
        <f>IF(K$4="","",Data!H78)</f>
        <v>1167338551</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12382480837.01</v>
      </c>
      <c r="D105" s="26"/>
      <c r="E105" s="269"/>
      <c r="F105" s="26"/>
      <c r="G105" s="333">
        <f>Data!C79</f>
        <v>12382480837.01</v>
      </c>
      <c r="H105" s="333">
        <f>Data!D79</f>
        <v>10670434743</v>
      </c>
      <c r="I105" s="333">
        <f>Data!E79</f>
        <v>11040803287</v>
      </c>
      <c r="J105" s="333">
        <f>Data!F79</f>
        <v>9869570784</v>
      </c>
      <c r="K105" s="333">
        <f>Data!G79</f>
        <v>9001654126</v>
      </c>
      <c r="L105" s="333">
        <f>Data!H79</f>
        <v>8576109791</v>
      </c>
      <c r="M105" s="333">
        <f>Data!I79</f>
        <v>10230716015</v>
      </c>
      <c r="N105" s="333">
        <f>Data!J79</f>
        <v>8088092587</v>
      </c>
      <c r="O105" s="333">
        <f>Data!K79</f>
        <v>7643685931</v>
      </c>
      <c r="P105" s="333">
        <f>Data!L79</f>
        <v>7296360629</v>
      </c>
      <c r="Q105" s="333" t="str">
        <f>Data!M79</f>
        <v/>
      </c>
    </row>
    <row r="106" spans="1:17" ht="15.75" customHeight="1">
      <c r="A106" s="10"/>
      <c r="B106" s="26" t="s">
        <v>28</v>
      </c>
      <c r="C106" s="344">
        <f>BS!G27</f>
        <v>18209329117.190002</v>
      </c>
      <c r="D106" s="26"/>
      <c r="E106" s="269"/>
      <c r="F106" s="26"/>
      <c r="G106" s="333">
        <f>Data!C80</f>
        <v>18209329117.190002</v>
      </c>
      <c r="H106" s="333">
        <f>Data!D80</f>
        <v>18619255819</v>
      </c>
      <c r="I106" s="333">
        <f>Data!E80</f>
        <v>17690189005</v>
      </c>
      <c r="J106" s="333">
        <f>Data!F80</f>
        <v>16697566222</v>
      </c>
      <c r="K106" s="333">
        <f>Data!G80</f>
        <v>15368696907</v>
      </c>
      <c r="L106" s="333">
        <f>Data!H80</f>
        <v>14238226833</v>
      </c>
      <c r="M106" s="333">
        <f>Data!I80</f>
        <v>13494814071</v>
      </c>
      <c r="N106" s="333">
        <f>Data!J80</f>
        <v>12392566731</v>
      </c>
      <c r="O106" s="333">
        <f>Data!K80</f>
        <v>11212733584</v>
      </c>
      <c r="P106" s="333">
        <f>Data!L80</f>
        <v>10310906068</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0.20531058367983332</v>
      </c>
      <c r="D109" s="26"/>
      <c r="E109" s="269"/>
      <c r="F109" s="26"/>
      <c r="G109" s="94">
        <f t="shared" ref="G109:Q109" si="43">IF(G$4="","",G103/G$4)</f>
        <v>8.96996376437975E-2</v>
      </c>
      <c r="H109" s="94">
        <f t="shared" si="43"/>
        <v>0.10530181488277855</v>
      </c>
      <c r="I109" s="94">
        <f t="shared" si="43"/>
        <v>9.0383659897526641E-2</v>
      </c>
      <c r="J109" s="94">
        <f t="shared" si="43"/>
        <v>7.9722797985151764E-2</v>
      </c>
      <c r="K109" s="94">
        <f t="shared" si="43"/>
        <v>0.114257247326982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0.12384352270441747</v>
      </c>
      <c r="D110" s="26"/>
      <c r="E110" s="269"/>
      <c r="F110" s="26"/>
      <c r="G110" s="94">
        <f t="shared" ref="G110:Q110" si="44">IF(G$4="","",G104/G$4)</f>
        <v>0.10316675082085623</v>
      </c>
      <c r="H110" s="94">
        <f t="shared" si="44"/>
        <v>0.10772897338967163</v>
      </c>
      <c r="I110" s="94">
        <f t="shared" si="44"/>
        <v>0.11964330368063654</v>
      </c>
      <c r="J110" s="94">
        <f t="shared" si="44"/>
        <v>0.10437370294701542</v>
      </c>
      <c r="K110" s="94">
        <f t="shared" si="44"/>
        <v>0.11290037949195163</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7.1640261316845921E-2</v>
      </c>
      <c r="D111" s="26"/>
      <c r="E111" s="269"/>
      <c r="F111" s="26"/>
      <c r="G111" s="94">
        <f>BS!$G$38/G$4</f>
        <v>7.1640261316845921E-2</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0.51246538405156916</v>
      </c>
      <c r="H114" s="295">
        <f>IF(H$4="","",Data!D$22/Data!D15)</f>
        <v>1.0010548272911994</v>
      </c>
      <c r="I114" s="295">
        <f>IF(I$4="","",Data!E$22/Data!E15)</f>
        <v>1.0873463853609158</v>
      </c>
      <c r="J114" s="295">
        <f>IF(J$4="","",Data!F$22/Data!F15)</f>
        <v>0.87988429994040696</v>
      </c>
      <c r="K114" s="295">
        <f>IF(K$4="","",Data!G$22/Data!G15)</f>
        <v>1.5136449440453559</v>
      </c>
      <c r="L114" s="295">
        <f>IF(L$4="","",Data!H$22/Data!H15)</f>
        <v>1.3438717265200504</v>
      </c>
      <c r="M114" s="295">
        <f>IF(M$4="","",Data!I$22/Data!I15)</f>
        <v>1.6023137454131331</v>
      </c>
      <c r="N114" s="295">
        <f>IF(N$4="","",Data!J$22/Data!J15)</f>
        <v>1.0352195540830447</v>
      </c>
      <c r="O114" s="295">
        <f>IF(O$4="","",Data!K$22/Data!K15)</f>
        <v>1.8419646063299806</v>
      </c>
      <c r="P114" s="295">
        <f>IF(P$4="","",Data!L$22/Data!L15)</f>
        <v>0.87072779948659185</v>
      </c>
      <c r="Q114" s="295" t="str">
        <f>IF(Q$4="","",Data!M$22/Data!M15)</f>
        <v/>
      </c>
    </row>
    <row r="115" spans="1:17" ht="15.75" customHeight="1">
      <c r="A115" s="10"/>
      <c r="B115" s="2" t="s">
        <v>373</v>
      </c>
      <c r="C115" s="169"/>
      <c r="E115" s="268"/>
      <c r="G115" s="295">
        <f>IF(G$4="","",Data!C$22/G19)</f>
        <v>1.1947286287373908</v>
      </c>
      <c r="H115" s="295">
        <f>IF(H$4="","",Data!D$22/H19)</f>
        <v>1.1637544483529516</v>
      </c>
      <c r="I115" s="295">
        <f>IF(I$4="","",Data!E$22/I19)</f>
        <v>1.7966930044329832</v>
      </c>
      <c r="J115" s="295">
        <f>IF(J$4="","",Data!F$22/J19)</f>
        <v>1.8697587543432195</v>
      </c>
      <c r="K115" s="295">
        <f>IF(K$4="","",Data!G$22/K19)</f>
        <v>1.746452999037496</v>
      </c>
      <c r="L115" s="295">
        <f>IF(L$4="","",Data!H$22/L19)</f>
        <v>1.5501168572888298</v>
      </c>
      <c r="M115" s="295">
        <f>IF(M$4="","",Data!I$22/M19)</f>
        <v>1.8055175723674355</v>
      </c>
      <c r="N115" s="295">
        <f>IF(N$4="","",Data!J$22/N19)</f>
        <v>0.93303028529084642</v>
      </c>
      <c r="O115" s="295">
        <f>IF(O$4="","",Data!K$22/O19)</f>
        <v>1.759187460108353</v>
      </c>
      <c r="P115" s="295">
        <f>IF(P$4="","",Data!L$22/P19)</f>
        <v>0.92565023512380407</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7.6099586896956867E-2</v>
      </c>
      <c r="E118" s="268"/>
      <c r="G118" s="23">
        <f t="shared" ref="G118:Q118" si="45">IF(G4="","",IF(valuation_method="DDM",G13/(G4+G12),G81))</f>
        <v>8.3218084848475898E-2</v>
      </c>
      <c r="H118" s="23">
        <f t="shared" si="45"/>
        <v>0.14233601073459284</v>
      </c>
      <c r="I118" s="23">
        <f t="shared" si="45"/>
        <v>0.11748189040273076</v>
      </c>
      <c r="J118" s="23">
        <f t="shared" si="45"/>
        <v>0.11458547368798239</v>
      </c>
      <c r="K118" s="23">
        <f t="shared" si="45"/>
        <v>0.16419853188012928</v>
      </c>
      <c r="L118" s="23">
        <f t="shared" si="45"/>
        <v>0.1388129434220548</v>
      </c>
      <c r="M118" s="23">
        <f t="shared" si="45"/>
        <v>0.13419084010716401</v>
      </c>
      <c r="N118" s="23">
        <f t="shared" si="45"/>
        <v>0.12459677073871622</v>
      </c>
      <c r="O118" s="23">
        <f t="shared" si="45"/>
        <v>0.11183881299422052</v>
      </c>
      <c r="P118" s="23">
        <f t="shared" si="45"/>
        <v>0.10819737811516837</v>
      </c>
      <c r="Q118" s="23" t="str">
        <f t="shared" si="45"/>
        <v/>
      </c>
    </row>
    <row r="119" spans="1:17" ht="15.75" customHeight="1">
      <c r="B119" s="7" t="s">
        <v>81</v>
      </c>
      <c r="C119" s="42">
        <f>IF(valuation_method="DDM",(C4+C12)/C102,C4/C102)</f>
        <v>0.30413488760323032</v>
      </c>
      <c r="E119" s="268"/>
      <c r="G119" s="42">
        <f t="shared" ref="G119:Q119" si="46">IF(G4="","",IF(valuation_method="DDM",(G4+G12)/G102,G4/G102))</f>
        <v>0.30413488760323026</v>
      </c>
      <c r="H119" s="42">
        <f t="shared" si="46"/>
        <v>0.34427221225349319</v>
      </c>
      <c r="I119" s="42">
        <f t="shared" si="46"/>
        <v>0.35628354958872299</v>
      </c>
      <c r="J119" s="42">
        <f t="shared" si="46"/>
        <v>0.40330117135241905</v>
      </c>
      <c r="K119" s="42">
        <f t="shared" si="46"/>
        <v>0.42426737953011739</v>
      </c>
      <c r="L119" s="42">
        <f t="shared" si="46"/>
        <v>0.49346953683311268</v>
      </c>
      <c r="M119" s="42">
        <f t="shared" si="46"/>
        <v>0.4852441199530213</v>
      </c>
      <c r="N119" s="42">
        <f t="shared" si="46"/>
        <v>0.6496884405623411</v>
      </c>
      <c r="O119" s="42">
        <f t="shared" si="46"/>
        <v>0.67753253118053569</v>
      </c>
      <c r="P119" s="42">
        <f t="shared" si="46"/>
        <v>0.65891090523304974</v>
      </c>
      <c r="Q119" s="42" t="str">
        <f t="shared" si="46"/>
        <v/>
      </c>
    </row>
    <row r="120" spans="1:17" ht="15.75" customHeight="1">
      <c r="B120" s="7" t="s">
        <v>89</v>
      </c>
      <c r="C120" s="15">
        <f>C102/C106</f>
        <v>1.6800075256655485</v>
      </c>
      <c r="D120" s="11"/>
      <c r="E120" s="272"/>
      <c r="F120" s="11"/>
      <c r="G120" s="15">
        <f t="shared" ref="G120:Q120" si="47">IF(G$4="","",G102/G106)</f>
        <v>1.6800075256655487</v>
      </c>
      <c r="H120" s="15">
        <f t="shared" si="47"/>
        <v>1.5730859947749021</v>
      </c>
      <c r="I120" s="15">
        <f t="shared" si="47"/>
        <v>1.6241201427457559</v>
      </c>
      <c r="J120" s="15">
        <f t="shared" si="47"/>
        <v>1.5910784034499756</v>
      </c>
      <c r="K120" s="15">
        <f t="shared" si="47"/>
        <v>1.5857135566191045</v>
      </c>
      <c r="L120" s="15">
        <f t="shared" si="47"/>
        <v>1.6023299032659821</v>
      </c>
      <c r="M120" s="15">
        <f t="shared" si="47"/>
        <v>1.7581220431176996</v>
      </c>
      <c r="N120" s="15">
        <f t="shared" si="47"/>
        <v>1.6526567709954421</v>
      </c>
      <c r="O120" s="15">
        <f t="shared" si="47"/>
        <v>1.6816969183952744</v>
      </c>
      <c r="P120" s="15">
        <f t="shared" si="47"/>
        <v>1.7076352534763486</v>
      </c>
      <c r="Q120" s="15" t="str">
        <f t="shared" si="47"/>
        <v/>
      </c>
    </row>
    <row r="121" spans="1:17" ht="15.75" customHeight="1">
      <c r="A121" s="10"/>
      <c r="B121" s="70" t="s">
        <v>218</v>
      </c>
      <c r="C121" s="102">
        <f>C13/C106</f>
        <v>3.888300021475994E-2</v>
      </c>
      <c r="D121" s="103"/>
      <c r="E121" s="271"/>
      <c r="F121" s="103"/>
      <c r="G121" s="102">
        <f t="shared" ref="G121:Q121" si="48">IF(G$4="","",G13/G106)</f>
        <v>4.2520188912675866E-2</v>
      </c>
      <c r="H121" s="102">
        <f t="shared" si="48"/>
        <v>7.7084884223846836E-2</v>
      </c>
      <c r="I121" s="102">
        <f t="shared" si="48"/>
        <v>6.7980577437007889E-2</v>
      </c>
      <c r="J121" s="102">
        <f t="shared" si="48"/>
        <v>7.3527640327474428E-2</v>
      </c>
      <c r="K121" s="102">
        <f t="shared" si="48"/>
        <v>0.11046727740290739</v>
      </c>
      <c r="L121" s="102">
        <f t="shared" si="48"/>
        <v>0.10975953251302951</v>
      </c>
      <c r="M121" s="102">
        <f t="shared" si="48"/>
        <v>0.11448067260382237</v>
      </c>
      <c r="N121" s="102">
        <f t="shared" si="48"/>
        <v>0.13378104794487711</v>
      </c>
      <c r="O121" s="102">
        <f t="shared" si="48"/>
        <v>0.12742963223873205</v>
      </c>
      <c r="P121" s="102">
        <f t="shared" si="48"/>
        <v>0.12174147080010039</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0.35281439838707179</v>
      </c>
      <c r="D125" s="27"/>
      <c r="E125" s="265"/>
      <c r="F125" s="27"/>
      <c r="G125" s="177">
        <f t="shared" ref="G125:Q125" si="49">IF(G$4="","",G16*$C$3/Common_Shares*Exchange_Rate)</f>
        <v>0.24082548096201026</v>
      </c>
      <c r="H125" s="177">
        <f t="shared" si="49"/>
        <v>1.204988768786621</v>
      </c>
      <c r="I125" s="177">
        <f t="shared" si="49"/>
        <v>0.83144262475919539</v>
      </c>
      <c r="J125" s="177">
        <f t="shared" si="49"/>
        <v>0.69163412561502646</v>
      </c>
      <c r="K125" s="177">
        <f t="shared" si="49"/>
        <v>1.1370158266198778</v>
      </c>
      <c r="L125" s="177">
        <f t="shared" si="49"/>
        <v>1.0759675522554586</v>
      </c>
      <c r="M125" s="177">
        <f t="shared" si="49"/>
        <v>1.034552790496422</v>
      </c>
      <c r="N125" s="177">
        <f t="shared" si="49"/>
        <v>1.1548781255438376</v>
      </c>
      <c r="O125" s="177">
        <f t="shared" si="49"/>
        <v>0.96052676740458742</v>
      </c>
      <c r="P125" s="177">
        <f t="shared" si="49"/>
        <v>0.78351154710245074</v>
      </c>
      <c r="Q125" s="177" t="str">
        <f t="shared" si="49"/>
        <v/>
      </c>
    </row>
    <row r="126" spans="1:17" ht="15.75" customHeight="1">
      <c r="A126" s="10"/>
      <c r="B126" s="27" t="s">
        <v>264</v>
      </c>
      <c r="C126" s="77">
        <f>C19*Exchange_Rate*$C$3/(Market_Price*Common_Shares)</f>
        <v>3.5281439838707178E-2</v>
      </c>
      <c r="D126" s="27"/>
      <c r="E126" s="265"/>
      <c r="F126" s="27"/>
      <c r="G126" s="77">
        <f t="shared" ref="G126" si="50">IF(G$4="","",G125/Market_Price)</f>
        <v>2.4082548096201025E-2</v>
      </c>
      <c r="H126" s="77">
        <f t="shared" ref="H126" si="51">IF(H$4="","",H125/Market_Price)</f>
        <v>0.12049887687866209</v>
      </c>
      <c r="I126" s="77">
        <f t="shared" ref="I126" si="52">IF(I$4="","",I125/Market_Price)</f>
        <v>8.3144262475919536E-2</v>
      </c>
      <c r="J126" s="77">
        <f t="shared" ref="J126" si="53">IF(J$4="","",J125/Market_Price)</f>
        <v>6.9163412561502643E-2</v>
      </c>
      <c r="K126" s="77">
        <f t="shared" ref="K126" si="54">IF(K$4="","",K125/Market_Price)</f>
        <v>0.11370158266198778</v>
      </c>
      <c r="L126" s="77">
        <f t="shared" ref="L126" si="55">IF(L$4="","",L125/Market_Price)</f>
        <v>0.10759675522554586</v>
      </c>
      <c r="M126" s="77">
        <f t="shared" ref="M126" si="56">IF(M$4="","",M125/Market_Price)</f>
        <v>0.1034552790496422</v>
      </c>
      <c r="N126" s="77">
        <f t="shared" ref="N126" si="57">IF(N$4="","",N125/Market_Price)</f>
        <v>0.11548781255438376</v>
      </c>
      <c r="O126" s="77">
        <f t="shared" ref="O126" si="58">IF(O$4="","",O125/Market_Price)</f>
        <v>9.6052676740458739E-2</v>
      </c>
      <c r="P126" s="77">
        <f t="shared" ref="P126" si="59">IF(P$4="","",P125/Market_Price)</f>
        <v>7.8351154710245077E-2</v>
      </c>
      <c r="Q126" s="77" t="str">
        <f t="shared" ref="Q126" si="60">IF(Q$4="","",Q125/Market_Price)</f>
        <v/>
      </c>
    </row>
    <row r="127" spans="1:17" ht="15.75" customHeight="1">
      <c r="B127" s="2" t="s">
        <v>375</v>
      </c>
      <c r="C127" s="169"/>
      <c r="G127" s="23">
        <f>IF(G$4="","",(Data!C47*$C$3)/(Market_Price*Common_Shares))</f>
        <v>5.6144493967579256E-2</v>
      </c>
      <c r="H127" s="23">
        <f>IF(H$4="","",(Data!D47*$C$3)/(Market_Price*Common_Shares))</f>
        <v>0.14008334025873037</v>
      </c>
      <c r="I127" s="23">
        <f>IF(I$4="","",(Data!E47*$C$3)/(Market_Price*Common_Shares))</f>
        <v>0.13738466119022424</v>
      </c>
      <c r="J127" s="23">
        <f>IF(J$4="","",(Data!F47*$C$3)/(Market_Price*Common_Shares))</f>
        <v>0.14697261461067088</v>
      </c>
      <c r="K127" s="23">
        <f>IF(K$4="","",(Data!G47*$C$3)/(Market_Price*Common_Shares))</f>
        <v>0.13118959688434573</v>
      </c>
      <c r="L127" s="23">
        <f>IF(L$4="","",(Data!H47*$C$3)/(Market_Price*Common_Shares))</f>
        <v>0.1241097202756056</v>
      </c>
      <c r="M127" s="23">
        <f>IF(M$4="","",(Data!I47*$C$3)/(Market_Price*Common_Shares))</f>
        <v>0.11657537408826539</v>
      </c>
      <c r="N127" s="23">
        <f>IF(N$4="","",(Data!J47*$C$3)/(Market_Price*Common_Shares))</f>
        <v>0.10408770416887678</v>
      </c>
      <c r="O127" s="23">
        <f>IF(O$4="","",(Data!K47*$C$3)/(Market_Price*Common_Shares))</f>
        <v>9.1736108202605249E-2</v>
      </c>
      <c r="P127" s="23">
        <f>IF(P$4="","",(Data!L47*$C$3)/(Market_Price*Common_Shares))</f>
        <v>8.3293268944121618E-2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492183955.98074996</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6562452746.4099998</v>
      </c>
      <c r="D6" t="str">
        <f>Reporting_currency</f>
        <v>CNY</v>
      </c>
      <c r="E6" s="378" t="s">
        <v>245</v>
      </c>
      <c r="F6" s="378"/>
      <c r="H6" s="120"/>
    </row>
    <row r="7" spans="2:8">
      <c r="B7" s="148" t="s">
        <v>220</v>
      </c>
      <c r="C7" s="338">
        <f>BS!G31</f>
        <v>1685959940.8299999</v>
      </c>
      <c r="D7" t="str">
        <f>Reporting_currency</f>
        <v>CNY</v>
      </c>
      <c r="E7" s="378"/>
      <c r="F7" s="378"/>
      <c r="H7" s="120"/>
    </row>
    <row r="8" spans="2:8">
      <c r="B8" s="148" t="s">
        <v>221</v>
      </c>
      <c r="C8" s="338">
        <f>BS!D66</f>
        <v>7551907966.0066681</v>
      </c>
      <c r="D8" t="str">
        <f>Reporting_currency</f>
        <v>CNY</v>
      </c>
      <c r="E8" s="378"/>
      <c r="F8" s="378"/>
      <c r="H8" s="120"/>
    </row>
    <row r="9" spans="2:8">
      <c r="B9" s="205" t="s">
        <v>186</v>
      </c>
      <c r="C9" s="348">
        <f>BS!H42</f>
        <v>3684979983.197</v>
      </c>
      <c r="D9" t="str">
        <f>Reporting_currency</f>
        <v>CNY</v>
      </c>
      <c r="E9" s="378"/>
      <c r="F9" s="378"/>
      <c r="H9" s="120"/>
    </row>
    <row r="10" spans="2:8" ht="13.15">
      <c r="B10" s="149" t="s">
        <v>223</v>
      </c>
      <c r="C10" s="347">
        <f>C6-C7+C8+C9</f>
        <v>16113380754.783669</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11.550625874532104</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2.3134236943577701E-2</v>
      </c>
      <c r="H16" s="120"/>
    </row>
    <row r="17" spans="2:17" ht="13.35" customHeight="1">
      <c r="B17" s="118" t="s">
        <v>130</v>
      </c>
      <c r="C17" s="162">
        <f>Scenarios!C64</f>
        <v>5</v>
      </c>
      <c r="H17" s="120"/>
    </row>
    <row r="18" spans="2:17" ht="13.35" customHeight="1">
      <c r="B18" s="153" t="s">
        <v>103</v>
      </c>
      <c r="C18" s="140">
        <f>(F52-C7+C8+C9)*Exchange_Rate/Common_Shares*scaling_factor</f>
        <v>11.723564309325376</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503570256.23823601</v>
      </c>
      <c r="D21" s="138">
        <f>IF($C$17&lt;B21,0,DCF!$C$16)</f>
        <v>2.3134236943577701E-2</v>
      </c>
      <c r="E21" s="124">
        <f t="shared" ref="E21:E50" si="0">IF($C$17&lt;B21,0,1/(1+Equity_Cost)^B21)</f>
        <v>0.93023255813953487</v>
      </c>
      <c r="F21" s="125">
        <f t="shared" ref="F21:F51" si="1">C21*E21</f>
        <v>468437447.66347533</v>
      </c>
      <c r="H21" s="120"/>
    </row>
    <row r="22" spans="2:17">
      <c r="B22" s="122">
        <v>2</v>
      </c>
      <c r="C22" s="123">
        <f t="shared" ref="C22:C50" si="2">IF(ROW()-ROW($C$21)&lt;$C$17, $C$21*(1+D22)^(ROW()-ROW($C$21)), 0)</f>
        <v>515219969.86378944</v>
      </c>
      <c r="D22" s="138">
        <f>IF($C$17&lt;B22,0,DCF!$C$16)</f>
        <v>2.3134236943577701E-2</v>
      </c>
      <c r="E22" s="124">
        <f t="shared" si="0"/>
        <v>0.86533261222282321</v>
      </c>
      <c r="F22" s="125">
        <f t="shared" si="1"/>
        <v>445836642.39159715</v>
      </c>
      <c r="H22" s="120"/>
    </row>
    <row r="23" spans="2:17">
      <c r="B23" s="122">
        <v>3</v>
      </c>
      <c r="C23" s="123">
        <f t="shared" si="2"/>
        <v>527139190.72468132</v>
      </c>
      <c r="D23" s="138">
        <f>IF($C$17&lt;B23,0,DCF!$C$16)</f>
        <v>2.3134236943577701E-2</v>
      </c>
      <c r="E23" s="124">
        <f t="shared" si="0"/>
        <v>0.80496056950960304</v>
      </c>
      <c r="F23" s="125">
        <f t="shared" si="1"/>
        <v>424326263.17657071</v>
      </c>
      <c r="G23" s="338"/>
      <c r="H23" s="339"/>
      <c r="I23" s="338"/>
      <c r="J23" s="338"/>
      <c r="K23" s="338"/>
      <c r="L23" s="338"/>
      <c r="M23" s="338"/>
      <c r="N23" s="338"/>
      <c r="O23" s="338"/>
      <c r="P23" s="338"/>
      <c r="Q23" s="338"/>
    </row>
    <row r="24" spans="2:17">
      <c r="B24" s="122">
        <v>4</v>
      </c>
      <c r="C24" s="123">
        <f t="shared" si="2"/>
        <v>539334153.66515183</v>
      </c>
      <c r="D24" s="138">
        <f>IF($C$17&lt;B24,0,DCF!$C$16)</f>
        <v>2.3134236943577701E-2</v>
      </c>
      <c r="E24" s="124">
        <f t="shared" si="0"/>
        <v>0.7488005297763749</v>
      </c>
      <c r="F24" s="125">
        <f t="shared" si="1"/>
        <v>403853699.99095851</v>
      </c>
      <c r="G24" s="338"/>
      <c r="H24" s="339"/>
      <c r="I24" s="338"/>
      <c r="J24" s="338"/>
      <c r="K24" s="338"/>
      <c r="L24" s="338"/>
      <c r="M24" s="338"/>
      <c r="N24" s="338"/>
      <c r="O24" s="338"/>
      <c r="P24" s="338"/>
      <c r="Q24" s="338"/>
    </row>
    <row r="25" spans="2:17">
      <c r="B25" s="122">
        <v>5</v>
      </c>
      <c r="C25" s="123">
        <f t="shared" si="2"/>
        <v>551811237.76780534</v>
      </c>
      <c r="D25" s="138">
        <f>IF($C$17&lt;B25,0,DCF!$C$16)</f>
        <v>2.3134236943577701E-2</v>
      </c>
      <c r="E25" s="124">
        <f t="shared" si="0"/>
        <v>0.69655863235011617</v>
      </c>
      <c r="F25" s="125">
        <f t="shared" si="1"/>
        <v>384368881.09496725</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6714270083.1764803</v>
      </c>
      <c r="D51" s="139">
        <f>Terminal_Growth</f>
        <v>0</v>
      </c>
      <c r="E51" s="124">
        <f>1/(1+Equity_Cost)^C17</f>
        <v>0.69655863235011617</v>
      </c>
      <c r="F51" s="125">
        <f t="shared" si="1"/>
        <v>4676882786.3667097</v>
      </c>
      <c r="H51" s="120"/>
    </row>
    <row r="52" spans="1:17">
      <c r="C52" s="114"/>
      <c r="E52" s="127" t="s">
        <v>97</v>
      </c>
      <c r="F52" s="137">
        <f>SUM(F21:F51)</f>
        <v>6803705720.6842785</v>
      </c>
      <c r="H52" s="120"/>
    </row>
    <row r="53" spans="1:17">
      <c r="C53" s="114"/>
      <c r="H53" s="120"/>
    </row>
    <row r="54" spans="1:17" ht="13.15">
      <c r="B54" s="119" t="s">
        <v>125</v>
      </c>
      <c r="C54" s="136"/>
      <c r="D54" s="136"/>
      <c r="E54" s="117"/>
      <c r="F54" s="117"/>
      <c r="H54" s="120"/>
    </row>
    <row r="55" spans="1:17" ht="13.15">
      <c r="A55" s="133">
        <f>F52</f>
        <v>6803705720.6842785</v>
      </c>
      <c r="B55" s="131">
        <f>C78</f>
        <v>0</v>
      </c>
      <c r="C55" s="131">
        <f>C77</f>
        <v>0</v>
      </c>
      <c r="D55" s="131">
        <f>C76</f>
        <v>0.02</v>
      </c>
      <c r="E55" s="131">
        <f>C75</f>
        <v>0.03</v>
      </c>
      <c r="F55" s="131">
        <f>C74</f>
        <v>0.05</v>
      </c>
      <c r="H55" s="120"/>
    </row>
    <row r="56" spans="1:17" ht="13.15">
      <c r="A56" s="143">
        <v>5</v>
      </c>
      <c r="B56" s="123">
        <f t="dataTable" ref="B56:F61" dt2D="1" dtr="1" r1="C16" r2="C17"/>
        <v>6562452746.4099998</v>
      </c>
      <c r="C56" s="123">
        <v>6562452746.4099998</v>
      </c>
      <c r="D56" s="123">
        <v>6770551425.9818649</v>
      </c>
      <c r="E56" s="123">
        <v>6876857671.8395443</v>
      </c>
      <c r="F56" s="123">
        <v>7094149256.700943</v>
      </c>
      <c r="H56" s="120"/>
    </row>
    <row r="57" spans="1:17" ht="13.15">
      <c r="A57" s="143">
        <v>10</v>
      </c>
      <c r="B57" s="123">
        <v>6562452746.4099998</v>
      </c>
      <c r="C57" s="123">
        <v>6562452746.4099998</v>
      </c>
      <c r="D57" s="123">
        <v>6976907969.4440937</v>
      </c>
      <c r="E57" s="123">
        <v>7199316672.8879862</v>
      </c>
      <c r="F57" s="123">
        <v>7677510651.6329613</v>
      </c>
      <c r="H57" s="120"/>
    </row>
    <row r="58" spans="1:17" ht="13.15">
      <c r="A58" s="143">
        <v>15</v>
      </c>
      <c r="B58" s="123">
        <v>6562452746.4099998</v>
      </c>
      <c r="C58" s="341">
        <v>6562452746.4099998</v>
      </c>
      <c r="D58" s="123">
        <v>7238179519.1390877</v>
      </c>
      <c r="E58" s="123">
        <v>7618206502.395134</v>
      </c>
      <c r="F58" s="123">
        <v>8476405316.1478539</v>
      </c>
      <c r="G58" s="338"/>
      <c r="H58" s="339"/>
      <c r="I58" s="338"/>
      <c r="J58" s="338"/>
      <c r="K58" s="338"/>
      <c r="L58" s="338"/>
      <c r="M58" s="338"/>
      <c r="N58" s="338"/>
      <c r="O58" s="338"/>
      <c r="P58" s="338"/>
      <c r="Q58" s="338"/>
    </row>
    <row r="59" spans="1:17" ht="13.15">
      <c r="A59" s="144">
        <v>20</v>
      </c>
      <c r="B59" s="123">
        <v>6562452746.4100008</v>
      </c>
      <c r="C59" s="341">
        <v>6562452746.4100008</v>
      </c>
      <c r="D59" s="123">
        <v>7510559372.2212534</v>
      </c>
      <c r="E59" s="123">
        <v>8066867958.073947</v>
      </c>
      <c r="F59" s="123">
        <v>9381860512.5630074</v>
      </c>
      <c r="G59" s="338"/>
      <c r="H59" s="339"/>
      <c r="I59" s="338"/>
      <c r="J59" s="338"/>
      <c r="K59" s="338"/>
      <c r="L59" s="338"/>
      <c r="M59" s="338"/>
      <c r="N59" s="338"/>
      <c r="O59" s="338"/>
      <c r="P59" s="338"/>
      <c r="Q59" s="338"/>
    </row>
    <row r="60" spans="1:17" ht="13.15">
      <c r="A60" s="144">
        <v>25</v>
      </c>
      <c r="B60" s="123">
        <v>6562452746.4100008</v>
      </c>
      <c r="C60" s="341">
        <v>6562452746.4100008</v>
      </c>
      <c r="D60" s="123">
        <v>7769802127.533329</v>
      </c>
      <c r="E60" s="123">
        <v>8506068042.9619904</v>
      </c>
      <c r="F60" s="123">
        <v>10322806508.590412</v>
      </c>
      <c r="G60" s="338"/>
      <c r="H60" s="339"/>
      <c r="I60" s="338"/>
      <c r="J60" s="338"/>
      <c r="K60" s="338"/>
      <c r="L60" s="338"/>
      <c r="M60" s="338"/>
      <c r="N60" s="338"/>
      <c r="O60" s="338"/>
      <c r="P60" s="338"/>
      <c r="Q60" s="338"/>
    </row>
    <row r="61" spans="1:17" ht="13.15">
      <c r="A61" s="144">
        <v>30</v>
      </c>
      <c r="B61" s="123">
        <v>6562452746.4100008</v>
      </c>
      <c r="C61" s="341">
        <v>6562452746.4100008</v>
      </c>
      <c r="D61" s="123">
        <v>8003840303.0804033</v>
      </c>
      <c r="E61" s="123">
        <v>8914291920.86516</v>
      </c>
      <c r="F61" s="123">
        <v>11254038446.689999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v>
      </c>
      <c r="D64" s="132">
        <f>D55</f>
        <v>0.02</v>
      </c>
      <c r="E64" s="132">
        <f>E55</f>
        <v>0.03</v>
      </c>
      <c r="F64" s="132">
        <f>F55</f>
        <v>0.05</v>
      </c>
      <c r="H64" s="120"/>
    </row>
    <row r="65" spans="1:8" ht="13.15">
      <c r="A65" s="143">
        <v>0</v>
      </c>
      <c r="B65" s="124">
        <f>C12</f>
        <v>11.550625874532104</v>
      </c>
      <c r="C65" s="124">
        <f>C12</f>
        <v>11.550625874532104</v>
      </c>
      <c r="D65" s="124">
        <f>C12</f>
        <v>11.550625874532104</v>
      </c>
      <c r="E65" s="141">
        <f>C12</f>
        <v>11.550625874532104</v>
      </c>
      <c r="F65" s="124">
        <f>C12</f>
        <v>11.550625874532104</v>
      </c>
      <c r="H65" s="120"/>
    </row>
    <row r="66" spans="1:8" ht="13.15">
      <c r="A66" s="143">
        <f t="shared" ref="A66:A71" si="3">A56</f>
        <v>5</v>
      </c>
      <c r="B66" s="124">
        <f t="shared" ref="B66:F71" si="4">(B56-$C$7+$C$8+$C$9)/Common_Shares*$C$3*Exchange_Rate</f>
        <v>11.550625874532104</v>
      </c>
      <c r="C66" s="124">
        <f t="shared" si="4"/>
        <v>11.550625874532104</v>
      </c>
      <c r="D66" s="124">
        <f t="shared" si="4"/>
        <v>11.699798169862193</v>
      </c>
      <c r="E66" s="124">
        <f t="shared" si="4"/>
        <v>11.776002145471939</v>
      </c>
      <c r="F66" s="124">
        <f t="shared" si="4"/>
        <v>11.931764231691682</v>
      </c>
      <c r="H66" s="120"/>
    </row>
    <row r="67" spans="1:8" ht="13.15">
      <c r="A67" s="143">
        <f t="shared" si="3"/>
        <v>10</v>
      </c>
      <c r="B67" s="124">
        <f t="shared" si="4"/>
        <v>11.550625874532104</v>
      </c>
      <c r="C67" s="124">
        <f t="shared" si="4"/>
        <v>11.550625874532104</v>
      </c>
      <c r="D67" s="124">
        <f t="shared" si="4"/>
        <v>11.847721642072468</v>
      </c>
      <c r="E67" s="124">
        <f t="shared" si="4"/>
        <v>12.007151855000162</v>
      </c>
      <c r="F67" s="124">
        <f t="shared" si="4"/>
        <v>12.349937756233048</v>
      </c>
      <c r="H67" s="120"/>
    </row>
    <row r="68" spans="1:8" ht="13.15">
      <c r="A68" s="143">
        <f t="shared" si="3"/>
        <v>15</v>
      </c>
      <c r="B68" s="124">
        <f t="shared" si="4"/>
        <v>11.550625874532104</v>
      </c>
      <c r="C68" s="124">
        <f t="shared" si="4"/>
        <v>11.550625874532104</v>
      </c>
      <c r="D68" s="124">
        <f t="shared" si="4"/>
        <v>12.035010080675905</v>
      </c>
      <c r="E68" s="124">
        <f t="shared" si="4"/>
        <v>12.307426501079457</v>
      </c>
      <c r="F68" s="124">
        <f t="shared" si="4"/>
        <v>12.922612946089272</v>
      </c>
      <c r="H68" s="120"/>
    </row>
    <row r="69" spans="1:8" ht="13.15">
      <c r="A69" s="144">
        <f t="shared" si="3"/>
        <v>20</v>
      </c>
      <c r="B69" s="124">
        <f t="shared" si="4"/>
        <v>11.550625874532106</v>
      </c>
      <c r="C69" s="124">
        <f t="shared" si="4"/>
        <v>11.550625874532106</v>
      </c>
      <c r="D69" s="124">
        <f t="shared" si="4"/>
        <v>12.230261333444702</v>
      </c>
      <c r="E69" s="124">
        <f t="shared" si="4"/>
        <v>12.629042473402981</v>
      </c>
      <c r="F69" s="124">
        <f t="shared" si="4"/>
        <v>13.571674392541937</v>
      </c>
      <c r="H69" s="120"/>
    </row>
    <row r="70" spans="1:8" ht="13.15">
      <c r="A70" s="144">
        <f t="shared" si="3"/>
        <v>25</v>
      </c>
      <c r="B70" s="124">
        <f t="shared" si="4"/>
        <v>11.550625874532106</v>
      </c>
      <c r="C70" s="124">
        <f t="shared" si="4"/>
        <v>11.550625874532106</v>
      </c>
      <c r="D70" s="124">
        <f t="shared" si="4"/>
        <v>12.416095462412557</v>
      </c>
      <c r="E70" s="124">
        <f t="shared" si="4"/>
        <v>12.943876209526202</v>
      </c>
      <c r="F70" s="124">
        <f t="shared" si="4"/>
        <v>14.24617686558906</v>
      </c>
    </row>
    <row r="71" spans="1:8" ht="13.15">
      <c r="A71" s="144">
        <f t="shared" si="3"/>
        <v>30</v>
      </c>
      <c r="B71" s="124">
        <f t="shared" si="4"/>
        <v>11.550625874532106</v>
      </c>
      <c r="C71" s="124">
        <f t="shared" si="4"/>
        <v>11.550625874532106</v>
      </c>
      <c r="D71" s="124">
        <f t="shared" si="4"/>
        <v>12.583862081177509</v>
      </c>
      <c r="E71" s="124">
        <f t="shared" si="4"/>
        <v>13.236505134422075</v>
      </c>
      <c r="F71" s="124">
        <f t="shared" si="4"/>
        <v>14.913715967599698</v>
      </c>
    </row>
    <row r="73" spans="1:8" ht="13.15">
      <c r="B73" s="171" t="s">
        <v>113</v>
      </c>
      <c r="C73" s="171" t="s">
        <v>128</v>
      </c>
      <c r="D73" s="171" t="s">
        <v>108</v>
      </c>
      <c r="E73" s="172" t="s">
        <v>109</v>
      </c>
      <c r="F73" s="172" t="s">
        <v>115</v>
      </c>
    </row>
    <row r="74" spans="1:8">
      <c r="B74" s="127" t="str">
        <f>Scenarios!B54</f>
        <v>Snowball Scenario</v>
      </c>
      <c r="C74" s="142">
        <f>Scenarios!C56</f>
        <v>0.05</v>
      </c>
      <c r="D74" s="145">
        <f>Scenarios!C55</f>
        <v>10</v>
      </c>
      <c r="E74" s="135">
        <f>INDEX(B$65:F$71, MATCH(D74, A$65:A$71, 0), MATCH(C74, B$64:F$64, 0))</f>
        <v>12.349937756233048</v>
      </c>
      <c r="F74" s="142">
        <f>Scenarios!C58</f>
        <v>0.05</v>
      </c>
    </row>
    <row r="75" spans="1:8">
      <c r="B75" s="127" t="str">
        <f>Scenarios!B36</f>
        <v>Optimistic</v>
      </c>
      <c r="C75" s="142">
        <f>Scenarios!C38</f>
        <v>0.03</v>
      </c>
      <c r="D75" s="145">
        <f>Scenarios!C37</f>
        <v>5</v>
      </c>
      <c r="E75" s="135">
        <f>INDEX(B$65:F$71, MATCH(D75, A$65:A$71, 0), MATCH(C75, B$64:F$64, 0))</f>
        <v>11.776002145471939</v>
      </c>
      <c r="F75" s="142">
        <f>Scenarios!C40*(1-F$74-F$78)</f>
        <v>0.18</v>
      </c>
      <c r="H75" s="120"/>
    </row>
    <row r="76" spans="1:8">
      <c r="B76" s="127" t="str">
        <f>Scenarios!B24</f>
        <v>Base</v>
      </c>
      <c r="C76" s="142">
        <f>Scenarios!C26</f>
        <v>0.02</v>
      </c>
      <c r="D76" s="145">
        <f>Scenarios!C25</f>
        <v>5</v>
      </c>
      <c r="E76" s="135">
        <f>INDEX(B$65:F$71, MATCH(D76, A$65:A$71, 0), MATCH(C76, B$64:F$64, 0))</f>
        <v>11.699798169862193</v>
      </c>
      <c r="F76" s="142">
        <f>Scenarios!C28*(1-F$74-F$78)</f>
        <v>0.53999999999999992</v>
      </c>
      <c r="H76" s="120"/>
    </row>
    <row r="77" spans="1:8">
      <c r="B77" s="127" t="str">
        <f>Scenarios!B30</f>
        <v>Pessimistic</v>
      </c>
      <c r="C77" s="142">
        <f>Scenarios!C32</f>
        <v>0</v>
      </c>
      <c r="D77" s="145">
        <f>Scenarios!C31</f>
        <v>5</v>
      </c>
      <c r="E77" s="135">
        <f>INDEX(B$65:F$71, MATCH(D77, A$65:A$71, 0), MATCH(C77, B$64:F$64, 0))</f>
        <v>11.550625874532104</v>
      </c>
      <c r="F77" s="142">
        <f>Scenarios!C34*(1-F$74-F$78)</f>
        <v>0.18</v>
      </c>
      <c r="H77" s="120"/>
    </row>
    <row r="78" spans="1:8">
      <c r="B78" s="127" t="str">
        <f>Scenarios!B48</f>
        <v>Devil's advocate</v>
      </c>
      <c r="C78" s="142">
        <f>Scenarios!C50</f>
        <v>0</v>
      </c>
      <c r="D78" s="145">
        <f>Scenarios!C49</f>
        <v>10</v>
      </c>
      <c r="E78" s="135">
        <f>INDEX(B$65:F$71, MATCH(D78, A$65:A$71, 0), MATCH(C78, B$64:F$64, 0))</f>
        <v>11.550625874532104</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502208030.5200001</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6696107073.6000013</v>
      </c>
      <c r="D6" t="str">
        <f>Reporting_currency</f>
        <v>CNY</v>
      </c>
      <c r="E6" s="378"/>
      <c r="F6" s="378"/>
      <c r="H6" s="120"/>
    </row>
    <row r="7" spans="2:8" ht="13.15">
      <c r="B7" s="149" t="s">
        <v>421</v>
      </c>
      <c r="C7" s="111">
        <f>(C6*scaling_factor)/Common_Shares*Exchange_Rate</f>
        <v>4.8000000000000007</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2.3134236943577701E-2</v>
      </c>
      <c r="H11" s="120"/>
    </row>
    <row r="12" spans="2:8" ht="13.35" customHeight="1">
      <c r="B12" s="118" t="s">
        <v>130</v>
      </c>
      <c r="C12" s="162">
        <f>Scenarios!C64</f>
        <v>5</v>
      </c>
      <c r="H12" s="120"/>
    </row>
    <row r="13" spans="2:8" ht="13.35" customHeight="1">
      <c r="B13" s="153" t="s">
        <v>103</v>
      </c>
      <c r="C13" s="140">
        <f>F47/Common_Shares*scaling_factor</f>
        <v>4.976460588939104</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513826230.09301728</v>
      </c>
      <c r="D16" s="138">
        <f>IF($C$12&lt;B16,0,DDM!$C$11)</f>
        <v>2.3134236943577701E-2</v>
      </c>
      <c r="E16" s="124">
        <f t="shared" ref="E16:E45" si="0">IF($C$12&lt;B16,0,1/(1+Equity_Cost)^B16)</f>
        <v>0.93023255813953487</v>
      </c>
      <c r="F16" s="125">
        <f t="shared" ref="F16:F46" si="1">C16*E16</f>
        <v>477977888.45862073</v>
      </c>
      <c r="H16" s="120"/>
    </row>
    <row r="17" spans="2:8">
      <c r="B17" s="122">
        <v>2</v>
      </c>
      <c r="C17" s="123">
        <f t="shared" ref="C17:C45" si="2">IF(ROW()-ROW($C$16)&lt;$C$12, $C$16*(1+D17)^(ROW()-ROW($C$16)), 0)</f>
        <v>525713207.84781438</v>
      </c>
      <c r="D17" s="138">
        <f>IF($C$12&lt;B17,0,DDM!$C$11)</f>
        <v>2.3134236943577701E-2</v>
      </c>
      <c r="E17" s="124">
        <f t="shared" si="0"/>
        <v>0.86533261222282321</v>
      </c>
      <c r="F17" s="125">
        <f t="shared" si="1"/>
        <v>454916783.4269892</v>
      </c>
      <c r="H17" s="120"/>
    </row>
    <row r="18" spans="2:8">
      <c r="B18" s="122">
        <v>3</v>
      </c>
      <c r="C18" s="123">
        <f t="shared" si="2"/>
        <v>537875181.76253402</v>
      </c>
      <c r="D18" s="138">
        <f>IF($C$12&lt;B18,0,DDM!$C$11)</f>
        <v>2.3134236943577701E-2</v>
      </c>
      <c r="E18" s="124">
        <f t="shared" si="0"/>
        <v>0.80496056950960304</v>
      </c>
      <c r="F18" s="125">
        <f t="shared" si="1"/>
        <v>432968312.63665062</v>
      </c>
      <c r="H18" s="120"/>
    </row>
    <row r="19" spans="2:8">
      <c r="B19" s="122">
        <v>4</v>
      </c>
      <c r="C19" s="123">
        <f t="shared" si="2"/>
        <v>550318513.6634984</v>
      </c>
      <c r="D19" s="138">
        <f>IF($C$12&lt;B19,0,DDM!$C$11)</f>
        <v>2.3134236943577701E-2</v>
      </c>
      <c r="E19" s="124">
        <f t="shared" si="0"/>
        <v>0.7488005297763749</v>
      </c>
      <c r="F19" s="125">
        <f t="shared" si="1"/>
        <v>412078794.57697481</v>
      </c>
      <c r="H19" s="120"/>
    </row>
    <row r="20" spans="2:8">
      <c r="B20" s="122">
        <v>5</v>
      </c>
      <c r="C20" s="123">
        <f t="shared" si="2"/>
        <v>563049712.55302715</v>
      </c>
      <c r="D20" s="138">
        <f>IF($C$12&lt;B20,0,DDM!$C$11)</f>
        <v>2.3134236943577701E-2</v>
      </c>
      <c r="E20" s="124">
        <f t="shared" si="0"/>
        <v>0.69655863235011617</v>
      </c>
      <c r="F20" s="125">
        <f t="shared" si="1"/>
        <v>392197137.7210626</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6851016401.2402306</v>
      </c>
      <c r="D46" s="139">
        <f>Terminal_Growth</f>
        <v>0</v>
      </c>
      <c r="E46" s="124">
        <f>1/(1+Equity_Cost)^C12</f>
        <v>0.69655863235011617</v>
      </c>
      <c r="F46" s="125">
        <f t="shared" si="1"/>
        <v>4772134614.6561098</v>
      </c>
      <c r="H46" s="120"/>
    </row>
    <row r="47" spans="2:8">
      <c r="C47" s="114"/>
      <c r="E47" s="127" t="s">
        <v>97</v>
      </c>
      <c r="F47" s="137">
        <f>SUM(F16:F46)</f>
        <v>6942273531.476408</v>
      </c>
      <c r="H47" s="120"/>
    </row>
    <row r="48" spans="2:8">
      <c r="C48" s="114"/>
      <c r="H48" s="120"/>
    </row>
    <row r="49" spans="1:8" ht="13.15">
      <c r="B49" s="119" t="s">
        <v>125</v>
      </c>
      <c r="C49" s="136"/>
      <c r="D49" s="136"/>
      <c r="E49" s="117"/>
      <c r="F49" s="117"/>
      <c r="H49" s="120"/>
    </row>
    <row r="50" spans="1:8" ht="13.15">
      <c r="A50" s="133">
        <f>F47</f>
        <v>6942273531.476408</v>
      </c>
      <c r="B50" s="131">
        <f>C73</f>
        <v>0</v>
      </c>
      <c r="C50" s="131">
        <f>C72</f>
        <v>0</v>
      </c>
      <c r="D50" s="131">
        <f>C71</f>
        <v>0.02</v>
      </c>
      <c r="E50" s="131">
        <f>C70</f>
        <v>0.03</v>
      </c>
      <c r="F50" s="131">
        <f>C69</f>
        <v>0.05</v>
      </c>
      <c r="H50" s="120"/>
    </row>
    <row r="51" spans="1:8" ht="13.15">
      <c r="A51" s="143">
        <v>5</v>
      </c>
      <c r="B51" s="123">
        <f t="dataTable" ref="B51:F56" dt2D="1" dtr="1" r1="C11" r2="C12"/>
        <v>6696107073.6000023</v>
      </c>
      <c r="C51" s="123">
        <v>6696107073.6000023</v>
      </c>
      <c r="D51" s="123">
        <v>6908443999.1573372</v>
      </c>
      <c r="E51" s="123">
        <v>7016915333.3311138</v>
      </c>
      <c r="F51" s="123">
        <v>7238632391.6703339</v>
      </c>
      <c r="H51" s="120"/>
    </row>
    <row r="52" spans="1:8" ht="13.15">
      <c r="A52" s="143">
        <v>10</v>
      </c>
      <c r="B52" s="123">
        <v>6696107073.6000023</v>
      </c>
      <c r="C52" s="123">
        <v>6696107073.6000023</v>
      </c>
      <c r="D52" s="123">
        <v>7119003307.3545628</v>
      </c>
      <c r="E52" s="123">
        <v>7345941702.1758537</v>
      </c>
      <c r="F52" s="123">
        <v>7833874828.3044682</v>
      </c>
      <c r="H52" s="120"/>
    </row>
    <row r="53" spans="1:8" ht="13.15">
      <c r="A53" s="143">
        <v>15</v>
      </c>
      <c r="B53" s="123">
        <v>6696107073.6000042</v>
      </c>
      <c r="C53" s="123">
        <v>6696107073.6000042</v>
      </c>
      <c r="D53" s="123">
        <v>7385596049.3747101</v>
      </c>
      <c r="E53" s="123">
        <v>7773362859.9062996</v>
      </c>
      <c r="F53" s="123">
        <v>8649040197.2354565</v>
      </c>
      <c r="H53" s="120"/>
    </row>
    <row r="54" spans="1:8" ht="13.15">
      <c r="A54" s="144">
        <v>20</v>
      </c>
      <c r="B54" s="123">
        <v>6696107073.6000051</v>
      </c>
      <c r="C54" s="123">
        <v>6696107073.6000051</v>
      </c>
      <c r="D54" s="123">
        <v>7663523332.2686529</v>
      </c>
      <c r="E54" s="123">
        <v>8231161988.237711</v>
      </c>
      <c r="F54" s="123">
        <v>9572936365.304657</v>
      </c>
      <c r="H54" s="120"/>
    </row>
    <row r="55" spans="1:8" ht="13.15">
      <c r="A55" s="144">
        <v>25</v>
      </c>
      <c r="B55" s="123">
        <v>6696107073.6000042</v>
      </c>
      <c r="C55" s="123">
        <v>6696107073.6000042</v>
      </c>
      <c r="D55" s="123">
        <v>7928045960.4238625</v>
      </c>
      <c r="E55" s="123">
        <v>8679307050.5779152</v>
      </c>
      <c r="F55" s="123">
        <v>10533046157.07748</v>
      </c>
      <c r="H55" s="120"/>
    </row>
    <row r="56" spans="1:8" ht="13.15">
      <c r="A56" s="144">
        <v>30</v>
      </c>
      <c r="B56" s="123">
        <v>6696107073.6000051</v>
      </c>
      <c r="C56" s="123">
        <v>6696107073.6000051</v>
      </c>
      <c r="D56" s="123">
        <v>8166850679.2282019</v>
      </c>
      <c r="E56" s="123">
        <v>9095845028.3843422</v>
      </c>
      <c r="F56" s="123">
        <v>11483244049.364338</v>
      </c>
      <c r="H56" s="120"/>
    </row>
    <row r="57" spans="1:8">
      <c r="C57" s="114"/>
      <c r="D57" s="114"/>
      <c r="E57" s="114"/>
      <c r="F57" s="114"/>
      <c r="H57" s="120"/>
    </row>
    <row r="58" spans="1:8" ht="13.15">
      <c r="B58" s="119" t="s">
        <v>126</v>
      </c>
      <c r="C58" s="114"/>
      <c r="D58" s="114"/>
      <c r="E58" s="114"/>
      <c r="F58" s="114"/>
      <c r="H58" s="120"/>
    </row>
    <row r="59" spans="1:8" ht="13.15">
      <c r="B59" s="132">
        <f>B50</f>
        <v>0</v>
      </c>
      <c r="C59" s="132">
        <f>C50</f>
        <v>0</v>
      </c>
      <c r="D59" s="132">
        <f>D50</f>
        <v>0.02</v>
      </c>
      <c r="E59" s="132">
        <f>E50</f>
        <v>0.03</v>
      </c>
      <c r="F59" s="132">
        <f>F50</f>
        <v>0.05</v>
      </c>
      <c r="H59" s="120"/>
    </row>
    <row r="60" spans="1:8" ht="13.15">
      <c r="A60" s="143">
        <v>0</v>
      </c>
      <c r="B60" s="124">
        <f>C7</f>
        <v>4.8000000000000007</v>
      </c>
      <c r="C60" s="124">
        <f>C7</f>
        <v>4.8000000000000007</v>
      </c>
      <c r="D60" s="124">
        <f>C7</f>
        <v>4.8000000000000007</v>
      </c>
      <c r="E60" s="141">
        <f>C7</f>
        <v>4.8000000000000007</v>
      </c>
      <c r="F60" s="124">
        <f>C7</f>
        <v>4.8000000000000007</v>
      </c>
      <c r="H60" s="120"/>
    </row>
    <row r="61" spans="1:8" ht="13.15">
      <c r="A61" s="143">
        <f t="shared" ref="A61:A66" si="3">A51</f>
        <v>5</v>
      </c>
      <c r="B61" s="124">
        <f t="shared" ref="B61:F66" si="4">B51/Common_Shares*$C$3*Exchange_Rate</f>
        <v>4.8000000000000016</v>
      </c>
      <c r="C61" s="124">
        <f t="shared" si="4"/>
        <v>4.8000000000000016</v>
      </c>
      <c r="D61" s="124">
        <f t="shared" si="4"/>
        <v>4.9522104159136839</v>
      </c>
      <c r="E61" s="124">
        <f t="shared" si="4"/>
        <v>5.0299664013409311</v>
      </c>
      <c r="F61" s="124">
        <f t="shared" si="4"/>
        <v>5.1889008192543074</v>
      </c>
      <c r="H61" s="120"/>
    </row>
    <row r="62" spans="1:8" ht="13.15">
      <c r="A62" s="143">
        <f t="shared" si="3"/>
        <v>10</v>
      </c>
      <c r="B62" s="124">
        <f t="shared" si="4"/>
        <v>4.8000000000000016</v>
      </c>
      <c r="C62" s="124">
        <f t="shared" si="4"/>
        <v>4.8000000000000016</v>
      </c>
      <c r="D62" s="124">
        <f t="shared" si="4"/>
        <v>5.1031465745261109</v>
      </c>
      <c r="E62" s="124">
        <f t="shared" si="4"/>
        <v>5.2658238261245627</v>
      </c>
      <c r="F62" s="124">
        <f t="shared" si="4"/>
        <v>5.6155910833793339</v>
      </c>
      <c r="H62" s="120"/>
    </row>
    <row r="63" spans="1:8" ht="13.15">
      <c r="A63" s="143">
        <f t="shared" si="3"/>
        <v>15</v>
      </c>
      <c r="B63" s="124">
        <f t="shared" si="4"/>
        <v>4.8000000000000034</v>
      </c>
      <c r="C63" s="124">
        <f t="shared" si="4"/>
        <v>4.8000000000000034</v>
      </c>
      <c r="D63" s="124">
        <f t="shared" si="4"/>
        <v>5.2942494269195297</v>
      </c>
      <c r="E63" s="124">
        <f t="shared" si="4"/>
        <v>5.5722140218839522</v>
      </c>
      <c r="F63" s="124">
        <f t="shared" si="4"/>
        <v>6.1999296741248857</v>
      </c>
      <c r="H63" s="120"/>
    </row>
    <row r="64" spans="1:8" ht="13.15">
      <c r="A64" s="144">
        <f t="shared" si="3"/>
        <v>20</v>
      </c>
      <c r="B64" s="124">
        <f t="shared" si="4"/>
        <v>4.8000000000000034</v>
      </c>
      <c r="C64" s="124">
        <f t="shared" si="4"/>
        <v>4.8000000000000034</v>
      </c>
      <c r="D64" s="124">
        <f t="shared" si="4"/>
        <v>5.4934772682947877</v>
      </c>
      <c r="E64" s="124">
        <f t="shared" si="4"/>
        <v>5.9003801924421202</v>
      </c>
      <c r="F64" s="124">
        <f t="shared" si="4"/>
        <v>6.8622102437137995</v>
      </c>
      <c r="H64" s="120"/>
    </row>
    <row r="65" spans="1:8" ht="13.15">
      <c r="A65" s="144">
        <f t="shared" si="3"/>
        <v>25</v>
      </c>
      <c r="B65" s="124">
        <f t="shared" si="4"/>
        <v>4.8000000000000034</v>
      </c>
      <c r="C65" s="124">
        <f t="shared" si="4"/>
        <v>4.8000000000000034</v>
      </c>
      <c r="D65" s="124">
        <f t="shared" si="4"/>
        <v>5.6830961918258867</v>
      </c>
      <c r="E65" s="124">
        <f t="shared" si="4"/>
        <v>6.2216259962486147</v>
      </c>
      <c r="F65" s="124">
        <f t="shared" si="4"/>
        <v>7.5504499850821958</v>
      </c>
    </row>
    <row r="66" spans="1:8" ht="13.15">
      <c r="A66" s="144">
        <f t="shared" si="3"/>
        <v>30</v>
      </c>
      <c r="B66" s="124">
        <f t="shared" si="4"/>
        <v>4.8000000000000034</v>
      </c>
      <c r="C66" s="124">
        <f t="shared" si="4"/>
        <v>4.8000000000000034</v>
      </c>
      <c r="D66" s="124">
        <f t="shared" si="4"/>
        <v>5.8542796328404529</v>
      </c>
      <c r="E66" s="124">
        <f t="shared" si="4"/>
        <v>6.5202147540887614</v>
      </c>
      <c r="F66" s="124">
        <f t="shared" si="4"/>
        <v>8.231584535776415</v>
      </c>
    </row>
    <row r="68" spans="1:8" ht="13.15">
      <c r="B68" s="171" t="s">
        <v>113</v>
      </c>
      <c r="C68" s="171" t="s">
        <v>128</v>
      </c>
      <c r="D68" s="171" t="s">
        <v>108</v>
      </c>
      <c r="E68" s="172" t="s">
        <v>109</v>
      </c>
      <c r="F68" s="172" t="s">
        <v>115</v>
      </c>
    </row>
    <row r="69" spans="1:8">
      <c r="B69" s="127" t="str">
        <f>Scenarios!B54</f>
        <v>Snowball Scenario</v>
      </c>
      <c r="C69" s="142">
        <f>Scenarios!C56</f>
        <v>0.05</v>
      </c>
      <c r="D69" s="145">
        <f>Scenarios!C55</f>
        <v>10</v>
      </c>
      <c r="E69" s="135">
        <f>INDEX(B$60:F$66, MATCH(D69, A$60:A$66, 0), MATCH(C69, B$59:F$59, 0))</f>
        <v>5.6155910833793339</v>
      </c>
      <c r="F69" s="142">
        <f>Scenarios!C58</f>
        <v>0.05</v>
      </c>
    </row>
    <row r="70" spans="1:8">
      <c r="B70" s="127" t="str">
        <f>Scenarios!B36</f>
        <v>Optimistic</v>
      </c>
      <c r="C70" s="142">
        <f>Scenarios!C38</f>
        <v>0.03</v>
      </c>
      <c r="D70" s="145">
        <f>Scenarios!C37</f>
        <v>5</v>
      </c>
      <c r="E70" s="135">
        <f>INDEX(B$60:F$66, MATCH(D70, A$60:A$66, 0), MATCH(C70, B$59:F$59, 0))</f>
        <v>5.0299664013409311</v>
      </c>
      <c r="F70" s="142">
        <f>Scenarios!C40*(1-F$69-F$73)</f>
        <v>0.18</v>
      </c>
      <c r="H70" s="120"/>
    </row>
    <row r="71" spans="1:8">
      <c r="B71" s="127" t="str">
        <f>Scenarios!B24</f>
        <v>Base</v>
      </c>
      <c r="C71" s="142">
        <f>Scenarios!C26</f>
        <v>0.02</v>
      </c>
      <c r="D71" s="145">
        <f>Scenarios!C25</f>
        <v>5</v>
      </c>
      <c r="E71" s="135">
        <f>INDEX(B$60:F$66, MATCH(D71, A$60:A$66, 0), MATCH(C71, B$59:F$59, 0))</f>
        <v>4.9522104159136839</v>
      </c>
      <c r="F71" s="142">
        <f>Scenarios!C28*(1-F$69-F$73)</f>
        <v>0.53999999999999992</v>
      </c>
      <c r="H71" s="120"/>
    </row>
    <row r="72" spans="1:8">
      <c r="B72" s="127" t="str">
        <f>Scenarios!B30</f>
        <v>Pessimistic</v>
      </c>
      <c r="C72" s="142">
        <f>Scenarios!C32</f>
        <v>0</v>
      </c>
      <c r="D72" s="145">
        <f>Scenarios!C31</f>
        <v>5</v>
      </c>
      <c r="E72" s="135">
        <f>INDEX(B$60:F$66, MATCH(D72, A$60:A$66, 0), MATCH(C72, B$59:F$59, 0))</f>
        <v>4.8000000000000016</v>
      </c>
      <c r="F72" s="142">
        <f>Scenarios!C34*(1-F$69-F$73)</f>
        <v>0.18</v>
      </c>
      <c r="H72" s="120"/>
    </row>
    <row r="73" spans="1:8">
      <c r="B73" s="127" t="str">
        <f>Scenarios!B48</f>
        <v>Devil's advocate</v>
      </c>
      <c r="C73" s="142">
        <f>Scenarios!C50</f>
        <v>0</v>
      </c>
      <c r="D73" s="145">
        <f>Scenarios!C49</f>
        <v>10</v>
      </c>
      <c r="E73" s="135">
        <f>INDEX(B$60:F$66, MATCH(D73, A$60:A$66, 0), MATCH(C73, B$59:F$59, 0))</f>
        <v>4.8000000000000016</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-10</v>
      </c>
    </row>
    <row r="4" spans="2:9">
      <c r="B4" s="152" t="s">
        <v>142</v>
      </c>
      <c r="C4" s="120">
        <v>3</v>
      </c>
      <c r="D4" s="120"/>
      <c r="E4" s="155" t="s">
        <v>146</v>
      </c>
      <c r="F4" s="155"/>
      <c r="H4" s="247">
        <v>1</v>
      </c>
      <c r="I4" s="124">
        <f t="shared" ref="I4:I13" si="0">IF(ROW()-3 &lt; $C$76, $C$77, IF(ROW()-3 = $C$76, $C$77 + $C$60, ""))</f>
        <v>0.36000000000000004</v>
      </c>
    </row>
    <row r="5" spans="2:9">
      <c r="H5" s="247">
        <v>2</v>
      </c>
      <c r="I5" s="124">
        <f t="shared" si="0"/>
        <v>0.36000000000000004</v>
      </c>
    </row>
    <row r="6" spans="2:9" ht="13.15">
      <c r="B6" s="159" t="s">
        <v>92</v>
      </c>
      <c r="C6" s="107">
        <f>DCF!C3</f>
        <v>1</v>
      </c>
      <c r="E6" s="100" t="s">
        <v>274</v>
      </c>
      <c r="F6" s="100"/>
      <c r="H6" s="247">
        <v>3</v>
      </c>
      <c r="I6" s="124">
        <f t="shared" si="0"/>
        <v>12.071712236864567</v>
      </c>
    </row>
    <row r="7" spans="2:9" ht="12.75" customHeight="1">
      <c r="B7" s="100" t="s">
        <v>270</v>
      </c>
      <c r="C7" s="338">
        <f>Normalized_FCF!G8</f>
        <v>821044246</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中文传媒(600373.SS). Each scenario should include the Compound Growth Rate, the Probability Assessment, and the Business Narrative.</v>
      </c>
      <c r="F7" s="380"/>
      <c r="H7" s="247">
        <v>4</v>
      </c>
      <c r="I7" s="124" t="str">
        <f t="shared" si="0"/>
        <v/>
      </c>
    </row>
    <row r="8" spans="2:9">
      <c r="B8" s="100" t="s">
        <v>64</v>
      </c>
      <c r="C8" s="338">
        <f>Normalized_FCF!G19</f>
        <v>335956918.03600812</v>
      </c>
      <c r="D8" t="str">
        <f>Reporting_currency</f>
        <v>CNY</v>
      </c>
      <c r="E8" s="380"/>
      <c r="F8" s="380"/>
      <c r="H8" s="247">
        <v>5</v>
      </c>
      <c r="I8" s="124" t="str">
        <f t="shared" si="0"/>
        <v/>
      </c>
    </row>
    <row r="9" spans="2:9">
      <c r="B9" s="100" t="s">
        <v>55</v>
      </c>
      <c r="C9" s="338">
        <f>Normalized_FCF!C19</f>
        <v>492183955.98074996</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-4.5961886297537391E-2</v>
      </c>
      <c r="D12" s="158"/>
      <c r="E12" s="380"/>
      <c r="F12" s="380"/>
      <c r="H12" s="247">
        <v>9</v>
      </c>
      <c r="I12" s="124" t="str">
        <f t="shared" si="0"/>
        <v/>
      </c>
    </row>
    <row r="13" spans="2:9">
      <c r="B13" s="148" t="s">
        <v>148</v>
      </c>
      <c r="C13" s="158">
        <f ca="1">(Normalized_FCF!G8/OFFSET(Normalized_FCF!G8, 0, $C$4))^(1/$C$4) - 1</f>
        <v>-0.135599908831609</v>
      </c>
      <c r="E13" s="380"/>
      <c r="F13" s="380"/>
      <c r="H13" s="247">
        <v>10</v>
      </c>
      <c r="I13" s="124" t="str">
        <f t="shared" si="0"/>
        <v/>
      </c>
    </row>
    <row r="14" spans="2:9">
      <c r="B14" s="100" t="s">
        <v>64</v>
      </c>
      <c r="C14" s="158">
        <f ca="1">(Normalized_FCF!G19/OFFSET(Normalized_FCF!G19, 0, $C$4))^(1/$C$4) - 1</f>
        <v>-0.29648179377498129</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10</v>
      </c>
      <c r="D21" t="str">
        <f>Market_currency</f>
        <v>CNY</v>
      </c>
      <c r="E21" s="381"/>
      <c r="F21" s="381"/>
    </row>
    <row r="22" spans="2:6">
      <c r="B22" s="100" t="s">
        <v>273</v>
      </c>
      <c r="C22" s="160">
        <f>IF(valuation_method="DCF",DCF!C12,DDM!C7)</f>
        <v>11.550625874532104</v>
      </c>
      <c r="D22" t="str">
        <f>Market_currency</f>
        <v>CNY</v>
      </c>
      <c r="E22" s="381"/>
      <c r="F22" s="381"/>
    </row>
    <row r="24" spans="2:6" ht="13.15">
      <c r="B24" s="159" t="s">
        <v>111</v>
      </c>
      <c r="E24" s="159" t="s">
        <v>145</v>
      </c>
      <c r="F24" s="159"/>
    </row>
    <row r="25" spans="2:6">
      <c r="B25" s="152" t="s">
        <v>129</v>
      </c>
      <c r="C25" s="166">
        <f>C18</f>
        <v>5</v>
      </c>
      <c r="D25" s="163"/>
      <c r="E25" s="379"/>
      <c r="F25" s="379"/>
    </row>
    <row r="26" spans="2:6">
      <c r="B26" s="118" t="s">
        <v>130</v>
      </c>
      <c r="C26" s="164">
        <v>0.02</v>
      </c>
      <c r="D26" s="164"/>
      <c r="E26" s="379"/>
      <c r="F26" s="379"/>
    </row>
    <row r="27" spans="2:6">
      <c r="B27" s="100" t="s">
        <v>109</v>
      </c>
      <c r="C27" s="160">
        <f>IF(valuation_method="DCF",DCF!E76,DDM!E71)</f>
        <v>11.699798169862193</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v>
      </c>
      <c r="D32" s="164"/>
      <c r="E32" s="379"/>
      <c r="F32" s="379"/>
    </row>
    <row r="33" spans="2:6">
      <c r="B33" s="100" t="s">
        <v>109</v>
      </c>
      <c r="C33" s="160">
        <f>IF(valuation_method="DCF",DCF!E77,DDM!E72)</f>
        <v>11.550625874532104</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0.03</v>
      </c>
      <c r="D38" s="164"/>
      <c r="E38" s="379"/>
      <c r="F38" s="379"/>
    </row>
    <row r="39" spans="2:6">
      <c r="B39" s="100" t="s">
        <v>109</v>
      </c>
      <c r="C39" s="160">
        <f>IF(valuation_method="DCF",DCF!E75,DDM!E70)</f>
        <v>11.776002145471939</v>
      </c>
      <c r="D39" t="str">
        <f>Market_currency</f>
        <v>CNY</v>
      </c>
      <c r="E39" s="379"/>
      <c r="F39" s="379"/>
    </row>
    <row r="40" spans="2:6">
      <c r="B40" s="100" t="s">
        <v>143</v>
      </c>
      <c r="C40" s="167">
        <f>1-C28-C34</f>
        <v>0.2</v>
      </c>
      <c r="D40" s="165"/>
      <c r="E40" s="379"/>
      <c r="F40" s="379"/>
    </row>
    <row r="42" spans="2:6" ht="13.15">
      <c r="B42" s="100" t="s">
        <v>116</v>
      </c>
      <c r="C42" s="154">
        <f>C27*C28+C33*C34+C39*C40</f>
        <v>11.685204505918124</v>
      </c>
      <c r="D42" t="str">
        <f>Market_currency</f>
        <v>CNY</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v>
      </c>
      <c r="D50" s="164"/>
      <c r="E50" s="379"/>
      <c r="F50" s="379"/>
    </row>
    <row r="51" spans="2:6">
      <c r="B51" s="100" t="s">
        <v>109</v>
      </c>
      <c r="C51" s="160">
        <f>IF(valuation_method="DCF",DCF!E78,DDM!E73)</f>
        <v>11.550625874532104</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0.05</v>
      </c>
      <c r="D56" s="164"/>
      <c r="E56" s="379"/>
      <c r="F56" s="379"/>
    </row>
    <row r="57" spans="2:6">
      <c r="B57" s="100" t="s">
        <v>109</v>
      </c>
      <c r="C57" s="160">
        <f>IF(valuation_method="DCF",DCF!E74,DDM!E69)</f>
        <v>12.349937756233048</v>
      </c>
      <c r="D57" t="str">
        <f>Market_currency</f>
        <v>CNY</v>
      </c>
      <c r="E57" s="379"/>
      <c r="F57" s="379"/>
    </row>
    <row r="58" spans="2:6">
      <c r="B58" s="100" t="s">
        <v>143</v>
      </c>
      <c r="C58" s="165">
        <v>0.05</v>
      </c>
      <c r="D58" s="165"/>
      <c r="E58" s="379"/>
      <c r="F58" s="379"/>
    </row>
    <row r="60" spans="2:6" ht="13.15">
      <c r="B60" s="100" t="s">
        <v>116</v>
      </c>
      <c r="C60" s="154">
        <f>C51*C52+C57*C58+C42*(1-C52-C58)</f>
        <v>11.711712236864567</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2.3134236943577701E-2</v>
      </c>
      <c r="D65" s="151"/>
      <c r="E65" s="251" t="s">
        <v>304</v>
      </c>
    </row>
    <row r="66" spans="2:6">
      <c r="B66" s="100" t="s">
        <v>99</v>
      </c>
      <c r="C66" s="160">
        <f>IF(valuation_method="DCF",DCF!C18,DDM!C13)</f>
        <v>11.723564309325376</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Y</v>
      </c>
      <c r="E72" s="134" t="s">
        <v>337</v>
      </c>
      <c r="F72" s="291">
        <f>BS!D89/C60</f>
        <v>0.58458009875682571</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0.36000000000000004</v>
      </c>
      <c r="D77" t="str">
        <f>Market_currency</f>
        <v>CNY</v>
      </c>
    </row>
    <row r="79" spans="2:6" ht="13.15">
      <c r="B79" s="109" t="s">
        <v>296</v>
      </c>
    </row>
    <row r="80" spans="2:6">
      <c r="B80" s="148" t="s">
        <v>294</v>
      </c>
      <c r="C80" s="167">
        <f>Thesis!F29</f>
        <v>0.45</v>
      </c>
    </row>
    <row r="81" spans="2:8">
      <c r="B81" s="100" t="s">
        <v>117</v>
      </c>
      <c r="C81" s="116">
        <f>PV(C80, C76, -C77, 0)</f>
        <v>0.53758661691746279</v>
      </c>
      <c r="D81" s="116"/>
      <c r="E81" s="100"/>
      <c r="F81" s="100"/>
    </row>
    <row r="82" spans="2:8">
      <c r="B82" s="100" t="s">
        <v>118</v>
      </c>
      <c r="C82" s="116">
        <f>C60/(1+C80)^C76</f>
        <v>3.8416375372059757</v>
      </c>
      <c r="D82" s="116"/>
    </row>
    <row r="83" spans="2:8" ht="13.15">
      <c r="B83" s="110" t="s">
        <v>98</v>
      </c>
      <c r="C83" s="111">
        <f>C81+C82</f>
        <v>4.3792241541234382</v>
      </c>
      <c r="D83" t="str">
        <f>Market_currency</f>
        <v>CNY</v>
      </c>
      <c r="E83" s="146" t="s">
        <v>122</v>
      </c>
      <c r="F83" s="291">
        <f>(1-C83/C60)</f>
        <v>0.62608164668364208</v>
      </c>
    </row>
    <row r="84" spans="2:8">
      <c r="E84" s="120"/>
    </row>
    <row r="85" spans="2:8" ht="13.15">
      <c r="B85" s="109" t="s">
        <v>297</v>
      </c>
    </row>
    <row r="86" spans="2:8">
      <c r="B86" s="148" t="s">
        <v>295</v>
      </c>
      <c r="C86" s="116">
        <f>Market_Price</f>
        <v>10</v>
      </c>
      <c r="D86" t="str">
        <f>Market_currency</f>
        <v>CNY</v>
      </c>
    </row>
    <row r="87" spans="2:8" ht="13.15">
      <c r="B87" s="100" t="s">
        <v>293</v>
      </c>
      <c r="C87" s="237">
        <f ca="1">IRR(OFFSET($I$3, 0, 0, $C$76 + 1, 1))</f>
        <v>8.830266843905421E-2</v>
      </c>
    </row>
    <row r="88" spans="2:8">
      <c r="B88" s="100"/>
    </row>
    <row r="89" spans="2:8" ht="13.15">
      <c r="B89" s="109" t="s">
        <v>392</v>
      </c>
    </row>
    <row r="90" spans="2:8">
      <c r="B90" s="148" t="s">
        <v>393</v>
      </c>
      <c r="C90" s="167">
        <f>Thesis!F30</f>
        <v>0.3</v>
      </c>
    </row>
    <row r="91" spans="2:8">
      <c r="B91" s="100" t="s">
        <v>117</v>
      </c>
      <c r="C91" s="116">
        <f>PV(C90, C76, -C77, 0)</f>
        <v>0.65380063723259008</v>
      </c>
      <c r="D91" s="116"/>
      <c r="E91" s="100"/>
      <c r="F91" s="100"/>
    </row>
    <row r="92" spans="2:8">
      <c r="B92" s="100" t="s">
        <v>118</v>
      </c>
      <c r="C92" s="116">
        <f>C60/(1+C90)^C76</f>
        <v>5.3307748005755871</v>
      </c>
      <c r="D92" s="116"/>
    </row>
    <row r="93" spans="2:8" ht="13.15">
      <c r="B93" s="110" t="s">
        <v>98</v>
      </c>
      <c r="C93" s="111">
        <f>C91+C92</f>
        <v>5.9845754378081768</v>
      </c>
      <c r="D93" t="str">
        <f>Market_currency</f>
        <v>CNY</v>
      </c>
      <c r="E93" s="146" t="s">
        <v>122</v>
      </c>
      <c r="F93" s="291">
        <f>(1-C93/C60)</f>
        <v>0.48900935091534037</v>
      </c>
    </row>
    <row r="95" spans="2:8" ht="13.15">
      <c r="B95" s="109" t="s">
        <v>378</v>
      </c>
      <c r="G95" s="2"/>
      <c r="H95" s="281"/>
    </row>
    <row r="96" spans="2:8">
      <c r="B96" s="148" t="s">
        <v>383</v>
      </c>
      <c r="C96" s="134">
        <f>Thesis!F31</f>
        <v>7.4999999999999997E-2</v>
      </c>
      <c r="G96" s="2"/>
      <c r="H96" s="281"/>
    </row>
    <row r="97" spans="2:8">
      <c r="B97" s="100" t="s">
        <v>117</v>
      </c>
      <c r="C97" s="116">
        <f>PV(C96, C76, -C77, 0)</f>
        <v>0.93618926635390565</v>
      </c>
      <c r="D97" s="116"/>
      <c r="G97" s="2"/>
      <c r="H97" s="281"/>
    </row>
    <row r="98" spans="2:8">
      <c r="B98" s="100" t="s">
        <v>118</v>
      </c>
      <c r="C98" s="116">
        <f>C60/(1+C96)^C76</f>
        <v>9.427466552119089</v>
      </c>
      <c r="D98" s="116"/>
      <c r="G98" s="2"/>
      <c r="H98" s="281"/>
    </row>
    <row r="99" spans="2:8" ht="13.15">
      <c r="B99" s="110" t="s">
        <v>379</v>
      </c>
      <c r="C99" s="111">
        <f>C97+C98</f>
        <v>10.363655818472994</v>
      </c>
      <c r="D99" t="s">
        <v>377</v>
      </c>
      <c r="E99" s="146" t="s">
        <v>122</v>
      </c>
      <c r="F99" s="291">
        <f>(1-C99/C60)</f>
        <v>0.11510327363989881</v>
      </c>
    </row>
    <row r="100" spans="2:8">
      <c r="B100" s="100"/>
    </row>
    <row r="101" spans="2:8" ht="13.15">
      <c r="B101" s="109" t="s">
        <v>399</v>
      </c>
    </row>
    <row r="102" spans="2:8">
      <c r="B102" s="148" t="s">
        <v>398</v>
      </c>
      <c r="C102" s="134">
        <f>Thesis!F32</f>
        <v>8.6999999999999994E-2</v>
      </c>
    </row>
    <row r="103" spans="2:8">
      <c r="B103" s="100" t="s">
        <v>117</v>
      </c>
      <c r="C103" s="116">
        <f>PV(C102, C76, -C77, 0)</f>
        <v>0.91616042104176609</v>
      </c>
      <c r="D103" s="116"/>
    </row>
    <row r="104" spans="2:8">
      <c r="B104" s="100" t="s">
        <v>118</v>
      </c>
      <c r="C104" s="116">
        <f>C60/(1+C102)^C76</f>
        <v>9.118675493470155</v>
      </c>
      <c r="D104" s="116"/>
    </row>
    <row r="105" spans="2:8" ht="13.15">
      <c r="B105" s="110" t="s">
        <v>379</v>
      </c>
      <c r="C105" s="111">
        <f>C103+C104</f>
        <v>10.034835914511921</v>
      </c>
      <c r="D105" t="s">
        <v>377</v>
      </c>
      <c r="E105" s="146" t="s">
        <v>122</v>
      </c>
      <c r="F105" s="291">
        <f>(1-C105/C66)</f>
        <v>0.14404564603873704</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E2F300-6631-4E49-B7C2-4218E921460C}">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2025-07-18T09:38:13Z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