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66EF734-5220-4560-BD8E-B8443BD2523A}"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45" i="4" l="1"/>
  <c r="L45" i="4"/>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F69" i="4"/>
  <c r="F71" i="4"/>
  <c r="E72" i="4"/>
  <c r="D72" i="4"/>
  <c r="D70" i="4"/>
  <c r="J72" i="4"/>
  <c r="H72" i="4"/>
  <c r="L69" i="4"/>
  <c r="L70" i="4"/>
  <c r="L72" i="4"/>
  <c r="L71" i="4"/>
  <c r="K70" i="4"/>
  <c r="K72" i="4"/>
  <c r="C72" i="4"/>
  <c r="C70"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L38" i="4"/>
  <c r="L43" i="4" s="1"/>
  <c r="L44" i="4" s="1"/>
  <c r="L58" i="4" s="1"/>
  <c r="P62" i="2" s="1"/>
  <c r="E38" i="4"/>
  <c r="E43" i="4" s="1"/>
  <c r="E70" i="4" s="1"/>
  <c r="M38" i="4"/>
  <c r="C10" i="6"/>
  <c r="B4" i="6"/>
  <c r="C31" i="4" l="1"/>
  <c r="C80" i="4" s="1"/>
  <c r="C88" i="6"/>
  <c r="K58" i="4"/>
  <c r="O62" i="2" s="1"/>
  <c r="K71" i="4"/>
  <c r="I91" i="2"/>
  <c r="G69" i="4"/>
  <c r="J91" i="2"/>
  <c r="J69" i="4"/>
  <c r="I69" i="4"/>
  <c r="N126" i="2"/>
  <c r="N91" i="2"/>
  <c r="P126" i="2"/>
  <c r="P91" i="2"/>
  <c r="Q126" i="2"/>
  <c r="Q48" i="2"/>
  <c r="Q92" i="2"/>
  <c r="Q91" i="2"/>
  <c r="D69" i="4"/>
  <c r="J71" i="4"/>
  <c r="L126" i="2"/>
  <c r="L91" i="2"/>
  <c r="I70" i="4"/>
  <c r="O126" i="2"/>
  <c r="O91" i="2"/>
  <c r="M126" i="2"/>
  <c r="M91" i="2"/>
  <c r="H91" i="2"/>
  <c r="J70" i="4"/>
  <c r="E69" i="4"/>
  <c r="I71" i="4"/>
  <c r="C69" i="4"/>
  <c r="K126" i="2"/>
  <c r="K91" i="2"/>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82" i="2"/>
  <c r="O40" i="2"/>
  <c r="O28" i="2"/>
  <c r="O75" i="2"/>
  <c r="C76" i="4" l="1"/>
  <c r="G105" i="2"/>
  <c r="G101" i="2" s="1"/>
  <c r="C58" i="4"/>
  <c r="C71" i="4"/>
  <c r="O63" i="2"/>
  <c r="O30" i="2"/>
  <c r="E58" i="4"/>
  <c r="I62" i="2" s="1"/>
  <c r="E71" i="4"/>
  <c r="O73" i="2"/>
  <c r="H58" i="4"/>
  <c r="H71" i="4"/>
  <c r="G71" i="4"/>
  <c r="D71" i="4"/>
  <c r="O6" i="2"/>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8" i="2" l="1"/>
  <c r="O74" i="2"/>
  <c r="M74"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O120" i="2"/>
  <c r="O76" i="2"/>
  <c r="O55"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O48" i="2"/>
  <c r="O50" i="2" s="1"/>
  <c r="O12" i="2" s="1"/>
  <c r="K48" i="2"/>
  <c r="I48" i="2"/>
  <c r="I50" i="2" s="1"/>
  <c r="I12" i="2" s="1"/>
  <c r="I80" i="2" s="1"/>
  <c r="P48" i="2"/>
  <c r="P50" i="2" s="1"/>
  <c r="P12" i="2" s="1"/>
  <c r="L48" i="2"/>
  <c r="L50" i="2" s="1"/>
  <c r="L12" i="2" s="1"/>
  <c r="J48" i="2"/>
  <c r="J50" i="2" s="1"/>
  <c r="J12" i="2" s="1"/>
  <c r="J80" i="2" s="1"/>
  <c r="H48" i="2"/>
  <c r="H50" i="2" s="1"/>
  <c r="H12" i="2" s="1"/>
  <c r="H80" i="2" s="1"/>
  <c r="N48" i="2"/>
  <c r="M48" i="2"/>
  <c r="M50" i="2" s="1"/>
  <c r="M12" i="2" s="1"/>
  <c r="N50" i="2"/>
  <c r="N12" i="2" s="1"/>
  <c r="G50" i="2"/>
  <c r="G12" i="2" s="1"/>
  <c r="G43" i="2" s="1"/>
  <c r="C40" i="6"/>
  <c r="K50" i="2"/>
  <c r="K12" i="2" s="1"/>
  <c r="K43" i="2" s="1"/>
  <c r="C87" i="3"/>
  <c r="D87" i="3" s="1"/>
  <c r="C31" i="3"/>
  <c r="L80" i="2" l="1"/>
  <c r="L43" i="2"/>
  <c r="O80" i="2"/>
  <c r="O13" i="2"/>
  <c r="O4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24" i="2"/>
  <c r="O125" i="2" s="1"/>
  <c r="O19" i="2"/>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N92" i="2"/>
  <c r="N114" i="2"/>
  <c r="I114" i="2"/>
  <c r="I92" i="2"/>
  <c r="J114" i="2"/>
  <c r="J92" i="2"/>
  <c r="L124" i="2"/>
  <c r="L125" i="2" s="1"/>
  <c r="L19" i="2"/>
  <c r="M124" i="2"/>
  <c r="M125" i="2" s="1"/>
  <c r="M19" i="2"/>
  <c r="I124" i="2"/>
  <c r="I125" i="2" s="1"/>
  <c r="J84" i="2"/>
  <c r="N124" i="2"/>
  <c r="N125" i="2" s="1"/>
  <c r="M84" i="2"/>
  <c r="I87" i="2"/>
  <c r="I84" i="2"/>
  <c r="J124" i="2"/>
  <c r="J125" i="2" s="1"/>
  <c r="K87" i="2"/>
  <c r="L84" i="2"/>
  <c r="N87" i="2"/>
  <c r="C76" i="2"/>
  <c r="C50" i="3"/>
  <c r="C90" i="6" s="1"/>
  <c r="C54" i="3"/>
  <c r="C120" i="2"/>
  <c r="L114" i="2" l="1"/>
  <c r="L92" i="2"/>
  <c r="L87" i="2"/>
  <c r="M114" i="2"/>
  <c r="M92" i="2"/>
  <c r="C14" i="9"/>
  <c r="M87" i="2"/>
  <c r="C81" i="2"/>
  <c r="C117" i="2" s="1"/>
  <c r="C97" i="2"/>
  <c r="J87" i="2"/>
  <c r="C82" i="2"/>
  <c r="C124" i="2" l="1"/>
  <c r="C84" i="2" l="1"/>
  <c r="C9" i="9"/>
  <c r="C57" i="6" l="1"/>
  <c r="C125" i="2"/>
  <c r="C58" i="6" s="1"/>
  <c r="C87" i="2"/>
  <c r="C6" i="8" l="1"/>
  <c r="C77" i="6" s="1"/>
  <c r="C21" i="8"/>
  <c r="C37" i="8" l="1"/>
  <c r="F37" i="8" s="1"/>
  <c r="C40" i="8"/>
  <c r="F40" i="8" s="1"/>
  <c r="C36" i="8"/>
  <c r="F36" i="8" s="1"/>
  <c r="C39" i="8"/>
  <c r="F39" i="8" s="1"/>
  <c r="C38" i="8"/>
  <c r="F3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<sst xmlns="http://schemas.openxmlformats.org/spreadsheetml/2006/main" count="616" uniqueCount="433">
  <si>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</si>
  <si>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</si>
  <si>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</si>
  <si>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</si>
  <si>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</si>
  <si>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</si>
  <si>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</si>
  <si>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</si>
  <si>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</si>
  <si>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</si>
  <si>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</si>
  <si>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</si>
  <si>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</si>
  <si>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</si>
  <si>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</si>
  <si>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</si>
  <si>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</si>
  <si>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</si>
  <si>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</si>
  <si>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</si>
  <si>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</si>
  <si>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</si>
  <si>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</si>
  <si>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</si>
  <si>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</si>
  <si>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</si>
  <si>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</si>
  <si>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</si>
  <si>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</si>
  <si>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</si>
  <si>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</si>
  <si>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</si>
  <si>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</si>
  <si>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</si>
  <si>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</si>
  <si>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</si>
  <si>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</si>
  <si>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</si>
  <si>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</si>
  <si>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</si>
  <si>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</si>
  <si>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</si>
  <si>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</si>
  <si>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</si>
  <si>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</si>
  <si>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</si>
  <si>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</si>
  <si>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</si>
  <si>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</si>
  <si>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</si>
  <si>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</si>
  <si>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</si>
  <si>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</si>
  <si>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</si>
  <si>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</si>
  <si>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</si>
  <si>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</si>
  <si>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</si>
  <si>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</si>
  <si>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</si>
  <si>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</si>
  <si>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</si>
  <si>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</si>
  <si>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</si>
  <si>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</si>
  <si>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</si>
  <si>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</si>
  <si>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</si>
  <si>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</si>
  <si>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</si>
  <si>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</si>
  <si>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</si>
  <si>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</si>
  <si>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</si>
  <si>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</si>
  <si>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</si>
  <si>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</si>
  <si>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</si>
  <si>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</si>
  <si>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</si>
  <si>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</si>
  <si>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</si>
  <si>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</si>
  <si>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</si>
  <si>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</si>
  <si>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</si>
  <si>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</si>
  <si>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</si>
  <si>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</si>
  <si>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</si>
  <si>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</si>
  <si>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</si>
  <si>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</si>
  <si>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</si>
  <si>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</si>
  <si>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</si>
  <si>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</si>
  <si>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</si>
  <si>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</si>
  <si>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</si>
  <si>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</si>
  <si>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</si>
  <si>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</si>
  <si>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</si>
  <si>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</si>
  <si>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</si>
  <si>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</si>
  <si>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</si>
  <si>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</si>
  <si>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</si>
  <si>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</si>
  <si>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</si>
  <si>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</si>
  <si>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</si>
  <si>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</si>
  <si>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</si>
  <si>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</si>
  <si>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</si>
  <si>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</si>
  <si>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</si>
  <si>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</si>
  <si>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</si>
  <si>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</si>
  <si>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</si>
  <si>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</si>
  <si>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</si>
  <si>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</si>
  <si>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</si>
  <si>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</si>
  <si>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</si>
  <si>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</si>
  <si>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</si>
  <si>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</si>
  <si>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</si>
  <si>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</si>
  <si>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</si>
  <si>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</si>
  <si>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</si>
  <si>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</si>
  <si>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</si>
  <si>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</si>
  <si>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</si>
  <si>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</si>
  <si>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</si>
  <si>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</si>
  <si>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</si>
  <si>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</si>
  <si>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</si>
  <si>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</si>
  <si>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</si>
  <si>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</si>
  <si>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</si>
  <si>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</si>
  <si>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</si>
  <si>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</si>
  <si>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</si>
  <si>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</si>
  <si>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</si>
  <si>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</si>
  <si>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</si>
  <si>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</si>
  <si>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</si>
  <si>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</si>
  <si>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</si>
  <si>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</si>
  <si>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</si>
  <si>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</si>
  <si>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</si>
  <si>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</si>
  <si>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</si>
  <si>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</si>
  <si>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</si>
  <si>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</si>
  <si>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</si>
  <si>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</si>
  <si>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</si>
  <si>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</si>
  <si>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</si>
  <si>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</si>
  <si>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</si>
  <si>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</si>
  <si>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</si>
  <si>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</si>
  <si>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</si>
  <si>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</si>
  <si>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</si>
  <si>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</si>
  <si>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</si>
  <si>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</si>
  <si>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</si>
  <si>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</si>
  <si>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</si>
  <si>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</si>
  <si>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</si>
  <si>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</si>
  <si>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</si>
  <si>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</si>
  <si>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</si>
  <si>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</si>
  <si>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</si>
  <si>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</si>
  <si>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</si>
  <si>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</si>
  <si>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</si>
  <si>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</si>
  <si>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</si>
  <si>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</si>
  <si>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</si>
  <si>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</si>
  <si>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</si>
  <si>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</si>
  <si>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</si>
  <si>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</si>
  <si>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</si>
  <si>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</si>
  <si>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</si>
  <si>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</si>
  <si>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</si>
  <si>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</si>
  <si>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</si>
  <si>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</si>
  <si>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</si>
  <si>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</si>
  <si>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</si>
  <si>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</si>
  <si>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</si>
  <si>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</si>
  <si>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</si>
  <si>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</si>
  <si>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</si>
  <si>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</si>
  <si>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</si>
  <si>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</si>
  <si>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</si>
  <si>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</si>
  <si>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</si>
  <si>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</si>
  <si>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</si>
  <si>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</si>
  <si>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</si>
  <si>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</si>
  <si>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</si>
  <si>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</si>
  <si>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</si>
  <si>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</si>
  <si>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</si>
  <si>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</si>
  <si>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</si>
  <si>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</si>
  <si>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</si>
  <si>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</si>
  <si>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</si>
  <si>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</si>
  <si>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</si>
  <si>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</si>
  <si>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</si>
  <si>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</si>
  <si>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</si>
  <si>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</si>
  <si>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</si>
  <si>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</si>
  <si>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</si>
  <si>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</si>
  <si>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</si>
  <si>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</si>
  <si>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</si>
  <si>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</si>
  <si>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</si>
  <si>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</si>
  <si>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</si>
  <si>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</si>
  <si>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</si>
  <si>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</si>
  <si>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</si>
  <si>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</si>
  <si>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</si>
  <si>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</si>
  <si>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</si>
  <si>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</si>
  <si>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</si>
  <si>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</si>
  <si>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</si>
  <si>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</si>
  <si>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</si>
  <si>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</si>
  <si>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</si>
  <si>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</si>
  <si>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</si>
  <si>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</si>
  <si>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</si>
  <si>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</si>
  <si>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</si>
  <si>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</si>
  <si>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</si>
  <si>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</si>
  <si>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</si>
  <si>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</si>
  <si>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</si>
  <si>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</si>
  <si>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</si>
  <si>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</si>
  <si>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</si>
  <si>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</si>
  <si>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</si>
  <si>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</si>
  <si>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</si>
  <si>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</si>
  <si>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</si>
  <si>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</si>
  <si>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</si>
  <si>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</si>
  <si>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</si>
  <si>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</si>
  <si>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</si>
  <si>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</si>
  <si>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</si>
  <si>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</si>
  <si>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</si>
  <si>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</si>
  <si>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</si>
  <si>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</si>
  <si>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</si>
  <si>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</si>
  <si>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</si>
  <si>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</si>
  <si>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</si>
  <si>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</si>
  <si>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</si>
  <si>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</si>
  <si>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</si>
  <si>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</si>
  <si>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</si>
  <si>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</si>
  <si>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</si>
  <si>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</si>
  <si>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</si>
  <si>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</si>
  <si>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</si>
  <si>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</si>
  <si>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</si>
  <si>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</si>
  <si>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</si>
  <si>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</si>
  <si>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</si>
  <si>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</si>
  <si>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</si>
  <si>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</si>
  <si>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</si>
  <si>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</si>
  <si>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</si>
  <si>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</si>
  <si>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</si>
  <si>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</si>
  <si>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</si>
  <si>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</si>
  <si>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</si>
  <si>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</si>
  <si>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</si>
  <si>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</si>
  <si>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</si>
  <si>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</si>
  <si>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</si>
  <si>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</si>
  <si>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</si>
  <si>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</si>
  <si>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</si>
  <si>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</si>
  <si>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</si>
  <si>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</si>
  <si>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</si>
  <si>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</si>
  <si>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</si>
  <si>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</si>
  <si>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</si>
  <si>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</si>
  <si>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</si>
  <si>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</si>
  <si>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</si>
  <si>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</si>
  <si>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</si>
  <si>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</si>
  <si>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</si>
  <si>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</si>
  <si>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</si>
  <si>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</si>
  <si>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</si>
  <si>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</si>
  <si>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</si>
  <si>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</si>
  <si>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</si>
  <si>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</si>
  <si>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</si>
  <si>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</si>
  <si>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</si>
  <si>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</si>
  <si>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</si>
  <si>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</si>
  <si>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</si>
  <si>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</si>
  <si>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</si>
  <si>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</si>
  <si>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</si>
  <si>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</si>
  <si>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</si>
  <si>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</si>
  <si>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</si>
  <si>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</si>
  <si>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</si>
  <si>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</si>
  <si>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</si>
  <si>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</si>
  <si>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</si>
  <si>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</si>
  <si>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</si>
  <si>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</si>
  <si>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</si>
  <si>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</si>
  <si>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</si>
  <si>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</si>
  <si>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</si>
  <si>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</si>
  <si>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</si>
  <si>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</si>
  <si>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</si>
  <si>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</si>
  <si>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李宁</t>
  </si>
  <si>
    <t>2331.HK</t>
  </si>
  <si>
    <t>CNY</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</si>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</sst>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opLeftCell="A124" zoomScaleNormal="100" workbookViewId="0">
      <selection activeCell="D139" sqref="D139"/>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45778</v>
      </c>
      <c r="D1" s="52"/>
      <c r="E1" s="331" t="s">
        <v>361</v>
      </c>
      <c r="F1" s="284" t="s">
        <v>424</v>
      </c>
    </row>
    <row r="2" spans="1:10" ht="13.9">
      <c r="A2" s="247" t="s">
        <v>268</v>
      </c>
      <c r="B2" s="36"/>
      <c r="C2" s="36"/>
      <c r="D2" s="36"/>
      <c r="E2" s="36"/>
      <c r="F2" s="36"/>
      <c r="G2" s="22"/>
      <c r="H2" s="22"/>
      <c r="I2" s="22"/>
      <c r="J2" s="22"/>
    </row>
    <row r="4" spans="1:10">
      <c r="B4" s="45" t="str">
        <f>D5&amp;" Stock Information"</f>
        <v>2331.HK Stock Information</v>
      </c>
      <c r="C4" s="46"/>
      <c r="D4" s="5"/>
      <c r="E4" s="2"/>
      <c r="F4" s="2"/>
    </row>
    <row r="5" spans="1:10" ht="12.4">
      <c r="B5" s="4" t="s">
        <v>323</v>
      </c>
      <c r="C5" s="333" t="s">
        <v>425</v>
      </c>
      <c r="D5" s="49" t="s">
        <v>426</v>
      </c>
    </row>
    <row r="6" spans="1:10">
      <c r="B6" s="4" t="s">
        <v>95</v>
      </c>
      <c r="C6" s="50">
        <v>15.32</v>
      </c>
      <c r="D6" s="48" t="s">
        <v>404</v>
      </c>
      <c r="E6" s="48"/>
    </row>
    <row r="7" spans="1:10">
      <c r="B7" s="4" t="s">
        <v>0</v>
      </c>
      <c r="C7" s="51">
        <v>2584797906</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39599.103919919995</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427</v>
      </c>
      <c r="D16" s="32"/>
      <c r="E16" s="5"/>
    </row>
    <row r="17" spans="1:6">
      <c r="B17" s="4" t="s">
        <v>1</v>
      </c>
      <c r="C17" s="50">
        <v>1.0739449931617173</v>
      </c>
      <c r="D17" s="32" t="str">
        <f>IF(C16=D6,D6,C16&amp;"/"&amp;D6)</f>
        <v>CNY/HKD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11.864263383794571</v>
      </c>
      <c r="D20" s="1" t="s">
        <v>315</v>
      </c>
      <c r="E20" s="330">
        <v>3</v>
      </c>
    </row>
    <row r="21" spans="1:6">
      <c r="B21" s="1" t="s">
        <v>407</v>
      </c>
      <c r="C21" s="280">
        <f ca="1">Scenarios!C87</f>
        <v>0.19063377748254529</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v>
      </c>
    </row>
    <row r="29" spans="1:6" ht="24.4" customHeight="1">
      <c r="B29" s="341" t="s">
        <v>232</v>
      </c>
      <c r="C29" s="341"/>
      <c r="D29" s="341"/>
      <c r="E29" s="341"/>
      <c r="F29" s="341"/>
    </row>
    <row r="30" spans="1:6">
      <c r="B30" s="47" t="s">
        <v>233</v>
      </c>
      <c r="C30" s="188">
        <f>Normalized_FCF!C8</f>
        <v>3205414.6239021346</v>
      </c>
      <c r="D30" s="1" t="str">
        <f>Reporting_currency</f>
        <v>CNY</v>
      </c>
    </row>
    <row r="31" spans="1:6">
      <c r="B31" s="47"/>
      <c r="C31" s="76"/>
    </row>
    <row r="32" spans="1:6" ht="24.4" customHeight="1">
      <c r="B32" s="341" t="s">
        <v>234</v>
      </c>
      <c r="C32" s="341"/>
      <c r="D32" s="341"/>
      <c r="E32" s="341"/>
      <c r="F32" s="341"/>
    </row>
    <row r="33" spans="2:6">
      <c r="B33" s="47" t="s">
        <v>235</v>
      </c>
      <c r="C33" s="188">
        <f>Normalized_FCF!C9</f>
        <v>0</v>
      </c>
      <c r="D33" s="1" t="str">
        <f>Reporting_currency</f>
        <v>CNY</v>
      </c>
    </row>
    <row r="34" spans="2:6">
      <c r="B34" s="52" t="s">
        <v>236</v>
      </c>
      <c r="C34" s="188">
        <f>Normalized_FCF!C10</f>
        <v>0</v>
      </c>
      <c r="D34" s="1" t="str">
        <f>Reporting_currency</f>
        <v>CNY</v>
      </c>
    </row>
    <row r="36" spans="2:6">
      <c r="B36" s="341" t="s">
        <v>237</v>
      </c>
      <c r="C36" s="341"/>
      <c r="D36" s="341"/>
      <c r="E36" s="341"/>
      <c r="F36" s="341"/>
    </row>
    <row r="37" spans="2:6">
      <c r="B37" s="47" t="s">
        <v>238</v>
      </c>
      <c r="C37" s="188">
        <f>Normalized_FCF!C11</f>
        <v>179409.3</v>
      </c>
      <c r="D37" s="1" t="str">
        <f>Reporting_currency</f>
        <v>CNY</v>
      </c>
    </row>
    <row r="39" spans="2:6">
      <c r="B39" s="341" t="s">
        <v>241</v>
      </c>
      <c r="C39" s="341"/>
      <c r="D39" s="341"/>
      <c r="E39" s="341"/>
      <c r="F39" s="341"/>
    </row>
    <row r="40" spans="2:6">
      <c r="B40" s="47" t="s">
        <v>348</v>
      </c>
      <c r="C40" s="322">
        <f>Normalized_FCF!C48</f>
        <v>96023.943166571378</v>
      </c>
      <c r="D40" s="1" t="str">
        <f>Reporting_currency</f>
        <v>CNY</v>
      </c>
      <c r="E40" s="321"/>
      <c r="F40" s="321"/>
    </row>
    <row r="41" spans="2:6">
      <c r="B41" s="47" t="s">
        <v>349</v>
      </c>
      <c r="C41" s="322">
        <f>Normalized_FCF!C47</f>
        <v>-254421</v>
      </c>
      <c r="D41" s="1" t="str">
        <f>Reporting_currency</f>
        <v>CNY</v>
      </c>
      <c r="E41" s="321"/>
      <c r="F41" s="321"/>
    </row>
    <row r="42" spans="2:6">
      <c r="B42" s="47" t="s">
        <v>239</v>
      </c>
      <c r="C42" s="188">
        <f>Normalized_FCF!C12</f>
        <v>-158397.05683342862</v>
      </c>
      <c r="D42" s="1" t="str">
        <f>Reporting_currency</f>
        <v>CNY</v>
      </c>
    </row>
    <row r="44" spans="2:6">
      <c r="B44" s="1" t="s">
        <v>247</v>
      </c>
    </row>
    <row r="45" spans="2:6">
      <c r="B45" s="47" t="s">
        <v>266</v>
      </c>
      <c r="C45" s="188">
        <f>Normalized_FCF!C15</f>
        <v>0</v>
      </c>
      <c r="D45" s="1" t="str">
        <f>Reporting_currency</f>
        <v>CNY</v>
      </c>
    </row>
    <row r="47" spans="2:6">
      <c r="B47" s="341" t="s">
        <v>242</v>
      </c>
      <c r="C47" s="341"/>
      <c r="D47" s="341"/>
      <c r="E47" s="341"/>
      <c r="F47" s="341"/>
    </row>
    <row r="48" spans="2:6">
      <c r="B48" s="47" t="s">
        <v>240</v>
      </c>
      <c r="C48" s="188">
        <f>Normalized_FCF!C14</f>
        <v>-806606.7167671764</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2532315.2171665714</v>
      </c>
      <c r="D56" s="1" t="str">
        <f>Reporting_currency</f>
        <v>CNY</v>
      </c>
    </row>
    <row r="57" spans="1:6">
      <c r="B57" s="47" t="s">
        <v>249</v>
      </c>
      <c r="C57" s="188">
        <f>Normalized_FCF!C19</f>
        <v>2419820.1503015291</v>
      </c>
      <c r="D57" s="1" t="str">
        <f>Reporting_currency</f>
        <v>CNY</v>
      </c>
    </row>
    <row r="58" spans="1:6">
      <c r="B58" s="254" t="s">
        <v>398</v>
      </c>
      <c r="C58" s="92">
        <f>Normalized_FCF!C125</f>
        <v>6.5626579329258014E-2</v>
      </c>
    </row>
    <row r="59" spans="1:6">
      <c r="B59" s="254" t="s">
        <v>316</v>
      </c>
      <c r="C59" s="92">
        <f>Normalized_FCF!C93</f>
        <v>3.5544021344529921E-2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429</v>
      </c>
    </row>
    <row r="69" spans="1:6">
      <c r="B69" s="1" t="s">
        <v>289</v>
      </c>
      <c r="C69" s="263">
        <f>IF(D69="Y",1%,0)</f>
        <v>0</v>
      </c>
      <c r="D69" s="286" t="s">
        <v>429</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12.567489941552909</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1936137</v>
      </c>
      <c r="D86" s="1" t="str">
        <f>Reporting_currency</f>
        <v>CNY</v>
      </c>
    </row>
    <row r="87" spans="2:6">
      <c r="B87" s="47" t="s">
        <v>285</v>
      </c>
      <c r="C87" s="248">
        <f>C86*scaling_factor*Exchange_Rate/Common_Shares</f>
        <v>0.80443605761151837</v>
      </c>
      <c r="D87" s="1" t="str">
        <f>Market_currency</f>
        <v>HKD</v>
      </c>
    </row>
    <row r="88" spans="2:6">
      <c r="B88" s="336" t="s">
        <v>412</v>
      </c>
      <c r="C88" s="337">
        <f>BS!G30/BS!G27</f>
        <v>0.36794481423679237</v>
      </c>
    </row>
    <row r="89" spans="2:6">
      <c r="B89" s="336" t="s">
        <v>413</v>
      </c>
      <c r="C89" s="337">
        <f>BS!G31/BS!G27</f>
        <v>7.4171010848313429E-2</v>
      </c>
    </row>
    <row r="90" spans="2:6">
      <c r="B90" s="336" t="s">
        <v>415</v>
      </c>
      <c r="C90" s="338">
        <f>BS!C50</f>
        <v>0.60402076709908736</v>
      </c>
    </row>
    <row r="92" spans="2:6">
      <c r="B92" s="1" t="s">
        <v>255</v>
      </c>
    </row>
    <row r="93" spans="2:6">
      <c r="B93" s="47" t="s">
        <v>265</v>
      </c>
      <c r="C93" s="188">
        <f>BS!C66</f>
        <v>18164188</v>
      </c>
      <c r="D93" s="1" t="str">
        <f>Reporting_currency</f>
        <v>CNY</v>
      </c>
    </row>
    <row r="94" spans="2:6">
      <c r="B94" s="47" t="s">
        <v>267</v>
      </c>
      <c r="C94" s="188">
        <f>Valuation_Model!C8</f>
        <v>14103430.28815804</v>
      </c>
      <c r="D94" s="1" t="str">
        <f>Reporting_currency</f>
        <v>CNY</v>
      </c>
    </row>
    <row r="95" spans="2:6">
      <c r="B95" s="47" t="s">
        <v>286</v>
      </c>
      <c r="C95" s="248">
        <f>C94*scaling_factor*Exchange_Rate/Common_Shares</f>
        <v>5.8597650165276187</v>
      </c>
      <c r="D95" s="1" t="str">
        <f>Market_currency</f>
        <v>HKD</v>
      </c>
    </row>
    <row r="97" spans="1:6">
      <c r="B97" s="1" t="s">
        <v>257</v>
      </c>
    </row>
    <row r="98" spans="1:6">
      <c r="B98" s="47" t="s">
        <v>258</v>
      </c>
      <c r="C98" s="188">
        <f>Valuation_Model!C9</f>
        <v>561572.19999999995</v>
      </c>
      <c r="D98" s="1" t="str">
        <f>Reporting_currency</f>
        <v>CNY</v>
      </c>
    </row>
    <row r="99" spans="1:6">
      <c r="B99" s="47" t="s">
        <v>287</v>
      </c>
      <c r="C99" s="248">
        <f>C98*scaling_factor*Exchange_Rate/Common_Shares</f>
        <v>0.23332487661370402</v>
      </c>
      <c r="D99" s="1" t="str">
        <f>Market_currency</f>
        <v>HKD</v>
      </c>
    </row>
    <row r="101" spans="1:6" ht="24.4" customHeight="1">
      <c r="B101" s="340" t="s">
        <v>374</v>
      </c>
      <c r="C101" s="340"/>
      <c r="D101" s="340"/>
      <c r="E101" s="340"/>
      <c r="F101" s="340"/>
    </row>
    <row r="103" spans="1:6">
      <c r="B103" s="47" t="s">
        <v>283</v>
      </c>
      <c r="C103" s="248">
        <f>Valuation_Model!C12</f>
        <v>17.856143777082718</v>
      </c>
      <c r="D103" s="1" t="str">
        <f>Market_currency</f>
        <v>HKD</v>
      </c>
    </row>
    <row r="104" spans="1:6">
      <c r="B104" s="336" t="s">
        <v>414</v>
      </c>
      <c r="C104" s="248">
        <f>BS!D47</f>
        <v>4.5275447966435411</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30</v>
      </c>
      <c r="E111" s="258" t="str">
        <f>ROUND(Valuation_Model!E74,2)&amp;" "&amp;Market_currency</f>
        <v>47.25 HKD</v>
      </c>
      <c r="F111" s="259">
        <f>Valuation_Model!F74</f>
        <v>0.05</v>
      </c>
    </row>
    <row r="112" spans="1:6">
      <c r="B112" s="242" t="str">
        <f>Valuation_Model!B75</f>
        <v>Optimistic</v>
      </c>
      <c r="C112" s="243">
        <f>Valuation_Model!C75</f>
        <v>0.06</v>
      </c>
      <c r="D112" s="244">
        <f>Valuation_Model!D75</f>
        <v>20</v>
      </c>
      <c r="E112" s="245" t="str">
        <f>ROUND(Valuation_Model!E75,2)&amp;" "&amp;Market_currency</f>
        <v>24.77 HKD</v>
      </c>
      <c r="F112" s="246">
        <f>Valuation_Model!F75</f>
        <v>0.22499999999999992</v>
      </c>
    </row>
    <row r="113" spans="1:6">
      <c r="B113" s="242" t="str">
        <f>Valuation_Model!B76</f>
        <v>Base</v>
      </c>
      <c r="C113" s="243">
        <f>Valuation_Model!C76</f>
        <v>0.05</v>
      </c>
      <c r="D113" s="244">
        <f>Valuation_Model!D76</f>
        <v>20</v>
      </c>
      <c r="E113" s="245" t="str">
        <f>ROUND(Valuation_Model!E76,2)&amp;" "&amp;Market_currency</f>
        <v>23.28 HKD</v>
      </c>
      <c r="F113" s="246">
        <f>Valuation_Model!F76</f>
        <v>0.495</v>
      </c>
    </row>
    <row r="114" spans="1:6">
      <c r="B114" s="242" t="str">
        <f>Valuation_Model!B77</f>
        <v>Pessimistic</v>
      </c>
      <c r="C114" s="243">
        <f>Valuation_Model!C77</f>
        <v>0.02</v>
      </c>
      <c r="D114" s="244">
        <f>Valuation_Model!D77</f>
        <v>20</v>
      </c>
      <c r="E114" s="245" t="str">
        <f>ROUND(Valuation_Model!E77,2)&amp;" "&amp;Market_currency</f>
        <v>19.68 HKD</v>
      </c>
      <c r="F114" s="246">
        <f>Valuation_Model!F77</f>
        <v>0.18</v>
      </c>
    </row>
    <row r="115" spans="1:6">
      <c r="B115" s="242" t="str">
        <f>Valuation_Model!B78</f>
        <v>Devil's advocate</v>
      </c>
      <c r="C115" s="243">
        <f>Valuation_Model!C78</f>
        <v>0</v>
      </c>
      <c r="D115" s="244">
        <f>Valuation_Model!D78</f>
        <v>30</v>
      </c>
      <c r="E115" s="245" t="str">
        <f>ROUND(Valuation_Model!E78,2)&amp;" "&amp;Market_currency</f>
        <v>17.86 HKD</v>
      </c>
      <c r="F115" s="246">
        <f>Valuation_Model!F78</f>
        <v>0.05</v>
      </c>
    </row>
    <row r="117" spans="1:6">
      <c r="B117" s="235" t="s">
        <v>259</v>
      </c>
      <c r="C117" s="241">
        <f>Scenarios!C60</f>
        <v>23.893094370273865</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0.54453440699819844</v>
      </c>
      <c r="D128" s="236" t="str">
        <f>Market_currency</f>
        <v>HKD</v>
      </c>
    </row>
    <row r="130" spans="2:4">
      <c r="B130" s="234" t="s">
        <v>418</v>
      </c>
      <c r="C130" s="337">
        <f>C19</f>
        <v>0.3</v>
      </c>
      <c r="D130" s="1" t="s">
        <v>416</v>
      </c>
    </row>
    <row r="131" spans="2:4">
      <c r="B131" s="236" t="str">
        <f>"PV("&amp;C126&amp;" yrs of Dividends)"</f>
        <v>PV(3 yrs of Dividends)</v>
      </c>
      <c r="C131" s="240">
        <f>Scenarios!C81</f>
        <v>0.9889359508069242</v>
      </c>
    </row>
    <row r="132" spans="2:4">
      <c r="B132" s="236" t="str">
        <f>"+ PV(Equity Value realized at year "&amp;C126&amp;")"</f>
        <v>+ PV(Equity Value realized at year 3)</v>
      </c>
      <c r="C132" s="240">
        <f>Scenarios!C82</f>
        <v>10.875327432987646</v>
      </c>
    </row>
    <row r="133" spans="2:4">
      <c r="B133" s="80" t="s">
        <v>261</v>
      </c>
      <c r="C133" s="239">
        <f>Scenarios!C83</f>
        <v>11.864263383794571</v>
      </c>
      <c r="D133" s="47" t="str">
        <f>Reporting_currency</f>
        <v>CNY</v>
      </c>
    </row>
    <row r="134" spans="2:4">
      <c r="B134" s="238" t="s">
        <v>263</v>
      </c>
      <c r="C134" s="92">
        <f>Scenarios!F83</f>
        <v>0.50344383193182107</v>
      </c>
    </row>
    <row r="136" spans="2:4">
      <c r="B136" s="234" t="s">
        <v>421</v>
      </c>
      <c r="C136" s="337">
        <f>Scenarios!C90</f>
        <v>0.2</v>
      </c>
      <c r="D136" s="1" t="s">
        <v>420</v>
      </c>
    </row>
    <row r="137" spans="2:4">
      <c r="B137" s="236" t="str">
        <f>"PV("&amp;C126&amp;" yrs of Dividends)"</f>
        <v>PV(3 yrs of Dividends)</v>
      </c>
      <c r="C137" s="240">
        <f>Scenarios!C91</f>
        <v>1.1470516443712049</v>
      </c>
    </row>
    <row r="138" spans="2:4">
      <c r="B138" s="236" t="str">
        <f>"+ PV(Equity Value realized at year "&amp;C126&amp;")"</f>
        <v>+ PV(Equity Value realized at year 3)</v>
      </c>
      <c r="C138" s="240">
        <f>Scenarios!C92</f>
        <v>13.827022205019597</v>
      </c>
    </row>
    <row r="139" spans="2:4">
      <c r="B139" s="80" t="s">
        <v>261</v>
      </c>
      <c r="C139" s="239">
        <f>Scenarios!C93</f>
        <v>14.974073849390802</v>
      </c>
      <c r="D139" s="47" t="str">
        <f>Reporting_currency</f>
        <v>CNY</v>
      </c>
    </row>
    <row r="140" spans="2:4">
      <c r="B140" s="238" t="s">
        <v>263</v>
      </c>
      <c r="C140" s="92">
        <f>Scenarios!F93</f>
        <v>0.37328863238323329</v>
      </c>
    </row>
    <row r="142" spans="2:4">
      <c r="B142" s="234" t="s">
        <v>408</v>
      </c>
      <c r="C142" s="92">
        <f>Scenarios!C96</f>
        <v>0.08</v>
      </c>
      <c r="D142" s="1" t="s">
        <v>419</v>
      </c>
    </row>
    <row r="143" spans="2:4">
      <c r="B143" s="236" t="str">
        <f>"PV("&amp;C126&amp;" yrs of Dividends)"</f>
        <v>PV(3 yrs of Dividends)</v>
      </c>
      <c r="C143" s="240">
        <f>Scenarios!C97</f>
        <v>1.4033179797278683</v>
      </c>
    </row>
    <row r="144" spans="2:4">
      <c r="B144" s="236" t="str">
        <f>"+ PV(Equity Value realized at year "&amp;C126&amp;")"</f>
        <v>+ PV(Equity Value realized at year 3)</v>
      </c>
      <c r="C144" s="240">
        <f>Scenarios!C98</f>
        <v>18.967108648860901</v>
      </c>
    </row>
    <row r="145" spans="1:6">
      <c r="B145" s="80" t="s">
        <v>409</v>
      </c>
      <c r="C145" s="239">
        <f>Scenarios!C99</f>
        <v>20.370426628588771</v>
      </c>
      <c r="D145" s="101" t="str">
        <f>Reporting_currency</f>
        <v>CNY</v>
      </c>
    </row>
    <row r="146" spans="1:6">
      <c r="B146" s="238" t="s">
        <v>263</v>
      </c>
      <c r="C146" s="92">
        <f>Scenarios!F99</f>
        <v>0.14743455523566484</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379</v>
      </c>
      <c r="C22" s="181"/>
      <c r="D22" s="181">
        <v>4687936</v>
      </c>
      <c r="E22" s="181">
        <v>3913604</v>
      </c>
      <c r="F22" s="181">
        <v>6525335</v>
      </c>
      <c r="G22" s="181">
        <v>2763336</v>
      </c>
      <c r="H22" s="181">
        <v>3503469</v>
      </c>
      <c r="I22" s="181">
        <v>1671869</v>
      </c>
      <c r="J22" s="181">
        <v>1159143</v>
      </c>
      <c r="K22" s="181">
        <v>995476</v>
      </c>
      <c r="L22" s="181">
        <v>687043</v>
      </c>
      <c r="M22" s="181"/>
    </row>
    <row r="23" spans="2:13">
      <c r="B23" s="27" t="s">
        <v>381</v>
      </c>
      <c r="C23" s="181"/>
      <c r="D23" s="181">
        <v>-2449105</v>
      </c>
      <c r="E23" s="181">
        <v>-9481433</v>
      </c>
      <c r="F23" s="181">
        <v>-6538700</v>
      </c>
      <c r="G23" s="181">
        <v>-991555</v>
      </c>
      <c r="H23" s="181">
        <v>-573343</v>
      </c>
      <c r="I23" s="181">
        <v>-482937</v>
      </c>
      <c r="J23" s="181">
        <v>-342516</v>
      </c>
      <c r="K23" s="181">
        <v>-320306</v>
      </c>
      <c r="L23" s="181">
        <v>-362745</v>
      </c>
      <c r="M23" s="181"/>
    </row>
    <row r="24" spans="2:13">
      <c r="B24" s="27" t="s">
        <v>380</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0.54453440699819844</v>
      </c>
      <c r="D25" s="39"/>
      <c r="E25" s="39"/>
      <c r="F25" s="39"/>
      <c r="G25" s="39"/>
      <c r="H25" s="39"/>
      <c r="I25" s="39"/>
      <c r="J25" s="39"/>
      <c r="K25" s="39"/>
      <c r="L25" s="39"/>
      <c r="M25" s="39"/>
    </row>
    <row r="27" spans="2:13">
      <c r="B27" s="16" t="s">
        <v>28</v>
      </c>
      <c r="C27" s="97" t="s">
        <v>430</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1815.2739999999999</v>
      </c>
      <c r="D62" s="183">
        <f t="shared" ref="D62:M62" si="30">IF(D$4="","",-D20)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401</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0.54453440699819844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4">
        <v>0.6</v>
      </c>
      <c r="E4" s="25"/>
      <c r="F4" s="4" t="s">
        <v>78</v>
      </c>
      <c r="G4" s="19">
        <f>8264361+7498596</f>
        <v>15762957</v>
      </c>
      <c r="H4" s="294">
        <v>0.9</v>
      </c>
    </row>
    <row r="5" spans="2:8" ht="15" customHeight="1">
      <c r="B5" s="1" t="s">
        <v>33</v>
      </c>
      <c r="C5" s="19">
        <v>0</v>
      </c>
      <c r="D5" s="294">
        <v>0.6</v>
      </c>
      <c r="E5" s="25"/>
      <c r="F5" s="1" t="s">
        <v>29</v>
      </c>
      <c r="G5" s="19">
        <v>23261</v>
      </c>
      <c r="H5" s="294">
        <v>0.7</v>
      </c>
    </row>
    <row r="6" spans="2:8" ht="15" customHeight="1">
      <c r="B6" s="4" t="s">
        <v>10</v>
      </c>
      <c r="C6" s="19">
        <v>2598226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893775</v>
      </c>
      <c r="D11" s="294">
        <v>0.05</v>
      </c>
      <c r="H11" s="295"/>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4">
        <v>0.4</v>
      </c>
      <c r="F15" s="4" t="s">
        <v>79</v>
      </c>
      <c r="G15" s="19">
        <v>2377970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450316</v>
      </c>
      <c r="H17" s="294">
        <v>0.6</v>
      </c>
    </row>
    <row r="18" spans="2:8" ht="15" customHeight="1">
      <c r="B18" s="4" t="s">
        <v>174</v>
      </c>
      <c r="C18" s="19">
        <v>0</v>
      </c>
      <c r="D18" s="294">
        <v>0.6</v>
      </c>
      <c r="F18" s="4" t="s">
        <v>182</v>
      </c>
      <c r="G18" s="19">
        <v>1743938</v>
      </c>
      <c r="H18" s="294">
        <v>0.1</v>
      </c>
    </row>
    <row r="19" spans="2:8" ht="15" customHeight="1">
      <c r="B19" s="4" t="s">
        <v>26</v>
      </c>
      <c r="C19" s="19">
        <f>4610454+1576667+150864</f>
        <v>6337985</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234736</v>
      </c>
      <c r="D21" s="294">
        <v>0.05</v>
      </c>
      <c r="F21" s="1" t="s">
        <v>181</v>
      </c>
      <c r="G21" s="19">
        <v>2913826</v>
      </c>
      <c r="H21" s="294">
        <v>0.1</v>
      </c>
    </row>
    <row r="22" spans="2:8" ht="15" customHeight="1">
      <c r="B22" s="4" t="s">
        <v>20</v>
      </c>
      <c r="C22" s="19">
        <v>949424</v>
      </c>
      <c r="D22" s="294">
        <v>0.9</v>
      </c>
      <c r="H22" s="295"/>
    </row>
    <row r="23" spans="2:8" ht="15" customHeight="1">
      <c r="B23" s="4" t="s">
        <v>21</v>
      </c>
      <c r="C23" s="19">
        <v>5450</v>
      </c>
      <c r="D23" s="294">
        <v>0</v>
      </c>
      <c r="H23" s="295"/>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81">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26103689</v>
      </c>
      <c r="D46" s="188">
        <f>H29</f>
        <v>10897009.050000001</v>
      </c>
      <c r="F46" s="283"/>
    </row>
    <row r="47" spans="2:8" ht="15" customHeight="1">
      <c r="B47" s="1" t="str">
        <f>"Equity per share ("&amp;Market_currency&amp;")"</f>
        <v>Equity per share (HKD)</v>
      </c>
      <c r="C47" s="148">
        <f>C46*H1/Common_Shares*Exchange_Rate</f>
        <v>10.845693599304779</v>
      </c>
      <c r="D47" s="148">
        <f>D46*H1/Common_Shares*Exchange_Rate</f>
        <v>4.5275447966435411</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0.60402076709908736</v>
      </c>
      <c r="D50" s="95">
        <f>G31/Normalized_FCF!G8</f>
        <v>0.54859123183168057</v>
      </c>
      <c r="F50" s="283"/>
    </row>
    <row r="51" spans="2:8" ht="15" customHeight="1">
      <c r="B51" s="1" t="s">
        <v>177</v>
      </c>
      <c r="C51" s="202"/>
      <c r="D51" s="92">
        <f>G29/G32</f>
        <v>0.73102364188421065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0.25775000437452</v>
      </c>
      <c r="D54" s="92">
        <f>Normalized_FCF!G8/G35</f>
        <v>0.28379300712166428</v>
      </c>
      <c r="F54" s="283"/>
    </row>
    <row r="55" spans="2:8" ht="15" customHeight="1">
      <c r="B55" s="1" t="s">
        <v>142</v>
      </c>
      <c r="C55" s="92">
        <f>Normalized_FCF!C11/G40</f>
        <v>7.709145494543118E-3</v>
      </c>
      <c r="D55" s="92">
        <f>Normalized_FCF!G11/G40</f>
        <v>1.1013064992204455E-2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0.17749280099481338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18164188</v>
      </c>
      <c r="D66" s="188">
        <f>C66-D75</f>
        <v>14103430.28815804</v>
      </c>
      <c r="F66" s="5" t="s">
        <v>227</v>
      </c>
    </row>
    <row r="67" spans="2:6" ht="15" customHeight="1">
      <c r="B67" s="105" t="s">
        <v>178</v>
      </c>
      <c r="C67" s="20">
        <f>G6+G16</f>
        <v>0</v>
      </c>
      <c r="F67" s="283"/>
    </row>
    <row r="68" spans="2:6" ht="15" customHeight="1">
      <c r="B68" s="105" t="s">
        <v>182</v>
      </c>
      <c r="C68" s="20">
        <f>G18</f>
        <v>1743938</v>
      </c>
      <c r="F68" s="283"/>
    </row>
    <row r="69" spans="2:6" ht="15" customHeight="1">
      <c r="B69" s="105" t="s">
        <v>180</v>
      </c>
      <c r="C69" s="20">
        <f>G8+G20</f>
        <v>0</v>
      </c>
      <c r="F69" s="283"/>
    </row>
    <row r="70" spans="2:6" ht="15" customHeight="1">
      <c r="B70" s="80" t="s">
        <v>189</v>
      </c>
      <c r="C70" s="81">
        <f>SUM(C66:C69)</f>
        <v>19908126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-2212822.1162461578</v>
      </c>
      <c r="D73" s="188">
        <f>(Normalized_FCF!C25+Normalized_FCF!C35-Normalized_FCF!C91)/12</f>
        <v>-2030378.85592098</v>
      </c>
      <c r="F73" s="1" t="s">
        <v>359</v>
      </c>
    </row>
    <row r="74" spans="2:6" ht="15" customHeight="1">
      <c r="B74" s="288" t="s">
        <v>329</v>
      </c>
      <c r="C74" s="289">
        <f>-$C$66/C73</f>
        <v>8.2086074007674039</v>
      </c>
      <c r="D74" s="289">
        <f>-$C$66/D73</f>
        <v>8.9462062447260475</v>
      </c>
      <c r="F74" s="283" t="s">
        <v>327</v>
      </c>
    </row>
    <row r="75" spans="2:6" ht="15" customHeight="1">
      <c r="B75" s="80" t="s">
        <v>328</v>
      </c>
      <c r="C75" s="293"/>
      <c r="D75" s="292">
        <f>MAX(-D73*D76,G5)</f>
        <v>4060757.71184196</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450316</v>
      </c>
      <c r="D79" s="188">
        <f>G7*H7+G17*H17</f>
        <v>270189.59999999998</v>
      </c>
      <c r="F79" s="283"/>
    </row>
    <row r="80" spans="2:6" ht="15" customHeight="1">
      <c r="B80" s="105" t="s">
        <v>183</v>
      </c>
      <c r="C80" s="20">
        <f>G19</f>
        <v>0</v>
      </c>
      <c r="D80" s="188">
        <f>G19*H19</f>
        <v>0</v>
      </c>
      <c r="F80" s="283"/>
    </row>
    <row r="81" spans="2:8" ht="15" customHeight="1">
      <c r="B81" s="105" t="s">
        <v>181</v>
      </c>
      <c r="C81" s="20">
        <f>G9+G21</f>
        <v>2913826</v>
      </c>
      <c r="D81" s="188">
        <f>G9*H9+G21*H21</f>
        <v>291382.60000000003</v>
      </c>
      <c r="F81" s="283"/>
    </row>
    <row r="82" spans="2:8" ht="15" customHeight="1">
      <c r="B82" s="80" t="s">
        <v>190</v>
      </c>
      <c r="C82" s="81">
        <f>SUM(C79:C81)</f>
        <v>3364142</v>
      </c>
      <c r="D82" s="81">
        <f>SUM(D79:D81)</f>
        <v>561572.19999999995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-2079304.6372251478</v>
      </c>
      <c r="D86" s="248">
        <f>C86*scaling_factor/Common_Shares</f>
        <v>-0.80443605761151826</v>
      </c>
      <c r="E86" s="269" t="str">
        <f>Market_currency</f>
        <v>HKD</v>
      </c>
    </row>
    <row r="87" spans="2:8" ht="15" customHeight="1">
      <c r="B87" s="267" t="s">
        <v>294</v>
      </c>
      <c r="C87" s="188">
        <f>Valuation_Model!C8*Exchange_Rate</f>
        <v>15146308.344372643</v>
      </c>
      <c r="D87" s="248">
        <f>C87*scaling_factor/Common_Shares</f>
        <v>5.8597650165276178</v>
      </c>
      <c r="E87" s="269" t="str">
        <f>Market_currency</f>
        <v>HKD</v>
      </c>
    </row>
    <row r="88" spans="2:8" ht="15" customHeight="1">
      <c r="B88" s="268" t="s">
        <v>190</v>
      </c>
      <c r="C88" s="188">
        <f>Valuation_Model!C9*Exchange_Rate</f>
        <v>603097.65248881048</v>
      </c>
      <c r="D88" s="248">
        <f>C88*scaling_factor/Common_Shares</f>
        <v>0.23332487661370399</v>
      </c>
      <c r="E88" s="269" t="str">
        <f>Market_currency</f>
        <v>HKD</v>
      </c>
    </row>
    <row r="89" spans="2:8" ht="15" customHeight="1">
      <c r="B89" s="80" t="s">
        <v>298</v>
      </c>
      <c r="C89" s="187">
        <f>SUM(C86:C88)</f>
        <v>13670101.359636307</v>
      </c>
      <c r="D89" s="271">
        <f>SUM(D86:D88)</f>
        <v>5.2886538355298036</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7" sqref="G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301"/>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-158397.05683342862</v>
      </c>
      <c r="E12" s="302"/>
      <c r="G12" s="191">
        <f>G50</f>
        <v>-158397.05683342862</v>
      </c>
      <c r="H12" s="191">
        <f t="shared" ref="H12:Q12" si="6">H50</f>
        <v>-69542.476583001437</v>
      </c>
      <c r="I12" s="191">
        <f t="shared" si="6"/>
        <v>-20463.151202034802</v>
      </c>
      <c r="J12" s="191">
        <f t="shared" si="6"/>
        <v>-80020.339603888002</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3226426.8670687056</v>
      </c>
      <c r="E13" s="302"/>
      <c r="G13" s="184">
        <f>IF(G$4="","",SUM(G8:G12))</f>
        <v>3629006.2171665714</v>
      </c>
      <c r="H13" s="184">
        <f t="shared" ref="H13:Q13" si="7">IF(H$4="","",SUM(H8:H12))</f>
        <v>3326026.797416999</v>
      </c>
      <c r="I13" s="184">
        <f t="shared" si="7"/>
        <v>4239794.2737979647</v>
      </c>
      <c r="J13" s="184">
        <f t="shared" si="7"/>
        <v>4800575.4143961119</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-806606.7167671764</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2419820.1503015291</v>
      </c>
      <c r="D16" s="61"/>
      <c r="E16" s="310"/>
      <c r="F16" s="61"/>
      <c r="G16" s="184">
        <f>IF(G$4="","",SUM(G13:G15))</f>
        <v>2532315.2171665714</v>
      </c>
      <c r="H16" s="184">
        <f t="shared" ref="H16:Q16" si="8">IF(H$4="","",SUM(H13:H15))</f>
        <v>2256767.797416999</v>
      </c>
      <c r="I16" s="184">
        <f t="shared" si="8"/>
        <v>2888465.2737979647</v>
      </c>
      <c r="J16" s="184">
        <f t="shared" si="8"/>
        <v>3483219.4143961119</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2419820.1503015291</v>
      </c>
      <c r="D19" s="27"/>
      <c r="E19" s="299"/>
      <c r="F19" s="27"/>
      <c r="G19" s="186">
        <f>IF(G$4="","",G16+G17)</f>
        <v>2532315.2171665714</v>
      </c>
      <c r="H19" s="186">
        <f t="shared" ref="H19:Q19" si="9">IF(H$4="","",H16+H17)</f>
        <v>2256767.797416999</v>
      </c>
      <c r="I19" s="186">
        <f t="shared" si="9"/>
        <v>2888465.2737979647</v>
      </c>
      <c r="J19" s="186">
        <f t="shared" si="9"/>
        <v>3483219.4143961119</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0.50211018583667277</v>
      </c>
      <c r="D28" s="26"/>
      <c r="E28" s="300" t="s">
        <v>341</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300" t="s">
        <v>341</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-1427907</v>
      </c>
      <c r="E33" s="300" t="s">
        <v>341</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5.4578490442953362E-2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0.30235270686979016</v>
      </c>
      <c r="H43" s="6">
        <f t="shared" si="18"/>
        <v>0.32164228794350269</v>
      </c>
      <c r="I43" s="6">
        <f t="shared" si="18"/>
        <v>0.31886279548686669</v>
      </c>
      <c r="J43" s="6">
        <f t="shared" si="18"/>
        <v>0.27447357401411399</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96023.943166571378</v>
      </c>
      <c r="E48" s="302"/>
      <c r="G48" s="328">
        <f>IFERROR(IF(G$4="","",($C$48/$C$49)*G49),0)</f>
        <v>96023.943166571378</v>
      </c>
      <c r="H48" s="328">
        <f t="shared" ref="H48:Q48" si="19">IFERROR(IF(H$4="","",($C$48/$C$49)*H49),0)</f>
        <v>111903.52341699856</v>
      </c>
      <c r="I48" s="328">
        <f t="shared" si="19"/>
        <v>100097.8487979652</v>
      </c>
      <c r="J48" s="328">
        <f t="shared" si="19"/>
        <v>32437.660396112002</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-158397.05683342862</v>
      </c>
      <c r="E50" s="302"/>
      <c r="G50" s="184">
        <f>IF(G$4="","",(G47+G48))</f>
        <v>-158397.05683342862</v>
      </c>
      <c r="H50" s="184">
        <f t="shared" ref="H50:Q50" si="20">IF(H$4="","",(H47+H48))</f>
        <v>-69542.476583001437</v>
      </c>
      <c r="I50" s="184">
        <f t="shared" si="20"/>
        <v>-20463.151202034802</v>
      </c>
      <c r="J50" s="184">
        <f t="shared" si="20"/>
        <v>-80020.339603888002</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2.3646804360316024E-2</v>
      </c>
      <c r="E53" s="299" t="s">
        <v>343</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9" t="s">
        <v>344</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302"/>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302"/>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7">
        <v>0</v>
      </c>
      <c r="E62" s="300" t="s">
        <v>345</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302"/>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302"/>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7"/>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0.82290184166806957</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432</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9"/>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6.0543664626444334E-3</v>
      </c>
      <c r="D80" s="27"/>
      <c r="E80" s="299"/>
      <c r="F80" s="27"/>
      <c r="G80" s="6">
        <f t="shared" ref="G80:Q80" si="31">IF(G$4="","",ABS(G12/G$4))</f>
        <v>5.5237490867573093E-3</v>
      </c>
      <c r="H80" s="6">
        <f t="shared" si="31"/>
        <v>2.519792715587292E-3</v>
      </c>
      <c r="I80" s="6">
        <f t="shared" si="31"/>
        <v>7.9304140864144834E-4</v>
      </c>
      <c r="J80" s="6">
        <f t="shared" si="31"/>
        <v>3.545071036635066E-3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0.12332281299076012</v>
      </c>
      <c r="D81" s="27"/>
      <c r="E81" s="299"/>
      <c r="F81" s="27"/>
      <c r="G81" s="65">
        <f t="shared" ref="G81:Q81" si="32">IF(G$4="","",G13/G$4)</f>
        <v>0.12655361266586321</v>
      </c>
      <c r="H81" s="65">
        <f t="shared" si="32"/>
        <v>0.1205148063137582</v>
      </c>
      <c r="I81" s="65">
        <f t="shared" si="32"/>
        <v>0.16431156619261764</v>
      </c>
      <c r="J81" s="65">
        <f t="shared" si="32"/>
        <v>0.21267568901858486</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3.0830703247690029E-2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9.2492109743070081E-2</v>
      </c>
      <c r="D84" s="27"/>
      <c r="E84" s="299"/>
      <c r="F84" s="27"/>
      <c r="G84" s="65">
        <f t="shared" ref="G84:Q84" si="35">IF(G$4="","",ABS(G16/G$4))</f>
        <v>8.8308925354056447E-2</v>
      </c>
      <c r="H84" s="65">
        <f t="shared" si="35"/>
        <v>8.1771419945278853E-2</v>
      </c>
      <c r="I84" s="65">
        <f t="shared" si="35"/>
        <v>0.11194134016450341</v>
      </c>
      <c r="J84" s="65">
        <f t="shared" si="35"/>
        <v>0.15431401967732511</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9.2492109743070081E-2</v>
      </c>
      <c r="D87" s="75"/>
      <c r="E87" s="299"/>
      <c r="F87" s="75"/>
      <c r="G87" s="65">
        <f t="shared" ref="G87:Q87" si="36">IF(G$4="","",ABS(G19/G$4))</f>
        <v>8.8308925354056447E-2</v>
      </c>
      <c r="H87" s="65">
        <f t="shared" si="36"/>
        <v>8.1771419945278853E-2</v>
      </c>
      <c r="I87" s="65">
        <f t="shared" si="36"/>
        <v>0.11194134016450341</v>
      </c>
      <c r="J87" s="65">
        <f t="shared" si="36"/>
        <v>0.15431401967732511</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0.54453440699819844</v>
      </c>
      <c r="E90" s="302"/>
      <c r="G90" s="113">
        <f>Data!C65</f>
        <v>0.54453440699819844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1407511.3949538951</v>
      </c>
      <c r="E91" s="302"/>
      <c r="G91" s="74">
        <f t="shared" ref="G91:Q91" si="37">IF(G$4="","",G90*Common_Shares/scaling_factor)</f>
        <v>1407511.3949538951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0.58165950671107025</v>
      </c>
      <c r="E92" s="302"/>
      <c r="G92" s="171">
        <f t="shared" ref="G92:Q92" si="38">IF(G$4="","",G90/(G19*scaling_factor/Common_Shares))</f>
        <v>0.55581998062973026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3.5544021344529921E-2</v>
      </c>
      <c r="E93" s="302"/>
      <c r="G93" s="23">
        <f t="shared" ref="G93:Q93" si="39">IF(G$4="","",G90/Market_Price)</f>
        <v>3.5544021344529921E-2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-0.11093377250044745</v>
      </c>
      <c r="D97" s="27"/>
      <c r="E97" s="299"/>
      <c r="F97" s="27"/>
      <c r="G97" s="6">
        <f t="shared" ref="G97:Q97" si="41">IF(H5="","",G13/H13-1)</f>
        <v>9.1093499302190573E-2</v>
      </c>
      <c r="H97" s="6">
        <f t="shared" si="41"/>
        <v>-0.21552165444160154</v>
      </c>
      <c r="I97" s="6">
        <f t="shared" si="41"/>
        <v>-0.11681540069477081</v>
      </c>
      <c r="J97" s="6">
        <f t="shared" si="41"/>
        <v>1.4633486518026819</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1.4709732968262565</v>
      </c>
      <c r="I113" s="334">
        <f>IF(I$4="","",Data!E$22/Data!E15)</f>
        <v>0.96304737643927274</v>
      </c>
      <c r="J113" s="334">
        <f>IF(J$4="","",Data!F$22/Data!F15)</f>
        <v>1.6269053137360105</v>
      </c>
      <c r="K113" s="334">
        <f>IF(K$4="","",Data!G$22/Data!G15)</f>
        <v>1.6269426147081751</v>
      </c>
      <c r="L113" s="334">
        <f>IF(L$4="","",Data!H$22/Data!H15)</f>
        <v>2.3369811952562229</v>
      </c>
      <c r="M113" s="334">
        <f>IF(M$4="","",Data!I$22/Data!I15)</f>
        <v>2.3374185439481701</v>
      </c>
      <c r="N113" s="334">
        <f>IF(N$4="","",Data!J$22/Data!J15)</f>
        <v>2.250085896477759</v>
      </c>
      <c r="O113" s="334">
        <f>IF(O$4="","",Data!K$22/Data!K15)</f>
        <v>1.4203453141742608</v>
      </c>
      <c r="P113" s="334">
        <f>IF(P$4="","",Data!L$22/Data!L15)</f>
        <v>11.152390228065904</v>
      </c>
      <c r="Q113" s="334" t="str">
        <f>IF(Q$4="","",Data!M$22/Data!M15)</f>
        <v/>
      </c>
    </row>
    <row r="114" spans="1:17" ht="15.75" customHeight="1">
      <c r="A114" s="10"/>
      <c r="B114" s="2" t="s">
        <v>400</v>
      </c>
      <c r="C114" s="170"/>
      <c r="E114" s="302"/>
      <c r="G114" s="334">
        <f>IF(G$4="","",Data!C$22/G19)</f>
        <v>0</v>
      </c>
      <c r="H114" s="334">
        <f>IF(H$4="","",Data!D$22/H19)</f>
        <v>2.0772788433819436</v>
      </c>
      <c r="I114" s="334">
        <f>IF(I$4="","",Data!E$22/I19)</f>
        <v>1.3549077551671957</v>
      </c>
      <c r="J114" s="334">
        <f>IF(J$4="","",Data!F$22/J19)</f>
        <v>1.8733631803471393</v>
      </c>
      <c r="K114" s="334">
        <f>IF(K$4="","",Data!G$22/K19)</f>
        <v>1.9746300057985322</v>
      </c>
      <c r="L114" s="334">
        <f>IF(L$4="","",Data!H$22/L19)</f>
        <v>2.5408832696503736</v>
      </c>
      <c r="M114" s="334">
        <f>IF(M$4="","",Data!I$22/M19)</f>
        <v>2.8191980169637287</v>
      </c>
      <c r="N114" s="334">
        <f>IF(N$4="","",Data!J$22/N19)</f>
        <v>2.5561117493864103</v>
      </c>
      <c r="O114" s="334">
        <f>IF(O$4="","",Data!K$22/O19)</f>
        <v>4.3015244745575218</v>
      </c>
      <c r="P114" s="334">
        <f>IF(P$4="","",Data!L$22/P19)</f>
        <v>57.096567771960444</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0.12332281299076012</v>
      </c>
      <c r="E117" s="302"/>
      <c r="G117" s="23">
        <f t="shared" ref="G117:Q117" si="45">G81</f>
        <v>0.12655361266586321</v>
      </c>
      <c r="H117" s="23">
        <f t="shared" si="45"/>
        <v>0.1205148063137582</v>
      </c>
      <c r="I117" s="23">
        <f t="shared" si="45"/>
        <v>0.16431156619261764</v>
      </c>
      <c r="J117" s="23">
        <f t="shared" si="45"/>
        <v>0.21267568901858486</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1.0053991953242325</v>
      </c>
      <c r="D124" s="27"/>
      <c r="E124" s="299"/>
      <c r="F124" s="27"/>
      <c r="G124" s="178">
        <f t="shared" ref="G124:Q124" si="49">IF(G$4="","",G16*$C$3/Common_Shares*Exchange_Rate)</f>
        <v>1.0521392184164307</v>
      </c>
      <c r="H124" s="178">
        <f t="shared" si="49"/>
        <v>0.93765337365008783</v>
      </c>
      <c r="I124" s="178">
        <f t="shared" si="49"/>
        <v>1.2001142571015424</v>
      </c>
      <c r="J124" s="178">
        <f t="shared" si="49"/>
        <v>1.4472257353238485</v>
      </c>
      <c r="K124" s="178">
        <f t="shared" si="49"/>
        <v>0.58143799396381246</v>
      </c>
      <c r="L124" s="178">
        <f t="shared" si="49"/>
        <v>0.57288705609890489</v>
      </c>
      <c r="M124" s="178">
        <f t="shared" si="49"/>
        <v>0.24639512350900719</v>
      </c>
      <c r="N124" s="178">
        <f t="shared" si="49"/>
        <v>0.18841376357644821</v>
      </c>
      <c r="O124" s="178">
        <f t="shared" si="49"/>
        <v>9.61532216969605E-2</v>
      </c>
      <c r="P124" s="178">
        <f t="shared" si="49"/>
        <v>4.9995320998665899E-3</v>
      </c>
      <c r="Q124" s="178" t="str">
        <f t="shared" si="49"/>
        <v/>
      </c>
    </row>
    <row r="125" spans="1:17" ht="15.75" customHeight="1">
      <c r="A125" s="10"/>
      <c r="B125" s="27" t="s">
        <v>270</v>
      </c>
      <c r="C125" s="77">
        <f>C19*Exchange_Rate*$C$3/(Market_Price*Common_Shares)</f>
        <v>6.5626579329258014E-2</v>
      </c>
      <c r="D125" s="27"/>
      <c r="E125" s="299"/>
      <c r="F125" s="27"/>
      <c r="G125" s="77">
        <f t="shared" ref="G125" si="50">IF(G$4="","",G124/Market_Price)</f>
        <v>6.8677494674701745E-2</v>
      </c>
      <c r="H125" s="77">
        <f t="shared" ref="H125" si="51">IF(H$4="","",H124/Market_Price)</f>
        <v>6.1204528306141502E-2</v>
      </c>
      <c r="I125" s="77">
        <f t="shared" ref="I125" si="52">IF(I$4="","",I124/Market_Price)</f>
        <v>7.8336439758586313E-2</v>
      </c>
      <c r="J125" s="77">
        <f t="shared" ref="J125" si="53">IF(J$4="","",J124/Market_Price)</f>
        <v>9.4466431809650683E-2</v>
      </c>
      <c r="K125" s="77">
        <f t="shared" ref="K125" si="54">IF(K$4="","",K124/Market_Price)</f>
        <v>3.7952871668656164E-2</v>
      </c>
      <c r="L125" s="77">
        <f t="shared" ref="L125" si="55">IF(L$4="","",L124/Market_Price)</f>
        <v>3.7394716455542092E-2</v>
      </c>
      <c r="M125" s="77">
        <f t="shared" ref="M125" si="56">IF(M$4="","",M124/Market_Price)</f>
        <v>1.608323260502658E-2</v>
      </c>
      <c r="N125" s="77">
        <f t="shared" ref="N125" si="57">IF(N$4="","",N124/Market_Price)</f>
        <v>1.2298548536321684E-2</v>
      </c>
      <c r="O125" s="77">
        <f t="shared" ref="O125" si="58">IF(O$4="","",O124/Market_Price)</f>
        <v>6.276319954109693E-3</v>
      </c>
      <c r="P125" s="77">
        <f t="shared" ref="P125" si="59">IF(P$4="","",P124/Market_Price)</f>
        <v>3.2634021539599151E-4</v>
      </c>
      <c r="Q125" s="77" t="str">
        <f t="shared" ref="Q125" si="60">IF(Q$4="","",Q124/Market_Price)</f>
        <v/>
      </c>
    </row>
    <row r="126" spans="1:17" ht="15.75" customHeight="1">
      <c r="B126" s="2" t="s">
        <v>402</v>
      </c>
      <c r="C126" s="170"/>
      <c r="G126" s="23">
        <f>IF(G$4="","",(Data!C47*$C$3)/(Market_Price*Common_Shares))</f>
        <v>7.6085509563371123E-2</v>
      </c>
      <c r="H126" s="23">
        <f>IF(H$4="","",(Data!D47*$C$3)/(Market_Price*Common_Shares))</f>
        <v>8.0480659523126871E-2</v>
      </c>
      <c r="I126" s="23">
        <f>IF(I$4="","",(Data!E47*$C$3)/(Market_Price*Common_Shares))</f>
        <v>0.10262280197597487</v>
      </c>
      <c r="J126" s="23">
        <f>IF(J$4="","",(Data!F47*$C$3)/(Market_Price*Common_Shares))</f>
        <v>0.10128734246388733</v>
      </c>
      <c r="K126" s="23">
        <f>IF(K$4="","",(Data!G47*$C$3)/(Market_Price*Common_Shares))</f>
        <v>4.2891980672966484E-2</v>
      </c>
      <c r="L126" s="23">
        <f>IF(L$4="","",(Data!H47*$C$3)/(Market_Price*Common_Shares))</f>
        <v>3.7858003126325E-2</v>
      </c>
      <c r="M126" s="23">
        <f>IF(M$4="","",(Data!I47*$C$3)/(Market_Price*Common_Shares))</f>
        <v>1.8062605695483753E-2</v>
      </c>
      <c r="N126" s="23">
        <f>IF(N$4="","",(Data!J47*$C$3)/(Market_Price*Common_Shares))</f>
        <v>1.3009259023683504E-2</v>
      </c>
      <c r="O126" s="23">
        <f>IF(O$4="","",(Data!K47*$C$3)/(Market_Price*Common_Shares))</f>
        <v>1.7699112621774094E-2</v>
      </c>
      <c r="P126" s="23">
        <f>IF(P$4="","",(Data!L47*$C$3)/(Market_Price*Common_Shares))</f>
        <v>1.5557170213897219E-3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2419820.1503015291</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30247751.878769115</v>
      </c>
      <c r="D6" t="str">
        <f>Reporting_currency</f>
        <v>CNY</v>
      </c>
      <c r="E6" s="348" t="s">
        <v>250</v>
      </c>
      <c r="F6" s="348"/>
      <c r="H6" s="121"/>
    </row>
    <row r="7" spans="2:8">
      <c r="B7" s="149" t="s">
        <v>225</v>
      </c>
      <c r="C7" s="226">
        <f>BS!G31</f>
        <v>1936137</v>
      </c>
      <c r="D7" t="str">
        <f>Reporting_currency</f>
        <v>CNY</v>
      </c>
      <c r="E7" s="348"/>
      <c r="F7" s="348"/>
      <c r="H7" s="121"/>
    </row>
    <row r="8" spans="2:8">
      <c r="B8" s="149" t="s">
        <v>226</v>
      </c>
      <c r="C8" s="201">
        <f>BS!D66</f>
        <v>14103430.28815804</v>
      </c>
      <c r="D8" t="str">
        <f>Reporting_currency</f>
        <v>CNY</v>
      </c>
      <c r="E8" s="348"/>
      <c r="F8" s="348"/>
      <c r="H8" s="121"/>
    </row>
    <row r="9" spans="2:8">
      <c r="B9" s="227" t="s">
        <v>191</v>
      </c>
      <c r="C9" s="229">
        <f>BS!H42</f>
        <v>561572.19999999995</v>
      </c>
      <c r="D9" t="str">
        <f>Reporting_currency</f>
        <v>CNY</v>
      </c>
      <c r="E9" s="348"/>
      <c r="F9" s="348"/>
      <c r="H9" s="121"/>
    </row>
    <row r="10" spans="2:8" ht="13.15">
      <c r="B10" s="150" t="s">
        <v>228</v>
      </c>
      <c r="C10" s="232">
        <f>C6-C7+C8+C9</f>
        <v>42976617.366927162</v>
      </c>
      <c r="D10" t="str">
        <f>Reporting_currency</f>
        <v>CNY</v>
      </c>
      <c r="H10" s="121"/>
    </row>
    <row r="11" spans="2:8" ht="13.15" thickBot="1">
      <c r="B11" s="230" t="s">
        <v>167</v>
      </c>
      <c r="C11" s="231">
        <f>Exchange_Rate</f>
        <v>1.0739449931617173</v>
      </c>
      <c r="D11" t="str">
        <f>Thesis!D17</f>
        <v>CNY/HKD</v>
      </c>
      <c r="H11" s="121"/>
    </row>
    <row r="12" spans="2:8" ht="13.5" thickTop="1">
      <c r="B12" s="150" t="s">
        <v>103</v>
      </c>
      <c r="C12" s="112">
        <f>(C10*scaling_factor)/Common_Shares*Exchange_Rate</f>
        <v>17.856143777082718</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5.4247061515052243E-2</v>
      </c>
      <c r="H16" s="121"/>
    </row>
    <row r="17" spans="2:8" ht="13.25" customHeight="1">
      <c r="B17" s="119" t="s">
        <v>135</v>
      </c>
      <c r="C17" s="163">
        <f>Scenarios!C64</f>
        <v>20</v>
      </c>
      <c r="H17" s="121"/>
    </row>
    <row r="18" spans="2:8" ht="13.25" customHeight="1">
      <c r="B18" s="154" t="s">
        <v>107</v>
      </c>
      <c r="C18" s="141">
        <f>(F52-C7+C8+C9)*Exchange_Rate/Common_Shares*scaling_factor</f>
        <v>23.889634822475621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2551088.2828502995</v>
      </c>
      <c r="D21" s="139">
        <f>IF($C$17&lt;B21,0,Valuation_Model!$C$16)</f>
        <v>5.4247061515052243E-2</v>
      </c>
      <c r="E21" s="125">
        <f t="shared" ref="E21:E50" si="0">IF($C$17&lt;B21,0,1/(1+Equity_Cost)^B21)</f>
        <v>0.92592592592592582</v>
      </c>
      <c r="F21" s="126">
        <f t="shared" ref="F21:F51" si="1">C21*E21</f>
        <v>2362118.7804169436</v>
      </c>
      <c r="H21" s="121"/>
    </row>
    <row r="22" spans="2:8">
      <c r="B22" s="123">
        <v>2</v>
      </c>
      <c r="C22" s="124">
        <f t="shared" ref="C22:C50" si="2">IF(ROW()-ROW($C$21)&lt;$C$17, $C$21*(1+D22)^(ROW()-ROW($C$21)), 0)</f>
        <v>2689477.3258604091</v>
      </c>
      <c r="D22" s="139">
        <f>IF($C$17&lt;B22,0,Valuation_Model!$C$16)</f>
        <v>5.4247061515052243E-2</v>
      </c>
      <c r="E22" s="125">
        <f t="shared" si="0"/>
        <v>0.85733882030178321</v>
      </c>
      <c r="F22" s="126">
        <f t="shared" si="1"/>
        <v>2305793.3177815578</v>
      </c>
      <c r="H22" s="121"/>
    </row>
    <row r="23" spans="2:8">
      <c r="B23" s="123">
        <v>3</v>
      </c>
      <c r="C23" s="124">
        <f t="shared" si="2"/>
        <v>2835373.5677996967</v>
      </c>
      <c r="D23" s="139">
        <f>IF($C$17&lt;B23,0,Valuation_Model!$C$16)</f>
        <v>5.4247061515052243E-2</v>
      </c>
      <c r="E23" s="125">
        <f t="shared" si="0"/>
        <v>0.79383224102016958</v>
      </c>
      <c r="F23" s="126">
        <f t="shared" si="1"/>
        <v>2250810.9534557872</v>
      </c>
      <c r="H23" s="121"/>
    </row>
    <row r="24" spans="2:8">
      <c r="B24" s="123">
        <v>4</v>
      </c>
      <c r="C24" s="124">
        <f t="shared" si="2"/>
        <v>2989184.2521502804</v>
      </c>
      <c r="D24" s="139">
        <f>IF($C$17&lt;B24,0,Valuation_Model!$C$16)</f>
        <v>5.4247061515052243E-2</v>
      </c>
      <c r="E24" s="125">
        <f t="shared" si="0"/>
        <v>0.73502985279645328</v>
      </c>
      <c r="F24" s="126">
        <f t="shared" si="1"/>
        <v>2197139.6608394966</v>
      </c>
      <c r="H24" s="121"/>
    </row>
    <row r="25" spans="2:8">
      <c r="B25" s="123">
        <v>5</v>
      </c>
      <c r="C25" s="124">
        <f t="shared" si="2"/>
        <v>3151338.7141565024</v>
      </c>
      <c r="D25" s="139">
        <f>IF($C$17&lt;B25,0,Valuation_Model!$C$16)</f>
        <v>5.4247061515052243E-2</v>
      </c>
      <c r="E25" s="125">
        <f t="shared" si="0"/>
        <v>0.68058319703375303</v>
      </c>
      <c r="F25" s="126">
        <f t="shared" si="1"/>
        <v>2144748.1770168687</v>
      </c>
      <c r="H25" s="121"/>
    </row>
    <row r="26" spans="2:8">
      <c r="B26" s="123">
        <v>6</v>
      </c>
      <c r="C26" s="124">
        <f t="shared" si="2"/>
        <v>3322289.5792381158</v>
      </c>
      <c r="D26" s="139">
        <f>IF($C$17&lt;B26,0,Valuation_Model!$C$16)</f>
        <v>5.4247061515052243E-2</v>
      </c>
      <c r="E26" s="125">
        <f t="shared" si="0"/>
        <v>0.63016962688310452</v>
      </c>
      <c r="F26" s="126">
        <f t="shared" si="1"/>
        <v>2093605.9845461098</v>
      </c>
      <c r="H26" s="121"/>
    </row>
    <row r="27" spans="2:8">
      <c r="B27" s="123">
        <v>7</v>
      </c>
      <c r="C27" s="124">
        <f t="shared" si="2"/>
        <v>3502514.0264138635</v>
      </c>
      <c r="D27" s="139">
        <f>IF($C$17&lt;B27,0,Valuation_Model!$C$16)</f>
        <v>5.4247061515052243E-2</v>
      </c>
      <c r="E27" s="125">
        <f t="shared" si="0"/>
        <v>0.58349039526213387</v>
      </c>
      <c r="F27" s="126">
        <f t="shared" si="1"/>
        <v>2043683.2936833932</v>
      </c>
      <c r="H27" s="121"/>
    </row>
    <row r="28" spans="2:8">
      <c r="B28" s="123">
        <v>8</v>
      </c>
      <c r="C28" s="124">
        <f t="shared" si="2"/>
        <v>3692515.1202620701</v>
      </c>
      <c r="D28" s="139">
        <f>IF($C$17&lt;B28,0,Valuation_Model!$C$16)</f>
        <v>5.4247061515052243E-2</v>
      </c>
      <c r="E28" s="125">
        <f t="shared" si="0"/>
        <v>0.54026888450197574</v>
      </c>
      <c r="F28" s="126">
        <f t="shared" si="1"/>
        <v>1994951.0250306674</v>
      </c>
      <c r="H28" s="121"/>
    </row>
    <row r="29" spans="2:8">
      <c r="B29" s="123">
        <v>9</v>
      </c>
      <c r="C29" s="124">
        <f t="shared" si="2"/>
        <v>3892823.2151361872</v>
      </c>
      <c r="D29" s="139">
        <f>IF($C$17&lt;B29,0,Valuation_Model!$C$16)</f>
        <v>5.4247061515052243E-2</v>
      </c>
      <c r="E29" s="125">
        <f t="shared" si="0"/>
        <v>0.50024896713145905</v>
      </c>
      <c r="F29" s="126">
        <f t="shared" si="1"/>
        <v>1947380.7925972433</v>
      </c>
      <c r="H29" s="121"/>
    </row>
    <row r="30" spans="2:8">
      <c r="B30" s="123">
        <v>10</v>
      </c>
      <c r="C30" s="124">
        <f t="shared" si="2"/>
        <v>4103997.4355549039</v>
      </c>
      <c r="D30" s="139">
        <f>IF($C$17&lt;B30,0,Valuation_Model!$C$16)</f>
        <v>5.4247061515052243E-2</v>
      </c>
      <c r="E30" s="125">
        <f t="shared" si="0"/>
        <v>0.46319348808468425</v>
      </c>
      <c r="F30" s="126">
        <f t="shared" si="1"/>
        <v>1900944.887265275</v>
      </c>
      <c r="H30" s="121"/>
    </row>
    <row r="31" spans="2:8">
      <c r="B31" s="123">
        <v>11</v>
      </c>
      <c r="C31" s="124">
        <f t="shared" si="2"/>
        <v>4326627.2368990676</v>
      </c>
      <c r="D31" s="139">
        <f>IF($C$17&lt;B31,0,Valuation_Model!$C$16)</f>
        <v>5.4247061515052243E-2</v>
      </c>
      <c r="E31" s="125">
        <f t="shared" si="0"/>
        <v>0.42888285933767062</v>
      </c>
      <c r="F31" s="126">
        <f t="shared" si="1"/>
        <v>1855616.2606495174</v>
      </c>
      <c r="H31" s="121"/>
    </row>
    <row r="32" spans="2:8">
      <c r="B32" s="123">
        <v>12</v>
      </c>
      <c r="C32" s="124">
        <f t="shared" si="2"/>
        <v>4561334.0507718325</v>
      </c>
      <c r="D32" s="139">
        <f>IF($C$17&lt;B32,0,Valuation_Model!$C$16)</f>
        <v>5.4247061515052243E-2</v>
      </c>
      <c r="E32" s="125">
        <f t="shared" si="0"/>
        <v>0.39711375864599124</v>
      </c>
      <c r="F32" s="126">
        <f t="shared" si="1"/>
        <v>1811368.509341947</v>
      </c>
      <c r="H32" s="121"/>
    </row>
    <row r="33" spans="2:8">
      <c r="B33" s="123">
        <v>13</v>
      </c>
      <c r="C33" s="124">
        <f t="shared" si="2"/>
        <v>4808773.0196147542</v>
      </c>
      <c r="D33" s="139">
        <f>IF($C$17&lt;B33,0,Valuation_Model!$C$16)</f>
        <v>5.4247061515052243E-2</v>
      </c>
      <c r="E33" s="125">
        <f t="shared" si="0"/>
        <v>0.36769792467221413</v>
      </c>
      <c r="F33" s="126">
        <f t="shared" si="1"/>
        <v>1768175.8595320815</v>
      </c>
      <c r="H33" s="121"/>
    </row>
    <row r="34" spans="2:8">
      <c r="B34" s="123">
        <v>14</v>
      </c>
      <c r="C34" s="124">
        <f t="shared" si="2"/>
        <v>5069634.8254217189</v>
      </c>
      <c r="D34" s="139">
        <f>IF($C$17&lt;B34,0,Valuation_Model!$C$16)</f>
        <v>5.4247061515052243E-2</v>
      </c>
      <c r="E34" s="125">
        <f t="shared" si="0"/>
        <v>0.34046104136316119</v>
      </c>
      <c r="F34" s="126">
        <f t="shared" si="1"/>
        <v>1726013.1519940263</v>
      </c>
      <c r="H34" s="121"/>
    </row>
    <row r="35" spans="2:8">
      <c r="B35" s="123">
        <v>15</v>
      </c>
      <c r="C35" s="124">
        <f t="shared" si="2"/>
        <v>5344647.6176552232</v>
      </c>
      <c r="D35" s="139">
        <f>IF($C$17&lt;B35,0,Valuation_Model!$C$16)</f>
        <v>5.4247061515052243E-2</v>
      </c>
      <c r="E35" s="125">
        <f t="shared" si="0"/>
        <v>0.31524170496588994</v>
      </c>
      <c r="F35" s="126">
        <f t="shared" si="1"/>
        <v>1684855.8274315144</v>
      </c>
      <c r="H35" s="121"/>
    </row>
    <row r="36" spans="2:8">
      <c r="B36" s="123">
        <v>16</v>
      </c>
      <c r="C36" s="124">
        <f t="shared" si="2"/>
        <v>5634579.0457464447</v>
      </c>
      <c r="D36" s="139">
        <f>IF($C$17&lt;B36,0,Valuation_Model!$C$16)</f>
        <v>5.4247061515052243E-2</v>
      </c>
      <c r="E36" s="125">
        <f t="shared" si="0"/>
        <v>0.29189046756100923</v>
      </c>
      <c r="F36" s="126">
        <f t="shared" si="1"/>
        <v>1644679.912172395</v>
      </c>
      <c r="H36" s="121"/>
    </row>
    <row r="37" spans="2:8">
      <c r="B37" s="123">
        <v>17</v>
      </c>
      <c r="C37" s="124">
        <f t="shared" si="2"/>
        <v>5940238.4018524764</v>
      </c>
      <c r="D37" s="139">
        <f>IF($C$17&lt;B37,0,Valuation_Model!$C$16)</f>
        <v>5.4247061515052243E-2</v>
      </c>
      <c r="E37" s="125">
        <f t="shared" si="0"/>
        <v>0.27026895144537894</v>
      </c>
      <c r="F37" s="126">
        <f t="shared" si="1"/>
        <v>1605462.0042042423</v>
      </c>
      <c r="H37" s="121"/>
    </row>
    <row r="38" spans="2:8">
      <c r="B38" s="123">
        <v>18</v>
      </c>
      <c r="C38" s="124">
        <f t="shared" si="2"/>
        <v>6262478.8798518432</v>
      </c>
      <c r="D38" s="139">
        <f>IF($C$17&lt;B38,0,Valuation_Model!$C$16)</f>
        <v>5.4247061515052243E-2</v>
      </c>
      <c r="E38" s="125">
        <f t="shared" si="0"/>
        <v>0.25024902911609154</v>
      </c>
      <c r="F38" s="126">
        <f t="shared" si="1"/>
        <v>1567179.2595429523</v>
      </c>
      <c r="H38" s="121"/>
    </row>
    <row r="39" spans="2:8">
      <c r="B39" s="123">
        <v>19</v>
      </c>
      <c r="C39" s="124">
        <f t="shared" si="2"/>
        <v>6602199.9568838822</v>
      </c>
      <c r="D39" s="139">
        <f>IF($C$17&lt;B39,0,Valuation_Model!$C$16)</f>
        <v>5.4247061515052243E-2</v>
      </c>
      <c r="E39" s="125">
        <f t="shared" si="0"/>
        <v>0.23171206399638106</v>
      </c>
      <c r="F39" s="126">
        <f t="shared" si="1"/>
        <v>1529809.3789263824</v>
      </c>
      <c r="H39" s="121"/>
    </row>
    <row r="40" spans="2:8">
      <c r="B40" s="123">
        <v>20</v>
      </c>
      <c r="C40" s="124">
        <f t="shared" si="2"/>
        <v>6960349.9040796384</v>
      </c>
      <c r="D40" s="139">
        <f>IF($C$17&lt;B40,0,Valuation_Model!$C$16)</f>
        <v>5.4247061515052243E-2</v>
      </c>
      <c r="E40" s="125">
        <f t="shared" si="0"/>
        <v>0.21454820740405653</v>
      </c>
      <c r="F40" s="126">
        <f t="shared" si="1"/>
        <v>1493330.5948252832</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31888603.535628743</v>
      </c>
      <c r="D51" s="140">
        <f>Terminal_Growth</f>
        <v>0</v>
      </c>
      <c r="E51" s="125">
        <f>1/(1+Equity_Cost)^C17</f>
        <v>0.21454820740405653</v>
      </c>
      <c r="F51" s="126">
        <f t="shared" si="1"/>
        <v>6841642.7251878064</v>
      </c>
      <c r="H51" s="121"/>
    </row>
    <row r="52" spans="1:8">
      <c r="C52" s="115"/>
      <c r="E52" s="128" t="s">
        <v>101</v>
      </c>
      <c r="F52" s="138">
        <f>SUM(F21:F51)</f>
        <v>44769310.35644149</v>
      </c>
      <c r="H52" s="121"/>
    </row>
    <row r="53" spans="1:8">
      <c r="C53" s="115"/>
      <c r="H53" s="121"/>
    </row>
    <row r="54" spans="1:8" ht="13.15">
      <c r="B54" s="120" t="s">
        <v>130</v>
      </c>
      <c r="C54" s="137"/>
      <c r="D54" s="137"/>
      <c r="E54" s="118"/>
      <c r="F54" s="118"/>
      <c r="H54" s="121"/>
    </row>
    <row r="55" spans="1:8" ht="13.15">
      <c r="A55" s="134">
        <f>F52</f>
        <v>44769310.35644149</v>
      </c>
      <c r="B55" s="132">
        <f>C78</f>
        <v>0</v>
      </c>
      <c r="C55" s="132">
        <f>C77</f>
        <v>0.02</v>
      </c>
      <c r="D55" s="132">
        <f>C76</f>
        <v>0.05</v>
      </c>
      <c r="E55" s="132">
        <f>C75</f>
        <v>0.06</v>
      </c>
      <c r="F55" s="132">
        <f>C74</f>
        <v>0.1</v>
      </c>
      <c r="H55" s="121"/>
    </row>
    <row r="56" spans="1:8" ht="13.15">
      <c r="A56" s="144">
        <v>5</v>
      </c>
      <c r="B56" s="124">
        <f t="dataTable" ref="B56:F61" dt2D="1" dtr="1" r1="C16" r2="C17"/>
        <v>30247751.878769107</v>
      </c>
      <c r="C56" s="124">
        <v>31223702.693247329</v>
      </c>
      <c r="D56" s="124">
        <v>32742833.146689784</v>
      </c>
      <c r="E56" s="124">
        <v>33264574.901373662</v>
      </c>
      <c r="F56" s="124">
        <v>35432824.930429168</v>
      </c>
      <c r="H56" s="121"/>
    </row>
    <row r="57" spans="1:8" ht="13.15">
      <c r="A57" s="144">
        <v>10</v>
      </c>
      <c r="B57" s="124">
        <v>30247751.8787691</v>
      </c>
      <c r="C57" s="124">
        <v>32200552.204201151</v>
      </c>
      <c r="D57" s="124">
        <v>35503954.767955884</v>
      </c>
      <c r="E57" s="124">
        <v>36716747.065274939</v>
      </c>
      <c r="F57" s="124">
        <v>42216580.189517871</v>
      </c>
      <c r="H57" s="121"/>
    </row>
    <row r="58" spans="1:8" ht="13.15">
      <c r="A58" s="144">
        <v>15</v>
      </c>
      <c r="B58" s="124">
        <v>30247751.8787691</v>
      </c>
      <c r="C58" s="124">
        <v>33409674.328995079</v>
      </c>
      <c r="D58" s="124">
        <v>39200547.166839711</v>
      </c>
      <c r="E58" s="124">
        <v>41465343.065468207</v>
      </c>
      <c r="F58" s="124">
        <v>52657535.373621032</v>
      </c>
      <c r="H58" s="121"/>
    </row>
    <row r="59" spans="1:8" ht="13.15">
      <c r="A59" s="145">
        <v>20</v>
      </c>
      <c r="B59" s="124">
        <v>30247751.8787691</v>
      </c>
      <c r="C59" s="124">
        <v>34641575.870215103</v>
      </c>
      <c r="D59" s="124">
        <v>43295025.036701247</v>
      </c>
      <c r="E59" s="124">
        <v>46882200.366573624</v>
      </c>
      <c r="F59" s="124">
        <v>66147128.855683215</v>
      </c>
      <c r="H59" s="121"/>
    </row>
    <row r="60" spans="1:8" ht="13.15">
      <c r="A60" s="145">
        <v>25</v>
      </c>
      <c r="B60" s="124">
        <v>30247751.8787691</v>
      </c>
      <c r="C60" s="124">
        <v>35787312.661778077</v>
      </c>
      <c r="D60" s="124">
        <v>47452888.802571751</v>
      </c>
      <c r="E60" s="124">
        <v>52558902.11913906</v>
      </c>
      <c r="F60" s="124">
        <v>82324954.479532436</v>
      </c>
      <c r="H60" s="121"/>
    </row>
    <row r="61" spans="1:8" ht="13.15">
      <c r="A61" s="145">
        <v>30</v>
      </c>
      <c r="B61" s="124">
        <v>30247751.8787691</v>
      </c>
      <c r="C61" s="124">
        <v>36798011.893295817</v>
      </c>
      <c r="D61" s="124">
        <v>51473733.846802957</v>
      </c>
      <c r="E61" s="124">
        <v>58234882.474028051</v>
      </c>
      <c r="F61" s="124">
        <v>101004663.14292002</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0.06</v>
      </c>
      <c r="F64" s="133">
        <f>F55</f>
        <v>0.1</v>
      </c>
      <c r="H64" s="121"/>
    </row>
    <row r="65" spans="1:8" ht="13.15">
      <c r="A65" s="144">
        <v>0</v>
      </c>
      <c r="B65" s="125">
        <f>C12</f>
        <v>17.856143777082718</v>
      </c>
      <c r="C65" s="125">
        <f>C12</f>
        <v>17.856143777082718</v>
      </c>
      <c r="D65" s="125">
        <f>C12</f>
        <v>17.856143777082718</v>
      </c>
      <c r="E65" s="142">
        <f>C12</f>
        <v>17.856143777082718</v>
      </c>
      <c r="F65" s="125">
        <f>C12</f>
        <v>17.856143777082718</v>
      </c>
      <c r="H65" s="121"/>
    </row>
    <row r="66" spans="1:8" ht="13.15">
      <c r="A66" s="144">
        <f t="shared" ref="A66:A71" si="3">A56</f>
        <v>5</v>
      </c>
      <c r="B66" s="125">
        <f t="shared" ref="B66:F71" si="4">(B56-$C$7+$C$8+$C$9)/Common_Shares*$C$3*Exchange_Rate</f>
        <v>17.85614377708271</v>
      </c>
      <c r="C66" s="125">
        <f t="shared" si="4"/>
        <v>18.261636790036654</v>
      </c>
      <c r="D66" s="125">
        <f t="shared" si="4"/>
        <v>18.892812844708843</v>
      </c>
      <c r="E66" s="125">
        <f t="shared" si="4"/>
        <v>19.109588765126258</v>
      </c>
      <c r="F66" s="125">
        <f t="shared" si="4"/>
        <v>20.010464325734556</v>
      </c>
      <c r="H66" s="121"/>
    </row>
    <row r="67" spans="1:8" ht="13.15">
      <c r="A67" s="144">
        <f t="shared" si="3"/>
        <v>10</v>
      </c>
      <c r="B67" s="125">
        <f t="shared" si="4"/>
        <v>17.85614377708271</v>
      </c>
      <c r="C67" s="125">
        <f t="shared" si="4"/>
        <v>18.667503197977538</v>
      </c>
      <c r="D67" s="125">
        <f t="shared" si="4"/>
        <v>20.040017712751354</v>
      </c>
      <c r="E67" s="125">
        <f t="shared" si="4"/>
        <v>20.543914830753316</v>
      </c>
      <c r="F67" s="125">
        <f t="shared" si="4"/>
        <v>22.82901349680186</v>
      </c>
      <c r="H67" s="121"/>
    </row>
    <row r="68" spans="1:8" ht="13.15">
      <c r="A68" s="144">
        <f t="shared" si="3"/>
        <v>15</v>
      </c>
      <c r="B68" s="125">
        <f t="shared" si="4"/>
        <v>17.85614377708271</v>
      </c>
      <c r="C68" s="125">
        <f t="shared" si="4"/>
        <v>19.169875414013948</v>
      </c>
      <c r="D68" s="125">
        <f t="shared" si="4"/>
        <v>21.575896741949602</v>
      </c>
      <c r="E68" s="125">
        <f t="shared" si="4"/>
        <v>22.516885671962019</v>
      </c>
      <c r="F68" s="125">
        <f t="shared" si="4"/>
        <v>27.167074711477518</v>
      </c>
      <c r="H68" s="121"/>
    </row>
    <row r="69" spans="1:8" ht="13.15">
      <c r="A69" s="145">
        <f t="shared" si="3"/>
        <v>20</v>
      </c>
      <c r="B69" s="125">
        <f t="shared" si="4"/>
        <v>17.85614377708271</v>
      </c>
      <c r="C69" s="125">
        <f t="shared" si="4"/>
        <v>19.681712137956826</v>
      </c>
      <c r="D69" s="125">
        <f t="shared" si="4"/>
        <v>23.277091252260099</v>
      </c>
      <c r="E69" s="125">
        <f t="shared" si="4"/>
        <v>24.767509120584407</v>
      </c>
      <c r="F69" s="125">
        <f t="shared" si="4"/>
        <v>32.771799686772205</v>
      </c>
      <c r="H69" s="121"/>
    </row>
    <row r="70" spans="1:8" ht="13.15">
      <c r="A70" s="145">
        <f t="shared" si="3"/>
        <v>25</v>
      </c>
      <c r="B70" s="125">
        <f t="shared" si="4"/>
        <v>17.85614377708271</v>
      </c>
      <c r="C70" s="125">
        <f t="shared" si="4"/>
        <v>20.157748693048426</v>
      </c>
      <c r="D70" s="125">
        <f t="shared" si="4"/>
        <v>25.004621657341264</v>
      </c>
      <c r="E70" s="125">
        <f t="shared" si="4"/>
        <v>27.126094064764565</v>
      </c>
      <c r="F70" s="125">
        <f t="shared" si="4"/>
        <v>39.493445038095935</v>
      </c>
    </row>
    <row r="71" spans="1:8" ht="13.15">
      <c r="A71" s="145">
        <f t="shared" si="3"/>
        <v>30</v>
      </c>
      <c r="B71" s="125">
        <f t="shared" si="4"/>
        <v>17.85614377708271</v>
      </c>
      <c r="C71" s="125">
        <f t="shared" si="4"/>
        <v>20.577679155217744</v>
      </c>
      <c r="D71" s="125">
        <f t="shared" si="4"/>
        <v>26.67522282639499</v>
      </c>
      <c r="E71" s="125">
        <f t="shared" si="4"/>
        <v>29.484379278965484</v>
      </c>
      <c r="F71" s="125">
        <f t="shared" si="4"/>
        <v>47.254585491745253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47.254585491745253</v>
      </c>
      <c r="F74" s="143">
        <f>Scenarios!C58</f>
        <v>0.05</v>
      </c>
    </row>
    <row r="75" spans="1:8">
      <c r="B75" s="128" t="str">
        <f>Scenarios!B36</f>
        <v>Optimistic</v>
      </c>
      <c r="C75" s="143">
        <f>Scenarios!C38</f>
        <v>0.06</v>
      </c>
      <c r="D75" s="146">
        <f>Scenarios!C37</f>
        <v>20</v>
      </c>
      <c r="E75" s="136">
        <f>INDEX(B$65:F$71, MATCH(D75, A$65:A$71, 0), MATCH(C75, B$64:F$64, 0))</f>
        <v>24.767509120584407</v>
      </c>
      <c r="F75" s="143">
        <f>Scenarios!C40*(1-F$74-F$78)</f>
        <v>0.22499999999999992</v>
      </c>
      <c r="H75" s="121"/>
    </row>
    <row r="76" spans="1:8">
      <c r="B76" s="128" t="str">
        <f>Scenarios!B24</f>
        <v>Base</v>
      </c>
      <c r="C76" s="143">
        <f>Scenarios!C26</f>
        <v>0.05</v>
      </c>
      <c r="D76" s="146">
        <f>Scenarios!C25</f>
        <v>20</v>
      </c>
      <c r="E76" s="136">
        <f>INDEX(B$65:F$71, MATCH(D76, A$65:A$71, 0), MATCH(C76, B$64:F$64, 0))</f>
        <v>23.277091252260099</v>
      </c>
      <c r="F76" s="143">
        <f>Scenarios!C28*(1-F$74-F$78)</f>
        <v>0.495</v>
      </c>
      <c r="H76" s="121"/>
    </row>
    <row r="77" spans="1:8">
      <c r="B77" s="128" t="str">
        <f>Scenarios!B30</f>
        <v>Pessimistic</v>
      </c>
      <c r="C77" s="143">
        <f>Scenarios!C32</f>
        <v>0.02</v>
      </c>
      <c r="D77" s="146">
        <f>Scenarios!C31</f>
        <v>20</v>
      </c>
      <c r="E77" s="136">
        <f>INDEX(B$65:F$71, MATCH(D77, A$65:A$71, 0), MATCH(C77, B$64:F$64, 0))</f>
        <v>19.681712137956826</v>
      </c>
      <c r="F77" s="143">
        <f>Scenarios!C34*(1-F$74-F$78)</f>
        <v>0.18</v>
      </c>
      <c r="H77" s="121"/>
    </row>
    <row r="78" spans="1:8">
      <c r="B78" s="128" t="str">
        <f>Scenarios!B48</f>
        <v>Devil's advocate</v>
      </c>
      <c r="C78" s="143">
        <f>Scenarios!C50</f>
        <v>0</v>
      </c>
      <c r="D78" s="146">
        <f>Scenarios!C49</f>
        <v>30</v>
      </c>
      <c r="E78" s="136">
        <f>INDEX(B$65:F$71, MATCH(D78, A$65:A$71, 0), MATCH(C78, B$64:F$64, 0))</f>
        <v>17.85614377708271</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abSelected="1" topLeftCell="A46" zoomScale="75" zoomScaleNormal="100" workbookViewId="0">
      <selection activeCell="E55" sqref="E55:F58"/>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-15.32</v>
      </c>
    </row>
    <row r="4" spans="2:9">
      <c r="B4" s="153" t="s">
        <v>147</v>
      </c>
      <c r="C4" s="121">
        <v>3</v>
      </c>
      <c r="D4" s="121"/>
      <c r="E4" s="156" t="s">
        <v>151</v>
      </c>
      <c r="F4" s="156"/>
      <c r="H4" s="276">
        <v>1</v>
      </c>
      <c r="I4" s="264">
        <f t="shared" ref="I4:I13" si="0">IF(ROW()-3 &lt; $C$76, $C$77, IF(ROW()-3 = $C$76, $C$77 + $C$60, ""))</f>
        <v>0.54453440699819844</v>
      </c>
    </row>
    <row r="5" spans="2:9">
      <c r="H5" s="276">
        <v>2</v>
      </c>
      <c r="I5" s="264">
        <f t="shared" si="0"/>
        <v>0.54453440699819844</v>
      </c>
    </row>
    <row r="6" spans="2:9" ht="13.15">
      <c r="B6" s="160" t="s">
        <v>96</v>
      </c>
      <c r="C6" s="107">
        <f>Valuation_Model!C3</f>
        <v>1000</v>
      </c>
      <c r="E6" s="100" t="s">
        <v>282</v>
      </c>
      <c r="F6" s="100"/>
      <c r="H6" s="276">
        <v>3</v>
      </c>
      <c r="I6" s="264">
        <f t="shared" si="0"/>
        <v>24.437628777272064</v>
      </c>
    </row>
    <row r="7" spans="2:9" ht="12.75" customHeight="1">
      <c r="B7" s="100" t="s">
        <v>276</v>
      </c>
      <c r="C7" s="115">
        <f>Normalized_FCF!G8</f>
        <v>3529289</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0"/>
      <c r="H7" s="276">
        <v>4</v>
      </c>
      <c r="I7" s="264" t="str">
        <f t="shared" si="0"/>
        <v/>
      </c>
    </row>
    <row r="8" spans="2:9">
      <c r="B8" s="100" t="s">
        <v>66</v>
      </c>
      <c r="C8" s="115">
        <f>Normalized_FCF!G19</f>
        <v>2532315.2171665714</v>
      </c>
      <c r="D8" t="str">
        <f>Reporting_currency</f>
        <v>CNY</v>
      </c>
      <c r="E8" s="350"/>
      <c r="F8" s="350"/>
      <c r="H8" s="276">
        <v>5</v>
      </c>
      <c r="I8" s="264" t="str">
        <f t="shared" si="0"/>
        <v/>
      </c>
    </row>
    <row r="9" spans="2:9">
      <c r="B9" s="100" t="s">
        <v>57</v>
      </c>
      <c r="C9" s="201">
        <f>Normalized_FCF!C19</f>
        <v>2419820.1503015291</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8.3043513409933434E-2</v>
      </c>
      <c r="D12" s="159"/>
      <c r="E12" s="350"/>
      <c r="F12" s="350"/>
      <c r="H12" s="276">
        <v>9</v>
      </c>
      <c r="I12" s="264" t="str">
        <f t="shared" si="0"/>
        <v/>
      </c>
    </row>
    <row r="13" spans="2:9">
      <c r="B13" s="149" t="s">
        <v>153</v>
      </c>
      <c r="C13" s="159">
        <f ca="1">(Normalized_FCF!G8/OFFSET(Normalized_FCF!G8, 0, $C$4))^(1/$C$4) - 1</f>
        <v>-9.2379152048964186E-2</v>
      </c>
      <c r="E13" s="350"/>
      <c r="F13" s="350"/>
      <c r="H13" s="276">
        <v>10</v>
      </c>
      <c r="I13" s="264" t="str">
        <f t="shared" si="0"/>
        <v/>
      </c>
    </row>
    <row r="14" spans="2:9">
      <c r="B14" s="100" t="s">
        <v>66</v>
      </c>
      <c r="C14" s="159">
        <f ca="1">(Normalized_FCF!G19/OFFSET(Normalized_FCF!G19, 0, $C$4))^(1/$C$4) - 1</f>
        <v>-0.10082205884198292</v>
      </c>
      <c r="E14" s="350"/>
      <c r="F14" s="350"/>
    </row>
    <row r="16" spans="2:9" ht="13.9">
      <c r="B16" s="36" t="s">
        <v>163</v>
      </c>
      <c r="C16" s="37"/>
      <c r="D16" s="37"/>
      <c r="E16" s="37"/>
      <c r="F16" s="37"/>
    </row>
    <row r="17" spans="2:6" ht="13.15">
      <c r="B17" s="109" t="s">
        <v>152</v>
      </c>
      <c r="E17" s="160" t="s">
        <v>337</v>
      </c>
    </row>
    <row r="18" spans="2:6">
      <c r="B18" s="153" t="s">
        <v>134</v>
      </c>
      <c r="C18" s="151">
        <v>20</v>
      </c>
      <c r="E18" s="350" t="s">
        <v>338</v>
      </c>
      <c r="F18" s="351"/>
    </row>
    <row r="19" spans="2:6">
      <c r="E19" s="351"/>
      <c r="F19" s="351"/>
    </row>
    <row r="20" spans="2:6" ht="13.15">
      <c r="B20" s="160" t="s">
        <v>310</v>
      </c>
      <c r="E20" s="351"/>
      <c r="F20" s="351"/>
    </row>
    <row r="21" spans="2:6">
      <c r="B21" s="100" t="s">
        <v>280</v>
      </c>
      <c r="C21" s="161">
        <f>Market_Price</f>
        <v>15.32</v>
      </c>
      <c r="D21" t="str">
        <f>Market_currency</f>
        <v>HKD</v>
      </c>
      <c r="E21" s="351"/>
      <c r="F21" s="351"/>
    </row>
    <row r="22" spans="2:6">
      <c r="B22" s="100" t="s">
        <v>281</v>
      </c>
      <c r="C22" s="161">
        <f>Valuation_Model!C12</f>
        <v>17.856143777082718</v>
      </c>
      <c r="D22" t="str">
        <f>Market_currency</f>
        <v>HKD</v>
      </c>
      <c r="E22" s="351"/>
      <c r="F22" s="351"/>
    </row>
    <row r="24" spans="2:6" ht="13.15">
      <c r="B24" s="160" t="s">
        <v>116</v>
      </c>
      <c r="E24" s="160" t="s">
        <v>150</v>
      </c>
      <c r="F24" s="160"/>
    </row>
    <row r="25" spans="2:6">
      <c r="B25" s="153" t="s">
        <v>134</v>
      </c>
      <c r="C25" s="167">
        <f>C18</f>
        <v>20</v>
      </c>
      <c r="D25" s="164"/>
      <c r="E25" s="349"/>
      <c r="F25" s="349"/>
    </row>
    <row r="26" spans="2:6">
      <c r="B26" s="119" t="s">
        <v>135</v>
      </c>
      <c r="C26" s="165">
        <v>0.05</v>
      </c>
      <c r="D26" s="165"/>
      <c r="E26" s="349"/>
      <c r="F26" s="349"/>
    </row>
    <row r="27" spans="2:6">
      <c r="B27" s="100" t="s">
        <v>114</v>
      </c>
      <c r="C27" s="161">
        <f>Valuation_Model!E76</f>
        <v>23.277091252260099</v>
      </c>
      <c r="D27" s="161" t="str">
        <f>Market_currency</f>
        <v>HKD</v>
      </c>
      <c r="E27" s="349"/>
      <c r="F27" s="349"/>
    </row>
    <row r="28" spans="2:6">
      <c r="B28" s="100" t="s">
        <v>148</v>
      </c>
      <c r="C28" s="166">
        <v>0.55000000000000004</v>
      </c>
      <c r="D28" s="166"/>
      <c r="E28" s="349"/>
      <c r="F28" s="349"/>
    </row>
    <row r="30" spans="2:6" ht="13.15">
      <c r="B30" s="160" t="s">
        <v>117</v>
      </c>
      <c r="E30" s="160" t="s">
        <v>150</v>
      </c>
      <c r="F30" s="160"/>
    </row>
    <row r="31" spans="2:6">
      <c r="B31" s="153" t="s">
        <v>134</v>
      </c>
      <c r="C31" s="167">
        <f>C18</f>
        <v>20</v>
      </c>
      <c r="D31" s="164"/>
      <c r="E31" s="349"/>
      <c r="F31" s="349"/>
    </row>
    <row r="32" spans="2:6">
      <c r="B32" s="119" t="s">
        <v>135</v>
      </c>
      <c r="C32" s="165">
        <v>0.02</v>
      </c>
      <c r="D32" s="165"/>
      <c r="E32" s="349"/>
      <c r="F32" s="349"/>
    </row>
    <row r="33" spans="2:6">
      <c r="B33" s="100" t="s">
        <v>114</v>
      </c>
      <c r="C33" s="161">
        <f>Valuation_Model!E77</f>
        <v>19.681712137956826</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20</v>
      </c>
      <c r="D37" s="164"/>
      <c r="E37" s="349"/>
      <c r="F37" s="349"/>
    </row>
    <row r="38" spans="2:6">
      <c r="B38" s="119" t="s">
        <v>135</v>
      </c>
      <c r="C38" s="165">
        <v>0.06</v>
      </c>
      <c r="D38" s="165"/>
      <c r="E38" s="349"/>
      <c r="F38" s="349"/>
    </row>
    <row r="39" spans="2:6">
      <c r="B39" s="100" t="s">
        <v>114</v>
      </c>
      <c r="C39" s="161">
        <f>Valuation_Model!E75</f>
        <v>24.767509120584407</v>
      </c>
      <c r="D39" t="str">
        <f>Market_currency</f>
        <v>HKD</v>
      </c>
      <c r="E39" s="349"/>
      <c r="F39" s="349"/>
    </row>
    <row r="40" spans="2:6">
      <c r="B40" s="100" t="s">
        <v>148</v>
      </c>
      <c r="C40" s="168">
        <f>1-C28-C34</f>
        <v>0.24999999999999994</v>
      </c>
      <c r="D40" s="166"/>
      <c r="E40" s="349"/>
      <c r="F40" s="349"/>
    </row>
    <row r="42" spans="2:6" ht="13.15">
      <c r="B42" s="100" t="s">
        <v>121</v>
      </c>
      <c r="C42" s="155">
        <f>C27*C28+C33*C34+C39*C40</f>
        <v>22.930619896480522</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17.85614377708271</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0.1</v>
      </c>
      <c r="D56" s="165"/>
      <c r="E56" s="349"/>
      <c r="F56" s="349"/>
    </row>
    <row r="57" spans="2:6">
      <c r="B57" s="100" t="s">
        <v>114</v>
      </c>
      <c r="C57" s="161">
        <f>Valuation_Model!E74</f>
        <v>47.254585491745253</v>
      </c>
      <c r="D57" t="str">
        <f>Market_currency</f>
        <v>HKD</v>
      </c>
      <c r="E57" s="349"/>
      <c r="F57" s="349"/>
    </row>
    <row r="58" spans="2:6">
      <c r="B58" s="100" t="s">
        <v>148</v>
      </c>
      <c r="C58" s="166">
        <v>0.05</v>
      </c>
      <c r="D58" s="166"/>
      <c r="E58" s="349"/>
      <c r="F58" s="349"/>
    </row>
    <row r="60" spans="2:6" ht="13.15">
      <c r="B60" s="100" t="s">
        <v>121</v>
      </c>
      <c r="C60" s="155">
        <f>C51*C52+C57*C58+C42*(1-C52-C58)</f>
        <v>23.893094370273865</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20</v>
      </c>
      <c r="D64" s="151"/>
      <c r="E64" s="281" t="s">
        <v>403</v>
      </c>
    </row>
    <row r="65" spans="2:6">
      <c r="B65" s="119" t="s">
        <v>135</v>
      </c>
      <c r="C65" s="152">
        <v>5.4247061515052243E-2</v>
      </c>
      <c r="D65" s="152"/>
      <c r="E65" s="281" t="s">
        <v>320</v>
      </c>
    </row>
    <row r="66" spans="2:6">
      <c r="B66" s="100" t="s">
        <v>103</v>
      </c>
      <c r="C66" s="161">
        <f>Valuation_Model!C18</f>
        <v>23.889634822475621</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0.22134654279479099</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0.54453440699819844</v>
      </c>
      <c r="D77" t="str">
        <f>Market_currency</f>
        <v>HKD</v>
      </c>
    </row>
    <row r="79" spans="2:6" ht="13.15">
      <c r="B79" s="109" t="s">
        <v>308</v>
      </c>
    </row>
    <row r="80" spans="2:6">
      <c r="B80" s="149" t="s">
        <v>306</v>
      </c>
      <c r="C80" s="168">
        <f>Thesis!C127</f>
        <v>0.3</v>
      </c>
    </row>
    <row r="81" spans="2:8">
      <c r="B81" s="100" t="s">
        <v>122</v>
      </c>
      <c r="C81" s="117">
        <f>PV(C80, C76, -C77, 0)</f>
        <v>0.9889359508069242</v>
      </c>
      <c r="D81" s="117"/>
      <c r="E81" s="100"/>
      <c r="F81" s="100"/>
    </row>
    <row r="82" spans="2:8">
      <c r="B82" s="100" t="s">
        <v>123</v>
      </c>
      <c r="C82" s="117">
        <f>C60/(1+C80)^C76</f>
        <v>10.875327432987646</v>
      </c>
      <c r="D82" s="117"/>
    </row>
    <row r="83" spans="2:8" ht="13.15">
      <c r="B83" s="111" t="s">
        <v>102</v>
      </c>
      <c r="C83" s="112">
        <f>C81+C82</f>
        <v>11.864263383794571</v>
      </c>
      <c r="D83" t="str">
        <f>Market_currency</f>
        <v>HKD</v>
      </c>
      <c r="E83" s="147" t="s">
        <v>127</v>
      </c>
      <c r="F83" s="329">
        <f>(1-C83/C60)</f>
        <v>0.50344383193182107</v>
      </c>
    </row>
    <row r="84" spans="2:8">
      <c r="E84" s="121"/>
    </row>
    <row r="85" spans="2:8" ht="13.15">
      <c r="B85" s="109" t="s">
        <v>309</v>
      </c>
    </row>
    <row r="86" spans="2:8">
      <c r="B86" s="149" t="s">
        <v>307</v>
      </c>
      <c r="C86" s="266">
        <f>Market_Price</f>
        <v>15.32</v>
      </c>
      <c r="D86" t="str">
        <f>Market_currency</f>
        <v>HKD</v>
      </c>
    </row>
    <row r="87" spans="2:8" ht="13.15">
      <c r="B87" s="100" t="s">
        <v>305</v>
      </c>
      <c r="C87" s="265">
        <f ca="1">IRR(OFFSET($I$3, 0, 0, $C$76 + 1, 1))</f>
        <v>0.19063377748254529</v>
      </c>
    </row>
    <row r="88" spans="2:8">
      <c r="B88" s="100"/>
    </row>
    <row r="89" spans="2:8" ht="13.15">
      <c r="B89" s="109" t="s">
        <v>422</v>
      </c>
    </row>
    <row r="90" spans="2:8">
      <c r="B90" s="149" t="s">
        <v>423</v>
      </c>
      <c r="C90" s="168">
        <f>Thesis!E19</f>
        <v>0.2</v>
      </c>
    </row>
    <row r="91" spans="2:8">
      <c r="B91" s="100" t="s">
        <v>122</v>
      </c>
      <c r="C91" s="117">
        <f>PV(C90, C76, -C77, 0)</f>
        <v>1.1470516443712049</v>
      </c>
      <c r="D91" s="117"/>
      <c r="E91" s="100"/>
      <c r="F91" s="100"/>
    </row>
    <row r="92" spans="2:8">
      <c r="B92" s="100" t="s">
        <v>123</v>
      </c>
      <c r="C92" s="117">
        <f>C60/(1+C90)^C76</f>
        <v>13.827022205019597</v>
      </c>
      <c r="D92" s="117"/>
    </row>
    <row r="93" spans="2:8" ht="13.15">
      <c r="B93" s="111" t="s">
        <v>102</v>
      </c>
      <c r="C93" s="112">
        <f>C91+C92</f>
        <v>14.974073849390802</v>
      </c>
      <c r="D93" t="str">
        <f>Market_currency</f>
        <v>HKD</v>
      </c>
      <c r="E93" s="147" t="s">
        <v>127</v>
      </c>
      <c r="F93" s="329">
        <f>(1-C93/C60)</f>
        <v>0.37328863238323329</v>
      </c>
    </row>
    <row r="95" spans="2:8" ht="13.15">
      <c r="B95" s="109" t="s">
        <v>405</v>
      </c>
      <c r="G95" s="2"/>
      <c r="H95" s="316"/>
    </row>
    <row r="96" spans="2:8">
      <c r="B96" s="149" t="s">
        <v>411</v>
      </c>
      <c r="C96" s="135">
        <f>Thesis!C67</f>
        <v>0.08</v>
      </c>
      <c r="G96" s="2"/>
      <c r="H96" s="316"/>
    </row>
    <row r="97" spans="2:8">
      <c r="B97" s="100" t="s">
        <v>122</v>
      </c>
      <c r="C97" s="117">
        <f>PV(C96, C76, -C77, 0)</f>
        <v>1.4033179797278683</v>
      </c>
      <c r="D97" s="117"/>
      <c r="G97" s="2"/>
      <c r="H97" s="316"/>
    </row>
    <row r="98" spans="2:8">
      <c r="B98" s="100" t="s">
        <v>123</v>
      </c>
      <c r="C98" s="117">
        <f>C60/(1+C96)^C76</f>
        <v>18.967108648860901</v>
      </c>
      <c r="D98" s="117"/>
      <c r="G98" s="2"/>
      <c r="H98" s="316"/>
    </row>
    <row r="99" spans="2:8" ht="13.15">
      <c r="B99" s="111" t="s">
        <v>406</v>
      </c>
      <c r="C99" s="112">
        <f>C97+C98</f>
        <v>20.370426628588771</v>
      </c>
      <c r="D99" t="s">
        <v>404</v>
      </c>
      <c r="E99" s="147" t="s">
        <v>127</v>
      </c>
      <c r="F99" s="329">
        <f>(1-C99/C60)</f>
        <v>0.14743455523566484</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2025-05-07T10:39:51Z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