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86DF549-6679-4A91-9251-1C69431F0989}"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C44" i="6"/>
  <c r="C44" i="12"/>
  <c r="J94" i="2"/>
  <c r="N94" i="2"/>
  <c r="P94" i="2"/>
  <c r="K94" i="2"/>
  <c r="I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<sst xmlns="http://schemas.openxmlformats.org/spreadsheetml/2006/main" count="836" uniqueCount="561">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</sst>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8677CF9-5069-4AB0-80F6-5029A17F7F4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2584797906</v>
          </cell>
        </row>
        <row r="12">
          <cell r="C12">
            <v>16.28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16.059999999999999</v>
      </c>
      <c r="D12" s="50"/>
      <c r="E12" s="48"/>
    </row>
    <row r="13" spans="1:10">
      <c r="B13" s="1" t="s">
        <v>486</v>
      </c>
      <c r="C13" s="32" t="str">
        <f>Market_currency</f>
        <v>HKD</v>
      </c>
      <c r="D13" s="48"/>
      <c r="E13" s="5"/>
    </row>
    <row r="14" spans="1:10">
      <c r="B14" s="4" t="s">
        <v>487</v>
      </c>
      <c r="C14" s="35">
        <f>投资主题!C12*Common_Shares/1000000</f>
        <v>41511.854370359993</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1.0950192000000001</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25.651837553461331</v>
      </c>
      <c r="D26" s="1" t="s">
        <v>447</v>
      </c>
      <c r="E26" s="301">
        <f ca="1">Scenarios!C87</f>
        <v>0.19480664441331208</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11.241109973083951</v>
      </c>
      <c r="D29" s="310" t="str">
        <f>D149</f>
        <v/>
      </c>
      <c r="E29" s="306" t="s">
        <v>456</v>
      </c>
      <c r="F29" s="362">
        <f>Thesis!F29</f>
        <v>0.35</v>
      </c>
    </row>
    <row r="30" spans="2:6">
      <c r="B30" s="1" t="s">
        <v>451</v>
      </c>
      <c r="C30" s="311">
        <f>C157</f>
        <v>14.071967883116976</v>
      </c>
      <c r="D30" s="311" t="str">
        <f>D157</f>
        <v/>
      </c>
      <c r="E30" s="307" t="s">
        <v>455</v>
      </c>
      <c r="F30" s="224">
        <f>Thesis!F30</f>
        <v>0.25</v>
      </c>
    </row>
    <row r="31" spans="2:6">
      <c r="B31" s="1" t="s">
        <v>452</v>
      </c>
      <c r="C31" s="311">
        <f>C165</f>
        <v>21.898658139110953</v>
      </c>
      <c r="D31" s="311" t="str">
        <f>D165</f>
        <v/>
      </c>
      <c r="E31" s="307" t="s">
        <v>492</v>
      </c>
      <c r="F31" s="224">
        <f>Thesis!F31</f>
        <v>7.4999999999999997E-2</v>
      </c>
    </row>
    <row r="32" spans="2:6">
      <c r="B32" s="1" t="s">
        <v>453</v>
      </c>
      <c r="C32" s="311">
        <f>C173</f>
        <v>19.545836703015315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179409.3</v>
      </c>
      <c r="D48" s="1" t="str">
        <f>Reporting_currency</f>
        <v>CNY</v>
      </c>
    </row>
    <row r="50" spans="2:6">
      <c r="B50" s="370" t="s">
        <v>498</v>
      </c>
      <c r="C50" s="370"/>
      <c r="D50" s="370"/>
      <c r="E50" s="370"/>
      <c r="F50" s="370"/>
    </row>
    <row r="51" spans="2:6">
      <c r="B51" s="47" t="s">
        <v>331</v>
      </c>
      <c r="C51" s="350">
        <f>Normalized_FCF!C48</f>
        <v>95917.184625184484</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-158503.81537481552</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-806580.02713182976</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2532208.4586251848</v>
      </c>
      <c r="D67" s="1" t="str">
        <f>Reporting_currency</f>
        <v>CNY</v>
      </c>
    </row>
    <row r="68" spans="1:6">
      <c r="B68" s="47" t="s">
        <v>244</v>
      </c>
      <c r="C68" s="349">
        <f>Normalized_FCF!C19</f>
        <v>2419740.0813954892</v>
      </c>
      <c r="D68" s="1" t="str">
        <f>Reporting_currency</f>
        <v>CNY</v>
      </c>
    </row>
    <row r="69" spans="1:6">
      <c r="B69" s="227" t="s">
        <v>371</v>
      </c>
      <c r="C69" s="92">
        <f>Normalized_FCF!C126</f>
        <v>6.3829040844523607E-2</v>
      </c>
      <c r="F69" s="314"/>
    </row>
    <row r="70" spans="1:6">
      <c r="B70" s="227" t="s">
        <v>435</v>
      </c>
      <c r="C70" s="92">
        <f>Normalized_FCF!C94</f>
        <v>2.9928337884596947E-2</v>
      </c>
      <c r="E70" s="47" t="s">
        <v>504</v>
      </c>
      <c r="F70" s="315">
        <f>Normalized_FCF!C92</f>
        <v>0.57048404742335546</v>
      </c>
    </row>
    <row r="72" spans="1:6">
      <c r="B72" s="210" t="s">
        <v>514</v>
      </c>
      <c r="C72" s="323" t="s">
        <v>430</v>
      </c>
      <c r="D72" s="323" t="s">
        <v>505</v>
      </c>
    </row>
    <row r="73" spans="1:6">
      <c r="B73" s="47" t="s">
        <v>429</v>
      </c>
      <c r="C73" s="92">
        <f>Normalized_FCF!C121</f>
        <v>0.12359632803345608</v>
      </c>
      <c r="D73" s="92">
        <f>Normalized_FCF!G121</f>
        <v>0.1390186444002296</v>
      </c>
    </row>
    <row r="74" spans="1:6">
      <c r="B74" s="259" t="str">
        <f>Normalized_FCF!B118</f>
        <v>Pre-tax Profit/Sales</v>
      </c>
      <c r="C74" s="322">
        <f>Normalized_FCF!C118</f>
        <v>0.12331873238885063</v>
      </c>
      <c r="D74" s="322">
        <f>Normalized_FCF!G118</f>
        <v>0.12654988969646416</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13.667925279507319</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1936137</v>
      </c>
      <c r="D102" s="1" t="str">
        <f>Reporting_currency</f>
        <v>CNY</v>
      </c>
    </row>
    <row r="103" spans="2:6">
      <c r="B103" s="47" t="s">
        <v>276</v>
      </c>
      <c r="C103" s="223">
        <f>C102*scaling_factor*Exchange_Rate/Common_Shares</f>
        <v>0.82022164437268785</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14107945.001425853</v>
      </c>
      <c r="D109" s="1" t="str">
        <f>Reporting_currency</f>
        <v>CNY</v>
      </c>
    </row>
    <row r="110" spans="2:6">
      <c r="B110" s="47" t="s">
        <v>277</v>
      </c>
      <c r="C110" s="223">
        <f>C109*scaling_factor*Exchange_Rate/Common_Shares</f>
        <v>5.9766647958222769</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0.2379034506948568</v>
      </c>
      <c r="D114" s="1" t="str">
        <f>Market_currency</f>
        <v>HKD</v>
      </c>
    </row>
    <row r="116" spans="1:6">
      <c r="B116" s="374" t="s">
        <v>517</v>
      </c>
      <c r="C116" s="374"/>
      <c r="D116" s="374"/>
      <c r="E116" s="374"/>
      <c r="F116" s="374"/>
    </row>
    <row r="118" spans="1:6">
      <c r="B118" s="47" t="s">
        <v>518</v>
      </c>
      <c r="C118" s="223">
        <f>IF(valuation_method="DCF",DCF!C12,DDM!C7)</f>
        <v>19.062271881651768</v>
      </c>
      <c r="D118" s="1" t="str">
        <f>Market_currency</f>
        <v>HKD</v>
      </c>
    </row>
    <row r="119" spans="1:6">
      <c r="B119" s="296" t="s">
        <v>551</v>
      </c>
      <c r="C119" s="223">
        <f>BS!D47</f>
        <v>4.6163895848976901</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51.9 HKD</v>
      </c>
      <c r="F126" s="232">
        <f>DCF!F74</f>
        <v>0.05</v>
      </c>
    </row>
    <row r="127" spans="1:6">
      <c r="B127" s="218" t="str">
        <f>DCF!B75</f>
        <v>Optimistic</v>
      </c>
      <c r="C127" s="219">
        <f>DCF!C75</f>
        <v>0.06</v>
      </c>
      <c r="D127" s="220">
        <f>DCF!D75</f>
        <v>20</v>
      </c>
      <c r="E127" s="231" t="str">
        <f>ROUND(IF(valuation_method="DCF",DCF!E75,DDM!E70),2)&amp;" "&amp;Market_currency</f>
        <v>26.55 HKD</v>
      </c>
      <c r="F127" s="221">
        <f>DCF!F75</f>
        <v>0.22499999999999992</v>
      </c>
    </row>
    <row r="128" spans="1:6">
      <c r="B128" s="218" t="str">
        <f>DCF!B76</f>
        <v>Base</v>
      </c>
      <c r="C128" s="219">
        <f>DCF!C76</f>
        <v>0.05</v>
      </c>
      <c r="D128" s="220">
        <f>DCF!D76</f>
        <v>20</v>
      </c>
      <c r="E128" s="231" t="str">
        <f>ROUND(IF(valuation_method="DCF",DCF!E76,DDM!E71),2)&amp;" "&amp;Market_currency</f>
        <v>24.93 HKD</v>
      </c>
      <c r="F128" s="221">
        <f>DCF!F76</f>
        <v>0.495</v>
      </c>
    </row>
    <row r="129" spans="1:6">
      <c r="B129" s="218" t="str">
        <f>DCF!B77</f>
        <v>Pessimistic</v>
      </c>
      <c r="C129" s="219">
        <f>DCF!C77</f>
        <v>0.02</v>
      </c>
      <c r="D129" s="220">
        <f>DCF!D77</f>
        <v>20</v>
      </c>
      <c r="E129" s="231" t="str">
        <f>ROUND(IF(valuation_method="DCF",DCF!E77,DDM!E72),2)&amp;" "&amp;Market_currency</f>
        <v>21.04 HKD</v>
      </c>
      <c r="F129" s="221">
        <f>DCF!F77</f>
        <v>0.18</v>
      </c>
    </row>
    <row r="130" spans="1:6">
      <c r="B130" s="218" t="str">
        <f>DCF!B78</f>
        <v>Devil's advocate</v>
      </c>
      <c r="C130" s="219">
        <f>DCF!C78</f>
        <v>0</v>
      </c>
      <c r="D130" s="220">
        <f>DCF!D78</f>
        <v>30</v>
      </c>
      <c r="E130" s="231" t="str">
        <f>ROUND(IF(valuation_method="DCF",DCF!E78,DDM!E73),2)&amp;" "&amp;Market_currency</f>
        <v>19.06 HKD</v>
      </c>
      <c r="F130" s="221">
        <f>DCF!F78</f>
        <v>0.05</v>
      </c>
    </row>
    <row r="132" spans="1:6">
      <c r="B132" s="211" t="s">
        <v>254</v>
      </c>
      <c r="C132" s="217">
        <f>Scenarios!C60</f>
        <v>25.651837553461331</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0.48064910642662695</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0.81512305911298122</v>
      </c>
    </row>
    <row r="148" spans="2:4">
      <c r="B148" s="212" t="str">
        <f>"+ PV(Equity Value realized at year "&amp;C141&amp;")"</f>
        <v>+ PV(Equity Value realized at year 3)</v>
      </c>
      <c r="C148" s="216">
        <f>Scenarios!C82</f>
        <v>10.42598691397097</v>
      </c>
    </row>
    <row r="149" spans="2:4">
      <c r="B149" s="80" t="s">
        <v>256</v>
      </c>
      <c r="C149" s="215">
        <f>Scenarios!C83</f>
        <v>11.241109973083951</v>
      </c>
      <c r="D149" s="300" t="str">
        <f>IF($D$11="","",C149*$E$25)</f>
        <v/>
      </c>
    </row>
    <row r="150" spans="2:4">
      <c r="B150" s="259" t="s">
        <v>533</v>
      </c>
      <c r="C150" s="298" t="str">
        <f>Market_currency</f>
        <v>HKD</v>
      </c>
      <c r="D150" s="298" t="str">
        <f>IF($D$11="","",D$13)</f>
        <v/>
      </c>
    </row>
    <row r="151" spans="2:4">
      <c r="B151" s="214" t="s">
        <v>534</v>
      </c>
      <c r="C151" s="92">
        <f>Scenarios!F83</f>
        <v>0.56178149227492158</v>
      </c>
    </row>
    <row r="153" spans="2:4">
      <c r="B153" s="210" t="s">
        <v>391</v>
      </c>
    </row>
    <row r="154" spans="2:4">
      <c r="B154" s="1" t="s">
        <v>390</v>
      </c>
      <c r="C154" s="297">
        <f>Scenarios!C90</f>
        <v>0.25</v>
      </c>
    </row>
    <row r="155" spans="2:4">
      <c r="B155" s="212" t="str">
        <f>"PV("&amp;C141&amp;" yrs of Dividends)"</f>
        <v>PV(3 yrs of Dividends)</v>
      </c>
      <c r="C155" s="216">
        <f>Scenarios!C91</f>
        <v>0.93822705574477583</v>
      </c>
    </row>
    <row r="156" spans="2:4">
      <c r="B156" s="212" t="str">
        <f>"+ PV(Equity Value realized at year "&amp;C141&amp;")"</f>
        <v>+ PV(Equity Value realized at year 3)</v>
      </c>
      <c r="C156" s="216">
        <f>Scenarios!C92</f>
        <v>13.1337408273722</v>
      </c>
    </row>
    <row r="157" spans="2:4">
      <c r="B157" s="80" t="s">
        <v>256</v>
      </c>
      <c r="C157" s="215">
        <f>Scenarios!C93</f>
        <v>14.071967883116976</v>
      </c>
      <c r="D157" s="300" t="str">
        <f>IF($D$11="","",C157*$E$25)</f>
        <v/>
      </c>
    </row>
    <row r="158" spans="2:4">
      <c r="B158" s="259" t="s">
        <v>533</v>
      </c>
      <c r="C158" s="298" t="str">
        <f>Market_currency</f>
        <v>HKD</v>
      </c>
      <c r="D158" s="298" t="str">
        <f>IF($D$11="","",D$13)</f>
        <v/>
      </c>
    </row>
    <row r="159" spans="2:4">
      <c r="B159" s="214" t="s">
        <v>534</v>
      </c>
      <c r="C159" s="92">
        <f>Scenarios!F93</f>
        <v>0.45142456739056591</v>
      </c>
    </row>
    <row r="161" spans="2:4">
      <c r="B161" s="210" t="s">
        <v>381</v>
      </c>
    </row>
    <row r="162" spans="2:4">
      <c r="B162" s="1" t="s">
        <v>389</v>
      </c>
      <c r="C162" s="92">
        <f>Scenarios!C96</f>
        <v>7.4999999999999997E-2</v>
      </c>
    </row>
    <row r="163" spans="2:4">
      <c r="B163" s="212" t="str">
        <f>"PV("&amp;C141&amp;" yrs of Dividends)"</f>
        <v>PV(3 yrs of Dividends)</v>
      </c>
      <c r="C163" s="216">
        <f>Scenarios!C97</f>
        <v>1.2499403731089005</v>
      </c>
    </row>
    <row r="164" spans="2:4">
      <c r="B164" s="212" t="str">
        <f>"+ PV(Equity Value realized at year "&amp;C141&amp;")"</f>
        <v>+ PV(Equity Value realized at year 3)</v>
      </c>
      <c r="C164" s="216">
        <f>Scenarios!C98</f>
        <v>20.648717766002054</v>
      </c>
    </row>
    <row r="165" spans="2:4">
      <c r="B165" s="80" t="s">
        <v>382</v>
      </c>
      <c r="C165" s="215">
        <f>Scenarios!C99</f>
        <v>21.898658139110953</v>
      </c>
      <c r="D165" s="300" t="str">
        <f>IF($D$11="","",C165*$E$25)</f>
        <v/>
      </c>
    </row>
    <row r="166" spans="2:4">
      <c r="B166" s="259" t="s">
        <v>533</v>
      </c>
      <c r="C166" s="298" t="str">
        <f>Market_currency</f>
        <v>HKD</v>
      </c>
      <c r="D166" s="298" t="str">
        <f>IF($D$11="","",D$13)</f>
        <v/>
      </c>
    </row>
    <row r="167" spans="2:4">
      <c r="B167" s="214" t="s">
        <v>534</v>
      </c>
      <c r="C167" s="92">
        <f>Scenarios!F99</f>
        <v>0.14631230244337567</v>
      </c>
    </row>
    <row r="169" spans="2:4">
      <c r="B169" s="210" t="s">
        <v>409</v>
      </c>
    </row>
    <row r="170" spans="2:4">
      <c r="B170" s="1" t="s">
        <v>400</v>
      </c>
      <c r="C170" s="92">
        <f>F32</f>
        <v>0.1174</v>
      </c>
    </row>
    <row r="171" spans="2:4">
      <c r="B171" s="212" t="str">
        <f>"PV("&amp;C141&amp;" yrs of Dividends)"</f>
        <v>PV(3 yrs of Dividends)</v>
      </c>
      <c r="C171" s="216">
        <f>Scenarios!C103</f>
        <v>1.1596155366444987</v>
      </c>
    </row>
    <row r="172" spans="2:4">
      <c r="B172" s="212" t="str">
        <f>"+ PV(Equity Value realized at year "&amp;C141&amp;")"</f>
        <v>+ PV(Equity Value realized at year 3)</v>
      </c>
      <c r="C172" s="216">
        <f>Scenarios!C104</f>
        <v>18.386221166370817</v>
      </c>
    </row>
    <row r="173" spans="2:4">
      <c r="B173" s="80" t="s">
        <v>382</v>
      </c>
      <c r="C173" s="215">
        <f>Scenarios!C105</f>
        <v>19.545836703015315</v>
      </c>
      <c r="D173" s="300" t="str">
        <f>IF($D$11="","",C173*$E$25)</f>
        <v/>
      </c>
    </row>
    <row r="174" spans="2:4">
      <c r="B174" s="259" t="s">
        <v>533</v>
      </c>
      <c r="C174" s="298" t="str">
        <f>Market_currency</f>
        <v>HKD</v>
      </c>
      <c r="D174" s="298" t="str">
        <f>IF($D$11="","",D$13)</f>
        <v/>
      </c>
    </row>
    <row r="175" spans="2:4">
      <c r="B175" s="214" t="s">
        <v>534</v>
      </c>
      <c r="C175" s="92">
        <f>Scenarios!F105</f>
        <v>0.23647036068020588</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16.059999999999999</v>
      </c>
      <c r="D12" s="50"/>
      <c r="E12" s="48"/>
    </row>
    <row r="13" spans="1:10">
      <c r="B13" s="1" t="s">
        <v>465</v>
      </c>
      <c r="C13" s="48" t="s">
        <v>377</v>
      </c>
      <c r="D13" s="48"/>
      <c r="E13" s="5"/>
    </row>
    <row r="14" spans="1:10">
      <c r="B14" s="4" t="s">
        <v>466</v>
      </c>
      <c r="C14" s="35">
        <f>Thesis!C12*Common_Shares/1000000</f>
        <v>41511.854370359993</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1.0950192000000001</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25.651837553461331</v>
      </c>
      <c r="D26" s="1" t="s">
        <v>380</v>
      </c>
      <c r="E26" s="301">
        <f ca="1">Scenarios!C87</f>
        <v>0.19480664441331208</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11.241109973083951</v>
      </c>
      <c r="D29" s="310" t="str">
        <f>D149</f>
        <v/>
      </c>
      <c r="E29" s="306" t="s">
        <v>401</v>
      </c>
      <c r="F29" s="302">
        <v>0.35</v>
      </c>
    </row>
    <row r="30" spans="2:6">
      <c r="B30" s="1" t="s">
        <v>403</v>
      </c>
      <c r="C30" s="311">
        <f>C157</f>
        <v>14.071967883116976</v>
      </c>
      <c r="D30" s="311" t="str">
        <f>D157</f>
        <v/>
      </c>
      <c r="E30" s="307" t="s">
        <v>414</v>
      </c>
      <c r="F30" s="312">
        <v>0.25</v>
      </c>
    </row>
    <row r="31" spans="2:6">
      <c r="B31" s="1" t="s">
        <v>404</v>
      </c>
      <c r="C31" s="311">
        <f>C165</f>
        <v>21.898658139110953</v>
      </c>
      <c r="D31" s="311" t="str">
        <f>D165</f>
        <v/>
      </c>
      <c r="E31" s="307" t="s">
        <v>413</v>
      </c>
      <c r="F31" s="312">
        <v>7.4999999999999997E-2</v>
      </c>
    </row>
    <row r="32" spans="2:6">
      <c r="B32" s="1" t="s">
        <v>405</v>
      </c>
      <c r="C32" s="311">
        <f>C173</f>
        <v>19.545836703015315</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179409.3</v>
      </c>
      <c r="D48" s="1" t="str">
        <f>Reporting_currency</f>
        <v>CNY</v>
      </c>
    </row>
    <row r="50" spans="2:6">
      <c r="B50" s="370" t="s">
        <v>236</v>
      </c>
      <c r="C50" s="370"/>
      <c r="D50" s="370"/>
      <c r="E50" s="370"/>
      <c r="F50" s="370"/>
    </row>
    <row r="51" spans="2:6">
      <c r="B51" s="47" t="s">
        <v>331</v>
      </c>
      <c r="C51" s="350">
        <f>Normalized_FCF!C48</f>
        <v>95917.184625184484</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-158503.81537481552</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-806580.02713182976</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2532208.4586251848</v>
      </c>
      <c r="D67" s="1" t="str">
        <f>Reporting_currency</f>
        <v>CNY</v>
      </c>
    </row>
    <row r="68" spans="1:6">
      <c r="B68" s="47" t="s">
        <v>244</v>
      </c>
      <c r="C68" s="349">
        <f>Normalized_FCF!C19</f>
        <v>2419740.0813954892</v>
      </c>
      <c r="D68" s="1" t="str">
        <f>Reporting_currency</f>
        <v>CNY</v>
      </c>
    </row>
    <row r="69" spans="1:6">
      <c r="B69" s="227" t="s">
        <v>371</v>
      </c>
      <c r="C69" s="92">
        <f>Normalized_FCF!C126</f>
        <v>6.3829040844523607E-2</v>
      </c>
      <c r="F69" s="314"/>
    </row>
    <row r="70" spans="1:6">
      <c r="B70" s="227" t="s">
        <v>435</v>
      </c>
      <c r="C70" s="92">
        <f>Normalized_FCF!C94</f>
        <v>2.9928337884596947E-2</v>
      </c>
      <c r="E70" s="47" t="s">
        <v>425</v>
      </c>
      <c r="F70" s="315">
        <f>Normalized_FCF!C92</f>
        <v>0.57048404742335546</v>
      </c>
    </row>
    <row r="72" spans="1:6">
      <c r="B72" s="210" t="s">
        <v>428</v>
      </c>
      <c r="C72" s="323" t="s">
        <v>430</v>
      </c>
      <c r="D72" s="323" t="s">
        <v>431</v>
      </c>
    </row>
    <row r="73" spans="1:6">
      <c r="B73" s="47" t="s">
        <v>429</v>
      </c>
      <c r="C73" s="92">
        <f>Normalized_FCF!C121</f>
        <v>0.12359632803345608</v>
      </c>
      <c r="D73" s="92">
        <f>Normalized_FCF!G121</f>
        <v>0.1390186444002296</v>
      </c>
    </row>
    <row r="74" spans="1:6">
      <c r="B74" s="259" t="str">
        <f>Normalized_FCF!B118</f>
        <v>Pre-tax Profit/Sales</v>
      </c>
      <c r="C74" s="322">
        <f>Normalized_FCF!C118</f>
        <v>0.12331873238885063</v>
      </c>
      <c r="D74" s="322">
        <f>Normalized_FCF!G118</f>
        <v>0.12654988969646416</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13.667925279507319</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1936137</v>
      </c>
      <c r="D102" s="1" t="str">
        <f>Reporting_currency</f>
        <v>CNY</v>
      </c>
    </row>
    <row r="103" spans="2:6">
      <c r="B103" s="47" t="s">
        <v>276</v>
      </c>
      <c r="C103" s="223">
        <f>C102*scaling_factor*Exchange_Rate/Common_Shares</f>
        <v>0.82022164437268785</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14107945.001425853</v>
      </c>
      <c r="D109" s="1" t="str">
        <f>Reporting_currency</f>
        <v>CNY</v>
      </c>
    </row>
    <row r="110" spans="2:6">
      <c r="B110" s="47" t="s">
        <v>277</v>
      </c>
      <c r="C110" s="223">
        <f>C109*scaling_factor*Exchange_Rate/Common_Shares</f>
        <v>5.9766647958222769</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0.2379034506948568</v>
      </c>
      <c r="D114" s="1" t="str">
        <f>Market_currency</f>
        <v>HKD</v>
      </c>
    </row>
    <row r="116" spans="1:6" ht="24.6" customHeight="1">
      <c r="B116" s="374" t="s">
        <v>352</v>
      </c>
      <c r="C116" s="374"/>
      <c r="D116" s="374"/>
      <c r="E116" s="374"/>
      <c r="F116" s="374"/>
    </row>
    <row r="118" spans="1:6">
      <c r="B118" s="47" t="s">
        <v>426</v>
      </c>
      <c r="C118" s="223">
        <f>IF(valuation_method="DCF",DCF!C12,DDM!C7)</f>
        <v>19.062271881651768</v>
      </c>
      <c r="D118" s="1" t="str">
        <f>Market_currency</f>
        <v>HKD</v>
      </c>
    </row>
    <row r="119" spans="1:6">
      <c r="B119" s="296" t="s">
        <v>550</v>
      </c>
      <c r="C119" s="223">
        <f>BS!D47</f>
        <v>4.6163895848976901</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51.9 HKD</v>
      </c>
      <c r="F126" s="232">
        <f>DCF!F74</f>
        <v>0.05</v>
      </c>
    </row>
    <row r="127" spans="1:6">
      <c r="B127" s="218" t="str">
        <f>DCF!B75</f>
        <v>Optimistic</v>
      </c>
      <c r="C127" s="219">
        <f>DCF!C75</f>
        <v>0.06</v>
      </c>
      <c r="D127" s="220">
        <f>DCF!D75</f>
        <v>20</v>
      </c>
      <c r="E127" s="231" t="str">
        <f>ROUND(IF(valuation_method="DCF",DCF!E75,DDM!E70),2)&amp;" "&amp;Market_currency</f>
        <v>26.55 HKD</v>
      </c>
      <c r="F127" s="221">
        <f>DCF!F75</f>
        <v>0.22499999999999992</v>
      </c>
    </row>
    <row r="128" spans="1:6">
      <c r="B128" s="218" t="str">
        <f>DCF!B76</f>
        <v>Base</v>
      </c>
      <c r="C128" s="219">
        <f>DCF!C76</f>
        <v>0.05</v>
      </c>
      <c r="D128" s="220">
        <f>DCF!D76</f>
        <v>20</v>
      </c>
      <c r="E128" s="231" t="str">
        <f>ROUND(IF(valuation_method="DCF",DCF!E76,DDM!E71),2)&amp;" "&amp;Market_currency</f>
        <v>24.93 HKD</v>
      </c>
      <c r="F128" s="221">
        <f>DCF!F76</f>
        <v>0.495</v>
      </c>
    </row>
    <row r="129" spans="1:6">
      <c r="B129" s="218" t="str">
        <f>DCF!B77</f>
        <v>Pessimistic</v>
      </c>
      <c r="C129" s="219">
        <f>DCF!C77</f>
        <v>0.02</v>
      </c>
      <c r="D129" s="220">
        <f>DCF!D77</f>
        <v>20</v>
      </c>
      <c r="E129" s="231" t="str">
        <f>ROUND(IF(valuation_method="DCF",DCF!E77,DDM!E72),2)&amp;" "&amp;Market_currency</f>
        <v>21.04 HKD</v>
      </c>
      <c r="F129" s="221">
        <f>DCF!F77</f>
        <v>0.18</v>
      </c>
    </row>
    <row r="130" spans="1:6">
      <c r="B130" s="218" t="str">
        <f>DCF!B78</f>
        <v>Devil's advocate</v>
      </c>
      <c r="C130" s="219">
        <f>DCF!C78</f>
        <v>0</v>
      </c>
      <c r="D130" s="220">
        <f>DCF!D78</f>
        <v>30</v>
      </c>
      <c r="E130" s="231" t="str">
        <f>ROUND(IF(valuation_method="DCF",DCF!E78,DDM!E73),2)&amp;" "&amp;Market_currency</f>
        <v>19.06 HKD</v>
      </c>
      <c r="F130" s="221">
        <f>DCF!F78</f>
        <v>0.05</v>
      </c>
    </row>
    <row r="132" spans="1:6">
      <c r="B132" s="211" t="s">
        <v>254</v>
      </c>
      <c r="C132" s="217">
        <f>Scenarios!C60</f>
        <v>25.651837553461331</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0.48064910642662695</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0.81512305911298122</v>
      </c>
    </row>
    <row r="148" spans="2:4">
      <c r="B148" s="212" t="str">
        <f>"+ PV(Equity Value realized at year "&amp;C141&amp;")"</f>
        <v>+ PV(Equity Value realized at year 3)</v>
      </c>
      <c r="C148" s="216">
        <f>Scenarios!C82</f>
        <v>10.42598691397097</v>
      </c>
    </row>
    <row r="149" spans="2:4">
      <c r="B149" s="80" t="s">
        <v>256</v>
      </c>
      <c r="C149" s="215">
        <f>Scenarios!C83</f>
        <v>11.241109973083951</v>
      </c>
      <c r="D149" s="300" t="str">
        <f>IF($D$11="","",C149*$E$25)</f>
        <v/>
      </c>
    </row>
    <row r="150" spans="2:4">
      <c r="B150" s="259" t="s">
        <v>396</v>
      </c>
      <c r="C150" s="298" t="str">
        <f>Market_currency</f>
        <v>HKD</v>
      </c>
      <c r="D150" s="298" t="str">
        <f>IF($D$11="","",D$13)</f>
        <v/>
      </c>
    </row>
    <row r="151" spans="2:4">
      <c r="B151" s="214" t="s">
        <v>258</v>
      </c>
      <c r="C151" s="92">
        <f>Scenarios!F83</f>
        <v>0.56178149227492158</v>
      </c>
    </row>
    <row r="153" spans="2:4">
      <c r="B153" s="210" t="s">
        <v>391</v>
      </c>
    </row>
    <row r="154" spans="2:4">
      <c r="B154" s="1" t="s">
        <v>390</v>
      </c>
      <c r="C154" s="297">
        <f>Scenarios!C90</f>
        <v>0.25</v>
      </c>
    </row>
    <row r="155" spans="2:4">
      <c r="B155" s="212" t="str">
        <f>"PV("&amp;C141&amp;" yrs of Dividends)"</f>
        <v>PV(3 yrs of Dividends)</v>
      </c>
      <c r="C155" s="216">
        <f>Scenarios!C91</f>
        <v>0.93822705574477583</v>
      </c>
    </row>
    <row r="156" spans="2:4">
      <c r="B156" s="212" t="str">
        <f>"+ PV(Equity Value realized at year "&amp;C141&amp;")"</f>
        <v>+ PV(Equity Value realized at year 3)</v>
      </c>
      <c r="C156" s="216">
        <f>Scenarios!C92</f>
        <v>13.1337408273722</v>
      </c>
    </row>
    <row r="157" spans="2:4">
      <c r="B157" s="80" t="s">
        <v>256</v>
      </c>
      <c r="C157" s="215">
        <f>Scenarios!C93</f>
        <v>14.071967883116976</v>
      </c>
      <c r="D157" s="300" t="str">
        <f>IF($D$11="","",C157*$E$25)</f>
        <v/>
      </c>
    </row>
    <row r="158" spans="2:4">
      <c r="B158" s="259" t="s">
        <v>396</v>
      </c>
      <c r="C158" s="298" t="str">
        <f>Market_currency</f>
        <v>HKD</v>
      </c>
      <c r="D158" s="298" t="str">
        <f>IF($D$11="","",D$13)</f>
        <v/>
      </c>
    </row>
    <row r="159" spans="2:4">
      <c r="B159" s="214" t="s">
        <v>258</v>
      </c>
      <c r="C159" s="92">
        <f>Scenarios!F93</f>
        <v>0.45142456739056591</v>
      </c>
    </row>
    <row r="161" spans="2:4">
      <c r="B161" s="210" t="s">
        <v>381</v>
      </c>
    </row>
    <row r="162" spans="2:4">
      <c r="B162" s="1" t="s">
        <v>389</v>
      </c>
      <c r="C162" s="92">
        <f>Scenarios!C96</f>
        <v>7.4999999999999997E-2</v>
      </c>
    </row>
    <row r="163" spans="2:4">
      <c r="B163" s="212" t="str">
        <f>"PV("&amp;C141&amp;" yrs of Dividends)"</f>
        <v>PV(3 yrs of Dividends)</v>
      </c>
      <c r="C163" s="216">
        <f>Scenarios!C97</f>
        <v>1.2499403731089005</v>
      </c>
    </row>
    <row r="164" spans="2:4">
      <c r="B164" s="212" t="str">
        <f>"+ PV(Equity Value realized at year "&amp;C141&amp;")"</f>
        <v>+ PV(Equity Value realized at year 3)</v>
      </c>
      <c r="C164" s="216">
        <f>Scenarios!C98</f>
        <v>20.648717766002054</v>
      </c>
    </row>
    <row r="165" spans="2:4">
      <c r="B165" s="80" t="s">
        <v>382</v>
      </c>
      <c r="C165" s="215">
        <f>Scenarios!C99</f>
        <v>21.898658139110953</v>
      </c>
      <c r="D165" s="300" t="str">
        <f>IF($D$11="","",C165*$E$25)</f>
        <v/>
      </c>
    </row>
    <row r="166" spans="2:4">
      <c r="B166" s="259" t="s">
        <v>396</v>
      </c>
      <c r="C166" s="298" t="str">
        <f>Market_currency</f>
        <v>HKD</v>
      </c>
      <c r="D166" s="298" t="str">
        <f>IF($D$11="","",D$13)</f>
        <v/>
      </c>
    </row>
    <row r="167" spans="2:4">
      <c r="B167" s="214" t="s">
        <v>258</v>
      </c>
      <c r="C167" s="92">
        <f>Scenarios!F99</f>
        <v>0.14631230244337567</v>
      </c>
    </row>
    <row r="169" spans="2:4">
      <c r="B169" s="210" t="s">
        <v>409</v>
      </c>
    </row>
    <row r="170" spans="2:4">
      <c r="B170" s="1" t="s">
        <v>400</v>
      </c>
      <c r="C170" s="92">
        <f>F32</f>
        <v>0.1174</v>
      </c>
    </row>
    <row r="171" spans="2:4">
      <c r="B171" s="212" t="str">
        <f>"PV("&amp;C141&amp;" yrs of Dividends)"</f>
        <v>PV(3 yrs of Dividends)</v>
      </c>
      <c r="C171" s="216">
        <f>Scenarios!C103</f>
        <v>1.1596155366444987</v>
      </c>
    </row>
    <row r="172" spans="2:4">
      <c r="B172" s="212" t="str">
        <f>"+ PV(Equity Value realized at year "&amp;C141&amp;")"</f>
        <v>+ PV(Equity Value realized at year 3)</v>
      </c>
      <c r="C172" s="216">
        <f>Scenarios!C104</f>
        <v>18.386221166370817</v>
      </c>
    </row>
    <row r="173" spans="2:4">
      <c r="B173" s="80" t="s">
        <v>382</v>
      </c>
      <c r="C173" s="215">
        <f>Scenarios!C105</f>
        <v>19.545836703015315</v>
      </c>
      <c r="D173" s="300" t="str">
        <f>IF($D$11="","",C173*$E$25)</f>
        <v/>
      </c>
    </row>
    <row r="174" spans="2:4">
      <c r="B174" s="259" t="s">
        <v>396</v>
      </c>
      <c r="C174" s="298" t="str">
        <f>Market_currency</f>
        <v>HKD</v>
      </c>
      <c r="D174" s="298" t="str">
        <f>IF($D$11="","",D$13)</f>
        <v/>
      </c>
    </row>
    <row r="175" spans="2:4">
      <c r="B175" s="214" t="s">
        <v>258</v>
      </c>
      <c r="C175" s="92">
        <f>Scenarios!F105</f>
        <v>0.23647036068020588</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0.53405456269625218</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0.53405456269625218</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11.05852050540496</v>
      </c>
      <c r="D47" s="147">
        <f>D46*H1/Common_Shares*Exchange_Rate</f>
        <v>4.6163895848976901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14107945.001425853</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-2210564.7596122515</v>
      </c>
      <c r="D73" s="349">
        <f>(Normalized_FCF!C25+Normalized_FCF!C35-Normalized_FCF!C91)/12</f>
        <v>-2028121.4992870735</v>
      </c>
      <c r="F73" s="1" t="s">
        <v>342</v>
      </c>
    </row>
    <row r="74" spans="2:6" ht="15" customHeight="1">
      <c r="B74" s="257" t="s">
        <v>312</v>
      </c>
      <c r="C74" s="258">
        <f>-$C$66/C73</f>
        <v>8.2169897629174748</v>
      </c>
      <c r="D74" s="258">
        <f>-$C$66/D73</f>
        <v>8.9561636254953587</v>
      </c>
      <c r="F74" s="253" t="s">
        <v>310</v>
      </c>
    </row>
    <row r="75" spans="2:6" ht="15" customHeight="1">
      <c r="B75" s="80" t="s">
        <v>311</v>
      </c>
      <c r="C75" s="320"/>
      <c r="D75" s="321">
        <f>MAX(-D73*D76,G5)</f>
        <v>4056242.998574147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-2120107.1888304004</v>
      </c>
      <c r="D86" s="223">
        <f>C86*scaling_factor/Common_Shares</f>
        <v>-0.82022164437268796</v>
      </c>
      <c r="E86" s="240" t="str">
        <f>Market_currency</f>
        <v>HKD</v>
      </c>
    </row>
    <row r="87" spans="2:8" ht="15" customHeight="1">
      <c r="B87" s="238" t="s">
        <v>282</v>
      </c>
      <c r="C87" s="76">
        <f>DCF!C8*Exchange_Rate</f>
        <v>15448470.649105338</v>
      </c>
      <c r="D87" s="223">
        <f>C87*scaling_factor/Common_Shares</f>
        <v>5.9766647958222769</v>
      </c>
      <c r="E87" s="240" t="str">
        <f>Market_currency</f>
        <v>HKD</v>
      </c>
    </row>
    <row r="88" spans="2:8" ht="15" customHeight="1">
      <c r="B88" s="239" t="s">
        <v>185</v>
      </c>
      <c r="C88" s="76">
        <f>DCF!C9*Exchange_Rate</f>
        <v>614932.34118623997</v>
      </c>
      <c r="D88" s="223">
        <f>C88*scaling_factor/Common_Shares</f>
        <v>0.23790345069485674</v>
      </c>
      <c r="E88" s="240" t="str">
        <f>Market_currency</f>
        <v>HKD</v>
      </c>
    </row>
    <row r="89" spans="2:8" ht="15" customHeight="1">
      <c r="B89" s="80" t="s">
        <v>286</v>
      </c>
      <c r="C89" s="180">
        <f>SUM(C86:C88)</f>
        <v>13943295.801461179</v>
      </c>
      <c r="D89" s="242">
        <f>SUM(D86:D88)</f>
        <v>5.3943466021444459</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-158503.81537481552</v>
      </c>
      <c r="E12" s="268"/>
      <c r="G12" s="328">
        <f>G50</f>
        <v>-158503.81537481552</v>
      </c>
      <c r="H12" s="328">
        <f t="shared" ref="H12:Q12" si="6">H50</f>
        <v>-69666.889896411507</v>
      </c>
      <c r="I12" s="328">
        <f t="shared" si="6"/>
        <v>-20574.439074426162</v>
      </c>
      <c r="J12" s="328">
        <f t="shared" si="6"/>
        <v>-80056.403497909574</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3226320.108527319</v>
      </c>
      <c r="E13" s="268"/>
      <c r="G13" s="329">
        <f>IF(G$4="","",SUM(G8:G12))</f>
        <v>3628899.4586251848</v>
      </c>
      <c r="H13" s="329">
        <f t="shared" ref="H13:Q13" si="7">IF(H$4="","",SUM(H8:H12))</f>
        <v>3325902.3841035888</v>
      </c>
      <c r="I13" s="329">
        <f t="shared" si="7"/>
        <v>4239682.9859255739</v>
      </c>
      <c r="J13" s="329">
        <f t="shared" si="7"/>
        <v>4800539.3505020905</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-806580.02713182976</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2419740.0813954892</v>
      </c>
      <c r="D16" s="61"/>
      <c r="E16" s="276"/>
      <c r="F16" s="61"/>
      <c r="G16" s="329">
        <f>IF(G$4="","",SUM(G13:G15))</f>
        <v>2532208.4586251848</v>
      </c>
      <c r="H16" s="329">
        <f t="shared" ref="H16:Q16" si="8">IF(H$4="","",SUM(H13:H15))</f>
        <v>2256643.3841035888</v>
      </c>
      <c r="I16" s="329">
        <f t="shared" si="8"/>
        <v>2888353.9859255739</v>
      </c>
      <c r="J16" s="329">
        <f t="shared" si="8"/>
        <v>3483183.3505020905</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2419740.0813954892</v>
      </c>
      <c r="D19" s="27"/>
      <c r="E19" s="265"/>
      <c r="F19" s="27"/>
      <c r="G19" s="334">
        <f>IF(G$4="","",G16+G17)</f>
        <v>2532208.4586251848</v>
      </c>
      <c r="H19" s="334">
        <f t="shared" ref="H19:Q19" si="9">IF(H$4="","",H16+H17)</f>
        <v>2256643.3841035888</v>
      </c>
      <c r="I19" s="334">
        <f t="shared" si="9"/>
        <v>2888353.9859255739</v>
      </c>
      <c r="J19" s="334">
        <f t="shared" si="9"/>
        <v>3483183.3505020905</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0.30236160623146102</v>
      </c>
      <c r="H43" s="6">
        <f t="shared" si="18"/>
        <v>0.32165432631116586</v>
      </c>
      <c r="I43" s="6">
        <f t="shared" si="18"/>
        <v>0.31887116896413714</v>
      </c>
      <c r="J43" s="6">
        <f t="shared" si="18"/>
        <v>0.27447563642935896</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95917.184625184484</v>
      </c>
      <c r="E48" s="268"/>
      <c r="G48" s="337">
        <f>IFERROR(IF(G$4="","",($C$48/$C$49)*G49),0)</f>
        <v>95917.184625184484</v>
      </c>
      <c r="H48" s="337">
        <f t="shared" ref="H48:Q48" si="19">IFERROR(IF(H$4="","",($C$48/$C$49)*H49),0)</f>
        <v>111779.11010358849</v>
      </c>
      <c r="I48" s="337">
        <f t="shared" si="19"/>
        <v>99986.560925573838</v>
      </c>
      <c r="J48" s="337">
        <f t="shared" si="19"/>
        <v>32401.596502090433</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-158503.81537481552</v>
      </c>
      <c r="E50" s="268"/>
      <c r="G50" s="329">
        <f>IF(G$4="","",(G47+G48))</f>
        <v>-158503.81537481552</v>
      </c>
      <c r="H50" s="329">
        <f t="shared" ref="H50:Q50" si="20">IF(H$4="","",(H47+H48))</f>
        <v>-69666.889896411507</v>
      </c>
      <c r="I50" s="329">
        <f t="shared" si="20"/>
        <v>-20574.439074426162</v>
      </c>
      <c r="J50" s="329">
        <f t="shared" si="20"/>
        <v>-80056.403497909574</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6.0584470645539332E-3</v>
      </c>
      <c r="D80" s="27"/>
      <c r="E80" s="265"/>
      <c r="F80" s="27"/>
      <c r="G80" s="6">
        <f t="shared" ref="G80:Q80" si="31">IF(G$4="","",ABS(G12/G$4))</f>
        <v>5.5274720561563524E-3</v>
      </c>
      <c r="H80" s="6">
        <f t="shared" si="31"/>
        <v>2.5243006908026787E-3</v>
      </c>
      <c r="I80" s="6">
        <f t="shared" si="31"/>
        <v>7.9735432654028972E-4</v>
      </c>
      <c r="J80" s="6">
        <f t="shared" si="31"/>
        <v>3.5466687437529939E-3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0.12331873238885063</v>
      </c>
      <c r="D81" s="27"/>
      <c r="E81" s="265"/>
      <c r="F81" s="27"/>
      <c r="G81" s="65">
        <f t="shared" ref="G81:Q81" si="32">IF(G$4="","",G13/G$4)</f>
        <v>0.12654988969646416</v>
      </c>
      <c r="H81" s="65">
        <f t="shared" si="32"/>
        <v>0.12051029833854281</v>
      </c>
      <c r="I81" s="65">
        <f t="shared" si="32"/>
        <v>0.16430725327471882</v>
      </c>
      <c r="J81" s="65">
        <f t="shared" si="32"/>
        <v>0.21267409131146695</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3.0829683097212658E-2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9.2489049291637968E-2</v>
      </c>
      <c r="D84" s="27"/>
      <c r="E84" s="265"/>
      <c r="F84" s="27"/>
      <c r="G84" s="65">
        <f t="shared" ref="G84:Q84" si="35">IF(G$4="","",ABS(G16/G$4))</f>
        <v>8.8305202384657416E-2</v>
      </c>
      <c r="H84" s="65">
        <f t="shared" si="35"/>
        <v>8.1766911970063458E-2</v>
      </c>
      <c r="I84" s="65">
        <f t="shared" si="35"/>
        <v>0.11193702724660459</v>
      </c>
      <c r="J84" s="65">
        <f t="shared" si="35"/>
        <v>0.1543124219702072</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9.2489049291637968E-2</v>
      </c>
      <c r="D87" s="75"/>
      <c r="E87" s="265"/>
      <c r="F87" s="75"/>
      <c r="G87" s="65">
        <f t="shared" ref="G87:Q87" si="36">IF(G$4="","",ABS(G19/G$4))</f>
        <v>8.8305202384657416E-2</v>
      </c>
      <c r="H87" s="65">
        <f t="shared" si="36"/>
        <v>8.1766911970063458E-2</v>
      </c>
      <c r="I87" s="65">
        <f t="shared" si="36"/>
        <v>0.11193702724660459</v>
      </c>
      <c r="J87" s="65">
        <f t="shared" si="36"/>
        <v>0.1543124219702072</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0.53405456269625218</v>
      </c>
      <c r="E90" s="268"/>
      <c r="G90" s="112">
        <f>Data!C65</f>
        <v>0.53405456269625218</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1380423.1153470182</v>
      </c>
      <c r="E91" s="268"/>
      <c r="G91" s="74">
        <f t="shared" ref="G91:Q91" si="37">IF(G$4="","",G90*Common_Shares/scaling_factor)</f>
        <v>1380423.1153470182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0.57048404742335546</v>
      </c>
      <c r="E92" s="268"/>
      <c r="G92" s="170">
        <f t="shared" ref="G92:Q92" si="38">IF(G$4="","",G90/(G19*scaling_factor/Common_Shares))</f>
        <v>0.54514592218702762</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2.9928337884596947E-2</v>
      </c>
      <c r="E94" s="268"/>
      <c r="G94" s="23">
        <f t="shared" ref="G94:Q94" si="39">IF(G$4="","",(G90*(1-dividend_tax_rate))/Market_Price)</f>
        <v>2.9928337884596947E-2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-0.11093703605951755</v>
      </c>
      <c r="D98" s="27"/>
      <c r="E98" s="265"/>
      <c r="F98" s="27"/>
      <c r="G98" s="6">
        <f t="shared" ref="G98:Q98" si="41">IF(H5="","",G13/H13-1)</f>
        <v>9.1102215137099041E-2</v>
      </c>
      <c r="H98" s="6">
        <f t="shared" si="41"/>
        <v>-0.21553040754590658</v>
      </c>
      <c r="I98" s="6">
        <f t="shared" si="41"/>
        <v>-0.11683194816804421</v>
      </c>
      <c r="J98" s="6">
        <f t="shared" si="41"/>
        <v>1.4633301461159576</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2.0773933679654921</v>
      </c>
      <c r="I115" s="295">
        <f>IF(I$4="","",Data!E$22/I19)</f>
        <v>1.3549599595722284</v>
      </c>
      <c r="J115" s="295">
        <f>IF(J$4="","",Data!F$22/J19)</f>
        <v>1.8733825766189978</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0.12331873238885063</v>
      </c>
      <c r="E118" s="268"/>
      <c r="G118" s="23">
        <f t="shared" ref="G118:Q118" si="45">IF(G4="","",IF(valuation_method="DDM",G13/(G4+G12),G81))</f>
        <v>0.12654988969646416</v>
      </c>
      <c r="H118" s="23">
        <f t="shared" si="45"/>
        <v>0.12051029833854281</v>
      </c>
      <c r="I118" s="23">
        <f t="shared" si="45"/>
        <v>0.16430725327471882</v>
      </c>
      <c r="J118" s="23">
        <f t="shared" si="45"/>
        <v>0.21267409131146695</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0.12359632803345608</v>
      </c>
      <c r="D121" s="103"/>
      <c r="E121" s="271"/>
      <c r="F121" s="103"/>
      <c r="G121" s="102">
        <f t="shared" ref="G121:Q121" si="48">IF(G$4="","",G13/G106)</f>
        <v>0.1390186444002296</v>
      </c>
      <c r="H121" s="102">
        <f t="shared" si="48"/>
        <v>0.13627038575704001</v>
      </c>
      <c r="I121" s="102">
        <f t="shared" si="48"/>
        <v>0.17424361053203732</v>
      </c>
      <c r="J121" s="102">
        <f t="shared" si="48"/>
        <v>0.22746943760766994</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1.025094395963049</v>
      </c>
      <c r="D125" s="27"/>
      <c r="E125" s="265"/>
      <c r="F125" s="27"/>
      <c r="G125" s="177">
        <f t="shared" ref="G125:Q125" si="49">IF(G$4="","",G16*$C$3/Common_Shares*Exchange_Rate)</f>
        <v>1.0727402997969557</v>
      </c>
      <c r="H125" s="177">
        <f t="shared" si="49"/>
        <v>0.95600040042217693</v>
      </c>
      <c r="I125" s="177">
        <f t="shared" si="49"/>
        <v>1.2236171592538552</v>
      </c>
      <c r="J125" s="177">
        <f t="shared" si="49"/>
        <v>1.4756096161585637</v>
      </c>
      <c r="K125" s="177">
        <f t="shared" si="49"/>
        <v>0.59284765146624696</v>
      </c>
      <c r="L125" s="177">
        <f t="shared" si="49"/>
        <v>0.58412891708068537</v>
      </c>
      <c r="M125" s="177">
        <f t="shared" si="49"/>
        <v>0.2512301772872142</v>
      </c>
      <c r="N125" s="177">
        <f t="shared" si="49"/>
        <v>0.19211103918187714</v>
      </c>
      <c r="O125" s="177">
        <f t="shared" si="49"/>
        <v>9.8040052861602722E-2</v>
      </c>
      <c r="P125" s="177">
        <f t="shared" si="49"/>
        <v>5.0976387759422773E-3</v>
      </c>
      <c r="Q125" s="177" t="str">
        <f t="shared" si="49"/>
        <v/>
      </c>
    </row>
    <row r="126" spans="1:17" ht="15.75" customHeight="1">
      <c r="A126" s="10"/>
      <c r="B126" s="27" t="s">
        <v>264</v>
      </c>
      <c r="C126" s="77">
        <f>C19*Exchange_Rate*$C$3/(Market_Price*Common_Shares)</f>
        <v>6.3829040844523607E-2</v>
      </c>
      <c r="D126" s="27"/>
      <c r="E126" s="265"/>
      <c r="F126" s="27"/>
      <c r="G126" s="77">
        <f t="shared" ref="G126" si="50">IF(G$4="","",G125/Market_Price)</f>
        <v>6.6795784545264997E-2</v>
      </c>
      <c r="H126" s="77">
        <f t="shared" ref="H126" si="51">IF(H$4="","",H125/Market_Price)</f>
        <v>5.9526799528155483E-2</v>
      </c>
      <c r="I126" s="77">
        <f t="shared" ref="I126" si="52">IF(I$4="","",I125/Market_Price)</f>
        <v>7.6190358608583766E-2</v>
      </c>
      <c r="J126" s="77">
        <f t="shared" ref="J126" si="53">IF(J$4="","",J125/Market_Price)</f>
        <v>9.1881047083347683E-2</v>
      </c>
      <c r="K126" s="77">
        <f t="shared" ref="K126" si="54">IF(K$4="","",K125/Market_Price)</f>
        <v>3.6914548659168558E-2</v>
      </c>
      <c r="L126" s="77">
        <f t="shared" ref="L126" si="55">IF(L$4="","",L125/Market_Price)</f>
        <v>3.6371663579121132E-2</v>
      </c>
      <c r="M126" s="77">
        <f t="shared" ref="M126" si="56">IF(M$4="","",M125/Market_Price)</f>
        <v>1.5643223990486566E-2</v>
      </c>
      <c r="N126" s="77">
        <f t="shared" ref="N126" si="57">IF(N$4="","",N125/Market_Price)</f>
        <v>1.1962082140839174E-2</v>
      </c>
      <c r="O126" s="77">
        <f t="shared" ref="O126" si="58">IF(O$4="","",O125/Market_Price)</f>
        <v>6.1046110125530968E-3</v>
      </c>
      <c r="P126" s="77">
        <f t="shared" ref="P126" si="59">IF(P$4="","",P125/Market_Price)</f>
        <v>3.1741212801633109E-4</v>
      </c>
      <c r="Q126" s="77" t="str">
        <f t="shared" ref="Q126" si="60">IF(Q$4="","",Q125/Market_Price)</f>
        <v/>
      </c>
    </row>
    <row r="127" spans="1:17" ht="15.75" customHeight="1">
      <c r="B127" s="2" t="s">
        <v>375</v>
      </c>
      <c r="C127" s="169"/>
      <c r="G127" s="23">
        <f>IF(G$4="","",(Data!C47*$C$3)/(Market_Price*Common_Shares))</f>
        <v>7.257970152620459E-2</v>
      </c>
      <c r="H127" s="23">
        <f>IF(H$4="","",(Data!D47*$C$3)/(Market_Price*Common_Shares))</f>
        <v>7.6772335236258024E-2</v>
      </c>
      <c r="I127" s="23">
        <f>IF(I$4="","",(Data!E47*$C$3)/(Market_Price*Common_Shares))</f>
        <v>9.7894229531253749E-2</v>
      </c>
      <c r="J127" s="23">
        <f>IF(J$4="","",(Data!F47*$C$3)/(Market_Price*Common_Shares))</f>
        <v>9.6620304268166507E-2</v>
      </c>
      <c r="K127" s="23">
        <f>IF(K$4="","",(Data!G47*$C$3)/(Market_Price*Common_Shares))</f>
        <v>4.0915637852418849E-2</v>
      </c>
      <c r="L127" s="23">
        <f>IF(L$4="","",(Data!H47*$C$3)/(Market_Price*Common_Shares))</f>
        <v>3.6113611948648761E-2</v>
      </c>
      <c r="M127" s="23">
        <f>IF(M$4="","",(Data!I47*$C$3)/(Market_Price*Common_Shares))</f>
        <v>1.723033121138301E-2</v>
      </c>
      <c r="N127" s="23">
        <f>IF(N$4="","",(Data!J47*$C$3)/(Market_Price*Common_Shares))</f>
        <v>1.240982865771054E-2</v>
      </c>
      <c r="O127" s="23">
        <f>IF(O$4="","",(Data!K47*$C$3)/(Market_Price*Common_Shares))</f>
        <v>1.6883586884531704E-2</v>
      </c>
      <c r="P127" s="23">
        <f>IF(P$4="","",(Data!L47*$C$3)/(Market_Price*Common_Shares))</f>
        <v>1.4840339207777423E-3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2419740.0813954892</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32263201.085273191</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14107945.001425853</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44996581.286699049</v>
      </c>
      <c r="D10" t="str">
        <f>Reporting_currency</f>
        <v>CNY</v>
      </c>
      <c r="H10" s="120"/>
    </row>
    <row r="11" spans="2:8" ht="13.15" thickBot="1">
      <c r="B11" s="207" t="s">
        <v>162</v>
      </c>
      <c r="C11" s="208">
        <f>Exchange_Rate</f>
        <v>1.0950192000000001</v>
      </c>
      <c r="D11" t="str">
        <f>Thesis!C15</f>
        <v>CNY/HKD</v>
      </c>
      <c r="H11" s="120"/>
    </row>
    <row r="12" spans="2:8" ht="13.5" thickTop="1">
      <c r="B12" s="149" t="s">
        <v>99</v>
      </c>
      <c r="C12" s="111">
        <f>(C10*scaling_factor)/Common_Shares*Exchange_Rate</f>
        <v>19.062271881651768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25.599316249763557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2551003.8704413874</v>
      </c>
      <c r="D21" s="138">
        <f>IF($C$17&lt;B21,0,DCF!$C$16)</f>
        <v>5.4247061515052201E-2</v>
      </c>
      <c r="E21" s="124">
        <f t="shared" ref="E21:E50" si="0">IF($C$17&lt;B21,0,1/(1+Equity_Cost)^B21)</f>
        <v>0.93023255813953487</v>
      </c>
      <c r="F21" s="125">
        <f t="shared" ref="F21:F51" si="1">C21*E21</f>
        <v>2373026.8562245462</v>
      </c>
      <c r="H21" s="120"/>
    </row>
    <row r="22" spans="2:17">
      <c r="B22" s="122">
        <v>2</v>
      </c>
      <c r="C22" s="123">
        <f t="shared" ref="C22:C50" si="2">IF(ROW()-ROW($C$21)&lt;$C$17, $C$21*(1+D22)^(ROW()-ROW($C$21)), 0)</f>
        <v>2689388.3343263571</v>
      </c>
      <c r="D22" s="138">
        <f>IF($C$17&lt;B22,0,DCF!$C$16)</f>
        <v>5.4247061515052201E-2</v>
      </c>
      <c r="E22" s="124">
        <f t="shared" si="0"/>
        <v>0.86533261222282321</v>
      </c>
      <c r="F22" s="125">
        <f t="shared" si="1"/>
        <v>2327215.4326242139</v>
      </c>
      <c r="H22" s="120"/>
    </row>
    <row r="23" spans="2:17">
      <c r="B23" s="122">
        <v>3</v>
      </c>
      <c r="C23" s="123">
        <f t="shared" si="2"/>
        <v>2835279.7487364225</v>
      </c>
      <c r="D23" s="138">
        <f>IF($C$17&lt;B23,0,DCF!$C$16)</f>
        <v>5.4247061515052201E-2</v>
      </c>
      <c r="E23" s="124">
        <f t="shared" si="0"/>
        <v>0.80496056950960304</v>
      </c>
      <c r="F23" s="125">
        <f t="shared" si="1"/>
        <v>2282288.401261915</v>
      </c>
      <c r="G23" s="338"/>
      <c r="H23" s="339"/>
      <c r="I23" s="338"/>
      <c r="J23" s="338"/>
      <c r="K23" s="338"/>
      <c r="L23" s="338"/>
      <c r="M23" s="338"/>
      <c r="N23" s="338"/>
      <c r="O23" s="338"/>
      <c r="P23" s="338"/>
      <c r="Q23" s="338"/>
    </row>
    <row r="24" spans="2:17">
      <c r="B24" s="122">
        <v>4</v>
      </c>
      <c r="C24" s="123">
        <f t="shared" si="2"/>
        <v>2989085.3436785089</v>
      </c>
      <c r="D24" s="138">
        <f>IF($C$17&lt;B24,0,DCF!$C$16)</f>
        <v>5.4247061515052201E-2</v>
      </c>
      <c r="E24" s="124">
        <f t="shared" si="0"/>
        <v>0.7488005297763749</v>
      </c>
      <c r="F24" s="125">
        <f t="shared" si="1"/>
        <v>2238228.6888932651</v>
      </c>
      <c r="G24" s="338"/>
      <c r="H24" s="339"/>
      <c r="I24" s="338"/>
      <c r="J24" s="338"/>
      <c r="K24" s="338"/>
      <c r="L24" s="338"/>
      <c r="M24" s="338"/>
      <c r="N24" s="338"/>
      <c r="O24" s="338"/>
      <c r="P24" s="338"/>
      <c r="Q24" s="338"/>
    </row>
    <row r="25" spans="2:17">
      <c r="B25" s="122">
        <v>5</v>
      </c>
      <c r="C25" s="123">
        <f t="shared" si="2"/>
        <v>3151234.4401907772</v>
      </c>
      <c r="D25" s="138">
        <f>IF($C$17&lt;B25,0,DCF!$C$16)</f>
        <v>5.4247061515052201E-2</v>
      </c>
      <c r="E25" s="124">
        <f t="shared" si="0"/>
        <v>0.69655863235011617</v>
      </c>
      <c r="F25" s="125">
        <f t="shared" si="1"/>
        <v>2195019.5518738716</v>
      </c>
      <c r="G25" s="338"/>
      <c r="H25" s="339"/>
      <c r="I25" s="338"/>
      <c r="J25" s="338"/>
      <c r="K25" s="338"/>
      <c r="L25" s="338"/>
      <c r="M25" s="338"/>
      <c r="N25" s="338"/>
      <c r="O25" s="338"/>
      <c r="P25" s="338"/>
      <c r="Q25" s="338"/>
    </row>
    <row r="26" spans="2:17">
      <c r="B26" s="122">
        <v>6</v>
      </c>
      <c r="C26" s="123">
        <f t="shared" si="2"/>
        <v>3322179.6487161573</v>
      </c>
      <c r="D26" s="138">
        <f>IF($C$17&lt;B26,0,DCF!$C$16)</f>
        <v>5.4247061515052201E-2</v>
      </c>
      <c r="E26" s="124">
        <f t="shared" si="0"/>
        <v>0.64796151846522443</v>
      </c>
      <c r="F26" s="125">
        <f t="shared" si="1"/>
        <v>2152644.5697963871</v>
      </c>
      <c r="H26" s="120"/>
    </row>
    <row r="27" spans="2:17">
      <c r="B27" s="122">
        <v>7</v>
      </c>
      <c r="C27" s="123">
        <f t="shared" si="2"/>
        <v>3502398.1324841171</v>
      </c>
      <c r="D27" s="138">
        <f>IF($C$17&lt;B27,0,DCF!$C$16)</f>
        <v>5.4247061515052201E-2</v>
      </c>
      <c r="E27" s="124">
        <f t="shared" si="0"/>
        <v>0.60275490089788319</v>
      </c>
      <c r="F27" s="125">
        <f t="shared" si="1"/>
        <v>2111087.6392503954</v>
      </c>
      <c r="H27" s="120"/>
    </row>
    <row r="28" spans="2:17">
      <c r="B28" s="122">
        <v>8</v>
      </c>
      <c r="C28" s="123">
        <f t="shared" si="2"/>
        <v>3692392.9394271863</v>
      </c>
      <c r="D28" s="138">
        <f>IF($C$17&lt;B28,0,DCF!$C$16)</f>
        <v>5.4247061515052201E-2</v>
      </c>
      <c r="E28" s="124">
        <f t="shared" si="0"/>
        <v>0.56070223339337966</v>
      </c>
      <c r="F28" s="125">
        <f t="shared" si="1"/>
        <v>2070332.9677027694</v>
      </c>
      <c r="H28" s="120"/>
    </row>
    <row r="29" spans="2:17">
      <c r="B29" s="122">
        <v>9</v>
      </c>
      <c r="C29" s="123">
        <f t="shared" si="2"/>
        <v>3892694.4063500366</v>
      </c>
      <c r="D29" s="138">
        <f>IF($C$17&lt;B29,0,DCF!$C$16)</f>
        <v>5.4247061515052201E-2</v>
      </c>
      <c r="E29" s="124">
        <f t="shared" si="0"/>
        <v>0.52158347292407414</v>
      </c>
      <c r="F29" s="125">
        <f t="shared" si="1"/>
        <v>2030365.0674961691</v>
      </c>
      <c r="H29" s="120"/>
    </row>
    <row r="30" spans="2:17">
      <c r="B30" s="122">
        <v>10</v>
      </c>
      <c r="C30" s="123">
        <f t="shared" si="2"/>
        <v>4103861.6392706065</v>
      </c>
      <c r="D30" s="138">
        <f>IF($C$17&lt;B30,0,DCF!$C$16)</f>
        <v>5.4247061515052201E-2</v>
      </c>
      <c r="E30" s="124">
        <f t="shared" si="0"/>
        <v>0.48519392830146441</v>
      </c>
      <c r="F30" s="125">
        <f t="shared" si="1"/>
        <v>1991168.7499633927</v>
      </c>
      <c r="H30" s="120"/>
    </row>
    <row r="31" spans="2:17">
      <c r="B31" s="122">
        <v>11</v>
      </c>
      <c r="C31" s="123">
        <f t="shared" si="2"/>
        <v>4326484.0740653817</v>
      </c>
      <c r="D31" s="138">
        <f>IF($C$17&lt;B31,0,DCF!$C$16)</f>
        <v>5.4247061515052201E-2</v>
      </c>
      <c r="E31" s="124">
        <f t="shared" si="0"/>
        <v>0.45134318911764126</v>
      </c>
      <c r="F31" s="125">
        <f t="shared" si="1"/>
        <v>1952729.1196553546</v>
      </c>
      <c r="H31" s="120"/>
    </row>
    <row r="32" spans="2:17">
      <c r="B32" s="122">
        <v>12</v>
      </c>
      <c r="C32" s="123">
        <f t="shared" si="2"/>
        <v>4561183.1217750991</v>
      </c>
      <c r="D32" s="138">
        <f>IF($C$17&lt;B32,0,DCF!$C$16)</f>
        <v>5.4247061515052201E-2</v>
      </c>
      <c r="E32" s="124">
        <f t="shared" si="0"/>
        <v>0.41985412941175931</v>
      </c>
      <c r="F32" s="125">
        <f t="shared" si="1"/>
        <v>1915031.5686804948</v>
      </c>
      <c r="H32" s="120"/>
    </row>
    <row r="33" spans="2:17">
      <c r="B33" s="122">
        <v>13</v>
      </c>
      <c r="C33" s="341">
        <f t="shared" si="2"/>
        <v>4808613.9031634508</v>
      </c>
      <c r="D33" s="138">
        <f>IF($C$17&lt;B33,0,DCF!$C$16)</f>
        <v>5.4247061515052201E-2</v>
      </c>
      <c r="E33" s="124">
        <f t="shared" si="0"/>
        <v>0.39056198084814819</v>
      </c>
      <c r="F33" s="125">
        <f t="shared" si="1"/>
        <v>1878061.7711534628</v>
      </c>
      <c r="G33" s="338"/>
      <c r="H33" s="339"/>
      <c r="I33" s="338"/>
      <c r="J33" s="338"/>
      <c r="K33" s="338"/>
      <c r="L33" s="338"/>
      <c r="M33" s="338"/>
      <c r="N33" s="338"/>
      <c r="O33" s="338"/>
      <c r="P33" s="338"/>
      <c r="Q33" s="338"/>
    </row>
    <row r="34" spans="2:17">
      <c r="B34" s="122">
        <v>14</v>
      </c>
      <c r="C34" s="341">
        <f t="shared" si="2"/>
        <v>5069467.0773704927</v>
      </c>
      <c r="D34" s="138">
        <f>IF($C$17&lt;B34,0,DCF!$C$16)</f>
        <v>5.4247061515052201E-2</v>
      </c>
      <c r="E34" s="124">
        <f t="shared" si="0"/>
        <v>0.36331347055641694</v>
      </c>
      <c r="F34" s="125">
        <f t="shared" si="1"/>
        <v>1841805.6777509695</v>
      </c>
      <c r="G34" s="338"/>
      <c r="H34" s="339"/>
      <c r="I34" s="338"/>
      <c r="J34" s="338"/>
      <c r="K34" s="338"/>
      <c r="L34" s="338"/>
      <c r="M34" s="338"/>
      <c r="N34" s="338"/>
      <c r="O34" s="338"/>
      <c r="P34" s="338"/>
      <c r="Q34" s="338"/>
    </row>
    <row r="35" spans="2:17">
      <c r="B35" s="122">
        <v>15</v>
      </c>
      <c r="C35" s="341">
        <f t="shared" si="2"/>
        <v>5344470.7697651424</v>
      </c>
      <c r="D35" s="138">
        <f>IF($C$17&lt;B35,0,DCF!$C$16)</f>
        <v>5.4247061515052201E-2</v>
      </c>
      <c r="E35" s="124">
        <f t="shared" si="0"/>
        <v>0.33796601912224833</v>
      </c>
      <c r="F35" s="125">
        <f t="shared" si="1"/>
        <v>1806249.5103727432</v>
      </c>
      <c r="G35" s="338"/>
      <c r="H35" s="339"/>
      <c r="I35" s="338"/>
      <c r="J35" s="338"/>
      <c r="K35" s="338"/>
      <c r="L35" s="338"/>
      <c r="M35" s="338"/>
      <c r="N35" s="338"/>
      <c r="O35" s="338"/>
      <c r="P35" s="338"/>
      <c r="Q35" s="338"/>
    </row>
    <row r="36" spans="2:17">
      <c r="B36" s="122">
        <v>16</v>
      </c>
      <c r="C36" s="123">
        <f t="shared" si="2"/>
        <v>5634392.6043779887</v>
      </c>
      <c r="D36" s="138">
        <f>IF($C$17&lt;B36,0,DCF!$C$16)</f>
        <v>5.4247061515052201E-2</v>
      </c>
      <c r="E36" s="124">
        <f t="shared" si="0"/>
        <v>0.31438699453232405</v>
      </c>
      <c r="F36" s="125">
        <f t="shared" si="1"/>
        <v>1771379.7569055499</v>
      </c>
      <c r="H36" s="120"/>
    </row>
    <row r="37" spans="2:17">
      <c r="B37" s="122">
        <v>17</v>
      </c>
      <c r="C37" s="123">
        <f t="shared" si="2"/>
        <v>5940041.8465876356</v>
      </c>
      <c r="D37" s="138">
        <f>IF($C$17&lt;B37,0,DCF!$C$16)</f>
        <v>5.4247061515052201E-2</v>
      </c>
      <c r="E37" s="124">
        <f t="shared" si="0"/>
        <v>0.29245301816960378</v>
      </c>
      <c r="F37" s="125">
        <f t="shared" si="1"/>
        <v>1737183.1660883005</v>
      </c>
      <c r="H37" s="120"/>
    </row>
    <row r="38" spans="2:17">
      <c r="B38" s="122">
        <v>18</v>
      </c>
      <c r="C38" s="123">
        <f t="shared" si="2"/>
        <v>6262271.6620414583</v>
      </c>
      <c r="D38" s="138">
        <f>IF($C$17&lt;B38,0,DCF!$C$16)</f>
        <v>5.4247061515052201E-2</v>
      </c>
      <c r="E38" s="124">
        <f t="shared" si="0"/>
        <v>0.27204931922753844</v>
      </c>
      <c r="F38" s="125">
        <f t="shared" si="1"/>
        <v>1703646.7424762845</v>
      </c>
      <c r="H38" s="120"/>
    </row>
    <row r="39" spans="2:17">
      <c r="B39" s="122">
        <v>19</v>
      </c>
      <c r="C39" s="123">
        <f t="shared" si="2"/>
        <v>6601981.4981161887</v>
      </c>
      <c r="D39" s="138">
        <f>IF($C$17&lt;B39,0,DCF!$C$16)</f>
        <v>5.4247061515052201E-2</v>
      </c>
      <c r="E39" s="124">
        <f t="shared" si="0"/>
        <v>0.25306913416515198</v>
      </c>
      <c r="F39" s="125">
        <f t="shared" si="1"/>
        <v>1670757.7415026168</v>
      </c>
      <c r="H39" s="120"/>
    </row>
    <row r="40" spans="2:17">
      <c r="B40" s="122">
        <v>20</v>
      </c>
      <c r="C40" s="123">
        <f t="shared" si="2"/>
        <v>6960119.5945657333</v>
      </c>
      <c r="D40" s="138">
        <f>IF($C$17&lt;B40,0,DCF!$C$16)</f>
        <v>5.4247061515052201E-2</v>
      </c>
      <c r="E40" s="124">
        <f t="shared" si="0"/>
        <v>0.23541314806060654</v>
      </c>
      <c r="F40" s="125">
        <f t="shared" si="1"/>
        <v>1638503.6646350317</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34013384.939218499</v>
      </c>
      <c r="D51" s="139">
        <f>Terminal_Growth</f>
        <v>0</v>
      </c>
      <c r="E51" s="124">
        <f>1/(1+Equity_Cost)^C17</f>
        <v>0.23541314806060654</v>
      </c>
      <c r="F51" s="125">
        <f t="shared" si="1"/>
        <v>8007198.0247386489</v>
      </c>
      <c r="H51" s="120"/>
    </row>
    <row r="52" spans="1:17">
      <c r="C52" s="114"/>
      <c r="E52" s="127" t="s">
        <v>97</v>
      </c>
      <c r="F52" s="137">
        <f>SUM(F21:F51)</f>
        <v>47693924.66904638</v>
      </c>
      <c r="H52" s="120"/>
    </row>
    <row r="53" spans="1:17">
      <c r="C53" s="114"/>
      <c r="H53" s="120"/>
    </row>
    <row r="54" spans="1:17" ht="13.15">
      <c r="B54" s="119" t="s">
        <v>125</v>
      </c>
      <c r="C54" s="136"/>
      <c r="D54" s="136"/>
      <c r="E54" s="117"/>
      <c r="F54" s="117"/>
      <c r="H54" s="120"/>
    </row>
    <row r="55" spans="1:17" ht="13.15">
      <c r="A55" s="133">
        <f>F52</f>
        <v>47693924.66904638</v>
      </c>
      <c r="B55" s="131">
        <f>C78</f>
        <v>0</v>
      </c>
      <c r="C55" s="131">
        <f>C77</f>
        <v>0.02</v>
      </c>
      <c r="D55" s="131">
        <f>C76</f>
        <v>0.05</v>
      </c>
      <c r="E55" s="131">
        <f>C75</f>
        <v>0.06</v>
      </c>
      <c r="F55" s="131">
        <f>C74</f>
        <v>0.1</v>
      </c>
      <c r="H55" s="120"/>
    </row>
    <row r="56" spans="1:17" ht="13.15">
      <c r="A56" s="143">
        <v>5</v>
      </c>
      <c r="B56" s="123">
        <f t="dataTable" ref="B56:F61" dt2D="1" dtr="1" r1="C16" r2="C17"/>
        <v>32263201.085273191</v>
      </c>
      <c r="C56" s="123">
        <v>33286283.430251569</v>
      </c>
      <c r="D56" s="123">
        <v>34877198.029820934</v>
      </c>
      <c r="E56" s="123">
        <v>35423171.479195833</v>
      </c>
      <c r="F56" s="123">
        <v>37689962.407434568</v>
      </c>
      <c r="H56" s="120"/>
    </row>
    <row r="57" spans="1:17" ht="13.15">
      <c r="A57" s="143">
        <v>10</v>
      </c>
      <c r="B57" s="123">
        <v>32263201.085273199</v>
      </c>
      <c r="C57" s="123">
        <v>34300800.854491442</v>
      </c>
      <c r="D57" s="123">
        <v>37745196.736611359</v>
      </c>
      <c r="E57" s="123">
        <v>39009142.545437105</v>
      </c>
      <c r="F57" s="123">
        <v>44738026.818126142</v>
      </c>
      <c r="H57" s="120"/>
    </row>
    <row r="58" spans="1:17" ht="13.15">
      <c r="A58" s="143">
        <v>15</v>
      </c>
      <c r="B58" s="123">
        <v>32263201.085273199</v>
      </c>
      <c r="C58" s="341">
        <v>35585298.720061891</v>
      </c>
      <c r="D58" s="123">
        <v>41672828.706425712</v>
      </c>
      <c r="E58" s="123">
        <v>44054796.148566224</v>
      </c>
      <c r="F58" s="123">
        <v>55834592.73514352</v>
      </c>
      <c r="G58" s="338"/>
      <c r="H58" s="339"/>
      <c r="I58" s="338"/>
      <c r="J58" s="338"/>
      <c r="K58" s="338"/>
      <c r="L58" s="338"/>
      <c r="M58" s="338"/>
      <c r="N58" s="338"/>
      <c r="O58" s="338"/>
      <c r="P58" s="338"/>
      <c r="Q58" s="338"/>
    </row>
    <row r="59" spans="1:17" ht="13.15">
      <c r="A59" s="144">
        <v>20</v>
      </c>
      <c r="B59" s="123">
        <v>32263201.085273203</v>
      </c>
      <c r="C59" s="341">
        <v>36924408.700910814</v>
      </c>
      <c r="D59" s="123">
        <v>46124347.704658285</v>
      </c>
      <c r="E59" s="123">
        <v>49944341.577866524</v>
      </c>
      <c r="F59" s="123">
        <v>70504865.936910093</v>
      </c>
      <c r="G59" s="338"/>
      <c r="H59" s="339"/>
      <c r="I59" s="338"/>
      <c r="J59" s="338"/>
      <c r="K59" s="338"/>
      <c r="L59" s="338"/>
      <c r="M59" s="338"/>
      <c r="N59" s="338"/>
      <c r="O59" s="338"/>
      <c r="P59" s="338"/>
      <c r="Q59" s="338"/>
    </row>
    <row r="60" spans="1:17" ht="13.15">
      <c r="A60" s="144">
        <v>25</v>
      </c>
      <c r="B60" s="123">
        <v>32263201.085273199</v>
      </c>
      <c r="C60" s="341">
        <v>38198932.338297665</v>
      </c>
      <c r="D60" s="123">
        <v>50750351.281875975</v>
      </c>
      <c r="E60" s="123">
        <v>56260572.782898173</v>
      </c>
      <c r="F60" s="123">
        <v>88509934.71904327</v>
      </c>
      <c r="G60" s="338"/>
      <c r="H60" s="339"/>
      <c r="I60" s="338"/>
      <c r="J60" s="338"/>
      <c r="K60" s="338"/>
      <c r="L60" s="338"/>
      <c r="M60" s="338"/>
      <c r="N60" s="338"/>
      <c r="O60" s="338"/>
      <c r="P60" s="338"/>
      <c r="Q60" s="338"/>
    </row>
    <row r="61" spans="1:17" ht="13.15">
      <c r="A61" s="144">
        <v>30</v>
      </c>
      <c r="B61" s="123">
        <v>32263201.085273195</v>
      </c>
      <c r="C61" s="341">
        <v>39349541.875781417</v>
      </c>
      <c r="D61" s="123">
        <v>55328597.318370737</v>
      </c>
      <c r="E61" s="123">
        <v>62723813.838700518</v>
      </c>
      <c r="F61" s="123">
        <v>109786377.22077583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19.062271881651768</v>
      </c>
      <c r="C65" s="124">
        <f>C12</f>
        <v>19.062271881651768</v>
      </c>
      <c r="D65" s="124">
        <f>C12</f>
        <v>19.062271881651768</v>
      </c>
      <c r="E65" s="141">
        <f>C12</f>
        <v>19.062271881651768</v>
      </c>
      <c r="F65" s="124">
        <f>C12</f>
        <v>19.062271881651768</v>
      </c>
      <c r="H65" s="120"/>
    </row>
    <row r="66" spans="1:8" ht="13.15">
      <c r="A66" s="143">
        <f t="shared" ref="A66:A71" si="3">A56</f>
        <v>5</v>
      </c>
      <c r="B66" s="124">
        <f t="shared" ref="B66:F71" si="4">(B56-$C$7+$C$8+$C$9)/Common_Shares*$C$3*Exchange_Rate</f>
        <v>19.062271881651764</v>
      </c>
      <c r="C66" s="124">
        <f t="shared" si="4"/>
        <v>19.495688671541551</v>
      </c>
      <c r="D66" s="124">
        <f t="shared" si="4"/>
        <v>20.169660910549069</v>
      </c>
      <c r="E66" s="124">
        <f t="shared" si="4"/>
        <v>20.400956134198069</v>
      </c>
      <c r="F66" s="124">
        <f t="shared" si="4"/>
        <v>21.361255422218008</v>
      </c>
      <c r="H66" s="120"/>
    </row>
    <row r="67" spans="1:8" ht="13.15">
      <c r="A67" s="143">
        <f t="shared" si="3"/>
        <v>10</v>
      </c>
      <c r="B67" s="124">
        <f t="shared" si="4"/>
        <v>19.062271881651768</v>
      </c>
      <c r="C67" s="124">
        <f t="shared" si="4"/>
        <v>19.925477033602068</v>
      </c>
      <c r="D67" s="124">
        <f t="shared" si="4"/>
        <v>21.384654795456171</v>
      </c>
      <c r="E67" s="124">
        <f t="shared" si="4"/>
        <v>21.92011055592819</v>
      </c>
      <c r="F67" s="124">
        <f t="shared" si="4"/>
        <v>24.347084927352235</v>
      </c>
      <c r="H67" s="120"/>
    </row>
    <row r="68" spans="1:8" ht="13.15">
      <c r="A68" s="143">
        <f t="shared" si="3"/>
        <v>15</v>
      </c>
      <c r="B68" s="124">
        <f t="shared" si="4"/>
        <v>19.062271881651768</v>
      </c>
      <c r="C68" s="124">
        <f t="shared" si="4"/>
        <v>20.469639430938312</v>
      </c>
      <c r="D68" s="124">
        <f t="shared" si="4"/>
        <v>23.048549836340086</v>
      </c>
      <c r="E68" s="124">
        <f t="shared" si="4"/>
        <v>24.057642298410023</v>
      </c>
      <c r="F68" s="124">
        <f t="shared" si="4"/>
        <v>29.048014429420487</v>
      </c>
      <c r="H68" s="120"/>
    </row>
    <row r="69" spans="1:8" ht="13.15">
      <c r="A69" s="144">
        <f t="shared" si="3"/>
        <v>20</v>
      </c>
      <c r="B69" s="124">
        <f t="shared" si="4"/>
        <v>19.062271881651768</v>
      </c>
      <c r="C69" s="124">
        <f t="shared" si="4"/>
        <v>21.036937607920507</v>
      </c>
      <c r="D69" s="124">
        <f t="shared" si="4"/>
        <v>24.934383448675675</v>
      </c>
      <c r="E69" s="124">
        <f t="shared" si="4"/>
        <v>26.552678877241139</v>
      </c>
      <c r="F69" s="124">
        <f t="shared" si="4"/>
        <v>35.262902946580965</v>
      </c>
      <c r="H69" s="120"/>
    </row>
    <row r="70" spans="1:8" ht="13.15">
      <c r="A70" s="144">
        <f t="shared" si="3"/>
        <v>25</v>
      </c>
      <c r="B70" s="124">
        <f t="shared" si="4"/>
        <v>19.062271881651768</v>
      </c>
      <c r="C70" s="124">
        <f t="shared" si="4"/>
        <v>21.576874540921278</v>
      </c>
      <c r="D70" s="124">
        <f t="shared" si="4"/>
        <v>26.894135398552891</v>
      </c>
      <c r="E70" s="124">
        <f t="shared" si="4"/>
        <v>29.228475861250605</v>
      </c>
      <c r="F70" s="124">
        <f t="shared" si="4"/>
        <v>42.890538348169088</v>
      </c>
    </row>
    <row r="71" spans="1:8" ht="13.15">
      <c r="A71" s="144">
        <f t="shared" si="3"/>
        <v>30</v>
      </c>
      <c r="B71" s="124">
        <f t="shared" si="4"/>
        <v>19.062271881651764</v>
      </c>
      <c r="C71" s="124">
        <f t="shared" si="4"/>
        <v>22.064316724437123</v>
      </c>
      <c r="D71" s="124">
        <f t="shared" si="4"/>
        <v>28.833655428590269</v>
      </c>
      <c r="E71" s="124">
        <f t="shared" si="4"/>
        <v>31.966551837675446</v>
      </c>
      <c r="F71" s="124">
        <f t="shared" si="4"/>
        <v>51.904052709586708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51.904052709586708</v>
      </c>
      <c r="F74" s="142">
        <f>Scenarios!C58</f>
        <v>0.05</v>
      </c>
    </row>
    <row r="75" spans="1:8">
      <c r="B75" s="127" t="str">
        <f>Scenarios!B36</f>
        <v>Optimistic</v>
      </c>
      <c r="C75" s="142">
        <f>Scenarios!C38</f>
        <v>0.06</v>
      </c>
      <c r="D75" s="145">
        <f>Scenarios!C37</f>
        <v>20</v>
      </c>
      <c r="E75" s="135">
        <f>INDEX(B$65:F$71, MATCH(D75, A$65:A$71, 0), MATCH(C75, B$64:F$64, 0))</f>
        <v>26.552678877241139</v>
      </c>
      <c r="F75" s="142">
        <f>Scenarios!C40*(1-F$74-F$78)</f>
        <v>0.22499999999999992</v>
      </c>
      <c r="H75" s="120"/>
    </row>
    <row r="76" spans="1:8">
      <c r="B76" s="127" t="str">
        <f>Scenarios!B24</f>
        <v>Base</v>
      </c>
      <c r="C76" s="142">
        <f>Scenarios!C26</f>
        <v>0.05</v>
      </c>
      <c r="D76" s="145">
        <f>Scenarios!C25</f>
        <v>20</v>
      </c>
      <c r="E76" s="135">
        <f>INDEX(B$65:F$71, MATCH(D76, A$65:A$71, 0), MATCH(C76, B$64:F$64, 0))</f>
        <v>24.934383448675675</v>
      </c>
      <c r="F76" s="142">
        <f>Scenarios!C28*(1-F$74-F$78)</f>
        <v>0.495</v>
      </c>
      <c r="H76" s="120"/>
    </row>
    <row r="77" spans="1:8">
      <c r="B77" s="127" t="str">
        <f>Scenarios!B30</f>
        <v>Pessimistic</v>
      </c>
      <c r="C77" s="142">
        <f>Scenarios!C32</f>
        <v>0.02</v>
      </c>
      <c r="D77" s="145">
        <f>Scenarios!C31</f>
        <v>20</v>
      </c>
      <c r="E77" s="135">
        <f>INDEX(B$65:F$71, MATCH(D77, A$65:A$71, 0), MATCH(C77, B$64:F$64, 0))</f>
        <v>21.036937607920507</v>
      </c>
      <c r="F77" s="142">
        <f>Scenarios!C34*(1-F$74-F$78)</f>
        <v>0.18</v>
      </c>
      <c r="H77" s="120"/>
    </row>
    <row r="78" spans="1:8">
      <c r="B78" s="127" t="str">
        <f>Scenarios!B48</f>
        <v>Devil's advocate</v>
      </c>
      <c r="C78" s="142">
        <f>Scenarios!C50</f>
        <v>0</v>
      </c>
      <c r="D78" s="145">
        <f>Scenarios!C49</f>
        <v>30</v>
      </c>
      <c r="E78" s="135">
        <f>INDEX(B$65:F$71, MATCH(D78, A$65:A$71, 0), MATCH(C78, B$64:F$64, 0))</f>
        <v>19.062271881651764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1242380.8038123164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16565077.38416422</v>
      </c>
      <c r="D6" t="str">
        <f>Reporting_currency</f>
        <v>CNY</v>
      </c>
      <c r="E6" s="378"/>
      <c r="F6" s="378"/>
      <c r="H6" s="120"/>
    </row>
    <row r="7" spans="2:8" ht="13.15">
      <c r="B7" s="149" t="s">
        <v>421</v>
      </c>
      <c r="C7" s="111">
        <f>(C6*scaling_factor)/Common_Shares*Exchange_Rate</f>
        <v>7.0175999999999989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9.4737622649683395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1309776.311701843</v>
      </c>
      <c r="D16" s="138">
        <f>IF($C$12&lt;B16,0,DDM!$C$11)</f>
        <v>5.4247061515052201E-2</v>
      </c>
      <c r="E16" s="124">
        <f t="shared" ref="E16:E45" si="0">IF($C$12&lt;B16,0,1/(1+Equity_Cost)^B16)</f>
        <v>0.93023255813953487</v>
      </c>
      <c r="F16" s="125">
        <f t="shared" ref="F16:F46" si="1">C16*E16</f>
        <v>1218396.5690249703</v>
      </c>
      <c r="H16" s="120"/>
    </row>
    <row r="17" spans="2:8">
      <c r="B17" s="122">
        <v>2</v>
      </c>
      <c r="C17" s="123">
        <f t="shared" ref="C17:C45" si="2">IF(ROW()-ROW($C$16)&lt;$C$12, $C$16*(1+D17)^(ROW()-ROW($C$16)), 0)</f>
        <v>1380827.8278536911</v>
      </c>
      <c r="D17" s="138">
        <f>IF($C$12&lt;B17,0,DDM!$C$11)</f>
        <v>5.4247061515052201E-2</v>
      </c>
      <c r="E17" s="124">
        <f t="shared" si="0"/>
        <v>0.86533261222282321</v>
      </c>
      <c r="F17" s="125">
        <f t="shared" si="1"/>
        <v>1194875.3513066014</v>
      </c>
      <c r="H17" s="120"/>
    </row>
    <row r="18" spans="2:8">
      <c r="B18" s="122">
        <v>3</v>
      </c>
      <c r="C18" s="123">
        <f t="shared" si="2"/>
        <v>1455733.679972966</v>
      </c>
      <c r="D18" s="138">
        <f>IF($C$12&lt;B18,0,DDM!$C$11)</f>
        <v>5.4247061515052201E-2</v>
      </c>
      <c r="E18" s="124">
        <f t="shared" si="0"/>
        <v>0.80496056950960304</v>
      </c>
      <c r="F18" s="125">
        <f t="shared" si="1"/>
        <v>1171808.2120853488</v>
      </c>
      <c r="H18" s="120"/>
    </row>
    <row r="19" spans="2:8">
      <c r="B19" s="122">
        <v>4</v>
      </c>
      <c r="C19" s="123">
        <f t="shared" si="2"/>
        <v>1534702.9544599925</v>
      </c>
      <c r="D19" s="138">
        <f>IF($C$12&lt;B19,0,DDM!$C$11)</f>
        <v>5.4247061515052201E-2</v>
      </c>
      <c r="E19" s="124">
        <f t="shared" si="0"/>
        <v>0.7488005297763749</v>
      </c>
      <c r="F19" s="125">
        <f t="shared" si="1"/>
        <v>1149186.3853490101</v>
      </c>
      <c r="H19" s="120"/>
    </row>
    <row r="20" spans="2:8">
      <c r="B20" s="122">
        <v>5</v>
      </c>
      <c r="C20" s="123">
        <f t="shared" si="2"/>
        <v>1617956.0800379158</v>
      </c>
      <c r="D20" s="138">
        <f>IF($C$12&lt;B20,0,DDM!$C$11)</f>
        <v>5.4247061515052201E-2</v>
      </c>
      <c r="E20" s="124">
        <f t="shared" si="0"/>
        <v>0.69655863235011617</v>
      </c>
      <c r="F20" s="125">
        <f t="shared" si="1"/>
        <v>1127001.2743137658</v>
      </c>
      <c r="H20" s="120"/>
    </row>
    <row r="21" spans="2:8">
      <c r="B21" s="122">
        <v>6</v>
      </c>
      <c r="C21" s="123">
        <f t="shared" si="2"/>
        <v>1705725.4430403851</v>
      </c>
      <c r="D21" s="138">
        <f>IF($C$12&lt;B21,0,DDM!$C$11)</f>
        <v>5.4247061515052201E-2</v>
      </c>
      <c r="E21" s="124">
        <f t="shared" si="0"/>
        <v>0.64796151846522443</v>
      </c>
      <c r="F21" s="125">
        <f t="shared" si="1"/>
        <v>1105244.4481572157</v>
      </c>
      <c r="H21" s="120"/>
    </row>
    <row r="22" spans="2:8">
      <c r="B22" s="122">
        <v>7</v>
      </c>
      <c r="C22" s="123">
        <f t="shared" si="2"/>
        <v>1798256.0360767867</v>
      </c>
      <c r="D22" s="138">
        <f>IF($C$12&lt;B22,0,DDM!$C$11)</f>
        <v>5.4247061515052201E-2</v>
      </c>
      <c r="E22" s="124">
        <f t="shared" si="0"/>
        <v>0.60275490089788319</v>
      </c>
      <c r="F22" s="125">
        <f t="shared" si="1"/>
        <v>1083907.6388144838</v>
      </c>
      <c r="H22" s="120"/>
    </row>
    <row r="23" spans="2:8">
      <c r="B23" s="122">
        <v>8</v>
      </c>
      <c r="C23" s="123">
        <f t="shared" si="2"/>
        <v>1895806.1418856576</v>
      </c>
      <c r="D23" s="138">
        <f>IF($C$12&lt;B23,0,DDM!$C$11)</f>
        <v>5.4247061515052201E-2</v>
      </c>
      <c r="E23" s="124">
        <f t="shared" si="0"/>
        <v>0.56070223339337966</v>
      </c>
      <c r="F23" s="125">
        <f t="shared" si="1"/>
        <v>1062982.7378361747</v>
      </c>
      <c r="H23" s="120"/>
    </row>
    <row r="24" spans="2:8">
      <c r="B24" s="122">
        <v>9</v>
      </c>
      <c r="C24" s="123">
        <f t="shared" si="2"/>
        <v>1998648.0542851426</v>
      </c>
      <c r="D24" s="138">
        <f>IF($C$12&lt;B24,0,DDM!$C$11)</f>
        <v>5.4247061515052201E-2</v>
      </c>
      <c r="E24" s="124">
        <f t="shared" si="0"/>
        <v>0.52158347292407414</v>
      </c>
      <c r="F24" s="125">
        <f t="shared" si="1"/>
        <v>1042461.7933069881</v>
      </c>
      <c r="H24" s="120"/>
    </row>
    <row r="25" spans="2:8">
      <c r="B25" s="122">
        <v>10</v>
      </c>
      <c r="C25" s="123">
        <f t="shared" si="2"/>
        <v>2107068.8382328879</v>
      </c>
      <c r="D25" s="138">
        <f>IF($C$12&lt;B25,0,DDM!$C$11)</f>
        <v>5.4247061515052201E-2</v>
      </c>
      <c r="E25" s="124">
        <f t="shared" si="0"/>
        <v>0.48519392830146441</v>
      </c>
      <c r="F25" s="125">
        <f t="shared" si="1"/>
        <v>1022337.0068238177</v>
      </c>
      <c r="H25" s="120"/>
    </row>
    <row r="26" spans="2:8">
      <c r="B26" s="122">
        <v>11</v>
      </c>
      <c r="C26" s="123">
        <f t="shared" si="2"/>
        <v>2221371.1311169565</v>
      </c>
      <c r="D26" s="138">
        <f>IF($C$12&lt;B26,0,DDM!$C$11)</f>
        <v>5.4247061515052201E-2</v>
      </c>
      <c r="E26" s="124">
        <f t="shared" si="0"/>
        <v>0.45134318911764126</v>
      </c>
      <c r="F26" s="125">
        <f t="shared" si="1"/>
        <v>1002600.7305321891</v>
      </c>
      <c r="H26" s="120"/>
    </row>
    <row r="27" spans="2:8">
      <c r="B27" s="122">
        <v>12</v>
      </c>
      <c r="C27" s="123">
        <f t="shared" si="2"/>
        <v>2341873.9875144185</v>
      </c>
      <c r="D27" s="138">
        <f>IF($C$12&lt;B27,0,DDM!$C$11)</f>
        <v>5.4247061515052201E-2</v>
      </c>
      <c r="E27" s="124">
        <f t="shared" si="0"/>
        <v>0.41985412941175931</v>
      </c>
      <c r="F27" s="125">
        <f t="shared" si="1"/>
        <v>983245.46421991149</v>
      </c>
      <c r="H27" s="120"/>
    </row>
    <row r="28" spans="2:8">
      <c r="B28" s="122">
        <v>13</v>
      </c>
      <c r="C28" s="123">
        <f t="shared" si="2"/>
        <v>2468913.7697756137</v>
      </c>
      <c r="D28" s="138">
        <f>IF($C$12&lt;B28,0,DDM!$C$11)</f>
        <v>5.4247061515052201E-2</v>
      </c>
      <c r="E28" s="124">
        <f t="shared" si="0"/>
        <v>0.39056198084814819</v>
      </c>
      <c r="F28" s="125">
        <f t="shared" si="1"/>
        <v>964263.85246683261</v>
      </c>
      <c r="H28" s="120"/>
    </row>
    <row r="29" spans="2:8">
      <c r="B29" s="122">
        <v>14</v>
      </c>
      <c r="C29" s="123">
        <f t="shared" si="2"/>
        <v>2602845.0869199908</v>
      </c>
      <c r="D29" s="138">
        <f>IF($C$12&lt;B29,0,DDM!$C$11)</f>
        <v>5.4247061515052201E-2</v>
      </c>
      <c r="E29" s="124">
        <f t="shared" si="0"/>
        <v>0.36331347055641694</v>
      </c>
      <c r="F29" s="125">
        <f t="shared" si="1"/>
        <v>945648.68184962054</v>
      </c>
      <c r="H29" s="120"/>
    </row>
    <row r="30" spans="2:8">
      <c r="B30" s="122">
        <v>15</v>
      </c>
      <c r="C30" s="123">
        <f t="shared" si="2"/>
        <v>2744041.7844642908</v>
      </c>
      <c r="D30" s="138">
        <f>IF($C$12&lt;B30,0,DDM!$C$11)</f>
        <v>5.4247061515052201E-2</v>
      </c>
      <c r="E30" s="124">
        <f t="shared" si="0"/>
        <v>0.33796601912224833</v>
      </c>
      <c r="F30" s="125">
        <f t="shared" si="1"/>
        <v>927392.87820050691</v>
      </c>
      <c r="H30" s="120"/>
    </row>
    <row r="31" spans="2:8">
      <c r="B31" s="122">
        <v>16</v>
      </c>
      <c r="C31" s="123">
        <f t="shared" si="2"/>
        <v>2892897.9879459986</v>
      </c>
      <c r="D31" s="138">
        <f>IF($C$12&lt;B31,0,DDM!$C$11)</f>
        <v>5.4247061515052201E-2</v>
      </c>
      <c r="E31" s="124">
        <f t="shared" si="0"/>
        <v>0.31438699453232405</v>
      </c>
      <c r="F31" s="125">
        <f t="shared" si="1"/>
        <v>909489.50391894986</v>
      </c>
      <c r="H31" s="120"/>
    </row>
    <row r="32" spans="2:8">
      <c r="B32" s="122">
        <v>17</v>
      </c>
      <c r="C32" s="123">
        <f t="shared" si="2"/>
        <v>3049829.2030548751</v>
      </c>
      <c r="D32" s="138">
        <f>IF($C$12&lt;B32,0,DDM!$C$11)</f>
        <v>5.4247061515052201E-2</v>
      </c>
      <c r="E32" s="124">
        <f t="shared" si="0"/>
        <v>0.29245301816960378</v>
      </c>
      <c r="F32" s="125">
        <f t="shared" si="1"/>
        <v>891931.75533519557</v>
      </c>
      <c r="H32" s="120"/>
    </row>
    <row r="33" spans="2:8">
      <c r="B33" s="122">
        <v>18</v>
      </c>
      <c r="C33" s="123">
        <f t="shared" si="2"/>
        <v>3215273.4754433953</v>
      </c>
      <c r="D33" s="138">
        <f>IF($C$12&lt;B33,0,DDM!$C$11)</f>
        <v>5.4247061515052201E-2</v>
      </c>
      <c r="E33" s="124">
        <f t="shared" si="0"/>
        <v>0.27204931922753844</v>
      </c>
      <c r="F33" s="125">
        <f t="shared" si="1"/>
        <v>874712.96012473723</v>
      </c>
      <c r="H33" s="120"/>
    </row>
    <row r="34" spans="2:8">
      <c r="B34" s="122">
        <v>19</v>
      </c>
      <c r="C34" s="123">
        <f t="shared" si="2"/>
        <v>3389692.6134534883</v>
      </c>
      <c r="D34" s="138">
        <f>IF($C$12&lt;B34,0,DDM!$C$11)</f>
        <v>5.4247061515052201E-2</v>
      </c>
      <c r="E34" s="124">
        <f t="shared" si="0"/>
        <v>0.25306913416515198</v>
      </c>
      <c r="F34" s="125">
        <f t="shared" si="1"/>
        <v>857826.57477268553</v>
      </c>
      <c r="H34" s="120"/>
    </row>
    <row r="35" spans="2:8">
      <c r="B35" s="122">
        <v>20</v>
      </c>
      <c r="C35" s="123">
        <f t="shared" si="2"/>
        <v>3573573.4771726169</v>
      </c>
      <c r="D35" s="138">
        <f>IF($C$12&lt;B35,0,DDM!$C$11)</f>
        <v>5.4247061515052201E-2</v>
      </c>
      <c r="E35" s="124">
        <f t="shared" si="0"/>
        <v>0.23541314806060654</v>
      </c>
      <c r="F35" s="125">
        <f t="shared" si="1"/>
        <v>841266.18208709382</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17463684.156024575</v>
      </c>
      <c r="D46" s="139">
        <f>Terminal_Growth</f>
        <v>0</v>
      </c>
      <c r="E46" s="124">
        <f>1/(1+Equity_Cost)^C12</f>
        <v>0.23541314806060654</v>
      </c>
      <c r="F46" s="125">
        <f t="shared" si="1"/>
        <v>4111180.863905882</v>
      </c>
      <c r="H46" s="120"/>
    </row>
    <row r="47" spans="2:8">
      <c r="C47" s="114"/>
      <c r="E47" s="127" t="s">
        <v>97</v>
      </c>
      <c r="F47" s="137">
        <f>SUM(F16:F46)</f>
        <v>24487760.864431981</v>
      </c>
      <c r="H47" s="120"/>
    </row>
    <row r="48" spans="2:8">
      <c r="C48" s="114"/>
      <c r="H48" s="120"/>
    </row>
    <row r="49" spans="1:8" ht="13.15">
      <c r="B49" s="119" t="s">
        <v>125</v>
      </c>
      <c r="C49" s="136"/>
      <c r="D49" s="136"/>
      <c r="E49" s="117"/>
      <c r="F49" s="117"/>
      <c r="H49" s="120"/>
    </row>
    <row r="50" spans="1:8" ht="13.15">
      <c r="A50" s="133">
        <f>F47</f>
        <v>24487760.864431981</v>
      </c>
      <c r="B50" s="131">
        <f>C73</f>
        <v>0</v>
      </c>
      <c r="C50" s="131">
        <f>C72</f>
        <v>0.02</v>
      </c>
      <c r="D50" s="131">
        <f>C71</f>
        <v>0.05</v>
      </c>
      <c r="E50" s="131">
        <f>C70</f>
        <v>0.06</v>
      </c>
      <c r="F50" s="131">
        <f>C69</f>
        <v>0.1</v>
      </c>
      <c r="H50" s="120"/>
    </row>
    <row r="51" spans="1:8" ht="13.15">
      <c r="A51" s="143">
        <v>5</v>
      </c>
      <c r="B51" s="123">
        <f t="dataTable" ref="B51:F56" dt2D="1" dtr="1" r1="C11" r2="C12"/>
        <v>16565077.384164222</v>
      </c>
      <c r="C51" s="123">
        <v>17090364.325473797</v>
      </c>
      <c r="D51" s="123">
        <v>17907196.585354313</v>
      </c>
      <c r="E51" s="123">
        <v>18187518.81422089</v>
      </c>
      <c r="F51" s="123">
        <v>19351370.071284652</v>
      </c>
      <c r="H51" s="120"/>
    </row>
    <row r="52" spans="1:8" ht="13.15">
      <c r="A52" s="143">
        <v>10</v>
      </c>
      <c r="B52" s="123">
        <v>16565077.384164225</v>
      </c>
      <c r="C52" s="123">
        <v>17611253.731199495</v>
      </c>
      <c r="D52" s="123">
        <v>19379729.34458359</v>
      </c>
      <c r="E52" s="123">
        <v>20028684.173252016</v>
      </c>
      <c r="F52" s="123">
        <v>22970097.551645298</v>
      </c>
      <c r="H52" s="120"/>
    </row>
    <row r="53" spans="1:8" ht="13.15">
      <c r="A53" s="143">
        <v>15</v>
      </c>
      <c r="B53" s="123">
        <v>16565077.384164223</v>
      </c>
      <c r="C53" s="123">
        <v>18270760.718331054</v>
      </c>
      <c r="D53" s="123">
        <v>21396315.589219742</v>
      </c>
      <c r="E53" s="123">
        <v>22619302.573720418</v>
      </c>
      <c r="F53" s="123">
        <v>28667470.004801419</v>
      </c>
      <c r="H53" s="120"/>
    </row>
    <row r="54" spans="1:8" ht="13.15">
      <c r="A54" s="144">
        <v>20</v>
      </c>
      <c r="B54" s="123">
        <v>16565077.384164225</v>
      </c>
      <c r="C54" s="123">
        <v>18958307.511968791</v>
      </c>
      <c r="D54" s="123">
        <v>23681884.106984053</v>
      </c>
      <c r="E54" s="123">
        <v>25643205.11631228</v>
      </c>
      <c r="F54" s="123">
        <v>36199711.154456578</v>
      </c>
      <c r="H54" s="120"/>
    </row>
    <row r="55" spans="1:8" ht="13.15">
      <c r="A55" s="144">
        <v>25</v>
      </c>
      <c r="B55" s="123">
        <v>16565077.384164225</v>
      </c>
      <c r="C55" s="123">
        <v>19612693.374842659</v>
      </c>
      <c r="D55" s="123">
        <v>26057039.226697519</v>
      </c>
      <c r="E55" s="123">
        <v>28886183.344389621</v>
      </c>
      <c r="F55" s="123">
        <v>45444155.216127105</v>
      </c>
      <c r="H55" s="120"/>
    </row>
    <row r="56" spans="1:8" ht="13.15">
      <c r="A56" s="144">
        <v>30</v>
      </c>
      <c r="B56" s="123">
        <v>16565077.384164223</v>
      </c>
      <c r="C56" s="123">
        <v>20203457.322195537</v>
      </c>
      <c r="D56" s="123">
        <v>28407673.922797039</v>
      </c>
      <c r="E56" s="123">
        <v>32204641.669677854</v>
      </c>
      <c r="F56" s="123">
        <v>56368239.14596992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7.0175999999999989</v>
      </c>
      <c r="C60" s="124">
        <f>C7</f>
        <v>7.0175999999999989</v>
      </c>
      <c r="D60" s="124">
        <f>C7</f>
        <v>7.0175999999999989</v>
      </c>
      <c r="E60" s="141">
        <f>C7</f>
        <v>7.0175999999999989</v>
      </c>
      <c r="F60" s="124">
        <f>C7</f>
        <v>7.0175999999999989</v>
      </c>
      <c r="H60" s="120"/>
    </row>
    <row r="61" spans="1:8" ht="13.15">
      <c r="A61" s="143">
        <f t="shared" ref="A61:A66" si="3">A51</f>
        <v>5</v>
      </c>
      <c r="B61" s="124">
        <f t="shared" ref="B61:F66" si="4">B51/Common_Shares*$C$3*Exchange_Rate</f>
        <v>7.0175999999999998</v>
      </c>
      <c r="C61" s="124">
        <f t="shared" si="4"/>
        <v>7.2401316280658037</v>
      </c>
      <c r="D61" s="124">
        <f t="shared" si="4"/>
        <v>7.5861729977497943</v>
      </c>
      <c r="E61" s="124">
        <f t="shared" si="4"/>
        <v>7.7049282095530724</v>
      </c>
      <c r="F61" s="124">
        <f t="shared" si="4"/>
        <v>8.1979800916637178</v>
      </c>
      <c r="H61" s="120"/>
    </row>
    <row r="62" spans="1:8" ht="13.15">
      <c r="A62" s="143">
        <f t="shared" si="3"/>
        <v>10</v>
      </c>
      <c r="B62" s="124">
        <f t="shared" si="4"/>
        <v>7.0176000000000007</v>
      </c>
      <c r="C62" s="124">
        <f t="shared" si="4"/>
        <v>7.460800291957173</v>
      </c>
      <c r="D62" s="124">
        <f t="shared" si="4"/>
        <v>8.2099941639005838</v>
      </c>
      <c r="E62" s="124">
        <f t="shared" si="4"/>
        <v>8.4849162364057893</v>
      </c>
      <c r="F62" s="124">
        <f t="shared" si="4"/>
        <v>9.7310113825682567</v>
      </c>
      <c r="H62" s="120"/>
    </row>
    <row r="63" spans="1:8" ht="13.15">
      <c r="A63" s="143">
        <f t="shared" si="3"/>
        <v>15</v>
      </c>
      <c r="B63" s="124">
        <f t="shared" si="4"/>
        <v>7.0176000000000007</v>
      </c>
      <c r="C63" s="124">
        <f t="shared" si="4"/>
        <v>7.7401926621563488</v>
      </c>
      <c r="D63" s="124">
        <f t="shared" si="4"/>
        <v>9.064297183570579</v>
      </c>
      <c r="E63" s="124">
        <f t="shared" si="4"/>
        <v>9.5824012203580278</v>
      </c>
      <c r="F63" s="124">
        <f t="shared" si="4"/>
        <v>12.144636142660836</v>
      </c>
      <c r="H63" s="120"/>
    </row>
    <row r="64" spans="1:8" ht="13.15">
      <c r="A64" s="144">
        <f t="shared" si="3"/>
        <v>20</v>
      </c>
      <c r="B64" s="124">
        <f t="shared" si="4"/>
        <v>7.0176000000000007</v>
      </c>
      <c r="C64" s="124">
        <f t="shared" si="4"/>
        <v>8.0314637662469757</v>
      </c>
      <c r="D64" s="124">
        <f t="shared" si="4"/>
        <v>10.03255137630957</v>
      </c>
      <c r="E64" s="124">
        <f t="shared" si="4"/>
        <v>10.863441929722834</v>
      </c>
      <c r="F64" s="124">
        <f t="shared" si="4"/>
        <v>15.335581422660022</v>
      </c>
      <c r="H64" s="120"/>
    </row>
    <row r="65" spans="1:8" ht="13.15">
      <c r="A65" s="144">
        <f t="shared" si="3"/>
        <v>25</v>
      </c>
      <c r="B65" s="124">
        <f t="shared" si="4"/>
        <v>7.0176000000000007</v>
      </c>
      <c r="C65" s="124">
        <f t="shared" si="4"/>
        <v>8.3086866324494419</v>
      </c>
      <c r="D65" s="124">
        <f t="shared" si="4"/>
        <v>11.038757878190165</v>
      </c>
      <c r="E65" s="124">
        <f t="shared" si="4"/>
        <v>12.237291473891673</v>
      </c>
      <c r="F65" s="124">
        <f t="shared" si="4"/>
        <v>19.251881307210919</v>
      </c>
    </row>
    <row r="66" spans="1:8" ht="13.15">
      <c r="A66" s="144">
        <f t="shared" si="3"/>
        <v>30</v>
      </c>
      <c r="B66" s="124">
        <f t="shared" si="4"/>
        <v>7.0176000000000007</v>
      </c>
      <c r="C66" s="124">
        <f t="shared" si="4"/>
        <v>8.5589568232127409</v>
      </c>
      <c r="D66" s="124">
        <f t="shared" si="4"/>
        <v>12.034576591305115</v>
      </c>
      <c r="E66" s="124">
        <f t="shared" si="4"/>
        <v>13.643117272556823</v>
      </c>
      <c r="F66" s="124">
        <f t="shared" si="4"/>
        <v>23.879740846179974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10.863441929722834</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v>
      </c>
      <c r="F71" s="142">
        <f>Scenarios!C28*(1-F$69-F$73)</f>
        <v>0.495</v>
      </c>
      <c r="H71" s="120"/>
    </row>
    <row r="72" spans="1:8">
      <c r="B72" s="127" t="str">
        <f>Scenarios!B30</f>
        <v>Pessimistic</v>
      </c>
      <c r="C72" s="142">
        <f>Scenarios!C32</f>
        <v>0.02</v>
      </c>
      <c r="D72" s="145">
        <f>Scenarios!C31</f>
        <v>20</v>
      </c>
      <c r="E72" s="135">
        <f>INDEX(B$60:F$66, MATCH(D72, A$60:A$66, 0), MATCH(C72, B$59:F$59, 0))</f>
        <v>8.0314637662469757</v>
      </c>
      <c r="F72" s="142">
        <f>Scenarios!C34*(1-F$69-F$73)</f>
        <v>0.18</v>
      </c>
      <c r="H72" s="120"/>
    </row>
    <row r="73" spans="1:8">
      <c r="B73" s="127" t="str">
        <f>Scenarios!B48</f>
        <v>Devil's advocate</v>
      </c>
      <c r="C73" s="142">
        <f>Scenarios!C50</f>
        <v>0</v>
      </c>
      <c r="D73" s="145">
        <f>Scenarios!C49</f>
        <v>30</v>
      </c>
      <c r="E73" s="135">
        <f>INDEX(B$60:F$66, MATCH(D73, A$60:A$66, 0), MATCH(C73, B$59:F$59, 0))</f>
        <v>7.0176000000000007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-16.059999999999999</v>
      </c>
    </row>
    <row r="4" spans="2:9">
      <c r="B4" s="152" t="s">
        <v>142</v>
      </c>
      <c r="C4" s="120">
        <v>3</v>
      </c>
      <c r="D4" s="120"/>
      <c r="E4" s="155" t="s">
        <v>146</v>
      </c>
      <c r="F4" s="155"/>
      <c r="H4" s="247">
        <v>1</v>
      </c>
      <c r="I4" s="124">
        <f t="shared" ref="I4:I13" si="0">IF(ROW()-3 &lt; $C$76, $C$77, IF(ROW()-3 = $C$76, $C$77 + $C$60, ""))</f>
        <v>0.48064910642662695</v>
      </c>
    </row>
    <row r="5" spans="2:9">
      <c r="H5" s="247">
        <v>2</v>
      </c>
      <c r="I5" s="124">
        <f t="shared" si="0"/>
        <v>0.48064910642662695</v>
      </c>
    </row>
    <row r="6" spans="2:9" ht="13.15">
      <c r="B6" s="159" t="s">
        <v>92</v>
      </c>
      <c r="C6" s="107">
        <f>DCF!C3</f>
        <v>1000</v>
      </c>
      <c r="E6" s="100" t="s">
        <v>274</v>
      </c>
      <c r="F6" s="100"/>
      <c r="H6" s="247">
        <v>3</v>
      </c>
      <c r="I6" s="124">
        <f t="shared" si="0"/>
        <v>26.132486659887956</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2532208.4586251848</v>
      </c>
      <c r="D8" t="str">
        <f>Reporting_currency</f>
        <v>CNY</v>
      </c>
      <c r="E8" s="380"/>
      <c r="F8" s="380"/>
      <c r="H8" s="247">
        <v>5</v>
      </c>
      <c r="I8" s="124" t="str">
        <f t="shared" si="0"/>
        <v/>
      </c>
    </row>
    <row r="9" spans="2:9">
      <c r="B9" s="100" t="s">
        <v>55</v>
      </c>
      <c r="C9" s="338">
        <f>Normalized_FCF!C19</f>
        <v>2419740.0813954892</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-0.10083159178545098</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16.059999999999999</v>
      </c>
      <c r="D21" t="str">
        <f>Market_currency</f>
        <v>HKD</v>
      </c>
      <c r="E21" s="381"/>
      <c r="F21" s="381"/>
    </row>
    <row r="22" spans="2:6">
      <c r="B22" s="100" t="s">
        <v>273</v>
      </c>
      <c r="C22" s="160">
        <f>IF(valuation_method="DCF",DCF!C12,DDM!C7)</f>
        <v>19.062271881651768</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24.934383448675675</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21.036937607920507</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26.552678877241139</v>
      </c>
      <c r="D39" t="str">
        <f>Market_currency</f>
        <v>HKD</v>
      </c>
      <c r="E39" s="379"/>
      <c r="F39" s="379"/>
    </row>
    <row r="40" spans="2:6">
      <c r="B40" s="100" t="s">
        <v>143</v>
      </c>
      <c r="C40" s="167">
        <f>1-C28-C34</f>
        <v>0.24999999999999994</v>
      </c>
      <c r="D40" s="165"/>
      <c r="E40" s="379"/>
      <c r="F40" s="379"/>
    </row>
    <row r="42" spans="2:6" ht="13.15">
      <c r="B42" s="100" t="s">
        <v>116</v>
      </c>
      <c r="C42" s="154">
        <f>C27*C28+C33*C34+C39*C40</f>
        <v>24.559468137666009</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19.062271881651764</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51.904052709586708</v>
      </c>
      <c r="D57" t="str">
        <f>Market_currency</f>
        <v>HKD</v>
      </c>
      <c r="E57" s="379"/>
      <c r="F57" s="379"/>
    </row>
    <row r="58" spans="2:6">
      <c r="B58" s="100" t="s">
        <v>143</v>
      </c>
      <c r="C58" s="165">
        <v>0.05</v>
      </c>
      <c r="D58" s="165"/>
      <c r="E58" s="379"/>
      <c r="F58" s="379"/>
    </row>
    <row r="60" spans="2:6" ht="13.15">
      <c r="B60" s="100" t="s">
        <v>116</v>
      </c>
      <c r="C60" s="154">
        <f>C51*C52+C57*C58+C42*(1-C52-C58)</f>
        <v>25.651837553461331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25.599316249763557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0.21029084528163011</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0.48064910642662695</v>
      </c>
      <c r="D77" t="str">
        <f>Market_currency</f>
        <v>HKD</v>
      </c>
    </row>
    <row r="79" spans="2:6" ht="13.15">
      <c r="B79" s="109" t="s">
        <v>296</v>
      </c>
    </row>
    <row r="80" spans="2:6">
      <c r="B80" s="148" t="s">
        <v>294</v>
      </c>
      <c r="C80" s="167">
        <f>Thesis!F29</f>
        <v>0.35</v>
      </c>
    </row>
    <row r="81" spans="2:8">
      <c r="B81" s="100" t="s">
        <v>117</v>
      </c>
      <c r="C81" s="116">
        <f>PV(C80, C76, -C77, 0)</f>
        <v>0.81512305911298122</v>
      </c>
      <c r="D81" s="116"/>
      <c r="E81" s="100"/>
      <c r="F81" s="100"/>
    </row>
    <row r="82" spans="2:8">
      <c r="B82" s="100" t="s">
        <v>118</v>
      </c>
      <c r="C82" s="116">
        <f>C60/(1+C80)^C76</f>
        <v>10.42598691397097</v>
      </c>
      <c r="D82" s="116"/>
    </row>
    <row r="83" spans="2:8" ht="13.15">
      <c r="B83" s="110" t="s">
        <v>98</v>
      </c>
      <c r="C83" s="111">
        <f>C81+C82</f>
        <v>11.241109973083951</v>
      </c>
      <c r="D83" t="str">
        <f>Market_currency</f>
        <v>HKD</v>
      </c>
      <c r="E83" s="146" t="s">
        <v>122</v>
      </c>
      <c r="F83" s="291">
        <f>(1-C83/C60)</f>
        <v>0.56178149227492158</v>
      </c>
    </row>
    <row r="84" spans="2:8">
      <c r="E84" s="120"/>
    </row>
    <row r="85" spans="2:8" ht="13.15">
      <c r="B85" s="109" t="s">
        <v>297</v>
      </c>
    </row>
    <row r="86" spans="2:8">
      <c r="B86" s="148" t="s">
        <v>295</v>
      </c>
      <c r="C86" s="116">
        <f>Market_Price</f>
        <v>16.059999999999999</v>
      </c>
      <c r="D86" t="str">
        <f>Market_currency</f>
        <v>HKD</v>
      </c>
    </row>
    <row r="87" spans="2:8" ht="13.15">
      <c r="B87" s="100" t="s">
        <v>293</v>
      </c>
      <c r="C87" s="237">
        <f ca="1">IRR(OFFSET($I$3, 0, 0, $C$76 + 1, 1))</f>
        <v>0.19480664441331208</v>
      </c>
    </row>
    <row r="88" spans="2:8">
      <c r="B88" s="100"/>
    </row>
    <row r="89" spans="2:8" ht="13.15">
      <c r="B89" s="109" t="s">
        <v>392</v>
      </c>
    </row>
    <row r="90" spans="2:8">
      <c r="B90" s="148" t="s">
        <v>393</v>
      </c>
      <c r="C90" s="167">
        <f>Thesis!F30</f>
        <v>0.25</v>
      </c>
    </row>
    <row r="91" spans="2:8">
      <c r="B91" s="100" t="s">
        <v>117</v>
      </c>
      <c r="C91" s="116">
        <f>PV(C90, C76, -C77, 0)</f>
        <v>0.93822705574477583</v>
      </c>
      <c r="D91" s="116"/>
      <c r="E91" s="100"/>
      <c r="F91" s="100"/>
    </row>
    <row r="92" spans="2:8">
      <c r="B92" s="100" t="s">
        <v>118</v>
      </c>
      <c r="C92" s="116">
        <f>C60/(1+C90)^C76</f>
        <v>13.1337408273722</v>
      </c>
      <c r="D92" s="116"/>
    </row>
    <row r="93" spans="2:8" ht="13.15">
      <c r="B93" s="110" t="s">
        <v>98</v>
      </c>
      <c r="C93" s="111">
        <f>C91+C92</f>
        <v>14.071967883116976</v>
      </c>
      <c r="D93" t="str">
        <f>Market_currency</f>
        <v>HKD</v>
      </c>
      <c r="E93" s="146" t="s">
        <v>122</v>
      </c>
      <c r="F93" s="291">
        <f>(1-C93/C60)</f>
        <v>0.45142456739056591</v>
      </c>
    </row>
    <row r="95" spans="2:8" ht="13.15">
      <c r="B95" s="109" t="s">
        <v>378</v>
      </c>
      <c r="G95" s="2"/>
      <c r="H95" s="281"/>
    </row>
    <row r="96" spans="2:8">
      <c r="B96" s="148" t="s">
        <v>383</v>
      </c>
      <c r="C96" s="134">
        <f>Thesis!F31</f>
        <v>7.4999999999999997E-2</v>
      </c>
      <c r="G96" s="2"/>
      <c r="H96" s="281"/>
    </row>
    <row r="97" spans="2:8">
      <c r="B97" s="100" t="s">
        <v>117</v>
      </c>
      <c r="C97" s="116">
        <f>PV(C96, C76, -C77, 0)</f>
        <v>1.2499403731089005</v>
      </c>
      <c r="D97" s="116"/>
      <c r="G97" s="2"/>
      <c r="H97" s="281"/>
    </row>
    <row r="98" spans="2:8">
      <c r="B98" s="100" t="s">
        <v>118</v>
      </c>
      <c r="C98" s="116">
        <f>C60/(1+C96)^C76</f>
        <v>20.648717766002054</v>
      </c>
      <c r="D98" s="116"/>
      <c r="G98" s="2"/>
      <c r="H98" s="281"/>
    </row>
    <row r="99" spans="2:8" ht="13.15">
      <c r="B99" s="110" t="s">
        <v>379</v>
      </c>
      <c r="C99" s="111">
        <f>C97+C98</f>
        <v>21.898658139110953</v>
      </c>
      <c r="D99" t="s">
        <v>377</v>
      </c>
      <c r="E99" s="146" t="s">
        <v>122</v>
      </c>
      <c r="F99" s="291">
        <f>(1-C99/C60)</f>
        <v>0.14631230244337567</v>
      </c>
    </row>
    <row r="100" spans="2:8">
      <c r="B100" s="100"/>
    </row>
    <row r="101" spans="2:8" ht="13.15">
      <c r="B101" s="109" t="s">
        <v>399</v>
      </c>
    </row>
    <row r="102" spans="2:8">
      <c r="B102" s="148" t="s">
        <v>398</v>
      </c>
      <c r="C102" s="134">
        <f>Thesis!F32</f>
        <v>0.1174</v>
      </c>
    </row>
    <row r="103" spans="2:8">
      <c r="B103" s="100" t="s">
        <v>117</v>
      </c>
      <c r="C103" s="116">
        <f>PV(C102, C76, -C77, 0)</f>
        <v>1.1596155366444987</v>
      </c>
      <c r="D103" s="116"/>
    </row>
    <row r="104" spans="2:8">
      <c r="B104" s="100" t="s">
        <v>118</v>
      </c>
      <c r="C104" s="116">
        <f>C60/(1+C102)^C76</f>
        <v>18.386221166370817</v>
      </c>
      <c r="D104" s="116"/>
    </row>
    <row r="105" spans="2:8" ht="13.15">
      <c r="B105" s="110" t="s">
        <v>379</v>
      </c>
      <c r="C105" s="111">
        <f>C103+C104</f>
        <v>19.545836703015315</v>
      </c>
      <c r="D105" t="s">
        <v>377</v>
      </c>
      <c r="E105" s="146" t="s">
        <v>122</v>
      </c>
      <c r="F105" s="291">
        <f>(1-C105/C66)</f>
        <v>0.23647036068020588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A689D-BEE8-4828-8A88-F46DA1A74ED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