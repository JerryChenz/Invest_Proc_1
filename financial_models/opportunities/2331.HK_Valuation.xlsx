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6B6AF0-D44D-42EB-9428-F32B65637A3C}"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<sst xmlns="http://schemas.openxmlformats.org/spreadsheetml/2006/main" count="768" uniqueCount="559">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</sst>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22</v>
      </c>
      <c r="E8" s="32"/>
    </row>
    <row r="9" spans="1:9">
      <c r="B9" s="4" t="s">
        <v>346</v>
      </c>
      <c r="C9" s="48">
        <v>2584811005</v>
      </c>
    </row>
    <row r="10" spans="1:9">
      <c r="B10" s="4" t="s">
        <v>352</v>
      </c>
      <c r="C10" s="33">
        <f>Thesis!C8*Common_Shares/1000000</f>
        <v>56865.842109999998</v>
      </c>
      <c r="D10" s="1" t="s">
        <v>528</v>
      </c>
      <c r="E10" s="303">
        <f>Scenarios!F34</f>
        <v>0.10605475649102321</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1.1308739082336425</v>
      </c>
    </row>
    <row r="17" spans="1:6">
      <c r="B17" s="1" t="s">
        <v>532</v>
      </c>
      <c r="C17" s="456">
        <v>0.02</v>
      </c>
      <c r="D17" s="4" t="s">
        <v>274</v>
      </c>
      <c r="E17" s="224" t="s">
        <v>558</v>
      </c>
    </row>
    <row r="18" spans="1:6">
      <c r="B18" s="1" t="str">
        <f>"Expected Equity Value ("&amp;C7&amp;") :"</f>
        <v>Expected Equity Value (HKD) :</v>
      </c>
      <c r="C18" s="252">
        <f>C125</f>
        <v>28.046486471523096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13.870905010852598</v>
      </c>
      <c r="D22" s="38" t="s">
        <v>406</v>
      </c>
      <c r="E22" s="79">
        <v>0.29465259038036606</v>
      </c>
    </row>
    <row r="23" spans="1:6">
      <c r="B23" s="1" t="s">
        <v>313</v>
      </c>
      <c r="C23" s="256">
        <f>E141</f>
        <v>17.288163733840221</v>
      </c>
      <c r="D23" s="38" t="s">
        <v>407</v>
      </c>
      <c r="E23" s="443">
        <v>0.20075184365903009</v>
      </c>
    </row>
    <row r="24" spans="1:6">
      <c r="B24" s="1" t="s">
        <v>315</v>
      </c>
      <c r="C24" s="256">
        <f>E144</f>
        <v>21.350221295082086</v>
      </c>
      <c r="D24" s="38" t="s">
        <v>408</v>
      </c>
      <c r="E24" s="443">
        <v>0.1174</v>
      </c>
    </row>
    <row r="25" spans="1:6">
      <c r="B25" s="1" t="s">
        <v>314</v>
      </c>
      <c r="C25" s="256">
        <f>E145</f>
        <v>24.085477569599252</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3529289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26483.0171458365</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-80155.762854163506</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-862283.30928645912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2533265.3916731784</v>
      </c>
      <c r="D60" s="1" t="str">
        <f>Reporting_currency</f>
        <v>CNY</v>
      </c>
    </row>
    <row r="61" spans="2:6">
      <c r="B61" s="44" t="s">
        <v>213</v>
      </c>
      <c r="C61" s="285">
        <f>Normalized_FCF!C19</f>
        <v>2586849.9278593771</v>
      </c>
      <c r="D61" s="1" t="str">
        <f>Reporting_currency</f>
        <v>CNY</v>
      </c>
    </row>
    <row r="62" spans="2:6">
      <c r="B62" s="204" t="s">
        <v>302</v>
      </c>
      <c r="C62" s="89">
        <f>Normalized_FCF!C124</f>
        <v>5.1443906911172094E-2</v>
      </c>
      <c r="F62" s="257"/>
    </row>
    <row r="63" spans="2:6">
      <c r="B63" s="204" t="s">
        <v>332</v>
      </c>
      <c r="C63" s="89">
        <f>Normalized_FCF!C92</f>
        <v>2.3505554410869198E-2</v>
      </c>
      <c r="E63" s="44" t="s">
        <v>322</v>
      </c>
      <c r="F63" s="258">
        <f>Normalized_FCF!C90</f>
        <v>0.51671460777107903</v>
      </c>
    </row>
    <row r="65" spans="1:6">
      <c r="B65" s="192" t="s">
        <v>325</v>
      </c>
      <c r="C65" s="264" t="s">
        <v>327</v>
      </c>
      <c r="D65" s="264" t="s">
        <v>328</v>
      </c>
    </row>
    <row r="66" spans="1:6">
      <c r="B66" s="44" t="s">
        <v>326</v>
      </c>
      <c r="C66" s="89">
        <f>Normalized_FCF!E119</f>
        <v>0.2</v>
      </c>
      <c r="D66" s="89">
        <f>Normalized_FCF!G119</f>
        <v>0.13360806100143199</v>
      </c>
    </row>
    <row r="67" spans="1:6">
      <c r="B67" s="229" t="str">
        <f>Normalized_FCF!B116</f>
        <v>Pre-tax Profit/Sales</v>
      </c>
      <c r="C67" s="263">
        <f>Normalized_FCF!E116</f>
        <v>0.13430424833028851</v>
      </c>
      <c r="D67" s="263">
        <f>Normalized_FCF!G116</f>
        <v>0.12658674791261623</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-1777313</v>
      </c>
      <c r="D78" s="1" t="str">
        <f>Reporting_currency</f>
        <v>CNY</v>
      </c>
    </row>
    <row r="79" spans="1:6">
      <c r="A79" s="191"/>
      <c r="B79" s="44" t="s">
        <v>234</v>
      </c>
      <c r="C79" s="201">
        <f>C78*scaling_factor*Exchange_Rate/Common_Shares</f>
        <v>-0.77758756619981961</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14777019.809027251</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6.4650553217064317</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0.73008117660735372</v>
      </c>
      <c r="D90" s="1" t="str">
        <f>Market_currency</f>
        <v>HKD</v>
      </c>
    </row>
    <row r="91" spans="1:6">
      <c r="A91" s="191"/>
    </row>
    <row r="92" spans="1:6">
      <c r="A92" s="191"/>
      <c r="B92" s="44" t="s">
        <v>469</v>
      </c>
      <c r="C92" s="216">
        <f>DCF!F8</f>
        <v>6.4175489321139674</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5.6408461331530324</v>
      </c>
      <c r="D111" s="1" t="str">
        <f>Market_currency</f>
        <v>HKD</v>
      </c>
    </row>
    <row r="112" spans="2:6">
      <c r="B112" s="44" t="s">
        <v>323</v>
      </c>
      <c r="C112" s="216">
        <f>DCF!C11</f>
        <v>28.406144571860672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36.36 HKD</v>
      </c>
      <c r="E118" s="208">
        <f>DCF!F90</f>
        <v>0.05</v>
      </c>
      <c r="F118" s="208">
        <f>RATE(Holding_Period,Scenarios!C$58,-DCF!E90,C$18)</f>
        <v>-6.7379551907224569E-2</v>
      </c>
    </row>
    <row r="119" spans="2:6">
      <c r="B119" s="205" t="str">
        <f>DCF!B91&amp;" ("&amp;DCF!D91&amp;"yrs)"</f>
        <v>Optimistic (10yrs)</v>
      </c>
      <c r="C119" s="198">
        <f>DCF!C91</f>
        <v>0.06</v>
      </c>
      <c r="D119" s="207" t="str">
        <f>ROUND(DCF!E91,2)&amp;" "&amp;Market_currency</f>
        <v>30.42 HKD</v>
      </c>
      <c r="E119" s="199">
        <f>DCF!F91</f>
        <v>0.22499999999999992</v>
      </c>
      <c r="F119" s="208">
        <f>RATE(Holding_Period,Scenarios!C$58,-DCF!E91,C$18)</f>
        <v>-9.2472420144999127E-3</v>
      </c>
    </row>
    <row r="120" spans="2:6">
      <c r="B120" s="205" t="str">
        <f>DCF!B92&amp;" ("&amp;DCF!D92&amp;"yrs)"</f>
        <v>Base (10yrs)</v>
      </c>
      <c r="C120" s="198">
        <f>DCF!C92</f>
        <v>0.04</v>
      </c>
      <c r="D120" s="207" t="str">
        <f>ROUND(DCF!E92,2)&amp;" "&amp;Market_currency</f>
        <v>27.89 HKD</v>
      </c>
      <c r="E120" s="199">
        <f>DCF!F92</f>
        <v>0.495</v>
      </c>
      <c r="F120" s="208">
        <f>RATE(Holding_Period,Scenarios!C$58,-DCF!E92,C$18)</f>
        <v>2.0384126400193551E-2</v>
      </c>
    </row>
    <row r="121" spans="2:6">
      <c r="B121" s="205" t="str">
        <f>DCF!B93&amp;" ("&amp;DCF!D93&amp;"yrs)"</f>
        <v>Pessimistic (10yrs)</v>
      </c>
      <c r="C121" s="198">
        <f>DCF!C93</f>
        <v>0.02</v>
      </c>
      <c r="D121" s="207" t="str">
        <f>ROUND(DCF!E93,2)&amp;" "&amp;Market_currency</f>
        <v>25.62 HKD</v>
      </c>
      <c r="E121" s="199">
        <f>DCF!F93</f>
        <v>0.18</v>
      </c>
      <c r="F121" s="208">
        <f>RATE(Holding_Period,Scenarios!C$58,-DCF!E93,C$18)</f>
        <v>5.0271862830181112E-2</v>
      </c>
    </row>
    <row r="122" spans="2:6">
      <c r="B122" s="205" t="str">
        <f>DCF!B94&amp;" ("&amp;DCF!D94&amp;"yrs)"</f>
        <v>Devil's advocate (10yrs)</v>
      </c>
      <c r="C122" s="198">
        <f>DCF!C94</f>
        <v>-0.05</v>
      </c>
      <c r="D122" s="207" t="str">
        <f>ROUND(DCF!E94,2)&amp;" "&amp;Market_currency</f>
        <v>19.36 HKD</v>
      </c>
      <c r="E122" s="199">
        <f>DCF!F94</f>
        <v>0.05</v>
      </c>
      <c r="F122" s="208">
        <f>RATE(Holding_Period,Scenarios!C$58,-DCF!E94,C$18)</f>
        <v>0.1553219202661601</v>
      </c>
    </row>
    <row r="124" spans="2:6">
      <c r="B124" s="463" t="s">
        <v>357</v>
      </c>
      <c r="C124" s="463"/>
      <c r="D124" s="463"/>
      <c r="E124" s="463"/>
      <c r="F124" s="463"/>
    </row>
    <row r="125" spans="2:6">
      <c r="B125" s="193" t="s">
        <v>218</v>
      </c>
      <c r="C125" s="197">
        <f>Scenarios!C36</f>
        <v>28.046486471523096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0.51712219703912232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0.94625686729356573</v>
      </c>
      <c r="D140" s="333">
        <f>Scenarios!D62</f>
        <v>12.924648143559033</v>
      </c>
      <c r="E140" s="334">
        <f>Scenarios!E62</f>
        <v>13.870905010852598</v>
      </c>
      <c r="F140" s="335">
        <f>E22</f>
        <v>0.29465259038036606</v>
      </c>
    </row>
    <row r="141" spans="1:6">
      <c r="B141" s="336" t="s">
        <v>313</v>
      </c>
      <c r="C141" s="333">
        <f>Scenarios!C63</f>
        <v>1.0880271437907714</v>
      </c>
      <c r="D141" s="333">
        <f>Scenarios!D63</f>
        <v>16.20013659004945</v>
      </c>
      <c r="E141" s="334">
        <f>Scenarios!E63</f>
        <v>17.288163733840221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1.2476106290688485</v>
      </c>
      <c r="D144" s="333">
        <f>Scenarios!D66</f>
        <v>20.102610666013238</v>
      </c>
      <c r="E144" s="334">
        <f>Scenarios!E66</f>
        <v>21.350221295082086</v>
      </c>
      <c r="F144" s="335">
        <f>E24</f>
        <v>0.1174</v>
      </c>
    </row>
    <row r="145" spans="1:6">
      <c r="B145" s="336" t="s">
        <v>314</v>
      </c>
      <c r="C145" s="333">
        <f>Scenarios!C67</f>
        <v>1.3509172169662864</v>
      </c>
      <c r="D145" s="333">
        <f>Scenarios!D67</f>
        <v>22.734560352632965</v>
      </c>
      <c r="E145" s="334">
        <f>Scenarios!E67</f>
        <v>24.085477569599252</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0.51712219703912232</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0.51712219703912232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11.886503877876367</v>
      </c>
      <c r="D47" s="134">
        <f>D46*H1/Common_Shares*Exchange_Rate</f>
        <v>5.6408461331530324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14777019.809027251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-2206918.095486375</v>
      </c>
      <c r="D73" s="285">
        <f>(Normalized_FCF!C26+Normalized_FCF!C35-Normalized_FCF!C89)/12</f>
        <v>-2206918.095486375</v>
      </c>
      <c r="F73" s="1" t="s">
        <v>278</v>
      </c>
    </row>
    <row r="74" spans="2:6" ht="15" customHeight="1">
      <c r="B74" s="227" t="s">
        <v>259</v>
      </c>
      <c r="C74" s="228">
        <f>-$C$66/C73</f>
        <v>8.6957717367261846</v>
      </c>
      <c r="D74" s="228">
        <f>-$C$66/D73</f>
        <v>8.6957717367261846</v>
      </c>
      <c r="F74" s="223" t="s">
        <v>257</v>
      </c>
    </row>
    <row r="75" spans="2:6" ht="15" customHeight="1">
      <c r="B75" s="77" t="s">
        <v>258</v>
      </c>
      <c r="C75" s="261"/>
      <c r="D75" s="262">
        <f>MAX(-D73*D76,G5)</f>
        <v>4413836.1909727501</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-2009916.8984644599</v>
      </c>
      <c r="D86" s="201">
        <f>C86*scaling_factor/Common_Shares</f>
        <v>-0.77758756619981961</v>
      </c>
      <c r="E86" s="214" t="str">
        <f>Market_currency</f>
        <v>HKD</v>
      </c>
    </row>
    <row r="87" spans="2:8" ht="15" customHeight="1">
      <c r="B87" s="212" t="s">
        <v>240</v>
      </c>
      <c r="C87" s="73">
        <f>DCF!F5*Exchange_Rate</f>
        <v>16710946.143480601</v>
      </c>
      <c r="D87" s="201">
        <f>C87*scaling_factor/Common_Shares</f>
        <v>6.4650553217064317</v>
      </c>
      <c r="E87" s="214" t="str">
        <f>Market_currency</f>
        <v>HKD</v>
      </c>
    </row>
    <row r="88" spans="2:8" ht="15" customHeight="1">
      <c r="B88" s="213" t="s">
        <v>159</v>
      </c>
      <c r="C88" s="73">
        <f>DCF!F6*Exchange_Rate</f>
        <v>1887121.8598380366</v>
      </c>
      <c r="D88" s="201">
        <f>C88*scaling_factor/Common_Shares</f>
        <v>0.73008117660735372</v>
      </c>
      <c r="E88" s="214" t="str">
        <f>Market_currency</f>
        <v>HKD</v>
      </c>
    </row>
    <row r="89" spans="2:8" ht="15" customHeight="1">
      <c r="B89" s="77" t="s">
        <v>244</v>
      </c>
      <c r="C89" s="162">
        <f>SUM(C86:C88)</f>
        <v>16588151.104854178</v>
      </c>
      <c r="D89" s="216">
        <f>SUM(D86:D88)</f>
        <v>6.4175489321139656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-80155.762854163506</v>
      </c>
      <c r="E10" s="237"/>
      <c r="G10" s="266">
        <f>G48</f>
        <v>-155631.60832682136</v>
      </c>
      <c r="H10" s="266">
        <f t="shared" ref="H10:Q10" si="6">H48</f>
        <v>-66319.702954753258</v>
      </c>
      <c r="I10" s="266">
        <f t="shared" si="6"/>
        <v>-17580.375955107636</v>
      </c>
      <c r="J10" s="266">
        <f t="shared" si="6"/>
        <v>-79086.148853726321</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3449133.2371458365</v>
      </c>
      <c r="E11" s="237"/>
      <c r="G11" s="267">
        <f t="shared" ref="G11:Q11" si="7">IF(G$4="","",SUM(G8:G10))</f>
        <v>3629956.3916731784</v>
      </c>
      <c r="H11" s="267">
        <f t="shared" si="7"/>
        <v>3327434.2970452467</v>
      </c>
      <c r="I11" s="267">
        <f t="shared" si="7"/>
        <v>4240846.6240448924</v>
      </c>
      <c r="J11" s="267">
        <f t="shared" si="7"/>
        <v>4800481.8511462733</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-862283.30928645912</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2586849.9278593771</v>
      </c>
      <c r="D14" s="58"/>
      <c r="E14" s="243"/>
      <c r="F14" s="58"/>
      <c r="G14" s="267">
        <f t="shared" ref="G14:Q14" si="8">IF(G$4="","",SUM(G11:G13))</f>
        <v>2533265.3916731784</v>
      </c>
      <c r="H14" s="267">
        <f t="shared" si="8"/>
        <v>2258175.2970452467</v>
      </c>
      <c r="I14" s="267">
        <f t="shared" si="8"/>
        <v>2889517.6240448924</v>
      </c>
      <c r="J14" s="267">
        <f t="shared" si="8"/>
        <v>3483125.8511462733</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2586849.9278593771</v>
      </c>
      <c r="D19" s="26"/>
      <c r="E19" s="234"/>
      <c r="F19" s="26"/>
      <c r="G19" s="271">
        <f t="shared" ref="G19:Q19" si="9">IF(G$4="","",G14+G17)</f>
        <v>2533265.3916731784</v>
      </c>
      <c r="H19" s="271">
        <f t="shared" si="9"/>
        <v>2258175.2970452467</v>
      </c>
      <c r="I19" s="271">
        <f t="shared" si="9"/>
        <v>2889517.6240448924</v>
      </c>
      <c r="J19" s="271">
        <f t="shared" si="9"/>
        <v>3483125.8511462733</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0.30212236227292399</v>
      </c>
      <c r="H41" s="6">
        <f t="shared" si="16"/>
        <v>0.32133076254862586</v>
      </c>
      <c r="I41" s="6">
        <f t="shared" si="16"/>
        <v>0.31864604400880481</v>
      </c>
      <c r="J41" s="6">
        <f t="shared" si="16"/>
        <v>0.27442016048564782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26483.0171458365</v>
      </c>
      <c r="E46" s="237"/>
      <c r="G46" s="274">
        <f t="shared" ref="G46:Q46" si="17">IFERROR(IF(G$4="","",($C$46/$C$47)*G47),0)</f>
        <v>98789.391673178645</v>
      </c>
      <c r="H46" s="274">
        <f t="shared" si="17"/>
        <v>115126.29704524674</v>
      </c>
      <c r="I46" s="274">
        <f t="shared" si="17"/>
        <v>102980.62404489236</v>
      </c>
      <c r="J46" s="274">
        <f t="shared" si="17"/>
        <v>33371.851146273679</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-80155.762854163506</v>
      </c>
      <c r="E48" s="237"/>
      <c r="G48" s="267">
        <f>IF(G$4="","",(G45+G46))</f>
        <v>-155631.60832682136</v>
      </c>
      <c r="H48" s="267">
        <f t="shared" ref="H48:Q48" si="18">IF(H$4="","",(H45+H46))</f>
        <v>-66319.702954753258</v>
      </c>
      <c r="I48" s="267">
        <f t="shared" si="18"/>
        <v>-17580.375955107636</v>
      </c>
      <c r="J48" s="267">
        <f t="shared" si="18"/>
        <v>-79086.148853726321</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2.7952559896970231E-3</v>
      </c>
      <c r="D76" s="26"/>
      <c r="E76" s="234"/>
      <c r="F76" s="26"/>
      <c r="G76" s="6">
        <f t="shared" ref="G76:Q76" si="28">IF(G$4="","",ABS(G10/G$4))</f>
        <v>5.4273101505281449E-3</v>
      </c>
      <c r="H76" s="6">
        <f t="shared" si="28"/>
        <v>2.4030191706768773E-3</v>
      </c>
      <c r="I76" s="6">
        <f t="shared" si="28"/>
        <v>6.8132058323932317E-4</v>
      </c>
      <c r="J76" s="6">
        <f t="shared" si="28"/>
        <v>3.5036844018434079E-3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0.12028093797742692</v>
      </c>
      <c r="D77" s="26"/>
      <c r="E77" s="234"/>
      <c r="F77" s="26"/>
      <c r="G77" s="62">
        <f t="shared" ref="G77:Q77" si="29">IF(G$4="","",G11/G$4)</f>
        <v>0.12658674791261623</v>
      </c>
      <c r="H77" s="62">
        <f t="shared" si="29"/>
        <v>0.1205658054654237</v>
      </c>
      <c r="I77" s="62">
        <f t="shared" si="29"/>
        <v>0.16435234961419176</v>
      </c>
      <c r="J77" s="62">
        <f t="shared" si="29"/>
        <v>0.21267154396785479</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3.007023449435673E-2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9.0210703483070184E-2</v>
      </c>
      <c r="D80" s="26"/>
      <c r="E80" s="234"/>
      <c r="F80" s="26"/>
      <c r="G80" s="62">
        <f t="shared" ref="G80:Q80" si="32">IF(G$4="","",ABS(G14/G$4))</f>
        <v>8.8342060600809486E-2</v>
      </c>
      <c r="H80" s="62">
        <f t="shared" si="32"/>
        <v>8.1822419096944349E-2</v>
      </c>
      <c r="I80" s="62">
        <f t="shared" si="32"/>
        <v>0.11198212358607755</v>
      </c>
      <c r="J80" s="62">
        <f t="shared" si="32"/>
        <v>0.15430987462659504</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9.0210703483070184E-2</v>
      </c>
      <c r="D85" s="72"/>
      <c r="E85" s="234"/>
      <c r="F85" s="72"/>
      <c r="G85" s="62">
        <f t="shared" ref="G85:Q85" si="35">IF(G$4="","",ABS(G19/G$4))</f>
        <v>8.8342060600809486E-2</v>
      </c>
      <c r="H85" s="62">
        <f t="shared" si="35"/>
        <v>8.1822419096944349E-2</v>
      </c>
      <c r="I85" s="62">
        <f t="shared" si="35"/>
        <v>0.11198212358607755</v>
      </c>
      <c r="J85" s="62">
        <f t="shared" si="35"/>
        <v>0.15430987462659504</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0.51712219703912232</v>
      </c>
      <c r="E88" s="237"/>
      <c r="G88" s="109">
        <f>Data!C65</f>
        <v>0.51712219703912232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1336663.1458365018</v>
      </c>
      <c r="E89" s="237"/>
      <c r="G89" s="71">
        <f t="shared" ref="G89:Q89" si="36">IF(G$4="","",G88*Common_Shares/scaling_factor)</f>
        <v>1336663.1458365018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0.51671460777107903</v>
      </c>
      <c r="E90" s="237"/>
      <c r="G90" s="152">
        <f t="shared" ref="G90:Q90" si="37">IF(G$4="","",G88/(G19*scaling_factor/Common_Shares))</f>
        <v>0.52764434007984407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2.3505554410869198E-2</v>
      </c>
      <c r="E92" s="237"/>
      <c r="G92" s="22">
        <f t="shared" ref="G92:Q92" si="38">IF(G$4="","",(G88*(1-dividend_tax_rate))/Market_Price)</f>
        <v>2.3505554410869198E-2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-4.9814139624965059E-2</v>
      </c>
      <c r="D96" s="26"/>
      <c r="E96" s="234"/>
      <c r="F96" s="26"/>
      <c r="G96" s="6">
        <f t="shared" ref="G96:Q96" si="40">IF(H5="","",G11/H11-1)</f>
        <v>9.0917526124128401E-2</v>
      </c>
      <c r="H96" s="6">
        <f t="shared" si="40"/>
        <v>-0.21538442862346174</v>
      </c>
      <c r="I96" s="6">
        <f t="shared" si="40"/>
        <v>-0.11657896945652435</v>
      </c>
      <c r="J96" s="6">
        <f t="shared" si="40"/>
        <v>1.4642434896069534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2.079503796686939</v>
      </c>
      <c r="H113" s="251">
        <f>IF(H$4="","",Data!D$22/H19)</f>
        <v>2.0759840948282542</v>
      </c>
      <c r="I113" s="251">
        <f>IF(I$4="","",Data!E$22/I19)</f>
        <v>1.3544143034232614</v>
      </c>
      <c r="J113" s="251">
        <f>IF(J$4="","",Data!F$22/J19)</f>
        <v>1.8734135023724612</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0.12028093797742692</v>
      </c>
      <c r="E116" s="22">
        <f>E119/E117/E118</f>
        <v>0.13430424833028851</v>
      </c>
      <c r="G116" s="22">
        <f t="shared" ref="G116:Q116" si="44">IF(G4="","",G77)</f>
        <v>0.12658674791261623</v>
      </c>
      <c r="H116" s="22">
        <f t="shared" si="44"/>
        <v>0.1205658054654237</v>
      </c>
      <c r="I116" s="22">
        <f t="shared" si="44"/>
        <v>0.16435234961419176</v>
      </c>
      <c r="J116" s="22">
        <f t="shared" si="44"/>
        <v>0.21267154396785479</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0.12695249039568582</v>
      </c>
      <c r="D119" s="100"/>
      <c r="E119" s="453">
        <v>0.2</v>
      </c>
      <c r="F119" s="100"/>
      <c r="G119" s="99">
        <f t="shared" ref="G119:Q119" si="47">IF(G$4="","",G11/G104)</f>
        <v>0.13360806100143199</v>
      </c>
      <c r="H119" s="99">
        <f t="shared" si="47"/>
        <v>0.13633315199110138</v>
      </c>
      <c r="I119" s="99">
        <f t="shared" si="47"/>
        <v>0.17429143403863814</v>
      </c>
      <c r="J119" s="99">
        <f t="shared" si="47"/>
        <v>0.22746671305003682</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1.1317659520457859</v>
      </c>
      <c r="D123" s="26"/>
      <c r="E123" s="234"/>
      <c r="F123" s="26"/>
      <c r="G123" s="159">
        <f t="shared" ref="G123:Q123" si="48">IF(G$4="","",G14*$C$3/Common_Shares*Exchange_Rate)</f>
        <v>1.1083223216447411</v>
      </c>
      <c r="H123" s="159">
        <f t="shared" si="48"/>
        <v>0.98796837320267628</v>
      </c>
      <c r="I123" s="159">
        <f t="shared" si="48"/>
        <v>1.2641853048802059</v>
      </c>
      <c r="J123" s="159">
        <f t="shared" si="48"/>
        <v>1.523893289117058</v>
      </c>
      <c r="K123" s="159">
        <f t="shared" si="48"/>
        <v>0.61193020675984844</v>
      </c>
      <c r="L123" s="159">
        <f t="shared" si="48"/>
        <v>0.60296830544812841</v>
      </c>
      <c r="M123" s="159">
        <f t="shared" si="48"/>
        <v>0.2594550056087358</v>
      </c>
      <c r="N123" s="159">
        <f t="shared" si="48"/>
        <v>0.19840041226994234</v>
      </c>
      <c r="O123" s="159">
        <f t="shared" si="48"/>
        <v>0.10124970948855214</v>
      </c>
      <c r="P123" s="159">
        <f t="shared" si="48"/>
        <v>5.2645263856633184E-3</v>
      </c>
      <c r="Q123" s="159" t="str">
        <f t="shared" si="48"/>
        <v/>
      </c>
    </row>
    <row r="124" spans="1:17" ht="15.75" customHeight="1">
      <c r="A124" s="10"/>
      <c r="B124" s="26" t="s">
        <v>226</v>
      </c>
      <c r="C124" s="74">
        <f>C19*Exchange_Rate*$C$3/(Market_Price*Common_Shares)</f>
        <v>5.1443906911172094E-2</v>
      </c>
      <c r="D124" s="26"/>
      <c r="E124" s="234"/>
      <c r="F124" s="26"/>
      <c r="G124" s="74">
        <f t="shared" ref="G124" si="49">IF(G$4="","",G123/Market_Price)</f>
        <v>5.0378287347488233E-2</v>
      </c>
      <c r="H124" s="74">
        <f t="shared" ref="H124" si="50">IF(H$4="","",H123/Market_Price)</f>
        <v>4.4907653327394374E-2</v>
      </c>
      <c r="I124" s="74">
        <f t="shared" ref="I124" si="51">IF(I$4="","",I123/Market_Price)</f>
        <v>5.7462968403645724E-2</v>
      </c>
      <c r="J124" s="74">
        <f t="shared" ref="J124" si="52">IF(J$4="","",J123/Market_Price)</f>
        <v>6.926787677804809E-2</v>
      </c>
      <c r="K124" s="74">
        <f t="shared" ref="K124" si="53">IF(K$4="","",K123/Market_Price)</f>
        <v>2.7815009398174929E-2</v>
      </c>
      <c r="L124" s="74">
        <f t="shared" ref="L124" si="54">IF(L$4="","",L123/Market_Price)</f>
        <v>2.7407650247642201E-2</v>
      </c>
      <c r="M124" s="74">
        <f t="shared" ref="M124" si="55">IF(M$4="","",M123/Market_Price)</f>
        <v>1.1793409345851628E-2</v>
      </c>
      <c r="N124" s="74">
        <f t="shared" ref="N124" si="56">IF(N$4="","",N123/Market_Price)</f>
        <v>9.0182005577246517E-3</v>
      </c>
      <c r="O124" s="74">
        <f t="shared" ref="O124" si="57">IF(O$4="","",O123/Market_Price)</f>
        <v>4.6022595222069149E-3</v>
      </c>
      <c r="P124" s="74">
        <f t="shared" ref="P124" si="58">IF(P$4="","",P123/Market_Price)</f>
        <v>2.3929665389378719E-4</v>
      </c>
      <c r="Q124" s="74" t="str">
        <f t="shared" ref="Q124" si="59">IF(Q$4="","",Q123/Market_Price)</f>
        <v/>
      </c>
    </row>
    <row r="125" spans="1:17" ht="15.75" customHeight="1">
      <c r="B125" s="2" t="s">
        <v>306</v>
      </c>
      <c r="C125" s="151"/>
      <c r="G125" s="22">
        <f>IF(G$4="","",(Data!C47*$C$3)/(Market_Price*Common_Shares))</f>
        <v>5.2982913612215209E-2</v>
      </c>
      <c r="H125" s="22">
        <f>IF(H$4="","",(Data!D47*$C$3)/(Market_Price*Common_Shares))</f>
        <v>5.6043520710292352E-2</v>
      </c>
      <c r="I125" s="22">
        <f>IF(I$4="","",(Data!E47*$C$3)/(Market_Price*Common_Shares))</f>
        <v>7.1462425407138666E-2</v>
      </c>
      <c r="J125" s="22">
        <f>IF(J$4="","",(Data!F47*$C$3)/(Market_Price*Common_Shares))</f>
        <v>7.053246467785404E-2</v>
      </c>
      <c r="K125" s="22">
        <f>IF(K$4="","",(Data!G47*$C$3)/(Market_Price*Common_Shares))</f>
        <v>2.9868264268635834E-2</v>
      </c>
      <c r="L125" s="22">
        <f>IF(L$4="","",(Data!H47*$C$3)/(Market_Price*Common_Shares))</f>
        <v>2.6362803123535773E-2</v>
      </c>
      <c r="M125" s="22">
        <f>IF(M$4="","",(Data!I47*$C$3)/(Market_Price*Common_Shares))</f>
        <v>1.2578078042287871E-2</v>
      </c>
      <c r="N125" s="22">
        <f>IF(N$4="","",(Data!J47*$C$3)/(Market_Price*Common_Shares))</f>
        <v>9.0591290111117287E-3</v>
      </c>
      <c r="O125" s="22">
        <f>IF(O$4="","",(Data!K47*$C$3)/(Market_Price*Common_Shares))</f>
        <v>1.2324955966435085E-2</v>
      </c>
      <c r="P125" s="22">
        <f>IF(P$4="","",(Data!L47*$C$3)/(Market_Price*Common_Shares))</f>
        <v>1.0833392721210861E-3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2586849.9278593771</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14777019.809027251</v>
      </c>
      <c r="G5" t="str">
        <f>Reporting_currency</f>
        <v>CNY</v>
      </c>
      <c r="H5" s="308" t="s">
        <v>395</v>
      </c>
      <c r="I5" s="305">
        <f>Normalized_FCF!C7</f>
        <v>-1427907</v>
      </c>
      <c r="J5" s="305"/>
    </row>
    <row r="6" spans="2:15" ht="13.25" customHeight="1">
      <c r="B6" s="136" t="s">
        <v>194</v>
      </c>
      <c r="C6" s="283">
        <f>(C4*(1+Terminal_Growth))/(Equity_Cost-Terminal_Growth)</f>
        <v>50258798.598410763</v>
      </c>
      <c r="D6" t="str">
        <f>Reporting_currency</f>
        <v>CNY</v>
      </c>
      <c r="E6" s="187" t="s">
        <v>433</v>
      </c>
      <c r="F6" s="284">
        <f>BS!H42</f>
        <v>1668728.8</v>
      </c>
      <c r="G6" t="str">
        <f>Reporting_currency</f>
        <v>CNY</v>
      </c>
      <c r="H6" s="308" t="s">
        <v>416</v>
      </c>
      <c r="I6" s="305">
        <f>I7+I8</f>
        <v>-80155.762854163506</v>
      </c>
      <c r="J6" s="305"/>
      <c r="N6" s="135"/>
    </row>
    <row r="7" spans="2:15" ht="12.75" customHeight="1">
      <c r="B7" s="318" t="s">
        <v>430</v>
      </c>
      <c r="C7" s="275">
        <f>F7</f>
        <v>14668435.609027252</v>
      </c>
      <c r="E7" s="140" t="s">
        <v>424</v>
      </c>
      <c r="F7" s="283">
        <f>SUM(F4:F6)</f>
        <v>14668435.609027252</v>
      </c>
      <c r="G7" t="str">
        <f>Reporting_currency</f>
        <v>CNY</v>
      </c>
      <c r="H7" s="312" t="s">
        <v>417</v>
      </c>
      <c r="I7" s="313">
        <f>Normalized_FCF!C9</f>
        <v>0</v>
      </c>
      <c r="J7" s="313"/>
      <c r="N7" s="304"/>
      <c r="O7" s="304"/>
    </row>
    <row r="8" spans="2:15" ht="13.15">
      <c r="B8" s="136" t="s">
        <v>426</v>
      </c>
      <c r="C8" s="283">
        <f>C6+C7</f>
        <v>64927234.207438014</v>
      </c>
      <c r="D8" t="str">
        <f>Reporting_currency</f>
        <v>CNY</v>
      </c>
      <c r="E8" s="140" t="s">
        <v>464</v>
      </c>
      <c r="F8" s="108">
        <f>FV_adjustments*scaling_factor/Common_Shares*Exchange_Rate</f>
        <v>6.4175489321139674</v>
      </c>
      <c r="G8" s="294" t="str">
        <f>Market_currency</f>
        <v>HKD</v>
      </c>
      <c r="H8" s="314" t="str">
        <f>Normalized_FCF!B10</f>
        <v>Net Interest Income</v>
      </c>
      <c r="I8" s="313">
        <f>Normalized_FCF!C10</f>
        <v>-80155.762854163506</v>
      </c>
      <c r="J8" s="313"/>
      <c r="N8" s="304"/>
      <c r="O8" s="304"/>
    </row>
    <row r="9" spans="2:15" ht="13.15" thickBot="1">
      <c r="B9" s="189" t="str">
        <f>"*"&amp;Thesis!E15</f>
        <v>*CNY/HKD</v>
      </c>
      <c r="C9" s="190">
        <f>Exchange_Rate</f>
        <v>1.1308739082336425</v>
      </c>
      <c r="D9" t="str">
        <f>Thesis!E15</f>
        <v>CNY/HKD</v>
      </c>
      <c r="F9" s="322"/>
      <c r="H9" s="308" t="str">
        <f>Normalized_FCF!B79</f>
        <v>NCI’s Share of Profits</v>
      </c>
      <c r="I9" s="144">
        <f>Normalized_FCF!C79</f>
        <v>0</v>
      </c>
      <c r="J9" s="306"/>
      <c r="N9" s="304"/>
      <c r="O9" s="304"/>
    </row>
    <row r="10" spans="2:15" ht="13.5" thickTop="1">
      <c r="B10" s="107" t="s">
        <v>427</v>
      </c>
      <c r="C10" s="283">
        <f>C8*Exchange_Rate</f>
        <v>73424515.098966479</v>
      </c>
      <c r="D10" t="str">
        <f>Market_currency</f>
        <v>HKD</v>
      </c>
      <c r="H10" s="308" t="s">
        <v>397</v>
      </c>
      <c r="I10" s="306">
        <f>Normalized_FCF!C41</f>
        <v>0.25</v>
      </c>
      <c r="N10" s="304"/>
      <c r="O10" s="304"/>
    </row>
    <row r="11" spans="2:15" ht="13.15">
      <c r="B11" s="136" t="s">
        <v>425</v>
      </c>
      <c r="C11" s="108">
        <f>(C10*scaling_factor)/Common_Shares</f>
        <v>28.406144571860672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0.12028093797742692</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28.048876925023205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0.12028093797742692</v>
      </c>
      <c r="F21" s="277">
        <f>C21*E21</f>
        <v>3591676.6961205616</v>
      </c>
      <c r="G21" s="299">
        <f t="shared" ref="G21:G50" si="2">IF(A21="",0%,IF(A21="I",$C$18,$F$18))</f>
        <v>0</v>
      </c>
      <c r="H21" s="277">
        <f>(F21*(1-$I$10)+C21*(G21-$I$9))</f>
        <v>2693757.5220904211</v>
      </c>
      <c r="I21" s="299">
        <f>H21/C4-1</f>
        <v>4.1327327526691882E-2</v>
      </c>
      <c r="J21" s="299">
        <f>H21/C21</f>
        <v>9.0210703483070198E-2</v>
      </c>
      <c r="K21" s="119">
        <f t="shared" ref="K21:K50" si="3">IF($C$15&lt;B21,0,1/(1+Equity_Cost)^B21)</f>
        <v>0.93240093240093236</v>
      </c>
      <c r="L21" s="277">
        <f t="shared" ref="L21:L51" si="4">H21*K21</f>
        <v>2511662.0252591339</v>
      </c>
    </row>
    <row r="22" spans="1:21">
      <c r="A22" s="302" t="str">
        <f t="shared" si="0"/>
        <v>I</v>
      </c>
      <c r="B22" s="117">
        <v>2</v>
      </c>
      <c r="C22" s="277">
        <f t="shared" ref="C22:C50" si="5">IF(A22="",0,C21*(1+D22))</f>
        <v>31094794.887723837</v>
      </c>
      <c r="D22" s="299">
        <f t="shared" si="1"/>
        <v>4.1327327526691798E-2</v>
      </c>
      <c r="E22" s="299">
        <f t="shared" ref="E22:E50" si="6">IF($C$15&lt;B22,0,IF(B22&gt;=$F$15,$F$17,$C$17))</f>
        <v>0.12028093797742692</v>
      </c>
      <c r="F22" s="277">
        <f t="shared" ref="F22:F50" si="7">IF(A22="", 0,C22*E22)</f>
        <v>3740111.0953111225</v>
      </c>
      <c r="G22" s="299">
        <f t="shared" si="2"/>
        <v>0</v>
      </c>
      <c r="H22" s="277">
        <f t="shared" ref="H22:H50" si="8">IF(A22="", 0,F22*(1-$I$10)+C22*(G22-$I$9))</f>
        <v>2805083.321483342</v>
      </c>
      <c r="I22" s="299">
        <f t="shared" ref="I22:I50" si="9">IF(A22="", 0,H22/H21-1)</f>
        <v>4.1327327526691882E-2</v>
      </c>
      <c r="J22" s="299">
        <f>IF(A22="", 0,H22/C22)</f>
        <v>9.0210703483070198E-2</v>
      </c>
      <c r="K22" s="119">
        <f t="shared" si="3"/>
        <v>0.86937149874212816</v>
      </c>
      <c r="L22" s="277">
        <f t="shared" si="4"/>
        <v>2438659.49129452</v>
      </c>
    </row>
    <row r="23" spans="1:21">
      <c r="A23" s="302" t="str">
        <f t="shared" si="0"/>
        <v>I</v>
      </c>
      <c r="B23" s="117">
        <v>3</v>
      </c>
      <c r="C23" s="277">
        <f t="shared" si="5"/>
        <v>32379859.660424106</v>
      </c>
      <c r="D23" s="299">
        <f t="shared" si="1"/>
        <v>4.1327327526691798E-2</v>
      </c>
      <c r="E23" s="299">
        <f t="shared" si="6"/>
        <v>0.12028093797742692</v>
      </c>
      <c r="F23" s="277">
        <f t="shared" si="7"/>
        <v>3894679.8915332598</v>
      </c>
      <c r="G23" s="299">
        <f t="shared" si="2"/>
        <v>0</v>
      </c>
      <c r="H23" s="277">
        <f t="shared" si="8"/>
        <v>2921009.9186499449</v>
      </c>
      <c r="I23" s="299">
        <f t="shared" si="9"/>
        <v>4.1327327526691882E-2</v>
      </c>
      <c r="J23" s="299">
        <f t="shared" ref="J23:J50" si="10">IF(A23="", 0,H23/C23)</f>
        <v>9.0210703483070198E-2</v>
      </c>
      <c r="K23" s="119">
        <f t="shared" si="3"/>
        <v>0.81060279602995633</v>
      </c>
      <c r="L23" s="277">
        <f t="shared" si="4"/>
        <v>2367778.8072888805</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0.12028093797742692</v>
      </c>
      <c r="F24" s="277">
        <f t="shared" si="7"/>
        <v>4055636.603022275</v>
      </c>
      <c r="G24" s="299">
        <f t="shared" si="2"/>
        <v>0</v>
      </c>
      <c r="H24" s="277">
        <f t="shared" si="8"/>
        <v>3041727.4522667062</v>
      </c>
      <c r="I24" s="299">
        <f t="shared" si="9"/>
        <v>4.132732752669166E-2</v>
      </c>
      <c r="J24" s="299">
        <f t="shared" si="10"/>
        <v>9.0210703483070184E-2</v>
      </c>
      <c r="K24" s="119">
        <f t="shared" si="3"/>
        <v>0.75580680282513402</v>
      </c>
      <c r="L24" s="277">
        <f t="shared" si="4"/>
        <v>2298958.3007631395</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0.13966076807199634</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49442200.621790774</v>
      </c>
    </row>
    <row r="53" spans="1:21">
      <c r="C53" s="111"/>
    </row>
    <row r="54" spans="1:21" ht="13.15">
      <c r="B54" s="115" t="s">
        <v>108</v>
      </c>
      <c r="C54" s="128"/>
      <c r="D54" s="128"/>
      <c r="E54" s="113"/>
      <c r="F54" s="113"/>
      <c r="G54" s="113"/>
      <c r="H54" s="113"/>
      <c r="I54" s="113"/>
      <c r="J54" s="113"/>
      <c r="K54" s="113"/>
      <c r="L54" s="113"/>
    </row>
    <row r="55" spans="1:21" ht="13.15">
      <c r="A55" s="125">
        <f>L52</f>
        <v>49442200.621790774</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39294809.264255419</v>
      </c>
      <c r="C56" s="118">
        <v>40705392.160921</v>
      </c>
      <c r="D56" s="118">
        <v>41108415.845682591</v>
      </c>
      <c r="E56" s="118">
        <v>41511439.53044419</v>
      </c>
      <c r="F56" s="118">
        <v>42317486.899967387</v>
      </c>
      <c r="G56" s="295"/>
      <c r="H56" s="295"/>
      <c r="I56" s="295"/>
      <c r="J56" s="295"/>
      <c r="K56" s="295"/>
      <c r="L56" s="295"/>
    </row>
    <row r="57" spans="1:21" ht="13.15">
      <c r="A57" s="131">
        <v>2</v>
      </c>
      <c r="B57" s="118">
        <v>38323488.175490849</v>
      </c>
      <c r="C57" s="118">
        <v>41036852.952387981</v>
      </c>
      <c r="D57" s="118">
        <v>41829128.105547786</v>
      </c>
      <c r="E57" s="118">
        <v>42628971.291617081</v>
      </c>
      <c r="F57" s="118">
        <v>44251361.762484126</v>
      </c>
      <c r="G57" s="295"/>
      <c r="H57" s="295"/>
      <c r="I57" s="295"/>
      <c r="J57" s="295"/>
      <c r="K57" s="295"/>
      <c r="L57" s="295"/>
    </row>
    <row r="58" spans="1:21" ht="13.15">
      <c r="A58" s="131">
        <v>3</v>
      </c>
      <c r="B58" s="118">
        <v>36480456.978145994</v>
      </c>
      <c r="C58" s="118">
        <v>41758393.865202621</v>
      </c>
      <c r="D58" s="118">
        <v>43348179.582424253</v>
      </c>
      <c r="E58" s="118">
        <v>44975098.730145462</v>
      </c>
      <c r="F58" s="118">
        <v>48342030.86291261</v>
      </c>
      <c r="G58" s="295"/>
      <c r="H58" s="295"/>
      <c r="I58" s="295"/>
      <c r="J58" s="295"/>
      <c r="K58" s="295"/>
      <c r="L58" s="295"/>
    </row>
    <row r="59" spans="1:21" ht="13.15">
      <c r="A59" s="131">
        <v>4</v>
      </c>
      <c r="B59" s="118">
        <v>35698295.474160969</v>
      </c>
      <c r="C59" s="118">
        <v>42055258.939719096</v>
      </c>
      <c r="D59" s="118">
        <v>44012841.535154343</v>
      </c>
      <c r="E59" s="118">
        <v>46035837.306309298</v>
      </c>
      <c r="F59" s="118">
        <v>50283881.18209742</v>
      </c>
      <c r="G59" s="295"/>
      <c r="H59" s="295"/>
      <c r="I59" s="295"/>
      <c r="J59" s="295"/>
      <c r="K59" s="295"/>
      <c r="L59" s="295"/>
    </row>
    <row r="60" spans="1:21" ht="13.15">
      <c r="A60" s="131">
        <v>5</v>
      </c>
      <c r="B60" s="118">
        <v>33912250.006451584</v>
      </c>
      <c r="C60" s="118">
        <v>42456830.811123587</v>
      </c>
      <c r="D60" s="118">
        <v>45187579.600498147</v>
      </c>
      <c r="E60" s="118">
        <v>48055989.247756459</v>
      </c>
      <c r="F60" s="118">
        <v>54226390.882006966</v>
      </c>
      <c r="G60" s="295"/>
      <c r="H60" s="295"/>
      <c r="I60" s="295"/>
      <c r="J60" s="295"/>
      <c r="K60" s="295"/>
      <c r="L60" s="295"/>
    </row>
    <row r="61" spans="1:21" ht="13.15">
      <c r="A61" s="131">
        <v>6</v>
      </c>
      <c r="B61" s="118">
        <v>33282410.270248335</v>
      </c>
      <c r="C61" s="118">
        <v>42722711.044129811</v>
      </c>
      <c r="D61" s="118">
        <v>45800550.318506494</v>
      </c>
      <c r="E61" s="118">
        <v>49062820.879799917</v>
      </c>
      <c r="F61" s="118">
        <v>56176249.549289532</v>
      </c>
      <c r="G61" s="295"/>
      <c r="H61" s="295"/>
      <c r="I61" s="295"/>
      <c r="J61" s="295"/>
      <c r="K61" s="295"/>
      <c r="L61" s="295"/>
    </row>
    <row r="62" spans="1:21" ht="13.15">
      <c r="A62" s="131">
        <v>7</v>
      </c>
      <c r="B62" s="118">
        <v>31772305.070584919</v>
      </c>
      <c r="C62" s="118">
        <v>43091610.434898809</v>
      </c>
      <c r="D62" s="118">
        <v>46921115.3904154</v>
      </c>
      <c r="E62" s="118">
        <v>51047693.29241851</v>
      </c>
      <c r="F62" s="118">
        <v>60269845.617588662</v>
      </c>
      <c r="G62" s="295"/>
      <c r="H62" s="295"/>
      <c r="I62" s="295"/>
      <c r="J62" s="295"/>
      <c r="K62" s="295"/>
      <c r="L62" s="295"/>
    </row>
    <row r="63" spans="1:21" ht="13.15">
      <c r="A63" s="131">
        <v>8</v>
      </c>
      <c r="B63" s="118">
        <v>31265123.252917543</v>
      </c>
      <c r="C63" s="118">
        <v>43329739.822192296</v>
      </c>
      <c r="D63" s="118">
        <v>47486414.937940791</v>
      </c>
      <c r="E63" s="118">
        <v>52003357.541897736</v>
      </c>
      <c r="F63" s="118">
        <v>62227745.660045624</v>
      </c>
      <c r="G63" s="295"/>
      <c r="H63" s="295"/>
      <c r="I63" s="295"/>
      <c r="J63" s="295"/>
      <c r="K63" s="295"/>
      <c r="L63" s="295"/>
    </row>
    <row r="64" spans="1:21" ht="13.15">
      <c r="A64" s="131">
        <v>9</v>
      </c>
      <c r="B64" s="118">
        <v>29985430.789499372</v>
      </c>
      <c r="C64" s="118">
        <v>43668924.517531663</v>
      </c>
      <c r="D64" s="118">
        <v>48555893.203200147</v>
      </c>
      <c r="E64" s="118">
        <v>53953957.96544759</v>
      </c>
      <c r="F64" s="118">
        <v>66476508.295287177</v>
      </c>
      <c r="G64" s="295"/>
      <c r="H64" s="295"/>
      <c r="I64" s="295"/>
      <c r="J64" s="295"/>
      <c r="K64" s="295"/>
      <c r="L64" s="295"/>
    </row>
    <row r="65" spans="1:21" ht="13.15">
      <c r="A65" s="131">
        <v>10</v>
      </c>
      <c r="B65" s="118">
        <v>29577019.917039946</v>
      </c>
      <c r="C65" s="118">
        <v>43882199.511507794</v>
      </c>
      <c r="D65" s="118">
        <v>49077229.001214668</v>
      </c>
      <c r="E65" s="118">
        <v>54861055.16885893</v>
      </c>
      <c r="F65" s="118">
        <v>68442482.876201451</v>
      </c>
      <c r="G65" s="295"/>
      <c r="H65" s="295"/>
      <c r="I65" s="295"/>
      <c r="J65" s="295"/>
      <c r="K65" s="295"/>
      <c r="L65" s="295"/>
    </row>
    <row r="66" spans="1:21" ht="13.15">
      <c r="A66" s="131">
        <v>15</v>
      </c>
      <c r="B66" s="118">
        <v>26182013.265766732</v>
      </c>
      <c r="C66" s="277">
        <v>45109007.321094677</v>
      </c>
      <c r="D66" s="118">
        <v>52931196.352911815</v>
      </c>
      <c r="E66" s="118">
        <v>62194921.817340575</v>
      </c>
      <c r="F66" s="118">
        <v>86118476.662859529</v>
      </c>
      <c r="G66" s="295"/>
      <c r="H66" s="295"/>
      <c r="I66" s="295"/>
      <c r="J66" s="295"/>
      <c r="K66" s="295"/>
      <c r="L66" s="295"/>
      <c r="M66" s="275"/>
      <c r="N66" s="275"/>
      <c r="O66" s="275"/>
      <c r="P66" s="275"/>
      <c r="Q66" s="275"/>
      <c r="R66" s="275"/>
      <c r="S66" s="275"/>
      <c r="T66" s="275"/>
      <c r="U66" s="275"/>
    </row>
    <row r="67" spans="1:21" ht="13.15">
      <c r="A67" s="132">
        <v>20</v>
      </c>
      <c r="B67" s="118">
        <v>24405942.890144631</v>
      </c>
      <c r="C67" s="277">
        <v>45992849.503548525</v>
      </c>
      <c r="D67" s="118">
        <v>55810739.105781317</v>
      </c>
      <c r="E67" s="118">
        <v>68021517.03733553</v>
      </c>
      <c r="F67" s="118">
        <v>102116299.36527073</v>
      </c>
      <c r="G67" s="295"/>
      <c r="H67" s="295"/>
      <c r="I67" s="295"/>
      <c r="J67" s="295"/>
      <c r="K67" s="295"/>
      <c r="L67" s="295"/>
      <c r="M67" s="275"/>
      <c r="N67" s="275"/>
      <c r="O67" s="275"/>
      <c r="P67" s="275"/>
      <c r="Q67" s="275"/>
      <c r="R67" s="275"/>
      <c r="S67" s="275"/>
      <c r="T67" s="275"/>
      <c r="U67" s="275"/>
    </row>
    <row r="68" spans="1:21" ht="13.15">
      <c r="A68" s="132">
        <v>25</v>
      </c>
      <c r="B68" s="118">
        <v>22913988.163416702</v>
      </c>
      <c r="C68" s="277">
        <v>46782479.797296107</v>
      </c>
      <c r="D68" s="118">
        <v>58777299.497877583</v>
      </c>
      <c r="E68" s="118">
        <v>74522090.587840945</v>
      </c>
      <c r="F68" s="118">
        <v>122535017.01035659</v>
      </c>
      <c r="G68" s="295"/>
      <c r="H68" s="295"/>
      <c r="I68" s="295"/>
      <c r="J68" s="295"/>
      <c r="K68" s="295"/>
      <c r="L68" s="295"/>
      <c r="M68" s="275"/>
      <c r="N68" s="275"/>
      <c r="O68" s="275"/>
      <c r="P68" s="275"/>
      <c r="Q68" s="275"/>
      <c r="R68" s="275"/>
      <c r="S68" s="275"/>
      <c r="T68" s="275"/>
      <c r="U68" s="275"/>
    </row>
    <row r="69" spans="1:21" ht="13.15">
      <c r="A69" s="132">
        <v>30</v>
      </c>
      <c r="B69" s="118">
        <v>22144563.180908356</v>
      </c>
      <c r="C69" s="277">
        <v>47340394.99817723</v>
      </c>
      <c r="D69" s="118">
        <v>60942389.29635264</v>
      </c>
      <c r="E69" s="118">
        <v>79561597.588405669</v>
      </c>
      <c r="F69" s="118">
        <v>140552172.92891839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28.406144571860672</v>
      </c>
      <c r="C73" s="119">
        <f>C11</f>
        <v>28.406144571860672</v>
      </c>
      <c r="D73" s="119">
        <f>C11</f>
        <v>28.406144571860672</v>
      </c>
      <c r="E73" s="119">
        <f>C11</f>
        <v>28.406144571860672</v>
      </c>
      <c r="F73" s="119">
        <f>C11</f>
        <v>28.406144571860672</v>
      </c>
      <c r="G73" s="296"/>
      <c r="H73" s="296"/>
      <c r="I73" s="296"/>
      <c r="J73" s="296"/>
      <c r="K73" s="296"/>
      <c r="L73" s="296"/>
    </row>
    <row r="74" spans="1:21" ht="13.15">
      <c r="A74" s="131">
        <v>1</v>
      </c>
      <c r="B74" s="119">
        <f t="shared" ref="B74:F87" si="11">(B56+FV_adjustments)/Common_Shares*scaling_factor*Exchange_Rate</f>
        <v>23.609318249098934</v>
      </c>
      <c r="C74" s="119">
        <f t="shared" si="11"/>
        <v>24.226458686118907</v>
      </c>
      <c r="D74" s="119">
        <f t="shared" si="11"/>
        <v>24.402784525267467</v>
      </c>
      <c r="E74" s="119">
        <f t="shared" si="11"/>
        <v>24.579110364416032</v>
      </c>
      <c r="F74" s="119">
        <f t="shared" si="11"/>
        <v>24.931762042713164</v>
      </c>
      <c r="G74" s="296"/>
      <c r="H74" s="296"/>
      <c r="I74" s="296"/>
      <c r="J74" s="296"/>
      <c r="K74" s="296"/>
      <c r="L74" s="296"/>
    </row>
    <row r="75" spans="1:21" ht="13.15">
      <c r="A75" s="131">
        <v>2</v>
      </c>
      <c r="B75" s="119">
        <f t="shared" si="11"/>
        <v>23.184358097785687</v>
      </c>
      <c r="C75" s="119">
        <f t="shared" si="11"/>
        <v>24.371475230828519</v>
      </c>
      <c r="D75" s="119">
        <f t="shared" si="11"/>
        <v>24.718101462733713</v>
      </c>
      <c r="E75" s="119">
        <f t="shared" si="11"/>
        <v>25.068038764940546</v>
      </c>
      <c r="F75" s="119">
        <f t="shared" si="11"/>
        <v>25.777846580259112</v>
      </c>
      <c r="G75" s="296"/>
      <c r="H75" s="296"/>
      <c r="I75" s="296"/>
      <c r="J75" s="296"/>
      <c r="K75" s="296"/>
      <c r="L75" s="296"/>
    </row>
    <row r="76" spans="1:21" ht="13.15">
      <c r="A76" s="131">
        <v>3</v>
      </c>
      <c r="B76" s="119">
        <f t="shared" si="11"/>
        <v>22.378018334798675</v>
      </c>
      <c r="C76" s="119">
        <f t="shared" si="11"/>
        <v>24.687154710081263</v>
      </c>
      <c r="D76" s="119">
        <f t="shared" si="11"/>
        <v>25.382697704834353</v>
      </c>
      <c r="E76" s="119">
        <f t="shared" si="11"/>
        <v>26.094486849729158</v>
      </c>
      <c r="F76" s="119">
        <f t="shared" si="11"/>
        <v>27.567544528752702</v>
      </c>
      <c r="G76" s="296"/>
      <c r="H76" s="296"/>
      <c r="I76" s="296"/>
      <c r="J76" s="296"/>
      <c r="K76" s="296"/>
      <c r="L76" s="296"/>
    </row>
    <row r="77" spans="1:21" ht="13.15">
      <c r="A77" s="131">
        <v>4</v>
      </c>
      <c r="B77" s="119">
        <f t="shared" si="11"/>
        <v>22.035816899115204</v>
      </c>
      <c r="C77" s="119">
        <f t="shared" si="11"/>
        <v>24.817035373072528</v>
      </c>
      <c r="D77" s="119">
        <f t="shared" si="11"/>
        <v>25.673492218895188</v>
      </c>
      <c r="E77" s="119">
        <f t="shared" si="11"/>
        <v>26.558567812290903</v>
      </c>
      <c r="F77" s="119">
        <f t="shared" si="11"/>
        <v>28.417118387504235</v>
      </c>
      <c r="G77" s="296"/>
      <c r="H77" s="296"/>
      <c r="I77" s="296"/>
      <c r="J77" s="296"/>
      <c r="K77" s="296"/>
      <c r="L77" s="296"/>
    </row>
    <row r="78" spans="1:21" ht="13.15">
      <c r="A78" s="131">
        <v>5</v>
      </c>
      <c r="B78" s="119">
        <f t="shared" si="11"/>
        <v>21.254408813787318</v>
      </c>
      <c r="C78" s="119">
        <f t="shared" si="11"/>
        <v>24.992726033153065</v>
      </c>
      <c r="D78" s="119">
        <f t="shared" si="11"/>
        <v>26.187448800067429</v>
      </c>
      <c r="E78" s="119">
        <f t="shared" si="11"/>
        <v>27.442399209182579</v>
      </c>
      <c r="F78" s="119">
        <f t="shared" si="11"/>
        <v>30.141995503843248</v>
      </c>
      <c r="G78" s="296"/>
      <c r="H78" s="296"/>
      <c r="I78" s="296"/>
      <c r="J78" s="296"/>
      <c r="K78" s="296"/>
      <c r="L78" s="296"/>
    </row>
    <row r="79" spans="1:21" ht="13.15">
      <c r="A79" s="131">
        <v>6</v>
      </c>
      <c r="B79" s="119">
        <f t="shared" si="11"/>
        <v>20.978849276682588</v>
      </c>
      <c r="C79" s="119">
        <f t="shared" si="11"/>
        <v>25.109050599104002</v>
      </c>
      <c r="D79" s="119">
        <f t="shared" si="11"/>
        <v>26.455628017103408</v>
      </c>
      <c r="E79" s="119">
        <f t="shared" si="11"/>
        <v>27.882895485490501</v>
      </c>
      <c r="F79" s="119">
        <f t="shared" si="11"/>
        <v>30.995073074043816</v>
      </c>
      <c r="G79" s="296"/>
      <c r="H79" s="296"/>
      <c r="I79" s="296"/>
      <c r="J79" s="296"/>
      <c r="K79" s="296"/>
      <c r="L79" s="296"/>
    </row>
    <row r="80" spans="1:21" ht="13.15">
      <c r="A80" s="131">
        <f t="shared" ref="A80" si="12">A62</f>
        <v>7</v>
      </c>
      <c r="B80" s="119">
        <f t="shared" si="11"/>
        <v>20.318167096947242</v>
      </c>
      <c r="C80" s="119">
        <f t="shared" si="11"/>
        <v>25.270446807560621</v>
      </c>
      <c r="D80" s="119">
        <f t="shared" si="11"/>
        <v>26.945883513481469</v>
      </c>
      <c r="E80" s="119">
        <f t="shared" si="11"/>
        <v>28.751291827915981</v>
      </c>
      <c r="F80" s="119">
        <f t="shared" si="11"/>
        <v>32.786051592601808</v>
      </c>
      <c r="G80" s="296"/>
      <c r="H80" s="296"/>
      <c r="I80" s="296"/>
      <c r="J80" s="296"/>
      <c r="K80" s="296"/>
      <c r="L80" s="296"/>
    </row>
    <row r="81" spans="1:12" ht="13.15">
      <c r="A81" s="131">
        <v>8</v>
      </c>
      <c r="B81" s="119">
        <f t="shared" si="11"/>
        <v>20.096271305254511</v>
      </c>
      <c r="C81" s="119">
        <f t="shared" si="11"/>
        <v>25.374630173521595</v>
      </c>
      <c r="D81" s="119">
        <f t="shared" si="11"/>
        <v>27.193206241292565</v>
      </c>
      <c r="E81" s="119">
        <f t="shared" si="11"/>
        <v>29.169401996387563</v>
      </c>
      <c r="F81" s="119">
        <f t="shared" si="11"/>
        <v>33.642647323841402</v>
      </c>
      <c r="G81" s="296"/>
      <c r="H81" s="296"/>
      <c r="I81" s="296"/>
      <c r="J81" s="296"/>
      <c r="K81" s="296"/>
      <c r="L81" s="296"/>
    </row>
    <row r="82" spans="1:12" ht="13.15">
      <c r="A82" s="131">
        <f t="shared" ref="A82" si="13">A64</f>
        <v>9</v>
      </c>
      <c r="B82" s="119">
        <f t="shared" si="11"/>
        <v>19.536396399644985</v>
      </c>
      <c r="C82" s="119">
        <f t="shared" si="11"/>
        <v>25.523025983230504</v>
      </c>
      <c r="D82" s="119">
        <f t="shared" si="11"/>
        <v>27.661110882392148</v>
      </c>
      <c r="E82" s="119">
        <f t="shared" si="11"/>
        <v>30.022804090434288</v>
      </c>
      <c r="F82" s="119">
        <f t="shared" si="11"/>
        <v>35.501512361624961</v>
      </c>
      <c r="G82" s="296"/>
      <c r="H82" s="296"/>
      <c r="I82" s="296"/>
      <c r="J82" s="296"/>
      <c r="K82" s="296"/>
      <c r="L82" s="296"/>
    </row>
    <row r="83" spans="1:12" ht="13.15">
      <c r="A83" s="131">
        <f t="shared" ref="A83:A87" si="14">A65</f>
        <v>10</v>
      </c>
      <c r="B83" s="119">
        <f t="shared" si="11"/>
        <v>19.357713626084408</v>
      </c>
      <c r="C83" s="119">
        <f t="shared" si="11"/>
        <v>25.616335368520083</v>
      </c>
      <c r="D83" s="119">
        <f t="shared" si="11"/>
        <v>27.889199145039726</v>
      </c>
      <c r="E83" s="119">
        <f t="shared" si="11"/>
        <v>30.419665817494909</v>
      </c>
      <c r="F83" s="119">
        <f t="shared" si="11"/>
        <v>36.361640763084822</v>
      </c>
      <c r="G83" s="296"/>
      <c r="H83" s="296"/>
      <c r="I83" s="296"/>
      <c r="J83" s="296"/>
      <c r="K83" s="296"/>
      <c r="L83" s="296"/>
    </row>
    <row r="84" spans="1:12" ht="13.15">
      <c r="A84" s="131">
        <f t="shared" si="14"/>
        <v>15</v>
      </c>
      <c r="B84" s="119">
        <f t="shared" si="11"/>
        <v>17.872373137832906</v>
      </c>
      <c r="C84" s="119">
        <f t="shared" si="11"/>
        <v>26.153072847428749</v>
      </c>
      <c r="D84" s="119">
        <f t="shared" si="11"/>
        <v>29.575338329988998</v>
      </c>
      <c r="E84" s="119">
        <f t="shared" si="11"/>
        <v>33.628286650193964</v>
      </c>
      <c r="F84" s="119">
        <f t="shared" si="11"/>
        <v>44.095018614217743</v>
      </c>
      <c r="G84" s="296"/>
      <c r="H84" s="296"/>
      <c r="I84" s="296"/>
      <c r="J84" s="296"/>
      <c r="K84" s="296"/>
      <c r="L84" s="296"/>
    </row>
    <row r="85" spans="1:12" ht="13.15">
      <c r="A85" s="132">
        <f t="shared" si="14"/>
        <v>20</v>
      </c>
      <c r="B85" s="119">
        <f t="shared" si="11"/>
        <v>17.095329228977466</v>
      </c>
      <c r="C85" s="119">
        <f t="shared" si="11"/>
        <v>26.539760331039691</v>
      </c>
      <c r="D85" s="119">
        <f t="shared" si="11"/>
        <v>30.835159555047348</v>
      </c>
      <c r="E85" s="119">
        <f t="shared" si="11"/>
        <v>36.177465098980072</v>
      </c>
      <c r="F85" s="119">
        <f t="shared" si="11"/>
        <v>51.094184219636794</v>
      </c>
      <c r="G85" s="296"/>
      <c r="H85" s="296"/>
      <c r="I85" s="296"/>
      <c r="J85" s="296"/>
      <c r="K85" s="296"/>
      <c r="L85" s="296"/>
    </row>
    <row r="86" spans="1:12" ht="13.15">
      <c r="A86" s="132">
        <f t="shared" si="14"/>
        <v>25</v>
      </c>
      <c r="B86" s="119">
        <f t="shared" si="11"/>
        <v>16.442588015225759</v>
      </c>
      <c r="C86" s="119">
        <f t="shared" si="11"/>
        <v>26.885229417414926</v>
      </c>
      <c r="D86" s="119">
        <f t="shared" si="11"/>
        <v>32.133051640051455</v>
      </c>
      <c r="E86" s="119">
        <f t="shared" si="11"/>
        <v>39.021514045924384</v>
      </c>
      <c r="F86" s="119">
        <f t="shared" si="11"/>
        <v>60.027524018852596</v>
      </c>
      <c r="G86" s="296"/>
      <c r="H86" s="296"/>
      <c r="I86" s="296"/>
      <c r="J86" s="296"/>
      <c r="K86" s="296"/>
      <c r="L86" s="296"/>
    </row>
    <row r="87" spans="1:12" ht="13.15">
      <c r="A87" s="132">
        <f t="shared" si="14"/>
        <v>30</v>
      </c>
      <c r="B87" s="119">
        <f t="shared" si="11"/>
        <v>16.10595890177078</v>
      </c>
      <c r="C87" s="119">
        <f t="shared" si="11"/>
        <v>27.129321439022288</v>
      </c>
      <c r="D87" s="119">
        <f t="shared" si="11"/>
        <v>33.080294420023407</v>
      </c>
      <c r="E87" s="119">
        <f t="shared" si="11"/>
        <v>41.226335584626952</v>
      </c>
      <c r="F87" s="119">
        <f t="shared" si="11"/>
        <v>67.910162822798284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36.361640763084822</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30.419665817494909</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27.889199145039726</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25.616335368520083</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19.357713626084408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2533265.3916731784</v>
      </c>
      <c r="D8" s="469"/>
      <c r="E8" s="469"/>
      <c r="F8" s="469"/>
      <c r="G8" s="469"/>
    </row>
    <row r="9" spans="2:7">
      <c r="B9" s="97" t="s">
        <v>54</v>
      </c>
      <c r="C9" s="447">
        <f>Normalized_FCF!C19</f>
        <v>2586849.9278593771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-6.3672732128963849E-2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30.419665817494909</v>
      </c>
      <c r="F22" s="328">
        <f>1-F23-F24</f>
        <v>0.24999999999999994</v>
      </c>
      <c r="G22" s="328">
        <f>F22*(1-F$29-F$30)</f>
        <v>0.22499999999999992</v>
      </c>
    </row>
    <row r="23" spans="2:7">
      <c r="B23" s="302" t="s">
        <v>437</v>
      </c>
      <c r="C23" s="324">
        <v>0.04</v>
      </c>
      <c r="D23" s="325">
        <f>C18</f>
        <v>10</v>
      </c>
      <c r="E23" s="326">
        <f>DCF!E92</f>
        <v>27.889199145039726</v>
      </c>
      <c r="F23" s="327">
        <v>0.55000000000000004</v>
      </c>
      <c r="G23" s="328">
        <f t="shared" ref="G23:G24" si="0">F23*(1-F$29-F$30)</f>
        <v>0.495</v>
      </c>
    </row>
    <row r="24" spans="2:7">
      <c r="B24" s="302" t="s">
        <v>446</v>
      </c>
      <c r="C24" s="324">
        <v>0.02</v>
      </c>
      <c r="D24" s="325">
        <f>C18</f>
        <v>10</v>
      </c>
      <c r="E24" s="326">
        <f>DCF!E93</f>
        <v>25.616335368520083</v>
      </c>
      <c r="F24" s="327">
        <v>0.2</v>
      </c>
      <c r="G24" s="328">
        <f t="shared" si="0"/>
        <v>0.18</v>
      </c>
    </row>
    <row r="25" spans="2:7">
      <c r="B25" s="141" t="s">
        <v>451</v>
      </c>
      <c r="C25" s="441">
        <f>E23*F23+E24*F24+E22*F22</f>
        <v>28.067243057849591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36.361640763084822</v>
      </c>
      <c r="F29" s="327">
        <v>0.05</v>
      </c>
      <c r="G29" s="328">
        <f>F29</f>
        <v>0.05</v>
      </c>
    </row>
    <row r="30" spans="2:7">
      <c r="B30" s="315" t="s">
        <v>447</v>
      </c>
      <c r="C30" s="324">
        <v>-0.05</v>
      </c>
      <c r="D30" s="325">
        <f>C18</f>
        <v>10</v>
      </c>
      <c r="E30" s="326">
        <f>DCF!E94</f>
        <v>19.357713626084408</v>
      </c>
      <c r="F30" s="327">
        <v>0.05</v>
      </c>
      <c r="G30" s="328">
        <f>F30</f>
        <v>0.05</v>
      </c>
    </row>
    <row r="31" spans="2:7">
      <c r="E31" s="329"/>
      <c r="F31" s="329"/>
    </row>
    <row r="32" spans="2:7" ht="13.15">
      <c r="B32" s="145" t="s">
        <v>456</v>
      </c>
    </row>
    <row r="33" spans="2:7">
      <c r="B33" s="97" t="s">
        <v>458</v>
      </c>
      <c r="C33" s="155">
        <f>Normalized_FCF!C88*(1-dividend_tax_rate)</f>
        <v>0.51712219703912232</v>
      </c>
      <c r="D33" t="str">
        <f>Market_currency</f>
        <v>HKD</v>
      </c>
      <c r="E33" s="97" t="s">
        <v>455</v>
      </c>
      <c r="F33" s="219">
        <f>Holding_Period</f>
        <v>3</v>
      </c>
    </row>
    <row r="34" spans="2:7">
      <c r="B34" s="97" t="s">
        <v>233</v>
      </c>
      <c r="C34" s="146">
        <f>Market_Price</f>
        <v>22</v>
      </c>
      <c r="D34" t="str">
        <f>Market_currency</f>
        <v>HKD</v>
      </c>
      <c r="E34" s="97" t="s">
        <v>454</v>
      </c>
      <c r="F34" s="330">
        <f>RATE(Holding_Period,$C$33,-C34,$C$36)</f>
        <v>0.10605475649102321</v>
      </c>
    </row>
    <row r="35" spans="2:7">
      <c r="B35" s="97" t="s">
        <v>434</v>
      </c>
      <c r="C35" s="320">
        <f>DCF!C11</f>
        <v>28.406144571860672</v>
      </c>
      <c r="D35" s="97" t="str">
        <f>Market_currency</f>
        <v>HKD</v>
      </c>
      <c r="E35" s="97" t="s">
        <v>454</v>
      </c>
      <c r="F35" s="330">
        <f>RATE(Holding_Period,$C$33,-C35,$C$36)</f>
        <v>1.4042879230169416E-2</v>
      </c>
    </row>
    <row r="36" spans="2:7">
      <c r="B36" s="97" t="s">
        <v>435</v>
      </c>
      <c r="C36" s="321">
        <f>E22*G22+E23*G23+E24*G24+E30*G30+E29*G29</f>
        <v>28.046486471523096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28.048876925023205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0.22881828490816494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0.51712219703912232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0.94625686729356573</v>
      </c>
      <c r="D62" s="119">
        <f>C36/(1+F62)^Holding_Period</f>
        <v>12.924648143559033</v>
      </c>
      <c r="E62" s="332">
        <f>C62+D62</f>
        <v>13.870905010852598</v>
      </c>
      <c r="F62" s="301">
        <f>Thesis!E22</f>
        <v>0.29465259038036606</v>
      </c>
      <c r="G62" s="440">
        <f>(1-E62/C36)</f>
        <v>0.50543163312323014</v>
      </c>
    </row>
    <row r="63" spans="2:7" ht="13.15">
      <c r="B63" s="302" t="s">
        <v>313</v>
      </c>
      <c r="C63" s="119">
        <f>PV(F63, Holding_Period, -C58, 0)</f>
        <v>1.0880271437907714</v>
      </c>
      <c r="D63" s="119">
        <f>C36/(1+F63)^Holding_Period</f>
        <v>16.20013659004945</v>
      </c>
      <c r="E63" s="332">
        <f>C63+D63</f>
        <v>17.288163733840221</v>
      </c>
      <c r="F63" s="301">
        <f>Thesis!E23</f>
        <v>0.20075184365903009</v>
      </c>
      <c r="G63" s="440">
        <f>(1-E63/C36)</f>
        <v>0.38358896571969181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1.2476106290688485</v>
      </c>
      <c r="D66" s="119">
        <f>C36/(1+F66)^Holding_Period</f>
        <v>20.102610666013238</v>
      </c>
      <c r="E66" s="332">
        <f>C66+D66</f>
        <v>21.350221295082086</v>
      </c>
      <c r="F66" s="301">
        <f>Thesis!E24</f>
        <v>0.1174</v>
      </c>
      <c r="G66" s="440">
        <f>(1-E66/C36)</f>
        <v>0.23875593769080627</v>
      </c>
    </row>
    <row r="67" spans="2:7" ht="13.15">
      <c r="B67" s="302" t="s">
        <v>314</v>
      </c>
      <c r="C67" s="119">
        <f>PV(F67, Holding_Period, -C58, 0)</f>
        <v>1.3509172169662864</v>
      </c>
      <c r="D67" s="119">
        <f>C36/(1+F67)^Holding_Period</f>
        <v>22.734560352632965</v>
      </c>
      <c r="E67" s="332">
        <f>C67+D67</f>
        <v>24.085477569599252</v>
      </c>
      <c r="F67" s="301">
        <f>Thesis!E25</f>
        <v>7.2499999999999995E-2</v>
      </c>
      <c r="G67" s="440">
        <f>(1-E67/C36)</f>
        <v>0.14123012898409359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22</v>
      </c>
    </row>
    <row r="9" spans="1:10">
      <c r="B9" s="351" t="s">
        <v>361</v>
      </c>
      <c r="C9" s="353">
        <f>Common_Shares</f>
        <v>2584811005</v>
      </c>
    </row>
    <row r="10" spans="1:10">
      <c r="B10" s="351" t="s">
        <v>367</v>
      </c>
      <c r="C10" s="357">
        <f>投资主题!C8*Common_Shares/1000000</f>
        <v>56865.842109999998</v>
      </c>
      <c r="D10" s="343" t="s">
        <v>529</v>
      </c>
      <c r="E10" s="360">
        <f>Scenarios!F34</f>
        <v>0.10605475649102321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1.1308739082336425</v>
      </c>
    </row>
    <row r="17" spans="1:6">
      <c r="B17" s="343" t="s">
        <v>535</v>
      </c>
      <c r="C17" s="424">
        <f>Terminal_Growth</f>
        <v>0.02</v>
      </c>
      <c r="D17" s="351" t="s">
        <v>339</v>
      </c>
      <c r="E17" s="344" t="str">
        <f>Reporting_currency</f>
        <v>CNY</v>
      </c>
    </row>
    <row r="18" spans="1:6">
      <c r="B18" s="343" t="str">
        <f>"预期股权价值 ("&amp;C7&amp;") :"</f>
        <v>预期股权价值 (HKD) :</v>
      </c>
      <c r="C18" s="359">
        <f>C125</f>
        <v>28.046486471523096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13.870905010852598</v>
      </c>
      <c r="D22" s="365" t="s">
        <v>440</v>
      </c>
      <c r="E22" s="366">
        <f>Thesis!E22</f>
        <v>0.29465259038036606</v>
      </c>
    </row>
    <row r="23" spans="1:6">
      <c r="B23" s="343" t="s">
        <v>341</v>
      </c>
      <c r="C23" s="367">
        <f>E141</f>
        <v>17.288163733840221</v>
      </c>
      <c r="D23" s="365" t="s">
        <v>441</v>
      </c>
      <c r="E23" s="368">
        <f>Thesis!E23</f>
        <v>0.20075184365903009</v>
      </c>
    </row>
    <row r="24" spans="1:6">
      <c r="B24" s="343" t="s">
        <v>343</v>
      </c>
      <c r="C24" s="367">
        <f>E144</f>
        <v>21.350221295082086</v>
      </c>
      <c r="D24" s="365" t="s">
        <v>443</v>
      </c>
      <c r="E24" s="368">
        <f>Thesis!E24</f>
        <v>0.1174</v>
      </c>
    </row>
    <row r="25" spans="1:6">
      <c r="B25" s="343" t="s">
        <v>342</v>
      </c>
      <c r="C25" s="367">
        <f>E145</f>
        <v>24.085477569599252</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26483.0171458365</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-80155.762854163506</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-862283.30928645912</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2533265.3916731784</v>
      </c>
      <c r="D60" s="343" t="str">
        <f>Reporting_currency</f>
        <v>CNY</v>
      </c>
    </row>
    <row r="61" spans="2:6">
      <c r="B61" s="372" t="s">
        <v>213</v>
      </c>
      <c r="C61" s="373">
        <f>Normalized_FCF!C19</f>
        <v>2586849.9278593771</v>
      </c>
      <c r="D61" s="343" t="str">
        <f>Reporting_currency</f>
        <v>CNY</v>
      </c>
    </row>
    <row r="62" spans="2:6">
      <c r="B62" s="377" t="s">
        <v>302</v>
      </c>
      <c r="C62" s="378">
        <f>Normalized_FCF!C124</f>
        <v>5.1443906911172094E-2</v>
      </c>
      <c r="F62" s="379"/>
    </row>
    <row r="63" spans="2:6">
      <c r="B63" s="377" t="s">
        <v>332</v>
      </c>
      <c r="C63" s="378">
        <f>Normalized_FCF!C92</f>
        <v>2.3505554410869198E-2</v>
      </c>
      <c r="E63" s="372" t="s">
        <v>373</v>
      </c>
      <c r="F63" s="380">
        <f>Normalized_FCF!C90</f>
        <v>0.51671460777107903</v>
      </c>
    </row>
    <row r="65" spans="1:6">
      <c r="B65" s="369" t="s">
        <v>376</v>
      </c>
      <c r="C65" s="381" t="s">
        <v>327</v>
      </c>
      <c r="D65" s="381" t="s">
        <v>374</v>
      </c>
    </row>
    <row r="66" spans="1:6">
      <c r="B66" s="372" t="s">
        <v>326</v>
      </c>
      <c r="C66" s="378">
        <f>Normalized_FCF!E119</f>
        <v>0.2</v>
      </c>
      <c r="D66" s="378">
        <f>Normalized_FCF!G119</f>
        <v>0.13360806100143199</v>
      </c>
    </row>
    <row r="67" spans="1:6">
      <c r="B67" s="382" t="str">
        <f>Normalized_FCF!B116</f>
        <v>Pre-tax Profit/Sales</v>
      </c>
      <c r="C67" s="383">
        <f>Normalized_FCF!E116</f>
        <v>0.13430424833028851</v>
      </c>
      <c r="D67" s="383">
        <f>Normalized_FCF!G116</f>
        <v>0.12658674791261623</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-0.77758756619981961</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14777019.809027251</v>
      </c>
      <c r="D84" s="343" t="str">
        <f>Reporting_currency</f>
        <v>CNY</v>
      </c>
    </row>
    <row r="85" spans="1:6">
      <c r="B85" s="382" t="s">
        <v>481</v>
      </c>
      <c r="C85" s="390">
        <f>BS!C66</f>
        <v>19190856</v>
      </c>
      <c r="D85" s="391" t="str">
        <f>Reporting_currency</f>
        <v>CNY</v>
      </c>
    </row>
    <row r="86" spans="1:6">
      <c r="B86" s="372" t="s">
        <v>235</v>
      </c>
      <c r="C86" s="387">
        <f>C84*scaling_factor*Exchange_Rate/Common_Shares</f>
        <v>6.4650553217064317</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0.73008117660735372</v>
      </c>
      <c r="D90" s="343" t="str">
        <f>Market_currency</f>
        <v>HKD</v>
      </c>
    </row>
    <row r="92" spans="1:6">
      <c r="B92" s="372" t="s">
        <v>480</v>
      </c>
      <c r="C92" s="387">
        <f>DCF!F8</f>
        <v>6.4175489321139674</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5.6408461331530324</v>
      </c>
      <c r="D111" s="343" t="str">
        <f>Market_currency</f>
        <v>HKD</v>
      </c>
    </row>
    <row r="112" spans="1:6">
      <c r="A112" s="385"/>
      <c r="B112" s="372" t="s">
        <v>377</v>
      </c>
      <c r="C112" s="394">
        <f>DCF!C11</f>
        <v>28.406144571860672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36.36 HKD</v>
      </c>
      <c r="F118" s="399">
        <f>DCF!F90</f>
        <v>0.05</v>
      </c>
    </row>
    <row r="119" spans="1:6">
      <c r="A119" s="385"/>
      <c r="B119" s="400" t="str">
        <f>DCF!B91</f>
        <v>Optimistic</v>
      </c>
      <c r="C119" s="401">
        <f>DCF!C91</f>
        <v>0.06</v>
      </c>
      <c r="D119" s="402">
        <f>DCF!D91</f>
        <v>10</v>
      </c>
      <c r="E119" s="398" t="str">
        <f>ROUND(DCF!E91,2)&amp;" "&amp;Market_currency</f>
        <v>30.42 HKD</v>
      </c>
      <c r="F119" s="403">
        <f>DCF!F91</f>
        <v>0.22499999999999992</v>
      </c>
    </row>
    <row r="120" spans="1:6">
      <c r="B120" s="400" t="str">
        <f>DCF!B92</f>
        <v>Base</v>
      </c>
      <c r="C120" s="401">
        <f>DCF!C92</f>
        <v>0.04</v>
      </c>
      <c r="D120" s="402">
        <f>DCF!D92</f>
        <v>10</v>
      </c>
      <c r="E120" s="398" t="str">
        <f>ROUND(DCF!E92,2)&amp;" "&amp;Market_currency</f>
        <v>27.89 HKD</v>
      </c>
      <c r="F120" s="403">
        <f>DCF!F92</f>
        <v>0.495</v>
      </c>
    </row>
    <row r="121" spans="1:6">
      <c r="B121" s="400" t="str">
        <f>DCF!B93</f>
        <v>Pessimistic</v>
      </c>
      <c r="C121" s="401">
        <f>DCF!C93</f>
        <v>0.02</v>
      </c>
      <c r="D121" s="402">
        <f>DCF!D93</f>
        <v>10</v>
      </c>
      <c r="E121" s="398" t="str">
        <f>ROUND(DCF!E93,2)&amp;" "&amp;Market_currency</f>
        <v>25.62 HKD</v>
      </c>
      <c r="F121" s="403">
        <f>DCF!F93</f>
        <v>0.18</v>
      </c>
    </row>
    <row r="122" spans="1:6">
      <c r="B122" s="400" t="str">
        <f>DCF!B94</f>
        <v>Devil's advocate</v>
      </c>
      <c r="C122" s="401">
        <f>DCF!C94</f>
        <v>-0.05</v>
      </c>
      <c r="D122" s="402">
        <f>DCF!D94</f>
        <v>10</v>
      </c>
      <c r="E122" s="398" t="str">
        <f>ROUND(DCF!E94,2)&amp;" "&amp;Market_currency</f>
        <v>19.36 HKD</v>
      </c>
      <c r="F122" s="403">
        <f>DCF!F94</f>
        <v>0.05</v>
      </c>
    </row>
    <row r="124" spans="1:6">
      <c r="B124" s="470" t="s">
        <v>519</v>
      </c>
      <c r="C124" s="470"/>
      <c r="D124" s="470"/>
      <c r="E124" s="470"/>
      <c r="F124" s="470"/>
    </row>
    <row r="125" spans="1:6">
      <c r="B125" s="372" t="s">
        <v>218</v>
      </c>
      <c r="C125" s="404">
        <f>Scenarios!C36</f>
        <v>28.046486471523096</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0.51712219703912232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0.94625686729356573</v>
      </c>
      <c r="D140" s="409">
        <f>Scenarios!D62</f>
        <v>12.924648143559033</v>
      </c>
      <c r="E140" s="410">
        <f>Scenarios!E62</f>
        <v>13.870905010852598</v>
      </c>
      <c r="F140" s="411">
        <f>E22</f>
        <v>0.29465259038036606</v>
      </c>
    </row>
    <row r="141" spans="1:6">
      <c r="B141" s="408" t="s">
        <v>313</v>
      </c>
      <c r="C141" s="409">
        <f>Scenarios!C63</f>
        <v>1.0880271437907714</v>
      </c>
      <c r="D141" s="409">
        <f>Scenarios!D63</f>
        <v>16.20013659004945</v>
      </c>
      <c r="E141" s="410">
        <f>Scenarios!E63</f>
        <v>17.288163733840221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1.2476106290688485</v>
      </c>
      <c r="D144" s="409">
        <f>Scenarios!D66</f>
        <v>20.102610666013238</v>
      </c>
      <c r="E144" s="410">
        <f>Scenarios!E66</f>
        <v>21.350221295082086</v>
      </c>
      <c r="F144" s="411">
        <f>E24</f>
        <v>0.1174</v>
      </c>
    </row>
    <row r="145" spans="1:6">
      <c r="B145" s="408" t="s">
        <v>314</v>
      </c>
      <c r="C145" s="409">
        <f>Scenarios!C67</f>
        <v>1.3509172169662864</v>
      </c>
      <c r="D145" s="409">
        <f>Scenarios!D67</f>
        <v>22.734560352632965</v>
      </c>
      <c r="E145" s="410">
        <f>Scenarios!E67</f>
        <v>24.085477569599252</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