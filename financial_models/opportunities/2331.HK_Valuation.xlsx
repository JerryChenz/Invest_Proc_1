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0BEF47-56DB-453E-9D50-11BA0C133FA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<sst xmlns="http://schemas.openxmlformats.org/spreadsheetml/2006/main" count="685" uniqueCount="466">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</sst>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15.5</v>
      </c>
      <c r="D12" s="50"/>
      <c r="E12" s="48"/>
    </row>
    <row r="13" spans="1:10">
      <c r="B13" s="1" t="s">
        <v>416</v>
      </c>
      <c r="C13" s="48" t="s">
        <v>396</v>
      </c>
      <c r="D13" s="48"/>
      <c r="E13" s="5"/>
    </row>
    <row r="14" spans="1:10">
      <c r="B14" s="4" t="s">
        <v>420</v>
      </c>
      <c r="C14" s="35">
        <f>Thesis!C12*Common_Shares/1000000</f>
        <v>40064.367543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1.0903214400000001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25.541516585377398</v>
      </c>
      <c r="D26" s="1" t="s">
        <v>399</v>
      </c>
      <c r="E26" s="301">
        <f ca="1">Scenarios!C87</f>
        <v>0.21079867997820578</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10.878753004194323</v>
      </c>
      <c r="D29" s="310" t="str">
        <f>D149</f>
        <v/>
      </c>
      <c r="E29" s="306" t="s">
        <v>424</v>
      </c>
      <c r="F29" s="302">
        <v>0.3674</v>
      </c>
    </row>
    <row r="30" spans="2:6">
      <c r="B30" s="1" t="s">
        <v>426</v>
      </c>
      <c r="C30" s="311">
        <f>C157</f>
        <v>15.255947168842157</v>
      </c>
      <c r="D30" s="311" t="str">
        <f>D157</f>
        <v/>
      </c>
      <c r="E30" s="307" t="s">
        <v>437</v>
      </c>
      <c r="F30" s="312">
        <v>0.21740000000000001</v>
      </c>
    </row>
    <row r="31" spans="2:6">
      <c r="B31" s="1" t="s">
        <v>427</v>
      </c>
      <c r="C31" s="311">
        <f>C165</f>
        <v>21.954720256034221</v>
      </c>
      <c r="D31" s="311" t="str">
        <f>D165</f>
        <v/>
      </c>
      <c r="E31" s="307" t="s">
        <v>436</v>
      </c>
      <c r="F31" s="312">
        <v>7.4999999999999997E-2</v>
      </c>
    </row>
    <row r="32" spans="2:6">
      <c r="B32" s="1" t="s">
        <v>428</v>
      </c>
      <c r="C32" s="311">
        <f>C173</f>
        <v>19.601160640657675</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3205414.6239021346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179409.3</v>
      </c>
      <c r="D48" s="1" t="str">
        <f>Reporting_currency</f>
        <v>CNY</v>
      </c>
    </row>
    <row r="50" spans="2:6">
      <c r="B50" s="357" t="s">
        <v>240</v>
      </c>
      <c r="C50" s="357"/>
      <c r="D50" s="357"/>
      <c r="E50" s="357"/>
      <c r="F50" s="357"/>
    </row>
    <row r="51" spans="2:6">
      <c r="B51" s="47" t="s">
        <v>340</v>
      </c>
      <c r="C51" s="350">
        <f>Normalized_FCF!C48</f>
        <v>95940.62527810772</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-158480.37472189229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-806585.88729506056</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2532231.899278108</v>
      </c>
      <c r="D67" s="1" t="str">
        <f>Reporting_currency</f>
        <v>CNY</v>
      </c>
    </row>
    <row r="68" spans="1:6">
      <c r="B68" s="47" t="s">
        <v>248</v>
      </c>
      <c r="C68" s="349">
        <f>Normalized_FCF!C19</f>
        <v>2419757.6618851814</v>
      </c>
      <c r="D68" s="1" t="str">
        <f>Reporting_currency</f>
        <v>CNY</v>
      </c>
    </row>
    <row r="69" spans="1:6">
      <c r="B69" s="227" t="s">
        <v>390</v>
      </c>
      <c r="C69" s="92">
        <f>Normalized_FCF!C125</f>
        <v>6.585187337666204E-2</v>
      </c>
      <c r="F69" s="314"/>
    </row>
    <row r="70" spans="1:6">
      <c r="B70" s="227" t="s">
        <v>308</v>
      </c>
      <c r="C70" s="92">
        <f>Normalized_FCF!C93</f>
        <v>3.4603586496533091E-2</v>
      </c>
      <c r="E70" s="47" t="s">
        <v>448</v>
      </c>
      <c r="F70" s="315">
        <f>Normalized_FCF!C92</f>
        <v>0.57293787288723852</v>
      </c>
    </row>
    <row r="72" spans="1:6">
      <c r="B72" s="210" t="s">
        <v>451</v>
      </c>
      <c r="C72" s="323" t="s">
        <v>453</v>
      </c>
      <c r="D72" s="323" t="s">
        <v>454</v>
      </c>
    </row>
    <row r="73" spans="1:6">
      <c r="B73" s="47" t="s">
        <v>452</v>
      </c>
      <c r="C73" s="92">
        <f>Normalized_FCF!C120</f>
        <v>0.12359722601584175</v>
      </c>
      <c r="D73" s="92">
        <f>Normalized_FCF!G120</f>
        <v>0.13901954238261527</v>
      </c>
    </row>
    <row r="74" spans="1:6">
      <c r="B74" s="259" t="str">
        <f>Normalized_FCF!B117</f>
        <v>Pre-tax Profit/Sales</v>
      </c>
      <c r="C74" s="322">
        <f>Normalized_FCF!C117</f>
        <v>0.12331962835438028</v>
      </c>
      <c r="D74" s="322">
        <f>Normalized_FCF!G117</f>
        <v>0.12655070713769551</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13.609387164510155</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1936137</v>
      </c>
      <c r="D102" s="1" t="str">
        <f>Reporting_currency</f>
        <v>CNY</v>
      </c>
    </row>
    <row r="103" spans="2:6">
      <c r="B103" s="47" t="s">
        <v>281</v>
      </c>
      <c r="C103" s="223">
        <f>C102*scaling_factor*Exchange_Rate/Common_Shares</f>
        <v>0.81670279791586931</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14106953.719366508</v>
      </c>
      <c r="D109" s="1" t="str">
        <f>Reporting_currency</f>
        <v>CNY</v>
      </c>
    </row>
    <row r="110" spans="2:6">
      <c r="B110" s="47" t="s">
        <v>282</v>
      </c>
      <c r="C110" s="223">
        <f>C109*scaling_factor*Exchange_Rate/Common_Shares</f>
        <v>5.9506060638665073</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0.23688281716209655</v>
      </c>
      <c r="D114" s="1" t="str">
        <f>Market_currency</f>
        <v>HKD</v>
      </c>
    </row>
    <row r="116" spans="1:6" ht="24.5" customHeight="1">
      <c r="B116" s="356" t="s">
        <v>366</v>
      </c>
      <c r="C116" s="356"/>
      <c r="D116" s="356"/>
      <c r="E116" s="356"/>
      <c r="F116" s="356"/>
    </row>
    <row r="118" spans="1:6">
      <c r="B118" s="47" t="s">
        <v>449</v>
      </c>
      <c r="C118" s="223">
        <f>IF(valuation_method="DCF",DCF!C12,DDM!C7)</f>
        <v>18.98017324762289</v>
      </c>
      <c r="D118" s="1" t="str">
        <f>Market_currency</f>
        <v>HKD</v>
      </c>
    </row>
    <row r="119" spans="1:6">
      <c r="B119" s="296" t="s">
        <v>405</v>
      </c>
      <c r="C119" s="223">
        <f>BS!D47</f>
        <v>4.5965847355066032</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51.68 HKD</v>
      </c>
      <c r="F126" s="232">
        <f>DCF!F74</f>
        <v>0.05</v>
      </c>
    </row>
    <row r="127" spans="1:6">
      <c r="B127" s="218" t="str">
        <f>DCF!B75</f>
        <v>Optimistic</v>
      </c>
      <c r="C127" s="219">
        <f>DCF!C75</f>
        <v>0.06</v>
      </c>
      <c r="D127" s="220">
        <f>DCF!D75</f>
        <v>20</v>
      </c>
      <c r="E127" s="231" t="str">
        <f>ROUND(IF(valuation_method="DCF",DCF!E75,DDM!E70),2)&amp;" "&amp;Market_currency</f>
        <v>26.44 HKD</v>
      </c>
      <c r="F127" s="221">
        <f>DCF!F75</f>
        <v>0.22499999999999992</v>
      </c>
    </row>
    <row r="128" spans="1:6">
      <c r="B128" s="218" t="str">
        <f>DCF!B76</f>
        <v>Base</v>
      </c>
      <c r="C128" s="219">
        <f>DCF!C76</f>
        <v>0.05</v>
      </c>
      <c r="D128" s="220">
        <f>DCF!D76</f>
        <v>20</v>
      </c>
      <c r="E128" s="231" t="str">
        <f>ROUND(IF(valuation_method="DCF",DCF!E76,DDM!E71),2)&amp;" "&amp;Market_currency</f>
        <v>24.83 HKD</v>
      </c>
      <c r="F128" s="221">
        <f>DCF!F76</f>
        <v>0.495</v>
      </c>
    </row>
    <row r="129" spans="1:6">
      <c r="B129" s="218" t="str">
        <f>DCF!B77</f>
        <v>Pessimistic</v>
      </c>
      <c r="C129" s="219">
        <f>DCF!C77</f>
        <v>0.02</v>
      </c>
      <c r="D129" s="220">
        <f>DCF!D77</f>
        <v>20</v>
      </c>
      <c r="E129" s="231" t="str">
        <f>ROUND(IF(valuation_method="DCF",DCF!E77,DDM!E72),2)&amp;" "&amp;Market_currency</f>
        <v>20.95 HKD</v>
      </c>
      <c r="F129" s="221">
        <f>DCF!F77</f>
        <v>0.18</v>
      </c>
    </row>
    <row r="130" spans="1:6">
      <c r="B130" s="218" t="str">
        <f>DCF!B78</f>
        <v>Devil's advocate</v>
      </c>
      <c r="C130" s="219">
        <f>DCF!C78</f>
        <v>0</v>
      </c>
      <c r="D130" s="220">
        <f>DCF!D78</f>
        <v>30</v>
      </c>
      <c r="E130" s="231" t="str">
        <f>ROUND(IF(valuation_method="DCF",DCF!E78,DDM!E73),2)&amp;" "&amp;Market_currency</f>
        <v>18.98 HKD</v>
      </c>
      <c r="F130" s="221">
        <f>DCF!F78</f>
        <v>0.05</v>
      </c>
    </row>
    <row r="132" spans="1:6">
      <c r="B132" s="211" t="s">
        <v>258</v>
      </c>
      <c r="C132" s="217">
        <f>Scenarios!C60</f>
        <v>25.541516585377398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0.53635559069626293</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0.88888030117482542</v>
      </c>
    </row>
    <row r="148" spans="2:4">
      <c r="B148" s="212" t="str">
        <f>"+ PV(Equity Value realized at year "&amp;C141&amp;")"</f>
        <v>+ PV(Equity Value realized at year 3)</v>
      </c>
      <c r="C148" s="216">
        <f>Scenarios!C82</f>
        <v>9.9898727030194969</v>
      </c>
    </row>
    <row r="149" spans="2:4">
      <c r="B149" s="80" t="s">
        <v>260</v>
      </c>
      <c r="C149" s="215">
        <f>Scenarios!C83</f>
        <v>10.878753004194323</v>
      </c>
      <c r="D149" s="300" t="str">
        <f>IF($D$11="","",C149*$E$25)</f>
        <v/>
      </c>
    </row>
    <row r="150" spans="2:4">
      <c r="B150" s="259" t="s">
        <v>416</v>
      </c>
      <c r="C150" s="298" t="str">
        <f>Market_currency</f>
        <v>HKD</v>
      </c>
      <c r="D150" s="298" t="str">
        <f>IF($D$11="","",D$13)</f>
        <v/>
      </c>
    </row>
    <row r="151" spans="2:4">
      <c r="B151" s="214" t="s">
        <v>262</v>
      </c>
      <c r="C151" s="92">
        <f>Scenarios!F83</f>
        <v>0.57407568310088353</v>
      </c>
    </row>
    <row r="153" spans="2:4">
      <c r="B153" s="210" t="s">
        <v>411</v>
      </c>
    </row>
    <row r="154" spans="2:4">
      <c r="B154" s="1" t="s">
        <v>410</v>
      </c>
      <c r="C154" s="297">
        <f>Scenarios!C90</f>
        <v>0.21740000000000001</v>
      </c>
    </row>
    <row r="155" spans="2:4">
      <c r="B155" s="212" t="str">
        <f>"PV("&amp;C141&amp;" yrs of Dividends)"</f>
        <v>PV(3 yrs of Dividends)</v>
      </c>
      <c r="C155" s="216">
        <f>Scenarios!C91</f>
        <v>1.0997439450481823</v>
      </c>
    </row>
    <row r="156" spans="2:4">
      <c r="B156" s="212" t="str">
        <f>"+ PV(Equity Value realized at year "&amp;C141&amp;")"</f>
        <v>+ PV(Equity Value realized at year 3)</v>
      </c>
      <c r="C156" s="216">
        <f>Scenarios!C92</f>
        <v>14.156203223793975</v>
      </c>
    </row>
    <row r="157" spans="2:4">
      <c r="B157" s="80" t="s">
        <v>260</v>
      </c>
      <c r="C157" s="215">
        <f>Scenarios!C93</f>
        <v>15.255947168842157</v>
      </c>
      <c r="D157" s="300" t="str">
        <f>IF($D$11="","",C157*$E$25)</f>
        <v/>
      </c>
    </row>
    <row r="158" spans="2:4">
      <c r="B158" s="259" t="s">
        <v>416</v>
      </c>
      <c r="C158" s="298" t="str">
        <f>Market_currency</f>
        <v>HKD</v>
      </c>
      <c r="D158" s="298" t="str">
        <f>IF($D$11="","",D$13)</f>
        <v/>
      </c>
    </row>
    <row r="159" spans="2:4">
      <c r="B159" s="214" t="s">
        <v>262</v>
      </c>
      <c r="C159" s="92">
        <f>Scenarios!F93</f>
        <v>0.40270002692102325</v>
      </c>
    </row>
    <row r="161" spans="2:4">
      <c r="B161" s="210" t="s">
        <v>400</v>
      </c>
    </row>
    <row r="162" spans="2:4">
      <c r="B162" s="1" t="s">
        <v>409</v>
      </c>
      <c r="C162" s="92">
        <f>Scenarios!C96</f>
        <v>7.4999999999999997E-2</v>
      </c>
    </row>
    <row r="163" spans="2:4">
      <c r="B163" s="212" t="str">
        <f>"PV("&amp;C141&amp;" yrs of Dividends)"</f>
        <v>PV(3 yrs of Dividends)</v>
      </c>
      <c r="C163" s="216">
        <f>Scenarios!C97</f>
        <v>1.3948065193298613</v>
      </c>
    </row>
    <row r="164" spans="2:4">
      <c r="B164" s="212" t="str">
        <f>"+ PV(Equity Value realized at year "&amp;C141&amp;")"</f>
        <v>+ PV(Equity Value realized at year 3)</v>
      </c>
      <c r="C164" s="216">
        <f>Scenarios!C98</f>
        <v>20.55991373670436</v>
      </c>
    </row>
    <row r="165" spans="2:4">
      <c r="B165" s="80" t="s">
        <v>401</v>
      </c>
      <c r="C165" s="215">
        <f>Scenarios!C99</f>
        <v>21.954720256034221</v>
      </c>
      <c r="D165" s="300" t="str">
        <f>IF($D$11="","",C165*$E$25)</f>
        <v/>
      </c>
    </row>
    <row r="166" spans="2:4">
      <c r="B166" s="259" t="s">
        <v>416</v>
      </c>
      <c r="C166" s="298" t="str">
        <f>Market_currency</f>
        <v>HKD</v>
      </c>
      <c r="D166" s="298" t="str">
        <f>IF($D$11="","",D$13)</f>
        <v/>
      </c>
    </row>
    <row r="167" spans="2:4">
      <c r="B167" s="214" t="s">
        <v>262</v>
      </c>
      <c r="C167" s="92">
        <f>Scenarios!F99</f>
        <v>0.14043004523061986</v>
      </c>
    </row>
    <row r="169" spans="2:4">
      <c r="B169" s="210" t="s">
        <v>432</v>
      </c>
    </row>
    <row r="170" spans="2:4">
      <c r="B170" s="1" t="s">
        <v>423</v>
      </c>
      <c r="C170" s="92">
        <f>F32</f>
        <v>0.1174</v>
      </c>
    </row>
    <row r="171" spans="2:4">
      <c r="B171" s="212" t="str">
        <f>"PV("&amp;C141&amp;" yrs of Dividends)"</f>
        <v>PV(3 yrs of Dividends)</v>
      </c>
      <c r="C171" s="216">
        <f>Scenarios!C103</f>
        <v>1.2940131747284747</v>
      </c>
    </row>
    <row r="172" spans="2:4">
      <c r="B172" s="212" t="str">
        <f>"+ PV(Equity Value realized at year "&amp;C141&amp;")"</f>
        <v>+ PV(Equity Value realized at year 3)</v>
      </c>
      <c r="C172" s="216">
        <f>Scenarios!C104</f>
        <v>18.307147465929202</v>
      </c>
    </row>
    <row r="173" spans="2:4">
      <c r="B173" s="80" t="s">
        <v>401</v>
      </c>
      <c r="C173" s="215">
        <f>Scenarios!C105</f>
        <v>19.601160640657675</v>
      </c>
      <c r="D173" s="300" t="str">
        <f>IF($D$11="","",C173*$E$25)</f>
        <v/>
      </c>
    </row>
    <row r="174" spans="2:4">
      <c r="B174" s="259" t="s">
        <v>416</v>
      </c>
      <c r="C174" s="298" t="str">
        <f>Market_currency</f>
        <v>HKD</v>
      </c>
      <c r="D174" s="298" t="str">
        <f>IF($D$11="","",D$13)</f>
        <v/>
      </c>
    </row>
    <row r="175" spans="2:4">
      <c r="B175" s="214" t="s">
        <v>262</v>
      </c>
      <c r="C175" s="92">
        <f>Scenarios!F105</f>
        <v>0.23100195030616544</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0.53635559069626293</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0.53635559069626293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11.011078163490343</v>
      </c>
      <c r="D47" s="147">
        <f>D46*H1/Common_Shares*Exchange_Rate</f>
        <v>4.5965847355066032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14106953.719366508</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-2211060.4006419242</v>
      </c>
      <c r="D73" s="349">
        <f>(Normalized_FCF!C25+Normalized_FCF!C35-Normalized_FCF!C91)/12</f>
        <v>-2028617.1403167464</v>
      </c>
      <c r="F73" s="1" t="s">
        <v>351</v>
      </c>
    </row>
    <row r="74" spans="2:6" ht="15" customHeight="1">
      <c r="B74" s="257" t="s">
        <v>321</v>
      </c>
      <c r="C74" s="258">
        <f>-$C$66/C73</f>
        <v>8.2151478063315224</v>
      </c>
      <c r="D74" s="258">
        <f>-$C$66/D73</f>
        <v>8.9539754145840753</v>
      </c>
      <c r="F74" s="253" t="s">
        <v>319</v>
      </c>
    </row>
    <row r="75" spans="2:6" ht="15" customHeight="1">
      <c r="B75" s="80" t="s">
        <v>320</v>
      </c>
      <c r="C75" s="320"/>
      <c r="D75" s="321">
        <f>MAX(-D73*D76,G5)</f>
        <v>4057234.2806334929</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-2111011.6818772801</v>
      </c>
      <c r="D86" s="223">
        <f>C86*scaling_factor/Common_Shares</f>
        <v>-0.81670279791586931</v>
      </c>
      <c r="E86" s="240" t="str">
        <f>Market_currency</f>
        <v>HKD</v>
      </c>
    </row>
    <row r="87" spans="2:8" ht="15" customHeight="1">
      <c r="B87" s="238" t="s">
        <v>287</v>
      </c>
      <c r="C87" s="76">
        <f>DCF!C8*Exchange_Rate</f>
        <v>15381114.093313048</v>
      </c>
      <c r="D87" s="223">
        <f>C87*scaling_factor/Common_Shares</f>
        <v>5.9506060638665064</v>
      </c>
      <c r="E87" s="240" t="str">
        <f>Market_currency</f>
        <v>HKD</v>
      </c>
    </row>
    <row r="88" spans="2:8" ht="15" customHeight="1">
      <c r="B88" s="239" t="s">
        <v>189</v>
      </c>
      <c r="C88" s="76">
        <f>DCF!C9*Exchange_Rate</f>
        <v>612294.20976796804</v>
      </c>
      <c r="D88" s="223">
        <f>C88*scaling_factor/Common_Shares</f>
        <v>0.23688281716209655</v>
      </c>
      <c r="E88" s="240" t="str">
        <f>Market_currency</f>
        <v>HKD</v>
      </c>
    </row>
    <row r="89" spans="2:8" ht="15" customHeight="1">
      <c r="B89" s="80" t="s">
        <v>291</v>
      </c>
      <c r="C89" s="180">
        <f>SUM(C86:C88)</f>
        <v>13882396.621203735</v>
      </c>
      <c r="D89" s="242">
        <f>SUM(D86:D88)</f>
        <v>5.3707860831127334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-158480.37472189229</v>
      </c>
      <c r="E12" s="268"/>
      <c r="G12" s="328">
        <f>G50</f>
        <v>-158480.37472189229</v>
      </c>
      <c r="H12" s="328">
        <f t="shared" ref="H12:Q12" si="6">H50</f>
        <v>-69639.572838115389</v>
      </c>
      <c r="I12" s="328">
        <f t="shared" si="6"/>
        <v>-20550.00392987096</v>
      </c>
      <c r="J12" s="328">
        <f t="shared" si="6"/>
        <v>-80048.485056800899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3226343.5491802422</v>
      </c>
      <c r="E13" s="268"/>
      <c r="G13" s="329">
        <f>IF(G$4="","",SUM(G8:G12))</f>
        <v>3628922.899278108</v>
      </c>
      <c r="H13" s="329">
        <f t="shared" ref="H13:Q13" si="7">IF(H$4="","",SUM(H8:H12))</f>
        <v>3325929.7011618847</v>
      </c>
      <c r="I13" s="329">
        <f t="shared" si="7"/>
        <v>4239707.4210701287</v>
      </c>
      <c r="J13" s="329">
        <f t="shared" si="7"/>
        <v>4800547.268943199</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-806585.88729506056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2419757.6618851814</v>
      </c>
      <c r="D16" s="61"/>
      <c r="E16" s="276"/>
      <c r="F16" s="61"/>
      <c r="G16" s="329">
        <f>IF(G$4="","",SUM(G13:G15))</f>
        <v>2532231.899278108</v>
      </c>
      <c r="H16" s="329">
        <f t="shared" ref="H16:Q16" si="8">IF(H$4="","",SUM(H13:H15))</f>
        <v>2256670.7011618847</v>
      </c>
      <c r="I16" s="329">
        <f t="shared" si="8"/>
        <v>2888378.4210701287</v>
      </c>
      <c r="J16" s="329">
        <f t="shared" si="8"/>
        <v>3483191.268943199</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2419757.6618851814</v>
      </c>
      <c r="D19" s="27"/>
      <c r="E19" s="265"/>
      <c r="F19" s="27"/>
      <c r="G19" s="334">
        <f>IF(G$4="","",G16+G17)</f>
        <v>2532231.899278108</v>
      </c>
      <c r="H19" s="334">
        <f t="shared" ref="H19:Q19" si="9">IF(H$4="","",H16+H17)</f>
        <v>2256670.7011618847</v>
      </c>
      <c r="I19" s="334">
        <f t="shared" si="9"/>
        <v>2888378.4210701287</v>
      </c>
      <c r="J19" s="334">
        <f t="shared" si="9"/>
        <v>3483191.268943199</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0.30235965218040955</v>
      </c>
      <c r="H43" s="6">
        <f t="shared" si="18"/>
        <v>0.32165168300565533</v>
      </c>
      <c r="I43" s="6">
        <f t="shared" si="18"/>
        <v>0.31886933038715265</v>
      </c>
      <c r="J43" s="6">
        <f t="shared" si="18"/>
        <v>0.2744751835883702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95940.62527810772</v>
      </c>
      <c r="E48" s="268"/>
      <c r="G48" s="337">
        <f>IFERROR(IF(G$4="","",($C$48/$C$49)*G49),0)</f>
        <v>95940.62527810772</v>
      </c>
      <c r="H48" s="337">
        <f t="shared" ref="H48:Q48" si="19">IFERROR(IF(H$4="","",($C$48/$C$49)*H49),0)</f>
        <v>111806.42716188461</v>
      </c>
      <c r="I48" s="337">
        <f t="shared" si="19"/>
        <v>100010.99607012904</v>
      </c>
      <c r="J48" s="337">
        <f t="shared" si="19"/>
        <v>32409.514943199105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-158480.37472189229</v>
      </c>
      <c r="E50" s="268"/>
      <c r="G50" s="329">
        <f>IF(G$4="","",(G47+G48))</f>
        <v>-158480.37472189229</v>
      </c>
      <c r="H50" s="329">
        <f t="shared" ref="H50:Q50" si="20">IF(H$4="","",(H47+H48))</f>
        <v>-69639.572838115389</v>
      </c>
      <c r="I50" s="329">
        <f t="shared" si="20"/>
        <v>-20550.00392987096</v>
      </c>
      <c r="J50" s="329">
        <f t="shared" si="20"/>
        <v>-80048.485056800899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6.0575510990242823E-3</v>
      </c>
      <c r="D80" s="27"/>
      <c r="E80" s="265"/>
      <c r="F80" s="27"/>
      <c r="G80" s="6">
        <f t="shared" ref="G80:Q80" si="31">IF(G$4="","",ABS(G12/G$4))</f>
        <v>5.5266546149250187E-3</v>
      </c>
      <c r="H80" s="6">
        <f t="shared" si="31"/>
        <v>2.5233108881973073E-3</v>
      </c>
      <c r="I80" s="6">
        <f t="shared" si="31"/>
        <v>7.9640735208522692E-4</v>
      </c>
      <c r="J80" s="6">
        <f t="shared" si="31"/>
        <v>3.546317939990243E-3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0.12331962835438028</v>
      </c>
      <c r="D81" s="27"/>
      <c r="E81" s="265"/>
      <c r="F81" s="27"/>
      <c r="G81" s="65">
        <f t="shared" ref="G81:Q81" si="32">IF(G$4="","",G13/G$4)</f>
        <v>0.12655070713769551</v>
      </c>
      <c r="H81" s="65">
        <f t="shared" si="32"/>
        <v>0.12051128814114817</v>
      </c>
      <c r="I81" s="65">
        <f t="shared" si="32"/>
        <v>0.16430820024917386</v>
      </c>
      <c r="J81" s="65">
        <f t="shared" si="32"/>
        <v>0.21267444211522968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3.0829907088595069E-2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9.2489721265785196E-2</v>
      </c>
      <c r="D84" s="27"/>
      <c r="E84" s="265"/>
      <c r="F84" s="27"/>
      <c r="G84" s="65">
        <f t="shared" ref="G84:Q84" si="35">IF(G$4="","",ABS(G16/G$4))</f>
        <v>8.830601982588876E-2</v>
      </c>
      <c r="H84" s="65">
        <f t="shared" si="35"/>
        <v>8.1767901772668822E-2</v>
      </c>
      <c r="I84" s="65">
        <f t="shared" si="35"/>
        <v>0.11193797422105964</v>
      </c>
      <c r="J84" s="65">
        <f t="shared" si="35"/>
        <v>0.15431277277396993</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9.2489721265785196E-2</v>
      </c>
      <c r="D87" s="75"/>
      <c r="E87" s="265"/>
      <c r="F87" s="75"/>
      <c r="G87" s="65">
        <f t="shared" ref="G87:Q87" si="36">IF(G$4="","",ABS(G19/G$4))</f>
        <v>8.830601982588876E-2</v>
      </c>
      <c r="H87" s="65">
        <f t="shared" si="36"/>
        <v>8.1767901772668822E-2</v>
      </c>
      <c r="I87" s="65">
        <f t="shared" si="36"/>
        <v>0.11193797422105964</v>
      </c>
      <c r="J87" s="65">
        <f t="shared" si="36"/>
        <v>0.15431277277396993</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0.53635559069626293</v>
      </c>
      <c r="E90" s="268"/>
      <c r="G90" s="112">
        <f>Data!C65</f>
        <v>0.53635559069626293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1386370.8077030936</v>
      </c>
      <c r="E91" s="268"/>
      <c r="G91" s="74">
        <f t="shared" ref="G91:Q91" si="37">IF(G$4="","",G90*Common_Shares/scaling_factor)</f>
        <v>1386370.8077030936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0.57293787288723852</v>
      </c>
      <c r="E92" s="268"/>
      <c r="G92" s="170">
        <f t="shared" ref="G92:Q92" si="38">IF(G$4="","",G90/(G19*scaling_factor/Common_Shares))</f>
        <v>0.54748967031744677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3.4603586496533091E-2</v>
      </c>
      <c r="E93" s="268"/>
      <c r="G93" s="23">
        <f t="shared" ref="G93:Q93" si="39">IF(G$4="","",G90/Market_Price)</f>
        <v>3.4603586496533091E-2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-0.11093631947318305</v>
      </c>
      <c r="D97" s="27"/>
      <c r="E97" s="265"/>
      <c r="F97" s="27"/>
      <c r="G97" s="6">
        <f t="shared" ref="G97:Q97" si="41">IF(H5="","",G13/H13-1)</f>
        <v>9.1100301371485726E-2</v>
      </c>
      <c r="H97" s="6">
        <f t="shared" si="41"/>
        <v>-0.21552848561366078</v>
      </c>
      <c r="I97" s="6">
        <f t="shared" si="41"/>
        <v>-0.1168283148676369</v>
      </c>
      <c r="J97" s="6">
        <f t="shared" si="41"/>
        <v>1.4633342093541204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2.0773682210640381</v>
      </c>
      <c r="I114" s="295">
        <f>IF(I$4="","",Data!E$22/I19)</f>
        <v>1.3549484968628283</v>
      </c>
      <c r="J114" s="295">
        <f>IF(J$4="","",Data!F$22/J19)</f>
        <v>1.8733783178033139</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0.12331962835438028</v>
      </c>
      <c r="E117" s="268"/>
      <c r="G117" s="23">
        <f t="shared" ref="G117:Q117" si="45">IF(G4="","",IF(valuation_method="DDM",G13/(G4+G12),G81))</f>
        <v>0.12655070713769551</v>
      </c>
      <c r="H117" s="23">
        <f t="shared" si="45"/>
        <v>0.12051128814114817</v>
      </c>
      <c r="I117" s="23">
        <f t="shared" si="45"/>
        <v>0.16430820024917386</v>
      </c>
      <c r="J117" s="23">
        <f t="shared" si="45"/>
        <v>0.21267444211522968</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0.12359722601584175</v>
      </c>
      <c r="D120" s="103"/>
      <c r="E120" s="271"/>
      <c r="F120" s="103"/>
      <c r="G120" s="102">
        <f>IF(G$4="","",G13/G105)</f>
        <v>0.13901954238261527</v>
      </c>
      <c r="H120" s="102">
        <f t="shared" ref="H120:Q120" si="48">IF(H$4="","",H13/H105)</f>
        <v>0.13627150500398169</v>
      </c>
      <c r="I120" s="102">
        <f t="shared" si="48"/>
        <v>0.17424461477405853</v>
      </c>
      <c r="J120" s="102">
        <f t="shared" si="48"/>
        <v>0.22746981281620676</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1.0207040373382616</v>
      </c>
      <c r="D124" s="27"/>
      <c r="E124" s="265"/>
      <c r="F124" s="27"/>
      <c r="G124" s="177">
        <f t="shared" ref="G124:Q124" si="49">IF(G$4="","",G16*$C$3/Common_Shares*Exchange_Rate)</f>
        <v>1.0681480066298237</v>
      </c>
      <c r="H124" s="177">
        <f t="shared" si="49"/>
        <v>0.95191057017849356</v>
      </c>
      <c r="I124" s="177">
        <f t="shared" si="49"/>
        <v>1.2183780062711445</v>
      </c>
      <c r="J124" s="177">
        <f t="shared" si="49"/>
        <v>1.4692824190757356</v>
      </c>
      <c r="K124" s="177">
        <f t="shared" si="49"/>
        <v>0.59030426594099583</v>
      </c>
      <c r="L124" s="177">
        <f t="shared" si="49"/>
        <v>0.58162293594217662</v>
      </c>
      <c r="M124" s="177">
        <f t="shared" si="49"/>
        <v>0.25015237054405137</v>
      </c>
      <c r="N124" s="177">
        <f t="shared" si="49"/>
        <v>0.19128686043192733</v>
      </c>
      <c r="O124" s="177">
        <f t="shared" si="49"/>
        <v>9.7619449607585701E-2</v>
      </c>
      <c r="P124" s="177">
        <f t="shared" si="49"/>
        <v>5.0757693114287135E-3</v>
      </c>
      <c r="Q124" s="177" t="str">
        <f t="shared" si="49"/>
        <v/>
      </c>
    </row>
    <row r="125" spans="1:17" ht="15.75" customHeight="1">
      <c r="A125" s="10"/>
      <c r="B125" s="27" t="s">
        <v>269</v>
      </c>
      <c r="C125" s="77">
        <f>C19*Exchange_Rate*$C$3/(Market_Price*Common_Shares)</f>
        <v>6.585187337666204E-2</v>
      </c>
      <c r="D125" s="27"/>
      <c r="E125" s="265"/>
      <c r="F125" s="27"/>
      <c r="G125" s="77">
        <f t="shared" ref="G125" si="50">IF(G$4="","",G124/Market_Price)</f>
        <v>6.8912774621278941E-2</v>
      </c>
      <c r="H125" s="77">
        <f t="shared" ref="H125" si="51">IF(H$4="","",H124/Market_Price)</f>
        <v>6.1413585172806033E-2</v>
      </c>
      <c r="I125" s="77">
        <f t="shared" ref="I125" si="52">IF(I$4="","",I124/Market_Price)</f>
        <v>7.8605032662654478E-2</v>
      </c>
      <c r="J125" s="77">
        <f t="shared" ref="J125" si="53">IF(J$4="","",J124/Market_Price)</f>
        <v>9.4792414133918423E-2</v>
      </c>
      <c r="K125" s="77">
        <f t="shared" ref="K125" si="54">IF(K$4="","",K124/Market_Price)</f>
        <v>3.8084146189741666E-2</v>
      </c>
      <c r="L125" s="77">
        <f t="shared" ref="L125" si="55">IF(L$4="","",L124/Market_Price)</f>
        <v>3.7524060383366233E-2</v>
      </c>
      <c r="M125" s="77">
        <f t="shared" ref="M125" si="56">IF(M$4="","",M124/Market_Price)</f>
        <v>1.613886261574525E-2</v>
      </c>
      <c r="N125" s="77">
        <f t="shared" ref="N125" si="57">IF(N$4="","",N124/Market_Price)</f>
        <v>1.2341087769801763E-2</v>
      </c>
      <c r="O125" s="77">
        <f t="shared" ref="O125" si="58">IF(O$4="","",O124/Market_Price)</f>
        <v>6.298029006941013E-3</v>
      </c>
      <c r="P125" s="77">
        <f t="shared" ref="P125" si="59">IF(P$4="","",P124/Market_Price)</f>
        <v>3.2746898783411055E-4</v>
      </c>
      <c r="Q125" s="77" t="str">
        <f t="shared" ref="Q125" si="60">IF(Q$4="","",Q124/Market_Price)</f>
        <v/>
      </c>
    </row>
    <row r="126" spans="1:17" ht="15.75" customHeight="1">
      <c r="B126" s="2" t="s">
        <v>394</v>
      </c>
      <c r="C126" s="169"/>
      <c r="G126" s="23">
        <f>IF(G$4="","",(Data!C47*$C$3)/(Market_Price*Common_Shares))</f>
        <v>7.5201935903925515E-2</v>
      </c>
      <c r="H126" s="23">
        <f>IF(H$4="","",(Data!D47*$C$3)/(Market_Price*Common_Shares))</f>
        <v>7.954604541253571E-2</v>
      </c>
      <c r="I126" s="23">
        <f>IF(I$4="","",(Data!E47*$C$3)/(Market_Price*Common_Shares))</f>
        <v>0.10143105330786677</v>
      </c>
      <c r="J126" s="23">
        <f>IF(J$4="","",(Data!F47*$C$3)/(Market_Price*Common_Shares))</f>
        <v>0.10011110235785509</v>
      </c>
      <c r="K126" s="23">
        <f>IF(K$4="","",(Data!G47*$C$3)/(Market_Price*Common_Shares))</f>
        <v>4.2393880252248162E-2</v>
      </c>
      <c r="L126" s="23">
        <f>IF(L$4="","",(Data!H47*$C$3)/(Market_Price*Common_Shares))</f>
        <v>3.7418361799696709E-2</v>
      </c>
      <c r="M126" s="23">
        <f>IF(M$4="","",(Data!I47*$C$3)/(Market_Price*Common_Shares))</f>
        <v>1.78528464035362E-2</v>
      </c>
      <c r="N126" s="23">
        <f>IF(N$4="","",(Data!J47*$C$3)/(Market_Price*Common_Shares))</f>
        <v>1.2858183757602016E-2</v>
      </c>
      <c r="O126" s="23">
        <f>IF(O$4="","",(Data!K47*$C$3)/(Market_Price*Common_Shares))</f>
        <v>1.7493574539714781E-2</v>
      </c>
      <c r="P126" s="23">
        <f>IF(P$4="","",(Data!L47*$C$3)/(Market_Price*Common_Shares))</f>
        <v>1.537650630173583E-3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2419757.6618851814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32263435.49180242</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14106953.719366508</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44995824.411168933</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18.98017324762289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25.489220224240611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2551022.4046209855</v>
      </c>
      <c r="D21" s="138">
        <f>IF($C$17&lt;B21,0,DCF!$C$16)</f>
        <v>5.4247061515052201E-2</v>
      </c>
      <c r="E21" s="124">
        <f t="shared" ref="E21:E50" si="0">IF($C$17&lt;B21,0,1/(1+Equity_Cost)^B21)</f>
        <v>0.93023255813953487</v>
      </c>
      <c r="F21" s="125">
        <f t="shared" ref="F21:F51" si="1">C21*E21</f>
        <v>2373044.097321847</v>
      </c>
      <c r="H21" s="120"/>
    </row>
    <row r="22" spans="2:17">
      <c r="B22" s="122">
        <v>2</v>
      </c>
      <c r="C22" s="123">
        <f t="shared" ref="C22:C50" si="2">IF(ROW()-ROW($C$21)&lt;$C$17, $C$21*(1+D22)^(ROW()-ROW($C$21)), 0)</f>
        <v>2689407.8739307364</v>
      </c>
      <c r="D22" s="138">
        <f>IF($C$17&lt;B22,0,DCF!$C$16)</f>
        <v>5.4247061515052201E-2</v>
      </c>
      <c r="E22" s="124">
        <f t="shared" si="0"/>
        <v>0.86533261222282321</v>
      </c>
      <c r="F22" s="125">
        <f t="shared" si="1"/>
        <v>2327232.3408811134</v>
      </c>
      <c r="H22" s="120"/>
    </row>
    <row r="23" spans="2:17">
      <c r="B23" s="122">
        <v>3</v>
      </c>
      <c r="C23" s="123">
        <f t="shared" si="2"/>
        <v>2835300.3483069222</v>
      </c>
      <c r="D23" s="138">
        <f>IF($C$17&lt;B23,0,DCF!$C$16)</f>
        <v>5.4247061515052201E-2</v>
      </c>
      <c r="E23" s="124">
        <f t="shared" si="0"/>
        <v>0.80496056950960304</v>
      </c>
      <c r="F23" s="125">
        <f t="shared" si="1"/>
        <v>2282304.983103916</v>
      </c>
      <c r="G23" s="338"/>
      <c r="H23" s="339"/>
      <c r="I23" s="338"/>
      <c r="J23" s="338"/>
      <c r="K23" s="338"/>
      <c r="L23" s="338"/>
      <c r="M23" s="338"/>
      <c r="N23" s="338"/>
      <c r="O23" s="338"/>
      <c r="P23" s="338"/>
      <c r="Q23" s="338"/>
    </row>
    <row r="24" spans="2:17">
      <c r="B24" s="122">
        <v>4</v>
      </c>
      <c r="C24" s="123">
        <f t="shared" si="2"/>
        <v>2989107.0607151762</v>
      </c>
      <c r="D24" s="138">
        <f>IF($C$17&lt;B24,0,DCF!$C$16)</f>
        <v>5.4247061515052201E-2</v>
      </c>
      <c r="E24" s="124">
        <f t="shared" si="0"/>
        <v>0.7488005297763749</v>
      </c>
      <c r="F24" s="125">
        <f t="shared" si="1"/>
        <v>2238244.9506218266</v>
      </c>
      <c r="G24" s="338"/>
      <c r="H24" s="339"/>
      <c r="I24" s="338"/>
      <c r="J24" s="338"/>
      <c r="K24" s="338"/>
      <c r="L24" s="338"/>
      <c r="M24" s="338"/>
      <c r="N24" s="338"/>
      <c r="O24" s="338"/>
      <c r="P24" s="338"/>
      <c r="Q24" s="338"/>
    </row>
    <row r="25" spans="2:17">
      <c r="B25" s="122">
        <v>5</v>
      </c>
      <c r="C25" s="123">
        <f t="shared" si="2"/>
        <v>3151257.3353128689</v>
      </c>
      <c r="D25" s="138">
        <f>IF($C$17&lt;B25,0,DCF!$C$16)</f>
        <v>5.4247061515052201E-2</v>
      </c>
      <c r="E25" s="124">
        <f t="shared" si="0"/>
        <v>0.69655863235011617</v>
      </c>
      <c r="F25" s="125">
        <f t="shared" si="1"/>
        <v>2195035.4996688035</v>
      </c>
      <c r="G25" s="338"/>
      <c r="H25" s="339"/>
      <c r="I25" s="338"/>
      <c r="J25" s="338"/>
      <c r="K25" s="338"/>
      <c r="L25" s="338"/>
      <c r="M25" s="338"/>
      <c r="N25" s="338"/>
      <c r="O25" s="338"/>
      <c r="P25" s="338"/>
      <c r="Q25" s="338"/>
    </row>
    <row r="26" spans="2:17">
      <c r="B26" s="122">
        <v>6</v>
      </c>
      <c r="C26" s="123">
        <f t="shared" si="2"/>
        <v>3322203.7858313457</v>
      </c>
      <c r="D26" s="138">
        <f>IF($C$17&lt;B26,0,DCF!$C$16)</f>
        <v>5.4247061515052201E-2</v>
      </c>
      <c r="E26" s="124">
        <f t="shared" si="0"/>
        <v>0.64796151846522443</v>
      </c>
      <c r="F26" s="125">
        <f t="shared" si="1"/>
        <v>2152660.2097181962</v>
      </c>
      <c r="H26" s="120"/>
    </row>
    <row r="27" spans="2:17">
      <c r="B27" s="122">
        <v>7</v>
      </c>
      <c r="C27" s="123">
        <f t="shared" si="2"/>
        <v>3502423.5789668779</v>
      </c>
      <c r="D27" s="138">
        <f>IF($C$17&lt;B27,0,DCF!$C$16)</f>
        <v>5.4247061515052201E-2</v>
      </c>
      <c r="E27" s="124">
        <f t="shared" si="0"/>
        <v>0.60275490089788319</v>
      </c>
      <c r="F27" s="125">
        <f t="shared" si="1"/>
        <v>2111102.9772425899</v>
      </c>
      <c r="H27" s="120"/>
    </row>
    <row r="28" spans="2:17">
      <c r="B28" s="122">
        <v>8</v>
      </c>
      <c r="C28" s="123">
        <f t="shared" si="2"/>
        <v>3692419.7663068622</v>
      </c>
      <c r="D28" s="138">
        <f>IF($C$17&lt;B28,0,DCF!$C$16)</f>
        <v>5.4247061515052201E-2</v>
      </c>
      <c r="E28" s="124">
        <f t="shared" si="0"/>
        <v>0.56070223339337966</v>
      </c>
      <c r="F28" s="125">
        <f t="shared" si="1"/>
        <v>2070348.0095941187</v>
      </c>
      <c r="H28" s="120"/>
    </row>
    <row r="29" spans="2:17">
      <c r="B29" s="122">
        <v>9</v>
      </c>
      <c r="C29" s="123">
        <f t="shared" si="2"/>
        <v>3892722.6885091052</v>
      </c>
      <c r="D29" s="138">
        <f>IF($C$17&lt;B29,0,DCF!$C$16)</f>
        <v>5.4247061515052201E-2</v>
      </c>
      <c r="E29" s="124">
        <f t="shared" si="0"/>
        <v>0.52158347292407414</v>
      </c>
      <c r="F29" s="125">
        <f t="shared" si="1"/>
        <v>2030379.819002918</v>
      </c>
      <c r="H29" s="120"/>
    </row>
    <row r="30" spans="2:17">
      <c r="B30" s="122">
        <v>10</v>
      </c>
      <c r="C30" s="123">
        <f t="shared" si="2"/>
        <v>4103891.4556536973</v>
      </c>
      <c r="D30" s="138">
        <f>IF($C$17&lt;B30,0,DCF!$C$16)</f>
        <v>5.4247061515052201E-2</v>
      </c>
      <c r="E30" s="124">
        <f t="shared" si="0"/>
        <v>0.48519392830146441</v>
      </c>
      <c r="F30" s="125">
        <f t="shared" si="1"/>
        <v>1991183.2166914323</v>
      </c>
      <c r="H30" s="120"/>
    </row>
    <row r="31" spans="2:17">
      <c r="B31" s="122">
        <v>11</v>
      </c>
      <c r="C31" s="123">
        <f t="shared" si="2"/>
        <v>4326515.5078996401</v>
      </c>
      <c r="D31" s="138">
        <f>IF($C$17&lt;B31,0,DCF!$C$16)</f>
        <v>5.4247061515052201E-2</v>
      </c>
      <c r="E31" s="124">
        <f t="shared" si="0"/>
        <v>0.45134318911764126</v>
      </c>
      <c r="F31" s="125">
        <f t="shared" si="1"/>
        <v>1952743.3071023549</v>
      </c>
      <c r="H31" s="120"/>
    </row>
    <row r="32" spans="2:17">
      <c r="B32" s="122">
        <v>12</v>
      </c>
      <c r="C32" s="123">
        <f t="shared" si="2"/>
        <v>4561216.2608024981</v>
      </c>
      <c r="D32" s="138">
        <f>IF($C$17&lt;B32,0,DCF!$C$16)</f>
        <v>5.4247061515052201E-2</v>
      </c>
      <c r="E32" s="124">
        <f t="shared" si="0"/>
        <v>0.41985412941175931</v>
      </c>
      <c r="F32" s="125">
        <f t="shared" si="1"/>
        <v>1915045.482237993</v>
      </c>
      <c r="H32" s="120"/>
    </row>
    <row r="33" spans="2:17">
      <c r="B33" s="122">
        <v>13</v>
      </c>
      <c r="C33" s="341">
        <f t="shared" si="2"/>
        <v>4808648.8398857079</v>
      </c>
      <c r="D33" s="138">
        <f>IF($C$17&lt;B33,0,DCF!$C$16)</f>
        <v>5.4247061515052201E-2</v>
      </c>
      <c r="E33" s="124">
        <f t="shared" si="0"/>
        <v>0.39056198084814819</v>
      </c>
      <c r="F33" s="125">
        <f t="shared" si="1"/>
        <v>1878075.4161089119</v>
      </c>
      <c r="G33" s="338"/>
      <c r="H33" s="339"/>
      <c r="I33" s="338"/>
      <c r="J33" s="338"/>
      <c r="K33" s="338"/>
      <c r="L33" s="338"/>
      <c r="M33" s="338"/>
      <c r="N33" s="338"/>
      <c r="O33" s="338"/>
      <c r="P33" s="338"/>
      <c r="Q33" s="338"/>
    </row>
    <row r="34" spans="2:17">
      <c r="B34" s="122">
        <v>14</v>
      </c>
      <c r="C34" s="341">
        <f t="shared" si="2"/>
        <v>5069503.9093072712</v>
      </c>
      <c r="D34" s="138">
        <f>IF($C$17&lt;B34,0,DCF!$C$16)</f>
        <v>5.4247061515052201E-2</v>
      </c>
      <c r="E34" s="124">
        <f t="shared" si="0"/>
        <v>0.36331347055641694</v>
      </c>
      <c r="F34" s="125">
        <f t="shared" si="1"/>
        <v>1841819.0592897478</v>
      </c>
      <c r="G34" s="338"/>
      <c r="H34" s="339"/>
      <c r="I34" s="338"/>
      <c r="J34" s="338"/>
      <c r="K34" s="338"/>
      <c r="L34" s="338"/>
      <c r="M34" s="338"/>
      <c r="N34" s="338"/>
      <c r="O34" s="338"/>
      <c r="P34" s="338"/>
      <c r="Q34" s="338"/>
    </row>
    <row r="35" spans="2:17">
      <c r="B35" s="122">
        <v>15</v>
      </c>
      <c r="C35" s="341">
        <f t="shared" si="2"/>
        <v>5344509.5997262606</v>
      </c>
      <c r="D35" s="138">
        <f>IF($C$17&lt;B35,0,DCF!$C$16)</f>
        <v>5.4247061515052201E-2</v>
      </c>
      <c r="E35" s="124">
        <f t="shared" si="0"/>
        <v>0.33796601912224833</v>
      </c>
      <c r="F35" s="125">
        <f t="shared" si="1"/>
        <v>1806262.6335801252</v>
      </c>
      <c r="G35" s="338"/>
      <c r="H35" s="339"/>
      <c r="I35" s="338"/>
      <c r="J35" s="338"/>
      <c r="K35" s="338"/>
      <c r="L35" s="338"/>
      <c r="M35" s="338"/>
      <c r="N35" s="338"/>
      <c r="O35" s="338"/>
      <c r="P35" s="338"/>
      <c r="Q35" s="338"/>
    </row>
    <row r="36" spans="2:17">
      <c r="B36" s="122">
        <v>16</v>
      </c>
      <c r="C36" s="123">
        <f t="shared" si="2"/>
        <v>5634433.5407503974</v>
      </c>
      <c r="D36" s="138">
        <f>IF($C$17&lt;B36,0,DCF!$C$16)</f>
        <v>5.4247061515052201E-2</v>
      </c>
      <c r="E36" s="124">
        <f t="shared" si="0"/>
        <v>0.31438699453232405</v>
      </c>
      <c r="F36" s="125">
        <f t="shared" si="1"/>
        <v>1771392.6267686384</v>
      </c>
      <c r="H36" s="120"/>
    </row>
    <row r="37" spans="2:17">
      <c r="B37" s="122">
        <v>17</v>
      </c>
      <c r="C37" s="123">
        <f t="shared" si="2"/>
        <v>5940085.0036379565</v>
      </c>
      <c r="D37" s="138">
        <f>IF($C$17&lt;B37,0,DCF!$C$16)</f>
        <v>5.4247061515052201E-2</v>
      </c>
      <c r="E37" s="124">
        <f t="shared" si="0"/>
        <v>0.29245301816960378</v>
      </c>
      <c r="F37" s="125">
        <f t="shared" si="1"/>
        <v>1737195.7874979223</v>
      </c>
      <c r="H37" s="120"/>
    </row>
    <row r="38" spans="2:17">
      <c r="B38" s="122">
        <v>18</v>
      </c>
      <c r="C38" s="123">
        <f t="shared" si="2"/>
        <v>6262317.160234943</v>
      </c>
      <c r="D38" s="138">
        <f>IF($C$17&lt;B38,0,DCF!$C$16)</f>
        <v>5.4247061515052201E-2</v>
      </c>
      <c r="E38" s="124">
        <f t="shared" si="0"/>
        <v>0.27204931922753844</v>
      </c>
      <c r="F38" s="125">
        <f t="shared" si="1"/>
        <v>1703659.120228848</v>
      </c>
      <c r="H38" s="120"/>
    </row>
    <row r="39" spans="2:17">
      <c r="B39" s="122">
        <v>19</v>
      </c>
      <c r="C39" s="123">
        <f t="shared" si="2"/>
        <v>6602029.4644529736</v>
      </c>
      <c r="D39" s="138">
        <f>IF($C$17&lt;B39,0,DCF!$C$16)</f>
        <v>5.4247061515052201E-2</v>
      </c>
      <c r="E39" s="124">
        <f t="shared" si="0"/>
        <v>0.25306913416515198</v>
      </c>
      <c r="F39" s="125">
        <f t="shared" si="1"/>
        <v>1670769.8803019361</v>
      </c>
      <c r="H39" s="120"/>
    </row>
    <row r="40" spans="2:17">
      <c r="B40" s="122">
        <v>20</v>
      </c>
      <c r="C40" s="123">
        <f t="shared" si="2"/>
        <v>6960170.1629353408</v>
      </c>
      <c r="D40" s="138">
        <f>IF($C$17&lt;B40,0,DCF!$C$16)</f>
        <v>5.4247061515052201E-2</v>
      </c>
      <c r="E40" s="124">
        <f t="shared" si="0"/>
        <v>0.23541314806060654</v>
      </c>
      <c r="F40" s="125">
        <f t="shared" si="1"/>
        <v>1638515.5690941133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34013632.061613142</v>
      </c>
      <c r="D51" s="139">
        <f>Terminal_Growth</f>
        <v>0</v>
      </c>
      <c r="E51" s="124">
        <f>1/(1+Equity_Cost)^C17</f>
        <v>0.23541314806060654</v>
      </c>
      <c r="F51" s="125">
        <f t="shared" si="1"/>
        <v>8007256.2005995279</v>
      </c>
      <c r="H51" s="120"/>
    </row>
    <row r="52" spans="1:17">
      <c r="C52" s="114"/>
      <c r="E52" s="127" t="s">
        <v>100</v>
      </c>
      <c r="F52" s="137">
        <f>SUM(F21:F51)</f>
        <v>47694271.186656885</v>
      </c>
      <c r="H52" s="120"/>
    </row>
    <row r="53" spans="1:17">
      <c r="C53" s="114"/>
      <c r="H53" s="120"/>
    </row>
    <row r="54" spans="1:17" ht="13.15">
      <c r="B54" s="119" t="s">
        <v>129</v>
      </c>
      <c r="C54" s="136"/>
      <c r="D54" s="136"/>
      <c r="E54" s="117"/>
      <c r="F54" s="117"/>
      <c r="H54" s="120"/>
    </row>
    <row r="55" spans="1:17" ht="13.15">
      <c r="A55" s="133">
        <f>F52</f>
        <v>47694271.186656885</v>
      </c>
      <c r="B55" s="131">
        <f>C78</f>
        <v>0</v>
      </c>
      <c r="C55" s="131">
        <f>C77</f>
        <v>0.02</v>
      </c>
      <c r="D55" s="131">
        <f>C76</f>
        <v>0.05</v>
      </c>
      <c r="E55" s="131">
        <f>C75</f>
        <v>0.06</v>
      </c>
      <c r="F55" s="131">
        <f>C74</f>
        <v>0.1</v>
      </c>
      <c r="H55" s="120"/>
    </row>
    <row r="56" spans="1:17" ht="13.15">
      <c r="A56" s="143">
        <v>5</v>
      </c>
      <c r="B56" s="123">
        <f t="dataTable" ref="B56:F61" dt2D="1" dtr="1" r1="C16" r2="C17"/>
        <v>32263435.491802424</v>
      </c>
      <c r="C56" s="123">
        <v>33286525.269929819</v>
      </c>
      <c r="D56" s="123">
        <v>34877451.42820251</v>
      </c>
      <c r="E56" s="123">
        <v>35423428.844317757</v>
      </c>
      <c r="F56" s="123">
        <v>37690236.241802439</v>
      </c>
      <c r="H56" s="120"/>
    </row>
    <row r="57" spans="1:17" ht="13.15">
      <c r="A57" s="143">
        <v>10</v>
      </c>
      <c r="B57" s="123">
        <v>32263435.491802432</v>
      </c>
      <c r="C57" s="123">
        <v>34301050.065090753</v>
      </c>
      <c r="D57" s="123">
        <v>37745470.972281247</v>
      </c>
      <c r="E57" s="123">
        <v>39009425.964236379</v>
      </c>
      <c r="F57" s="123">
        <v>44738351.859821886</v>
      </c>
      <c r="H57" s="120"/>
    </row>
    <row r="58" spans="1:17" ht="13.15">
      <c r="A58" s="143">
        <v>15</v>
      </c>
      <c r="B58" s="123">
        <v>32263435.491802424</v>
      </c>
      <c r="C58" s="341">
        <v>35585557.263110436</v>
      </c>
      <c r="D58" s="123">
        <v>41673131.478091627</v>
      </c>
      <c r="E58" s="123">
        <v>44055116.226286784</v>
      </c>
      <c r="F58" s="123">
        <v>55834998.39833419</v>
      </c>
      <c r="G58" s="338"/>
      <c r="H58" s="339"/>
      <c r="I58" s="338"/>
      <c r="J58" s="338"/>
      <c r="K58" s="338"/>
      <c r="L58" s="338"/>
      <c r="M58" s="338"/>
      <c r="N58" s="338"/>
      <c r="O58" s="338"/>
      <c r="P58" s="338"/>
      <c r="Q58" s="338"/>
    </row>
    <row r="59" spans="1:17" ht="13.15">
      <c r="A59" s="144">
        <v>20</v>
      </c>
      <c r="B59" s="123">
        <v>32263435.491802428</v>
      </c>
      <c r="C59" s="341">
        <v>36924676.973189957</v>
      </c>
      <c r="D59" s="123">
        <v>46124682.818592891</v>
      </c>
      <c r="E59" s="123">
        <v>49944704.445758432</v>
      </c>
      <c r="F59" s="123">
        <v>70505378.186171219</v>
      </c>
      <c r="G59" s="338"/>
      <c r="H59" s="339"/>
      <c r="I59" s="338"/>
      <c r="J59" s="338"/>
      <c r="K59" s="338"/>
      <c r="L59" s="338"/>
      <c r="M59" s="338"/>
      <c r="N59" s="338"/>
      <c r="O59" s="338"/>
      <c r="P59" s="338"/>
      <c r="Q59" s="338"/>
    </row>
    <row r="60" spans="1:17" ht="13.15">
      <c r="A60" s="144">
        <v>25</v>
      </c>
      <c r="B60" s="123">
        <v>32263435.491802428</v>
      </c>
      <c r="C60" s="341">
        <v>38199209.870558828</v>
      </c>
      <c r="D60" s="123">
        <v>50750720.005787477</v>
      </c>
      <c r="E60" s="123">
        <v>56260981.541023694</v>
      </c>
      <c r="F60" s="123">
        <v>88510577.783150405</v>
      </c>
      <c r="G60" s="338"/>
      <c r="H60" s="339"/>
      <c r="I60" s="338"/>
      <c r="J60" s="338"/>
      <c r="K60" s="338"/>
      <c r="L60" s="338"/>
      <c r="M60" s="338"/>
      <c r="N60" s="338"/>
      <c r="O60" s="338"/>
      <c r="P60" s="338"/>
      <c r="Q60" s="338"/>
    </row>
    <row r="61" spans="1:17" ht="13.15">
      <c r="A61" s="144">
        <v>30</v>
      </c>
      <c r="B61" s="123">
        <v>32263435.491802428</v>
      </c>
      <c r="C61" s="341">
        <v>39349827.767733462</v>
      </c>
      <c r="D61" s="123">
        <v>55328999.3052793</v>
      </c>
      <c r="E61" s="123">
        <v>62724269.555151708</v>
      </c>
      <c r="F61" s="123">
        <v>109787174.86771642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18.98017324762289</v>
      </c>
      <c r="C65" s="124">
        <f>C12</f>
        <v>18.98017324762289</v>
      </c>
      <c r="D65" s="124">
        <f>C12</f>
        <v>18.98017324762289</v>
      </c>
      <c r="E65" s="141">
        <f>C12</f>
        <v>18.98017324762289</v>
      </c>
      <c r="F65" s="124">
        <f>C12</f>
        <v>18.98017324762289</v>
      </c>
      <c r="H65" s="120"/>
    </row>
    <row r="66" spans="1:8" ht="13.15">
      <c r="A66" s="143">
        <f t="shared" ref="A66:A71" si="3">A56</f>
        <v>5</v>
      </c>
      <c r="B66" s="124">
        <f t="shared" ref="B66:F71" si="4">(B56-$C$7+$C$8+$C$9)/Common_Shares*$C$3*Exchange_Rate</f>
        <v>18.98017324762289</v>
      </c>
      <c r="C66" s="124">
        <f t="shared" si="4"/>
        <v>19.41173376442298</v>
      </c>
      <c r="D66" s="124">
        <f t="shared" si="4"/>
        <v>20.082819459670187</v>
      </c>
      <c r="E66" s="124">
        <f t="shared" si="4"/>
        <v>20.313124073104156</v>
      </c>
      <c r="F66" s="124">
        <f t="shared" si="4"/>
        <v>21.269310512319009</v>
      </c>
      <c r="H66" s="120"/>
    </row>
    <row r="67" spans="1:8" ht="13.15">
      <c r="A67" s="143">
        <f t="shared" si="3"/>
        <v>10</v>
      </c>
      <c r="B67" s="124">
        <f t="shared" si="4"/>
        <v>18.980173247622893</v>
      </c>
      <c r="C67" s="124">
        <f t="shared" si="4"/>
        <v>19.839681393523065</v>
      </c>
      <c r="D67" s="124">
        <f t="shared" si="4"/>
        <v>21.292609668796146</v>
      </c>
      <c r="E67" s="124">
        <f t="shared" si="4"/>
        <v>21.825772135279397</v>
      </c>
      <c r="F67" s="124">
        <f t="shared" si="4"/>
        <v>24.242352061171712</v>
      </c>
      <c r="H67" s="120"/>
    </row>
    <row r="68" spans="1:8" ht="13.15">
      <c r="A68" s="143">
        <f t="shared" si="3"/>
        <v>15</v>
      </c>
      <c r="B68" s="124">
        <f t="shared" si="4"/>
        <v>18.98017324762289</v>
      </c>
      <c r="C68" s="124">
        <f t="shared" si="4"/>
        <v>20.381513207369785</v>
      </c>
      <c r="D68" s="124">
        <f t="shared" si="4"/>
        <v>22.949378443092076</v>
      </c>
      <c r="E68" s="124">
        <f t="shared" si="4"/>
        <v>23.954149080936354</v>
      </c>
      <c r="F68" s="124">
        <f t="shared" si="4"/>
        <v>28.923148035571476</v>
      </c>
      <c r="H68" s="120"/>
    </row>
    <row r="69" spans="1:8" ht="13.15">
      <c r="A69" s="144">
        <f t="shared" si="3"/>
        <v>20</v>
      </c>
      <c r="B69" s="124">
        <f t="shared" si="4"/>
        <v>18.980173247622893</v>
      </c>
      <c r="C69" s="124">
        <f t="shared" si="4"/>
        <v>20.946381713041767</v>
      </c>
      <c r="D69" s="124">
        <f t="shared" si="4"/>
        <v>24.827135252064537</v>
      </c>
      <c r="E69" s="124">
        <f t="shared" si="4"/>
        <v>26.43849971181363</v>
      </c>
      <c r="F69" s="124">
        <f t="shared" si="4"/>
        <v>35.111418916823645</v>
      </c>
      <c r="H69" s="120"/>
    </row>
    <row r="70" spans="1:8" ht="13.15">
      <c r="A70" s="144">
        <f t="shared" si="3"/>
        <v>25</v>
      </c>
      <c r="B70" s="124">
        <f t="shared" si="4"/>
        <v>18.980173247622893</v>
      </c>
      <c r="C70" s="124">
        <f t="shared" si="4"/>
        <v>21.484006159719343</v>
      </c>
      <c r="D70" s="124">
        <f t="shared" si="4"/>
        <v>26.778493815040544</v>
      </c>
      <c r="E70" s="124">
        <f t="shared" si="4"/>
        <v>29.102836572332833</v>
      </c>
      <c r="F70" s="124">
        <f t="shared" si="4"/>
        <v>42.70638605390463</v>
      </c>
    </row>
    <row r="71" spans="1:8" ht="13.15">
      <c r="A71" s="144">
        <f t="shared" si="3"/>
        <v>30</v>
      </c>
      <c r="B71" s="124">
        <f t="shared" si="4"/>
        <v>18.980173247622893</v>
      </c>
      <c r="C71" s="124">
        <f t="shared" si="4"/>
        <v>21.969360685744409</v>
      </c>
      <c r="D71" s="124">
        <f t="shared" si="4"/>
        <v>28.709707109107686</v>
      </c>
      <c r="E71" s="124">
        <f t="shared" si="4"/>
        <v>31.829185691674311</v>
      </c>
      <c r="F71" s="124">
        <f t="shared" si="4"/>
        <v>51.681296594374494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51.681296594374494</v>
      </c>
      <c r="F74" s="142">
        <f>Scenarios!C58</f>
        <v>0.05</v>
      </c>
    </row>
    <row r="75" spans="1:8">
      <c r="B75" s="127" t="str">
        <f>Scenarios!B36</f>
        <v>Optimistic</v>
      </c>
      <c r="C75" s="142">
        <f>Scenarios!C38</f>
        <v>0.06</v>
      </c>
      <c r="D75" s="145">
        <f>Scenarios!C37</f>
        <v>20</v>
      </c>
      <c r="E75" s="135">
        <f>INDEX(B$65:F$71, MATCH(D75, A$65:A$71, 0), MATCH(C75, B$64:F$64, 0))</f>
        <v>26.43849971181363</v>
      </c>
      <c r="F75" s="142">
        <f>Scenarios!C40*(1-F$74-F$78)</f>
        <v>0.22499999999999992</v>
      </c>
      <c r="H75" s="120"/>
    </row>
    <row r="76" spans="1:8">
      <c r="B76" s="127" t="str">
        <f>Scenarios!B24</f>
        <v>Base</v>
      </c>
      <c r="C76" s="142">
        <f>Scenarios!C26</f>
        <v>0.05</v>
      </c>
      <c r="D76" s="145">
        <f>Scenarios!C25</f>
        <v>20</v>
      </c>
      <c r="E76" s="135">
        <f>INDEX(B$65:F$71, MATCH(D76, A$65:A$71, 0), MATCH(C76, B$64:F$64, 0))</f>
        <v>24.827135252064537</v>
      </c>
      <c r="F76" s="142">
        <f>Scenarios!C28*(1-F$74-F$78)</f>
        <v>0.495</v>
      </c>
      <c r="H76" s="120"/>
    </row>
    <row r="77" spans="1:8">
      <c r="B77" s="127" t="str">
        <f>Scenarios!B30</f>
        <v>Pessimistic</v>
      </c>
      <c r="C77" s="142">
        <f>Scenarios!C32</f>
        <v>0.02</v>
      </c>
      <c r="D77" s="145">
        <f>Scenarios!C31</f>
        <v>20</v>
      </c>
      <c r="E77" s="135">
        <f>INDEX(B$65:F$71, MATCH(D77, A$65:A$71, 0), MATCH(C77, B$64:F$64, 0))</f>
        <v>20.946381713041767</v>
      </c>
      <c r="F77" s="142">
        <f>Scenarios!C34*(1-F$74-F$78)</f>
        <v>0.18</v>
      </c>
      <c r="H77" s="120"/>
    </row>
    <row r="78" spans="1:8">
      <c r="B78" s="127" t="str">
        <f>Scenarios!B48</f>
        <v>Devil's advocate</v>
      </c>
      <c r="C78" s="142">
        <f>Scenarios!C50</f>
        <v>0</v>
      </c>
      <c r="D78" s="145">
        <f>Scenarios!C49</f>
        <v>30</v>
      </c>
      <c r="E78" s="135">
        <f>INDEX(B$65:F$71, MATCH(D78, A$65:A$71, 0), MATCH(C78, B$64:F$64, 0))</f>
        <v>18.980173247622893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1386370.8077030936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18484944.102707915</v>
      </c>
      <c r="D6" t="str">
        <f>Reporting_currency</f>
        <v>CNY</v>
      </c>
      <c r="E6" s="364"/>
      <c r="F6" s="364"/>
      <c r="H6" s="120"/>
    </row>
    <row r="7" spans="2:8" ht="13.15">
      <c r="B7" s="149" t="s">
        <v>444</v>
      </c>
      <c r="C7" s="111">
        <f>(C6*scaling_factor)/Common_Shares*Exchange_Rate</f>
        <v>7.7973333333333352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10.57175658459014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1461577.3501912358</v>
      </c>
      <c r="D16" s="138">
        <f>IF($C$12&lt;B16,0,DDM!$C$11)</f>
        <v>5.4247061515052201E-2</v>
      </c>
      <c r="E16" s="124">
        <f t="shared" ref="E16:E45" si="0">IF($C$12&lt;B16,0,1/(1+Equity_Cost)^B16)</f>
        <v>0.93023255813953487</v>
      </c>
      <c r="F16" s="125">
        <f t="shared" ref="F16:F46" si="1">C16*E16</f>
        <v>1359606.837387196</v>
      </c>
      <c r="H16" s="120"/>
    </row>
    <row r="17" spans="2:8">
      <c r="B17" s="122">
        <v>2</v>
      </c>
      <c r="C17" s="123">
        <f t="shared" ref="C17:C45" si="2">IF(ROW()-ROW($C$16)&lt;$C$12, $C$16*(1+D17)^(ROW()-ROW($C$16)), 0)</f>
        <v>1540863.6266160666</v>
      </c>
      <c r="D17" s="138">
        <f>IF($C$12&lt;B17,0,DDM!$C$11)</f>
        <v>5.4247061515052201E-2</v>
      </c>
      <c r="E17" s="124">
        <f t="shared" si="0"/>
        <v>0.86533261222282321</v>
      </c>
      <c r="F17" s="125">
        <f t="shared" si="1"/>
        <v>1333359.5470988138</v>
      </c>
      <c r="H17" s="120"/>
    </row>
    <row r="18" spans="2:8">
      <c r="B18" s="122">
        <v>3</v>
      </c>
      <c r="C18" s="123">
        <f t="shared" si="2"/>
        <v>1624450.9505554147</v>
      </c>
      <c r="D18" s="138">
        <f>IF($C$12&lt;B18,0,DDM!$C$11)</f>
        <v>5.4247061515052201E-2</v>
      </c>
      <c r="E18" s="124">
        <f t="shared" si="0"/>
        <v>0.80496056950960304</v>
      </c>
      <c r="F18" s="125">
        <f t="shared" si="1"/>
        <v>1307618.9622995027</v>
      </c>
      <c r="H18" s="120"/>
    </row>
    <row r="19" spans="2:8">
      <c r="B19" s="122">
        <v>4</v>
      </c>
      <c r="C19" s="123">
        <f t="shared" si="2"/>
        <v>1712572.641198379</v>
      </c>
      <c r="D19" s="138">
        <f>IF($C$12&lt;B19,0,DDM!$C$11)</f>
        <v>5.4247061515052201E-2</v>
      </c>
      <c r="E19" s="124">
        <f t="shared" si="0"/>
        <v>0.7488005297763749</v>
      </c>
      <c r="F19" s="125">
        <f t="shared" si="1"/>
        <v>1282375.3010098718</v>
      </c>
      <c r="H19" s="120"/>
    </row>
    <row r="20" spans="2:8">
      <c r="B20" s="122">
        <v>5</v>
      </c>
      <c r="C20" s="123">
        <f t="shared" si="2"/>
        <v>1805474.6746144625</v>
      </c>
      <c r="D20" s="138">
        <f>IF($C$12&lt;B20,0,DDM!$C$11)</f>
        <v>5.4247061515052201E-2</v>
      </c>
      <c r="E20" s="124">
        <f t="shared" si="0"/>
        <v>0.69655863235011617</v>
      </c>
      <c r="F20" s="125">
        <f t="shared" si="1"/>
        <v>1257618.9700922209</v>
      </c>
      <c r="H20" s="120"/>
    </row>
    <row r="21" spans="2:8">
      <c r="B21" s="122">
        <v>6</v>
      </c>
      <c r="C21" s="123">
        <f t="shared" si="2"/>
        <v>1903416.370352142</v>
      </c>
      <c r="D21" s="138">
        <f>IF($C$12&lt;B21,0,DDM!$C$11)</f>
        <v>5.4247061515052201E-2</v>
      </c>
      <c r="E21" s="124">
        <f t="shared" si="0"/>
        <v>0.64796151846522443</v>
      </c>
      <c r="F21" s="125">
        <f t="shared" si="1"/>
        <v>1233340.5616049399</v>
      </c>
      <c r="H21" s="120"/>
    </row>
    <row r="22" spans="2:8">
      <c r="B22" s="122">
        <v>7</v>
      </c>
      <c r="C22" s="123">
        <f t="shared" si="2"/>
        <v>2006671.1152833919</v>
      </c>
      <c r="D22" s="138">
        <f>IF($C$12&lt;B22,0,DDM!$C$11)</f>
        <v>5.4247061515052201E-2</v>
      </c>
      <c r="E22" s="124">
        <f t="shared" si="0"/>
        <v>0.60275490089788319</v>
      </c>
      <c r="F22" s="125">
        <f t="shared" si="1"/>
        <v>1209530.8492272857</v>
      </c>
      <c r="H22" s="120"/>
    </row>
    <row r="23" spans="2:8">
      <c r="B23" s="122">
        <v>8</v>
      </c>
      <c r="C23" s="123">
        <f t="shared" si="2"/>
        <v>2115527.1267146482</v>
      </c>
      <c r="D23" s="138">
        <f>IF($C$12&lt;B23,0,DDM!$C$11)</f>
        <v>5.4247061515052201E-2</v>
      </c>
      <c r="E23" s="124">
        <f t="shared" si="0"/>
        <v>0.56070223339337966</v>
      </c>
      <c r="F23" s="125">
        <f t="shared" si="1"/>
        <v>1186180.7847531824</v>
      </c>
      <c r="H23" s="120"/>
    </row>
    <row r="24" spans="2:8">
      <c r="B24" s="122">
        <v>9</v>
      </c>
      <c r="C24" s="123">
        <f t="shared" si="2"/>
        <v>2230288.2568942993</v>
      </c>
      <c r="D24" s="138">
        <f>IF($C$12&lt;B24,0,DDM!$C$11)</f>
        <v>5.4247061515052201E-2</v>
      </c>
      <c r="E24" s="124">
        <f t="shared" si="0"/>
        <v>0.52158347292407414</v>
      </c>
      <c r="F24" s="125">
        <f t="shared" si="1"/>
        <v>1163281.4946527083</v>
      </c>
      <c r="H24" s="120"/>
    </row>
    <row r="25" spans="2:8">
      <c r="B25" s="122">
        <v>10</v>
      </c>
      <c r="C25" s="123">
        <f t="shared" si="2"/>
        <v>2351274.8411623426</v>
      </c>
      <c r="D25" s="138">
        <f>IF($C$12&lt;B25,0,DDM!$C$11)</f>
        <v>5.4247061515052201E-2</v>
      </c>
      <c r="E25" s="124">
        <f t="shared" si="0"/>
        <v>0.48519392830146441</v>
      </c>
      <c r="F25" s="125">
        <f t="shared" si="1"/>
        <v>1140824.2766999588</v>
      </c>
      <c r="H25" s="120"/>
    </row>
    <row r="26" spans="2:8">
      <c r="B26" s="122">
        <v>11</v>
      </c>
      <c r="C26" s="123">
        <f t="shared" si="2"/>
        <v>2478824.5921096704</v>
      </c>
      <c r="D26" s="138">
        <f>IF($C$12&lt;B26,0,DDM!$C$11)</f>
        <v>5.4247061515052201E-2</v>
      </c>
      <c r="E26" s="124">
        <f t="shared" si="0"/>
        <v>0.45134318911764126</v>
      </c>
      <c r="F26" s="125">
        <f t="shared" si="1"/>
        <v>1118800.596666015</v>
      </c>
      <c r="H26" s="120"/>
    </row>
    <row r="27" spans="2:8">
      <c r="B27" s="122">
        <v>12</v>
      </c>
      <c r="C27" s="123">
        <f t="shared" si="2"/>
        <v>2613293.5422428674</v>
      </c>
      <c r="D27" s="138">
        <f>IF($C$12&lt;B27,0,DDM!$C$11)</f>
        <v>5.4247061515052201E-2</v>
      </c>
      <c r="E27" s="124">
        <f t="shared" si="0"/>
        <v>0.41985412941175931</v>
      </c>
      <c r="F27" s="125">
        <f t="shared" si="1"/>
        <v>1097202.0850757516</v>
      </c>
      <c r="H27" s="120"/>
    </row>
    <row r="28" spans="2:8">
      <c r="B28" s="122">
        <v>13</v>
      </c>
      <c r="C28" s="123">
        <f t="shared" si="2"/>
        <v>2755057.0377858048</v>
      </c>
      <c r="D28" s="138">
        <f>IF($C$12&lt;B28,0,DDM!$C$11)</f>
        <v>5.4247061515052201E-2</v>
      </c>
      <c r="E28" s="124">
        <f t="shared" si="0"/>
        <v>0.39056198084814819</v>
      </c>
      <c r="F28" s="125">
        <f t="shared" si="1"/>
        <v>1076020.5340272554</v>
      </c>
      <c r="H28" s="120"/>
    </row>
    <row r="29" spans="2:8">
      <c r="B29" s="122">
        <v>14</v>
      </c>
      <c r="C29" s="123">
        <f t="shared" si="2"/>
        <v>2904510.7863920485</v>
      </c>
      <c r="D29" s="138">
        <f>IF($C$12&lt;B29,0,DDM!$C$11)</f>
        <v>5.4247061515052201E-2</v>
      </c>
      <c r="E29" s="124">
        <f t="shared" si="0"/>
        <v>0.36331347055641694</v>
      </c>
      <c r="F29" s="125">
        <f t="shared" si="1"/>
        <v>1055247.894072643</v>
      </c>
      <c r="H29" s="120"/>
    </row>
    <row r="30" spans="2:8">
      <c r="B30" s="122">
        <v>15</v>
      </c>
      <c r="C30" s="123">
        <f t="shared" si="2"/>
        <v>3062071.9616925907</v>
      </c>
      <c r="D30" s="138">
        <f>IF($C$12&lt;B30,0,DDM!$C$11)</f>
        <v>5.4247061515052201E-2</v>
      </c>
      <c r="E30" s="124">
        <f t="shared" si="0"/>
        <v>0.33796601912224833</v>
      </c>
      <c r="F30" s="125">
        <f t="shared" si="1"/>
        <v>1034876.2711590986</v>
      </c>
      <c r="H30" s="120"/>
    </row>
    <row r="31" spans="2:8">
      <c r="B31" s="122">
        <v>16</v>
      </c>
      <c r="C31" s="123">
        <f t="shared" si="2"/>
        <v>3228180.3677620445</v>
      </c>
      <c r="D31" s="138">
        <f>IF($C$12&lt;B31,0,DDM!$C$11)</f>
        <v>5.4247061515052201E-2</v>
      </c>
      <c r="E31" s="124">
        <f t="shared" si="0"/>
        <v>0.31438699453232405</v>
      </c>
      <c r="F31" s="125">
        <f t="shared" si="1"/>
        <v>1014897.9236289618</v>
      </c>
      <c r="H31" s="120"/>
    </row>
    <row r="32" spans="2:8">
      <c r="B32" s="122">
        <v>17</v>
      </c>
      <c r="C32" s="123">
        <f t="shared" si="2"/>
        <v>3403299.6667537154</v>
      </c>
      <c r="D32" s="138">
        <f>IF($C$12&lt;B32,0,DDM!$C$11)</f>
        <v>5.4247061515052201E-2</v>
      </c>
      <c r="E32" s="124">
        <f t="shared" si="0"/>
        <v>0.29245301816960378</v>
      </c>
      <c r="F32" s="125">
        <f t="shared" si="1"/>
        <v>995305.25927773083</v>
      </c>
      <c r="H32" s="120"/>
    </row>
    <row r="33" spans="2:8">
      <c r="B33" s="122">
        <v>18</v>
      </c>
      <c r="C33" s="123">
        <f t="shared" si="2"/>
        <v>3587918.6731302603</v>
      </c>
      <c r="D33" s="138">
        <f>IF($C$12&lt;B33,0,DDM!$C$11)</f>
        <v>5.4247061515052201E-2</v>
      </c>
      <c r="E33" s="124">
        <f t="shared" si="0"/>
        <v>0.27204931922753844</v>
      </c>
      <c r="F33" s="125">
        <f t="shared" si="1"/>
        <v>976090.83246886032</v>
      </c>
      <c r="H33" s="120"/>
    </row>
    <row r="34" spans="2:8">
      <c r="B34" s="122">
        <v>19</v>
      </c>
      <c r="C34" s="123">
        <f t="shared" si="2"/>
        <v>3782552.7181025613</v>
      </c>
      <c r="D34" s="138">
        <f>IF($C$12&lt;B34,0,DDM!$C$11)</f>
        <v>5.4247061515052201E-2</v>
      </c>
      <c r="E34" s="124">
        <f t="shared" si="0"/>
        <v>0.25306913416515198</v>
      </c>
      <c r="F34" s="125">
        <f t="shared" si="1"/>
        <v>957247.3413042574</v>
      </c>
      <c r="H34" s="120"/>
    </row>
    <row r="35" spans="2:8">
      <c r="B35" s="122">
        <v>20</v>
      </c>
      <c r="C35" s="123">
        <f t="shared" si="2"/>
        <v>3987745.0880853985</v>
      </c>
      <c r="D35" s="138">
        <f>IF($C$12&lt;B35,0,DDM!$C$11)</f>
        <v>5.4247061515052201E-2</v>
      </c>
      <c r="E35" s="124">
        <f t="shared" si="0"/>
        <v>0.23541314806060654</v>
      </c>
      <c r="F35" s="125">
        <f t="shared" si="1"/>
        <v>938767.62484940432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19487698.002549812</v>
      </c>
      <c r="D46" s="139">
        <f>Terminal_Growth</f>
        <v>0</v>
      </c>
      <c r="E46" s="124">
        <f>1/(1+Equity_Cost)^C12</f>
        <v>0.23541314806060654</v>
      </c>
      <c r="F46" s="125">
        <f t="shared" si="1"/>
        <v>4587660.3352346448</v>
      </c>
      <c r="H46" s="120"/>
    </row>
    <row r="47" spans="2:8">
      <c r="C47" s="114"/>
      <c r="E47" s="127" t="s">
        <v>100</v>
      </c>
      <c r="F47" s="137">
        <f>SUM(F16:F46)</f>
        <v>27325854.282590307</v>
      </c>
      <c r="H47" s="120"/>
    </row>
    <row r="48" spans="2:8">
      <c r="C48" s="114"/>
      <c r="H48" s="120"/>
    </row>
    <row r="49" spans="1:8" ht="13.15">
      <c r="B49" s="119" t="s">
        <v>129</v>
      </c>
      <c r="C49" s="136"/>
      <c r="D49" s="136"/>
      <c r="E49" s="117"/>
      <c r="F49" s="117"/>
      <c r="H49" s="120"/>
    </row>
    <row r="50" spans="1:8" ht="13.15">
      <c r="A50" s="133">
        <f>F47</f>
        <v>27325854.282590307</v>
      </c>
      <c r="B50" s="131">
        <f>C73</f>
        <v>0</v>
      </c>
      <c r="C50" s="131">
        <f>C72</f>
        <v>0.02</v>
      </c>
      <c r="D50" s="131">
        <f>C71</f>
        <v>0.05</v>
      </c>
      <c r="E50" s="131">
        <f>C70</f>
        <v>0.06</v>
      </c>
      <c r="F50" s="131">
        <f>C69</f>
        <v>0.1</v>
      </c>
      <c r="H50" s="120"/>
    </row>
    <row r="51" spans="1:8" ht="13.15">
      <c r="A51" s="143">
        <v>5</v>
      </c>
      <c r="B51" s="123">
        <f t="dataTable" ref="B51:F56" dt2D="1" dtr="1" r1="C11" r2="C12"/>
        <v>18484944.102707915</v>
      </c>
      <c r="C51" s="123">
        <v>19071110.983960904</v>
      </c>
      <c r="D51" s="123">
        <v>19982612.833002329</v>
      </c>
      <c r="E51" s="123">
        <v>20295423.972435866</v>
      </c>
      <c r="F51" s="123">
        <v>21594163.780995801</v>
      </c>
      <c r="H51" s="120"/>
    </row>
    <row r="52" spans="1:8" ht="13.15">
      <c r="A52" s="143">
        <v>10</v>
      </c>
      <c r="B52" s="123">
        <v>18484944.102707919</v>
      </c>
      <c r="C52" s="123">
        <v>19652370.662091777</v>
      </c>
      <c r="D52" s="123">
        <v>21625809.849985823</v>
      </c>
      <c r="E52" s="123">
        <v>22349977.534501806</v>
      </c>
      <c r="F52" s="123">
        <v>25632296.151047185</v>
      </c>
      <c r="H52" s="120"/>
    </row>
    <row r="53" spans="1:8" ht="13.15">
      <c r="A53" s="143">
        <v>15</v>
      </c>
      <c r="B53" s="123">
        <v>18484944.102707919</v>
      </c>
      <c r="C53" s="123">
        <v>20388313.483833522</v>
      </c>
      <c r="D53" s="123">
        <v>23876115.305608038</v>
      </c>
      <c r="E53" s="123">
        <v>25240844.580488812</v>
      </c>
      <c r="F53" s="123">
        <v>31989985.215003971</v>
      </c>
      <c r="H53" s="120"/>
    </row>
    <row r="54" spans="1:8" ht="13.15">
      <c r="A54" s="144">
        <v>20</v>
      </c>
      <c r="B54" s="123">
        <v>18484944.102707922</v>
      </c>
      <c r="C54" s="123">
        <v>21155545.882067852</v>
      </c>
      <c r="D54" s="123">
        <v>26426577.661683165</v>
      </c>
      <c r="E54" s="123">
        <v>28615212.727134641</v>
      </c>
      <c r="F54" s="123">
        <v>40395201.405095257</v>
      </c>
      <c r="H54" s="120"/>
    </row>
    <row r="55" spans="1:8" ht="13.15">
      <c r="A55" s="144">
        <v>25</v>
      </c>
      <c r="B55" s="123">
        <v>18484944.102707919</v>
      </c>
      <c r="C55" s="123">
        <v>21885774.049211178</v>
      </c>
      <c r="D55" s="123">
        <v>29077009.567611698</v>
      </c>
      <c r="E55" s="123">
        <v>32234047.090662301</v>
      </c>
      <c r="F55" s="123">
        <v>50711062.163098678</v>
      </c>
      <c r="H55" s="120"/>
    </row>
    <row r="56" spans="1:8" ht="13.15">
      <c r="A56" s="144">
        <v>30</v>
      </c>
      <c r="B56" s="123">
        <v>18484944.102707922</v>
      </c>
      <c r="C56" s="123">
        <v>22545006.6197244</v>
      </c>
      <c r="D56" s="123">
        <v>31700079.170946226</v>
      </c>
      <c r="E56" s="123">
        <v>35937109.577334389</v>
      </c>
      <c r="F56" s="123">
        <v>62901230.439008772</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7.7973333333333352</v>
      </c>
      <c r="C60" s="124">
        <f>C7</f>
        <v>7.7973333333333352</v>
      </c>
      <c r="D60" s="124">
        <f>C7</f>
        <v>7.7973333333333352</v>
      </c>
      <c r="E60" s="141">
        <f>C7</f>
        <v>7.7973333333333352</v>
      </c>
      <c r="F60" s="124">
        <f>C7</f>
        <v>7.7973333333333352</v>
      </c>
      <c r="H60" s="120"/>
    </row>
    <row r="61" spans="1:8" ht="13.15">
      <c r="A61" s="143">
        <f t="shared" ref="A61:A66" si="3">A51</f>
        <v>5</v>
      </c>
      <c r="B61" s="124">
        <f t="shared" ref="B61:F66" si="4">B51/Common_Shares*$C$3*Exchange_Rate</f>
        <v>7.7973333333333343</v>
      </c>
      <c r="C61" s="124">
        <f t="shared" si="4"/>
        <v>8.0445906978508948</v>
      </c>
      <c r="D61" s="124">
        <f t="shared" si="4"/>
        <v>8.4290811086108874</v>
      </c>
      <c r="E61" s="124">
        <f t="shared" si="4"/>
        <v>8.5610313439478603</v>
      </c>
      <c r="F61" s="124">
        <f t="shared" si="4"/>
        <v>9.1088667685152434</v>
      </c>
      <c r="H61" s="120"/>
    </row>
    <row r="62" spans="1:8" ht="13.15">
      <c r="A62" s="143">
        <f t="shared" si="3"/>
        <v>10</v>
      </c>
      <c r="B62" s="124">
        <f t="shared" si="4"/>
        <v>7.7973333333333361</v>
      </c>
      <c r="C62" s="124">
        <f t="shared" si="4"/>
        <v>8.2897781021746386</v>
      </c>
      <c r="D62" s="124">
        <f t="shared" si="4"/>
        <v>9.1222157376673181</v>
      </c>
      <c r="E62" s="124">
        <f t="shared" si="4"/>
        <v>9.4276847071175478</v>
      </c>
      <c r="F62" s="124">
        <f t="shared" si="4"/>
        <v>10.812234869520291</v>
      </c>
      <c r="H62" s="120"/>
    </row>
    <row r="63" spans="1:8" ht="13.15">
      <c r="A63" s="143">
        <f t="shared" si="3"/>
        <v>15</v>
      </c>
      <c r="B63" s="124">
        <f t="shared" si="4"/>
        <v>7.7973333333333361</v>
      </c>
      <c r="C63" s="124">
        <f t="shared" si="4"/>
        <v>8.6002140690626145</v>
      </c>
      <c r="D63" s="124">
        <f t="shared" si="4"/>
        <v>10.071441315078424</v>
      </c>
      <c r="E63" s="124">
        <f t="shared" si="4"/>
        <v>10.647112467064479</v>
      </c>
      <c r="F63" s="124">
        <f t="shared" si="4"/>
        <v>13.494040158512046</v>
      </c>
      <c r="H63" s="120"/>
    </row>
    <row r="64" spans="1:8" ht="13.15">
      <c r="A64" s="144">
        <f t="shared" si="3"/>
        <v>20</v>
      </c>
      <c r="B64" s="124">
        <f t="shared" si="4"/>
        <v>7.797333333333337</v>
      </c>
      <c r="C64" s="124">
        <f t="shared" si="4"/>
        <v>8.9238486291633095</v>
      </c>
      <c r="D64" s="124">
        <f t="shared" si="4"/>
        <v>11.147279307010637</v>
      </c>
      <c r="E64" s="124">
        <f t="shared" si="4"/>
        <v>12.070491033025379</v>
      </c>
      <c r="F64" s="124">
        <f t="shared" si="4"/>
        <v>17.039534914066696</v>
      </c>
      <c r="H64" s="120"/>
    </row>
    <row r="65" spans="1:8" ht="13.15">
      <c r="A65" s="144">
        <f t="shared" si="3"/>
        <v>25</v>
      </c>
      <c r="B65" s="124">
        <f t="shared" si="4"/>
        <v>7.7973333333333361</v>
      </c>
      <c r="C65" s="124">
        <f t="shared" si="4"/>
        <v>9.2318740360549363</v>
      </c>
      <c r="D65" s="124">
        <f t="shared" si="4"/>
        <v>12.265286531322408</v>
      </c>
      <c r="E65" s="124">
        <f t="shared" si="4"/>
        <v>13.596990526546307</v>
      </c>
      <c r="F65" s="124">
        <f t="shared" si="4"/>
        <v>21.390979230234365</v>
      </c>
    </row>
    <row r="66" spans="1:8" ht="13.15">
      <c r="A66" s="144">
        <f t="shared" si="3"/>
        <v>30</v>
      </c>
      <c r="B66" s="124">
        <f t="shared" si="4"/>
        <v>7.797333333333337</v>
      </c>
      <c r="C66" s="124">
        <f t="shared" si="4"/>
        <v>9.5099520257919323</v>
      </c>
      <c r="D66" s="124">
        <f t="shared" si="4"/>
        <v>13.371751768116798</v>
      </c>
      <c r="E66" s="124">
        <f t="shared" si="4"/>
        <v>15.159019191729811</v>
      </c>
      <c r="F66" s="124">
        <f t="shared" si="4"/>
        <v>26.533045384644431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26.533045384644431</v>
      </c>
      <c r="F69" s="142">
        <f>Scenarios!C58</f>
        <v>0.05</v>
      </c>
    </row>
    <row r="70" spans="1:8">
      <c r="B70" s="127" t="str">
        <f>Scenarios!B36</f>
        <v>Optimistic</v>
      </c>
      <c r="C70" s="142">
        <f>Scenarios!C38</f>
        <v>0.06</v>
      </c>
      <c r="D70" s="145">
        <f>Scenarios!C37</f>
        <v>20</v>
      </c>
      <c r="E70" s="135">
        <f>INDEX(B$60:F$66, MATCH(D70, A$60:A$66, 0), MATCH(C70, B$59:F$59, 0))</f>
        <v>12.070491033025379</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8.9238486291633095</v>
      </c>
      <c r="F72" s="142">
        <f>Scenarios!C34*(1-F$69-F$73)</f>
        <v>0.18</v>
      </c>
      <c r="H72" s="120"/>
    </row>
    <row r="73" spans="1:8">
      <c r="B73" s="127" t="str">
        <f>Scenarios!B48</f>
        <v>Devil's advocate</v>
      </c>
      <c r="C73" s="142">
        <f>Scenarios!C50</f>
        <v>0</v>
      </c>
      <c r="D73" s="145">
        <f>Scenarios!C49</f>
        <v>30</v>
      </c>
      <c r="E73" s="135">
        <f>INDEX(B$60:F$66, MATCH(D73, A$60:A$66, 0), MATCH(C73, B$59:F$59, 0))</f>
        <v>7.797333333333337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-15.5</v>
      </c>
    </row>
    <row r="4" spans="2:9">
      <c r="B4" s="152" t="s">
        <v>146</v>
      </c>
      <c r="C4" s="120">
        <v>3</v>
      </c>
      <c r="D4" s="120"/>
      <c r="E4" s="155" t="s">
        <v>150</v>
      </c>
      <c r="F4" s="155"/>
      <c r="H4" s="247">
        <v>1</v>
      </c>
      <c r="I4" s="124">
        <f t="shared" ref="I4:I13" si="0">IF(ROW()-3 &lt; $C$76, $C$77, IF(ROW()-3 = $C$76, $C$77 + $C$60, ""))</f>
        <v>0.53635559069626293</v>
      </c>
    </row>
    <row r="5" spans="2:9">
      <c r="H5" s="247">
        <v>2</v>
      </c>
      <c r="I5" s="124">
        <f t="shared" si="0"/>
        <v>0.53635559069626293</v>
      </c>
    </row>
    <row r="6" spans="2:9" ht="13.15">
      <c r="B6" s="159" t="s">
        <v>95</v>
      </c>
      <c r="C6" s="107">
        <f>DCF!C3</f>
        <v>1000</v>
      </c>
      <c r="E6" s="100" t="s">
        <v>279</v>
      </c>
      <c r="F6" s="100"/>
      <c r="H6" s="247">
        <v>3</v>
      </c>
      <c r="I6" s="124">
        <f t="shared" si="0"/>
        <v>26.077872176073662</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2532231.899278108</v>
      </c>
      <c r="D8" t="str">
        <f>Reporting_currency</f>
        <v>CNY</v>
      </c>
      <c r="E8" s="366"/>
      <c r="F8" s="366"/>
      <c r="H8" s="247">
        <v>5</v>
      </c>
      <c r="I8" s="124" t="str">
        <f t="shared" si="0"/>
        <v/>
      </c>
    </row>
    <row r="9" spans="2:9">
      <c r="B9" s="100" t="s">
        <v>57</v>
      </c>
      <c r="C9" s="338">
        <f>Normalized_FCF!C19</f>
        <v>2419757.6618851814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-0.10082949863139667</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15.5</v>
      </c>
      <c r="D21" t="str">
        <f>Market_currency</f>
        <v>HKD</v>
      </c>
      <c r="E21" s="367"/>
      <c r="F21" s="367"/>
    </row>
    <row r="22" spans="2:6">
      <c r="B22" s="100" t="s">
        <v>278</v>
      </c>
      <c r="C22" s="160">
        <f>IF(valuation_method="DCF",DCF!C12,DDM!C7)</f>
        <v>18.98017324762289</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24.827135252064537</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20.946381713041767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26.43849971181363</v>
      </c>
      <c r="D39" t="str">
        <f>Market_currency</f>
        <v>HKD</v>
      </c>
      <c r="E39" s="365"/>
      <c r="F39" s="365"/>
    </row>
    <row r="40" spans="2:6">
      <c r="B40" s="100" t="s">
        <v>147</v>
      </c>
      <c r="C40" s="167">
        <f>1-C28-C34</f>
        <v>0.24999999999999994</v>
      </c>
      <c r="D40" s="165"/>
      <c r="E40" s="365"/>
      <c r="F40" s="365"/>
    </row>
    <row r="42" spans="2:6" ht="13.15">
      <c r="B42" s="100" t="s">
        <v>120</v>
      </c>
      <c r="C42" s="154">
        <f>C27*C28+C33*C34+C39*C40</f>
        <v>24.453825659197257</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18.980173247622893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51.681296594374494</v>
      </c>
      <c r="D57" t="str">
        <f>Market_currency</f>
        <v>HKD</v>
      </c>
      <c r="E57" s="365"/>
      <c r="F57" s="365"/>
    </row>
    <row r="58" spans="2:6">
      <c r="B58" s="100" t="s">
        <v>147</v>
      </c>
      <c r="C58" s="165">
        <v>0.05</v>
      </c>
      <c r="D58" s="165"/>
      <c r="E58" s="365"/>
      <c r="F58" s="365"/>
    </row>
    <row r="60" spans="2:6" ht="13.15">
      <c r="B60" s="100" t="s">
        <v>120</v>
      </c>
      <c r="C60" s="154">
        <f>C51*C52+C57*C58+C42*(1-C52-C58)</f>
        <v>25.541516585377398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25.489220224240611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0.21027671027911968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0.53635559069626293</v>
      </c>
      <c r="D77" t="str">
        <f>Market_currency</f>
        <v>HKD</v>
      </c>
    </row>
    <row r="79" spans="2:6" ht="13.15">
      <c r="B79" s="109" t="s">
        <v>301</v>
      </c>
    </row>
    <row r="80" spans="2:6">
      <c r="B80" s="148" t="s">
        <v>299</v>
      </c>
      <c r="C80" s="167">
        <f>Thesis!F29</f>
        <v>0.3674</v>
      </c>
    </row>
    <row r="81" spans="2:8">
      <c r="B81" s="100" t="s">
        <v>121</v>
      </c>
      <c r="C81" s="116">
        <f>PV(C80, C76, -C77, 0)</f>
        <v>0.88888030117482542</v>
      </c>
      <c r="D81" s="116"/>
      <c r="E81" s="100"/>
      <c r="F81" s="100"/>
    </row>
    <row r="82" spans="2:8">
      <c r="B82" s="100" t="s">
        <v>122</v>
      </c>
      <c r="C82" s="116">
        <f>C60/(1+C80)^C76</f>
        <v>9.9898727030194969</v>
      </c>
      <c r="D82" s="116"/>
    </row>
    <row r="83" spans="2:8" ht="13.15">
      <c r="B83" s="110" t="s">
        <v>101</v>
      </c>
      <c r="C83" s="111">
        <f>C81+C82</f>
        <v>10.878753004194323</v>
      </c>
      <c r="D83" t="str">
        <f>Market_currency</f>
        <v>HKD</v>
      </c>
      <c r="E83" s="146" t="s">
        <v>126</v>
      </c>
      <c r="F83" s="291">
        <f>(1-C83/C60)</f>
        <v>0.57407568310088353</v>
      </c>
    </row>
    <row r="84" spans="2:8">
      <c r="E84" s="120"/>
    </row>
    <row r="85" spans="2:8" ht="13.15">
      <c r="B85" s="109" t="s">
        <v>302</v>
      </c>
    </row>
    <row r="86" spans="2:8">
      <c r="B86" s="148" t="s">
        <v>300</v>
      </c>
      <c r="C86" s="116">
        <f>Market_Price</f>
        <v>15.5</v>
      </c>
      <c r="D86" t="str">
        <f>Market_currency</f>
        <v>HKD</v>
      </c>
    </row>
    <row r="87" spans="2:8" ht="13.15">
      <c r="B87" s="100" t="s">
        <v>298</v>
      </c>
      <c r="C87" s="237">
        <f ca="1">IRR(OFFSET($I$3, 0, 0, $C$76 + 1, 1))</f>
        <v>0.21079867997820578</v>
      </c>
    </row>
    <row r="88" spans="2:8">
      <c r="B88" s="100"/>
    </row>
    <row r="89" spans="2:8" ht="13.15">
      <c r="B89" s="109" t="s">
        <v>412</v>
      </c>
    </row>
    <row r="90" spans="2:8">
      <c r="B90" s="148" t="s">
        <v>413</v>
      </c>
      <c r="C90" s="167">
        <f>Thesis!F30</f>
        <v>0.21740000000000001</v>
      </c>
    </row>
    <row r="91" spans="2:8">
      <c r="B91" s="100" t="s">
        <v>121</v>
      </c>
      <c r="C91" s="116">
        <f>PV(C90, C76, -C77, 0)</f>
        <v>1.0997439450481823</v>
      </c>
      <c r="D91" s="116"/>
      <c r="E91" s="100"/>
      <c r="F91" s="100"/>
    </row>
    <row r="92" spans="2:8">
      <c r="B92" s="100" t="s">
        <v>122</v>
      </c>
      <c r="C92" s="116">
        <f>C60/(1+C90)^C76</f>
        <v>14.156203223793975</v>
      </c>
      <c r="D92" s="116"/>
    </row>
    <row r="93" spans="2:8" ht="13.15">
      <c r="B93" s="110" t="s">
        <v>101</v>
      </c>
      <c r="C93" s="111">
        <f>C91+C92</f>
        <v>15.255947168842157</v>
      </c>
      <c r="D93" t="str">
        <f>Market_currency</f>
        <v>HKD</v>
      </c>
      <c r="E93" s="146" t="s">
        <v>126</v>
      </c>
      <c r="F93" s="291">
        <f>(1-C93/C60)</f>
        <v>0.40270002692102325</v>
      </c>
    </row>
    <row r="95" spans="2:8" ht="13.15">
      <c r="B95" s="109" t="s">
        <v>397</v>
      </c>
      <c r="G95" s="2"/>
      <c r="H95" s="281"/>
    </row>
    <row r="96" spans="2:8">
      <c r="B96" s="148" t="s">
        <v>403</v>
      </c>
      <c r="C96" s="134">
        <f>Thesis!F31</f>
        <v>7.4999999999999997E-2</v>
      </c>
      <c r="G96" s="2"/>
      <c r="H96" s="281"/>
    </row>
    <row r="97" spans="2:8">
      <c r="B97" s="100" t="s">
        <v>121</v>
      </c>
      <c r="C97" s="116">
        <f>PV(C96, C76, -C77, 0)</f>
        <v>1.3948065193298613</v>
      </c>
      <c r="D97" s="116"/>
      <c r="G97" s="2"/>
      <c r="H97" s="281"/>
    </row>
    <row r="98" spans="2:8">
      <c r="B98" s="100" t="s">
        <v>122</v>
      </c>
      <c r="C98" s="116">
        <f>C60/(1+C96)^C76</f>
        <v>20.55991373670436</v>
      </c>
      <c r="D98" s="116"/>
      <c r="G98" s="2"/>
      <c r="H98" s="281"/>
    </row>
    <row r="99" spans="2:8" ht="13.15">
      <c r="B99" s="110" t="s">
        <v>398</v>
      </c>
      <c r="C99" s="111">
        <f>C97+C98</f>
        <v>21.954720256034221</v>
      </c>
      <c r="D99" t="s">
        <v>396</v>
      </c>
      <c r="E99" s="146" t="s">
        <v>126</v>
      </c>
      <c r="F99" s="291">
        <f>(1-C99/C60)</f>
        <v>0.14043004523061986</v>
      </c>
    </row>
    <row r="100" spans="2:8">
      <c r="B100" s="100"/>
    </row>
    <row r="101" spans="2:8" ht="13.15">
      <c r="B101" s="109" t="s">
        <v>422</v>
      </c>
    </row>
    <row r="102" spans="2:8">
      <c r="B102" s="148" t="s">
        <v>421</v>
      </c>
      <c r="C102" s="134">
        <f>Thesis!F32</f>
        <v>0.1174</v>
      </c>
    </row>
    <row r="103" spans="2:8">
      <c r="B103" s="100" t="s">
        <v>121</v>
      </c>
      <c r="C103" s="116">
        <f>PV(C102, C76, -C77, 0)</f>
        <v>1.2940131747284747</v>
      </c>
      <c r="D103" s="116"/>
    </row>
    <row r="104" spans="2:8">
      <c r="B104" s="100" t="s">
        <v>122</v>
      </c>
      <c r="C104" s="116">
        <f>C60/(1+C102)^C76</f>
        <v>18.307147465929202</v>
      </c>
      <c r="D104" s="116"/>
    </row>
    <row r="105" spans="2:8" ht="13.15">
      <c r="B105" s="110" t="s">
        <v>398</v>
      </c>
      <c r="C105" s="111">
        <f>C103+C104</f>
        <v>19.601160640657675</v>
      </c>
      <c r="D105" t="s">
        <v>396</v>
      </c>
      <c r="E105" s="146" t="s">
        <v>126</v>
      </c>
      <c r="F105" s="291">
        <f>(1-C105/C66)</f>
        <v>0.23100195030616544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