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AE0174C-B217-43F4-843E-7E0CE8A098E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D69" i="4"/>
  <c r="J91" i="2"/>
  <c r="N126" i="2"/>
  <c r="N91" i="2"/>
  <c r="I91" i="2"/>
  <c r="D70" i="4"/>
  <c r="P126" i="2"/>
  <c r="P91" i="2"/>
  <c r="F69" i="4"/>
  <c r="G69" i="4"/>
  <c r="Q126" i="2"/>
  <c r="Q48" i="2"/>
  <c r="Q92" i="2"/>
  <c r="Q91" i="2"/>
  <c r="C70" i="4"/>
  <c r="J71" i="4"/>
  <c r="I69" i="4"/>
  <c r="L126" i="2"/>
  <c r="L91" i="2"/>
  <c r="I70" i="4"/>
  <c r="O126" i="2"/>
  <c r="O91" i="2"/>
  <c r="M126" i="2"/>
  <c r="M91" i="2"/>
  <c r="H91" i="2"/>
  <c r="J70" i="4"/>
  <c r="E69" i="4"/>
  <c r="I71" i="4"/>
  <c r="C69" i="4"/>
  <c r="J69" i="4"/>
  <c r="K126" i="2"/>
  <c r="K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O108" i="2" s="1"/>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G71" i="4" s="1"/>
  <c r="E44" i="4"/>
  <c r="C44" i="4"/>
  <c r="Q13" i="2"/>
  <c r="Q16" i="2"/>
  <c r="C105" i="2"/>
  <c r="G53" i="2"/>
  <c r="M96" i="2"/>
  <c r="O96" i="2"/>
  <c r="P96" i="2"/>
  <c r="N96" i="2"/>
  <c r="L96" i="2"/>
  <c r="G96" i="2"/>
  <c r="I96" i="2"/>
  <c r="C101" i="2"/>
  <c r="D59" i="3"/>
  <c r="K96" i="2"/>
  <c r="H96" i="2"/>
  <c r="J96" i="2"/>
  <c r="Q119" i="2"/>
  <c r="Q120" i="2"/>
  <c r="O119" i="2"/>
  <c r="O109"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74" i="2" s="1"/>
  <c r="O82" i="2"/>
  <c r="O73" i="2"/>
  <c r="O40" i="2"/>
  <c r="O28" i="2"/>
  <c r="O75" i="2"/>
  <c r="C76" i="4" l="1"/>
  <c r="G105" i="2"/>
  <c r="G101" i="2" s="1"/>
  <c r="O8" i="2"/>
  <c r="H58" i="4"/>
  <c r="H71" i="4"/>
  <c r="C58" i="4"/>
  <c r="C71" i="4"/>
  <c r="O63" i="2"/>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6" i="2" l="1"/>
  <c r="O55"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M48" i="2"/>
  <c r="M50" i="2" s="1"/>
  <c r="M12" i="2" s="1"/>
  <c r="N48" i="2"/>
  <c r="P48" i="2"/>
  <c r="P50" i="2" s="1"/>
  <c r="P12" i="2" s="1"/>
  <c r="K48" i="2"/>
  <c r="K50" i="2" s="1"/>
  <c r="K12" i="2" s="1"/>
  <c r="K43" i="2" s="1"/>
  <c r="I48" i="2"/>
  <c r="I50" i="2" s="1"/>
  <c r="I12" i="2" s="1"/>
  <c r="I80" i="2" s="1"/>
  <c r="O48" i="2"/>
  <c r="O50" i="2" s="1"/>
  <c r="O12" i="2" s="1"/>
  <c r="H48" i="2"/>
  <c r="H50" i="2" s="1"/>
  <c r="H12" i="2" s="1"/>
  <c r="H80" i="2" s="1"/>
  <c r="J48" i="2"/>
  <c r="L48" i="2"/>
  <c r="L50" i="2" s="1"/>
  <c r="L12" i="2" s="1"/>
  <c r="J50" i="2"/>
  <c r="J12" i="2" s="1"/>
  <c r="J80" i="2" s="1"/>
  <c r="N50" i="2"/>
  <c r="N12" i="2" s="1"/>
  <c r="G50" i="2"/>
  <c r="G12" i="2" s="1"/>
  <c r="G43" i="2" s="1"/>
  <c r="C40" i="6"/>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87" i="2" l="1"/>
  <c r="O92" i="2"/>
  <c r="O114"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114" i="2"/>
  <c r="N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37" i="8" l="1"/>
  <c r="F37" i="8" s="1"/>
  <c r="C39" i="8"/>
  <c r="F39" i="8" s="1"/>
  <c r="C40" i="8"/>
  <c r="F40" i="8" s="1"/>
  <c r="C38" i="8"/>
  <c r="F38"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<sst xmlns="http://schemas.openxmlformats.org/spreadsheetml/2006/main" count="616" uniqueCount="432">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</sst>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423</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424</v>
      </c>
      <c r="D5" s="49" t="s">
        <v>425</v>
      </c>
    </row>
    <row r="6" spans="1:10">
      <c r="B6" s="4" t="s">
        <v>95</v>
      </c>
      <c r="C6" s="50">
        <v>14.62</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37789.745385720002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1.06707424</v>
      </c>
      <c r="D17" s="32" t="str">
        <f>IF(C16=D6,D6,C16&amp;"/"&amp;D6)</f>
        <v>CNY/HKD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12.691224440750165</v>
      </c>
      <c r="D20" s="1" t="s">
        <v>315</v>
      </c>
      <c r="E20" s="330">
        <v>3</v>
      </c>
    </row>
    <row r="21" spans="1:6">
      <c r="B21" s="1" t="s">
        <v>407</v>
      </c>
      <c r="C21" s="280">
        <f ca="1">Scenarios!C87</f>
        <v>0.23834012469037225</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3205414.6239021346</v>
      </c>
      <c r="D30" s="1" t="str">
        <f>Reporting_currency</f>
        <v>CNY</v>
      </c>
    </row>
    <row r="31" spans="1:6">
      <c r="B31" s="47"/>
      <c r="C31" s="76"/>
    </row>
    <row r="32" spans="1:6" ht="24.4" customHeight="1">
      <c r="B32" s="341" t="s">
        <v>234</v>
      </c>
      <c r="C32" s="341"/>
      <c r="D32" s="341"/>
      <c r="E32" s="341"/>
      <c r="F32" s="341"/>
    </row>
    <row r="33" spans="2:6">
      <c r="B33" s="47" t="s">
        <v>235</v>
      </c>
      <c r="C33" s="188">
        <f>Normalized_FCF!C9</f>
        <v>0</v>
      </c>
      <c r="D33" s="1" t="str">
        <f>Reporting_currency</f>
        <v>CNY</v>
      </c>
    </row>
    <row r="34" spans="2:6">
      <c r="B34" s="52" t="s">
        <v>236</v>
      </c>
      <c r="C34" s="188">
        <f>Normalized_FCF!C10</f>
        <v>0</v>
      </c>
      <c r="D34" s="1" t="str">
        <f>Reporting_currency</f>
        <v>CNY</v>
      </c>
    </row>
    <row r="36" spans="2:6">
      <c r="B36" s="341" t="s">
        <v>237</v>
      </c>
      <c r="C36" s="341"/>
      <c r="D36" s="341"/>
      <c r="E36" s="341"/>
      <c r="F36" s="341"/>
    </row>
    <row r="37" spans="2:6">
      <c r="B37" s="47" t="s">
        <v>238</v>
      </c>
      <c r="C37" s="188">
        <f>Normalized_FCF!C11</f>
        <v>179409.3</v>
      </c>
      <c r="D37" s="1" t="str">
        <f>Reporting_currency</f>
        <v>CNY</v>
      </c>
    </row>
    <row r="39" spans="2:6">
      <c r="B39" s="341" t="s">
        <v>241</v>
      </c>
      <c r="C39" s="341"/>
      <c r="D39" s="341"/>
      <c r="E39" s="341"/>
      <c r="F39" s="341"/>
    </row>
    <row r="40" spans="2:6">
      <c r="B40" s="47" t="s">
        <v>348</v>
      </c>
      <c r="C40" s="322">
        <f>Normalized_FCF!C48</f>
        <v>96059.660813338982</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-158361.339186661</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-806615.64617886837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2532350.9348133393</v>
      </c>
      <c r="D56" s="1" t="str">
        <f>Reporting_currency</f>
        <v>CNY</v>
      </c>
    </row>
    <row r="57" spans="1:6">
      <c r="B57" s="47" t="s">
        <v>249</v>
      </c>
      <c r="C57" s="188">
        <f>Normalized_FCF!C19</f>
        <v>2419846.9385366049</v>
      </c>
      <c r="D57" s="1" t="str">
        <f>Reporting_currency</f>
        <v>CNY</v>
      </c>
    </row>
    <row r="58" spans="1:6">
      <c r="B58" s="254" t="s">
        <v>398</v>
      </c>
      <c r="C58" s="92">
        <f>Normalized_FCF!C125</f>
        <v>6.8329550953551019E-2</v>
      </c>
    </row>
    <row r="59" spans="1:6">
      <c r="B59" s="254" t="s">
        <v>316</v>
      </c>
      <c r="C59" s="92">
        <f>Normalized_FCF!C93</f>
        <v>3.7485676722924174E-2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12.487225436761449</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1936137</v>
      </c>
      <c r="D86" s="1" t="str">
        <f>Reporting_currency</f>
        <v>CNY</v>
      </c>
    </row>
    <row r="87" spans="2:6">
      <c r="B87" s="47" t="s">
        <v>285</v>
      </c>
      <c r="C87" s="248">
        <f>C86*scaling_factor*Exchange_Rate/Common_Shares</f>
        <v>0.799289535562971</v>
      </c>
      <c r="D87" s="1" t="str">
        <f>Market_currency</f>
        <v>HKD</v>
      </c>
    </row>
    <row r="88" spans="2:6">
      <c r="B88" s="336" t="s">
        <v>412</v>
      </c>
      <c r="C88" s="337">
        <f>BS!G30/BS!G27</f>
        <v>0.36794481423679237</v>
      </c>
    </row>
    <row r="89" spans="2:6">
      <c r="B89" s="336" t="s">
        <v>413</v>
      </c>
      <c r="C89" s="337">
        <f>BS!G31/BS!G27</f>
        <v>7.4171010848313429E-2</v>
      </c>
    </row>
    <row r="90" spans="2:6">
      <c r="B90" s="336" t="s">
        <v>415</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14101919.824155236</v>
      </c>
      <c r="D94" s="1" t="str">
        <f>Reporting_currency</f>
        <v>CNY</v>
      </c>
    </row>
    <row r="95" spans="2:6">
      <c r="B95" s="47" t="s">
        <v>286</v>
      </c>
      <c r="C95" s="248">
        <f>C94*scaling_factor*Exchange_Rate/Common_Shares</f>
        <v>5.821652572516971</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0.23183213942147476</v>
      </c>
      <c r="D99" s="1" t="str">
        <f>Market_currency</f>
        <v>HKD</v>
      </c>
    </row>
    <row r="101" spans="1:6" ht="24.4" customHeight="1">
      <c r="B101" s="340" t="s">
        <v>374</v>
      </c>
      <c r="C101" s="340"/>
      <c r="D101" s="340"/>
      <c r="E101" s="340"/>
      <c r="F101" s="340"/>
    </row>
    <row r="103" spans="1:6">
      <c r="B103" s="47" t="s">
        <v>283</v>
      </c>
      <c r="C103" s="248">
        <f>Valuation_Model!C12</f>
        <v>17.741420613136924</v>
      </c>
      <c r="D103" s="1" t="str">
        <f>Market_currency</f>
        <v>HKD</v>
      </c>
    </row>
    <row r="104" spans="1:6">
      <c r="B104" s="336" t="s">
        <v>414</v>
      </c>
      <c r="C104" s="248">
        <f>BS!D47</f>
        <v>4.4985790275171595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46.95 HKD</v>
      </c>
      <c r="F111" s="259">
        <f>Valuation_Model!F74</f>
        <v>0.1</v>
      </c>
    </row>
    <row r="112" spans="1:6">
      <c r="B112" s="242" t="str">
        <f>Valuation_Model!B75</f>
        <v>Optimistic</v>
      </c>
      <c r="C112" s="243">
        <f>Valuation_Model!C75</f>
        <v>0.08</v>
      </c>
      <c r="D112" s="244">
        <f>Valuation_Model!D75</f>
        <v>20</v>
      </c>
      <c r="E112" s="245" t="str">
        <f>ROUND(Valuation_Model!E75,2)&amp;" "&amp;Market_currency</f>
        <v>28.13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23.13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19.56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17.74 HKD</v>
      </c>
      <c r="F115" s="246">
        <f>Valuation_Model!F78</f>
        <v>0.05</v>
      </c>
    </row>
    <row r="117" spans="1:6">
      <c r="B117" s="235" t="s">
        <v>259</v>
      </c>
      <c r="C117" s="241">
        <f>Scenarios!C60</f>
        <v>25.695938127508406</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0.54804059368915137</v>
      </c>
      <c r="D128" s="236" t="str">
        <f>Market_currency</f>
        <v>HKD</v>
      </c>
    </row>
    <row r="130" spans="2:4">
      <c r="B130" s="234" t="s">
        <v>420</v>
      </c>
      <c r="C130" s="337">
        <f>C19</f>
        <v>0.3</v>
      </c>
      <c r="D130" s="1" t="s">
        <v>416</v>
      </c>
    </row>
    <row r="131" spans="2:4">
      <c r="B131" s="236" t="str">
        <f>"PV("&amp;C126&amp;" yrs of Dividends)"</f>
        <v>PV(3 yrs of Dividends)</v>
      </c>
      <c r="C131" s="240">
        <f>Scenarios!C81</f>
        <v>0.99530358162026156</v>
      </c>
    </row>
    <row r="132" spans="2:4">
      <c r="B132" s="236" t="str">
        <f>"+ PV(Equity Value realized at year "&amp;C126&amp;")"</f>
        <v>+ PV(Equity Value realized at year 3)</v>
      </c>
      <c r="C132" s="240">
        <f>Scenarios!C82</f>
        <v>11.695920859129904</v>
      </c>
    </row>
    <row r="133" spans="2:4">
      <c r="B133" s="80" t="s">
        <v>261</v>
      </c>
      <c r="C133" s="239">
        <f>Scenarios!C83</f>
        <v>12.691224440750165</v>
      </c>
      <c r="D133" s="47" t="str">
        <f>Reporting_currency</f>
        <v>CNY</v>
      </c>
    </row>
    <row r="134" spans="2:4">
      <c r="B134" s="238" t="s">
        <v>263</v>
      </c>
      <c r="C134" s="92">
        <f>Scenarios!F83</f>
        <v>0.50609997666659368</v>
      </c>
    </row>
    <row r="136" spans="2:4">
      <c r="B136" s="234" t="s">
        <v>420</v>
      </c>
      <c r="C136" s="337">
        <f>Scenarios!C90</f>
        <v>0.2</v>
      </c>
      <c r="D136" s="1" t="s">
        <v>422</v>
      </c>
    </row>
    <row r="137" spans="2:4">
      <c r="B137" s="236" t="str">
        <f>"PV("&amp;C126&amp;" yrs of Dividends)"</f>
        <v>PV(3 yrs of Dividends)</v>
      </c>
      <c r="C137" s="240">
        <f>Scenarios!C91</f>
        <v>1.1544373617063142</v>
      </c>
    </row>
    <row r="138" spans="2:4">
      <c r="B138" s="236" t="str">
        <f>"+ PV(Equity Value realized at year "&amp;C126&amp;")"</f>
        <v>+ PV(Equity Value realized at year 3)</v>
      </c>
      <c r="C138" s="240">
        <f>Scenarios!C92</f>
        <v>14.870334564530328</v>
      </c>
    </row>
    <row r="139" spans="2:4">
      <c r="B139" s="80" t="s">
        <v>261</v>
      </c>
      <c r="C139" s="239">
        <f>Scenarios!C93</f>
        <v>16.024771926236642</v>
      </c>
      <c r="D139" s="47" t="str">
        <f>Reporting_currency</f>
        <v>CNY</v>
      </c>
    </row>
    <row r="140" spans="2:4">
      <c r="B140" s="238" t="s">
        <v>263</v>
      </c>
      <c r="C140" s="92">
        <f>Scenarios!F93</f>
        <v>0.3763694539300918</v>
      </c>
    </row>
    <row r="142" spans="2:4">
      <c r="B142" s="234" t="s">
        <v>408</v>
      </c>
      <c r="C142" s="92">
        <f>Scenarios!C96</f>
        <v>0.08</v>
      </c>
      <c r="D142" s="1" t="s">
        <v>421</v>
      </c>
    </row>
    <row r="143" spans="2:4">
      <c r="B143" s="236" t="str">
        <f>"PV("&amp;C126&amp;" yrs of Dividends)"</f>
        <v>PV(3 yrs of Dividends)</v>
      </c>
      <c r="C143" s="240">
        <f>Scenarios!C97</f>
        <v>1.4123537628858516</v>
      </c>
    </row>
    <row r="144" spans="2:4">
      <c r="B144" s="236" t="str">
        <f>"+ PV(Equity Value realized at year "&amp;C126&amp;")"</f>
        <v>+ PV(Equity Value realized at year 3)</v>
      </c>
      <c r="C144" s="240">
        <f>Scenarios!C98</f>
        <v>20.398264148875619</v>
      </c>
    </row>
    <row r="145" spans="1:6">
      <c r="B145" s="80" t="s">
        <v>409</v>
      </c>
      <c r="C145" s="239">
        <f>Scenarios!C99</f>
        <v>21.810617911761469</v>
      </c>
      <c r="D145" s="101" t="str">
        <f>Reporting_currency</f>
        <v>CNY</v>
      </c>
    </row>
    <row r="146" spans="1:6">
      <c r="B146" s="238" t="s">
        <v>263</v>
      </c>
      <c r="C146" s="92">
        <f>Scenarios!F99</f>
        <v>0.15120367259864953</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0.54804059368915137</v>
      </c>
      <c r="D25" s="39"/>
      <c r="E25" s="39"/>
      <c r="F25" s="39"/>
      <c r="G25" s="39"/>
      <c r="H25" s="39"/>
      <c r="I25" s="39"/>
      <c r="J25" s="39"/>
      <c r="K25" s="39"/>
      <c r="L25" s="39"/>
      <c r="M25" s="39"/>
    </row>
    <row r="27" spans="2:13">
      <c r="B27" s="16" t="s">
        <v>28</v>
      </c>
      <c r="C27" s="97" t="s">
        <v>429</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0.54804059368915137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10.776306355020452</v>
      </c>
      <c r="D47" s="148">
        <f>D46*H1/Common_Shares*Exchange_Rate</f>
        <v>4.4985790275171595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14101919.824155236</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-2213577.3482475597</v>
      </c>
      <c r="D73" s="188">
        <f>(Normalized_FCF!C25+Normalized_FCF!C35-Normalized_FCF!C91)/12</f>
        <v>-2031134.0879223819</v>
      </c>
      <c r="F73" s="1" t="s">
        <v>359</v>
      </c>
    </row>
    <row r="74" spans="2:6" ht="15" customHeight="1">
      <c r="B74" s="288" t="s">
        <v>329</v>
      </c>
      <c r="C74" s="289">
        <f>-$C$66/C73</f>
        <v>8.2058067744414647</v>
      </c>
      <c r="D74" s="289">
        <f>-$C$66/D73</f>
        <v>8.9428797970595273</v>
      </c>
      <c r="F74" s="283" t="s">
        <v>327</v>
      </c>
    </row>
    <row r="75" spans="2:6" ht="15" customHeight="1">
      <c r="B75" s="80" t="s">
        <v>328</v>
      </c>
      <c r="C75" s="293"/>
      <c r="D75" s="292">
        <f>MAX(-D73*D76,G5)</f>
        <v>4062268.1758447639</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-2066001.9178108799</v>
      </c>
      <c r="D86" s="248">
        <f>C86*scaling_factor/Common_Shares</f>
        <v>-0.799289535562971</v>
      </c>
      <c r="E86" s="269" t="str">
        <f>Market_currency</f>
        <v>HKD</v>
      </c>
    </row>
    <row r="87" spans="2:8" ht="15" customHeight="1">
      <c r="B87" s="267" t="s">
        <v>294</v>
      </c>
      <c r="C87" s="188">
        <f>Valuation_Model!C8*Exchange_Rate</f>
        <v>15047795.378901381</v>
      </c>
      <c r="D87" s="248">
        <f>C87*scaling_factor/Common_Shares</f>
        <v>5.821652572516971</v>
      </c>
      <c r="E87" s="269" t="str">
        <f>Market_currency</f>
        <v>HKD</v>
      </c>
    </row>
    <row r="88" spans="2:8" ht="15" customHeight="1">
      <c r="B88" s="268" t="s">
        <v>190</v>
      </c>
      <c r="C88" s="188">
        <f>Valuation_Model!C9*Exchange_Rate</f>
        <v>599239.22852012794</v>
      </c>
      <c r="D88" s="248">
        <f>C88*scaling_factor/Common_Shares</f>
        <v>0.23183213942147471</v>
      </c>
      <c r="E88" s="269" t="str">
        <f>Market_currency</f>
        <v>HKD</v>
      </c>
    </row>
    <row r="89" spans="2:8" ht="15" customHeight="1">
      <c r="B89" s="80" t="s">
        <v>298</v>
      </c>
      <c r="C89" s="187">
        <f>SUM(C86:C88)</f>
        <v>13581032.68961063</v>
      </c>
      <c r="D89" s="271">
        <f>SUM(D86:D88)</f>
        <v>5.2541951763754753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-158361.339186661</v>
      </c>
      <c r="E12" s="302"/>
      <c r="G12" s="191">
        <f>G50</f>
        <v>-158361.339186661</v>
      </c>
      <c r="H12" s="191">
        <f t="shared" ref="H12:Q12" si="6">H50</f>
        <v>-69500.852271505253</v>
      </c>
      <c r="I12" s="191">
        <f t="shared" si="6"/>
        <v>-20425.918200684697</v>
      </c>
      <c r="J12" s="191">
        <f t="shared" si="6"/>
        <v>-80008.273895505394</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3226462.5847154735</v>
      </c>
      <c r="E13" s="302"/>
      <c r="G13" s="184">
        <f>IF(G$4="","",SUM(G8:G12))</f>
        <v>3629041.9348133393</v>
      </c>
      <c r="H13" s="184">
        <f t="shared" ref="H13:Q13" si="7">IF(H$4="","",SUM(H8:H12))</f>
        <v>3326068.421728495</v>
      </c>
      <c r="I13" s="184">
        <f t="shared" si="7"/>
        <v>4239831.5067993151</v>
      </c>
      <c r="J13" s="184">
        <f t="shared" si="7"/>
        <v>4800587.4801044939</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-806615.64617886837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2419846.9385366049</v>
      </c>
      <c r="D16" s="61"/>
      <c r="E16" s="310"/>
      <c r="F16" s="61"/>
      <c r="G16" s="184">
        <f>IF(G$4="","",SUM(G13:G15))</f>
        <v>2532350.9348133393</v>
      </c>
      <c r="H16" s="184">
        <f t="shared" ref="H16:Q16" si="8">IF(H$4="","",SUM(H13:H15))</f>
        <v>2256809.421728495</v>
      </c>
      <c r="I16" s="184">
        <f t="shared" si="8"/>
        <v>2888502.5067993151</v>
      </c>
      <c r="J16" s="184">
        <f t="shared" si="8"/>
        <v>3483231.4801044939</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2419846.9385366049</v>
      </c>
      <c r="D19" s="27"/>
      <c r="E19" s="299"/>
      <c r="F19" s="27"/>
      <c r="G19" s="186">
        <f>IF(G$4="","",G16+G17)</f>
        <v>2532350.9348133393</v>
      </c>
      <c r="H19" s="186">
        <f t="shared" ref="H19:Q19" si="9">IF(H$4="","",H16+H17)</f>
        <v>2256809.421728495</v>
      </c>
      <c r="I19" s="186">
        <f t="shared" si="9"/>
        <v>2888502.5067993151</v>
      </c>
      <c r="J19" s="186">
        <f t="shared" si="9"/>
        <v>3483231.4801044939</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0.3023497295738577</v>
      </c>
      <c r="H43" s="6">
        <f t="shared" si="18"/>
        <v>0.32163826053097161</v>
      </c>
      <c r="I43" s="6">
        <f t="shared" si="18"/>
        <v>0.31885999411455324</v>
      </c>
      <c r="J43" s="6">
        <f t="shared" si="18"/>
        <v>0.27447288400955283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96059.660813338982</v>
      </c>
      <c r="E48" s="302"/>
      <c r="G48" s="328">
        <f>IFERROR(IF(G$4="","",($C$48/$C$49)*G49),0)</f>
        <v>96059.660813338982</v>
      </c>
      <c r="H48" s="328">
        <f t="shared" ref="H48:Q48" si="19">IFERROR(IF(H$4="","",($C$48/$C$49)*H49),0)</f>
        <v>111945.14772849475</v>
      </c>
      <c r="I48" s="328">
        <f t="shared" si="19"/>
        <v>100135.0817993153</v>
      </c>
      <c r="J48" s="328">
        <f t="shared" si="19"/>
        <v>32449.726104494606</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-158361.339186661</v>
      </c>
      <c r="E50" s="302"/>
      <c r="G50" s="184">
        <f>IF(G$4="","",(G47+G48))</f>
        <v>-158361.339186661</v>
      </c>
      <c r="H50" s="184">
        <f t="shared" ref="H50:Q50" si="20">IF(H$4="","",(H47+H48))</f>
        <v>-69500.852271505253</v>
      </c>
      <c r="I50" s="184">
        <f t="shared" si="20"/>
        <v>-20425.918200684697</v>
      </c>
      <c r="J50" s="184">
        <f t="shared" si="20"/>
        <v>-80008.273895505394</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431</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6.0530012370080639E-3</v>
      </c>
      <c r="D80" s="27"/>
      <c r="E80" s="299"/>
      <c r="F80" s="27"/>
      <c r="G80" s="6">
        <f t="shared" ref="G80:Q80" si="31">IF(G$4="","",ABS(G12/G$4))</f>
        <v>5.5225035123592867E-3</v>
      </c>
      <c r="H80" s="6">
        <f t="shared" si="31"/>
        <v>2.5182845058994438E-3</v>
      </c>
      <c r="I80" s="6">
        <f t="shared" si="31"/>
        <v>7.9159845825970559E-4</v>
      </c>
      <c r="J80" s="6">
        <f t="shared" si="31"/>
        <v>3.5445365001217817E-3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0.1233241782163965</v>
      </c>
      <c r="D81" s="27"/>
      <c r="E81" s="299"/>
      <c r="F81" s="27"/>
      <c r="G81" s="65">
        <f t="shared" ref="G81:Q81" si="32">IF(G$4="","",G13/G$4)</f>
        <v>0.12655485824026122</v>
      </c>
      <c r="H81" s="65">
        <f t="shared" si="32"/>
        <v>0.12051631452344605</v>
      </c>
      <c r="I81" s="65">
        <f t="shared" si="32"/>
        <v>0.1643130091429994</v>
      </c>
      <c r="J81" s="65">
        <f t="shared" si="32"/>
        <v>0.21267622355509813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3.0831044554099126E-2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9.2493133662297361E-2</v>
      </c>
      <c r="D84" s="27"/>
      <c r="E84" s="299"/>
      <c r="F84" s="27"/>
      <c r="G84" s="65">
        <f t="shared" ref="G84:Q84" si="35">IF(G$4="","",ABS(G16/G$4))</f>
        <v>8.8310170928454487E-2</v>
      </c>
      <c r="H84" s="65">
        <f t="shared" si="35"/>
        <v>8.1772928154966701E-2</v>
      </c>
      <c r="I84" s="65">
        <f t="shared" si="35"/>
        <v>0.11194278311488517</v>
      </c>
      <c r="J84" s="65">
        <f t="shared" si="35"/>
        <v>0.15431455421383838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9.2493133662297361E-2</v>
      </c>
      <c r="D87" s="75"/>
      <c r="E87" s="299"/>
      <c r="F87" s="75"/>
      <c r="G87" s="65">
        <f t="shared" ref="G87:Q87" si="36">IF(G$4="","",ABS(G19/G$4))</f>
        <v>8.8310170928454487E-2</v>
      </c>
      <c r="H87" s="65">
        <f t="shared" si="36"/>
        <v>8.1772928154966701E-2</v>
      </c>
      <c r="I87" s="65">
        <f t="shared" si="36"/>
        <v>0.11194278311488517</v>
      </c>
      <c r="J87" s="65">
        <f t="shared" si="36"/>
        <v>0.15431455421383838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0.54804059368915137</v>
      </c>
      <c r="E90" s="302"/>
      <c r="G90" s="113">
        <f>Data!C65</f>
        <v>0.54804059368915137</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1416574.1789707153</v>
      </c>
      <c r="E91" s="302"/>
      <c r="G91" s="74">
        <f t="shared" ref="G91:Q91" si="37">IF(G$4="","",G90*Common_Shares/scaling_factor)</f>
        <v>1416574.1789707153</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0.58539825656385702</v>
      </c>
      <c r="E92" s="302"/>
      <c r="G92" s="171">
        <f t="shared" ref="G92:Q92" si="38">IF(G$4="","",G90/(G19*scaling_factor/Common_Shares))</f>
        <v>0.55939094360755792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3.7485676722924174E-2</v>
      </c>
      <c r="E93" s="302"/>
      <c r="G93" s="23">
        <f t="shared" ref="G93:Q93" si="39">IF(G$4="","",G90/Market_Price)</f>
        <v>3.7485676722924174E-2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-0.11093268067142703</v>
      </c>
      <c r="D97" s="27"/>
      <c r="E97" s="299"/>
      <c r="F97" s="27"/>
      <c r="G97" s="6">
        <f t="shared" ref="G97:Q97" si="41">IF(H5="","",G13/H13-1)</f>
        <v>9.1090583436463035E-2</v>
      </c>
      <c r="H97" s="6">
        <f t="shared" si="41"/>
        <v>-0.21551872606386369</v>
      </c>
      <c r="I97" s="6">
        <f t="shared" si="41"/>
        <v>-0.11680986454869746</v>
      </c>
      <c r="J97" s="6">
        <f t="shared" si="41"/>
        <v>1.4633548431534908</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2.0772405303100427</v>
      </c>
      <c r="I114" s="334">
        <f>IF(I$4="","",Data!E$22/I19)</f>
        <v>1.3548902903105238</v>
      </c>
      <c r="J114" s="334">
        <f>IF(J$4="","",Data!F$22/J19)</f>
        <v>1.8733566911275863</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0.1233241782163965</v>
      </c>
      <c r="E117" s="302"/>
      <c r="G117" s="23">
        <f t="shared" ref="G117:Q117" si="45">G81</f>
        <v>0.12655485824026122</v>
      </c>
      <c r="H117" s="23">
        <f t="shared" si="45"/>
        <v>0.12051631452344605</v>
      </c>
      <c r="I117" s="23">
        <f t="shared" si="45"/>
        <v>0.1643130091429994</v>
      </c>
      <c r="J117" s="23">
        <f t="shared" si="45"/>
        <v>0.21267622355509813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0.99897803494091586</v>
      </c>
      <c r="D124" s="27"/>
      <c r="E124" s="299"/>
      <c r="F124" s="27"/>
      <c r="G124" s="178">
        <f t="shared" ref="G124:Q124" si="49">IF(G$4="","",G16*$C$3/Common_Shares*Exchange_Rate)</f>
        <v>1.0454227167650891</v>
      </c>
      <c r="H124" s="178">
        <f t="shared" si="49"/>
        <v>0.93167175388286361</v>
      </c>
      <c r="I124" s="178">
        <f t="shared" si="49"/>
        <v>1.1924516845306412</v>
      </c>
      <c r="J124" s="178">
        <f t="shared" si="49"/>
        <v>1.4379718336001228</v>
      </c>
      <c r="K124" s="178">
        <f t="shared" si="49"/>
        <v>0.57771814149389367</v>
      </c>
      <c r="L124" s="178">
        <f t="shared" si="49"/>
        <v>0.56922190976733134</v>
      </c>
      <c r="M124" s="178">
        <f t="shared" si="49"/>
        <v>0.24481876709907854</v>
      </c>
      <c r="N124" s="178">
        <f t="shared" si="49"/>
        <v>0.1872083531782929</v>
      </c>
      <c r="O124" s="178">
        <f t="shared" si="49"/>
        <v>9.5538064443851337E-2</v>
      </c>
      <c r="P124" s="178">
        <f t="shared" si="49"/>
        <v>4.9675467084350075E-3</v>
      </c>
      <c r="Q124" s="178" t="str">
        <f t="shared" si="49"/>
        <v/>
      </c>
    </row>
    <row r="125" spans="1:17" ht="15.75" customHeight="1">
      <c r="A125" s="10"/>
      <c r="B125" s="27" t="s">
        <v>270</v>
      </c>
      <c r="C125" s="77">
        <f>C19*Exchange_Rate*$C$3/(Market_Price*Common_Shares)</f>
        <v>6.8329550953551019E-2</v>
      </c>
      <c r="D125" s="27"/>
      <c r="E125" s="299"/>
      <c r="F125" s="27"/>
      <c r="G125" s="77">
        <f t="shared" ref="G125" si="50">IF(G$4="","",G124/Market_Price)</f>
        <v>7.1506341775997892E-2</v>
      </c>
      <c r="H125" s="77">
        <f t="shared" ref="H125" si="51">IF(H$4="","",H124/Market_Price)</f>
        <v>6.3725838158882608E-2</v>
      </c>
      <c r="I125" s="77">
        <f t="shared" ref="I125" si="52">IF(I$4="","",I124/Market_Price)</f>
        <v>8.1563042717554129E-2</v>
      </c>
      <c r="J125" s="77">
        <f t="shared" ref="J125" si="53">IF(J$4="","",J124/Market_Price)</f>
        <v>9.8356486566355872E-2</v>
      </c>
      <c r="K125" s="77">
        <f t="shared" ref="K125" si="54">IF(K$4="","",K124/Market_Price)</f>
        <v>3.9515604753344299E-2</v>
      </c>
      <c r="L125" s="77">
        <f t="shared" ref="L125" si="55">IF(L$4="","",L124/Market_Price)</f>
        <v>3.8934467152348246E-2</v>
      </c>
      <c r="M125" s="77">
        <f t="shared" ref="M125" si="56">IF(M$4="","",M124/Market_Price)</f>
        <v>1.6745469705819326E-2</v>
      </c>
      <c r="N125" s="77">
        <f t="shared" ref="N125" si="57">IF(N$4="","",N124/Market_Price)</f>
        <v>1.2804948917803892E-2</v>
      </c>
      <c r="O125" s="77">
        <f t="shared" ref="O125" si="58">IF(O$4="","",O124/Market_Price)</f>
        <v>6.5347513299487923E-3</v>
      </c>
      <c r="P125" s="77">
        <f t="shared" ref="P125" si="59">IF(P$4="","",P124/Market_Price)</f>
        <v>3.3977747663714141E-4</v>
      </c>
      <c r="Q125" s="77" t="str">
        <f t="shared" ref="Q125" si="60">IF(Q$4="","",Q124/Market_Price)</f>
        <v/>
      </c>
    </row>
    <row r="126" spans="1:17" ht="15.75" customHeight="1">
      <c r="B126" s="2" t="s">
        <v>402</v>
      </c>
      <c r="C126" s="170"/>
      <c r="G126" s="23">
        <f>IF(G$4="","",(Data!C47*$C$3)/(Market_Price*Common_Shares))</f>
        <v>7.9728454617704891E-2</v>
      </c>
      <c r="H126" s="23">
        <f>IF(H$4="","",(Data!D47*$C$3)/(Market_Price*Common_Shares))</f>
        <v>8.4334042674028969E-2</v>
      </c>
      <c r="I126" s="23">
        <f>IF(I$4="","",(Data!E47*$C$3)/(Market_Price*Common_Shares))</f>
        <v>0.10753634242626094</v>
      </c>
      <c r="J126" s="23">
        <f>IF(J$4="","",(Data!F47*$C$3)/(Market_Price*Common_Shares))</f>
        <v>0.10613694162426496</v>
      </c>
      <c r="K126" s="23">
        <f>IF(K$4="","",(Data!G47*$C$3)/(Market_Price*Common_Shares))</f>
        <v>4.4945632278375273E-2</v>
      </c>
      <c r="L126" s="23">
        <f>IF(L$4="","",(Data!H47*$C$3)/(Market_Price*Common_Shares))</f>
        <v>3.9670629814999935E-2</v>
      </c>
      <c r="M126" s="23">
        <f>IF(M$4="","",(Data!I47*$C$3)/(Market_Price*Common_Shares))</f>
        <v>1.8927436337538378E-2</v>
      </c>
      <c r="N126" s="23">
        <f>IF(N$4="","",(Data!J47*$C$3)/(Market_Price*Common_Shares))</f>
        <v>1.3632137362710756E-2</v>
      </c>
      <c r="O126" s="23">
        <f>IF(O$4="","",(Data!K47*$C$3)/(Market_Price*Common_Shares))</f>
        <v>1.8546539354690771E-2</v>
      </c>
      <c r="P126" s="23">
        <f>IF(P$4="","",(Data!L47*$C$3)/(Market_Price*Common_Shares))</f>
        <v>1.6302041564767809E-3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2419846.9385366049</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30248086.731707562</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14101919.824155236</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42975441.755862802</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17.741420613136924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25.698585826791245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2581246.5565844495</v>
      </c>
      <c r="D21" s="139">
        <f>IF($C$17&lt;B21,0,Valuation_Model!$C$16)</f>
        <v>6.6698275613022898E-2</v>
      </c>
      <c r="E21" s="125">
        <f t="shared" ref="E21:E50" si="0">IF($C$17&lt;B21,0,1/(1+Equity_Cost)^B21)</f>
        <v>0.92592592592592582</v>
      </c>
      <c r="F21" s="126">
        <f t="shared" ref="F21:F51" si="1">C21*E21</f>
        <v>2390043.107948564</v>
      </c>
      <c r="H21" s="121"/>
    </row>
    <row r="22" spans="2:8">
      <c r="B22" s="123">
        <v>2</v>
      </c>
      <c r="C22" s="124">
        <f t="shared" ref="C22:C50" si="2">IF(ROW()-ROW($C$21)&lt;$C$17, $C$21*(1+D22)^(ROW()-ROW($C$21)), 0)</f>
        <v>2753411.2508406858</v>
      </c>
      <c r="D22" s="139">
        <f>IF($C$17&lt;B22,0,Valuation_Model!$C$16)</f>
        <v>6.6698275613022898E-2</v>
      </c>
      <c r="E22" s="125">
        <f t="shared" si="0"/>
        <v>0.85733882030178321</v>
      </c>
      <c r="F22" s="126">
        <f t="shared" si="1"/>
        <v>2360606.353601411</v>
      </c>
      <c r="H22" s="121"/>
    </row>
    <row r="23" spans="2:8">
      <c r="B23" s="123">
        <v>3</v>
      </c>
      <c r="C23" s="124">
        <f t="shared" si="2"/>
        <v>2937059.0333252563</v>
      </c>
      <c r="D23" s="139">
        <f>IF($C$17&lt;B23,0,Valuation_Model!$C$16)</f>
        <v>6.6698275613022898E-2</v>
      </c>
      <c r="E23" s="125">
        <f t="shared" si="0"/>
        <v>0.79383224102016958</v>
      </c>
      <c r="F23" s="126">
        <f t="shared" si="1"/>
        <v>2331532.154433121</v>
      </c>
      <c r="H23" s="121"/>
    </row>
    <row r="24" spans="2:8">
      <c r="B24" s="123">
        <v>4</v>
      </c>
      <c r="C24" s="124">
        <f t="shared" si="2"/>
        <v>3132955.8062217031</v>
      </c>
      <c r="D24" s="139">
        <f>IF($C$17&lt;B24,0,Valuation_Model!$C$16)</f>
        <v>6.6698275613022898E-2</v>
      </c>
      <c r="E24" s="125">
        <f t="shared" si="0"/>
        <v>0.73502985279645328</v>
      </c>
      <c r="F24" s="126">
        <f t="shared" si="1"/>
        <v>2302816.0450649322</v>
      </c>
      <c r="H24" s="121"/>
    </row>
    <row r="25" spans="2:8">
      <c r="B25" s="123">
        <v>5</v>
      </c>
      <c r="C25" s="124">
        <f t="shared" si="2"/>
        <v>3341918.5560684991</v>
      </c>
      <c r="D25" s="139">
        <f>IF($C$17&lt;B25,0,Valuation_Model!$C$16)</f>
        <v>6.6698275613022898E-2</v>
      </c>
      <c r="E25" s="125">
        <f t="shared" si="0"/>
        <v>0.68058319703375303</v>
      </c>
      <c r="F25" s="126">
        <f t="shared" si="1"/>
        <v>2274453.6151155229</v>
      </c>
      <c r="H25" s="121"/>
    </row>
    <row r="26" spans="2:8">
      <c r="B26" s="123">
        <v>6</v>
      </c>
      <c r="C26" s="124">
        <f t="shared" si="2"/>
        <v>3564818.7609974318</v>
      </c>
      <c r="D26" s="139">
        <f>IF($C$17&lt;B26,0,Valuation_Model!$C$16)</f>
        <v>6.6698275613022898E-2</v>
      </c>
      <c r="E26" s="125">
        <f t="shared" si="0"/>
        <v>0.63016962688310452</v>
      </c>
      <c r="F26" s="126">
        <f t="shared" si="1"/>
        <v>2246440.5085236426</v>
      </c>
      <c r="H26" s="121"/>
    </row>
    <row r="27" spans="2:8">
      <c r="B27" s="123">
        <v>7</v>
      </c>
      <c r="C27" s="124">
        <f t="shared" si="2"/>
        <v>3802586.0252289139</v>
      </c>
      <c r="D27" s="139">
        <f>IF($C$17&lt;B27,0,Valuation_Model!$C$16)</f>
        <v>6.6698275613022898E-2</v>
      </c>
      <c r="E27" s="125">
        <f t="shared" si="0"/>
        <v>0.58349039526213387</v>
      </c>
      <c r="F27" s="126">
        <f t="shared" si="1"/>
        <v>2218772.4228790854</v>
      </c>
      <c r="H27" s="121"/>
    </row>
    <row r="28" spans="2:8">
      <c r="B28" s="123">
        <v>8</v>
      </c>
      <c r="C28" s="124">
        <f t="shared" si="2"/>
        <v>4056211.9559818613</v>
      </c>
      <c r="D28" s="139">
        <f>IF($C$17&lt;B28,0,Valuation_Model!$C$16)</f>
        <v>6.6698275613022898E-2</v>
      </c>
      <c r="E28" s="125">
        <f t="shared" si="0"/>
        <v>0.54026888450197574</v>
      </c>
      <c r="F28" s="126">
        <f t="shared" si="1"/>
        <v>2191445.1087618973</v>
      </c>
      <c r="H28" s="121"/>
    </row>
    <row r="29" spans="2:8">
      <c r="B29" s="123">
        <v>9</v>
      </c>
      <c r="C29" s="124">
        <f t="shared" si="2"/>
        <v>4326754.2989667794</v>
      </c>
      <c r="D29" s="139">
        <f>IF($C$17&lt;B29,0,Valuation_Model!$C$16)</f>
        <v>6.6698275613022898E-2</v>
      </c>
      <c r="E29" s="125">
        <f t="shared" si="0"/>
        <v>0.50024896713145905</v>
      </c>
      <c r="F29" s="126">
        <f t="shared" si="1"/>
        <v>2164454.3690897315</v>
      </c>
      <c r="H29" s="121"/>
    </row>
    <row r="30" spans="2:8">
      <c r="B30" s="123">
        <v>10</v>
      </c>
      <c r="C30" s="124">
        <f t="shared" si="2"/>
        <v>4615341.3497090973</v>
      </c>
      <c r="D30" s="139">
        <f>IF($C$17&lt;B30,0,Valuation_Model!$C$16)</f>
        <v>6.6698275613022898E-2</v>
      </c>
      <c r="E30" s="125">
        <f t="shared" si="0"/>
        <v>0.46319348808468425</v>
      </c>
      <c r="F30" s="126">
        <f t="shared" si="1"/>
        <v>2137796.0584732313</v>
      </c>
      <c r="H30" s="121"/>
    </row>
    <row r="31" spans="2:8">
      <c r="B31" s="123">
        <v>11</v>
      </c>
      <c r="C31" s="124">
        <f t="shared" si="2"/>
        <v>4923176.6591001768</v>
      </c>
      <c r="D31" s="139">
        <f>IF($C$17&lt;B31,0,Valuation_Model!$C$16)</f>
        <v>6.6698275613022898E-2</v>
      </c>
      <c r="E31" s="125">
        <f t="shared" si="0"/>
        <v>0.42888285933767062</v>
      </c>
      <c r="F31" s="126">
        <f t="shared" si="1"/>
        <v>2111466.0825793641</v>
      </c>
      <c r="H31" s="121"/>
    </row>
    <row r="32" spans="2:8">
      <c r="B32" s="123">
        <v>12</v>
      </c>
      <c r="C32" s="124">
        <f t="shared" si="2"/>
        <v>5251544.052800443</v>
      </c>
      <c r="D32" s="139">
        <f>IF($C$17&lt;B32,0,Valuation_Model!$C$16)</f>
        <v>6.6698275613022898E-2</v>
      </c>
      <c r="E32" s="125">
        <f t="shared" si="0"/>
        <v>0.39711375864599124</v>
      </c>
      <c r="F32" s="126">
        <f t="shared" si="1"/>
        <v>2085460.3975025858</v>
      </c>
      <c r="H32" s="121"/>
    </row>
    <row r="33" spans="2:8">
      <c r="B33" s="123">
        <v>13</v>
      </c>
      <c r="C33" s="124">
        <f t="shared" si="2"/>
        <v>5601812.9854280585</v>
      </c>
      <c r="D33" s="139">
        <f>IF($C$17&lt;B33,0,Valuation_Model!$C$16)</f>
        <v>6.6698275613022898E-2</v>
      </c>
      <c r="E33" s="125">
        <f t="shared" si="0"/>
        <v>0.36769792467221413</v>
      </c>
      <c r="F33" s="126">
        <f t="shared" si="1"/>
        <v>2059775.0091437572</v>
      </c>
      <c r="H33" s="121"/>
    </row>
    <row r="34" spans="2:8">
      <c r="B34" s="123">
        <v>14</v>
      </c>
      <c r="C34" s="124">
        <f t="shared" si="2"/>
        <v>5975444.2518627504</v>
      </c>
      <c r="D34" s="139">
        <f>IF($C$17&lt;B34,0,Valuation_Model!$C$16)</f>
        <v>6.6698275613022898E-2</v>
      </c>
      <c r="E34" s="125">
        <f t="shared" si="0"/>
        <v>0.34046104136316119</v>
      </c>
      <c r="F34" s="126">
        <f t="shared" si="1"/>
        <v>2034405.9725967075</v>
      </c>
      <c r="H34" s="121"/>
    </row>
    <row r="35" spans="2:8">
      <c r="B35" s="123">
        <v>15</v>
      </c>
      <c r="C35" s="124">
        <f t="shared" si="2"/>
        <v>6373996.0794837466</v>
      </c>
      <c r="D35" s="139">
        <f>IF($C$17&lt;B35,0,Valuation_Model!$C$16)</f>
        <v>6.6698275613022898E-2</v>
      </c>
      <c r="E35" s="125">
        <f t="shared" si="0"/>
        <v>0.31524170496588994</v>
      </c>
      <c r="F35" s="126">
        <f t="shared" si="1"/>
        <v>2009349.3915423544</v>
      </c>
      <c r="H35" s="121"/>
    </row>
    <row r="36" spans="2:8">
      <c r="B36" s="123">
        <v>16</v>
      </c>
      <c r="C36" s="124">
        <f t="shared" si="2"/>
        <v>6799130.6267494811</v>
      </c>
      <c r="D36" s="139">
        <f>IF($C$17&lt;B36,0,Valuation_Model!$C$16)</f>
        <v>6.6698275613022898E-2</v>
      </c>
      <c r="E36" s="125">
        <f t="shared" si="0"/>
        <v>0.29189046756100923</v>
      </c>
      <c r="F36" s="126">
        <f t="shared" si="1"/>
        <v>1984601.4176502838</v>
      </c>
      <c r="H36" s="121"/>
    </row>
    <row r="37" spans="2:8">
      <c r="B37" s="123">
        <v>17</v>
      </c>
      <c r="C37" s="124">
        <f t="shared" si="2"/>
        <v>7252620.9152213642</v>
      </c>
      <c r="D37" s="139">
        <f>IF($C$17&lt;B37,0,Valuation_Model!$C$16)</f>
        <v>6.6698275613022898E-2</v>
      </c>
      <c r="E37" s="125">
        <f t="shared" si="0"/>
        <v>0.27026895144537894</v>
      </c>
      <c r="F37" s="126">
        <f t="shared" si="1"/>
        <v>1960158.2499877026</v>
      </c>
      <c r="H37" s="121"/>
    </row>
    <row r="38" spans="2:8">
      <c r="B38" s="123">
        <v>18</v>
      </c>
      <c r="C38" s="124">
        <f t="shared" si="2"/>
        <v>7736358.2239415739</v>
      </c>
      <c r="D38" s="139">
        <f>IF($C$17&lt;B38,0,Valuation_Model!$C$16)</f>
        <v>6.6698275613022898E-2</v>
      </c>
      <c r="E38" s="125">
        <f t="shared" si="0"/>
        <v>0.25024902911609154</v>
      </c>
      <c r="F38" s="126">
        <f t="shared" si="1"/>
        <v>1936016.1344356691</v>
      </c>
      <c r="H38" s="121"/>
    </row>
    <row r="39" spans="2:8">
      <c r="B39" s="123">
        <v>19</v>
      </c>
      <c r="C39" s="124">
        <f t="shared" si="2"/>
        <v>8252359.9770031068</v>
      </c>
      <c r="D39" s="139">
        <f>IF($C$17&lt;B39,0,Valuation_Model!$C$16)</f>
        <v>6.6698275613022898E-2</v>
      </c>
      <c r="E39" s="125">
        <f t="shared" si="0"/>
        <v>0.23171206399638106</v>
      </c>
      <c r="F39" s="126">
        <f t="shared" si="1"/>
        <v>1912171.3631125176</v>
      </c>
      <c r="H39" s="121"/>
    </row>
    <row r="40" spans="2:8">
      <c r="B40" s="123">
        <v>20</v>
      </c>
      <c r="C40" s="124">
        <f t="shared" si="2"/>
        <v>8802778.1572071388</v>
      </c>
      <c r="D40" s="139">
        <f>IF($C$17&lt;B40,0,Valuation_Model!$C$16)</f>
        <v>6.6698275613022898E-2</v>
      </c>
      <c r="E40" s="125">
        <f t="shared" si="0"/>
        <v>0.21454820740405653</v>
      </c>
      <c r="F40" s="126">
        <f t="shared" si="1"/>
        <v>1888620.2738043757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32265581.957305618</v>
      </c>
      <c r="D51" s="140">
        <f>Terminal_Growth</f>
        <v>0</v>
      </c>
      <c r="E51" s="125">
        <f>1/(1+Equity_Cost)^C17</f>
        <v>0.21454820740405653</v>
      </c>
      <c r="F51" s="126">
        <f t="shared" si="1"/>
        <v>6922522.7697885903</v>
      </c>
      <c r="H51" s="121"/>
    </row>
    <row r="52" spans="1:8">
      <c r="C52" s="115"/>
      <c r="E52" s="128" t="s">
        <v>101</v>
      </c>
      <c r="F52" s="138">
        <f>SUM(F21:F51)</f>
        <v>49522906.806035042</v>
      </c>
      <c r="H52" s="121"/>
    </row>
    <row r="53" spans="1:8">
      <c r="C53" s="115"/>
      <c r="H53" s="121"/>
    </row>
    <row r="54" spans="1:8" ht="13.15">
      <c r="B54" s="120" t="s">
        <v>130</v>
      </c>
      <c r="C54" s="137"/>
      <c r="D54" s="137"/>
      <c r="E54" s="118"/>
      <c r="F54" s="118"/>
      <c r="H54" s="121"/>
    </row>
    <row r="55" spans="1:8" ht="13.15">
      <c r="A55" s="134">
        <f>F52</f>
        <v>49522906.806035042</v>
      </c>
      <c r="B55" s="132">
        <f>C78</f>
        <v>0</v>
      </c>
      <c r="C55" s="132">
        <f>C77</f>
        <v>0.02</v>
      </c>
      <c r="D55" s="132">
        <f>C76</f>
        <v>0.05</v>
      </c>
      <c r="E55" s="132">
        <f>C75</f>
        <v>0.08</v>
      </c>
      <c r="F55" s="132">
        <f>C74</f>
        <v>0.1</v>
      </c>
      <c r="H55" s="121"/>
    </row>
    <row r="56" spans="1:8" ht="13.15">
      <c r="A56" s="144">
        <v>5</v>
      </c>
      <c r="B56" s="124">
        <f t="dataTable" ref="B56:F61" dt2D="1" dtr="1" r1="C16" r2="C17"/>
        <v>30248086.731707558</v>
      </c>
      <c r="C56" s="124">
        <v>31224048.350294434</v>
      </c>
      <c r="D56" s="124">
        <v>32743195.621029567</v>
      </c>
      <c r="E56" s="124">
        <v>34332481.430464387</v>
      </c>
      <c r="F56" s="124">
        <v>35433217.183896236</v>
      </c>
      <c r="H56" s="121"/>
    </row>
    <row r="57" spans="1:8" ht="13.15">
      <c r="A57" s="144">
        <v>10</v>
      </c>
      <c r="B57" s="124">
        <v>30248086.731707551</v>
      </c>
      <c r="C57" s="124">
        <v>32200908.675305784</v>
      </c>
      <c r="D57" s="124">
        <v>35504347.808854535</v>
      </c>
      <c r="E57" s="124">
        <v>39330043.530605555</v>
      </c>
      <c r="F57" s="124">
        <v>42217047.541471303</v>
      </c>
      <c r="H57" s="121"/>
    </row>
    <row r="58" spans="1:8" ht="13.15">
      <c r="A58" s="144">
        <v>15</v>
      </c>
      <c r="B58" s="124">
        <v>30248086.731707543</v>
      </c>
      <c r="C58" s="124">
        <v>33410044.185494367</v>
      </c>
      <c r="D58" s="124">
        <v>39200981.130278051</v>
      </c>
      <c r="E58" s="124">
        <v>46595999.185969457</v>
      </c>
      <c r="F58" s="124">
        <v>52658118.310512409</v>
      </c>
      <c r="H58" s="121"/>
    </row>
    <row r="59" spans="1:8" ht="13.15">
      <c r="A59" s="145">
        <v>20</v>
      </c>
      <c r="B59" s="124">
        <v>30248086.731707543</v>
      </c>
      <c r="C59" s="124">
        <v>34641959.364284962</v>
      </c>
      <c r="D59" s="124">
        <v>43295504.327407271</v>
      </c>
      <c r="E59" s="124">
        <v>55405785.379277624</v>
      </c>
      <c r="F59" s="124">
        <v>66147861.126979135</v>
      </c>
      <c r="H59" s="121"/>
    </row>
    <row r="60" spans="1:8" ht="13.15">
      <c r="A60" s="145">
        <v>25</v>
      </c>
      <c r="B60" s="124">
        <v>30248086.731707543</v>
      </c>
      <c r="C60" s="124">
        <v>35787708.839545324</v>
      </c>
      <c r="D60" s="124">
        <v>47453414.122248963</v>
      </c>
      <c r="E60" s="124">
        <v>65266276.695778228</v>
      </c>
      <c r="F60" s="124">
        <v>82325865.844880357</v>
      </c>
      <c r="H60" s="121"/>
    </row>
    <row r="61" spans="1:8" ht="13.15">
      <c r="A61" s="145">
        <v>30</v>
      </c>
      <c r="B61" s="124">
        <v>30248086.731707547</v>
      </c>
      <c r="C61" s="124">
        <v>36798419.259848557</v>
      </c>
      <c r="D61" s="124">
        <v>51474303.678607337</v>
      </c>
      <c r="E61" s="124">
        <v>75841860.264160872</v>
      </c>
      <c r="F61" s="124">
        <v>101005781.29901917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17.741420613136924</v>
      </c>
      <c r="C65" s="125">
        <f>C12</f>
        <v>17.741420613136924</v>
      </c>
      <c r="D65" s="125">
        <f>C12</f>
        <v>17.741420613136924</v>
      </c>
      <c r="E65" s="142">
        <f>C12</f>
        <v>17.741420613136924</v>
      </c>
      <c r="F65" s="125">
        <f>C12</f>
        <v>17.741420613136924</v>
      </c>
      <c r="H65" s="121"/>
    </row>
    <row r="66" spans="1:8" ht="13.15">
      <c r="A66" s="144">
        <f t="shared" ref="A66:A71" si="3">A56</f>
        <v>5</v>
      </c>
      <c r="B66" s="125">
        <f t="shared" ref="B66:F71" si="4">(B56-$C$7+$C$8+$C$9)/Common_Shares*$C$3*Exchange_Rate</f>
        <v>17.741420613136924</v>
      </c>
      <c r="C66" s="125">
        <f t="shared" si="4"/>
        <v>18.144323873003135</v>
      </c>
      <c r="D66" s="125">
        <f t="shared" si="4"/>
        <v>18.771468809790999</v>
      </c>
      <c r="E66" s="125">
        <f t="shared" si="4"/>
        <v>19.427568825698952</v>
      </c>
      <c r="F66" s="125">
        <f t="shared" si="4"/>
        <v>19.881982211290005</v>
      </c>
      <c r="H66" s="121"/>
    </row>
    <row r="67" spans="1:8" ht="13.15">
      <c r="A67" s="144">
        <f t="shared" si="3"/>
        <v>10</v>
      </c>
      <c r="B67" s="125">
        <f t="shared" si="4"/>
        <v>17.741420613136921</v>
      </c>
      <c r="C67" s="125">
        <f t="shared" si="4"/>
        <v>18.547598143102938</v>
      </c>
      <c r="D67" s="125">
        <f t="shared" si="4"/>
        <v>19.911346850355944</v>
      </c>
      <c r="E67" s="125">
        <f t="shared" si="4"/>
        <v>21.490697152862236</v>
      </c>
      <c r="F67" s="125">
        <f t="shared" si="4"/>
        <v>22.682530217884658</v>
      </c>
      <c r="H67" s="121"/>
    </row>
    <row r="68" spans="1:8" ht="13.15">
      <c r="A68" s="144">
        <f t="shared" si="3"/>
        <v>15</v>
      </c>
      <c r="B68" s="125">
        <f t="shared" si="4"/>
        <v>17.741420613136917</v>
      </c>
      <c r="C68" s="125">
        <f t="shared" si="4"/>
        <v>19.04676186982854</v>
      </c>
      <c r="D68" s="125">
        <f t="shared" si="4"/>
        <v>21.437416715570652</v>
      </c>
      <c r="E68" s="125">
        <f t="shared" si="4"/>
        <v>24.490279476425574</v>
      </c>
      <c r="F68" s="125">
        <f t="shared" si="4"/>
        <v>26.992885634762171</v>
      </c>
      <c r="H68" s="121"/>
    </row>
    <row r="69" spans="1:8" ht="13.15">
      <c r="A69" s="145">
        <f t="shared" si="3"/>
        <v>20</v>
      </c>
      <c r="B69" s="125">
        <f t="shared" si="4"/>
        <v>17.741420613136917</v>
      </c>
      <c r="C69" s="125">
        <f t="shared" si="4"/>
        <v>19.55532965770125</v>
      </c>
      <c r="D69" s="125">
        <f t="shared" si="4"/>
        <v>23.127746245239898</v>
      </c>
      <c r="E69" s="125">
        <f t="shared" si="4"/>
        <v>28.127196654733908</v>
      </c>
      <c r="F69" s="125">
        <f t="shared" si="4"/>
        <v>32.561815039364021</v>
      </c>
      <c r="H69" s="121"/>
    </row>
    <row r="70" spans="1:8" ht="13.15">
      <c r="A70" s="145">
        <f t="shared" si="3"/>
        <v>25</v>
      </c>
      <c r="B70" s="125">
        <f t="shared" si="4"/>
        <v>17.741420613136917</v>
      </c>
      <c r="C70" s="125">
        <f t="shared" si="4"/>
        <v>20.028325920854307</v>
      </c>
      <c r="D70" s="125">
        <f t="shared" si="4"/>
        <v>24.844243470814199</v>
      </c>
      <c r="E70" s="125">
        <f t="shared" si="4"/>
        <v>32.197873226065624</v>
      </c>
      <c r="F70" s="125">
        <f t="shared" si="4"/>
        <v>39.240531409800013</v>
      </c>
    </row>
    <row r="71" spans="1:8" ht="13.15">
      <c r="A71" s="145">
        <f t="shared" si="3"/>
        <v>30</v>
      </c>
      <c r="B71" s="125">
        <f t="shared" si="4"/>
        <v>17.741420613136921</v>
      </c>
      <c r="C71" s="125">
        <f t="shared" si="4"/>
        <v>20.445574422604356</v>
      </c>
      <c r="D71" s="125">
        <f t="shared" si="4"/>
        <v>26.504175049029833</v>
      </c>
      <c r="E71" s="125">
        <f t="shared" si="4"/>
        <v>36.563759151844614</v>
      </c>
      <c r="F71" s="125">
        <f t="shared" si="4"/>
        <v>46.952103962617393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46.952103962617393</v>
      </c>
      <c r="F74" s="143">
        <f>Scenarios!C58</f>
        <v>0.1</v>
      </c>
    </row>
    <row r="75" spans="1:8">
      <c r="B75" s="128" t="str">
        <f>Scenarios!B36</f>
        <v>Optimistic</v>
      </c>
      <c r="C75" s="143">
        <f>Scenarios!C38</f>
        <v>0.08</v>
      </c>
      <c r="D75" s="146">
        <f>Scenarios!C37</f>
        <v>20</v>
      </c>
      <c r="E75" s="136">
        <f>INDEX(B$65:F$71, MATCH(D75, A$65:A$71, 0), MATCH(C75, B$64:F$64, 0))</f>
        <v>28.127196654733908</v>
      </c>
      <c r="F75" s="143">
        <f>Scenarios!C40*(1-F$74-F$78)</f>
        <v>0.21249999999999994</v>
      </c>
      <c r="H75" s="121"/>
    </row>
    <row r="76" spans="1:8">
      <c r="B76" s="128" t="str">
        <f>Scenarios!B24</f>
        <v>Base</v>
      </c>
      <c r="C76" s="143">
        <f>Scenarios!C26</f>
        <v>0.05</v>
      </c>
      <c r="D76" s="146">
        <f>Scenarios!C25</f>
        <v>20</v>
      </c>
      <c r="E76" s="136">
        <f>INDEX(B$65:F$71, MATCH(D76, A$65:A$71, 0), MATCH(C76, B$64:F$64, 0))</f>
        <v>23.127746245239898</v>
      </c>
      <c r="F76" s="143">
        <f>Scenarios!C28*(1-F$74-F$78)</f>
        <v>0.46750000000000003</v>
      </c>
      <c r="H76" s="121"/>
    </row>
    <row r="77" spans="1:8">
      <c r="B77" s="128" t="str">
        <f>Scenarios!B30</f>
        <v>Pessimistic</v>
      </c>
      <c r="C77" s="143">
        <f>Scenarios!C32</f>
        <v>0.02</v>
      </c>
      <c r="D77" s="146">
        <f>Scenarios!C31</f>
        <v>20</v>
      </c>
      <c r="E77" s="136">
        <f>INDEX(B$65:F$71, MATCH(D77, A$65:A$71, 0), MATCH(C77, B$64:F$64, 0))</f>
        <v>19.55532965770125</v>
      </c>
      <c r="F77" s="143">
        <f>Scenarios!C34*(1-F$74-F$78)</f>
        <v>0.17</v>
      </c>
      <c r="H77" s="121"/>
    </row>
    <row r="78" spans="1:8">
      <c r="B78" s="128" t="str">
        <f>Scenarios!B48</f>
        <v>Devil's advocate</v>
      </c>
      <c r="C78" s="143">
        <f>Scenarios!C50</f>
        <v>0</v>
      </c>
      <c r="D78" s="146">
        <f>Scenarios!C49</f>
        <v>30</v>
      </c>
      <c r="E78" s="136">
        <f>INDEX(B$65:F$71, MATCH(D78, A$65:A$71, 0), MATCH(C78, B$64:F$64, 0))</f>
        <v>17.741420613136921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0.54804059368915137</v>
      </c>
    </row>
    <row r="5" spans="2:9">
      <c r="H5" s="276">
        <v>2</v>
      </c>
      <c r="I5" s="264">
        <f t="shared" si="0"/>
        <v>0.54804059368915137</v>
      </c>
    </row>
    <row r="6" spans="2:9" ht="13.15">
      <c r="B6" s="160" t="s">
        <v>96</v>
      </c>
      <c r="C6" s="107">
        <f>Valuation_Model!C3</f>
        <v>1000</v>
      </c>
      <c r="E6" s="100" t="s">
        <v>282</v>
      </c>
      <c r="F6" s="100"/>
      <c r="H6" s="276">
        <v>3</v>
      </c>
      <c r="I6" s="264">
        <f t="shared" si="0"/>
        <v>26.243978721197557</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2532350.9348133393</v>
      </c>
      <c r="D8" t="str">
        <f>Reporting_currency</f>
        <v>CNY</v>
      </c>
      <c r="E8" s="350"/>
      <c r="F8" s="350"/>
      <c r="H8" s="276">
        <v>5</v>
      </c>
      <c r="I8" s="264" t="str">
        <f t="shared" si="0"/>
        <v/>
      </c>
    </row>
    <row r="9" spans="2:9">
      <c r="B9" s="100" t="s">
        <v>57</v>
      </c>
      <c r="C9" s="201">
        <f>Normalized_FCF!C19</f>
        <v>2419846.9385366049</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-0.10081886954414521</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14.62</v>
      </c>
      <c r="D21" t="str">
        <f>Market_currency</f>
        <v>HKD</v>
      </c>
      <c r="E21" s="351"/>
      <c r="F21" s="351"/>
    </row>
    <row r="22" spans="2:6">
      <c r="B22" s="100" t="s">
        <v>281</v>
      </c>
      <c r="C22" s="161">
        <f>Valuation_Model!C12</f>
        <v>17.741420613136924</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23.127746245239898</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19.55532965770125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28.127196654733908</v>
      </c>
      <c r="D39" t="str">
        <f>Market_currency</f>
        <v>HKD</v>
      </c>
      <c r="E39" s="349"/>
      <c r="F39" s="349"/>
    </row>
    <row r="40" spans="2:6">
      <c r="B40" s="100" t="s">
        <v>148</v>
      </c>
      <c r="C40" s="168">
        <f>1-C28-C34</f>
        <v>0.24999999999999994</v>
      </c>
      <c r="D40" s="166"/>
      <c r="E40" s="349"/>
      <c r="F40" s="349"/>
    </row>
    <row r="42" spans="2:6" ht="13.15">
      <c r="B42" s="100" t="s">
        <v>121</v>
      </c>
      <c r="C42" s="155">
        <f>C27*C28+C33*C34+C39*C40</f>
        <v>23.663125530105667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17.741420613136921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46.952103962617393</v>
      </c>
      <c r="D57" t="str">
        <f>Market_currency</f>
        <v>HKD</v>
      </c>
      <c r="E57" s="349"/>
      <c r="F57" s="349"/>
    </row>
    <row r="58" spans="2:6">
      <c r="B58" s="100" t="s">
        <v>148</v>
      </c>
      <c r="C58" s="166">
        <v>0.1</v>
      </c>
      <c r="D58" s="166"/>
      <c r="E58" s="349"/>
      <c r="F58" s="349"/>
    </row>
    <row r="60" spans="2:6" ht="13.15">
      <c r="B60" s="100" t="s">
        <v>121</v>
      </c>
      <c r="C60" s="155">
        <f>C51*C52+C57*C58+C42*(1-C52-C58)</f>
        <v>25.695938127508406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25.698585826791245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0.20447570936321155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0.54804059368915137</v>
      </c>
      <c r="D77" t="str">
        <f>Market_currency</f>
        <v>HKD</v>
      </c>
    </row>
    <row r="79" spans="2:6" ht="13.15">
      <c r="B79" s="109" t="s">
        <v>308</v>
      </c>
    </row>
    <row r="80" spans="2:6">
      <c r="B80" s="149" t="s">
        <v>306</v>
      </c>
      <c r="C80" s="168">
        <f>Thesis!C127</f>
        <v>0.3</v>
      </c>
    </row>
    <row r="81" spans="2:8">
      <c r="B81" s="100" t="s">
        <v>122</v>
      </c>
      <c r="C81" s="117">
        <f>PV(C80, C76, -C77, 0)</f>
        <v>0.99530358162026156</v>
      </c>
      <c r="D81" s="117"/>
      <c r="E81" s="100"/>
      <c r="F81" s="100"/>
    </row>
    <row r="82" spans="2:8">
      <c r="B82" s="100" t="s">
        <v>123</v>
      </c>
      <c r="C82" s="117">
        <f>C60/(1+C80)^C76</f>
        <v>11.695920859129904</v>
      </c>
      <c r="D82" s="117"/>
    </row>
    <row r="83" spans="2:8" ht="13.15">
      <c r="B83" s="111" t="s">
        <v>102</v>
      </c>
      <c r="C83" s="112">
        <f>C81+C82</f>
        <v>12.691224440750165</v>
      </c>
      <c r="D83" t="str">
        <f>Market_currency</f>
        <v>HKD</v>
      </c>
      <c r="E83" s="147" t="s">
        <v>127</v>
      </c>
      <c r="F83" s="329">
        <f>(1-C83/C60)</f>
        <v>0.50609997666659368</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0.23834012469037225</v>
      </c>
    </row>
    <row r="88" spans="2:8">
      <c r="B88" s="100"/>
    </row>
    <row r="89" spans="2:8" ht="13.15">
      <c r="B89" s="109" t="s">
        <v>418</v>
      </c>
    </row>
    <row r="90" spans="2:8">
      <c r="B90" s="149" t="s">
        <v>419</v>
      </c>
      <c r="C90" s="168">
        <f>Thesis!E19</f>
        <v>0.2</v>
      </c>
    </row>
    <row r="91" spans="2:8">
      <c r="B91" s="100" t="s">
        <v>122</v>
      </c>
      <c r="C91" s="117">
        <f>PV(C90, C76, -C77, 0)</f>
        <v>1.1544373617063142</v>
      </c>
      <c r="D91" s="117"/>
      <c r="E91" s="100"/>
      <c r="F91" s="100"/>
    </row>
    <row r="92" spans="2:8">
      <c r="B92" s="100" t="s">
        <v>123</v>
      </c>
      <c r="C92" s="117">
        <f>C60/(1+C90)^C76</f>
        <v>14.870334564530328</v>
      </c>
      <c r="D92" s="117"/>
    </row>
    <row r="93" spans="2:8" ht="13.15">
      <c r="B93" s="111" t="s">
        <v>102</v>
      </c>
      <c r="C93" s="112">
        <f>C91+C92</f>
        <v>16.024771926236642</v>
      </c>
      <c r="D93" t="str">
        <f>Market_currency</f>
        <v>HKD</v>
      </c>
      <c r="E93" s="147" t="s">
        <v>127</v>
      </c>
      <c r="F93" s="329">
        <f>(1-C93/C60)</f>
        <v>0.3763694539300918</v>
      </c>
    </row>
    <row r="95" spans="2:8" ht="13.15">
      <c r="B95" s="109" t="s">
        <v>405</v>
      </c>
      <c r="G95" s="2"/>
      <c r="H95" s="316"/>
    </row>
    <row r="96" spans="2:8">
      <c r="B96" s="149" t="s">
        <v>411</v>
      </c>
      <c r="C96" s="135">
        <f>Thesis!C67</f>
        <v>0.08</v>
      </c>
      <c r="G96" s="2"/>
      <c r="H96" s="316"/>
    </row>
    <row r="97" spans="2:8">
      <c r="B97" s="100" t="s">
        <v>122</v>
      </c>
      <c r="C97" s="117">
        <f>PV(C96, C76, -C77, 0)</f>
        <v>1.4123537628858516</v>
      </c>
      <c r="D97" s="117"/>
      <c r="G97" s="2"/>
      <c r="H97" s="316"/>
    </row>
    <row r="98" spans="2:8">
      <c r="B98" s="100" t="s">
        <v>123</v>
      </c>
      <c r="C98" s="117">
        <f>C60/(1+C96)^C76</f>
        <v>20.398264148875619</v>
      </c>
      <c r="D98" s="117"/>
      <c r="G98" s="2"/>
      <c r="H98" s="316"/>
    </row>
    <row r="99" spans="2:8" ht="13.15">
      <c r="B99" s="111" t="s">
        <v>406</v>
      </c>
      <c r="C99" s="112">
        <f>C97+C98</f>
        <v>21.810617911761469</v>
      </c>
      <c r="D99" t="s">
        <v>404</v>
      </c>
      <c r="E99" s="147" t="s">
        <v>127</v>
      </c>
      <c r="F99" s="329">
        <f>(1-C99/C60)</f>
        <v>0.15120367259864953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