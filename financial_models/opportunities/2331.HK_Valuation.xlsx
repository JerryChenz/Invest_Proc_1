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4388245E-AA94-2043-914F-326E25146F14}" xr6:coauthVersionLast="47" xr6:coauthVersionMax="47" xr10:uidLastSave="{00000000-0000-0000-0000-000000000000}"/>
  <bookViews>
    <workbookView xWindow="-100" yWindow="-10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<sst xmlns="http://schemas.openxmlformats.org/spreadsheetml/2006/main" count="768" uniqueCount="559">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</sst>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45932</v>
      </c>
    </row>
    <row r="4" spans="1:9" ht="14" x14ac:dyDescent="0.2">
      <c r="B4" s="421" t="s">
        <v>533</v>
      </c>
      <c r="C4" s="420" t="s">
        <v>555</v>
      </c>
      <c r="E4" s="430" t="s">
        <v>537</v>
      </c>
      <c r="F4" s="431" t="s">
        <v>324</v>
      </c>
    </row>
    <row r="5" spans="1:9" x14ac:dyDescent="0.15">
      <c r="B5" s="1" t="s">
        <v>349</v>
      </c>
      <c r="C5" s="46" t="s">
        <v>556</v>
      </c>
      <c r="E5" s="433" t="s">
        <v>539</v>
      </c>
      <c r="F5" s="432" t="s">
        <v>497</v>
      </c>
    </row>
    <row r="6" spans="1:9" x14ac:dyDescent="0.15">
      <c r="B6" s="2" t="s">
        <v>53</v>
      </c>
      <c r="C6" s="45" t="s">
        <v>557</v>
      </c>
      <c r="D6" s="45"/>
      <c r="E6" s="45"/>
    </row>
    <row r="7" spans="1:9" x14ac:dyDescent="0.15">
      <c r="B7" s="1" t="s">
        <v>351</v>
      </c>
      <c r="C7" s="45" t="s">
        <v>308</v>
      </c>
      <c r="D7" s="45"/>
      <c r="E7" s="45"/>
    </row>
    <row r="8" spans="1:9" x14ac:dyDescent="0.15">
      <c r="B8" s="4" t="s">
        <v>350</v>
      </c>
      <c r="C8" s="47">
        <v>21.96</v>
      </c>
      <c r="E8" s="32"/>
    </row>
    <row r="9" spans="1:9" x14ac:dyDescent="0.15">
      <c r="B9" s="4" t="s">
        <v>346</v>
      </c>
      <c r="C9" s="48">
        <v>2584811005</v>
      </c>
    </row>
    <row r="10" spans="1:9" x14ac:dyDescent="0.15">
      <c r="B10" s="4" t="s">
        <v>352</v>
      </c>
      <c r="C10" s="33">
        <f>Thesis!C8*Common_Shares/1000000</f>
        <v>56762.4496698</v>
      </c>
      <c r="D10" s="1" t="s">
        <v>528</v>
      </c>
      <c r="E10" s="303">
        <f>Scenarios!F34</f>
        <v>0.10694958984444163</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2-stage DCF Valuation Conclusion</v>
      </c>
      <c r="C14" s="43"/>
    </row>
    <row r="15" spans="1:9" x14ac:dyDescent="0.15">
      <c r="B15" s="1" t="s">
        <v>319</v>
      </c>
      <c r="C15" s="417" t="s">
        <v>546</v>
      </c>
      <c r="D15" s="4" t="s">
        <v>353</v>
      </c>
      <c r="E15" s="253" t="str">
        <f>IF(E17=C7,C7,E17&amp;"/"&amp;C7)</f>
        <v>CNY/HKD</v>
      </c>
    </row>
    <row r="16" spans="1:9" x14ac:dyDescent="0.15">
      <c r="B16" s="1" t="s">
        <v>320</v>
      </c>
      <c r="C16" s="417" t="s">
        <v>546</v>
      </c>
      <c r="D16" s="4" t="s">
        <v>354</v>
      </c>
      <c r="E16" s="416">
        <v>1.1315830089569092</v>
      </c>
    </row>
    <row r="17" spans="1:6" x14ac:dyDescent="0.15">
      <c r="B17" s="1" t="s">
        <v>532</v>
      </c>
      <c r="C17" s="456">
        <v>0.02</v>
      </c>
      <c r="D17" s="4" t="s">
        <v>274</v>
      </c>
      <c r="E17" s="224" t="s">
        <v>558</v>
      </c>
    </row>
    <row r="18" spans="1:6" x14ac:dyDescent="0.15">
      <c r="B18" s="1" t="str">
        <f>"Expected Equity Value ("&amp;C7&amp;") :"</f>
        <v>Expected Equity Value (HKD) :</v>
      </c>
      <c r="C18" s="252">
        <f>C125</f>
        <v>28.064132775417118</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13.878443981089484</v>
      </c>
      <c r="D22" s="38" t="s">
        <v>406</v>
      </c>
      <c r="E22" s="79">
        <v>0.29465259038036606</v>
      </c>
    </row>
    <row r="23" spans="1:6" x14ac:dyDescent="0.15">
      <c r="B23" s="1" t="s">
        <v>313</v>
      </c>
      <c r="C23" s="256">
        <f>E141</f>
        <v>17.297674738091306</v>
      </c>
      <c r="D23" s="38" t="s">
        <v>407</v>
      </c>
      <c r="E23" s="443">
        <v>0.20075184365903009</v>
      </c>
    </row>
    <row r="24" spans="1:6" x14ac:dyDescent="0.15">
      <c r="B24" s="1" t="s">
        <v>315</v>
      </c>
      <c r="C24" s="256">
        <f>E144</f>
        <v>21.362087657956575</v>
      </c>
      <c r="D24" s="38" t="s">
        <v>408</v>
      </c>
      <c r="E24" s="443">
        <v>0.1174</v>
      </c>
    </row>
    <row r="25" spans="1:6" x14ac:dyDescent="0.15">
      <c r="B25" s="1" t="s">
        <v>314</v>
      </c>
      <c r="C25" s="256">
        <f>E145</f>
        <v>24.098935167488882</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v>
      </c>
    </row>
    <row r="33" spans="2:6" ht="24.5" customHeight="1" x14ac:dyDescent="0.15">
      <c r="B33" s="461" t="s">
        <v>196</v>
      </c>
      <c r="C33" s="461"/>
      <c r="D33" s="461"/>
      <c r="E33" s="461"/>
      <c r="F33" s="461"/>
    </row>
    <row r="34" spans="2:6" x14ac:dyDescent="0.15">
      <c r="B34" s="44" t="s">
        <v>197</v>
      </c>
      <c r="C34" s="285">
        <f>Normalized_FCF!C8</f>
        <v>3529289</v>
      </c>
      <c r="D34" s="1" t="str">
        <f>Reporting_currency</f>
        <v>CNY</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CNY</v>
      </c>
    </row>
    <row r="38" spans="2:6" x14ac:dyDescent="0.15">
      <c r="B38" s="49" t="s">
        <v>200</v>
      </c>
      <c r="C38" s="285">
        <f>Normalized_FCF!C16</f>
        <v>0</v>
      </c>
      <c r="D38" s="1" t="str">
        <f>Reporting_currency</f>
        <v>CNY</v>
      </c>
    </row>
    <row r="40" spans="2:6" x14ac:dyDescent="0.15">
      <c r="B40" s="461" t="s">
        <v>201</v>
      </c>
      <c r="C40" s="461"/>
      <c r="D40" s="461"/>
      <c r="E40" s="461"/>
      <c r="F40" s="461"/>
    </row>
    <row r="41" spans="2:6" x14ac:dyDescent="0.15">
      <c r="B41" s="44" t="s">
        <v>202</v>
      </c>
      <c r="C41" s="285">
        <f>Normalized_FCF!C9</f>
        <v>0</v>
      </c>
      <c r="D41" s="1" t="str">
        <f>Reporting_currency</f>
        <v>CNY</v>
      </c>
    </row>
    <row r="43" spans="2:6" x14ac:dyDescent="0.15">
      <c r="B43" s="461" t="s">
        <v>205</v>
      </c>
      <c r="C43" s="461"/>
      <c r="D43" s="461"/>
      <c r="E43" s="461"/>
      <c r="F43" s="461"/>
    </row>
    <row r="44" spans="2:6" x14ac:dyDescent="0.15">
      <c r="B44" s="44" t="s">
        <v>267</v>
      </c>
      <c r="C44" s="286">
        <f>Normalized_FCF!C46</f>
        <v>26482.179532691047</v>
      </c>
      <c r="D44" s="1" t="str">
        <f>Reporting_currency</f>
        <v>CNY</v>
      </c>
      <c r="E44" s="244"/>
      <c r="F44" s="244"/>
    </row>
    <row r="45" spans="2:6" x14ac:dyDescent="0.15">
      <c r="B45" s="44" t="s">
        <v>268</v>
      </c>
      <c r="C45" s="286">
        <f>Normalized_FCF!C45</f>
        <v>-106638.78</v>
      </c>
      <c r="D45" s="1" t="str">
        <f>Reporting_currency</f>
        <v>CNY</v>
      </c>
      <c r="E45" s="244"/>
      <c r="F45" s="244"/>
    </row>
    <row r="46" spans="2:6" x14ac:dyDescent="0.15">
      <c r="B46" s="44" t="s">
        <v>203</v>
      </c>
      <c r="C46" s="285">
        <f>Normalized_FCF!C10</f>
        <v>-80156.600467308948</v>
      </c>
      <c r="D46" s="1" t="str">
        <f>Reporting_currency</f>
        <v>CNY</v>
      </c>
    </row>
    <row r="48" spans="2:6" x14ac:dyDescent="0.15">
      <c r="B48" s="1" t="s">
        <v>211</v>
      </c>
    </row>
    <row r="49" spans="2:6" x14ac:dyDescent="0.15">
      <c r="B49" s="44" t="s">
        <v>223</v>
      </c>
      <c r="C49" s="285">
        <f>Normalized_FCF!C13</f>
        <v>0</v>
      </c>
      <c r="D49" s="1" t="str">
        <f>Reporting_currency</f>
        <v>CNY</v>
      </c>
    </row>
    <row r="51" spans="2:6" x14ac:dyDescent="0.15">
      <c r="B51" s="461" t="s">
        <v>206</v>
      </c>
      <c r="C51" s="461"/>
      <c r="D51" s="461"/>
      <c r="E51" s="461"/>
      <c r="F51" s="461"/>
    </row>
    <row r="52" spans="2:6" x14ac:dyDescent="0.15">
      <c r="B52" s="44" t="s">
        <v>204</v>
      </c>
      <c r="C52" s="285">
        <f>Normalized_FCF!C12</f>
        <v>-862283.09988317278</v>
      </c>
      <c r="D52" s="1" t="str">
        <f>Reporting_currency</f>
        <v>CNY</v>
      </c>
    </row>
    <row r="54" spans="2:6" x14ac:dyDescent="0.15">
      <c r="B54" s="461" t="s">
        <v>265</v>
      </c>
      <c r="C54" s="464"/>
      <c r="D54" s="464"/>
      <c r="E54" s="464"/>
      <c r="F54" s="464"/>
    </row>
    <row r="55" spans="2:6" x14ac:dyDescent="0.15">
      <c r="B55" s="44" t="s">
        <v>207</v>
      </c>
      <c r="C55" s="285">
        <f>Normalized_FCF!C17</f>
        <v>0</v>
      </c>
      <c r="D55" s="1" t="str">
        <f>Reporting_currency</f>
        <v>CNY</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2533262.2671314152</v>
      </c>
      <c r="D60" s="1" t="str">
        <f>Reporting_currency</f>
        <v>CNY</v>
      </c>
    </row>
    <row r="61" spans="2:6" x14ac:dyDescent="0.15">
      <c r="B61" s="44" t="s">
        <v>213</v>
      </c>
      <c r="C61" s="285">
        <f>Normalized_FCF!C19</f>
        <v>2586849.2996495184</v>
      </c>
      <c r="D61" s="1" t="str">
        <f>Reporting_currency</f>
        <v>CNY</v>
      </c>
    </row>
    <row r="62" spans="2:6" x14ac:dyDescent="0.15">
      <c r="B62" s="204" t="s">
        <v>302</v>
      </c>
      <c r="C62" s="89">
        <f>Normalized_FCF!C124</f>
        <v>5.1569915168282222E-2</v>
      </c>
      <c r="F62" s="257"/>
    </row>
    <row r="63" spans="2:6" x14ac:dyDescent="0.15">
      <c r="B63" s="204" t="s">
        <v>332</v>
      </c>
      <c r="C63" s="89">
        <f>Normalized_FCF!C92</f>
        <v>2.3533613162607409E-2</v>
      </c>
      <c r="E63" s="44" t="s">
        <v>322</v>
      </c>
      <c r="F63" s="258">
        <f>Normalized_FCF!C90</f>
        <v>0.51639093660076429</v>
      </c>
    </row>
    <row r="65" spans="1:6" x14ac:dyDescent="0.15">
      <c r="B65" s="192" t="s">
        <v>325</v>
      </c>
      <c r="C65" s="264" t="s">
        <v>327</v>
      </c>
      <c r="D65" s="264" t="s">
        <v>328</v>
      </c>
    </row>
    <row r="66" spans="1:6" x14ac:dyDescent="0.15">
      <c r="B66" s="44" t="s">
        <v>326</v>
      </c>
      <c r="C66" s="89">
        <f>Normalized_FCF!E119</f>
        <v>0.2</v>
      </c>
      <c r="D66" s="89">
        <f>Normalized_FCF!G119</f>
        <v>0.13360794599620288</v>
      </c>
    </row>
    <row r="67" spans="1:6" x14ac:dyDescent="0.15">
      <c r="B67" s="229" t="str">
        <f>Normalized_FCF!B116</f>
        <v>Pre-tax Profit/Sales</v>
      </c>
      <c r="C67" s="263">
        <f>Normalized_FCF!E116</f>
        <v>0.13430424833028851</v>
      </c>
      <c r="D67" s="263">
        <f>Normalized_FCF!G116</f>
        <v>0.12658663895109223</v>
      </c>
    </row>
    <row r="68" spans="1:6" x14ac:dyDescent="0.15">
      <c r="B68" s="229" t="str">
        <f>Normalized_FCF!B117</f>
        <v>Sales/Total Assets</v>
      </c>
      <c r="C68" s="265">
        <f>Normalized_FCF!E117</f>
        <v>1.1000000000000001</v>
      </c>
      <c r="D68" s="265">
        <f>Normalized_FCF!G117</f>
        <v>0.77964492924870721</v>
      </c>
    </row>
    <row r="69" spans="1:6" x14ac:dyDescent="0.15">
      <c r="B69" s="229" t="str">
        <f>Normalized_FCF!B118</f>
        <v>Total Assets/Equity</v>
      </c>
      <c r="C69" s="265">
        <f>Normalized_FCF!E118</f>
        <v>1.3537783359692717</v>
      </c>
      <c r="D69" s="265">
        <f>Normalized_FCF!G118</f>
        <v>1.3537783359692717</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-1777313</v>
      </c>
      <c r="D78" s="1" t="str">
        <f>Reporting_currency</f>
        <v>CNY</v>
      </c>
    </row>
    <row r="79" spans="1:6" x14ac:dyDescent="0.15">
      <c r="A79" s="191"/>
      <c r="B79" s="44" t="s">
        <v>234</v>
      </c>
      <c r="C79" s="201">
        <f>C78*scaling_factor*Exchange_Rate/Common_Shares</f>
        <v>-0.77807514302123271</v>
      </c>
      <c r="D79" s="1" t="str">
        <f>Market_currency</f>
        <v>HKD</v>
      </c>
    </row>
    <row r="80" spans="1:6" x14ac:dyDescent="0.15">
      <c r="A80" s="191"/>
      <c r="B80" s="229" t="s">
        <v>309</v>
      </c>
      <c r="C80" s="337">
        <f>IF(BS!G31/BS!G27&gt;300%,"nm",BS!G31/BS!G27)</f>
        <v>6.5417684980282262E-2</v>
      </c>
    </row>
    <row r="81" spans="1:6" x14ac:dyDescent="0.15">
      <c r="A81" s="191"/>
      <c r="B81" s="229" t="s">
        <v>311</v>
      </c>
      <c r="C81" s="338">
        <f>IF(BS!C50&gt;30,"nm",BS!C50)</f>
        <v>0.50358953318926281</v>
      </c>
    </row>
    <row r="82" spans="1:6" x14ac:dyDescent="0.15">
      <c r="A82" s="191"/>
    </row>
    <row r="83" spans="1:6" x14ac:dyDescent="0.15">
      <c r="A83" s="191"/>
      <c r="B83" s="1" t="s">
        <v>466</v>
      </c>
    </row>
    <row r="84" spans="1:6" x14ac:dyDescent="0.15">
      <c r="A84" s="191"/>
      <c r="B84" s="1" t="s">
        <v>224</v>
      </c>
      <c r="C84" s="285">
        <f>DCF!F5</f>
        <v>14777159.411218159</v>
      </c>
      <c r="D84" s="1" t="str">
        <f>Reporting_currency</f>
        <v>CNY</v>
      </c>
    </row>
    <row r="85" spans="1:6" x14ac:dyDescent="0.15">
      <c r="A85" s="191"/>
      <c r="B85" s="229" t="s">
        <v>222</v>
      </c>
      <c r="C85" s="291">
        <f>BS!C66</f>
        <v>19190856</v>
      </c>
      <c r="D85" s="339" t="str">
        <f>Reporting_currency</f>
        <v>CNY</v>
      </c>
    </row>
    <row r="86" spans="1:6" x14ac:dyDescent="0.15">
      <c r="A86" s="191"/>
      <c r="B86" s="44" t="s">
        <v>235</v>
      </c>
      <c r="C86" s="201">
        <f>C84*scaling_factor*Exchange_Rate/Common_Shares</f>
        <v>6.4691702712640504</v>
      </c>
      <c r="D86" s="1" t="str">
        <f>Market_currency</f>
        <v>HKD</v>
      </c>
    </row>
    <row r="87" spans="1:6" x14ac:dyDescent="0.15">
      <c r="A87" s="191"/>
    </row>
    <row r="88" spans="1:6" x14ac:dyDescent="0.15">
      <c r="A88" s="191"/>
      <c r="B88" s="1" t="s">
        <v>216</v>
      </c>
    </row>
    <row r="89" spans="1:6" x14ac:dyDescent="0.15">
      <c r="A89" s="191"/>
      <c r="B89" s="1" t="s">
        <v>217</v>
      </c>
      <c r="C89" s="285">
        <f>DCF!F6</f>
        <v>1668728.8</v>
      </c>
      <c r="D89" s="1" t="str">
        <f>Reporting_currency</f>
        <v>CNY</v>
      </c>
    </row>
    <row r="90" spans="1:6" x14ac:dyDescent="0.15">
      <c r="A90" s="191"/>
      <c r="B90" s="44" t="s">
        <v>236</v>
      </c>
      <c r="C90" s="201">
        <f>C89*scaling_factor*Exchange_Rate/Common_Shares</f>
        <v>0.73053896512524807</v>
      </c>
      <c r="D90" s="1" t="str">
        <f>Market_currency</f>
        <v>HKD</v>
      </c>
    </row>
    <row r="91" spans="1:6" x14ac:dyDescent="0.15">
      <c r="A91" s="191"/>
    </row>
    <row r="92" spans="1:6" x14ac:dyDescent="0.15">
      <c r="A92" s="191"/>
      <c r="B92" s="44" t="s">
        <v>469</v>
      </c>
      <c r="C92" s="216">
        <f>DCF!F8</f>
        <v>6.4216340933680662</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5.6443831570809282</v>
      </c>
      <c r="D111" s="1" t="str">
        <f>Market_currency</f>
        <v>HKD</v>
      </c>
    </row>
    <row r="112" spans="2:6" x14ac:dyDescent="0.15">
      <c r="B112" s="44" t="s">
        <v>323</v>
      </c>
      <c r="C112" s="216">
        <f>DCF!C11</f>
        <v>28.424012071223068</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(10yrs)</v>
      </c>
      <c r="C118" s="206">
        <f>DCF!C90</f>
        <v>0.1</v>
      </c>
      <c r="D118" s="207" t="str">
        <f>ROUND(DCF!E90,2)&amp;" "&amp;Market_currency</f>
        <v>36.38 HKD</v>
      </c>
      <c r="E118" s="208">
        <f>DCF!F90</f>
        <v>0.05</v>
      </c>
      <c r="F118" s="208">
        <f>RATE(Holding_Period,Scenarios!C$58,-DCF!E90,C$18)</f>
        <v>-6.7398869312031637E-2</v>
      </c>
    </row>
    <row r="119" spans="2:6" x14ac:dyDescent="0.15">
      <c r="B119" s="205" t="str">
        <f>DCF!B91&amp;" ("&amp;DCF!D91&amp;"yrs)"</f>
        <v>Optimistic (10yrs)</v>
      </c>
      <c r="C119" s="198">
        <f>DCF!C91</f>
        <v>0.06</v>
      </c>
      <c r="D119" s="207" t="str">
        <f>ROUND(DCF!E91,2)&amp;" "&amp;Market_currency</f>
        <v>30.44 HKD</v>
      </c>
      <c r="E119" s="199">
        <f>DCF!F91</f>
        <v>0.22499999999999992</v>
      </c>
      <c r="F119" s="208">
        <f>RATE(Holding_Period,Scenarios!C$58,-DCF!E91,C$18)</f>
        <v>-9.2690973501793235E-3</v>
      </c>
    </row>
    <row r="120" spans="2:6" x14ac:dyDescent="0.15">
      <c r="B120" s="205" t="str">
        <f>DCF!B92&amp;" ("&amp;DCF!D92&amp;"yrs)"</f>
        <v>Base (10yrs)</v>
      </c>
      <c r="C120" s="198">
        <f>DCF!C92</f>
        <v>0.04</v>
      </c>
      <c r="D120" s="207" t="str">
        <f>ROUND(DCF!E92,2)&amp;" "&amp;Market_currency</f>
        <v>27.91 HKD</v>
      </c>
      <c r="E120" s="199">
        <f>DCF!F92</f>
        <v>0.495</v>
      </c>
      <c r="F120" s="208">
        <f>RATE(Holding_Period,Scenarios!C$58,-DCF!E92,C$18)</f>
        <v>2.0360893809405395E-2</v>
      </c>
    </row>
    <row r="121" spans="2:6" x14ac:dyDescent="0.15">
      <c r="B121" s="205" t="str">
        <f>DCF!B93&amp;" ("&amp;DCF!D93&amp;"yrs)"</f>
        <v>Pessimistic (10yrs)</v>
      </c>
      <c r="C121" s="198">
        <f>DCF!C93</f>
        <v>0.02</v>
      </c>
      <c r="D121" s="207" t="str">
        <f>ROUND(DCF!E93,2)&amp;" "&amp;Market_currency</f>
        <v>25.63 HKD</v>
      </c>
      <c r="E121" s="199">
        <f>DCF!F93</f>
        <v>0.18</v>
      </c>
      <c r="F121" s="208">
        <f>RATE(Holding_Period,Scenarios!C$58,-DCF!E93,C$18)</f>
        <v>5.024718194753567E-2</v>
      </c>
    </row>
    <row r="122" spans="2:6" x14ac:dyDescent="0.15">
      <c r="B122" s="205" t="str">
        <f>DCF!B94&amp;" ("&amp;DCF!D94&amp;"yrs)"</f>
        <v>Devil's advocate (10yrs)</v>
      </c>
      <c r="C122" s="198">
        <f>DCF!C94</f>
        <v>-0.05</v>
      </c>
      <c r="D122" s="207" t="str">
        <f>ROUND(DCF!E94,2)&amp;" "&amp;Market_currency</f>
        <v>19.37 HKD</v>
      </c>
      <c r="E122" s="199">
        <f>DCF!F94</f>
        <v>0.05</v>
      </c>
      <c r="F122" s="208">
        <f>RATE(Holding_Period,Scenarios!C$58,-DCF!E94,C$18)</f>
        <v>0.15529165615841833</v>
      </c>
    </row>
    <row r="124" spans="2:6" x14ac:dyDescent="0.15">
      <c r="B124" s="461" t="s">
        <v>357</v>
      </c>
      <c r="C124" s="461"/>
      <c r="D124" s="461"/>
      <c r="E124" s="461"/>
      <c r="F124" s="461"/>
    </row>
    <row r="125" spans="2:6" x14ac:dyDescent="0.15">
      <c r="B125" s="193" t="s">
        <v>218</v>
      </c>
      <c r="C125" s="197">
        <f>Scenarios!C36</f>
        <v>28.064132775417118</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0.51679814505085875</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0.94566390025210001</v>
      </c>
      <c r="D140" s="333">
        <f>Scenarios!D62</f>
        <v>12.932780080837384</v>
      </c>
      <c r="E140" s="334">
        <f>Scenarios!E62</f>
        <v>13.878443981089484</v>
      </c>
      <c r="F140" s="335">
        <f>E22</f>
        <v>0.29465259038036606</v>
      </c>
    </row>
    <row r="141" spans="1:6" x14ac:dyDescent="0.15">
      <c r="B141" s="336" t="s">
        <v>313</v>
      </c>
      <c r="C141" s="333">
        <f>Scenarios!C63</f>
        <v>1.0873453371283444</v>
      </c>
      <c r="D141" s="333">
        <f>Scenarios!D63</f>
        <v>16.210329400962962</v>
      </c>
      <c r="E141" s="334">
        <f>Scenarios!E63</f>
        <v>17.297674738091306</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1.2468288202289972</v>
      </c>
      <c r="D144" s="333">
        <f>Scenarios!D66</f>
        <v>20.115258837727577</v>
      </c>
      <c r="E144" s="334">
        <f>Scenarios!E66</f>
        <v>21.362087657956575</v>
      </c>
      <c r="F144" s="335">
        <f>E24</f>
        <v>0.1174</v>
      </c>
    </row>
    <row r="145" spans="1:6" x14ac:dyDescent="0.15">
      <c r="B145" s="336" t="s">
        <v>314</v>
      </c>
      <c r="C145" s="333">
        <f>Scenarios!C67</f>
        <v>1.3500706715798303</v>
      </c>
      <c r="D145" s="333">
        <f>Scenarios!D67</f>
        <v>22.748864495909054</v>
      </c>
      <c r="E145" s="334">
        <f>Scenarios!E67</f>
        <v>24.098935167488882</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x14ac:dyDescent="0.15">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x14ac:dyDescent="0.15">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x14ac:dyDescent="0.15">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x14ac:dyDescent="0.15">
      <c r="B8" s="38" t="s">
        <v>46</v>
      </c>
      <c r="C8" s="287"/>
      <c r="D8" s="287"/>
      <c r="E8" s="287"/>
      <c r="F8" s="287"/>
      <c r="G8" s="287"/>
      <c r="H8" s="287"/>
      <c r="I8" s="287"/>
      <c r="J8" s="287"/>
      <c r="K8" s="287"/>
      <c r="L8" s="287"/>
      <c r="M8" s="287"/>
    </row>
    <row r="9" spans="2:13" x14ac:dyDescent="0.15">
      <c r="B9" s="38" t="s">
        <v>134</v>
      </c>
      <c r="C9" s="287">
        <v>256299</v>
      </c>
      <c r="D9" s="287">
        <v>377972</v>
      </c>
      <c r="E9" s="287">
        <v>201155</v>
      </c>
      <c r="F9" s="287">
        <v>159222</v>
      </c>
      <c r="G9" s="287">
        <v>83487</v>
      </c>
      <c r="H9" s="287">
        <v>343469</v>
      </c>
      <c r="I9" s="287">
        <v>63633</v>
      </c>
      <c r="J9" s="287">
        <v>73806</v>
      </c>
      <c r="K9" s="287">
        <v>9716</v>
      </c>
      <c r="L9" s="287">
        <v>6948</v>
      </c>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254421</v>
      </c>
      <c r="D12" s="287">
        <v>181446</v>
      </c>
      <c r="E12" s="287">
        <v>120561</v>
      </c>
      <c r="F12" s="287">
        <v>112458</v>
      </c>
      <c r="G12" s="287"/>
      <c r="H12" s="287"/>
      <c r="I12" s="287"/>
      <c r="J12" s="287"/>
      <c r="K12" s="287"/>
      <c r="L12" s="287"/>
      <c r="M12" s="287"/>
    </row>
    <row r="13" spans="2:13" x14ac:dyDescent="0.15">
      <c r="B13" s="38" t="s">
        <v>64</v>
      </c>
      <c r="C13" s="287">
        <v>429525</v>
      </c>
      <c r="D13" s="287">
        <v>500556</v>
      </c>
      <c r="E13" s="287">
        <v>447748</v>
      </c>
      <c r="F13" s="287">
        <v>145097</v>
      </c>
      <c r="G13" s="287"/>
      <c r="H13" s="287"/>
      <c r="I13" s="287"/>
      <c r="J13" s="287"/>
      <c r="K13" s="287"/>
      <c r="L13" s="287"/>
      <c r="M13" s="287"/>
    </row>
    <row r="14" spans="2:13" x14ac:dyDescent="0.15">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x14ac:dyDescent="0.15">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x14ac:dyDescent="0.15">
      <c r="B16" s="27" t="s">
        <v>41</v>
      </c>
      <c r="C16" s="287">
        <v>0</v>
      </c>
      <c r="D16" s="287">
        <v>52</v>
      </c>
      <c r="E16" s="287">
        <v>-63</v>
      </c>
      <c r="F16" s="287">
        <v>7</v>
      </c>
      <c r="G16" s="287">
        <v>0</v>
      </c>
      <c r="H16" s="287">
        <v>4</v>
      </c>
      <c r="I16" s="287">
        <v>0</v>
      </c>
      <c r="J16" s="287">
        <v>0</v>
      </c>
      <c r="K16" s="287">
        <v>57615</v>
      </c>
      <c r="L16" s="287">
        <v>47296</v>
      </c>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ht="13" x14ac:dyDescent="0.15">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ht="13" x14ac:dyDescent="0.15">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ht="13" x14ac:dyDescent="0.15">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ht="13" x14ac:dyDescent="0.15">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x14ac:dyDescent="0.15">
      <c r="B25" s="23" t="str">
        <f>"Dividend per share ("&amp;Market_currency&amp;")"</f>
        <v>Dividend per share (HKD)</v>
      </c>
      <c r="C25" s="37">
        <f>(0.2073+0.3775)/Exchange_Rate</f>
        <v>0.51679814505085875</v>
      </c>
      <c r="D25" s="37"/>
      <c r="E25" s="37"/>
      <c r="F25" s="37"/>
      <c r="G25" s="37"/>
      <c r="H25" s="37"/>
      <c r="I25" s="37"/>
      <c r="J25" s="37"/>
      <c r="K25" s="37"/>
      <c r="L25" s="37"/>
      <c r="M25" s="37"/>
    </row>
    <row r="27" spans="2:13" x14ac:dyDescent="0.15">
      <c r="B27" s="16" t="s">
        <v>26</v>
      </c>
      <c r="C27" s="94" t="s">
        <v>547</v>
      </c>
    </row>
    <row r="28" spans="2:13" ht="13" x14ac:dyDescent="0.15">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ht="13" x14ac:dyDescent="0.15">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ht="13" x14ac:dyDescent="0.15">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ht="13" x14ac:dyDescent="0.15">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ht="13" x14ac:dyDescent="0.15">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x14ac:dyDescent="0.15">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ht="13" x14ac:dyDescent="0.15">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x14ac:dyDescent="0.15">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x14ac:dyDescent="0.15">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x14ac:dyDescent="0.15">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x14ac:dyDescent="0.15">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x14ac:dyDescent="0.15">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x14ac:dyDescent="0.15">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x14ac:dyDescent="0.15">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x14ac:dyDescent="0.15">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x14ac:dyDescent="0.15">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x14ac:dyDescent="0.15">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x14ac:dyDescent="0.15">
      <c r="B50" s="16" t="s">
        <v>65</v>
      </c>
    </row>
    <row r="51" spans="2:13" x14ac:dyDescent="0.15">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x14ac:dyDescent="0.15">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x14ac:dyDescent="0.15">
      <c r="B54" s="156" t="s">
        <v>139</v>
      </c>
    </row>
    <row r="55" spans="2:13" x14ac:dyDescent="0.15">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x14ac:dyDescent="0.15">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x14ac:dyDescent="0.15">
      <c r="B60" s="16" t="s">
        <v>48</v>
      </c>
      <c r="C60" s="9"/>
    </row>
    <row r="61" spans="2:13" ht="13" x14ac:dyDescent="0.15">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ht="13" x14ac:dyDescent="0.15">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ht="13" x14ac:dyDescent="0.15">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ht="13" x14ac:dyDescent="0.15">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x14ac:dyDescent="0.15">
      <c r="B65" s="23" t="s">
        <v>34</v>
      </c>
      <c r="C65" s="70">
        <f>IF(C$4="","",C25)</f>
        <v>0.51679814505085875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ht="13" x14ac:dyDescent="0.15">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x14ac:dyDescent="0.15">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x14ac:dyDescent="0.15">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x14ac:dyDescent="0.15">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ht="13" x14ac:dyDescent="0.15">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ht="13" x14ac:dyDescent="0.15">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ht="13" x14ac:dyDescent="0.15">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ht="13" x14ac:dyDescent="0.15">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1352242+245571</f>
        <v>1597813</v>
      </c>
      <c r="D4" s="231">
        <v>0.6</v>
      </c>
      <c r="E4" s="24"/>
      <c r="F4" s="4" t="s">
        <v>74</v>
      </c>
      <c r="G4" s="18">
        <f>5254388+11798043</f>
        <v>17052431</v>
      </c>
      <c r="H4" s="231">
        <v>0.9</v>
      </c>
    </row>
    <row r="5" spans="2:8" ht="15" customHeight="1" x14ac:dyDescent="0.15">
      <c r="B5" s="1" t="s">
        <v>31</v>
      </c>
      <c r="C5" s="18">
        <v>0</v>
      </c>
      <c r="D5" s="231">
        <v>0.6</v>
      </c>
      <c r="E5" s="24"/>
      <c r="F5" s="1" t="s">
        <v>27</v>
      </c>
      <c r="G5" s="18">
        <v>400</v>
      </c>
      <c r="H5" s="231">
        <v>0.7</v>
      </c>
    </row>
    <row r="6" spans="2:8" ht="15" customHeight="1" x14ac:dyDescent="0.15">
      <c r="B6" s="4" t="s">
        <v>8</v>
      </c>
      <c r="C6" s="18">
        <v>2428290</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0</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f>1064042</f>
        <v>1064042</v>
      </c>
      <c r="D11" s="231">
        <v>0.05</v>
      </c>
      <c r="H11" s="232"/>
    </row>
    <row r="12" spans="2:8" ht="15" customHeight="1" x14ac:dyDescent="0.15">
      <c r="B12" s="77" t="s">
        <v>69</v>
      </c>
      <c r="C12" s="78">
        <f>SUM(C4:C11)</f>
        <v>5090145</v>
      </c>
      <c r="D12" s="19">
        <f>C4*D4+C5*D5+C9*D9+C6*D6+C8*D8+C7*D7+C10*D10+C11*D11</f>
        <v>2226034.9</v>
      </c>
      <c r="F12" s="77" t="s">
        <v>67</v>
      </c>
      <c r="G12" s="78">
        <f>SUM(G4:G10)</f>
        <v>17052831</v>
      </c>
      <c r="H12" s="19">
        <f>G4*H4+G5*H5+G6*H6+G7*H7+G8*H8+G9*H9+G10*H10</f>
        <v>15347467.9</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153234</v>
      </c>
      <c r="D15" s="231">
        <v>0.4</v>
      </c>
      <c r="F15" s="4" t="s">
        <v>75</v>
      </c>
      <c r="G15" s="18">
        <v>2138025</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f>1876402+448521</f>
        <v>2324923</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4615327+1392122+148969</f>
        <v>6156418</v>
      </c>
      <c r="D19" s="231">
        <v>0.1</v>
      </c>
      <c r="F19" s="4" t="s">
        <v>152</v>
      </c>
      <c r="G19" s="18">
        <v>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156064</v>
      </c>
      <c r="D21" s="231">
        <v>0.05</v>
      </c>
      <c r="F21" s="1" t="s">
        <v>150</v>
      </c>
      <c r="G21" s="18">
        <v>2737750</v>
      </c>
      <c r="H21" s="231">
        <v>0.1</v>
      </c>
    </row>
    <row r="22" spans="2:8" ht="15" customHeight="1" x14ac:dyDescent="0.15">
      <c r="B22" s="4" t="s">
        <v>18</v>
      </c>
      <c r="C22" s="18">
        <v>963833</v>
      </c>
      <c r="D22" s="231">
        <v>0.9</v>
      </c>
      <c r="H22" s="232"/>
    </row>
    <row r="23" spans="2:8" ht="15" customHeight="1" x14ac:dyDescent="0.15">
      <c r="B23" s="4" t="s">
        <v>19</v>
      </c>
      <c r="C23" s="18">
        <f>7165</f>
        <v>7165</v>
      </c>
      <c r="D23" s="231">
        <v>0</v>
      </c>
      <c r="H23" s="232"/>
    </row>
    <row r="24" spans="2:8" ht="15" customHeight="1" x14ac:dyDescent="0.15">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x14ac:dyDescent="0.15">
      <c r="B26" s="16" t="s">
        <v>169</v>
      </c>
      <c r="C26" s="164" t="s">
        <v>113</v>
      </c>
      <c r="F26" s="166" t="s">
        <v>165</v>
      </c>
      <c r="G26" s="167" t="s">
        <v>113</v>
      </c>
      <c r="H26" s="168" t="s">
        <v>33</v>
      </c>
    </row>
    <row r="27" spans="2:8" ht="15" customHeight="1" x14ac:dyDescent="0.15">
      <c r="B27" s="4" t="s">
        <v>3</v>
      </c>
      <c r="C27" s="18">
        <v>0</v>
      </c>
      <c r="F27" s="169" t="s">
        <v>28</v>
      </c>
      <c r="G27" s="82">
        <f>G32-G30</f>
        <v>27168693</v>
      </c>
      <c r="H27" s="170">
        <f>H32-G30</f>
        <v>12893144.899999999</v>
      </c>
    </row>
    <row r="28" spans="2:8" ht="15" customHeight="1" x14ac:dyDescent="0.15">
      <c r="B28" s="4" t="s">
        <v>4</v>
      </c>
      <c r="C28" s="18">
        <v>490187</v>
      </c>
      <c r="F28" s="171" t="s">
        <v>209</v>
      </c>
      <c r="G28" s="287">
        <v>0</v>
      </c>
      <c r="H28" s="170"/>
    </row>
    <row r="29" spans="2:8" ht="15" customHeight="1" x14ac:dyDescent="0.15">
      <c r="B29" s="4" t="s">
        <v>5</v>
      </c>
      <c r="C29" s="18">
        <v>0</v>
      </c>
      <c r="F29" s="172" t="s">
        <v>72</v>
      </c>
      <c r="G29" s="14">
        <f>G27-G28</f>
        <v>27168693</v>
      </c>
      <c r="H29" s="170">
        <f>H27-G28</f>
        <v>12893144.899999999</v>
      </c>
    </row>
    <row r="30" spans="2:8" ht="15" customHeight="1" x14ac:dyDescent="0.15">
      <c r="B30" s="2" t="s">
        <v>6</v>
      </c>
      <c r="C30" s="18">
        <v>0</v>
      </c>
      <c r="F30" s="169" t="s">
        <v>21</v>
      </c>
      <c r="G30" s="82">
        <f>C33+C42</f>
        <v>9611695</v>
      </c>
      <c r="H30" s="170"/>
    </row>
    <row r="31" spans="2:8" ht="15" customHeight="1" x14ac:dyDescent="0.15">
      <c r="B31" s="77" t="s">
        <v>172</v>
      </c>
      <c r="C31" s="78">
        <f>SUM(C27:C30)</f>
        <v>490187</v>
      </c>
      <c r="F31" s="172" t="s">
        <v>73</v>
      </c>
      <c r="G31" s="173">
        <f>C31+C40</f>
        <v>1777313</v>
      </c>
      <c r="H31" s="170"/>
    </row>
    <row r="32" spans="2:8" ht="15" customHeight="1" x14ac:dyDescent="0.15">
      <c r="B32" s="4" t="s">
        <v>7</v>
      </c>
      <c r="C32" s="20">
        <f>C33-C31</f>
        <v>7200945</v>
      </c>
      <c r="F32" s="174" t="s">
        <v>71</v>
      </c>
      <c r="G32" s="175">
        <f>G35+G40</f>
        <v>36780388</v>
      </c>
      <c r="H32" s="170">
        <f>H35+H40</f>
        <v>22504839.899999999</v>
      </c>
    </row>
    <row r="33" spans="2:8" ht="15" customHeight="1" x14ac:dyDescent="0.15">
      <c r="B33" s="80" t="s">
        <v>2</v>
      </c>
      <c r="C33" s="81">
        <v>7691132</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12526859</v>
      </c>
      <c r="H35" s="182">
        <f>D12+D24</f>
        <v>3778223.2</v>
      </c>
    </row>
    <row r="36" spans="2:8" ht="15" customHeight="1" x14ac:dyDescent="0.15">
      <c r="B36" s="4" t="s">
        <v>11</v>
      </c>
      <c r="C36" s="18">
        <v>0</v>
      </c>
      <c r="F36" s="172" t="s">
        <v>166</v>
      </c>
      <c r="G36" s="173">
        <f>C4+C15</f>
        <v>1751047</v>
      </c>
      <c r="H36" s="177"/>
    </row>
    <row r="37" spans="2:8" ht="15" customHeight="1" x14ac:dyDescent="0.15">
      <c r="B37" s="4" t="s">
        <v>12</v>
      </c>
      <c r="C37" s="18">
        <v>1287126</v>
      </c>
      <c r="F37" s="172" t="s">
        <v>167</v>
      </c>
      <c r="G37" s="173">
        <f>C6</f>
        <v>2428290</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6156418</v>
      </c>
      <c r="H39" s="170">
        <f>C7*D7+C17*D17+C19*D19+C20*D20</f>
        <v>615641.80000000005</v>
      </c>
    </row>
    <row r="40" spans="2:8" ht="15" customHeight="1" x14ac:dyDescent="0.15">
      <c r="B40" s="77" t="s">
        <v>173</v>
      </c>
      <c r="C40" s="78">
        <f>SUM(C36:C39)</f>
        <v>1287126</v>
      </c>
      <c r="F40" s="181" t="s">
        <v>115</v>
      </c>
      <c r="G40" s="175">
        <f>G12+G24</f>
        <v>24253529</v>
      </c>
      <c r="H40" s="182">
        <f>H12+H24</f>
        <v>18726616.699999999</v>
      </c>
    </row>
    <row r="41" spans="2:8" ht="15" customHeight="1" x14ac:dyDescent="0.15">
      <c r="B41" s="4" t="s">
        <v>15</v>
      </c>
      <c r="C41" s="20">
        <f>C42-C40</f>
        <v>633437</v>
      </c>
      <c r="F41" s="172" t="s">
        <v>160</v>
      </c>
      <c r="G41" s="173">
        <f>C70</f>
        <v>19190856</v>
      </c>
      <c r="H41" s="182">
        <f>H40-H42</f>
        <v>17057887.899999999</v>
      </c>
    </row>
    <row r="42" spans="2:8" ht="15" customHeight="1" x14ac:dyDescent="0.15">
      <c r="B42" s="80" t="s">
        <v>20</v>
      </c>
      <c r="C42" s="81">
        <v>1920563</v>
      </c>
      <c r="F42" s="183" t="s">
        <v>161</v>
      </c>
      <c r="G42" s="184">
        <f>C82</f>
        <v>5062673</v>
      </c>
      <c r="H42" s="185">
        <f>D82</f>
        <v>1668728.8</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27168693</v>
      </c>
      <c r="D46" s="73">
        <f>H29</f>
        <v>12893144.899999999</v>
      </c>
      <c r="F46" s="223"/>
    </row>
    <row r="47" spans="2:8" ht="15" customHeight="1" x14ac:dyDescent="0.15">
      <c r="B47" s="1" t="str">
        <f>"Equity per share ("&amp;Market_currency&amp;")"</f>
        <v>Equity per share (HKD)</v>
      </c>
      <c r="C47" s="134">
        <f>C46*H1/Common_Shares*Exchange_Rate</f>
        <v>11.893957165493621</v>
      </c>
      <c r="D47" s="134">
        <f>D46*H1/Common_Shares*Exchange_Rate</f>
        <v>5.6443831570809282</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0.50358953318926281</v>
      </c>
      <c r="D50" s="92">
        <f>G31/Normalized_FCF!G8</f>
        <v>0.50358953318926281</v>
      </c>
      <c r="F50" s="223"/>
    </row>
    <row r="51" spans="2:8" ht="15" customHeight="1" x14ac:dyDescent="0.15">
      <c r="B51" s="1" t="s">
        <v>146</v>
      </c>
      <c r="C51" s="163"/>
      <c r="D51" s="89">
        <f>G29/G32</f>
        <v>0.73867336581658682</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0.28173774447369448</v>
      </c>
      <c r="D54" s="89">
        <f>Normalized_FCF!G8/G35</f>
        <v>0.28173774447369448</v>
      </c>
      <c r="F54" s="223"/>
    </row>
    <row r="55" spans="2:8" ht="15" customHeight="1" x14ac:dyDescent="0.15">
      <c r="B55" s="1" t="s">
        <v>118</v>
      </c>
      <c r="C55" s="89">
        <f>Normalized_FCF!C9/G40</f>
        <v>0</v>
      </c>
      <c r="D55" s="89">
        <f>Normalized_FCF!G9/G40</f>
        <v>1.0567493085233082E-2</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0.16738317170552958</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0</v>
      </c>
      <c r="D62" s="89">
        <f>G28/G29</f>
        <v>0</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19190856</v>
      </c>
      <c r="D66" s="73">
        <f>C66-D75</f>
        <v>14777159.411218159</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19190856</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-2206848.2943909205</v>
      </c>
      <c r="D73" s="285">
        <f>(Normalized_FCF!C26+Normalized_FCF!C35-Normalized_FCF!C89)/12</f>
        <v>-2206848.2943909205</v>
      </c>
      <c r="F73" s="1" t="s">
        <v>278</v>
      </c>
    </row>
    <row r="74" spans="2:6" ht="15" customHeight="1" x14ac:dyDescent="0.15">
      <c r="B74" s="227" t="s">
        <v>259</v>
      </c>
      <c r="C74" s="228">
        <f>-$C$66/C73</f>
        <v>8.6960467780122528</v>
      </c>
      <c r="D74" s="228">
        <f>-$C$66/D73</f>
        <v>8.6960467780122528</v>
      </c>
      <c r="F74" s="223" t="s">
        <v>257</v>
      </c>
    </row>
    <row r="75" spans="2:6" ht="15" customHeight="1" x14ac:dyDescent="0.15">
      <c r="B75" s="77" t="s">
        <v>258</v>
      </c>
      <c r="C75" s="261"/>
      <c r="D75" s="262">
        <f>MAX(-D73*D76,G5)</f>
        <v>4413696.5887818411</v>
      </c>
      <c r="F75" s="223" t="s">
        <v>279</v>
      </c>
    </row>
    <row r="76" spans="2:6" ht="15" customHeight="1" x14ac:dyDescent="0.15">
      <c r="B76" s="229" t="s">
        <v>260</v>
      </c>
      <c r="C76" s="230"/>
      <c r="D76" s="248">
        <f>IF(D74&lt;=3,1,IF(D74&gt;18,6,2))</f>
        <v>2</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2324923</v>
      </c>
      <c r="D79" s="73">
        <f>G7*H7+G17*H17</f>
        <v>1394953.8</v>
      </c>
      <c r="F79" s="223"/>
    </row>
    <row r="80" spans="2:6" ht="15" customHeight="1" x14ac:dyDescent="0.15">
      <c r="B80" s="102" t="s">
        <v>152</v>
      </c>
      <c r="C80" s="19">
        <f>G19</f>
        <v>0</v>
      </c>
      <c r="D80" s="73">
        <f>G19*H19</f>
        <v>0</v>
      </c>
      <c r="F80" s="223"/>
    </row>
    <row r="81" spans="2:8" ht="15" customHeight="1" x14ac:dyDescent="0.15">
      <c r="B81" s="102" t="s">
        <v>150</v>
      </c>
      <c r="C81" s="19">
        <f>G9+G21</f>
        <v>2737750</v>
      </c>
      <c r="D81" s="73">
        <f>G9*H9+G21*H21</f>
        <v>273775</v>
      </c>
      <c r="F81" s="223"/>
    </row>
    <row r="82" spans="2:8" ht="15" customHeight="1" x14ac:dyDescent="0.15">
      <c r="B82" s="77" t="s">
        <v>159</v>
      </c>
      <c r="C82" s="78">
        <f>SUM(C79:C81)</f>
        <v>5062673</v>
      </c>
      <c r="D82" s="78">
        <f>SUM(D79:D81)</f>
        <v>1668728.8</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-2011177.1923982312</v>
      </c>
      <c r="D86" s="201">
        <f>C86*scaling_factor/Common_Shares</f>
        <v>-0.77807514302123271</v>
      </c>
      <c r="E86" s="214" t="str">
        <f>Market_currency</f>
        <v>HKD</v>
      </c>
    </row>
    <row r="87" spans="2:8" ht="15" customHeight="1" x14ac:dyDescent="0.15">
      <c r="B87" s="212" t="s">
        <v>240</v>
      </c>
      <c r="C87" s="73">
        <f>DCF!F5*Exchange_Rate</f>
        <v>16721582.510382153</v>
      </c>
      <c r="D87" s="201">
        <f>C87*scaling_factor/Common_Shares</f>
        <v>6.4691702712640504</v>
      </c>
      <c r="E87" s="214" t="str">
        <f>Market_currency</f>
        <v>HKD</v>
      </c>
    </row>
    <row r="88" spans="2:8" ht="15" customHeight="1" x14ac:dyDescent="0.15">
      <c r="B88" s="213" t="s">
        <v>159</v>
      </c>
      <c r="C88" s="73">
        <f>DCF!F6*Exchange_Rate</f>
        <v>1888305.1566370525</v>
      </c>
      <c r="D88" s="201">
        <f>C88*scaling_factor/Common_Shares</f>
        <v>0.73053896512524807</v>
      </c>
      <c r="E88" s="214" t="str">
        <f>Market_currency</f>
        <v>HKD</v>
      </c>
    </row>
    <row r="89" spans="2:8" ht="15" customHeight="1" x14ac:dyDescent="0.15">
      <c r="B89" s="77" t="s">
        <v>244</v>
      </c>
      <c r="C89" s="162">
        <f>SUM(C86:C88)</f>
        <v>16598710.474620974</v>
      </c>
      <c r="D89" s="216">
        <f>SUM(D86:D88)</f>
        <v>6.4216340933680662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x14ac:dyDescent="0.15">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x14ac:dyDescent="0.15">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x14ac:dyDescent="0.15">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x14ac:dyDescent="0.15">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x14ac:dyDescent="0.15">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x14ac:dyDescent="0.15">
      <c r="A10" s="10"/>
      <c r="B10" s="2" t="s">
        <v>65</v>
      </c>
      <c r="C10" s="266">
        <f>C48</f>
        <v>-80156.600467308948</v>
      </c>
      <c r="E10" s="237"/>
      <c r="G10" s="266">
        <f>G48</f>
        <v>-155634.73286858489</v>
      </c>
      <c r="H10" s="266">
        <f t="shared" ref="H10:Q10" si="6">H48</f>
        <v>-66323.34420526716</v>
      </c>
      <c r="I10" s="266">
        <f t="shared" si="6"/>
        <v>-17583.633058478896</v>
      </c>
      <c r="J10" s="266">
        <f t="shared" si="6"/>
        <v>-79087.204349067135</v>
      </c>
      <c r="K10" s="266">
        <f t="shared" si="6"/>
        <v>0</v>
      </c>
      <c r="L10" s="266">
        <f t="shared" si="6"/>
        <v>0</v>
      </c>
      <c r="M10" s="266">
        <f t="shared" si="6"/>
        <v>0</v>
      </c>
      <c r="N10" s="266">
        <f t="shared" si="6"/>
        <v>0</v>
      </c>
      <c r="O10" s="266">
        <f t="shared" si="6"/>
        <v>0</v>
      </c>
      <c r="P10" s="266">
        <f t="shared" si="6"/>
        <v>0</v>
      </c>
      <c r="Q10" s="266" t="str">
        <f t="shared" si="6"/>
        <v/>
      </c>
    </row>
    <row r="11" spans="1:17" ht="15.75" customHeight="1" x14ac:dyDescent="0.15">
      <c r="A11" s="10"/>
      <c r="B11" s="67" t="s">
        <v>137</v>
      </c>
      <c r="C11" s="267">
        <f>SUM(C8:C10)</f>
        <v>3449132.3995326911</v>
      </c>
      <c r="E11" s="237"/>
      <c r="G11" s="267">
        <f t="shared" ref="G11:Q11" si="7">IF(G$4="","",SUM(G8:G10))</f>
        <v>3629953.2671314152</v>
      </c>
      <c r="H11" s="267">
        <f t="shared" si="7"/>
        <v>3327430.6557947327</v>
      </c>
      <c r="I11" s="267">
        <f t="shared" si="7"/>
        <v>4240843.3669415209</v>
      </c>
      <c r="J11" s="267">
        <f t="shared" si="7"/>
        <v>4800480.7956509329</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x14ac:dyDescent="0.15">
      <c r="A12" s="10"/>
      <c r="B12" s="2" t="s">
        <v>60</v>
      </c>
      <c r="C12" s="266">
        <f>-C11*C41</f>
        <v>-862283.09988317278</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x14ac:dyDescent="0.15">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x14ac:dyDescent="0.15">
      <c r="A14" s="10"/>
      <c r="B14" s="39" t="s">
        <v>129</v>
      </c>
      <c r="C14" s="269">
        <f>SUM(C11:C13)</f>
        <v>2586849.2996495184</v>
      </c>
      <c r="D14" s="58"/>
      <c r="E14" s="243"/>
      <c r="F14" s="58"/>
      <c r="G14" s="267">
        <f t="shared" ref="G14:Q14" si="8">IF(G$4="","",SUM(G11:G13))</f>
        <v>2533262.2671314152</v>
      </c>
      <c r="H14" s="267">
        <f t="shared" si="8"/>
        <v>2258171.6557947327</v>
      </c>
      <c r="I14" s="267">
        <f t="shared" si="8"/>
        <v>2889514.3669415209</v>
      </c>
      <c r="J14" s="267">
        <f t="shared" si="8"/>
        <v>3483124.7956509329</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x14ac:dyDescent="0.15">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x14ac:dyDescent="0.15">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2586849.2996495184</v>
      </c>
      <c r="D19" s="26"/>
      <c r="E19" s="234"/>
      <c r="F19" s="26"/>
      <c r="G19" s="271">
        <f t="shared" ref="G19:Q19" si="9">IF(G$4="","",G14+G17)</f>
        <v>2533262.2671314152</v>
      </c>
      <c r="H19" s="271">
        <f t="shared" si="9"/>
        <v>2258171.6557947327</v>
      </c>
      <c r="I19" s="271">
        <f t="shared" si="9"/>
        <v>2889514.3669415209</v>
      </c>
      <c r="J19" s="271">
        <f t="shared" si="9"/>
        <v>3483124.7956509329</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x14ac:dyDescent="0.2">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x14ac:dyDescent="0.15">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x14ac:dyDescent="0.15">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x14ac:dyDescent="0.2">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x14ac:dyDescent="0.15">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0.30212262232969855</v>
      </c>
      <c r="H41" s="6">
        <f t="shared" si="16"/>
        <v>0.32133111418504606</v>
      </c>
      <c r="I41" s="6">
        <f t="shared" si="16"/>
        <v>0.31864628873916018</v>
      </c>
      <c r="J41" s="6">
        <f t="shared" si="16"/>
        <v>0.27442022082318751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x14ac:dyDescent="0.15">
      <c r="A46" s="10"/>
      <c r="B46" s="2" t="s">
        <v>272</v>
      </c>
      <c r="C46" s="266">
        <f>BS!D75*C51</f>
        <v>26482.179532691047</v>
      </c>
      <c r="E46" s="237"/>
      <c r="G46" s="274">
        <f t="shared" ref="G46:Q46" si="17">IFERROR(IF(G$4="","",($C$46/$C$47)*G47),0)</f>
        <v>98786.267131415108</v>
      </c>
      <c r="H46" s="274">
        <f t="shared" si="17"/>
        <v>115122.65579473284</v>
      </c>
      <c r="I46" s="274">
        <f t="shared" si="17"/>
        <v>102977.3669415211</v>
      </c>
      <c r="J46" s="274">
        <f t="shared" si="17"/>
        <v>33370.795650932865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x14ac:dyDescent="0.15">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x14ac:dyDescent="0.15">
      <c r="A48" s="10"/>
      <c r="B48" s="67" t="s">
        <v>65</v>
      </c>
      <c r="C48" s="267">
        <f>C45+C46</f>
        <v>-80156.600467308948</v>
      </c>
      <c r="E48" s="237"/>
      <c r="G48" s="267">
        <f>IF(G$4="","",(G45+G46))</f>
        <v>-155634.73286858489</v>
      </c>
      <c r="H48" s="267">
        <f t="shared" ref="H48:Q48" si="18">IF(H$4="","",(H45+H46))</f>
        <v>-66323.34420526716</v>
      </c>
      <c r="I48" s="267">
        <f t="shared" si="18"/>
        <v>-17583.633058478896</v>
      </c>
      <c r="J48" s="267">
        <f t="shared" si="18"/>
        <v>-79087.204349067135</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x14ac:dyDescent="0.15">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x14ac:dyDescent="0.15">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x14ac:dyDescent="0.15">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x14ac:dyDescent="0.15">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x14ac:dyDescent="0.15">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x14ac:dyDescent="0.15">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x14ac:dyDescent="0.15">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x14ac:dyDescent="0.15">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x14ac:dyDescent="0.15">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x14ac:dyDescent="0.15">
      <c r="A76" s="10"/>
      <c r="B76" s="2" t="s">
        <v>65</v>
      </c>
      <c r="C76" s="74">
        <f t="shared" si="22"/>
        <v>2.7952851996137958E-3</v>
      </c>
      <c r="D76" s="26"/>
      <c r="E76" s="234"/>
      <c r="F76" s="26"/>
      <c r="G76" s="6">
        <f t="shared" ref="G76:Q76" si="28">IF(G$4="","",ABS(G10/G$4))</f>
        <v>5.4274191120521655E-3</v>
      </c>
      <c r="H76" s="6">
        <f t="shared" si="28"/>
        <v>2.403151107256812E-3</v>
      </c>
      <c r="I76" s="6">
        <f t="shared" si="28"/>
        <v>6.8144681100454525E-4</v>
      </c>
      <c r="J76" s="6">
        <f t="shared" si="28"/>
        <v>3.5037311625292604E-3</v>
      </c>
      <c r="K76" s="6">
        <f t="shared" si="28"/>
        <v>0</v>
      </c>
      <c r="L76" s="6">
        <f t="shared" si="28"/>
        <v>0</v>
      </c>
      <c r="M76" s="6">
        <f t="shared" si="28"/>
        <v>0</v>
      </c>
      <c r="N76" s="6">
        <f t="shared" si="28"/>
        <v>0</v>
      </c>
      <c r="O76" s="6">
        <f t="shared" si="28"/>
        <v>0</v>
      </c>
      <c r="P76" s="6">
        <f t="shared" si="28"/>
        <v>0</v>
      </c>
      <c r="Q76" s="6" t="str">
        <f t="shared" si="28"/>
        <v/>
      </c>
    </row>
    <row r="77" spans="1:17" ht="15.75" customHeight="1" x14ac:dyDescent="0.15">
      <c r="A77" s="10"/>
      <c r="B77" s="67" t="s">
        <v>137</v>
      </c>
      <c r="C77" s="75">
        <f>C11/C4</f>
        <v>0.12028090876751016</v>
      </c>
      <c r="D77" s="26"/>
      <c r="E77" s="234"/>
      <c r="F77" s="26"/>
      <c r="G77" s="62">
        <f t="shared" ref="G77:Q77" si="29">IF(G$4="","",G11/G$4)</f>
        <v>0.12658663895109223</v>
      </c>
      <c r="H77" s="62">
        <f t="shared" si="29"/>
        <v>0.12056567352884376</v>
      </c>
      <c r="I77" s="62">
        <f t="shared" si="29"/>
        <v>0.16435222338642655</v>
      </c>
      <c r="J77" s="62">
        <f t="shared" si="29"/>
        <v>0.21267149720716896</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x14ac:dyDescent="0.15">
      <c r="A78" s="10"/>
      <c r="B78" s="2" t="s">
        <v>60</v>
      </c>
      <c r="C78" s="74">
        <f>ABS(C12/C$4)</f>
        <v>3.007022719187754E-2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x14ac:dyDescent="0.15">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x14ac:dyDescent="0.15">
      <c r="A80" s="10"/>
      <c r="B80" s="39" t="s">
        <v>129</v>
      </c>
      <c r="C80" s="75">
        <f>ABS(C14/C$4)</f>
        <v>9.0210681575632612E-2</v>
      </c>
      <c r="D80" s="26"/>
      <c r="E80" s="234"/>
      <c r="F80" s="26"/>
      <c r="G80" s="62">
        <f t="shared" ref="G80:Q80" si="32">IF(G$4="","",ABS(G14/G$4))</f>
        <v>8.8341951639285474E-2</v>
      </c>
      <c r="H80" s="62">
        <f t="shared" si="32"/>
        <v>8.182228716036441E-2</v>
      </c>
      <c r="I80" s="62">
        <f t="shared" si="32"/>
        <v>0.11198199735831231</v>
      </c>
      <c r="J80" s="62">
        <f t="shared" si="32"/>
        <v>0.15430982786590922</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x14ac:dyDescent="0.15">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9.0210681575632612E-2</v>
      </c>
      <c r="D85" s="72"/>
      <c r="E85" s="234"/>
      <c r="F85" s="72"/>
      <c r="G85" s="62">
        <f t="shared" ref="G85:Q85" si="35">IF(G$4="","",ABS(G19/G$4))</f>
        <v>8.8341951639285474E-2</v>
      </c>
      <c r="H85" s="62">
        <f t="shared" si="35"/>
        <v>8.182228716036441E-2</v>
      </c>
      <c r="I85" s="62">
        <f t="shared" si="35"/>
        <v>0.11198199735831231</v>
      </c>
      <c r="J85" s="62">
        <f t="shared" si="35"/>
        <v>0.15430982786590922</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0.51679814505085875</v>
      </c>
      <c r="E88" s="237"/>
      <c r="G88" s="109">
        <f>Data!C65</f>
        <v>0.51679814505085875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1335825.5326910459</v>
      </c>
      <c r="E89" s="237"/>
      <c r="G89" s="71">
        <f t="shared" ref="G89:Q89" si="36">IF(G$4="","",G88*Common_Shares/scaling_factor)</f>
        <v>1335825.5326910459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0.51639093660076429</v>
      </c>
      <c r="E90" s="237"/>
      <c r="G90" s="152">
        <f t="shared" ref="G90:Q90" si="37">IF(G$4="","",G88/(G19*scaling_factor/Common_Shares))</f>
        <v>0.52731434483634887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x14ac:dyDescent="0.15">
      <c r="A91" s="10"/>
      <c r="B91" s="2" t="s">
        <v>331</v>
      </c>
      <c r="C91" s="292">
        <v>0</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2.3533613162607409E-2</v>
      </c>
      <c r="E92" s="237"/>
      <c r="G92" s="22">
        <f t="shared" ref="G92:Q92" si="38">IF(G$4="","",(G88*(1-dividend_tax_rate))/Market_Price)</f>
        <v>2.3533613162607409E-2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x14ac:dyDescent="0.15">
      <c r="A96" s="10"/>
      <c r="B96" s="67" t="s">
        <v>137</v>
      </c>
      <c r="C96" s="74">
        <f>C11/G11-1</f>
        <v>-4.9813552487307455E-2</v>
      </c>
      <c r="D96" s="26"/>
      <c r="E96" s="234"/>
      <c r="F96" s="26"/>
      <c r="G96" s="6">
        <f t="shared" ref="G96:Q96" si="40">IF(H5="","",G11/H11-1)</f>
        <v>9.0917780903965184E-2</v>
      </c>
      <c r="H96" s="6">
        <f t="shared" si="40"/>
        <v>-0.21538468462831672</v>
      </c>
      <c r="I96" s="6">
        <f t="shared" si="40"/>
        <v>-0.11657945371147482</v>
      </c>
      <c r="J96" s="6">
        <f t="shared" si="40"/>
        <v>1.4642429477868606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x14ac:dyDescent="0.15">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x14ac:dyDescent="0.15">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x14ac:dyDescent="0.15">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x14ac:dyDescent="0.15">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x14ac:dyDescent="0.15">
      <c r="A113" s="10"/>
      <c r="B113" s="2" t="s">
        <v>304</v>
      </c>
      <c r="C113" s="151"/>
      <c r="E113" s="459">
        <f>(Normalized_FCF!E117/Normalized_FCF!C117)^(1/DCF!C15)-1</f>
        <v>3.5022003763090392E-2</v>
      </c>
      <c r="G113" s="251">
        <f>IF(G$4="","",Data!C$22/G19)</f>
        <v>2.0795063615601239</v>
      </c>
      <c r="H113" s="251">
        <f>IF(H$4="","",Data!D$22/H19)</f>
        <v>2.0759874423054634</v>
      </c>
      <c r="I113" s="251">
        <f>IF(I$4="","",Data!E$22/I19)</f>
        <v>1.3544158301391152</v>
      </c>
      <c r="J113" s="251">
        <f>IF(J$4="","",Data!F$22/J19)</f>
        <v>1.8734140700751243</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0.12028090876751016</v>
      </c>
      <c r="E116" s="22">
        <f>E119/E117/E118</f>
        <v>0.13430424833028851</v>
      </c>
      <c r="G116" s="22">
        <f t="shared" ref="G116:Q116" si="44">IF(G4="","",G77)</f>
        <v>0.12658663895109223</v>
      </c>
      <c r="H116" s="22">
        <f t="shared" si="44"/>
        <v>0.12056567352884376</v>
      </c>
      <c r="I116" s="22">
        <f t="shared" si="44"/>
        <v>0.16435222338642655</v>
      </c>
      <c r="J116" s="22">
        <f t="shared" si="44"/>
        <v>0.21267149720716896</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x14ac:dyDescent="0.15">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x14ac:dyDescent="0.15">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x14ac:dyDescent="0.15">
      <c r="A119" s="10"/>
      <c r="B119" s="67" t="s">
        <v>191</v>
      </c>
      <c r="C119" s="62">
        <f>C11/C104</f>
        <v>0.12695245956559967</v>
      </c>
      <c r="D119" s="100"/>
      <c r="E119" s="453">
        <v>0.2</v>
      </c>
      <c r="F119" s="100"/>
      <c r="G119" s="99">
        <f t="shared" ref="G119:Q119" si="47">IF(G$4="","",G11/G104)</f>
        <v>0.13360794599620288</v>
      </c>
      <c r="H119" s="99">
        <f t="shared" si="47"/>
        <v>0.13633300280012856</v>
      </c>
      <c r="I119" s="99">
        <f t="shared" si="47"/>
        <v>0.17429130017734398</v>
      </c>
      <c r="J119" s="99">
        <f t="shared" si="47"/>
        <v>0.22746666303629587</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1.1324753370954777</v>
      </c>
      <c r="D123" s="26"/>
      <c r="E123" s="234"/>
      <c r="F123" s="26"/>
      <c r="G123" s="159">
        <f t="shared" ref="G123:Q123" si="48">IF(G$4="","",G14*$C$3/Common_Shares*Exchange_Rate)</f>
        <v>1.1090159138027844</v>
      </c>
      <c r="H123" s="159">
        <f t="shared" si="48"/>
        <v>0.98858627267621424</v>
      </c>
      <c r="I123" s="159">
        <f t="shared" si="48"/>
        <v>1.2649765709922398</v>
      </c>
      <c r="J123" s="159">
        <f t="shared" si="48"/>
        <v>1.5248483657841367</v>
      </c>
      <c r="K123" s="159">
        <f t="shared" si="48"/>
        <v>0.61231391014980452</v>
      </c>
      <c r="L123" s="159">
        <f t="shared" si="48"/>
        <v>0.60334638938691865</v>
      </c>
      <c r="M123" s="159">
        <f t="shared" si="48"/>
        <v>0.25961769371285848</v>
      </c>
      <c r="N123" s="159">
        <f t="shared" si="48"/>
        <v>0.19852481683424675</v>
      </c>
      <c r="O123" s="159">
        <f t="shared" si="48"/>
        <v>0.10131319688684309</v>
      </c>
      <c r="P123" s="159">
        <f t="shared" si="48"/>
        <v>5.2678274428727481E-3</v>
      </c>
      <c r="Q123" s="159" t="str">
        <f t="shared" si="48"/>
        <v/>
      </c>
    </row>
    <row r="124" spans="1:17" ht="15.75" customHeight="1" x14ac:dyDescent="0.15">
      <c r="A124" s="10"/>
      <c r="B124" s="26" t="s">
        <v>226</v>
      </c>
      <c r="C124" s="74">
        <f>C19*Exchange_Rate*$C$3/(Market_Price*Common_Shares)</f>
        <v>5.1569915168282222E-2</v>
      </c>
      <c r="D124" s="26"/>
      <c r="E124" s="234"/>
      <c r="F124" s="26"/>
      <c r="G124" s="74">
        <f t="shared" ref="G124" si="49">IF(G$4="","",G123/Market_Price)</f>
        <v>5.0501635419070323E-2</v>
      </c>
      <c r="H124" s="74">
        <f t="shared" ref="H124" si="50">IF(H$4="","",H123/Market_Price)</f>
        <v>4.5017589830428695E-2</v>
      </c>
      <c r="I124" s="74">
        <f t="shared" ref="I124" si="51">IF(I$4="","",I123/Market_Price)</f>
        <v>5.760366898871766E-2</v>
      </c>
      <c r="J124" s="74">
        <f t="shared" ref="J124" si="52">IF(J$4="","",J123/Market_Price)</f>
        <v>6.9437539425507136E-2</v>
      </c>
      <c r="K124" s="74">
        <f t="shared" ref="K124" si="53">IF(K$4="","",K123/Market_Price)</f>
        <v>2.7883147092431899E-2</v>
      </c>
      <c r="L124" s="74">
        <f t="shared" ref="L124" si="54">IF(L$4="","",L123/Market_Price)</f>
        <v>2.747479004494165E-2</v>
      </c>
      <c r="M124" s="74">
        <f t="shared" ref="M124" si="55">IF(M$4="","",M123/Market_Price)</f>
        <v>1.182229934940157E-2</v>
      </c>
      <c r="N124" s="74">
        <f t="shared" ref="N124" si="56">IF(N$4="","",N123/Market_Price)</f>
        <v>9.0402922055667911E-3</v>
      </c>
      <c r="O124" s="74">
        <f t="shared" ref="O124" si="57">IF(O$4="","",O123/Market_Price)</f>
        <v>4.6135335558671713E-3</v>
      </c>
      <c r="P124" s="74">
        <f t="shared" ref="P124" si="58">IF(P$4="","",P123/Market_Price)</f>
        <v>2.3988285258983369E-4</v>
      </c>
      <c r="Q124" s="74" t="str">
        <f t="shared" ref="Q124" si="59">IF(Q$4="","",Q123/Market_Price)</f>
        <v/>
      </c>
    </row>
    <row r="125" spans="1:17" ht="15.75" customHeight="1" x14ac:dyDescent="0.15">
      <c r="B125" s="2" t="s">
        <v>306</v>
      </c>
      <c r="C125" s="151"/>
      <c r="G125" s="22">
        <f>IF(G$4="","",(Data!C47*$C$3)/(Market_Price*Common_Shares))</f>
        <v>5.3079421651581721E-2</v>
      </c>
      <c r="H125" s="22">
        <f>IF(H$4="","",(Data!D47*$C$3)/(Market_Price*Common_Shares))</f>
        <v>5.614560362597594E-2</v>
      </c>
      <c r="I125" s="22">
        <f>IF(I$4="","",(Data!E47*$C$3)/(Market_Price*Common_Shares))</f>
        <v>7.159259375942853E-2</v>
      </c>
      <c r="J125" s="22">
        <f>IF(J$4="","",(Data!F47*$C$3)/(Market_Price*Common_Shares))</f>
        <v>7.0660939112604224E-2</v>
      </c>
      <c r="K125" s="22">
        <f>IF(K$4="","",(Data!G47*$C$3)/(Market_Price*Common_Shares))</f>
        <v>2.9922669121584169E-2</v>
      </c>
      <c r="L125" s="22">
        <f>IF(L$4="","",(Data!H47*$C$3)/(Market_Price*Common_Shares))</f>
        <v>2.6410822801356419E-2</v>
      </c>
      <c r="M125" s="22">
        <f>IF(M$4="","",(Data!I47*$C$3)/(Market_Price*Common_Shares))</f>
        <v>1.2600988931253786E-2</v>
      </c>
      <c r="N125" s="22">
        <f>IF(N$4="","",(Data!J47*$C$3)/(Market_Price*Common_Shares))</f>
        <v>9.0756301568514584E-3</v>
      </c>
      <c r="O125" s="22">
        <f>IF(O$4="","",(Data!K47*$C$3)/(Market_Price*Common_Shares))</f>
        <v>1.2347405795153546E-2</v>
      </c>
      <c r="P125" s="22">
        <f>IF(P$4="","",(Data!L47*$C$3)/(Market_Price*Common_Shares))</f>
        <v>1.08531256769872E-3</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2586849.2996495184</v>
      </c>
      <c r="D4" t="str">
        <f>Reporting_currency</f>
        <v>CNY</v>
      </c>
      <c r="E4" s="135" t="s">
        <v>431</v>
      </c>
      <c r="F4" s="275">
        <f>-BS!G31</f>
        <v>-1777313</v>
      </c>
      <c r="G4" t="str">
        <f>Reporting_currency</f>
        <v>CNY</v>
      </c>
      <c r="H4" s="308" t="s">
        <v>394</v>
      </c>
      <c r="I4" s="305">
        <f>Normalized_FCF!C4</f>
        <v>28675643</v>
      </c>
      <c r="J4" s="305"/>
    </row>
    <row r="5" spans="2:15" x14ac:dyDescent="0.15">
      <c r="B5" s="187" t="s">
        <v>105</v>
      </c>
      <c r="C5" s="188">
        <f>Equity_Cost</f>
        <v>7.2499999999999995E-2</v>
      </c>
      <c r="E5" s="135" t="s">
        <v>432</v>
      </c>
      <c r="F5" s="275">
        <f>BS!D66</f>
        <v>14777159.411218159</v>
      </c>
      <c r="G5" t="str">
        <f>Reporting_currency</f>
        <v>CNY</v>
      </c>
      <c r="H5" s="308" t="s">
        <v>395</v>
      </c>
      <c r="I5" s="305">
        <f>Normalized_FCF!C7</f>
        <v>-1427907</v>
      </c>
      <c r="J5" s="305"/>
    </row>
    <row r="6" spans="2:15" ht="13.25" customHeight="1" x14ac:dyDescent="0.15">
      <c r="B6" s="136" t="s">
        <v>194</v>
      </c>
      <c r="C6" s="283">
        <f>(C4*(1+Terminal_Growth))/(Equity_Cost-Terminal_Growth)</f>
        <v>50258786.393190652</v>
      </c>
      <c r="D6" t="str">
        <f>Reporting_currency</f>
        <v>CNY</v>
      </c>
      <c r="E6" s="187" t="s">
        <v>433</v>
      </c>
      <c r="F6" s="284">
        <f>BS!H42</f>
        <v>1668728.8</v>
      </c>
      <c r="G6" t="str">
        <f>Reporting_currency</f>
        <v>CNY</v>
      </c>
      <c r="H6" s="308" t="s">
        <v>416</v>
      </c>
      <c r="I6" s="305">
        <f>I7+I8</f>
        <v>-80156.600467308948</v>
      </c>
      <c r="J6" s="305"/>
      <c r="N6" s="135"/>
    </row>
    <row r="7" spans="2:15" ht="12.75" customHeight="1" x14ac:dyDescent="0.15">
      <c r="B7" s="318" t="s">
        <v>430</v>
      </c>
      <c r="C7" s="275">
        <f>F7</f>
        <v>14668575.21121816</v>
      </c>
      <c r="E7" s="140" t="s">
        <v>424</v>
      </c>
      <c r="F7" s="283">
        <f>SUM(F4:F6)</f>
        <v>14668575.21121816</v>
      </c>
      <c r="G7" t="str">
        <f>Reporting_currency</f>
        <v>CNY</v>
      </c>
      <c r="H7" s="312" t="s">
        <v>417</v>
      </c>
      <c r="I7" s="313">
        <f>Normalized_FCF!C9</f>
        <v>0</v>
      </c>
      <c r="J7" s="313"/>
      <c r="N7" s="304"/>
      <c r="O7" s="304"/>
    </row>
    <row r="8" spans="2:15" ht="14" x14ac:dyDescent="0.15">
      <c r="B8" s="136" t="s">
        <v>426</v>
      </c>
      <c r="C8" s="283">
        <f>C6+C7</f>
        <v>64927361.604408816</v>
      </c>
      <c r="D8" t="str">
        <f>Reporting_currency</f>
        <v>CNY</v>
      </c>
      <c r="E8" s="140" t="s">
        <v>464</v>
      </c>
      <c r="F8" s="108">
        <f>FV_adjustments*scaling_factor/Common_Shares*Exchange_Rate</f>
        <v>6.4216340933680662</v>
      </c>
      <c r="G8" s="294" t="str">
        <f>Market_currency</f>
        <v>HKD</v>
      </c>
      <c r="H8" s="314" t="str">
        <f>Normalized_FCF!B10</f>
        <v>Net Interest Income</v>
      </c>
      <c r="I8" s="313">
        <f>Normalized_FCF!C10</f>
        <v>-80156.600467308948</v>
      </c>
      <c r="J8" s="313"/>
      <c r="N8" s="304"/>
      <c r="O8" s="304"/>
    </row>
    <row r="9" spans="2:15" ht="14" thickBot="1" x14ac:dyDescent="0.2">
      <c r="B9" s="189" t="str">
        <f>"*"&amp;Thesis!E15</f>
        <v>*CNY/HKD</v>
      </c>
      <c r="C9" s="190">
        <f>Exchange_Rate</f>
        <v>1.1315830089569092</v>
      </c>
      <c r="D9" t="str">
        <f>Thesis!E15</f>
        <v>CNY/HKD</v>
      </c>
      <c r="F9" s="322"/>
      <c r="H9" s="308" t="str">
        <f>Normalized_FCF!B79</f>
        <v>NCI’s Share of Profits</v>
      </c>
      <c r="I9" s="144">
        <f>Normalized_FCF!C79</f>
        <v>0</v>
      </c>
      <c r="J9" s="306"/>
      <c r="N9" s="304"/>
      <c r="O9" s="304"/>
    </row>
    <row r="10" spans="2:15" ht="14" thickTop="1" x14ac:dyDescent="0.15">
      <c r="B10" s="107" t="s">
        <v>427</v>
      </c>
      <c r="C10" s="283">
        <f>C8*Exchange_Rate</f>
        <v>73470699.20795022</v>
      </c>
      <c r="D10" t="str">
        <f>Market_currency</f>
        <v>HKD</v>
      </c>
      <c r="H10" s="308" t="s">
        <v>397</v>
      </c>
      <c r="I10" s="306">
        <f>Normalized_FCF!C41</f>
        <v>0.25</v>
      </c>
      <c r="N10" s="304"/>
      <c r="O10" s="304"/>
    </row>
    <row r="11" spans="2:15" x14ac:dyDescent="0.15">
      <c r="B11" s="136" t="s">
        <v>425</v>
      </c>
      <c r="C11" s="108">
        <f>(C10*scaling_factor)/Common_Shares</f>
        <v>28.424012071223068</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II</v>
      </c>
      <c r="H14" s="106" t="s">
        <v>413</v>
      </c>
    </row>
    <row r="15" spans="2:15" x14ac:dyDescent="0.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x14ac:dyDescent="0.15">
      <c r="B16" s="114" t="s">
        <v>422</v>
      </c>
      <c r="C16" s="147">
        <f>Scenarios!C46</f>
        <v>4.1327327526691798E-2</v>
      </c>
      <c r="E16" s="308" t="s">
        <v>400</v>
      </c>
      <c r="F16" s="311">
        <f>Scenarios!C41</f>
        <v>2.0663663763345899E-2</v>
      </c>
    </row>
    <row r="17" spans="1:21" ht="13.25" customHeight="1" x14ac:dyDescent="0.15">
      <c r="B17" s="308" t="s">
        <v>549</v>
      </c>
      <c r="C17" s="306">
        <f>Normalized_FCF!C77</f>
        <v>0.12028090876751016</v>
      </c>
      <c r="E17" s="308" t="s">
        <v>550</v>
      </c>
      <c r="F17" s="311">
        <f>Scenarios!C40</f>
        <v>0.13430424833028851</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28.066524724847707</v>
      </c>
      <c r="J18" t="str">
        <f>Market_currency</f>
        <v>HKD</v>
      </c>
    </row>
    <row r="19" spans="1:21" x14ac:dyDescent="0.15">
      <c r="L19" s="275"/>
    </row>
    <row r="20" spans="1:21" ht="14" x14ac:dyDescent="0.2">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x14ac:dyDescent="0.15">
      <c r="A21" s="302" t="str">
        <f t="shared" ref="A21:A50" si="0">IF($C$15&lt;B21,"",IF(B21&gt;=$F$15,"II","I"))</f>
        <v>I</v>
      </c>
      <c r="B21" s="117">
        <v>1</v>
      </c>
      <c r="C21" s="277">
        <f>I4*(1+D21)</f>
        <v>29860730.690299489</v>
      </c>
      <c r="D21" s="299">
        <f t="shared" ref="D21:D50" si="1">IF(A21="",0,IF(A21="I",$C$16,$F$16))</f>
        <v>4.1327327526691798E-2</v>
      </c>
      <c r="E21" s="299">
        <f>$C$17</f>
        <v>0.12028090876751016</v>
      </c>
      <c r="F21" s="277">
        <f>C21*E21</f>
        <v>3591675.8238911033</v>
      </c>
      <c r="G21" s="299">
        <f t="shared" ref="G21:G50" si="2">IF(A21="",0%,IF(A21="I",$C$18,$F$18))</f>
        <v>0</v>
      </c>
      <c r="H21" s="277">
        <f>(F21*(1-$I$10)+C21*(G21-$I$9))</f>
        <v>2693756.8679183275</v>
      </c>
      <c r="I21" s="299">
        <f>H21/C4-1</f>
        <v>4.1327327526691882E-2</v>
      </c>
      <c r="J21" s="299">
        <f>H21/C21</f>
        <v>9.0210681575632612E-2</v>
      </c>
      <c r="K21" s="119">
        <f t="shared" ref="K21:K50" si="3">IF($C$15&lt;B21,0,1/(1+Equity_Cost)^B21)</f>
        <v>0.93240093240093236</v>
      </c>
      <c r="L21" s="277">
        <f t="shared" ref="L21:L51" si="4">H21*K21</f>
        <v>2511661.4153084639</v>
      </c>
    </row>
    <row r="22" spans="1:21" x14ac:dyDescent="0.15">
      <c r="A22" s="302" t="str">
        <f t="shared" si="0"/>
        <v>I</v>
      </c>
      <c r="B22" s="117">
        <v>2</v>
      </c>
      <c r="C22" s="277">
        <f t="shared" ref="C22:C50" si="5">IF(A22="",0,C21*(1+D22))</f>
        <v>31094794.887723837</v>
      </c>
      <c r="D22" s="299">
        <f t="shared" si="1"/>
        <v>4.1327327526691798E-2</v>
      </c>
      <c r="E22" s="299">
        <f t="shared" ref="E22:E50" si="6">IF($C$15&lt;B22,0,IF(B22&gt;=$F$15,$F$17,$C$17))</f>
        <v>0.12028090876751016</v>
      </c>
      <c r="F22" s="277">
        <f t="shared" ref="F22:F50" si="7">IF(A22="", 0,C22*E22)</f>
        <v>3740110.1870347522</v>
      </c>
      <c r="G22" s="299">
        <f t="shared" si="2"/>
        <v>0</v>
      </c>
      <c r="H22" s="277">
        <f t="shared" ref="H22:H50" si="8">IF(A22="", 0,F22*(1-$I$10)+C22*(G22-$I$9))</f>
        <v>2805082.6402760642</v>
      </c>
      <c r="I22" s="299">
        <f t="shared" ref="I22:I50" si="9">IF(A22="", 0,H22/H21-1)</f>
        <v>4.1327327526692104E-2</v>
      </c>
      <c r="J22" s="299">
        <f>IF(A22="", 0,H22/C22)</f>
        <v>9.0210681575632626E-2</v>
      </c>
      <c r="K22" s="119">
        <f t="shared" si="3"/>
        <v>0.86937149874212816</v>
      </c>
      <c r="L22" s="277">
        <f t="shared" si="4"/>
        <v>2438658.8990723277</v>
      </c>
    </row>
    <row r="23" spans="1:21" x14ac:dyDescent="0.15">
      <c r="A23" s="302" t="str">
        <f t="shared" si="0"/>
        <v>I</v>
      </c>
      <c r="B23" s="117">
        <v>3</v>
      </c>
      <c r="C23" s="277">
        <f t="shared" si="5"/>
        <v>32379859.660424106</v>
      </c>
      <c r="D23" s="299">
        <f t="shared" si="1"/>
        <v>4.1327327526691798E-2</v>
      </c>
      <c r="E23" s="299">
        <f t="shared" si="6"/>
        <v>0.12028090876751016</v>
      </c>
      <c r="F23" s="277">
        <f t="shared" si="7"/>
        <v>3894678.9457202544</v>
      </c>
      <c r="G23" s="299">
        <f t="shared" si="2"/>
        <v>0</v>
      </c>
      <c r="H23" s="277">
        <f t="shared" si="8"/>
        <v>2921009.2092901906</v>
      </c>
      <c r="I23" s="299">
        <f t="shared" si="9"/>
        <v>4.1327327526691882E-2</v>
      </c>
      <c r="J23" s="299">
        <f t="shared" ref="J23:J50" si="10">IF(A23="", 0,H23/C23)</f>
        <v>9.0210681575632612E-2</v>
      </c>
      <c r="K23" s="119">
        <f t="shared" si="3"/>
        <v>0.81060279602995633</v>
      </c>
      <c r="L23" s="277">
        <f t="shared" si="4"/>
        <v>2367778.2322798804</v>
      </c>
      <c r="N23" s="275"/>
      <c r="O23" s="275"/>
      <c r="P23" s="275"/>
      <c r="Q23" s="275"/>
      <c r="R23" s="275"/>
      <c r="S23" s="275"/>
      <c r="T23" s="275"/>
      <c r="U23" s="275"/>
    </row>
    <row r="24" spans="1:21" x14ac:dyDescent="0.15">
      <c r="A24" s="302" t="str">
        <f t="shared" si="0"/>
        <v>I</v>
      </c>
      <c r="B24" s="117">
        <v>4</v>
      </c>
      <c r="C24" s="277">
        <f t="shared" si="5"/>
        <v>33718032.725878768</v>
      </c>
      <c r="D24" s="299">
        <f t="shared" si="1"/>
        <v>4.1327327526691798E-2</v>
      </c>
      <c r="E24" s="299">
        <f t="shared" si="6"/>
        <v>0.12028090876751016</v>
      </c>
      <c r="F24" s="277">
        <f t="shared" si="7"/>
        <v>4055635.618121346</v>
      </c>
      <c r="G24" s="299">
        <f t="shared" si="2"/>
        <v>0</v>
      </c>
      <c r="H24" s="277">
        <f t="shared" si="8"/>
        <v>3041726.7135910094</v>
      </c>
      <c r="I24" s="299">
        <f t="shared" si="9"/>
        <v>4.1327327526691882E-2</v>
      </c>
      <c r="J24" s="299">
        <f t="shared" si="10"/>
        <v>9.0210681575632612E-2</v>
      </c>
      <c r="K24" s="119">
        <f t="shared" si="3"/>
        <v>0.75580680282513402</v>
      </c>
      <c r="L24" s="277">
        <f t="shared" si="4"/>
        <v>2298957.742467023</v>
      </c>
      <c r="N24" s="275"/>
      <c r="O24" s="275"/>
      <c r="P24" s="275"/>
      <c r="Q24" s="275"/>
      <c r="R24" s="275"/>
      <c r="S24" s="275"/>
      <c r="T24" s="275"/>
      <c r="U24" s="275"/>
    </row>
    <row r="25" spans="1:21" x14ac:dyDescent="0.15">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0.13966104483575292</v>
      </c>
      <c r="J25" s="299">
        <f t="shared" si="10"/>
        <v>0.10072818624771639</v>
      </c>
      <c r="K25" s="119">
        <f t="shared" si="3"/>
        <v>0.70471496766912267</v>
      </c>
      <c r="L25" s="277">
        <f t="shared" si="4"/>
        <v>2442920.8231358617</v>
      </c>
      <c r="N25" s="275"/>
      <c r="O25" s="275"/>
      <c r="P25" s="275"/>
      <c r="Q25" s="275"/>
      <c r="R25" s="275"/>
      <c r="S25" s="275"/>
      <c r="T25" s="275"/>
      <c r="U25" s="275"/>
    </row>
    <row r="26" spans="1:21" x14ac:dyDescent="0.15">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x14ac:dyDescent="0.15">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x14ac:dyDescent="0.15">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x14ac:dyDescent="0.15">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x14ac:dyDescent="0.15">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x14ac:dyDescent="0.15">
      <c r="G52" s="111"/>
      <c r="H52" s="111"/>
      <c r="I52" s="111"/>
      <c r="J52" s="468" t="s">
        <v>420</v>
      </c>
      <c r="K52" s="468"/>
      <c r="L52" s="317">
        <f>SUM(L21:L51)</f>
        <v>49442198.286312796</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49442198.286312796</v>
      </c>
      <c r="B55" s="123">
        <f>C94</f>
        <v>-0.05</v>
      </c>
      <c r="C55" s="123">
        <f>C93</f>
        <v>0.02</v>
      </c>
      <c r="D55" s="123">
        <f>C92</f>
        <v>0.04</v>
      </c>
      <c r="E55" s="123">
        <f>C91</f>
        <v>0.06</v>
      </c>
      <c r="F55" s="123">
        <f>C90</f>
        <v>0.1</v>
      </c>
      <c r="G55" s="123"/>
      <c r="H55" s="123"/>
      <c r="I55" s="123"/>
      <c r="J55" s="123"/>
      <c r="K55" s="123"/>
      <c r="L55" s="123"/>
    </row>
    <row r="56" spans="1:21" x14ac:dyDescent="0.15">
      <c r="A56" s="131">
        <v>1</v>
      </c>
      <c r="B56" s="118">
        <f t="dataTable" ref="B56:F69" dt2D="1" dtr="1" r1="C16" r2="C15"/>
        <v>39294808.693155549</v>
      </c>
      <c r="C56" s="118">
        <v>40705391.569320105</v>
      </c>
      <c r="D56" s="118">
        <v>41108415.248224266</v>
      </c>
      <c r="E56" s="118">
        <v>41511438.927128427</v>
      </c>
      <c r="F56" s="118">
        <v>42317486.284936756</v>
      </c>
      <c r="G56" s="295"/>
      <c r="H56" s="295"/>
      <c r="I56" s="295"/>
      <c r="J56" s="295"/>
      <c r="K56" s="295"/>
      <c r="L56" s="295"/>
    </row>
    <row r="57" spans="1:21" x14ac:dyDescent="0.15">
      <c r="A57" s="131">
        <v>2</v>
      </c>
      <c r="B57" s="118">
        <v>38323487.604390979</v>
      </c>
      <c r="C57" s="118">
        <v>41036852.360787086</v>
      </c>
      <c r="D57" s="118">
        <v>41829127.508089453</v>
      </c>
      <c r="E57" s="118">
        <v>42628970.688301325</v>
      </c>
      <c r="F57" s="118">
        <v>44251361.147453494</v>
      </c>
      <c r="G57" s="295"/>
      <c r="H57" s="295"/>
      <c r="I57" s="295"/>
      <c r="J57" s="295"/>
      <c r="K57" s="295"/>
      <c r="L57" s="295"/>
    </row>
    <row r="58" spans="1:21" x14ac:dyDescent="0.15">
      <c r="A58" s="131">
        <v>3</v>
      </c>
      <c r="B58" s="118">
        <v>36480456.421689712</v>
      </c>
      <c r="C58" s="118">
        <v>41758393.267744295</v>
      </c>
      <c r="D58" s="118">
        <v>43348178.973251052</v>
      </c>
      <c r="E58" s="118">
        <v>44975098.1092574</v>
      </c>
      <c r="F58" s="118">
        <v>48342030.218594804</v>
      </c>
      <c r="G58" s="295"/>
      <c r="H58" s="295"/>
      <c r="I58" s="295"/>
      <c r="J58" s="295"/>
      <c r="K58" s="295"/>
      <c r="L58" s="295"/>
    </row>
    <row r="59" spans="1:21" x14ac:dyDescent="0.15">
      <c r="A59" s="131">
        <v>4</v>
      </c>
      <c r="B59" s="118">
        <v>35698294.917704679</v>
      </c>
      <c r="C59" s="118">
        <v>42055258.34226077</v>
      </c>
      <c r="D59" s="118">
        <v>44012840.925981142</v>
      </c>
      <c r="E59" s="118">
        <v>46035836.685421228</v>
      </c>
      <c r="F59" s="118">
        <v>50283880.537779614</v>
      </c>
      <c r="G59" s="295"/>
      <c r="H59" s="295"/>
      <c r="I59" s="295"/>
      <c r="J59" s="295"/>
      <c r="K59" s="295"/>
      <c r="L59" s="295"/>
    </row>
    <row r="60" spans="1:21" x14ac:dyDescent="0.15">
      <c r="A60" s="131">
        <v>5</v>
      </c>
      <c r="B60" s="118">
        <v>33912248.957096964</v>
      </c>
      <c r="C60" s="118">
        <v>42456829.645453148</v>
      </c>
      <c r="D60" s="118">
        <v>45187578.40061155</v>
      </c>
      <c r="E60" s="118">
        <v>48055988.013216786</v>
      </c>
      <c r="F60" s="118">
        <v>54226389.576850384</v>
      </c>
      <c r="G60" s="295"/>
      <c r="H60" s="295"/>
      <c r="I60" s="295"/>
      <c r="J60" s="295"/>
      <c r="K60" s="295"/>
      <c r="L60" s="295"/>
    </row>
    <row r="61" spans="1:21" x14ac:dyDescent="0.15">
      <c r="A61" s="131">
        <v>6</v>
      </c>
      <c r="B61" s="118">
        <v>33282409.220893711</v>
      </c>
      <c r="C61" s="118">
        <v>42722709.878459364</v>
      </c>
      <c r="D61" s="118">
        <v>45800549.118619896</v>
      </c>
      <c r="E61" s="118">
        <v>49062819.645260245</v>
      </c>
      <c r="F61" s="118">
        <v>56176248.244132958</v>
      </c>
      <c r="G61" s="295"/>
      <c r="H61" s="295"/>
      <c r="I61" s="295"/>
      <c r="J61" s="295"/>
      <c r="K61" s="295"/>
      <c r="L61" s="295"/>
    </row>
    <row r="62" spans="1:21" x14ac:dyDescent="0.15">
      <c r="A62" s="131">
        <v>7</v>
      </c>
      <c r="B62" s="118">
        <v>31772303.584630363</v>
      </c>
      <c r="C62" s="118">
        <v>43091608.728830829</v>
      </c>
      <c r="D62" s="118">
        <v>46921113.617715798</v>
      </c>
      <c r="E62" s="118">
        <v>51047691.451379344</v>
      </c>
      <c r="F62" s="118">
        <v>60269843.634648725</v>
      </c>
      <c r="G62" s="295"/>
      <c r="H62" s="295"/>
      <c r="I62" s="295"/>
      <c r="J62" s="295"/>
      <c r="K62" s="295"/>
      <c r="L62" s="295"/>
    </row>
    <row r="63" spans="1:21" x14ac:dyDescent="0.15">
      <c r="A63" s="131">
        <v>8</v>
      </c>
      <c r="B63" s="118">
        <v>31265121.76696299</v>
      </c>
      <c r="C63" s="118">
        <v>43329738.116124317</v>
      </c>
      <c r="D63" s="118">
        <v>47486413.165241197</v>
      </c>
      <c r="E63" s="118">
        <v>52003355.700858571</v>
      </c>
      <c r="F63" s="118">
        <v>62227743.677105695</v>
      </c>
      <c r="G63" s="295"/>
      <c r="H63" s="295"/>
      <c r="I63" s="295"/>
      <c r="J63" s="295"/>
      <c r="K63" s="295"/>
      <c r="L63" s="295"/>
    </row>
    <row r="64" spans="1:21" x14ac:dyDescent="0.15">
      <c r="A64" s="131">
        <v>9</v>
      </c>
      <c r="B64" s="118">
        <v>29985428.916812945</v>
      </c>
      <c r="C64" s="118">
        <v>43668922.297519177</v>
      </c>
      <c r="D64" s="118">
        <v>48555890.875045523</v>
      </c>
      <c r="E64" s="118">
        <v>53953955.524977699</v>
      </c>
      <c r="F64" s="118">
        <v>66476505.617184818</v>
      </c>
      <c r="G64" s="295"/>
      <c r="H64" s="295"/>
      <c r="I64" s="295"/>
      <c r="J64" s="295"/>
      <c r="K64" s="295"/>
      <c r="L64" s="295"/>
    </row>
    <row r="65" spans="1:21" x14ac:dyDescent="0.15">
      <c r="A65" s="131">
        <v>10</v>
      </c>
      <c r="B65" s="118">
        <v>29577018.044353522</v>
      </c>
      <c r="C65" s="118">
        <v>43882197.291495301</v>
      </c>
      <c r="D65" s="118">
        <v>49077226.673060045</v>
      </c>
      <c r="E65" s="118">
        <v>54861052.72838904</v>
      </c>
      <c r="F65" s="118">
        <v>68442480.198099107</v>
      </c>
      <c r="G65" s="295"/>
      <c r="H65" s="295"/>
      <c r="I65" s="295"/>
      <c r="J65" s="295"/>
      <c r="K65" s="295"/>
      <c r="L65" s="295"/>
    </row>
    <row r="66" spans="1:21" x14ac:dyDescent="0.15">
      <c r="A66" s="131">
        <v>15</v>
      </c>
      <c r="B66" s="118">
        <v>26182010.478312764</v>
      </c>
      <c r="C66" s="277">
        <v>45109003.705331609</v>
      </c>
      <c r="D66" s="118">
        <v>52931192.45735915</v>
      </c>
      <c r="E66" s="118">
        <v>62194917.620171957</v>
      </c>
      <c r="F66" s="118">
        <v>86118471.79048197</v>
      </c>
      <c r="G66" s="295"/>
      <c r="H66" s="295"/>
      <c r="I66" s="295"/>
      <c r="J66" s="295"/>
      <c r="K66" s="295"/>
      <c r="L66" s="295"/>
      <c r="M66" s="275"/>
      <c r="N66" s="275"/>
      <c r="O66" s="275"/>
      <c r="P66" s="275"/>
      <c r="Q66" s="275"/>
      <c r="R66" s="275"/>
      <c r="S66" s="275"/>
      <c r="T66" s="275"/>
      <c r="U66" s="275"/>
    </row>
    <row r="67" spans="1:21" x14ac:dyDescent="0.15">
      <c r="A67" s="132">
        <v>20</v>
      </c>
      <c r="B67" s="118">
        <v>24405939.653731942</v>
      </c>
      <c r="C67" s="277">
        <v>45992845.067441702</v>
      </c>
      <c r="D67" s="118">
        <v>55810734.242858961</v>
      </c>
      <c r="E67" s="118">
        <v>68021511.702893198</v>
      </c>
      <c r="F67" s="118">
        <v>102116292.93466768</v>
      </c>
      <c r="G67" s="295"/>
      <c r="H67" s="295"/>
      <c r="I67" s="295"/>
      <c r="J67" s="295"/>
      <c r="K67" s="295"/>
      <c r="L67" s="295"/>
      <c r="M67" s="275"/>
      <c r="N67" s="275"/>
      <c r="O67" s="275"/>
      <c r="P67" s="275"/>
      <c r="Q67" s="275"/>
      <c r="R67" s="275"/>
      <c r="S67" s="275"/>
      <c r="T67" s="275"/>
      <c r="U67" s="275"/>
    </row>
    <row r="68" spans="1:21" x14ac:dyDescent="0.15">
      <c r="A68" s="132">
        <v>25</v>
      </c>
      <c r="B68" s="118">
        <v>22913984.428185839</v>
      </c>
      <c r="C68" s="277">
        <v>46782474.275208429</v>
      </c>
      <c r="D68" s="118">
        <v>58777293.291078329</v>
      </c>
      <c r="E68" s="118">
        <v>74522083.596712977</v>
      </c>
      <c r="F68" s="118">
        <v>122535008.08935978</v>
      </c>
      <c r="G68" s="295"/>
      <c r="H68" s="295"/>
      <c r="I68" s="295"/>
      <c r="J68" s="295"/>
      <c r="K68" s="295"/>
      <c r="L68" s="295"/>
      <c r="M68" s="275"/>
      <c r="N68" s="275"/>
      <c r="O68" s="275"/>
      <c r="P68" s="275"/>
      <c r="Q68" s="275"/>
      <c r="R68" s="275"/>
      <c r="S68" s="275"/>
      <c r="T68" s="275"/>
      <c r="U68" s="275"/>
    </row>
    <row r="69" spans="1:21" x14ac:dyDescent="0.15">
      <c r="A69" s="132">
        <v>30</v>
      </c>
      <c r="B69" s="118">
        <v>22144559.200862546</v>
      </c>
      <c r="C69" s="277">
        <v>47340388.837811023</v>
      </c>
      <c r="D69" s="118">
        <v>60942382.260136902</v>
      </c>
      <c r="E69" s="118">
        <v>79561589.524751708</v>
      </c>
      <c r="F69" s="118">
        <v>140552162.23941278</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-0.05</v>
      </c>
      <c r="C72" s="124">
        <f>C55</f>
        <v>0.02</v>
      </c>
      <c r="D72" s="124">
        <f>D55</f>
        <v>0.04</v>
      </c>
      <c r="E72" s="124">
        <f>E55</f>
        <v>0.06</v>
      </c>
      <c r="F72" s="124">
        <f>F55</f>
        <v>0.1</v>
      </c>
      <c r="G72" s="124"/>
      <c r="H72" s="124"/>
      <c r="I72" s="124"/>
      <c r="J72" s="124"/>
      <c r="K72" s="124"/>
      <c r="L72" s="124"/>
    </row>
    <row r="73" spans="1:21" x14ac:dyDescent="0.15">
      <c r="A73" s="131">
        <v>0</v>
      </c>
      <c r="B73" s="119">
        <f>C11</f>
        <v>28.424012071223068</v>
      </c>
      <c r="C73" s="119">
        <f>C11</f>
        <v>28.424012071223068</v>
      </c>
      <c r="D73" s="119">
        <f>C11</f>
        <v>28.424012071223068</v>
      </c>
      <c r="E73" s="119">
        <f>C11</f>
        <v>28.424012071223068</v>
      </c>
      <c r="F73" s="119">
        <f>C11</f>
        <v>28.424012071223068</v>
      </c>
      <c r="G73" s="296"/>
      <c r="H73" s="296"/>
      <c r="I73" s="296"/>
      <c r="J73" s="296"/>
      <c r="K73" s="296"/>
      <c r="L73" s="296"/>
    </row>
    <row r="74" spans="1:21" x14ac:dyDescent="0.15">
      <c r="A74" s="131">
        <v>1</v>
      </c>
      <c r="B74" s="119">
        <f t="shared" ref="B74:F87" si="11">(B56+FV_adjustments)/Common_Shares*scaling_factor*Exchange_Rate</f>
        <v>23.624183050090362</v>
      </c>
      <c r="C74" s="119">
        <f t="shared" si="11"/>
        <v>24.241710448536804</v>
      </c>
      <c r="D74" s="119">
        <f t="shared" si="11"/>
        <v>24.418146848092928</v>
      </c>
      <c r="E74" s="119">
        <f t="shared" si="11"/>
        <v>24.594583247649059</v>
      </c>
      <c r="F74" s="119">
        <f t="shared" si="11"/>
        <v>24.947456046761314</v>
      </c>
      <c r="G74" s="296"/>
      <c r="H74" s="296"/>
      <c r="I74" s="296"/>
      <c r="J74" s="296"/>
      <c r="K74" s="296"/>
      <c r="L74" s="296"/>
    </row>
    <row r="75" spans="1:21" x14ac:dyDescent="0.15">
      <c r="A75" s="131">
        <v>2</v>
      </c>
      <c r="B75" s="119">
        <f t="shared" si="11"/>
        <v>23.198956432685311</v>
      </c>
      <c r="C75" s="119">
        <f t="shared" si="11"/>
        <v>24.386817924106161</v>
      </c>
      <c r="D75" s="119">
        <f t="shared" si="11"/>
        <v>24.733661501207923</v>
      </c>
      <c r="E75" s="119">
        <f t="shared" si="11"/>
        <v>25.083818224777666</v>
      </c>
      <c r="F75" s="119">
        <f t="shared" si="11"/>
        <v>25.794071111321063</v>
      </c>
      <c r="G75" s="296"/>
      <c r="H75" s="296"/>
      <c r="I75" s="296"/>
      <c r="J75" s="296"/>
      <c r="K75" s="296"/>
      <c r="L75" s="296"/>
    </row>
    <row r="76" spans="1:21" x14ac:dyDescent="0.15">
      <c r="A76" s="131">
        <v>3</v>
      </c>
      <c r="B76" s="119">
        <f t="shared" si="11"/>
        <v>22.392111070572458</v>
      </c>
      <c r="C76" s="119">
        <f t="shared" si="11"/>
        <v>24.702695343770792</v>
      </c>
      <c r="D76" s="119">
        <f t="shared" si="11"/>
        <v>25.398674465166561</v>
      </c>
      <c r="E76" s="119">
        <f t="shared" si="11"/>
        <v>26.110909923654813</v>
      </c>
      <c r="F76" s="119">
        <f t="shared" si="11"/>
        <v>27.584891255314165</v>
      </c>
      <c r="G76" s="296"/>
      <c r="H76" s="296"/>
      <c r="I76" s="296"/>
      <c r="J76" s="296"/>
      <c r="K76" s="296"/>
      <c r="L76" s="296"/>
    </row>
    <row r="77" spans="1:21" x14ac:dyDescent="0.15">
      <c r="A77" s="131">
        <v>4</v>
      </c>
      <c r="B77" s="119">
        <f t="shared" si="11"/>
        <v>22.049695061642765</v>
      </c>
      <c r="C77" s="119">
        <f t="shared" si="11"/>
        <v>24.83265744685135</v>
      </c>
      <c r="D77" s="119">
        <f t="shared" si="11"/>
        <v>25.689651318388947</v>
      </c>
      <c r="E77" s="119">
        <f t="shared" si="11"/>
        <v>26.575281882537016</v>
      </c>
      <c r="F77" s="119">
        <f t="shared" si="11"/>
        <v>28.434997829015902</v>
      </c>
      <c r="G77" s="296"/>
      <c r="H77" s="296"/>
      <c r="I77" s="296"/>
      <c r="J77" s="296"/>
      <c r="K77" s="296"/>
      <c r="L77" s="296"/>
    </row>
    <row r="78" spans="1:21" x14ac:dyDescent="0.15">
      <c r="A78" s="131">
        <v>5</v>
      </c>
      <c r="B78" s="119">
        <f t="shared" si="11"/>
        <v>21.26779678810156</v>
      </c>
      <c r="C78" s="119">
        <f t="shared" si="11"/>
        <v>25.008458022869551</v>
      </c>
      <c r="D78" s="119">
        <f t="shared" si="11"/>
        <v>26.203929911177873</v>
      </c>
      <c r="E78" s="119">
        <f t="shared" si="11"/>
        <v>27.459667206505873</v>
      </c>
      <c r="F78" s="119">
        <f t="shared" si="11"/>
        <v>30.160956219258637</v>
      </c>
      <c r="G78" s="296"/>
      <c r="H78" s="296"/>
      <c r="I78" s="296"/>
      <c r="J78" s="296"/>
      <c r="K78" s="296"/>
      <c r="L78" s="296"/>
    </row>
    <row r="79" spans="1:21" x14ac:dyDescent="0.15">
      <c r="A79" s="131">
        <v>6</v>
      </c>
      <c r="B79" s="119">
        <f t="shared" si="11"/>
        <v>20.992064464742196</v>
      </c>
      <c r="C79" s="119">
        <f t="shared" si="11"/>
        <v>25.12485552872408</v>
      </c>
      <c r="D79" s="119">
        <f t="shared" si="11"/>
        <v>26.472277286728588</v>
      </c>
      <c r="E79" s="119">
        <f t="shared" si="11"/>
        <v>27.900439690643736</v>
      </c>
      <c r="F79" s="119">
        <f t="shared" si="11"/>
        <v>31.014568701369033</v>
      </c>
      <c r="G79" s="296"/>
      <c r="H79" s="296"/>
      <c r="I79" s="296"/>
      <c r="J79" s="296"/>
      <c r="K79" s="296"/>
      <c r="L79" s="296"/>
    </row>
    <row r="80" spans="1:21" x14ac:dyDescent="0.15">
      <c r="A80" s="131">
        <f t="shared" ref="A80" si="12">A62</f>
        <v>7</v>
      </c>
      <c r="B80" s="119">
        <f t="shared" si="11"/>
        <v>20.330967821149997</v>
      </c>
      <c r="C80" s="119">
        <f t="shared" si="11"/>
        <v>25.286352702133122</v>
      </c>
      <c r="D80" s="119">
        <f t="shared" si="11"/>
        <v>26.962839941082976</v>
      </c>
      <c r="E80" s="119">
        <f t="shared" si="11"/>
        <v>28.769380284914376</v>
      </c>
      <c r="F80" s="119">
        <f t="shared" si="11"/>
        <v>32.806669934492639</v>
      </c>
      <c r="G80" s="296"/>
      <c r="H80" s="296"/>
      <c r="I80" s="296"/>
      <c r="J80" s="296"/>
      <c r="K80" s="296"/>
      <c r="L80" s="296"/>
    </row>
    <row r="81" spans="1:12" x14ac:dyDescent="0.15">
      <c r="A81" s="131">
        <v>8</v>
      </c>
      <c r="B81" s="119">
        <f t="shared" si="11"/>
        <v>20.108932892401207</v>
      </c>
      <c r="C81" s="119">
        <f t="shared" si="11"/>
        <v>25.390601395005984</v>
      </c>
      <c r="D81" s="119">
        <f t="shared" si="11"/>
        <v>27.210317749601039</v>
      </c>
      <c r="E81" s="119">
        <f t="shared" si="11"/>
        <v>29.187752624279373</v>
      </c>
      <c r="F81" s="119">
        <f t="shared" si="11"/>
        <v>33.663802783662135</v>
      </c>
      <c r="G81" s="296"/>
      <c r="H81" s="296"/>
      <c r="I81" s="296"/>
      <c r="J81" s="296"/>
      <c r="K81" s="296"/>
      <c r="L81" s="296"/>
    </row>
    <row r="82" spans="1:12" x14ac:dyDescent="0.15">
      <c r="A82" s="131">
        <f t="shared" ref="A82" si="13">A64</f>
        <v>9</v>
      </c>
      <c r="B82" s="119">
        <f t="shared" si="11"/>
        <v>19.548706754740735</v>
      </c>
      <c r="C82" s="119">
        <f t="shared" si="11"/>
        <v>25.53909002950612</v>
      </c>
      <c r="D82" s="119">
        <f t="shared" si="11"/>
        <v>27.678515541444131</v>
      </c>
      <c r="E82" s="119">
        <f t="shared" si="11"/>
        <v>30.04168957130485</v>
      </c>
      <c r="F82" s="119">
        <f t="shared" si="11"/>
        <v>35.52383309581888</v>
      </c>
      <c r="G82" s="296"/>
      <c r="H82" s="296"/>
      <c r="I82" s="296"/>
      <c r="J82" s="296"/>
      <c r="K82" s="296"/>
      <c r="L82" s="296"/>
    </row>
    <row r="83" spans="1:12" x14ac:dyDescent="0.15">
      <c r="A83" s="131">
        <f t="shared" ref="A83:A87" si="14">A65</f>
        <v>10</v>
      </c>
      <c r="B83" s="119">
        <f t="shared" si="11"/>
        <v>19.36991194032127</v>
      </c>
      <c r="C83" s="119">
        <f t="shared" si="11"/>
        <v>25.632457923310319</v>
      </c>
      <c r="D83" s="119">
        <f t="shared" si="11"/>
        <v>27.90674682406134</v>
      </c>
      <c r="E83" s="119">
        <f t="shared" si="11"/>
        <v>30.438800145682254</v>
      </c>
      <c r="F83" s="119">
        <f t="shared" si="11"/>
        <v>36.384500830326523</v>
      </c>
      <c r="G83" s="296"/>
      <c r="H83" s="296"/>
      <c r="I83" s="296"/>
      <c r="J83" s="296"/>
      <c r="K83" s="296"/>
      <c r="L83" s="296"/>
    </row>
    <row r="84" spans="1:12" x14ac:dyDescent="0.15">
      <c r="A84" s="131">
        <f t="shared" si="14"/>
        <v>15</v>
      </c>
      <c r="B84" s="119">
        <f t="shared" si="11"/>
        <v>17.88363968692228</v>
      </c>
      <c r="C84" s="119">
        <f t="shared" si="11"/>
        <v>26.169531345889826</v>
      </c>
      <c r="D84" s="119">
        <f t="shared" si="11"/>
        <v>29.593942595890763</v>
      </c>
      <c r="E84" s="119">
        <f t="shared" si="11"/>
        <v>33.649432135980192</v>
      </c>
      <c r="F84" s="119">
        <f t="shared" si="11"/>
        <v>44.122726841324813</v>
      </c>
      <c r="G84" s="296"/>
      <c r="H84" s="296"/>
      <c r="I84" s="296"/>
      <c r="J84" s="296"/>
      <c r="K84" s="296"/>
      <c r="L84" s="296"/>
    </row>
    <row r="85" spans="1:12" x14ac:dyDescent="0.15">
      <c r="A85" s="132">
        <f t="shared" si="14"/>
        <v>20</v>
      </c>
      <c r="B85" s="119">
        <f t="shared" si="11"/>
        <v>17.106108345593228</v>
      </c>
      <c r="C85" s="119">
        <f t="shared" si="11"/>
        <v>26.556460938050517</v>
      </c>
      <c r="D85" s="119">
        <f t="shared" si="11"/>
        <v>30.85455335302154</v>
      </c>
      <c r="E85" s="119">
        <f t="shared" si="11"/>
        <v>36.200208518215618</v>
      </c>
      <c r="F85" s="119">
        <f t="shared" si="11"/>
        <v>51.126280506205674</v>
      </c>
      <c r="G85" s="296"/>
      <c r="H85" s="296"/>
      <c r="I85" s="296"/>
      <c r="J85" s="296"/>
      <c r="K85" s="296"/>
      <c r="L85" s="296"/>
    </row>
    <row r="86" spans="1:12" x14ac:dyDescent="0.15">
      <c r="A86" s="132">
        <f t="shared" si="14"/>
        <v>25</v>
      </c>
      <c r="B86" s="119">
        <f t="shared" si="11"/>
        <v>16.452957620032755</v>
      </c>
      <c r="C86" s="119">
        <f t="shared" si="11"/>
        <v>26.902146171190005</v>
      </c>
      <c r="D86" s="119">
        <f t="shared" si="11"/>
        <v>32.15325867713959</v>
      </c>
      <c r="E86" s="119">
        <f t="shared" si="11"/>
        <v>39.046040066177987</v>
      </c>
      <c r="F86" s="119">
        <f t="shared" si="11"/>
        <v>60.065220757189529</v>
      </c>
      <c r="G86" s="296"/>
      <c r="H86" s="296"/>
      <c r="I86" s="296"/>
      <c r="J86" s="296"/>
      <c r="K86" s="296"/>
      <c r="L86" s="296"/>
    </row>
    <row r="87" spans="1:12" x14ac:dyDescent="0.15">
      <c r="A87" s="132">
        <f t="shared" si="14"/>
        <v>30</v>
      </c>
      <c r="B87" s="119">
        <f t="shared" si="11"/>
        <v>16.116117320212904</v>
      </c>
      <c r="C87" s="119">
        <f t="shared" si="11"/>
        <v>27.146390968302633</v>
      </c>
      <c r="D87" s="119">
        <f t="shared" si="11"/>
        <v>33.101095051066942</v>
      </c>
      <c r="E87" s="119">
        <f t="shared" si="11"/>
        <v>41.252243641865036</v>
      </c>
      <c r="F87" s="119">
        <f t="shared" si="11"/>
        <v>67.952801499657554</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0.1</v>
      </c>
      <c r="D90" s="133">
        <f>Scenarios!D29</f>
        <v>10</v>
      </c>
      <c r="E90" s="127">
        <f>INDEX(B$73:F$87, MATCH(D90, A$73:A$87, 0), MATCH(C90, B$72:F$72, 0))</f>
        <v>36.384500830326523</v>
      </c>
      <c r="F90" s="130">
        <f>Scenarios!F29</f>
        <v>0.05</v>
      </c>
      <c r="G90" s="297"/>
      <c r="H90" s="297"/>
      <c r="I90" s="297"/>
      <c r="J90" s="297"/>
      <c r="K90" s="297"/>
      <c r="L90" s="297"/>
    </row>
    <row r="91" spans="1:12" x14ac:dyDescent="0.15">
      <c r="B91" s="120" t="str">
        <f>Scenarios!B22</f>
        <v>Optimistic</v>
      </c>
      <c r="C91" s="130">
        <f>Scenarios!C22</f>
        <v>0.06</v>
      </c>
      <c r="D91" s="133">
        <f>Scenarios!D22</f>
        <v>10</v>
      </c>
      <c r="E91" s="127">
        <f>INDEX(B$73:F$87, MATCH(D91, A$73:A$87, 0), MATCH(C91, B$72:F$72, 0))</f>
        <v>30.438800145682254</v>
      </c>
      <c r="F91" s="130">
        <f>Scenarios!F22*(1-F$90-F$94)</f>
        <v>0.22499999999999992</v>
      </c>
      <c r="G91" s="297"/>
      <c r="H91" s="297"/>
      <c r="I91" s="297"/>
      <c r="J91" s="297"/>
      <c r="K91" s="297"/>
      <c r="L91" s="297"/>
    </row>
    <row r="92" spans="1:12" x14ac:dyDescent="0.15">
      <c r="B92" s="120" t="str">
        <f>Scenarios!B23</f>
        <v>Base</v>
      </c>
      <c r="C92" s="130">
        <f>Scenarios!C23</f>
        <v>0.04</v>
      </c>
      <c r="D92" s="133">
        <f>Scenarios!D23</f>
        <v>10</v>
      </c>
      <c r="E92" s="127">
        <f>INDEX(B$73:F$87, MATCH(D92, A$73:A$87, 0), MATCH(C92, B$72:F$72, 0))</f>
        <v>27.90674682406134</v>
      </c>
      <c r="F92" s="130">
        <f>Scenarios!F23*(1-F$90-F$94)</f>
        <v>0.495</v>
      </c>
      <c r="G92" s="297"/>
      <c r="H92" s="297"/>
      <c r="I92" s="297"/>
      <c r="J92" s="297"/>
      <c r="K92" s="297"/>
      <c r="L92" s="297"/>
    </row>
    <row r="93" spans="1:12" x14ac:dyDescent="0.15">
      <c r="B93" s="120" t="str">
        <f>Scenarios!B24</f>
        <v>Pessimistic</v>
      </c>
      <c r="C93" s="130">
        <f>Scenarios!C24</f>
        <v>0.02</v>
      </c>
      <c r="D93" s="133">
        <f>Scenarios!D24</f>
        <v>10</v>
      </c>
      <c r="E93" s="127">
        <f>INDEX(B$73:F$87, MATCH(D93, A$73:A$87, 0), MATCH(C93, B$72:F$72, 0))</f>
        <v>25.632457923310319</v>
      </c>
      <c r="F93" s="130">
        <f>Scenarios!F24*(1-F$90-F$94)</f>
        <v>0.18</v>
      </c>
      <c r="G93" s="297"/>
      <c r="H93" s="297"/>
      <c r="I93" s="297"/>
      <c r="J93" s="297"/>
      <c r="K93" s="297"/>
      <c r="L93" s="297"/>
    </row>
    <row r="94" spans="1:12" x14ac:dyDescent="0.15">
      <c r="B94" s="120" t="str">
        <f>Scenarios!B30</f>
        <v>Devil's advocate</v>
      </c>
      <c r="C94" s="130">
        <f>Scenarios!C30</f>
        <v>-0.05</v>
      </c>
      <c r="D94" s="133">
        <f>Scenarios!D30</f>
        <v>10</v>
      </c>
      <c r="E94" s="127">
        <f>INDEX(B$73:F$87, MATCH(D94, A$73:A$87, 0), MATCH(C94, B$72:F$72, 0))</f>
        <v>19.36991194032127</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CNY</v>
      </c>
      <c r="D6" s="469"/>
      <c r="E6" s="469"/>
      <c r="F6" s="469"/>
      <c r="G6" s="469"/>
    </row>
    <row r="7" spans="2:7" ht="12.75" customHeight="1" x14ac:dyDescent="0.15">
      <c r="B7" s="97" t="s">
        <v>232</v>
      </c>
      <c r="C7" s="447">
        <f>Normalized_FCF!G8</f>
        <v>3529289</v>
      </c>
      <c r="D7" s="469"/>
      <c r="E7" s="469"/>
      <c r="F7" s="469"/>
      <c r="G7" s="469"/>
    </row>
    <row r="8" spans="2:7" x14ac:dyDescent="0.15">
      <c r="B8" s="97" t="s">
        <v>63</v>
      </c>
      <c r="C8" s="447">
        <f>Normalized_FCF!G19</f>
        <v>2533262.2671314152</v>
      </c>
      <c r="D8" s="469"/>
      <c r="E8" s="469"/>
      <c r="F8" s="469"/>
      <c r="G8" s="469"/>
    </row>
    <row r="9" spans="2:7" x14ac:dyDescent="0.15">
      <c r="B9" s="97" t="s">
        <v>54</v>
      </c>
      <c r="C9" s="447">
        <f>Normalized_FCF!C19</f>
        <v>2586849.2996495184</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5.4188460915165049E-2</v>
      </c>
      <c r="D12" s="469"/>
      <c r="E12" s="469"/>
      <c r="F12" s="469"/>
      <c r="G12" s="469"/>
    </row>
    <row r="13" spans="2:7" x14ac:dyDescent="0.15">
      <c r="B13" s="135" t="s">
        <v>127</v>
      </c>
      <c r="C13" s="249">
        <f ca="1">(Normalized_FCF!G8/OFFSET(Normalized_FCF!G8, 0, $C$4))^(1/$C$4) - 1</f>
        <v>-6.733313165064081E-2</v>
      </c>
      <c r="D13" s="469"/>
      <c r="E13" s="469"/>
      <c r="F13" s="469"/>
      <c r="G13" s="469"/>
    </row>
    <row r="14" spans="2:7" x14ac:dyDescent="0.15">
      <c r="B14" s="97" t="s">
        <v>63</v>
      </c>
      <c r="C14" s="249">
        <f ca="1">(Normalized_FCF!G19/OFFSET(Normalized_FCF!G19, 0, $C$4))^(1/$C$4) - 1</f>
        <v>-6.367278184392311E-2</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10</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0.06</v>
      </c>
      <c r="D22" s="325">
        <f>C18</f>
        <v>10</v>
      </c>
      <c r="E22" s="326">
        <f>DCF!E91</f>
        <v>30.438800145682254</v>
      </c>
      <c r="F22" s="328">
        <f>1-F23-F24</f>
        <v>0.24999999999999994</v>
      </c>
      <c r="G22" s="328">
        <f>F22*(1-F$29-F$30)</f>
        <v>0.22499999999999992</v>
      </c>
    </row>
    <row r="23" spans="2:7" x14ac:dyDescent="0.15">
      <c r="B23" s="302" t="s">
        <v>437</v>
      </c>
      <c r="C23" s="324">
        <v>0.04</v>
      </c>
      <c r="D23" s="325">
        <f>C18</f>
        <v>10</v>
      </c>
      <c r="E23" s="326">
        <f>DCF!E92</f>
        <v>27.90674682406134</v>
      </c>
      <c r="F23" s="327">
        <v>0.55000000000000004</v>
      </c>
      <c r="G23" s="328">
        <f t="shared" ref="G23:G24" si="0">F23*(1-F$29-F$30)</f>
        <v>0.495</v>
      </c>
    </row>
    <row r="24" spans="2:7" x14ac:dyDescent="0.15">
      <c r="B24" s="302" t="s">
        <v>446</v>
      </c>
      <c r="C24" s="324">
        <v>0.02</v>
      </c>
      <c r="D24" s="325">
        <f>C18</f>
        <v>10</v>
      </c>
      <c r="E24" s="326">
        <f>DCF!E93</f>
        <v>25.632457923310319</v>
      </c>
      <c r="F24" s="327">
        <v>0.2</v>
      </c>
      <c r="G24" s="328">
        <f t="shared" si="0"/>
        <v>0.18</v>
      </c>
    </row>
    <row r="25" spans="2:7" x14ac:dyDescent="0.15">
      <c r="B25" s="141" t="s">
        <v>451</v>
      </c>
      <c r="C25" s="441">
        <f>E23*F23+E24*F24+E22*F22</f>
        <v>28.084902374316364</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0.1</v>
      </c>
      <c r="D29" s="325">
        <f>C18</f>
        <v>10</v>
      </c>
      <c r="E29" s="326">
        <f>DCF!E90</f>
        <v>36.384500830326523</v>
      </c>
      <c r="F29" s="327">
        <v>0.05</v>
      </c>
      <c r="G29" s="328">
        <f>F29</f>
        <v>0.05</v>
      </c>
    </row>
    <row r="30" spans="2:7" x14ac:dyDescent="0.15">
      <c r="B30" s="315" t="s">
        <v>447</v>
      </c>
      <c r="C30" s="324">
        <v>-0.05</v>
      </c>
      <c r="D30" s="325">
        <f>C18</f>
        <v>10</v>
      </c>
      <c r="E30" s="326">
        <f>DCF!E94</f>
        <v>19.36991194032127</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0.51679814505085875</v>
      </c>
      <c r="D33" t="str">
        <f>Market_currency</f>
        <v>HKD</v>
      </c>
      <c r="E33" s="97" t="s">
        <v>455</v>
      </c>
      <c r="F33" s="219">
        <f>Holding_Period</f>
        <v>3</v>
      </c>
    </row>
    <row r="34" spans="2:7" x14ac:dyDescent="0.15">
      <c r="B34" s="97" t="s">
        <v>233</v>
      </c>
      <c r="C34" s="146">
        <f>Market_Price</f>
        <v>21.96</v>
      </c>
      <c r="D34" t="str">
        <f>Market_currency</f>
        <v>HKD</v>
      </c>
      <c r="E34" s="97" t="s">
        <v>454</v>
      </c>
      <c r="F34" s="330">
        <f>RATE(Holding_Period,$C$33,-C34,$C$36)</f>
        <v>0.10694958984444163</v>
      </c>
    </row>
    <row r="35" spans="2:7" x14ac:dyDescent="0.15">
      <c r="B35" s="97" t="s">
        <v>434</v>
      </c>
      <c r="C35" s="320">
        <f>DCF!C11</f>
        <v>28.424012071223068</v>
      </c>
      <c r="D35" s="97" t="str">
        <f>Market_currency</f>
        <v>HKD</v>
      </c>
      <c r="E35" s="97" t="s">
        <v>454</v>
      </c>
      <c r="F35" s="330">
        <f>RATE(Holding_Period,$C$33,-C35,$C$36)</f>
        <v>1.401999846579839E-2</v>
      </c>
    </row>
    <row r="36" spans="2:7" x14ac:dyDescent="0.15">
      <c r="B36" s="97" t="s">
        <v>435</v>
      </c>
      <c r="C36" s="321">
        <f>E22*G22+E23*G23+E24*G24+E30*G30+E29*G29</f>
        <v>28.064132775417118</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2-stage DCF</v>
      </c>
      <c r="E39" s="222" t="s">
        <v>251</v>
      </c>
    </row>
    <row r="40" spans="2:7" x14ac:dyDescent="0.15">
      <c r="B40" t="s">
        <v>550</v>
      </c>
      <c r="C40" s="126">
        <f>Normalized_FCF!E116</f>
        <v>0.13430424833028851</v>
      </c>
      <c r="E40" s="97" t="s">
        <v>401</v>
      </c>
    </row>
    <row r="41" spans="2:7" x14ac:dyDescent="0.15">
      <c r="B41" s="97" t="s">
        <v>400</v>
      </c>
      <c r="C41" s="455">
        <f>DCF!C16*0.5</f>
        <v>2.0663663763345899E-2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10</v>
      </c>
      <c r="D45" s="137"/>
      <c r="E45" s="221" t="s">
        <v>307</v>
      </c>
    </row>
    <row r="46" spans="2:7" ht="14" x14ac:dyDescent="0.15">
      <c r="B46" s="114" t="s">
        <v>112</v>
      </c>
      <c r="C46" s="138">
        <v>4.1327327526691798E-2</v>
      </c>
      <c r="D46" s="138"/>
      <c r="E46" s="221" t="s">
        <v>252</v>
      </c>
    </row>
    <row r="47" spans="2:7" x14ac:dyDescent="0.15">
      <c r="B47" s="97" t="s">
        <v>96</v>
      </c>
      <c r="C47" s="146">
        <f>DCF!I18</f>
        <v>28.066524724847707</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Negative Growth </v>
      </c>
      <c r="E49" s="222" t="s">
        <v>254</v>
      </c>
    </row>
    <row r="50" spans="2:7" x14ac:dyDescent="0.15">
      <c r="B50" s="97" t="s">
        <v>250</v>
      </c>
      <c r="C50" s="218" t="str">
        <f>IF(C36&lt;C35,"Y","N")</f>
        <v>Y</v>
      </c>
      <c r="E50" s="126"/>
    </row>
    <row r="51" spans="2:7" x14ac:dyDescent="0.15">
      <c r="B51" s="97" t="s">
        <v>246</v>
      </c>
      <c r="C51" s="218" t="str">
        <f>IF(C50="Y","N",IF(C46&gt;8%,"N","Y"))</f>
        <v>N</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0.22881997262331658</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0.51679814505085875</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0.94566390025210001</v>
      </c>
      <c r="D62" s="119">
        <f>C36/(1+F62)^Holding_Period</f>
        <v>12.932780080837384</v>
      </c>
      <c r="E62" s="332">
        <f>C62+D62</f>
        <v>13.878443981089484</v>
      </c>
      <c r="F62" s="301">
        <f>Thesis!E22</f>
        <v>0.29465259038036606</v>
      </c>
      <c r="G62" s="440">
        <f>(1-E62/C36)</f>
        <v>0.50547397661807103</v>
      </c>
    </row>
    <row r="63" spans="2:7" x14ac:dyDescent="0.15">
      <c r="B63" s="302" t="s">
        <v>313</v>
      </c>
      <c r="C63" s="119">
        <f>PV(F63, Holding_Period, -C58, 0)</f>
        <v>1.0873453371283444</v>
      </c>
      <c r="D63" s="119">
        <f>C36/(1+F63)^Holding_Period</f>
        <v>16.210329400962962</v>
      </c>
      <c r="E63" s="332">
        <f>C63+D63</f>
        <v>17.297674738091306</v>
      </c>
      <c r="F63" s="301">
        <f>Thesis!E23</f>
        <v>0.20075184365903009</v>
      </c>
      <c r="G63" s="440">
        <f>(1-E63/C36)</f>
        <v>0.38363765320967735</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1.2468288202289972</v>
      </c>
      <c r="D66" s="119">
        <f>C36/(1+F66)^Holding_Period</f>
        <v>20.115258837727577</v>
      </c>
      <c r="E66" s="332">
        <f>C66+D66</f>
        <v>21.362087657956575</v>
      </c>
      <c r="F66" s="301">
        <f>Thesis!E24</f>
        <v>0.1174</v>
      </c>
      <c r="G66" s="440">
        <f>(1-E66/C36)</f>
        <v>0.23881176628879208</v>
      </c>
    </row>
    <row r="67" spans="2:7" x14ac:dyDescent="0.15">
      <c r="B67" s="302" t="s">
        <v>314</v>
      </c>
      <c r="C67" s="119">
        <f>PV(F67, Holding_Period, -C58, 0)</f>
        <v>1.3500706715798303</v>
      </c>
      <c r="D67" s="119">
        <f>C36/(1+F67)^Holding_Period</f>
        <v>22.748864495909054</v>
      </c>
      <c r="E67" s="332">
        <f>C67+D67</f>
        <v>24.098935167488882</v>
      </c>
      <c r="F67" s="301">
        <f>Thesis!E25</f>
        <v>7.2499999999999995E-2</v>
      </c>
      <c r="G67" s="440">
        <f>(1-E67/C36)</f>
        <v>0.14129058038813036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45932</v>
      </c>
    </row>
    <row r="4" spans="1:10" x14ac:dyDescent="0.2">
      <c r="B4" s="422" t="s">
        <v>534</v>
      </c>
      <c r="C4" s="423" t="str">
        <f>Thesis!C4</f>
        <v>李宁</v>
      </c>
      <c r="D4" s="349"/>
      <c r="E4" s="434" t="s">
        <v>540</v>
      </c>
      <c r="F4" s="437" t="str">
        <f>Thesis!F4</f>
        <v>INT</v>
      </c>
    </row>
    <row r="5" spans="1:10" x14ac:dyDescent="0.2">
      <c r="B5" s="343" t="s">
        <v>364</v>
      </c>
      <c r="C5" s="355" t="str">
        <f>Thesis!C5</f>
        <v>2331.HK</v>
      </c>
      <c r="E5" s="438" t="s">
        <v>541</v>
      </c>
      <c r="F5" s="439" t="str">
        <f>Thesis!F5</f>
        <v>Y</v>
      </c>
    </row>
    <row r="6" spans="1:10" x14ac:dyDescent="0.2">
      <c r="B6" s="350" t="s">
        <v>336</v>
      </c>
      <c r="C6" s="352" t="str">
        <f>Thesis!C6</f>
        <v>CNS_02</v>
      </c>
      <c r="E6" s="354"/>
    </row>
    <row r="7" spans="1:10" x14ac:dyDescent="0.2">
      <c r="B7" s="343" t="s">
        <v>366</v>
      </c>
      <c r="C7" s="352" t="str">
        <f>Market_currency</f>
        <v>HKD</v>
      </c>
      <c r="D7" s="354"/>
      <c r="E7" s="354"/>
    </row>
    <row r="8" spans="1:10" x14ac:dyDescent="0.2">
      <c r="B8" s="351" t="s">
        <v>365</v>
      </c>
      <c r="C8" s="356">
        <f>Market_Price</f>
        <v>21.96</v>
      </c>
    </row>
    <row r="9" spans="1:10" x14ac:dyDescent="0.2">
      <c r="B9" s="351" t="s">
        <v>361</v>
      </c>
      <c r="C9" s="353">
        <f>Common_Shares</f>
        <v>2584811005</v>
      </c>
    </row>
    <row r="10" spans="1:10" x14ac:dyDescent="0.2">
      <c r="B10" s="351" t="s">
        <v>367</v>
      </c>
      <c r="C10" s="357">
        <f>投资主题!C8*Common_Shares/1000000</f>
        <v>56762.4496698</v>
      </c>
      <c r="D10" s="343" t="s">
        <v>529</v>
      </c>
      <c r="E10" s="360">
        <f>Scenarios!F34</f>
        <v>0.10694958984444163</v>
      </c>
    </row>
    <row r="11" spans="1:10" x14ac:dyDescent="0.2">
      <c r="D11" s="349"/>
      <c r="E11" s="349"/>
    </row>
    <row r="12" spans="1:10" ht="24.5" customHeight="1" x14ac:dyDescent="0.2">
      <c r="B12" s="471" t="s">
        <v>498</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CNY/HKD</v>
      </c>
    </row>
    <row r="16" spans="1:10" x14ac:dyDescent="0.2">
      <c r="B16" s="343" t="s">
        <v>338</v>
      </c>
      <c r="C16" s="358" t="str">
        <f>Thesis!C16</f>
        <v>N</v>
      </c>
      <c r="D16" s="351" t="s">
        <v>369</v>
      </c>
      <c r="E16" s="425">
        <f>Exchange_Rate</f>
        <v>1.1315830089569092</v>
      </c>
    </row>
    <row r="17" spans="1:6" x14ac:dyDescent="0.2">
      <c r="B17" s="343" t="s">
        <v>535</v>
      </c>
      <c r="C17" s="424">
        <f>Terminal_Growth</f>
        <v>0.02</v>
      </c>
      <c r="D17" s="351" t="s">
        <v>339</v>
      </c>
      <c r="E17" s="344" t="str">
        <f>Reporting_currency</f>
        <v>CNY</v>
      </c>
    </row>
    <row r="18" spans="1:6" x14ac:dyDescent="0.2">
      <c r="B18" s="343" t="str">
        <f>"预期股权价值 ("&amp;C7&amp;") :"</f>
        <v>预期股权价值 (HKD) :</v>
      </c>
      <c r="C18" s="359">
        <f>C125</f>
        <v>28.064132775417118</v>
      </c>
      <c r="D18" s="350" t="s">
        <v>362</v>
      </c>
      <c r="E18" s="426">
        <f>Thesis!E18</f>
        <v>6</v>
      </c>
    </row>
    <row r="19" spans="1:6" x14ac:dyDescent="0.2">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13.878443981089484</v>
      </c>
      <c r="D22" s="365" t="s">
        <v>440</v>
      </c>
      <c r="E22" s="366">
        <f>Thesis!E22</f>
        <v>0.29465259038036606</v>
      </c>
    </row>
    <row r="23" spans="1:6" x14ac:dyDescent="0.2">
      <c r="B23" s="343" t="s">
        <v>341</v>
      </c>
      <c r="C23" s="367">
        <f>E141</f>
        <v>17.297674738091306</v>
      </c>
      <c r="D23" s="365" t="s">
        <v>441</v>
      </c>
      <c r="E23" s="368">
        <f>Thesis!E23</f>
        <v>0.20075184365903009</v>
      </c>
    </row>
    <row r="24" spans="1:6" x14ac:dyDescent="0.2">
      <c r="B24" s="343" t="s">
        <v>343</v>
      </c>
      <c r="C24" s="367">
        <f>E144</f>
        <v>21.362087657956575</v>
      </c>
      <c r="D24" s="365" t="s">
        <v>443</v>
      </c>
      <c r="E24" s="368">
        <f>Thesis!E24</f>
        <v>0.1174</v>
      </c>
    </row>
    <row r="25" spans="1:6" x14ac:dyDescent="0.2">
      <c r="B25" s="343" t="s">
        <v>342</v>
      </c>
      <c r="C25" s="367">
        <f>E145</f>
        <v>24.098935167488882</v>
      </c>
      <c r="D25" s="365" t="s">
        <v>442</v>
      </c>
      <c r="E25" s="368">
        <f>Thesis!E25</f>
        <v>7.2499999999999995E-2</v>
      </c>
    </row>
    <row r="27" spans="1:6" ht="16" x14ac:dyDescent="0.25">
      <c r="A27" s="345" t="s">
        <v>345</v>
      </c>
      <c r="B27" s="345"/>
      <c r="C27" s="345"/>
      <c r="D27" s="345"/>
      <c r="E27" s="345"/>
      <c r="F27" s="345"/>
    </row>
    <row r="29" spans="1:6" x14ac:dyDescent="0.2">
      <c r="B29" s="471" t="s">
        <v>499</v>
      </c>
      <c r="C29" s="471"/>
      <c r="D29" s="471"/>
      <c r="E29" s="471"/>
      <c r="F29" s="471"/>
    </row>
    <row r="30" spans="1:6" ht="24.5" customHeight="1" x14ac:dyDescent="0.2">
      <c r="B30" s="472" t="s">
        <v>500</v>
      </c>
      <c r="C30" s="472"/>
      <c r="D30" s="472"/>
      <c r="E30" s="472"/>
      <c r="F30" s="472"/>
    </row>
    <row r="32" spans="1:6" x14ac:dyDescent="0.2">
      <c r="B32" s="369" t="s">
        <v>371</v>
      </c>
      <c r="C32" s="370">
        <f>scaling_factor</f>
        <v>1000</v>
      </c>
    </row>
    <row r="33" spans="2:6" x14ac:dyDescent="0.2">
      <c r="B33" s="470" t="s">
        <v>501</v>
      </c>
      <c r="C33" s="470"/>
      <c r="D33" s="470"/>
      <c r="E33" s="470"/>
      <c r="F33" s="470"/>
    </row>
    <row r="34" spans="2:6" x14ac:dyDescent="0.2">
      <c r="B34" s="372" t="s">
        <v>197</v>
      </c>
      <c r="C34" s="373">
        <f>Normalized_FCF!C8</f>
        <v>3529289</v>
      </c>
      <c r="D34" s="343" t="str">
        <f>Reporting_currency</f>
        <v>CNY</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0</v>
      </c>
      <c r="D37" s="343" t="str">
        <f>Reporting_currency</f>
        <v>CNY</v>
      </c>
    </row>
    <row r="38" spans="2:6" x14ac:dyDescent="0.2">
      <c r="B38" s="375" t="s">
        <v>200</v>
      </c>
      <c r="C38" s="373">
        <f>Normalized_FCF!C16</f>
        <v>0</v>
      </c>
      <c r="D38" s="343" t="str">
        <f>Reporting_currency</f>
        <v>CNY</v>
      </c>
    </row>
    <row r="40" spans="2:6" x14ac:dyDescent="0.2">
      <c r="B40" s="470" t="s">
        <v>503</v>
      </c>
      <c r="C40" s="470"/>
      <c r="D40" s="470"/>
      <c r="E40" s="470"/>
      <c r="F40" s="470"/>
    </row>
    <row r="41" spans="2:6" x14ac:dyDescent="0.2">
      <c r="B41" s="372" t="s">
        <v>202</v>
      </c>
      <c r="C41" s="373">
        <f>Normalized_FCF!C9</f>
        <v>0</v>
      </c>
      <c r="D41" s="343" t="str">
        <f>Reporting_currency</f>
        <v>CNY</v>
      </c>
    </row>
    <row r="43" spans="2:6" x14ac:dyDescent="0.2">
      <c r="B43" s="470" t="s">
        <v>504</v>
      </c>
      <c r="C43" s="470"/>
      <c r="D43" s="470"/>
      <c r="E43" s="470"/>
      <c r="F43" s="470"/>
    </row>
    <row r="44" spans="2:6" x14ac:dyDescent="0.2">
      <c r="B44" s="372" t="s">
        <v>267</v>
      </c>
      <c r="C44" s="376">
        <f>Normalized_FCF!C46</f>
        <v>26482.179532691047</v>
      </c>
      <c r="D44" s="343" t="str">
        <f>Reporting_currency</f>
        <v>CNY</v>
      </c>
      <c r="E44" s="371"/>
      <c r="F44" s="371"/>
    </row>
    <row r="45" spans="2:6" x14ac:dyDescent="0.2">
      <c r="B45" s="372" t="s">
        <v>268</v>
      </c>
      <c r="C45" s="376">
        <f>Normalized_FCF!C45</f>
        <v>-106638.78</v>
      </c>
      <c r="D45" s="343" t="str">
        <f>Reporting_currency</f>
        <v>CNY</v>
      </c>
      <c r="E45" s="371"/>
      <c r="F45" s="371"/>
    </row>
    <row r="46" spans="2:6" x14ac:dyDescent="0.2">
      <c r="B46" s="372" t="s">
        <v>203</v>
      </c>
      <c r="C46" s="373">
        <f>Normalized_FCF!C10</f>
        <v>-80156.600467308948</v>
      </c>
      <c r="D46" s="343" t="str">
        <f>Reporting_currency</f>
        <v>CNY</v>
      </c>
    </row>
    <row r="48" spans="2:6" x14ac:dyDescent="0.2">
      <c r="B48" s="343" t="s">
        <v>505</v>
      </c>
    </row>
    <row r="49" spans="2:6" x14ac:dyDescent="0.2">
      <c r="B49" s="372" t="s">
        <v>223</v>
      </c>
      <c r="C49" s="373">
        <f>Normalized_FCF!C13</f>
        <v>0</v>
      </c>
      <c r="D49" s="343" t="str">
        <f>Reporting_currency</f>
        <v>CNY</v>
      </c>
    </row>
    <row r="51" spans="2:6" x14ac:dyDescent="0.2">
      <c r="B51" s="470" t="s">
        <v>506</v>
      </c>
      <c r="C51" s="470"/>
      <c r="D51" s="470"/>
      <c r="E51" s="470"/>
      <c r="F51" s="470"/>
    </row>
    <row r="52" spans="2:6" x14ac:dyDescent="0.2">
      <c r="B52" s="372" t="s">
        <v>496</v>
      </c>
      <c r="C52" s="373">
        <f>Normalized_FCF!C12</f>
        <v>-862283.09988317278</v>
      </c>
      <c r="D52" s="343" t="str">
        <f>Reporting_currency</f>
        <v>CNY</v>
      </c>
    </row>
    <row r="54" spans="2:6" x14ac:dyDescent="0.2">
      <c r="B54" s="470" t="s">
        <v>507</v>
      </c>
      <c r="C54" s="473"/>
      <c r="D54" s="473"/>
      <c r="E54" s="473"/>
      <c r="F54" s="473"/>
    </row>
    <row r="55" spans="2:6" x14ac:dyDescent="0.2">
      <c r="B55" s="372" t="s">
        <v>207</v>
      </c>
      <c r="C55" s="373">
        <f>Normalized_FCF!C17</f>
        <v>0</v>
      </c>
      <c r="D55" s="343" t="str">
        <f>Reporting_currency</f>
        <v>CNY</v>
      </c>
    </row>
    <row r="57" spans="2:6" x14ac:dyDescent="0.2">
      <c r="B57" s="471" t="s">
        <v>508</v>
      </c>
      <c r="C57" s="471"/>
      <c r="D57" s="471"/>
      <c r="E57" s="471"/>
      <c r="F57" s="471"/>
    </row>
    <row r="58" spans="2:6" x14ac:dyDescent="0.2">
      <c r="B58" s="471" t="s">
        <v>509</v>
      </c>
      <c r="C58" s="471"/>
      <c r="D58" s="471"/>
      <c r="E58" s="471"/>
      <c r="F58" s="471"/>
    </row>
    <row r="60" spans="2:6" x14ac:dyDescent="0.2">
      <c r="B60" s="372" t="s">
        <v>372</v>
      </c>
      <c r="C60" s="373">
        <f>Normalized_FCF!G19</f>
        <v>2533262.2671314152</v>
      </c>
      <c r="D60" s="343" t="str">
        <f>Reporting_currency</f>
        <v>CNY</v>
      </c>
    </row>
    <row r="61" spans="2:6" x14ac:dyDescent="0.2">
      <c r="B61" s="372" t="s">
        <v>213</v>
      </c>
      <c r="C61" s="373">
        <f>Normalized_FCF!C19</f>
        <v>2586849.2996495184</v>
      </c>
      <c r="D61" s="343" t="str">
        <f>Reporting_currency</f>
        <v>CNY</v>
      </c>
    </row>
    <row r="62" spans="2:6" x14ac:dyDescent="0.2">
      <c r="B62" s="377" t="s">
        <v>302</v>
      </c>
      <c r="C62" s="378">
        <f>Normalized_FCF!C124</f>
        <v>5.1569915168282222E-2</v>
      </c>
      <c r="F62" s="379"/>
    </row>
    <row r="63" spans="2:6" x14ac:dyDescent="0.2">
      <c r="B63" s="377" t="s">
        <v>332</v>
      </c>
      <c r="C63" s="378">
        <f>Normalized_FCF!C92</f>
        <v>2.3533613162607409E-2</v>
      </c>
      <c r="E63" s="372" t="s">
        <v>373</v>
      </c>
      <c r="F63" s="380">
        <f>Normalized_FCF!C90</f>
        <v>0.51639093660076429</v>
      </c>
    </row>
    <row r="65" spans="1:6" x14ac:dyDescent="0.2">
      <c r="B65" s="369" t="s">
        <v>376</v>
      </c>
      <c r="C65" s="381" t="s">
        <v>327</v>
      </c>
      <c r="D65" s="381" t="s">
        <v>374</v>
      </c>
    </row>
    <row r="66" spans="1:6" x14ac:dyDescent="0.2">
      <c r="B66" s="372" t="s">
        <v>326</v>
      </c>
      <c r="C66" s="378">
        <f>Normalized_FCF!E119</f>
        <v>0.2</v>
      </c>
      <c r="D66" s="378">
        <f>Normalized_FCF!G119</f>
        <v>0.13360794599620288</v>
      </c>
    </row>
    <row r="67" spans="1:6" x14ac:dyDescent="0.2">
      <c r="B67" s="382" t="str">
        <f>Normalized_FCF!B116</f>
        <v>Pre-tax Profit/Sales</v>
      </c>
      <c r="C67" s="383">
        <f>Normalized_FCF!E116</f>
        <v>0.13430424833028851</v>
      </c>
      <c r="D67" s="383">
        <f>Normalized_FCF!G116</f>
        <v>0.12658663895109223</v>
      </c>
    </row>
    <row r="68" spans="1:6" x14ac:dyDescent="0.2">
      <c r="B68" s="382" t="str">
        <f>Normalized_FCF!B117</f>
        <v>Sales/Total Assets</v>
      </c>
      <c r="C68" s="384">
        <f>Normalized_FCF!E117</f>
        <v>1.1000000000000001</v>
      </c>
      <c r="D68" s="384">
        <f>Normalized_FCF!G117</f>
        <v>0.77964492924870721</v>
      </c>
    </row>
    <row r="69" spans="1:6" x14ac:dyDescent="0.2">
      <c r="B69" s="382" t="str">
        <f>Normalized_FCF!B118</f>
        <v>Total Assets/Equity</v>
      </c>
      <c r="C69" s="384">
        <f>Normalized_FCF!E118</f>
        <v>1.3537783359692717</v>
      </c>
      <c r="D69" s="384">
        <f>Normalized_FCF!G118</f>
        <v>1.3537783359692717</v>
      </c>
    </row>
    <row r="71" spans="1:6" ht="16" x14ac:dyDescent="0.25">
      <c r="A71" s="345" t="s">
        <v>476</v>
      </c>
      <c r="B71" s="345"/>
      <c r="C71" s="345"/>
      <c r="D71" s="345"/>
      <c r="E71" s="345"/>
      <c r="F71" s="345"/>
    </row>
    <row r="72" spans="1:6" x14ac:dyDescent="0.2">
      <c r="A72" s="385"/>
    </row>
    <row r="73" spans="1:6" x14ac:dyDescent="0.2">
      <c r="A73" s="386"/>
      <c r="B73" s="471" t="s">
        <v>510</v>
      </c>
      <c r="C73" s="471"/>
      <c r="D73" s="471"/>
      <c r="E73" s="471"/>
      <c r="F73" s="471"/>
    </row>
    <row r="74" spans="1:6" x14ac:dyDescent="0.2">
      <c r="B74" s="472" t="s">
        <v>479</v>
      </c>
      <c r="C74" s="472"/>
      <c r="D74" s="472"/>
      <c r="E74" s="472"/>
      <c r="F74" s="472"/>
    </row>
    <row r="76" spans="1:6" x14ac:dyDescent="0.2">
      <c r="B76" s="369" t="s">
        <v>371</v>
      </c>
    </row>
    <row r="77" spans="1:6" x14ac:dyDescent="0.2">
      <c r="B77" s="471" t="s">
        <v>511</v>
      </c>
      <c r="C77" s="471"/>
      <c r="D77" s="471"/>
      <c r="E77" s="471"/>
      <c r="F77" s="471"/>
    </row>
    <row r="78" spans="1:6" x14ac:dyDescent="0.2">
      <c r="B78" s="343" t="s">
        <v>215</v>
      </c>
      <c r="C78" s="373">
        <f>DCF!F4</f>
        <v>-1777313</v>
      </c>
      <c r="D78" s="343" t="str">
        <f>Reporting_currency</f>
        <v>CNY</v>
      </c>
    </row>
    <row r="79" spans="1:6" x14ac:dyDescent="0.2">
      <c r="B79" s="372" t="s">
        <v>234</v>
      </c>
      <c r="C79" s="387">
        <f>C78*scaling_factor*Exchange_Rate/Common_Shares</f>
        <v>-0.77807514302123271</v>
      </c>
      <c r="D79" s="343" t="str">
        <f>Market_currency</f>
        <v>HKD</v>
      </c>
    </row>
    <row r="80" spans="1:6" x14ac:dyDescent="0.2">
      <c r="B80" s="382" t="s">
        <v>309</v>
      </c>
      <c r="C80" s="388">
        <f>IF(BS!G31/BS!G27&gt;300%,"nm",BS!G31/BS!G27)</f>
        <v>6.5417684980282262E-2</v>
      </c>
    </row>
    <row r="81" spans="1:6" x14ac:dyDescent="0.2">
      <c r="B81" s="382" t="s">
        <v>311</v>
      </c>
      <c r="C81" s="389">
        <f>IF(BS!C50&gt;30,"nm",BS!C50)</f>
        <v>0.50358953318926281</v>
      </c>
    </row>
    <row r="83" spans="1:6" x14ac:dyDescent="0.2">
      <c r="B83" s="343" t="s">
        <v>512</v>
      </c>
    </row>
    <row r="84" spans="1:6" x14ac:dyDescent="0.2">
      <c r="B84" s="343" t="s">
        <v>224</v>
      </c>
      <c r="C84" s="373">
        <f>DCF!F5</f>
        <v>14777159.411218159</v>
      </c>
      <c r="D84" s="343" t="str">
        <f>Reporting_currency</f>
        <v>CNY</v>
      </c>
    </row>
    <row r="85" spans="1:6" x14ac:dyDescent="0.2">
      <c r="B85" s="382" t="s">
        <v>481</v>
      </c>
      <c r="C85" s="390">
        <f>BS!C66</f>
        <v>19190856</v>
      </c>
      <c r="D85" s="391" t="str">
        <f>Reporting_currency</f>
        <v>CNY</v>
      </c>
    </row>
    <row r="86" spans="1:6" x14ac:dyDescent="0.2">
      <c r="B86" s="372" t="s">
        <v>235</v>
      </c>
      <c r="C86" s="387">
        <f>C84*scaling_factor*Exchange_Rate/Common_Shares</f>
        <v>6.4691702712640504</v>
      </c>
      <c r="D86" s="343" t="str">
        <f>Market_currency</f>
        <v>HKD</v>
      </c>
    </row>
    <row r="88" spans="1:6" x14ac:dyDescent="0.2">
      <c r="B88" s="343" t="s">
        <v>513</v>
      </c>
    </row>
    <row r="89" spans="1:6" x14ac:dyDescent="0.2">
      <c r="B89" s="343" t="s">
        <v>217</v>
      </c>
      <c r="C89" s="373">
        <f>DCF!F6</f>
        <v>1668728.8</v>
      </c>
      <c r="D89" s="343" t="str">
        <f>Reporting_currency</f>
        <v>CNY</v>
      </c>
    </row>
    <row r="90" spans="1:6" x14ac:dyDescent="0.2">
      <c r="B90" s="372" t="s">
        <v>236</v>
      </c>
      <c r="C90" s="387">
        <f>C89*scaling_factor*Exchange_Rate/Common_Shares</f>
        <v>0.73053896512524807</v>
      </c>
      <c r="D90" s="343" t="str">
        <f>Market_currency</f>
        <v>HKD</v>
      </c>
    </row>
    <row r="92" spans="1:6" x14ac:dyDescent="0.2">
      <c r="B92" s="372" t="s">
        <v>480</v>
      </c>
      <c r="C92" s="387">
        <f>DCF!F8</f>
        <v>6.4216340933680662</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514</v>
      </c>
      <c r="C96" s="471"/>
      <c r="D96" s="471"/>
      <c r="E96" s="471"/>
      <c r="F96" s="471"/>
    </row>
    <row r="97" spans="1:6" x14ac:dyDescent="0.2">
      <c r="A97" s="385"/>
      <c r="B97" s="472" t="s">
        <v>515</v>
      </c>
      <c r="C97" s="472"/>
      <c r="D97" s="472"/>
      <c r="E97" s="472"/>
      <c r="F97" s="472"/>
    </row>
    <row r="98" spans="1:6" x14ac:dyDescent="0.2">
      <c r="A98" s="385"/>
      <c r="B98" s="472" t="s">
        <v>516</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1" t="s">
        <v>517</v>
      </c>
      <c r="C107" s="471"/>
      <c r="D107" s="471"/>
      <c r="E107" s="471"/>
      <c r="F107" s="471"/>
    </row>
    <row r="108" spans="1:6" x14ac:dyDescent="0.2">
      <c r="A108" s="385"/>
      <c r="B108" s="471" t="s">
        <v>536</v>
      </c>
      <c r="C108" s="471"/>
      <c r="D108" s="471"/>
      <c r="E108" s="471"/>
      <c r="F108" s="471"/>
    </row>
    <row r="109" spans="1:6" x14ac:dyDescent="0.2">
      <c r="A109" s="385"/>
    </row>
    <row r="110" spans="1:6" x14ac:dyDescent="0.2">
      <c r="A110" s="385"/>
      <c r="B110" s="369" t="s">
        <v>489</v>
      </c>
    </row>
    <row r="111" spans="1:6" x14ac:dyDescent="0.2">
      <c r="A111" s="385"/>
      <c r="B111" s="375" t="s">
        <v>486</v>
      </c>
      <c r="C111" s="394">
        <f>BS!D47</f>
        <v>5.6443831570809282</v>
      </c>
      <c r="D111" s="343" t="str">
        <f>Market_currency</f>
        <v>HKD</v>
      </c>
    </row>
    <row r="112" spans="1:6" x14ac:dyDescent="0.2">
      <c r="A112" s="385"/>
      <c r="B112" s="372" t="s">
        <v>377</v>
      </c>
      <c r="C112" s="394">
        <f>DCF!C11</f>
        <v>28.424012071223068</v>
      </c>
      <c r="D112" s="343" t="str">
        <f>Market_currency</f>
        <v>HKD</v>
      </c>
    </row>
    <row r="113" spans="1:6" x14ac:dyDescent="0.2">
      <c r="A113" s="385"/>
    </row>
    <row r="114" spans="1:6" x14ac:dyDescent="0.2">
      <c r="A114" s="385"/>
      <c r="B114" s="471" t="s">
        <v>518</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0.1</v>
      </c>
      <c r="D118" s="397">
        <f>DCF!D90</f>
        <v>10</v>
      </c>
      <c r="E118" s="398" t="str">
        <f>ROUND(DCF!E90,2)&amp;" "&amp;Market_currency</f>
        <v>36.38 HKD</v>
      </c>
      <c r="F118" s="399">
        <f>DCF!F90</f>
        <v>0.05</v>
      </c>
    </row>
    <row r="119" spans="1:6" x14ac:dyDescent="0.2">
      <c r="A119" s="385"/>
      <c r="B119" s="400" t="str">
        <f>DCF!B91</f>
        <v>Optimistic</v>
      </c>
      <c r="C119" s="401">
        <f>DCF!C91</f>
        <v>0.06</v>
      </c>
      <c r="D119" s="402">
        <f>DCF!D91</f>
        <v>10</v>
      </c>
      <c r="E119" s="398" t="str">
        <f>ROUND(DCF!E91,2)&amp;" "&amp;Market_currency</f>
        <v>30.44 HKD</v>
      </c>
      <c r="F119" s="403">
        <f>DCF!F91</f>
        <v>0.22499999999999992</v>
      </c>
    </row>
    <row r="120" spans="1:6" x14ac:dyDescent="0.2">
      <c r="B120" s="400" t="str">
        <f>DCF!B92</f>
        <v>Base</v>
      </c>
      <c r="C120" s="401">
        <f>DCF!C92</f>
        <v>0.04</v>
      </c>
      <c r="D120" s="402">
        <f>DCF!D92</f>
        <v>10</v>
      </c>
      <c r="E120" s="398" t="str">
        <f>ROUND(DCF!E92,2)&amp;" "&amp;Market_currency</f>
        <v>27.91 HKD</v>
      </c>
      <c r="F120" s="403">
        <f>DCF!F92</f>
        <v>0.495</v>
      </c>
    </row>
    <row r="121" spans="1:6" x14ac:dyDescent="0.2">
      <c r="B121" s="400" t="str">
        <f>DCF!B93</f>
        <v>Pessimistic</v>
      </c>
      <c r="C121" s="401">
        <f>DCF!C93</f>
        <v>0.02</v>
      </c>
      <c r="D121" s="402">
        <f>DCF!D93</f>
        <v>10</v>
      </c>
      <c r="E121" s="398" t="str">
        <f>ROUND(DCF!E93,2)&amp;" "&amp;Market_currency</f>
        <v>25.63 HKD</v>
      </c>
      <c r="F121" s="403">
        <f>DCF!F93</f>
        <v>0.18</v>
      </c>
    </row>
    <row r="122" spans="1:6" x14ac:dyDescent="0.2">
      <c r="B122" s="400" t="str">
        <f>DCF!B94</f>
        <v>Devil's advocate</v>
      </c>
      <c r="C122" s="401">
        <f>DCF!C94</f>
        <v>-0.05</v>
      </c>
      <c r="D122" s="402">
        <f>DCF!D94</f>
        <v>10</v>
      </c>
      <c r="E122" s="398" t="str">
        <f>ROUND(DCF!E94,2)&amp;" "&amp;Market_currency</f>
        <v>19.37 HKD</v>
      </c>
      <c r="F122" s="403">
        <f>DCF!F94</f>
        <v>0.05</v>
      </c>
    </row>
    <row r="124" spans="1:6" x14ac:dyDescent="0.2">
      <c r="B124" s="470" t="s">
        <v>519</v>
      </c>
      <c r="C124" s="470"/>
      <c r="D124" s="470"/>
      <c r="E124" s="470"/>
      <c r="F124" s="470"/>
    </row>
    <row r="125" spans="1:6" x14ac:dyDescent="0.2">
      <c r="B125" s="372" t="s">
        <v>218</v>
      </c>
      <c r="C125" s="404">
        <f>Scenarios!C36</f>
        <v>28.064132775417118</v>
      </c>
      <c r="D125" s="343" t="str">
        <f>Market_currency</f>
        <v>HKD</v>
      </c>
    </row>
    <row r="127" spans="1:6" x14ac:dyDescent="0.2">
      <c r="B127" s="475" t="s">
        <v>520</v>
      </c>
      <c r="C127" s="475"/>
      <c r="D127" s="475"/>
      <c r="E127" s="475"/>
      <c r="F127" s="475"/>
    </row>
    <row r="129" spans="1:6" ht="16" x14ac:dyDescent="0.25">
      <c r="A129" s="345" t="s">
        <v>492</v>
      </c>
      <c r="B129" s="345"/>
      <c r="C129" s="345"/>
      <c r="D129" s="345"/>
      <c r="E129" s="345"/>
      <c r="F129" s="345"/>
    </row>
    <row r="131" spans="1:6" x14ac:dyDescent="0.2">
      <c r="B131" s="476" t="s">
        <v>521</v>
      </c>
      <c r="C131" s="476"/>
      <c r="D131" s="476"/>
      <c r="E131" s="476"/>
      <c r="F131" s="476"/>
    </row>
    <row r="132" spans="1:6" ht="24.5" customHeight="1" x14ac:dyDescent="0.2">
      <c r="B132" s="471" t="s">
        <v>522</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0.51679814505085875</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0.94566390025210001</v>
      </c>
      <c r="D140" s="409">
        <f>Scenarios!D62</f>
        <v>12.932780080837384</v>
      </c>
      <c r="E140" s="410">
        <f>Scenarios!E62</f>
        <v>13.878443981089484</v>
      </c>
      <c r="F140" s="411">
        <f>E22</f>
        <v>0.29465259038036606</v>
      </c>
    </row>
    <row r="141" spans="1:6" x14ac:dyDescent="0.2">
      <c r="B141" s="408" t="s">
        <v>313</v>
      </c>
      <c r="C141" s="409">
        <f>Scenarios!C63</f>
        <v>1.0873453371283444</v>
      </c>
      <c r="D141" s="409">
        <f>Scenarios!D63</f>
        <v>16.210329400962962</v>
      </c>
      <c r="E141" s="410">
        <f>Scenarios!E63</f>
        <v>17.297674738091306</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1.2468288202289972</v>
      </c>
      <c r="D144" s="409">
        <f>Scenarios!D66</f>
        <v>20.115258837727577</v>
      </c>
      <c r="E144" s="410">
        <f>Scenarios!E66</f>
        <v>21.362087657956575</v>
      </c>
      <c r="F144" s="411">
        <f>E24</f>
        <v>0.1174</v>
      </c>
    </row>
    <row r="145" spans="1:6" x14ac:dyDescent="0.2">
      <c r="B145" s="408" t="s">
        <v>314</v>
      </c>
      <c r="C145" s="409">
        <f>Scenarios!C67</f>
        <v>1.3500706715798303</v>
      </c>
      <c r="D145" s="409">
        <f>Scenarios!D67</f>
        <v>22.748864495909054</v>
      </c>
      <c r="E145" s="410">
        <f>Scenarios!E67</f>
        <v>24.098935167488882</v>
      </c>
      <c r="F145" s="411">
        <f>Scenarios!F67</f>
        <v>7.2499999999999995E-2</v>
      </c>
    </row>
    <row r="147" spans="1:6" ht="16" x14ac:dyDescent="0.25">
      <c r="A147" s="345" t="s">
        <v>475</v>
      </c>
      <c r="B147" s="345"/>
      <c r="C147" s="345"/>
      <c r="D147" s="345"/>
      <c r="E147" s="345"/>
      <c r="F147" s="345"/>
    </row>
    <row r="149" spans="1:6" x14ac:dyDescent="0.2">
      <c r="B149" s="477" t="s">
        <v>523</v>
      </c>
      <c r="C149" s="471"/>
      <c r="D149" s="471"/>
      <c r="E149" s="471"/>
      <c r="F149" s="471"/>
    </row>
    <row r="151" spans="1:6" x14ac:dyDescent="0.2">
      <c r="B151" s="369" t="s">
        <v>384</v>
      </c>
    </row>
    <row r="152" spans="1:6" x14ac:dyDescent="0.2">
      <c r="B152" s="473" t="s">
        <v>524</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