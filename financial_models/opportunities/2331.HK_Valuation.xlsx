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1C7A8F30-F551-1F4F-8009-0547A00DD71E}"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<sst xmlns="http://schemas.openxmlformats.org/spreadsheetml/2006/main" count="685" uniqueCount="466">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</sst>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45778</v>
      </c>
      <c r="D1" s="316" t="s">
        <v>450</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2584797906</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15.3</v>
      </c>
      <c r="D12" s="50"/>
      <c r="E12" s="48"/>
    </row>
    <row r="13" spans="1:10" x14ac:dyDescent="0.15">
      <c r="B13" s="1" t="s">
        <v>416</v>
      </c>
      <c r="C13" s="48" t="s">
        <v>396</v>
      </c>
      <c r="D13" s="48"/>
      <c r="E13" s="5"/>
    </row>
    <row r="14" spans="1:10" x14ac:dyDescent="0.15">
      <c r="B14" s="4" t="s">
        <v>420</v>
      </c>
      <c r="C14" s="35">
        <f>Thesis!C12*Common_Shares/1000000</f>
        <v>39547.407961800003</v>
      </c>
      <c r="D14" s="35" t="str">
        <f>IF(D11="","",Thesis!D12*Common_Shares/1000000)</f>
        <v/>
      </c>
      <c r="E14" s="5"/>
    </row>
    <row r="15" spans="1:10" x14ac:dyDescent="0.15">
      <c r="B15" s="4" t="s">
        <v>419</v>
      </c>
      <c r="C15" s="32" t="str">
        <f>IF(C25=C13,C13,C25&amp;"/"&amp;C13)</f>
        <v>CNY/HKD</v>
      </c>
      <c r="D15" s="32" t="str">
        <f>IF(D11="","",IF(C25=D13,D13,C25&amp;"/"&amp;D13))</f>
        <v/>
      </c>
      <c r="E15" s="5"/>
    </row>
    <row r="16" spans="1:10" x14ac:dyDescent="0.15">
      <c r="B16" s="4" t="s">
        <v>1</v>
      </c>
      <c r="C16" s="50">
        <v>1.0889065499999999</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(HKD) :</v>
      </c>
      <c r="C26" s="304">
        <f>C132</f>
        <v>25.508289678397844</v>
      </c>
      <c r="D26" s="1" t="s">
        <v>399</v>
      </c>
      <c r="E26" s="301">
        <f ca="1">Scenarios!C87</f>
        <v>0.21573360804833119</v>
      </c>
    </row>
    <row r="27" spans="2:6" x14ac:dyDescent="0.15">
      <c r="D27" s="5"/>
      <c r="E27" s="5"/>
    </row>
    <row r="28" spans="2:6" x14ac:dyDescent="0.15">
      <c r="B28" s="45" t="s">
        <v>433</v>
      </c>
      <c r="C28" s="309" t="str">
        <f>C145&amp;" ("&amp;Market_currency&amp;")"</f>
        <v>2331.HK (HKD)</v>
      </c>
      <c r="D28" s="309" t="str">
        <f>IF(D11="","",D145&amp;" ("&amp;D13&amp;")")</f>
        <v/>
      </c>
      <c r="E28" s="305" t="s">
        <v>429</v>
      </c>
      <c r="F28" s="303">
        <v>3</v>
      </c>
    </row>
    <row r="29" spans="2:6" x14ac:dyDescent="0.15">
      <c r="B29" s="1" t="s">
        <v>425</v>
      </c>
      <c r="C29" s="310">
        <f>C149</f>
        <v>10.866912181465391</v>
      </c>
      <c r="D29" s="310" t="str">
        <f>D149</f>
        <v/>
      </c>
      <c r="E29" s="306" t="s">
        <v>424</v>
      </c>
      <c r="F29" s="302">
        <v>0.3674</v>
      </c>
    </row>
    <row r="30" spans="2:6" x14ac:dyDescent="0.15">
      <c r="B30" s="1" t="s">
        <v>426</v>
      </c>
      <c r="C30" s="311">
        <f>C157</f>
        <v>15.23896036462031</v>
      </c>
      <c r="D30" s="311" t="str">
        <f>D157</f>
        <v/>
      </c>
      <c r="E30" s="307" t="s">
        <v>437</v>
      </c>
      <c r="F30" s="312">
        <v>0.21740000000000001</v>
      </c>
    </row>
    <row r="31" spans="2:6" x14ac:dyDescent="0.15">
      <c r="B31" s="1" t="s">
        <v>427</v>
      </c>
      <c r="C31" s="311">
        <f>C165</f>
        <v>21.929786272608666</v>
      </c>
      <c r="D31" s="311" t="str">
        <f>D165</f>
        <v/>
      </c>
      <c r="E31" s="307" t="s">
        <v>436</v>
      </c>
      <c r="F31" s="312">
        <v>7.4999999999999997E-2</v>
      </c>
    </row>
    <row r="32" spans="2:6" x14ac:dyDescent="0.15">
      <c r="B32" s="1" t="s">
        <v>428</v>
      </c>
      <c r="C32" s="311">
        <f>C173</f>
        <v>19.57902630867569</v>
      </c>
      <c r="D32" s="311" t="str">
        <f>D173</f>
        <v/>
      </c>
      <c r="E32" s="307" t="s">
        <v>438</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v>
      </c>
    </row>
    <row r="40" spans="1:6" ht="24.5" customHeight="1" x14ac:dyDescent="0.15">
      <c r="B40" s="357" t="s">
        <v>231</v>
      </c>
      <c r="C40" s="357"/>
      <c r="D40" s="357"/>
      <c r="E40" s="357"/>
      <c r="F40" s="357"/>
    </row>
    <row r="41" spans="1:6" x14ac:dyDescent="0.15">
      <c r="B41" s="47" t="s">
        <v>232</v>
      </c>
      <c r="C41" s="349">
        <f>Normalized_FCF!C8</f>
        <v>3205414.6239021346</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0</v>
      </c>
      <c r="D44" s="1" t="str">
        <f>Reporting_currency</f>
        <v>CNY</v>
      </c>
    </row>
    <row r="45" spans="1:6" x14ac:dyDescent="0.15">
      <c r="B45" s="52" t="s">
        <v>235</v>
      </c>
      <c r="C45" s="349">
        <f>Normalized_FCF!C10</f>
        <v>0</v>
      </c>
      <c r="D45" s="1" t="str">
        <f>Reporting_currency</f>
        <v>CNY</v>
      </c>
    </row>
    <row r="47" spans="1:6" x14ac:dyDescent="0.15">
      <c r="B47" s="357" t="s">
        <v>236</v>
      </c>
      <c r="C47" s="357"/>
      <c r="D47" s="357"/>
      <c r="E47" s="357"/>
      <c r="F47" s="357"/>
    </row>
    <row r="48" spans="1:6" x14ac:dyDescent="0.15">
      <c r="B48" s="47" t="s">
        <v>237</v>
      </c>
      <c r="C48" s="349">
        <f>Normalized_FCF!C11</f>
        <v>179409.3</v>
      </c>
      <c r="D48" s="1" t="str">
        <f>Reporting_currency</f>
        <v>CNY</v>
      </c>
    </row>
    <row r="50" spans="2:6" x14ac:dyDescent="0.15">
      <c r="B50" s="357" t="s">
        <v>240</v>
      </c>
      <c r="C50" s="357"/>
      <c r="D50" s="357"/>
      <c r="E50" s="357"/>
      <c r="F50" s="357"/>
    </row>
    <row r="51" spans="2:6" x14ac:dyDescent="0.15">
      <c r="B51" s="47" t="s">
        <v>340</v>
      </c>
      <c r="C51" s="350">
        <f>Normalized_FCF!C48</f>
        <v>95947.724858476911</v>
      </c>
      <c r="D51" s="1" t="str">
        <f>Reporting_currency</f>
        <v>CNY</v>
      </c>
      <c r="E51" s="286"/>
      <c r="F51" s="286"/>
    </row>
    <row r="52" spans="2:6" x14ac:dyDescent="0.15">
      <c r="B52" s="47" t="s">
        <v>341</v>
      </c>
      <c r="C52" s="350">
        <f>Normalized_FCF!C47</f>
        <v>-254421</v>
      </c>
      <c r="D52" s="1" t="str">
        <f>Reporting_currency</f>
        <v>CNY</v>
      </c>
      <c r="E52" s="286"/>
      <c r="F52" s="286"/>
    </row>
    <row r="53" spans="2:6" x14ac:dyDescent="0.15">
      <c r="B53" s="47" t="s">
        <v>238</v>
      </c>
      <c r="C53" s="349">
        <f>Normalized_FCF!C12</f>
        <v>-158473.2751415231</v>
      </c>
      <c r="D53" s="1" t="str">
        <f>Reporting_currency</f>
        <v>CNY</v>
      </c>
    </row>
    <row r="55" spans="2:6" x14ac:dyDescent="0.15">
      <c r="B55" s="1" t="s">
        <v>246</v>
      </c>
    </row>
    <row r="56" spans="2:6" x14ac:dyDescent="0.15">
      <c r="B56" s="47" t="s">
        <v>265</v>
      </c>
      <c r="C56" s="349">
        <f>Normalized_FCF!C15</f>
        <v>0</v>
      </c>
      <c r="D56" s="1" t="str">
        <f>Reporting_currency</f>
        <v>CNY</v>
      </c>
    </row>
    <row r="58" spans="2:6" x14ac:dyDescent="0.15">
      <c r="B58" s="357" t="s">
        <v>241</v>
      </c>
      <c r="C58" s="357"/>
      <c r="D58" s="357"/>
      <c r="E58" s="357"/>
      <c r="F58" s="357"/>
    </row>
    <row r="59" spans="2:6" x14ac:dyDescent="0.15">
      <c r="B59" s="47" t="s">
        <v>239</v>
      </c>
      <c r="C59" s="349">
        <f>Normalized_FCF!C14</f>
        <v>-806587.6621901528</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2532238.998858477</v>
      </c>
      <c r="D67" s="1" t="str">
        <f>Reporting_currency</f>
        <v>CNY</v>
      </c>
    </row>
    <row r="68" spans="1:6" x14ac:dyDescent="0.15">
      <c r="B68" s="47" t="s">
        <v>248</v>
      </c>
      <c r="C68" s="349">
        <f>Normalized_FCF!C19</f>
        <v>2419762.9865704584</v>
      </c>
      <c r="D68" s="1" t="str">
        <f>Reporting_currency</f>
        <v>CNY</v>
      </c>
    </row>
    <row r="69" spans="1:6" x14ac:dyDescent="0.15">
      <c r="B69" s="227" t="s">
        <v>390</v>
      </c>
      <c r="C69" s="92">
        <f>Normalized_FCF!C125</f>
        <v>6.6626256974142456E-2</v>
      </c>
      <c r="F69" s="314"/>
    </row>
    <row r="70" spans="1:6" x14ac:dyDescent="0.15">
      <c r="B70" s="227" t="s">
        <v>308</v>
      </c>
      <c r="C70" s="92">
        <f>Normalized_FCF!C93</f>
        <v>3.5101471491949629E-2</v>
      </c>
      <c r="E70" s="47" t="s">
        <v>448</v>
      </c>
      <c r="F70" s="315">
        <f>Normalized_FCF!C92</f>
        <v>0.57368106746648262</v>
      </c>
    </row>
    <row r="72" spans="1:6" x14ac:dyDescent="0.15">
      <c r="B72" s="210" t="s">
        <v>451</v>
      </c>
      <c r="C72" s="323" t="s">
        <v>453</v>
      </c>
      <c r="D72" s="323" t="s">
        <v>454</v>
      </c>
    </row>
    <row r="73" spans="1:6" x14ac:dyDescent="0.15">
      <c r="B73" s="47" t="s">
        <v>452</v>
      </c>
      <c r="C73" s="92">
        <f>Normalized_FCF!C120</f>
        <v>0.12359749799197391</v>
      </c>
      <c r="D73" s="92">
        <f>Normalized_FCF!G120</f>
        <v>0.13901981435874741</v>
      </c>
    </row>
    <row r="74" spans="1:6" x14ac:dyDescent="0.15">
      <c r="B74" s="259" t="str">
        <f>Normalized_FCF!B117</f>
        <v>Pre-tax Profit/Sales</v>
      </c>
      <c r="C74" s="322">
        <f>Normalized_FCF!C117</f>
        <v>0.12331989971965779</v>
      </c>
      <c r="D74" s="322">
        <f>Normalized_FCF!G117</f>
        <v>0.1265509547199509</v>
      </c>
    </row>
    <row r="75" spans="1:6" x14ac:dyDescent="0.15">
      <c r="B75" s="259" t="str">
        <f>Normalized_FCF!B118</f>
        <v>Sales/Total Assets</v>
      </c>
      <c r="C75" s="324">
        <f>Normalized_FCF!C118</f>
        <v>0.73266920679685343</v>
      </c>
      <c r="D75" s="324">
        <f>Normalized_FCF!G118</f>
        <v>0.80305021176246283</v>
      </c>
    </row>
    <row r="76" spans="1:6" x14ac:dyDescent="0.15">
      <c r="B76" s="259" t="str">
        <f>Normalized_FCF!B119</f>
        <v>Total Assets/Equity</v>
      </c>
      <c r="C76" s="324">
        <f>Normalized_FCF!C119</f>
        <v>1.3679448142367923</v>
      </c>
      <c r="D76" s="324">
        <f>Normalized_FCF!G119</f>
        <v>1.3679448142367923</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7.4999999999999997E-2</v>
      </c>
    </row>
    <row r="85" spans="1:6" x14ac:dyDescent="0.15">
      <c r="B85" s="1" t="s">
        <v>430</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13.59175642272506</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1936137</v>
      </c>
      <c r="D102" s="1" t="str">
        <f>Reporting_currency</f>
        <v>CNY</v>
      </c>
    </row>
    <row r="103" spans="2:6" x14ac:dyDescent="0.15">
      <c r="B103" s="47" t="s">
        <v>281</v>
      </c>
      <c r="C103" s="223">
        <f>C102*scaling_factor*Exchange_Rate/Common_Shares</f>
        <v>0.81564297777535799</v>
      </c>
      <c r="D103" s="1" t="str">
        <f>Market_currency</f>
        <v>HKD</v>
      </c>
    </row>
    <row r="104" spans="2:6" x14ac:dyDescent="0.15">
      <c r="B104" s="296" t="s">
        <v>404</v>
      </c>
      <c r="C104" s="325">
        <f>IF(BS!G31/BS!G27&gt;300%,"nm",BS!G31/BS!G27)</f>
        <v>7.4171010848313429E-2</v>
      </c>
    </row>
    <row r="105" spans="2:6" x14ac:dyDescent="0.15">
      <c r="B105" s="296" t="s">
        <v>406</v>
      </c>
      <c r="C105" s="326">
        <f>IF(BS!C50&gt;30,"nm",BS!C50)</f>
        <v>0.60402076709908736</v>
      </c>
    </row>
    <row r="107" spans="2:6" x14ac:dyDescent="0.15">
      <c r="B107" s="1" t="s">
        <v>254</v>
      </c>
    </row>
    <row r="108" spans="2:6" x14ac:dyDescent="0.15">
      <c r="B108" s="47" t="s">
        <v>264</v>
      </c>
      <c r="C108" s="349">
        <f>BS!C66</f>
        <v>18164188</v>
      </c>
      <c r="D108" s="1" t="str">
        <f>Reporting_currency</f>
        <v>CNY</v>
      </c>
    </row>
    <row r="109" spans="2:6" x14ac:dyDescent="0.15">
      <c r="B109" s="47" t="s">
        <v>266</v>
      </c>
      <c r="C109" s="349">
        <f>DCF!C8</f>
        <v>14106653.485125085</v>
      </c>
      <c r="D109" s="1" t="str">
        <f>Reporting_currency</f>
        <v>CNY</v>
      </c>
    </row>
    <row r="110" spans="2:6" x14ac:dyDescent="0.15">
      <c r="B110" s="47" t="s">
        <v>282</v>
      </c>
      <c r="C110" s="223">
        <f>C109*scaling_factor*Exchange_Rate/Common_Shares</f>
        <v>5.9427575915612145</v>
      </c>
      <c r="D110" s="1" t="str">
        <f>Market_currency</f>
        <v>HKD</v>
      </c>
    </row>
    <row r="112" spans="2:6" x14ac:dyDescent="0.15">
      <c r="B112" s="1" t="s">
        <v>256</v>
      </c>
    </row>
    <row r="113" spans="1:6" x14ac:dyDescent="0.15">
      <c r="B113" s="47" t="s">
        <v>257</v>
      </c>
      <c r="C113" s="349">
        <f>DCF!C9</f>
        <v>561572.19999999995</v>
      </c>
      <c r="D113" s="1" t="str">
        <f>Reporting_currency</f>
        <v>CNY</v>
      </c>
    </row>
    <row r="114" spans="1:6" x14ac:dyDescent="0.15">
      <c r="B114" s="47" t="s">
        <v>283</v>
      </c>
      <c r="C114" s="223">
        <f>C113*scaling_factor*Exchange_Rate/Common_Shares</f>
        <v>0.23657541870428531</v>
      </c>
      <c r="D114" s="1" t="str">
        <f>Market_currency</f>
        <v>HKD</v>
      </c>
    </row>
    <row r="116" spans="1:6" ht="24.5" customHeight="1" x14ac:dyDescent="0.15">
      <c r="B116" s="356" t="s">
        <v>366</v>
      </c>
      <c r="C116" s="356"/>
      <c r="D116" s="356"/>
      <c r="E116" s="356"/>
      <c r="F116" s="356"/>
    </row>
    <row r="118" spans="1:6" x14ac:dyDescent="0.15">
      <c r="B118" s="47" t="s">
        <v>449</v>
      </c>
      <c r="C118" s="223">
        <f>IF(valuation_method="DCF",DCF!C12,DDM!C7)</f>
        <v>18.955446455215206</v>
      </c>
      <c r="D118" s="1" t="str">
        <f>Market_currency</f>
        <v>HKD</v>
      </c>
    </row>
    <row r="119" spans="1:6" x14ac:dyDescent="0.15">
      <c r="B119" s="296" t="s">
        <v>405</v>
      </c>
      <c r="C119" s="223">
        <f>BS!D47</f>
        <v>4.5906198323708622</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0.1</v>
      </c>
      <c r="D126" s="230">
        <f>DCF!D74</f>
        <v>30</v>
      </c>
      <c r="E126" s="231" t="str">
        <f>ROUND(IF(valuation_method="DCF",DCF!E74,DDM!E69),2)&amp;" "&amp;Market_currency</f>
        <v>51.61 HKD</v>
      </c>
      <c r="F126" s="232">
        <f>DCF!F74</f>
        <v>0.05</v>
      </c>
    </row>
    <row r="127" spans="1:6" x14ac:dyDescent="0.15">
      <c r="B127" s="218" t="str">
        <f>DCF!B75</f>
        <v>Optimistic</v>
      </c>
      <c r="C127" s="219">
        <f>DCF!C75</f>
        <v>0.06</v>
      </c>
      <c r="D127" s="220">
        <f>DCF!D75</f>
        <v>20</v>
      </c>
      <c r="E127" s="231" t="str">
        <f>ROUND(IF(valuation_method="DCF",DCF!E75,DDM!E70),2)&amp;" "&amp;Market_currency</f>
        <v>26.4 HKD</v>
      </c>
      <c r="F127" s="221">
        <f>DCF!F75</f>
        <v>0.22499999999999992</v>
      </c>
    </row>
    <row r="128" spans="1:6" x14ac:dyDescent="0.15">
      <c r="B128" s="218" t="str">
        <f>DCF!B76</f>
        <v>Base</v>
      </c>
      <c r="C128" s="219">
        <f>DCF!C76</f>
        <v>0.05</v>
      </c>
      <c r="D128" s="220">
        <f>DCF!D76</f>
        <v>20</v>
      </c>
      <c r="E128" s="231" t="str">
        <f>ROUND(IF(valuation_method="DCF",DCF!E76,DDM!E71),2)&amp;" "&amp;Market_currency</f>
        <v>24.79 HKD</v>
      </c>
      <c r="F128" s="221">
        <f>DCF!F76</f>
        <v>0.495</v>
      </c>
    </row>
    <row r="129" spans="1:6" x14ac:dyDescent="0.15">
      <c r="B129" s="218" t="str">
        <f>DCF!B77</f>
        <v>Pessimistic</v>
      </c>
      <c r="C129" s="219">
        <f>DCF!C77</f>
        <v>0.02</v>
      </c>
      <c r="D129" s="220">
        <f>DCF!D77</f>
        <v>20</v>
      </c>
      <c r="E129" s="231" t="str">
        <f>ROUND(IF(valuation_method="DCF",DCF!E77,DDM!E72),2)&amp;" "&amp;Market_currency</f>
        <v>20.92 HKD</v>
      </c>
      <c r="F129" s="221">
        <f>DCF!F77</f>
        <v>0.18</v>
      </c>
    </row>
    <row r="130" spans="1:6" x14ac:dyDescent="0.15">
      <c r="B130" s="218" t="str">
        <f>DCF!B78</f>
        <v>Devil's advocate</v>
      </c>
      <c r="C130" s="219">
        <f>DCF!C78</f>
        <v>0</v>
      </c>
      <c r="D130" s="220">
        <f>DCF!D78</f>
        <v>30</v>
      </c>
      <c r="E130" s="231" t="str">
        <f>ROUND(IF(valuation_method="DCF",DCF!E78,DDM!E73),2)&amp;" "&amp;Market_currency</f>
        <v>18.96 HKD</v>
      </c>
      <c r="F130" s="221">
        <f>DCF!F78</f>
        <v>0.05</v>
      </c>
    </row>
    <row r="132" spans="1:6" x14ac:dyDescent="0.15">
      <c r="B132" s="211" t="s">
        <v>258</v>
      </c>
      <c r="C132" s="217">
        <f>Scenarios!C60</f>
        <v>25.508289678397844</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0.53705251382682939</v>
      </c>
      <c r="D143" s="212" t="str">
        <f>Market_currency</f>
        <v>HKD</v>
      </c>
    </row>
    <row r="145" spans="2:4" x14ac:dyDescent="0.15">
      <c r="B145" s="210" t="s">
        <v>408</v>
      </c>
      <c r="C145" s="241" t="str">
        <f>C11</f>
        <v>2331.HK</v>
      </c>
      <c r="D145" s="241" t="str">
        <f>IF(D11="","",D11)</f>
        <v/>
      </c>
    </row>
    <row r="146" spans="2:4" x14ac:dyDescent="0.15">
      <c r="B146" s="1" t="s">
        <v>407</v>
      </c>
      <c r="C146" s="297">
        <f>F29</f>
        <v>0.3674</v>
      </c>
    </row>
    <row r="147" spans="2:4" x14ac:dyDescent="0.15">
      <c r="B147" s="212" t="str">
        <f>"PV("&amp;C141&amp;" yrs of Dividends)"</f>
        <v>PV(3 yrs of Dividends)</v>
      </c>
      <c r="C147" s="216">
        <f>Scenarios!C81</f>
        <v>0.89003528352783778</v>
      </c>
    </row>
    <row r="148" spans="2:4" x14ac:dyDescent="0.15">
      <c r="B148" s="212" t="str">
        <f>"+ PV(Equity Value realized at year "&amp;C141&amp;")"</f>
        <v>+ PV(Equity Value realized at year 3)</v>
      </c>
      <c r="C148" s="216">
        <f>Scenarios!C82</f>
        <v>9.9768768979375526</v>
      </c>
    </row>
    <row r="149" spans="2:4" x14ac:dyDescent="0.15">
      <c r="B149" s="80" t="s">
        <v>260</v>
      </c>
      <c r="C149" s="215">
        <f>Scenarios!C83</f>
        <v>10.866912181465391</v>
      </c>
      <c r="D149" s="300" t="str">
        <f>IF($D$11="","",C149*$E$25)</f>
        <v/>
      </c>
    </row>
    <row r="150" spans="2:4" x14ac:dyDescent="0.15">
      <c r="B150" s="259" t="s">
        <v>416</v>
      </c>
      <c r="C150" s="298" t="str">
        <f>Market_currency</f>
        <v>HKD</v>
      </c>
      <c r="D150" s="298" t="str">
        <f>IF($D$11="","",D$13)</f>
        <v/>
      </c>
    </row>
    <row r="151" spans="2:4" x14ac:dyDescent="0.15">
      <c r="B151" s="214" t="s">
        <v>262</v>
      </c>
      <c r="C151" s="92">
        <f>Scenarios!F83</f>
        <v>0.57398507236381935</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1.1011729168092663</v>
      </c>
    </row>
    <row r="156" spans="2:4" x14ac:dyDescent="0.15">
      <c r="B156" s="212" t="str">
        <f>"+ PV(Equity Value realized at year "&amp;C141&amp;")"</f>
        <v>+ PV(Equity Value realized at year 3)</v>
      </c>
      <c r="C156" s="216">
        <f>Scenarios!C92</f>
        <v>14.137787447811043</v>
      </c>
    </row>
    <row r="157" spans="2:4" x14ac:dyDescent="0.15">
      <c r="B157" s="80" t="s">
        <v>260</v>
      </c>
      <c r="C157" s="215">
        <f>Scenarios!C93</f>
        <v>15.23896036462031</v>
      </c>
      <c r="D157" s="300" t="str">
        <f>IF($D$11="","",C157*$E$25)</f>
        <v/>
      </c>
    </row>
    <row r="158" spans="2:4" x14ac:dyDescent="0.15">
      <c r="B158" s="259" t="s">
        <v>416</v>
      </c>
      <c r="C158" s="298" t="str">
        <f>Market_currency</f>
        <v>HKD</v>
      </c>
      <c r="D158" s="298" t="str">
        <f>IF($D$11="","",D$13)</f>
        <v/>
      </c>
    </row>
    <row r="159" spans="2:4" x14ac:dyDescent="0.15">
      <c r="B159" s="214" t="s">
        <v>262</v>
      </c>
      <c r="C159" s="92">
        <f>Scenarios!F93</f>
        <v>0.40258792115232644</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1.3966188858696114</v>
      </c>
    </row>
    <row r="164" spans="2:4" x14ac:dyDescent="0.15">
      <c r="B164" s="212" t="str">
        <f>"+ PV(Equity Value realized at year "&amp;C141&amp;")"</f>
        <v>+ PV(Equity Value realized at year 3)</v>
      </c>
      <c r="C164" s="216">
        <f>Scenarios!C98</f>
        <v>20.533167386739056</v>
      </c>
    </row>
    <row r="165" spans="2:4" x14ac:dyDescent="0.15">
      <c r="B165" s="80" t="s">
        <v>401</v>
      </c>
      <c r="C165" s="215">
        <f>Scenarios!C99</f>
        <v>21.929786272608666</v>
      </c>
      <c r="D165" s="300" t="str">
        <f>IF($D$11="","",C165*$E$25)</f>
        <v/>
      </c>
    </row>
    <row r="166" spans="2:4" x14ac:dyDescent="0.15">
      <c r="B166" s="259" t="s">
        <v>416</v>
      </c>
      <c r="C166" s="298" t="str">
        <f>Market_currency</f>
        <v>HKD</v>
      </c>
      <c r="D166" s="298" t="str">
        <f>IF($D$11="","",D$13)</f>
        <v/>
      </c>
    </row>
    <row r="167" spans="2:4" x14ac:dyDescent="0.15">
      <c r="B167" s="214" t="s">
        <v>262</v>
      </c>
      <c r="C167" s="92">
        <f>Scenarios!F99</f>
        <v>0.14028786135433058</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1.2956945736518182</v>
      </c>
    </row>
    <row r="172" spans="2:4" x14ac:dyDescent="0.15">
      <c r="B172" s="212" t="str">
        <f>"+ PV(Equity Value realized at year "&amp;C141&amp;")"</f>
        <v>+ PV(Equity Value realized at year 3)</v>
      </c>
      <c r="C172" s="216">
        <f>Scenarios!C104</f>
        <v>18.283331735023872</v>
      </c>
    </row>
    <row r="173" spans="2:4" x14ac:dyDescent="0.15">
      <c r="B173" s="80" t="s">
        <v>401</v>
      </c>
      <c r="C173" s="215">
        <f>Scenarios!C105</f>
        <v>19.57902630867569</v>
      </c>
      <c r="D173" s="300" t="str">
        <f>IF($D$11="","",C173*$E$25)</f>
        <v/>
      </c>
    </row>
    <row r="174" spans="2:4" x14ac:dyDescent="0.15">
      <c r="B174" s="259" t="s">
        <v>416</v>
      </c>
      <c r="C174" s="298" t="str">
        <f>Market_currency</f>
        <v>HKD</v>
      </c>
      <c r="D174" s="298" t="str">
        <f>IF($D$11="","",D$13)</f>
        <v/>
      </c>
    </row>
    <row r="175" spans="2:4" x14ac:dyDescent="0.15">
      <c r="B175" s="214" t="s">
        <v>262</v>
      </c>
      <c r="C175" s="92">
        <f>Scenarios!F105</f>
        <v>0.23086976191482955</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v>
      </c>
    </row>
    <row r="4" spans="2:13" x14ac:dyDescent="0.15">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x14ac:dyDescent="0.15">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x14ac:dyDescent="0.15">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x14ac:dyDescent="0.15">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x14ac:dyDescent="0.15">
      <c r="B8" s="40" t="s">
        <v>49</v>
      </c>
      <c r="C8" s="351"/>
      <c r="D8" s="351"/>
      <c r="E8" s="351"/>
      <c r="F8" s="351"/>
      <c r="G8" s="351"/>
      <c r="H8" s="351"/>
      <c r="I8" s="351"/>
      <c r="J8" s="351"/>
      <c r="K8" s="351"/>
      <c r="L8" s="351"/>
      <c r="M8" s="351"/>
    </row>
    <row r="9" spans="2:13" x14ac:dyDescent="0.15">
      <c r="B9" s="40" t="s">
        <v>159</v>
      </c>
      <c r="C9" s="351">
        <v>256299</v>
      </c>
      <c r="D9" s="351">
        <v>377972</v>
      </c>
      <c r="E9" s="351">
        <v>201155</v>
      </c>
      <c r="F9" s="351">
        <v>159222</v>
      </c>
      <c r="G9" s="351">
        <v>83487</v>
      </c>
      <c r="H9" s="351">
        <v>343469</v>
      </c>
      <c r="I9" s="351">
        <v>63633</v>
      </c>
      <c r="J9" s="351">
        <v>73806</v>
      </c>
      <c r="K9" s="351">
        <v>9716</v>
      </c>
      <c r="L9" s="351">
        <v>6948</v>
      </c>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254421</v>
      </c>
      <c r="D12" s="351">
        <v>181446</v>
      </c>
      <c r="E12" s="351">
        <v>120561</v>
      </c>
      <c r="F12" s="351">
        <v>112458</v>
      </c>
      <c r="G12" s="351"/>
      <c r="H12" s="351"/>
      <c r="I12" s="351"/>
      <c r="J12" s="351"/>
      <c r="K12" s="351"/>
      <c r="L12" s="351"/>
      <c r="M12" s="351"/>
    </row>
    <row r="13" spans="2:13" x14ac:dyDescent="0.15">
      <c r="B13" s="40" t="s">
        <v>67</v>
      </c>
      <c r="C13" s="351">
        <v>429525</v>
      </c>
      <c r="D13" s="351">
        <v>500556</v>
      </c>
      <c r="E13" s="351">
        <v>447748</v>
      </c>
      <c r="F13" s="351">
        <v>145097</v>
      </c>
      <c r="G13" s="351"/>
      <c r="H13" s="351"/>
      <c r="I13" s="351"/>
      <c r="J13" s="351"/>
      <c r="K13" s="351"/>
      <c r="L13" s="351"/>
      <c r="M13" s="351"/>
    </row>
    <row r="14" spans="2:13" x14ac:dyDescent="0.15">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x14ac:dyDescent="0.15">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x14ac:dyDescent="0.15">
      <c r="B16" s="28" t="s">
        <v>44</v>
      </c>
      <c r="C16" s="351">
        <v>0</v>
      </c>
      <c r="D16" s="351">
        <v>52</v>
      </c>
      <c r="E16" s="351">
        <v>-63</v>
      </c>
      <c r="F16" s="351">
        <v>7</v>
      </c>
      <c r="G16" s="351">
        <v>0</v>
      </c>
      <c r="H16" s="351">
        <v>4</v>
      </c>
      <c r="I16" s="351">
        <v>0</v>
      </c>
      <c r="J16" s="351">
        <v>0</v>
      </c>
      <c r="K16" s="351">
        <v>57615</v>
      </c>
      <c r="L16" s="351">
        <v>47296</v>
      </c>
      <c r="M16" s="351"/>
    </row>
    <row r="18" spans="2:13" x14ac:dyDescent="0.15">
      <c r="B18" s="16" t="s">
        <v>51</v>
      </c>
      <c r="C18" s="9"/>
    </row>
    <row r="19" spans="2:13" ht="13" x14ac:dyDescent="0.15">
      <c r="B19" s="27" t="s">
        <v>47</v>
      </c>
      <c r="C19" s="351"/>
      <c r="D19" s="351"/>
      <c r="E19" s="351"/>
      <c r="F19" s="351"/>
      <c r="G19" s="351"/>
      <c r="H19" s="351"/>
      <c r="I19" s="351"/>
      <c r="J19" s="351"/>
      <c r="K19" s="351"/>
      <c r="L19" s="351"/>
      <c r="M19" s="351"/>
    </row>
    <row r="20" spans="2:13" ht="13" x14ac:dyDescent="0.15">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ht="13" x14ac:dyDescent="0.15">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ht="13" x14ac:dyDescent="0.15">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ht="13" x14ac:dyDescent="0.15">
      <c r="B23" s="27" t="s">
        <v>373</v>
      </c>
      <c r="C23" s="351"/>
      <c r="D23" s="351">
        <v>-2449105</v>
      </c>
      <c r="E23" s="351">
        <v>-9481433</v>
      </c>
      <c r="F23" s="351">
        <v>-6538700</v>
      </c>
      <c r="G23" s="351">
        <v>-991555</v>
      </c>
      <c r="H23" s="351">
        <v>-573343</v>
      </c>
      <c r="I23" s="351">
        <v>-482937</v>
      </c>
      <c r="J23" s="351">
        <v>-342516</v>
      </c>
      <c r="K23" s="351">
        <v>-320306</v>
      </c>
      <c r="L23" s="351">
        <v>-362745</v>
      </c>
      <c r="M23" s="351"/>
    </row>
    <row r="24" spans="2:13" ht="13" x14ac:dyDescent="0.15">
      <c r="B24" s="27" t="s">
        <v>372</v>
      </c>
      <c r="C24" s="351"/>
      <c r="D24" s="351">
        <v>-4216951</v>
      </c>
      <c r="E24" s="351">
        <v>-1887435</v>
      </c>
      <c r="F24" s="351">
        <v>7596150</v>
      </c>
      <c r="G24" s="351">
        <v>-513491</v>
      </c>
      <c r="H24" s="351">
        <v>-648624</v>
      </c>
      <c r="I24" s="351">
        <v>-65643</v>
      </c>
      <c r="J24" s="351">
        <v>-232493</v>
      </c>
      <c r="K24" s="351">
        <v>-509027</v>
      </c>
      <c r="L24" s="351">
        <v>636375</v>
      </c>
      <c r="M24" s="351"/>
    </row>
    <row r="25" spans="2:13" x14ac:dyDescent="0.15">
      <c r="B25" s="24" t="str">
        <f>"Dividend per share ("&amp;Market_currency&amp;")"</f>
        <v>Dividend per share (HKD)</v>
      </c>
      <c r="C25" s="39">
        <f>(0.2073+0.3775)/Exchange_Rate</f>
        <v>0.53705251382682939</v>
      </c>
      <c r="D25" s="39"/>
      <c r="E25" s="39"/>
      <c r="F25" s="39"/>
      <c r="G25" s="39"/>
      <c r="H25" s="39"/>
      <c r="I25" s="39"/>
      <c r="J25" s="39"/>
      <c r="K25" s="39"/>
      <c r="L25" s="39"/>
      <c r="M25" s="39"/>
    </row>
    <row r="27" spans="2:13" x14ac:dyDescent="0.15">
      <c r="B27" s="16" t="s">
        <v>28</v>
      </c>
      <c r="C27" s="97" t="s">
        <v>463</v>
      </c>
    </row>
    <row r="28" spans="2:13" ht="13" x14ac:dyDescent="0.15">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ht="13" x14ac:dyDescent="0.15">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ht="13" x14ac:dyDescent="0.15">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ht="13" x14ac:dyDescent="0.15">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ht="13" x14ac:dyDescent="0.15">
      <c r="B32" s="26" t="s">
        <v>172</v>
      </c>
      <c r="C32" s="333">
        <f>BS!G28</f>
        <v>0</v>
      </c>
      <c r="D32" s="351">
        <v>0</v>
      </c>
      <c r="E32" s="351">
        <v>2498</v>
      </c>
      <c r="F32" s="351">
        <v>2561</v>
      </c>
      <c r="G32" s="351">
        <v>2554</v>
      </c>
      <c r="H32" s="351">
        <v>2554</v>
      </c>
      <c r="I32" s="351">
        <v>2550</v>
      </c>
      <c r="J32" s="351">
        <v>2550</v>
      </c>
      <c r="K32" s="351">
        <v>2550</v>
      </c>
      <c r="L32" s="351">
        <v>230637</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x14ac:dyDescent="0.15">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ht="13" x14ac:dyDescent="0.15">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x14ac:dyDescent="0.15">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x14ac:dyDescent="0.15">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x14ac:dyDescent="0.15">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x14ac:dyDescent="0.15">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x14ac:dyDescent="0.15">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x14ac:dyDescent="0.15">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x14ac:dyDescent="0.15">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x14ac:dyDescent="0.15">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x14ac:dyDescent="0.15">
      <c r="B50" s="16" t="s">
        <v>68</v>
      </c>
    </row>
    <row r="51" spans="2:13" x14ac:dyDescent="0.15">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x14ac:dyDescent="0.15">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x14ac:dyDescent="0.15">
      <c r="B60" s="16" t="s">
        <v>51</v>
      </c>
      <c r="C60" s="9"/>
    </row>
    <row r="61" spans="2:13" ht="13" x14ac:dyDescent="0.15">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ht="13" x14ac:dyDescent="0.15">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x14ac:dyDescent="0.15">
      <c r="B65" s="24" t="s">
        <v>36</v>
      </c>
      <c r="C65" s="73">
        <f>IF(C$4="","",C25)</f>
        <v>0.53705251382682939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ht="13" x14ac:dyDescent="0.15">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1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15">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x14ac:dyDescent="0.15">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ht="13" x14ac:dyDescent="0.15">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ht="13" x14ac:dyDescent="0.15">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ht="13" x14ac:dyDescent="0.15">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ht="13" x14ac:dyDescent="0.15">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1004591+245432</f>
        <v>1250023</v>
      </c>
      <c r="D4" s="261">
        <v>0.6</v>
      </c>
      <c r="E4" s="25"/>
      <c r="F4" s="4" t="s">
        <v>77</v>
      </c>
      <c r="G4" s="19">
        <f>8264361+7498596</f>
        <v>15762957</v>
      </c>
      <c r="H4" s="261">
        <v>0.9</v>
      </c>
    </row>
    <row r="5" spans="2:8" ht="15" customHeight="1" x14ac:dyDescent="0.15">
      <c r="B5" s="1" t="s">
        <v>33</v>
      </c>
      <c r="C5" s="19">
        <v>0</v>
      </c>
      <c r="D5" s="261">
        <v>0.6</v>
      </c>
      <c r="E5" s="25"/>
      <c r="F5" s="1" t="s">
        <v>29</v>
      </c>
      <c r="G5" s="19">
        <v>23261</v>
      </c>
      <c r="H5" s="261">
        <v>0.7</v>
      </c>
    </row>
    <row r="6" spans="2:8" ht="15" customHeight="1" x14ac:dyDescent="0.15">
      <c r="B6" s="4" t="s">
        <v>10</v>
      </c>
      <c r="C6" s="19">
        <v>2598226</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0</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893775</v>
      </c>
      <c r="D11" s="261">
        <v>0.05</v>
      </c>
      <c r="H11" s="262"/>
    </row>
    <row r="12" spans="2:8" ht="15" customHeight="1" x14ac:dyDescent="0.15">
      <c r="B12" s="80" t="s">
        <v>72</v>
      </c>
      <c r="C12" s="81">
        <f>SUM(C4:C11)</f>
        <v>4742024</v>
      </c>
      <c r="D12" s="20">
        <f>C4*D4+C5*D5+C9*D9+C6*D6+C8*D8+C7*D7+C10*D10+C11*D11</f>
        <v>2093815.5499999998</v>
      </c>
      <c r="F12" s="80" t="s">
        <v>70</v>
      </c>
      <c r="G12" s="81">
        <f>SUM(G4:G9)</f>
        <v>15786218</v>
      </c>
      <c r="H12" s="20">
        <f>G4*H4+G5*H5+G6*H6+G7*H7+G8*H8+G9*H9</f>
        <v>14202944</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455</v>
      </c>
      <c r="C15" s="19">
        <v>166519</v>
      </c>
      <c r="D15" s="261">
        <v>0.4</v>
      </c>
      <c r="F15" s="4" t="s">
        <v>78</v>
      </c>
      <c r="G15" s="19">
        <v>2377970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450316</v>
      </c>
      <c r="H17" s="261">
        <v>0.6</v>
      </c>
    </row>
    <row r="18" spans="2:8" ht="15" customHeight="1" x14ac:dyDescent="0.15">
      <c r="B18" s="4" t="s">
        <v>173</v>
      </c>
      <c r="C18" s="19">
        <v>0</v>
      </c>
      <c r="D18" s="261">
        <v>0.6</v>
      </c>
      <c r="F18" s="4" t="s">
        <v>181</v>
      </c>
      <c r="G18" s="19">
        <v>1743938</v>
      </c>
      <c r="H18" s="261">
        <v>0.1</v>
      </c>
    </row>
    <row r="19" spans="2:8" ht="15" customHeight="1" x14ac:dyDescent="0.15">
      <c r="B19" s="4" t="s">
        <v>26</v>
      </c>
      <c r="C19" s="19">
        <f>4610454+1576667+150864</f>
        <v>6337985</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234736</v>
      </c>
      <c r="D21" s="261">
        <v>0.05</v>
      </c>
      <c r="F21" s="1" t="s">
        <v>180</v>
      </c>
      <c r="G21" s="19">
        <v>2913826</v>
      </c>
      <c r="H21" s="261">
        <v>0.1</v>
      </c>
    </row>
    <row r="22" spans="2:8" ht="15" customHeight="1" x14ac:dyDescent="0.15">
      <c r="B22" s="4" t="s">
        <v>20</v>
      </c>
      <c r="C22" s="19">
        <v>949424</v>
      </c>
      <c r="D22" s="261">
        <v>0.9</v>
      </c>
      <c r="H22" s="262"/>
    </row>
    <row r="23" spans="2:8" ht="15" customHeight="1" x14ac:dyDescent="0.15">
      <c r="B23" s="4" t="s">
        <v>21</v>
      </c>
      <c r="C23" s="19">
        <v>5450</v>
      </c>
      <c r="D23" s="261">
        <v>0</v>
      </c>
      <c r="H23" s="262"/>
    </row>
    <row r="24" spans="2:8" ht="15" customHeight="1" x14ac:dyDescent="0.15">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x14ac:dyDescent="0.15">
      <c r="B26" s="16" t="s">
        <v>200</v>
      </c>
      <c r="C26" s="182" t="s">
        <v>136</v>
      </c>
      <c r="F26" s="184" t="s">
        <v>196</v>
      </c>
      <c r="G26" s="185" t="s">
        <v>136</v>
      </c>
      <c r="H26" s="186" t="s">
        <v>35</v>
      </c>
    </row>
    <row r="27" spans="2:8" ht="15" customHeight="1" x14ac:dyDescent="0.15">
      <c r="B27" s="4" t="s">
        <v>5</v>
      </c>
      <c r="C27" s="19">
        <v>0</v>
      </c>
      <c r="F27" s="187" t="s">
        <v>30</v>
      </c>
      <c r="G27" s="85">
        <f>G32-G30</f>
        <v>26103689</v>
      </c>
      <c r="H27" s="188">
        <f>H32-G30</f>
        <v>10897009.050000001</v>
      </c>
    </row>
    <row r="28" spans="2:8" ht="15" customHeight="1" x14ac:dyDescent="0.15">
      <c r="B28" s="4" t="s">
        <v>6</v>
      </c>
      <c r="C28" s="19">
        <v>551610</v>
      </c>
      <c r="F28" s="189" t="s">
        <v>244</v>
      </c>
      <c r="G28" s="12">
        <v>0</v>
      </c>
      <c r="H28" s="188"/>
    </row>
    <row r="29" spans="2:8" ht="15" customHeight="1" x14ac:dyDescent="0.15">
      <c r="B29" s="4" t="s">
        <v>7</v>
      </c>
      <c r="C29" s="19">
        <v>0</v>
      </c>
      <c r="F29" s="190" t="s">
        <v>75</v>
      </c>
      <c r="G29" s="14">
        <f>G27-G28</f>
        <v>26103689</v>
      </c>
      <c r="H29" s="188">
        <f>H27-G28</f>
        <v>10897009.050000001</v>
      </c>
    </row>
    <row r="30" spans="2:8" ht="15" customHeight="1" x14ac:dyDescent="0.15">
      <c r="B30" s="2" t="s">
        <v>8</v>
      </c>
      <c r="C30" s="19">
        <v>0</v>
      </c>
      <c r="F30" s="187" t="s">
        <v>23</v>
      </c>
      <c r="G30" s="85">
        <f>C33+C42</f>
        <v>9604717</v>
      </c>
      <c r="H30" s="188"/>
    </row>
    <row r="31" spans="2:8" ht="15" customHeight="1" x14ac:dyDescent="0.15">
      <c r="B31" s="80" t="s">
        <v>203</v>
      </c>
      <c r="C31" s="81">
        <f>SUM(C27:C30)</f>
        <v>551610</v>
      </c>
      <c r="F31" s="190" t="s">
        <v>76</v>
      </c>
      <c r="G31" s="191">
        <f>C31+C40</f>
        <v>1936137</v>
      </c>
      <c r="H31" s="188"/>
    </row>
    <row r="32" spans="2:8" ht="15" customHeight="1" x14ac:dyDescent="0.15">
      <c r="B32" s="4" t="s">
        <v>9</v>
      </c>
      <c r="C32" s="21">
        <f>C33-C31</f>
        <v>7034336</v>
      </c>
      <c r="F32" s="192" t="s">
        <v>74</v>
      </c>
      <c r="G32" s="193">
        <f>G35+G40</f>
        <v>35708406</v>
      </c>
      <c r="H32" s="188">
        <f>H35+H40</f>
        <v>20501726.050000001</v>
      </c>
    </row>
    <row r="33" spans="2:8" ht="15" customHeight="1" x14ac:dyDescent="0.15">
      <c r="B33" s="83" t="s">
        <v>4</v>
      </c>
      <c r="C33" s="84">
        <v>7585946</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12436138</v>
      </c>
      <c r="H35" s="200">
        <f>D12+D24</f>
        <v>3660440.05</v>
      </c>
    </row>
    <row r="36" spans="2:8" ht="15" customHeight="1" x14ac:dyDescent="0.15">
      <c r="B36" s="4" t="s">
        <v>13</v>
      </c>
      <c r="C36" s="19">
        <v>0</v>
      </c>
      <c r="F36" s="190" t="s">
        <v>197</v>
      </c>
      <c r="G36" s="191">
        <f>C4+C15</f>
        <v>1416542</v>
      </c>
      <c r="H36" s="195"/>
    </row>
    <row r="37" spans="2:8" ht="15" customHeight="1" x14ac:dyDescent="0.15">
      <c r="B37" s="4" t="s">
        <v>14</v>
      </c>
      <c r="C37" s="19">
        <v>1384527</v>
      </c>
      <c r="F37" s="190" t="s">
        <v>198</v>
      </c>
      <c r="G37" s="191">
        <f>C6</f>
        <v>2598226</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6337985</v>
      </c>
      <c r="H39" s="188">
        <f>C7*D7+C17*D17+C19*D19+C20*D20</f>
        <v>633798.5</v>
      </c>
    </row>
    <row r="40" spans="2:8" ht="15" customHeight="1" x14ac:dyDescent="0.15">
      <c r="B40" s="80" t="s">
        <v>204</v>
      </c>
      <c r="C40" s="81">
        <f>SUM(C36:C39)</f>
        <v>1384527</v>
      </c>
      <c r="F40" s="199" t="s">
        <v>138</v>
      </c>
      <c r="G40" s="193">
        <f>G12+G24</f>
        <v>23272268</v>
      </c>
      <c r="H40" s="200">
        <f>H12+H24</f>
        <v>16841286</v>
      </c>
    </row>
    <row r="41" spans="2:8" ht="15" customHeight="1" x14ac:dyDescent="0.15">
      <c r="B41" s="4" t="s">
        <v>17</v>
      </c>
      <c r="C41" s="21">
        <f>C42-C40</f>
        <v>634244</v>
      </c>
      <c r="F41" s="190" t="s">
        <v>191</v>
      </c>
      <c r="G41" s="191">
        <f>C70</f>
        <v>19908126</v>
      </c>
      <c r="H41" s="200">
        <f>H40-H42</f>
        <v>16279713.800000001</v>
      </c>
    </row>
    <row r="42" spans="2:8" ht="15" customHeight="1" x14ac:dyDescent="0.15">
      <c r="B42" s="83" t="s">
        <v>22</v>
      </c>
      <c r="C42" s="84">
        <v>2018771</v>
      </c>
      <c r="F42" s="201" t="s">
        <v>192</v>
      </c>
      <c r="G42" s="202">
        <f>C82</f>
        <v>3364142</v>
      </c>
      <c r="H42" s="203">
        <f>D82</f>
        <v>561572.19999999995</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26103689</v>
      </c>
      <c r="D46" s="76">
        <f>H29</f>
        <v>10897009.050000001</v>
      </c>
      <c r="F46" s="253"/>
    </row>
    <row r="47" spans="2:8" ht="15" customHeight="1" x14ac:dyDescent="0.15">
      <c r="B47" s="1" t="str">
        <f>"Equity per share ("&amp;Market_currency&amp;")"</f>
        <v>Equity per share (HKD)</v>
      </c>
      <c r="C47" s="147">
        <f>C46*H1/Common_Shares*Exchange_Rate</f>
        <v>10.996789290676153</v>
      </c>
      <c r="D47" s="147">
        <f>D46*H1/Common_Shares*Exchange_Rate</f>
        <v>4.5906198323708622</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0.60402076709908736</v>
      </c>
      <c r="D50" s="95">
        <f>G31/Normalized_FCF!G8</f>
        <v>0.54859123183168057</v>
      </c>
      <c r="F50" s="253"/>
    </row>
    <row r="51" spans="2:8" ht="15" customHeight="1" x14ac:dyDescent="0.15">
      <c r="B51" s="1" t="s">
        <v>176</v>
      </c>
      <c r="C51" s="181"/>
      <c r="D51" s="92">
        <f>G29/G32</f>
        <v>0.73102364188421065</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0.25775000437452</v>
      </c>
      <c r="D54" s="92">
        <f>Normalized_FCF!G8/G35</f>
        <v>0.28379300712166428</v>
      </c>
      <c r="F54" s="253"/>
    </row>
    <row r="55" spans="2:8" ht="15" customHeight="1" x14ac:dyDescent="0.15">
      <c r="B55" s="1" t="s">
        <v>141</v>
      </c>
      <c r="C55" s="92">
        <f>Normalized_FCF!C11/G40</f>
        <v>7.709145494543118E-3</v>
      </c>
      <c r="D55" s="92">
        <f>Normalized_FCF!G11/G40</f>
        <v>1.1013064992204455E-2</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v>
      </c>
      <c r="F58" s="5"/>
    </row>
    <row r="59" spans="2:8" ht="15" customHeight="1" x14ac:dyDescent="0.15">
      <c r="B59" s="1" t="s">
        <v>92</v>
      </c>
      <c r="C59" s="98"/>
      <c r="D59" s="92">
        <f>G39/G32</f>
        <v>0.17749280099481338</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0</v>
      </c>
      <c r="D62" s="92">
        <f>G28/G29</f>
        <v>0</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18164188</v>
      </c>
      <c r="D66" s="76">
        <f>C66-D75</f>
        <v>14106653.485125085</v>
      </c>
      <c r="F66" s="5" t="s">
        <v>226</v>
      </c>
    </row>
    <row r="67" spans="2:6" ht="15" customHeight="1" x14ac:dyDescent="0.15">
      <c r="B67" s="105" t="s">
        <v>177</v>
      </c>
      <c r="C67" s="20">
        <f>G6+G16</f>
        <v>0</v>
      </c>
      <c r="F67" s="253"/>
    </row>
    <row r="68" spans="2:6" ht="15" customHeight="1" x14ac:dyDescent="0.15">
      <c r="B68" s="105" t="s">
        <v>181</v>
      </c>
      <c r="C68" s="20">
        <f>G18</f>
        <v>1743938</v>
      </c>
      <c r="F68" s="253"/>
    </row>
    <row r="69" spans="2:6" ht="15" customHeight="1" x14ac:dyDescent="0.15">
      <c r="B69" s="105" t="s">
        <v>179</v>
      </c>
      <c r="C69" s="20">
        <f>G8+G20</f>
        <v>0</v>
      </c>
      <c r="F69" s="253"/>
    </row>
    <row r="70" spans="2:6" ht="15" customHeight="1" x14ac:dyDescent="0.15">
      <c r="B70" s="80" t="s">
        <v>188</v>
      </c>
      <c r="C70" s="81">
        <f>SUM(C66:C69)</f>
        <v>19908126</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-2211210.5177626354</v>
      </c>
      <c r="D73" s="349">
        <f>(Normalized_FCF!C25+Normalized_FCF!C35-Normalized_FCF!C91)/12</f>
        <v>-2028767.2574374576</v>
      </c>
      <c r="F73" s="1" t="s">
        <v>351</v>
      </c>
    </row>
    <row r="74" spans="2:6" ht="15" customHeight="1" x14ac:dyDescent="0.15">
      <c r="B74" s="257" t="s">
        <v>321</v>
      </c>
      <c r="C74" s="258">
        <f>-$C$66/C73</f>
        <v>8.2145900872337716</v>
      </c>
      <c r="D74" s="258">
        <f>-$C$66/D73</f>
        <v>8.9533128718487127</v>
      </c>
      <c r="F74" s="253" t="s">
        <v>319</v>
      </c>
    </row>
    <row r="75" spans="2:6" ht="15" customHeight="1" x14ac:dyDescent="0.15">
      <c r="B75" s="80" t="s">
        <v>320</v>
      </c>
      <c r="C75" s="320"/>
      <c r="D75" s="321">
        <f>MAX(-D73*D76,G5)</f>
        <v>4057534.5148749151</v>
      </c>
      <c r="F75" s="253" t="s">
        <v>352</v>
      </c>
    </row>
    <row r="76" spans="2:6" ht="15" customHeight="1" x14ac:dyDescent="0.15">
      <c r="B76" s="259" t="s">
        <v>322</v>
      </c>
      <c r="C76" s="260"/>
      <c r="D76" s="290">
        <f>IF(D74&lt;=3,1,IF(D74&gt;18,6,2))</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450316</v>
      </c>
      <c r="D79" s="76">
        <f>G7*H7+G17*H17</f>
        <v>270189.59999999998</v>
      </c>
      <c r="F79" s="253"/>
    </row>
    <row r="80" spans="2:6" ht="15" customHeight="1" x14ac:dyDescent="0.15">
      <c r="B80" s="105" t="s">
        <v>182</v>
      </c>
      <c r="C80" s="20">
        <f>G19</f>
        <v>0</v>
      </c>
      <c r="D80" s="76">
        <f>G19*H19</f>
        <v>0</v>
      </c>
      <c r="F80" s="253"/>
    </row>
    <row r="81" spans="2:8" ht="15" customHeight="1" x14ac:dyDescent="0.15">
      <c r="B81" s="105" t="s">
        <v>180</v>
      </c>
      <c r="C81" s="20">
        <f>G9+G21</f>
        <v>2913826</v>
      </c>
      <c r="D81" s="76">
        <f>G9*H9+G21*H21</f>
        <v>291382.60000000003</v>
      </c>
      <c r="F81" s="253"/>
    </row>
    <row r="82" spans="2:8" ht="15" customHeight="1" x14ac:dyDescent="0.15">
      <c r="B82" s="80" t="s">
        <v>189</v>
      </c>
      <c r="C82" s="81">
        <f>SUM(C79:C81)</f>
        <v>3364142</v>
      </c>
      <c r="D82" s="81">
        <f>SUM(D79:D81)</f>
        <v>561572.19999999995</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-2108272.2609973499</v>
      </c>
      <c r="D86" s="223">
        <f>C86*scaling_factor/Common_Shares</f>
        <v>-0.81564297777535799</v>
      </c>
      <c r="E86" s="240" t="str">
        <f>Market_currency</f>
        <v>HKD</v>
      </c>
    </row>
    <row r="87" spans="2:8" ht="15" customHeight="1" x14ac:dyDescent="0.15">
      <c r="B87" s="238" t="s">
        <v>287</v>
      </c>
      <c r="C87" s="76">
        <f>DCF!C8*Exchange_Rate</f>
        <v>15360827.378533032</v>
      </c>
      <c r="D87" s="223">
        <f>C87*scaling_factor/Common_Shares</f>
        <v>5.9427575915612145</v>
      </c>
      <c r="E87" s="240" t="str">
        <f>Market_currency</f>
        <v>HKD</v>
      </c>
    </row>
    <row r="88" spans="2:8" ht="15" customHeight="1" x14ac:dyDescent="0.15">
      <c r="B88" s="239" t="s">
        <v>189</v>
      </c>
      <c r="C88" s="76">
        <f>DCF!C9*Exchange_Rate</f>
        <v>611499.64687790989</v>
      </c>
      <c r="D88" s="223">
        <f>C88*scaling_factor/Common_Shares</f>
        <v>0.23657541870428531</v>
      </c>
      <c r="E88" s="240" t="str">
        <f>Market_currency</f>
        <v>HKD</v>
      </c>
    </row>
    <row r="89" spans="2:8" ht="15" customHeight="1" x14ac:dyDescent="0.15">
      <c r="B89" s="80" t="s">
        <v>291</v>
      </c>
      <c r="C89" s="180">
        <f>SUM(C86:C88)</f>
        <v>13864054.764413591</v>
      </c>
      <c r="D89" s="242">
        <f>SUM(D86:D88)</f>
        <v>5.3636900324901422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x14ac:dyDescent="0.15">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x14ac:dyDescent="0.15">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x14ac:dyDescent="0.15">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x14ac:dyDescent="0.15">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x14ac:dyDescent="0.15">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x14ac:dyDescent="0.15">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x14ac:dyDescent="0.15">
      <c r="A12" s="10"/>
      <c r="B12" s="2" t="s">
        <v>68</v>
      </c>
      <c r="C12" s="328">
        <f>C50</f>
        <v>-158473.2751415231</v>
      </c>
      <c r="E12" s="268"/>
      <c r="G12" s="328">
        <f>G50</f>
        <v>-158473.2751415231</v>
      </c>
      <c r="H12" s="328">
        <f t="shared" ref="H12:Q12" si="6">H50</f>
        <v>-69631.299192690145</v>
      </c>
      <c r="I12" s="328">
        <f t="shared" si="6"/>
        <v>-20542.60314316205</v>
      </c>
      <c r="J12" s="328">
        <f t="shared" si="6"/>
        <v>-80046.086761444793</v>
      </c>
      <c r="K12" s="328">
        <f t="shared" si="6"/>
        <v>0</v>
      </c>
      <c r="L12" s="328">
        <f t="shared" si="6"/>
        <v>0</v>
      </c>
      <c r="M12" s="328">
        <f t="shared" si="6"/>
        <v>0</v>
      </c>
      <c r="N12" s="328">
        <f t="shared" si="6"/>
        <v>0</v>
      </c>
      <c r="O12" s="328">
        <f t="shared" si="6"/>
        <v>0</v>
      </c>
      <c r="P12" s="328">
        <f t="shared" si="6"/>
        <v>0</v>
      </c>
      <c r="Q12" s="328" t="str">
        <f t="shared" si="6"/>
        <v/>
      </c>
    </row>
    <row r="13" spans="1:17" ht="15.75" customHeight="1" x14ac:dyDescent="0.15">
      <c r="A13" s="10"/>
      <c r="B13" s="70" t="s">
        <v>164</v>
      </c>
      <c r="C13" s="329">
        <f>SUM(C8:C12)</f>
        <v>3226350.6487606112</v>
      </c>
      <c r="E13" s="268"/>
      <c r="G13" s="329">
        <f>IF(G$4="","",SUM(G8:G12))</f>
        <v>3628929.998858477</v>
      </c>
      <c r="H13" s="329">
        <f t="shared" ref="H13:Q13" si="7">IF(H$4="","",SUM(H8:H12))</f>
        <v>3325937.9748073099</v>
      </c>
      <c r="I13" s="329">
        <f t="shared" si="7"/>
        <v>4239714.8218568377</v>
      </c>
      <c r="J13" s="329">
        <f t="shared" si="7"/>
        <v>4800549.6672385549</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x14ac:dyDescent="0.15">
      <c r="A14" s="10"/>
      <c r="B14" s="2" t="s">
        <v>63</v>
      </c>
      <c r="C14" s="328">
        <f>-SUM(C8+C11,C12)*C43</f>
        <v>-806587.6621901528</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x14ac:dyDescent="0.15">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x14ac:dyDescent="0.15">
      <c r="A16" s="10"/>
      <c r="B16" s="41" t="s">
        <v>154</v>
      </c>
      <c r="C16" s="332">
        <f>SUM(C13:C15)</f>
        <v>2419762.9865704584</v>
      </c>
      <c r="D16" s="61"/>
      <c r="E16" s="276"/>
      <c r="F16" s="61"/>
      <c r="G16" s="329">
        <f>IF(G$4="","",SUM(G13:G15))</f>
        <v>2532238.998858477</v>
      </c>
      <c r="H16" s="329">
        <f t="shared" ref="H16:Q16" si="8">IF(H$4="","",SUM(H13:H15))</f>
        <v>2256678.9748073099</v>
      </c>
      <c r="I16" s="329">
        <f t="shared" si="8"/>
        <v>2888385.8218568377</v>
      </c>
      <c r="J16" s="329">
        <f t="shared" si="8"/>
        <v>3483193.6672385549</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2419762.9865704584</v>
      </c>
      <c r="D19" s="27"/>
      <c r="E19" s="265"/>
      <c r="F19" s="27"/>
      <c r="G19" s="334">
        <f>IF(G$4="","",G16+G17)</f>
        <v>2532238.998858477</v>
      </c>
      <c r="H19" s="334">
        <f t="shared" ref="H19:Q19" si="9">IF(H$4="","",H16+H17)</f>
        <v>2256678.9748073099</v>
      </c>
      <c r="I19" s="334">
        <f t="shared" si="9"/>
        <v>2888385.8218568377</v>
      </c>
      <c r="J19" s="334">
        <f t="shared" si="9"/>
        <v>3483193.6672385549</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x14ac:dyDescent="0.2">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x14ac:dyDescent="0.15">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2">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15">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0.30235906035279619</v>
      </c>
      <c r="H43" s="6">
        <f t="shared" si="18"/>
        <v>0.32165088242390333</v>
      </c>
      <c r="I43" s="6">
        <f t="shared" si="18"/>
        <v>0.31886877353291093</v>
      </c>
      <c r="J43" s="6">
        <f t="shared" si="18"/>
        <v>0.2744750464345932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x14ac:dyDescent="0.15">
      <c r="A48" s="10"/>
      <c r="B48" s="2" t="s">
        <v>345</v>
      </c>
      <c r="C48" s="328">
        <f>BS!D75*C53</f>
        <v>95947.724858476911</v>
      </c>
      <c r="E48" s="268"/>
      <c r="G48" s="337">
        <f>IFERROR(IF(G$4="","",($C$48/$C$49)*G49),0)</f>
        <v>95947.724858476911</v>
      </c>
      <c r="H48" s="337">
        <f t="shared" ref="H48:Q48" si="19">IFERROR(IF(H$4="","",($C$48/$C$49)*H49),0)</f>
        <v>111814.70080730986</v>
      </c>
      <c r="I48" s="337">
        <f t="shared" si="19"/>
        <v>100018.39685683795</v>
      </c>
      <c r="J48" s="337">
        <f t="shared" si="19"/>
        <v>32411.913238555204</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68</v>
      </c>
      <c r="C50" s="329">
        <f>C47+C48</f>
        <v>-158473.2751415231</v>
      </c>
      <c r="E50" s="268"/>
      <c r="G50" s="329">
        <f>IF(G$4="","",(G47+G48))</f>
        <v>-158473.2751415231</v>
      </c>
      <c r="H50" s="329">
        <f t="shared" ref="H50:Q50" si="20">IF(H$4="","",(H47+H48))</f>
        <v>-69631.299192690145</v>
      </c>
      <c r="I50" s="329">
        <f t="shared" si="20"/>
        <v>-20542.60314316205</v>
      </c>
      <c r="J50" s="329">
        <f t="shared" si="20"/>
        <v>-80046.086761444793</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x14ac:dyDescent="0.15">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x14ac:dyDescent="0.15">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x14ac:dyDescent="0.15">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x14ac:dyDescent="0.15">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15">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15">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15">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15">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x14ac:dyDescent="0.15">
      <c r="A80" s="10"/>
      <c r="B80" s="2" t="s">
        <v>68</v>
      </c>
      <c r="C80" s="77">
        <f>ABS(C12/C$4)</f>
        <v>6.0572797337467617E-3</v>
      </c>
      <c r="D80" s="27"/>
      <c r="E80" s="265"/>
      <c r="F80" s="27"/>
      <c r="G80" s="6">
        <f t="shared" ref="G80:Q80" si="31">IF(G$4="","",ABS(G12/G$4))</f>
        <v>5.5264070326696106E-3</v>
      </c>
      <c r="H80" s="6">
        <f t="shared" si="31"/>
        <v>2.5230111020450412E-3</v>
      </c>
      <c r="I80" s="6">
        <f t="shared" si="31"/>
        <v>7.9612053749549233E-4</v>
      </c>
      <c r="J80" s="6">
        <f t="shared" si="31"/>
        <v>3.5462116904111194E-3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164</v>
      </c>
      <c r="C81" s="78">
        <f>C13/C4</f>
        <v>0.12331989971965779</v>
      </c>
      <c r="D81" s="27"/>
      <c r="E81" s="265"/>
      <c r="F81" s="27"/>
      <c r="G81" s="65">
        <f t="shared" ref="G81:Q81" si="32">IF(G$4="","",G13/G$4)</f>
        <v>0.1265509547199509</v>
      </c>
      <c r="H81" s="65">
        <f t="shared" si="32"/>
        <v>0.12051158792730045</v>
      </c>
      <c r="I81" s="65">
        <f t="shared" si="32"/>
        <v>0.16430848706376361</v>
      </c>
      <c r="J81" s="65">
        <f t="shared" si="32"/>
        <v>0.21267454836480881</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x14ac:dyDescent="0.15">
      <c r="A82" s="10"/>
      <c r="B82" s="2" t="s">
        <v>63</v>
      </c>
      <c r="C82" s="77">
        <f>ABS(C14/C$4)</f>
        <v>3.0829974929914447E-2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15">
      <c r="A84" s="10"/>
      <c r="B84" s="41" t="s">
        <v>154</v>
      </c>
      <c r="C84" s="78">
        <f>ABS(C16/C$4)</f>
        <v>9.2489924789743341E-2</v>
      </c>
      <c r="D84" s="27"/>
      <c r="E84" s="265"/>
      <c r="F84" s="27"/>
      <c r="G84" s="65">
        <f t="shared" ref="G84:Q84" si="35">IF(G$4="","",ABS(G16/G$4))</f>
        <v>8.8306267408144151E-2</v>
      </c>
      <c r="H84" s="65">
        <f t="shared" si="35"/>
        <v>8.1768201558821099E-2</v>
      </c>
      <c r="I84" s="65">
        <f t="shared" si="35"/>
        <v>0.11193826103564938</v>
      </c>
      <c r="J84" s="65">
        <f t="shared" si="35"/>
        <v>0.15431287902354907</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9.2489924789743341E-2</v>
      </c>
      <c r="D87" s="75"/>
      <c r="E87" s="265"/>
      <c r="F87" s="75"/>
      <c r="G87" s="65">
        <f t="shared" ref="G87:Q87" si="36">IF(G$4="","",ABS(G19/G$4))</f>
        <v>8.8306267408144151E-2</v>
      </c>
      <c r="H87" s="65">
        <f t="shared" si="36"/>
        <v>8.1768201558821099E-2</v>
      </c>
      <c r="I87" s="65">
        <f t="shared" si="36"/>
        <v>0.11193826103564938</v>
      </c>
      <c r="J87" s="65">
        <f t="shared" si="36"/>
        <v>0.15431287902354907</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0.53705251382682939</v>
      </c>
      <c r="E90" s="268"/>
      <c r="G90" s="112">
        <f>Data!C65</f>
        <v>0.53705251382682939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1388172.2131516247</v>
      </c>
      <c r="E91" s="268"/>
      <c r="G91" s="74">
        <f t="shared" ref="G91:Q91" si="37">IF(G$4="","",G90*Common_Shares/scaling_factor)</f>
        <v>1388172.2131516247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0.57368106746648262</v>
      </c>
      <c r="E92" s="268"/>
      <c r="G92" s="170">
        <f t="shared" ref="G92:Q92" si="38">IF(G$4="","",G90/(G19*scaling_factor/Common_Shares))</f>
        <v>0.54819952373271519</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3.5101471491949629E-2</v>
      </c>
      <c r="E93" s="268"/>
      <c r="G93" s="23">
        <f t="shared" ref="G93:Q93" si="39">IF(G$4="","",G90/Market_Price)</f>
        <v>3.5101471491949629E-2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15">
      <c r="A97" s="10"/>
      <c r="B97" s="70" t="s">
        <v>164</v>
      </c>
      <c r="C97" s="77">
        <f>C13/G13-1</f>
        <v>-0.11093610243914931</v>
      </c>
      <c r="D97" s="27"/>
      <c r="E97" s="265"/>
      <c r="F97" s="27"/>
      <c r="G97" s="6">
        <f t="shared" ref="G97:Q97" si="41">IF(H5="","",G13/H13-1)</f>
        <v>9.1099721746531026E-2</v>
      </c>
      <c r="H97" s="6">
        <f t="shared" si="41"/>
        <v>-0.21552790351340834</v>
      </c>
      <c r="I97" s="6">
        <f t="shared" si="41"/>
        <v>-0.11682721443528554</v>
      </c>
      <c r="J97" s="6">
        <f t="shared" si="41"/>
        <v>1.4633354400060989</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x14ac:dyDescent="0.15">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x14ac:dyDescent="0.15">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x14ac:dyDescent="0.15">
      <c r="A114" s="10"/>
      <c r="B114" s="2" t="s">
        <v>392</v>
      </c>
      <c r="C114" s="169"/>
      <c r="E114" s="268"/>
      <c r="G114" s="295">
        <f>IF(G$4="","",Data!C$22/G19)</f>
        <v>0</v>
      </c>
      <c r="H114" s="295">
        <f>IF(H$4="","",Data!D$22/H19)</f>
        <v>2.0773606048243023</v>
      </c>
      <c r="I114" s="295">
        <f>IF(I$4="","",Data!E$22/I19)</f>
        <v>1.3549450251365958</v>
      </c>
      <c r="J114" s="295">
        <f>IF(J$4="","",Data!F$22/J19)</f>
        <v>1.8733770279196758</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0.12331989971965779</v>
      </c>
      <c r="E117" s="268"/>
      <c r="G117" s="23">
        <f t="shared" ref="G117:Q117" si="45">IF(G4="","",IF(valuation_method="DDM",G13/(G4+G12),G81))</f>
        <v>0.1265509547199509</v>
      </c>
      <c r="H117" s="23">
        <f t="shared" si="45"/>
        <v>0.12051158792730045</v>
      </c>
      <c r="I117" s="23">
        <f t="shared" si="45"/>
        <v>0.16430848706376361</v>
      </c>
      <c r="J117" s="23">
        <f t="shared" si="45"/>
        <v>0.21267454836480881</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x14ac:dyDescent="0.15">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15">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15">
      <c r="A120" s="10"/>
      <c r="B120" s="70" t="s">
        <v>222</v>
      </c>
      <c r="C120" s="102">
        <f>C13/C105</f>
        <v>0.12359749799197391</v>
      </c>
      <c r="D120" s="103"/>
      <c r="E120" s="271"/>
      <c r="F120" s="103"/>
      <c r="G120" s="102">
        <f>IF(G$4="","",G13/G105)</f>
        <v>0.13901981435874741</v>
      </c>
      <c r="H120" s="102">
        <f t="shared" ref="H120:Q120" si="48">IF(H$4="","",H13/H105)</f>
        <v>0.13627184399554654</v>
      </c>
      <c r="I120" s="102">
        <f t="shared" si="48"/>
        <v>0.17424491893354435</v>
      </c>
      <c r="J120" s="102">
        <f t="shared" si="48"/>
        <v>0.22746992645737416</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1.0193817317043796</v>
      </c>
      <c r="D124" s="27"/>
      <c r="E124" s="265"/>
      <c r="F124" s="27"/>
      <c r="G124" s="177">
        <f t="shared" ref="G124:Q124" si="49">IF(G$4="","",G16*$C$3/Common_Shares*Exchange_Rate)</f>
        <v>1.0667648815490947</v>
      </c>
      <c r="H124" s="177">
        <f t="shared" si="49"/>
        <v>0.95067877887508812</v>
      </c>
      <c r="I124" s="177">
        <f t="shared" si="49"/>
        <v>1.2168000573840774</v>
      </c>
      <c r="J124" s="177">
        <f t="shared" si="49"/>
        <v>1.4673767687486599</v>
      </c>
      <c r="K124" s="177">
        <f t="shared" si="49"/>
        <v>0.58953823899499969</v>
      </c>
      <c r="L124" s="177">
        <f t="shared" si="49"/>
        <v>0.58086817459781992</v>
      </c>
      <c r="M124" s="177">
        <f t="shared" si="49"/>
        <v>0.24982775243183747</v>
      </c>
      <c r="N124" s="177">
        <f t="shared" si="49"/>
        <v>0.19103863100523957</v>
      </c>
      <c r="O124" s="177">
        <f t="shared" si="49"/>
        <v>9.7492770650364338E-2</v>
      </c>
      <c r="P124" s="177">
        <f t="shared" si="49"/>
        <v>5.0691825793168985E-3</v>
      </c>
      <c r="Q124" s="177" t="str">
        <f t="shared" si="49"/>
        <v/>
      </c>
    </row>
    <row r="125" spans="1:17" ht="15.75" customHeight="1" x14ac:dyDescent="0.15">
      <c r="A125" s="10"/>
      <c r="B125" s="27" t="s">
        <v>269</v>
      </c>
      <c r="C125" s="77">
        <f>C19*Exchange_Rate*$C$3/(Market_Price*Common_Shares)</f>
        <v>6.6626256974142456E-2</v>
      </c>
      <c r="D125" s="27"/>
      <c r="E125" s="265"/>
      <c r="F125" s="27"/>
      <c r="G125" s="77">
        <f t="shared" ref="G125" si="50">IF(G$4="","",G124/Market_Price)</f>
        <v>6.9723194872489846E-2</v>
      </c>
      <c r="H125" s="77">
        <f t="shared" ref="H125" si="51">IF(H$4="","",H124/Market_Price)</f>
        <v>6.2135867900332556E-2</v>
      </c>
      <c r="I125" s="77">
        <f t="shared" ref="I125" si="52">IF(I$4="","",I124/Market_Price)</f>
        <v>7.9529415515299171E-2</v>
      </c>
      <c r="J125" s="77">
        <f t="shared" ref="J125" si="53">IF(J$4="","",J124/Market_Price)</f>
        <v>9.59069783495856E-2</v>
      </c>
      <c r="K125" s="77">
        <f t="shared" ref="K125" si="54">IF(K$4="","",K124/Market_Price)</f>
        <v>3.8531911045424812E-2</v>
      </c>
      <c r="L125" s="77">
        <f t="shared" ref="L125" si="55">IF(L$4="","",L124/Market_Price)</f>
        <v>3.796524016979215E-2</v>
      </c>
      <c r="M125" s="77">
        <f t="shared" ref="M125" si="56">IF(M$4="","",M124/Market_Price)</f>
        <v>1.6328611270054735E-2</v>
      </c>
      <c r="N125" s="77">
        <f t="shared" ref="N125" si="57">IF(N$4="","",N124/Market_Price)</f>
        <v>1.2486185033022193E-2</v>
      </c>
      <c r="O125" s="77">
        <f t="shared" ref="O125" si="58">IF(O$4="","",O124/Market_Price)</f>
        <v>6.3720765130957082E-3</v>
      </c>
      <c r="P125" s="77">
        <f t="shared" ref="P125" si="59">IF(P$4="","",P124/Market_Price)</f>
        <v>3.3131912283116983E-4</v>
      </c>
      <c r="Q125" s="77" t="str">
        <f t="shared" ref="Q125" si="60">IF(Q$4="","",Q124/Market_Price)</f>
        <v/>
      </c>
    </row>
    <row r="126" spans="1:17" ht="15.75" customHeight="1" x14ac:dyDescent="0.15">
      <c r="B126" s="2" t="s">
        <v>394</v>
      </c>
      <c r="C126" s="169"/>
      <c r="G126" s="23">
        <f>IF(G$4="","",(Data!C47*$C$3)/(Market_Price*Common_Shares))</f>
        <v>7.6184967745806895E-2</v>
      </c>
      <c r="H126" s="23">
        <f>IF(H$4="","",(Data!D47*$C$3)/(Market_Price*Common_Shares))</f>
        <v>8.058586299962768E-2</v>
      </c>
      <c r="I126" s="23">
        <f>IF(I$4="","",(Data!E47*$C$3)/(Market_Price*Common_Shares))</f>
        <v>0.10275694942953822</v>
      </c>
      <c r="J126" s="23">
        <f>IF(J$4="","",(Data!F47*$C$3)/(Market_Price*Common_Shares))</f>
        <v>0.10141974421874207</v>
      </c>
      <c r="K126" s="23">
        <f>IF(K$4="","",(Data!G47*$C$3)/(Market_Price*Common_Shares))</f>
        <v>4.2948048621558592E-2</v>
      </c>
      <c r="L126" s="23">
        <f>IF(L$4="","",(Data!H47*$C$3)/(Market_Price*Common_Shares))</f>
        <v>3.7907490712111046E-2</v>
      </c>
      <c r="M126" s="23">
        <f>IF(M$4="","",(Data!I47*$C$3)/(Market_Price*Common_Shares))</f>
        <v>1.8086216944758895E-2</v>
      </c>
      <c r="N126" s="23">
        <f>IF(N$4="","",(Data!J47*$C$3)/(Market_Price*Common_Shares))</f>
        <v>1.3026264591034722E-2</v>
      </c>
      <c r="O126" s="23">
        <f>IF(O$4="","",(Data!K47*$C$3)/(Market_Price*Common_Shares))</f>
        <v>1.7722248716704515E-2</v>
      </c>
      <c r="P126" s="23">
        <f>IF(P$4="","",(Data!L47*$C$3)/(Market_Price*Common_Shares))</f>
        <v>1.5577506384111461E-3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v>
      </c>
      <c r="E3" s="109" t="s">
        <v>124</v>
      </c>
      <c r="H3" s="120"/>
    </row>
    <row r="4" spans="2:8" x14ac:dyDescent="0.15">
      <c r="B4" s="100" t="s">
        <v>128</v>
      </c>
      <c r="C4" s="338">
        <f>Normalized_FCF!C19</f>
        <v>2419762.9865704584</v>
      </c>
      <c r="D4" t="str">
        <f>Reporting_currency</f>
        <v>CNY</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32263506.487606112</v>
      </c>
      <c r="D6" t="str">
        <f>Reporting_currency</f>
        <v>CNY</v>
      </c>
      <c r="E6" s="364" t="s">
        <v>249</v>
      </c>
      <c r="F6" s="364"/>
      <c r="H6" s="120"/>
    </row>
    <row r="7" spans="2:8" x14ac:dyDescent="0.15">
      <c r="B7" s="148" t="s">
        <v>224</v>
      </c>
      <c r="C7" s="338">
        <f>BS!G31</f>
        <v>1936137</v>
      </c>
      <c r="D7" t="str">
        <f>Reporting_currency</f>
        <v>CNY</v>
      </c>
      <c r="E7" s="364"/>
      <c r="F7" s="364"/>
      <c r="H7" s="120"/>
    </row>
    <row r="8" spans="2:8" x14ac:dyDescent="0.15">
      <c r="B8" s="148" t="s">
        <v>225</v>
      </c>
      <c r="C8" s="338">
        <f>BS!D66</f>
        <v>14106653.485125085</v>
      </c>
      <c r="D8" t="str">
        <f>Reporting_currency</f>
        <v>CNY</v>
      </c>
      <c r="E8" s="364"/>
      <c r="F8" s="364"/>
      <c r="H8" s="120"/>
    </row>
    <row r="9" spans="2:8" x14ac:dyDescent="0.15">
      <c r="B9" s="205" t="s">
        <v>190</v>
      </c>
      <c r="C9" s="348">
        <f>BS!H42</f>
        <v>561572.19999999995</v>
      </c>
      <c r="D9" t="str">
        <f>Reporting_currency</f>
        <v>CNY</v>
      </c>
      <c r="E9" s="364"/>
      <c r="F9" s="364"/>
      <c r="H9" s="120"/>
    </row>
    <row r="10" spans="2:8" x14ac:dyDescent="0.15">
      <c r="B10" s="149" t="s">
        <v>227</v>
      </c>
      <c r="C10" s="347">
        <f>C6-C7+C8+C9</f>
        <v>44995595.172731198</v>
      </c>
      <c r="D10" t="str">
        <f>Reporting_currency</f>
        <v>CNY</v>
      </c>
      <c r="H10" s="120"/>
    </row>
    <row r="11" spans="2:8" ht="14" thickBot="1" x14ac:dyDescent="0.2">
      <c r="B11" s="207" t="s">
        <v>166</v>
      </c>
      <c r="C11" s="208">
        <f>Exchange_Rate</f>
        <v>1.0889065499999999</v>
      </c>
      <c r="D11" t="str">
        <f>Thesis!C15</f>
        <v>CNY/HKD</v>
      </c>
      <c r="H11" s="120"/>
    </row>
    <row r="12" spans="2:8" ht="14" thickTop="1" x14ac:dyDescent="0.15">
      <c r="B12" s="149" t="s">
        <v>102</v>
      </c>
      <c r="C12" s="111">
        <f>(C10*scaling_factor)/Common_Shares*Exchange_Rate</f>
        <v>18.955446455215206</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5.4247061515052201E-2</v>
      </c>
      <c r="H16" s="120"/>
    </row>
    <row r="17" spans="2:17" ht="13.25" customHeight="1" x14ac:dyDescent="0.15">
      <c r="B17" s="118" t="s">
        <v>134</v>
      </c>
      <c r="C17" s="162">
        <f>Scenarios!C64</f>
        <v>20</v>
      </c>
      <c r="H17" s="120"/>
    </row>
    <row r="18" spans="2:17" ht="13.25" customHeight="1" x14ac:dyDescent="0.15">
      <c r="B18" s="153" t="s">
        <v>106</v>
      </c>
      <c r="C18" s="140">
        <f>(F52-C7+C8+C9)*Exchange_Rate/Common_Shares*scaling_factor</f>
        <v>25.456061066354259</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2551028.018154792</v>
      </c>
      <c r="D21" s="138">
        <f>IF($C$17&lt;B21,0,DCF!$C$16)</f>
        <v>5.4247061515052201E-2</v>
      </c>
      <c r="E21" s="124">
        <f t="shared" ref="E21:E50" si="0">IF($C$17&lt;B21,0,1/(1+Equity_Cost)^B21)</f>
        <v>0.93023255813953487</v>
      </c>
      <c r="F21" s="125">
        <f t="shared" ref="F21:F51" si="1">C21*E21</f>
        <v>2373049.3192137601</v>
      </c>
      <c r="H21" s="120"/>
    </row>
    <row r="22" spans="2:17" x14ac:dyDescent="0.15">
      <c r="B22" s="122">
        <v>2</v>
      </c>
      <c r="C22" s="123">
        <f t="shared" ref="C22:C50" si="2">IF(ROW()-ROW($C$21)&lt;$C$17, $C$21*(1+D22)^(ROW()-ROW($C$21)), 0)</f>
        <v>2689413.7919822563</v>
      </c>
      <c r="D22" s="138">
        <f>IF($C$17&lt;B22,0,DCF!$C$16)</f>
        <v>5.4247061515052201E-2</v>
      </c>
      <c r="E22" s="124">
        <f t="shared" si="0"/>
        <v>0.86533261222282321</v>
      </c>
      <c r="F22" s="125">
        <f t="shared" si="1"/>
        <v>2327237.4619640945</v>
      </c>
      <c r="H22" s="120"/>
    </row>
    <row r="23" spans="2:17" x14ac:dyDescent="0.15">
      <c r="B23" s="122">
        <v>3</v>
      </c>
      <c r="C23" s="123">
        <f t="shared" si="2"/>
        <v>2835306.5873953477</v>
      </c>
      <c r="D23" s="138">
        <f>IF($C$17&lt;B23,0,DCF!$C$16)</f>
        <v>5.4247061515052201E-2</v>
      </c>
      <c r="E23" s="124">
        <f t="shared" si="0"/>
        <v>0.80496056950960304</v>
      </c>
      <c r="F23" s="125">
        <f t="shared" si="1"/>
        <v>2282310.005324088</v>
      </c>
      <c r="G23" s="338"/>
      <c r="H23" s="339"/>
      <c r="I23" s="338"/>
      <c r="J23" s="338"/>
      <c r="K23" s="338"/>
      <c r="L23" s="338"/>
      <c r="M23" s="338"/>
      <c r="N23" s="338"/>
      <c r="O23" s="338"/>
      <c r="P23" s="338"/>
      <c r="Q23" s="338"/>
    </row>
    <row r="24" spans="2:17" x14ac:dyDescent="0.15">
      <c r="B24" s="122">
        <v>4</v>
      </c>
      <c r="C24" s="123">
        <f t="shared" si="2"/>
        <v>2989113.638255815</v>
      </c>
      <c r="D24" s="138">
        <f>IF($C$17&lt;B24,0,DCF!$C$16)</f>
        <v>5.4247061515052201E-2</v>
      </c>
      <c r="E24" s="124">
        <f t="shared" si="0"/>
        <v>0.7488005297763749</v>
      </c>
      <c r="F24" s="125">
        <f t="shared" si="1"/>
        <v>2238249.8758877418</v>
      </c>
      <c r="G24" s="338"/>
      <c r="H24" s="339"/>
      <c r="I24" s="338"/>
      <c r="J24" s="338"/>
      <c r="K24" s="338"/>
      <c r="L24" s="338"/>
      <c r="M24" s="338"/>
      <c r="N24" s="338"/>
      <c r="O24" s="338"/>
      <c r="P24" s="338"/>
      <c r="Q24" s="338"/>
    </row>
    <row r="25" spans="2:17" x14ac:dyDescent="0.15">
      <c r="B25" s="122">
        <v>5</v>
      </c>
      <c r="C25" s="123">
        <f t="shared" si="2"/>
        <v>3151264.2696657595</v>
      </c>
      <c r="D25" s="138">
        <f>IF($C$17&lt;B25,0,DCF!$C$16)</f>
        <v>5.4247061515052201E-2</v>
      </c>
      <c r="E25" s="124">
        <f t="shared" si="0"/>
        <v>0.69655863235011617</v>
      </c>
      <c r="F25" s="125">
        <f t="shared" si="1"/>
        <v>2195040.3298521689</v>
      </c>
      <c r="G25" s="338"/>
      <c r="H25" s="339"/>
      <c r="I25" s="338"/>
      <c r="J25" s="338"/>
      <c r="K25" s="338"/>
      <c r="L25" s="338"/>
      <c r="M25" s="338"/>
      <c r="N25" s="338"/>
      <c r="O25" s="338"/>
      <c r="P25" s="338"/>
      <c r="Q25" s="338"/>
    </row>
    <row r="26" spans="2:17" x14ac:dyDescent="0.15">
      <c r="B26" s="122">
        <v>6</v>
      </c>
      <c r="C26" s="123">
        <f t="shared" si="2"/>
        <v>3322211.0963525036</v>
      </c>
      <c r="D26" s="138">
        <f>IF($C$17&lt;B26,0,DCF!$C$16)</f>
        <v>5.4247061515052201E-2</v>
      </c>
      <c r="E26" s="124">
        <f t="shared" si="0"/>
        <v>0.64796151846522443</v>
      </c>
      <c r="F26" s="125">
        <f t="shared" si="1"/>
        <v>2152664.9466545861</v>
      </c>
      <c r="H26" s="120"/>
    </row>
    <row r="27" spans="2:17" x14ac:dyDescent="0.15">
      <c r="B27" s="122">
        <v>7</v>
      </c>
      <c r="C27" s="123">
        <f t="shared" si="2"/>
        <v>3502431.2860623267</v>
      </c>
      <c r="D27" s="138">
        <f>IF($C$17&lt;B27,0,DCF!$C$16)</f>
        <v>5.4247061515052201E-2</v>
      </c>
      <c r="E27" s="124">
        <f t="shared" si="0"/>
        <v>0.60275490089788319</v>
      </c>
      <c r="F27" s="125">
        <f t="shared" si="1"/>
        <v>2111107.6227321434</v>
      </c>
      <c r="H27" s="120"/>
    </row>
    <row r="28" spans="2:17" x14ac:dyDescent="0.15">
      <c r="B28" s="122">
        <v>8</v>
      </c>
      <c r="C28" s="123">
        <f t="shared" si="2"/>
        <v>3692427.8914895924</v>
      </c>
      <c r="D28" s="138">
        <f>IF($C$17&lt;B28,0,DCF!$C$16)</f>
        <v>5.4247061515052201E-2</v>
      </c>
      <c r="E28" s="124">
        <f t="shared" si="0"/>
        <v>0.56070223339337966</v>
      </c>
      <c r="F28" s="125">
        <f t="shared" si="1"/>
        <v>2070352.5654022221</v>
      </c>
      <c r="H28" s="120"/>
    </row>
    <row r="29" spans="2:17" x14ac:dyDescent="0.15">
      <c r="B29" s="122">
        <v>9</v>
      </c>
      <c r="C29" s="123">
        <f t="shared" si="2"/>
        <v>3892731.2544591227</v>
      </c>
      <c r="D29" s="138">
        <f>IF($C$17&lt;B29,0,DCF!$C$16)</f>
        <v>5.4247061515052201E-2</v>
      </c>
      <c r="E29" s="124">
        <f t="shared" si="0"/>
        <v>0.52158347292407414</v>
      </c>
      <c r="F29" s="125">
        <f t="shared" si="1"/>
        <v>2030384.2868608769</v>
      </c>
      <c r="H29" s="120"/>
    </row>
    <row r="30" spans="2:17" x14ac:dyDescent="0.15">
      <c r="B30" s="122">
        <v>10</v>
      </c>
      <c r="C30" s="123">
        <f t="shared" si="2"/>
        <v>4103900.4862813321</v>
      </c>
      <c r="D30" s="138">
        <f>IF($C$17&lt;B30,0,DCF!$C$16)</f>
        <v>5.4247061515052201E-2</v>
      </c>
      <c r="E30" s="124">
        <f t="shared" si="0"/>
        <v>0.48519392830146441</v>
      </c>
      <c r="F30" s="125">
        <f t="shared" si="1"/>
        <v>1991187.5982971296</v>
      </c>
      <c r="H30" s="120"/>
    </row>
    <row r="31" spans="2:17" x14ac:dyDescent="0.15">
      <c r="B31" s="122">
        <v>11</v>
      </c>
      <c r="C31" s="123">
        <f t="shared" si="2"/>
        <v>4326525.0284122881</v>
      </c>
      <c r="D31" s="138">
        <f>IF($C$17&lt;B31,0,DCF!$C$16)</f>
        <v>5.4247061515052201E-2</v>
      </c>
      <c r="E31" s="124">
        <f t="shared" si="0"/>
        <v>0.45134318911764126</v>
      </c>
      <c r="F31" s="125">
        <f t="shared" si="1"/>
        <v>1952747.6041208955</v>
      </c>
      <c r="H31" s="120"/>
    </row>
    <row r="32" spans="2:17" x14ac:dyDescent="0.15">
      <c r="B32" s="122">
        <v>12</v>
      </c>
      <c r="C32" s="123">
        <f t="shared" si="2"/>
        <v>4561226.2977749817</v>
      </c>
      <c r="D32" s="138">
        <f>IF($C$17&lt;B32,0,DCF!$C$16)</f>
        <v>5.4247061515052201E-2</v>
      </c>
      <c r="E32" s="124">
        <f t="shared" si="0"/>
        <v>0.41985412941175931</v>
      </c>
      <c r="F32" s="125">
        <f t="shared" si="1"/>
        <v>1915049.6963023371</v>
      </c>
      <c r="H32" s="120"/>
    </row>
    <row r="33" spans="2:17" x14ac:dyDescent="0.15">
      <c r="B33" s="122">
        <v>13</v>
      </c>
      <c r="C33" s="341">
        <f t="shared" si="2"/>
        <v>4808659.4213344548</v>
      </c>
      <c r="D33" s="138">
        <f>IF($C$17&lt;B33,0,DCF!$C$16)</f>
        <v>5.4247061515052201E-2</v>
      </c>
      <c r="E33" s="124">
        <f t="shared" si="0"/>
        <v>0.39056198084814819</v>
      </c>
      <c r="F33" s="125">
        <f t="shared" si="1"/>
        <v>1878079.5488204947</v>
      </c>
      <c r="G33" s="338"/>
      <c r="H33" s="339"/>
      <c r="I33" s="338"/>
      <c r="J33" s="338"/>
      <c r="K33" s="338"/>
      <c r="L33" s="338"/>
      <c r="M33" s="338"/>
      <c r="N33" s="338"/>
      <c r="O33" s="338"/>
      <c r="P33" s="338"/>
      <c r="Q33" s="338"/>
    </row>
    <row r="34" spans="2:17" x14ac:dyDescent="0.15">
      <c r="B34" s="122">
        <v>14</v>
      </c>
      <c r="C34" s="341">
        <f t="shared" si="2"/>
        <v>5069515.0647685193</v>
      </c>
      <c r="D34" s="138">
        <f>IF($C$17&lt;B34,0,DCF!$C$16)</f>
        <v>5.4247061515052201E-2</v>
      </c>
      <c r="E34" s="124">
        <f t="shared" si="0"/>
        <v>0.36331347055641694</v>
      </c>
      <c r="F34" s="125">
        <f t="shared" si="1"/>
        <v>1841823.1122190896</v>
      </c>
      <c r="G34" s="338"/>
      <c r="H34" s="339"/>
      <c r="I34" s="338"/>
      <c r="J34" s="338"/>
      <c r="K34" s="338"/>
      <c r="L34" s="338"/>
      <c r="M34" s="338"/>
      <c r="N34" s="338"/>
      <c r="O34" s="338"/>
      <c r="P34" s="338"/>
      <c r="Q34" s="338"/>
    </row>
    <row r="35" spans="2:17" x14ac:dyDescent="0.15">
      <c r="B35" s="122">
        <v>15</v>
      </c>
      <c r="C35" s="341">
        <f t="shared" si="2"/>
        <v>5344521.3603385016</v>
      </c>
      <c r="D35" s="138">
        <f>IF($C$17&lt;B35,0,DCF!$C$16)</f>
        <v>5.4247061515052201E-2</v>
      </c>
      <c r="E35" s="124">
        <f t="shared" si="0"/>
        <v>0.33796601912224833</v>
      </c>
      <c r="F35" s="125">
        <f t="shared" si="1"/>
        <v>1806266.6082674267</v>
      </c>
      <c r="G35" s="338"/>
      <c r="H35" s="339"/>
      <c r="I35" s="338"/>
      <c r="J35" s="338"/>
      <c r="K35" s="338"/>
      <c r="L35" s="338"/>
      <c r="M35" s="338"/>
      <c r="N35" s="338"/>
      <c r="O35" s="338"/>
      <c r="P35" s="338"/>
      <c r="Q35" s="338"/>
    </row>
    <row r="36" spans="2:17" x14ac:dyDescent="0.15">
      <c r="B36" s="122">
        <v>16</v>
      </c>
      <c r="C36" s="123">
        <f t="shared" si="2"/>
        <v>5634445.9393412936</v>
      </c>
      <c r="D36" s="138">
        <f>IF($C$17&lt;B36,0,DCF!$C$16)</f>
        <v>5.4247061515052201E-2</v>
      </c>
      <c r="E36" s="124">
        <f t="shared" si="0"/>
        <v>0.31438699453232405</v>
      </c>
      <c r="F36" s="125">
        <f t="shared" si="1"/>
        <v>1771396.5247243668</v>
      </c>
      <c r="H36" s="120"/>
    </row>
    <row r="37" spans="2:17" x14ac:dyDescent="0.15">
      <c r="B37" s="122">
        <v>17</v>
      </c>
      <c r="C37" s="123">
        <f t="shared" si="2"/>
        <v>5940098.0748159755</v>
      </c>
      <c r="D37" s="138">
        <f>IF($C$17&lt;B37,0,DCF!$C$16)</f>
        <v>5.4247061515052201E-2</v>
      </c>
      <c r="E37" s="124">
        <f t="shared" si="0"/>
        <v>0.29245301816960378</v>
      </c>
      <c r="F37" s="125">
        <f t="shared" si="1"/>
        <v>1737199.6102033849</v>
      </c>
      <c r="H37" s="120"/>
    </row>
    <row r="38" spans="2:17" x14ac:dyDescent="0.15">
      <c r="B38" s="122">
        <v>18</v>
      </c>
      <c r="C38" s="123">
        <f t="shared" si="2"/>
        <v>6262330.9404859599</v>
      </c>
      <c r="D38" s="138">
        <f>IF($C$17&lt;B38,0,DCF!$C$16)</f>
        <v>5.4247061515052201E-2</v>
      </c>
      <c r="E38" s="124">
        <f t="shared" si="0"/>
        <v>0.27204931922753844</v>
      </c>
      <c r="F38" s="125">
        <f t="shared" si="1"/>
        <v>1703662.8691367561</v>
      </c>
      <c r="H38" s="120"/>
    </row>
    <row r="39" spans="2:17" x14ac:dyDescent="0.15">
      <c r="B39" s="122">
        <v>19</v>
      </c>
      <c r="C39" s="123">
        <f t="shared" si="2"/>
        <v>6602043.9922421155</v>
      </c>
      <c r="D39" s="138">
        <f>IF($C$17&lt;B39,0,DCF!$C$16)</f>
        <v>5.4247061515052201E-2</v>
      </c>
      <c r="E39" s="124">
        <f t="shared" si="0"/>
        <v>0.25306913416515198</v>
      </c>
      <c r="F39" s="125">
        <f t="shared" si="1"/>
        <v>1670773.5568369555</v>
      </c>
      <c r="H39" s="120"/>
    </row>
    <row r="40" spans="2:17" x14ac:dyDescent="0.15">
      <c r="B40" s="122">
        <v>20</v>
      </c>
      <c r="C40" s="123">
        <f t="shared" si="2"/>
        <v>6960185.4788143532</v>
      </c>
      <c r="D40" s="138">
        <f>IF($C$17&lt;B40,0,DCF!$C$16)</f>
        <v>5.4247061515052201E-2</v>
      </c>
      <c r="E40" s="124">
        <f t="shared" si="0"/>
        <v>0.23541314806060654</v>
      </c>
      <c r="F40" s="125">
        <f t="shared" si="1"/>
        <v>1638519.174653407</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34013706.908730559</v>
      </c>
      <c r="D51" s="139">
        <f>Terminal_Growth</f>
        <v>0</v>
      </c>
      <c r="E51" s="124">
        <f>1/(1+Equity_Cost)^C17</f>
        <v>0.23541314806060654</v>
      </c>
      <c r="F51" s="125">
        <f t="shared" si="1"/>
        <v>8007273.8205950623</v>
      </c>
      <c r="H51" s="120"/>
    </row>
    <row r="52" spans="1:17" x14ac:dyDescent="0.15">
      <c r="C52" s="114"/>
      <c r="E52" s="127" t="s">
        <v>100</v>
      </c>
      <c r="F52" s="137">
        <f>SUM(F21:F51)</f>
        <v>47694376.138068981</v>
      </c>
      <c r="H52" s="120"/>
    </row>
    <row r="53" spans="1:17" x14ac:dyDescent="0.15">
      <c r="C53" s="114"/>
      <c r="H53" s="120"/>
    </row>
    <row r="54" spans="1:17" x14ac:dyDescent="0.15">
      <c r="B54" s="119" t="s">
        <v>129</v>
      </c>
      <c r="C54" s="136"/>
      <c r="D54" s="136"/>
      <c r="E54" s="117"/>
      <c r="F54" s="117"/>
      <c r="H54" s="120"/>
    </row>
    <row r="55" spans="1:17" x14ac:dyDescent="0.15">
      <c r="A55" s="133">
        <f>F52</f>
        <v>47694376.138068981</v>
      </c>
      <c r="B55" s="131">
        <f>C78</f>
        <v>0</v>
      </c>
      <c r="C55" s="131">
        <f>C77</f>
        <v>0.02</v>
      </c>
      <c r="D55" s="131">
        <f>C76</f>
        <v>0.05</v>
      </c>
      <c r="E55" s="131">
        <f>C75</f>
        <v>0.06</v>
      </c>
      <c r="F55" s="131">
        <f>C74</f>
        <v>0.1</v>
      </c>
      <c r="H55" s="120"/>
    </row>
    <row r="56" spans="1:17" x14ac:dyDescent="0.15">
      <c r="A56" s="143">
        <v>5</v>
      </c>
      <c r="B56" s="123">
        <f t="dataTable" ref="B56:F61" dt2D="1" dtr="1" r1="C16" r2="C17"/>
        <v>32263506.487606116</v>
      </c>
      <c r="C56" s="123">
        <v>33286598.517046176</v>
      </c>
      <c r="D56" s="123">
        <v>34877528.176157497</v>
      </c>
      <c r="E56" s="123">
        <v>35423506.793697976</v>
      </c>
      <c r="F56" s="123">
        <v>37690319.179300353</v>
      </c>
      <c r="H56" s="120"/>
    </row>
    <row r="57" spans="1:17" x14ac:dyDescent="0.15">
      <c r="A57" s="143">
        <v>10</v>
      </c>
      <c r="B57" s="123">
        <v>32263506.487606123</v>
      </c>
      <c r="C57" s="123">
        <v>34301125.544672504</v>
      </c>
      <c r="D57" s="123">
        <v>37745554.031323358</v>
      </c>
      <c r="E57" s="123">
        <v>39009511.804615922</v>
      </c>
      <c r="F57" s="123">
        <v>44738450.306723088</v>
      </c>
      <c r="H57" s="120"/>
    </row>
    <row r="58" spans="1:17" x14ac:dyDescent="0.15">
      <c r="A58" s="143">
        <v>15</v>
      </c>
      <c r="B58" s="123">
        <v>32263506.487606119</v>
      </c>
      <c r="C58" s="341">
        <v>35585635.569254823</v>
      </c>
      <c r="D58" s="123">
        <v>41673223.179964557</v>
      </c>
      <c r="E58" s="123">
        <v>44055213.169725552</v>
      </c>
      <c r="F58" s="123">
        <v>55835121.263445288</v>
      </c>
      <c r="G58" s="338"/>
      <c r="H58" s="339"/>
      <c r="I58" s="338"/>
      <c r="J58" s="338"/>
      <c r="K58" s="338"/>
      <c r="L58" s="338"/>
      <c r="M58" s="338"/>
      <c r="N58" s="338"/>
      <c r="O58" s="338"/>
      <c r="P58" s="338"/>
      <c r="Q58" s="338"/>
    </row>
    <row r="59" spans="1:17" x14ac:dyDescent="0.15">
      <c r="A59" s="144">
        <v>20</v>
      </c>
      <c r="B59" s="123">
        <v>32263506.487606119</v>
      </c>
      <c r="C59" s="341">
        <v>36924758.226071984</v>
      </c>
      <c r="D59" s="123">
        <v>46124784.316120252</v>
      </c>
      <c r="E59" s="123">
        <v>49944814.349256873</v>
      </c>
      <c r="F59" s="123">
        <v>70505533.333504826</v>
      </c>
      <c r="G59" s="338"/>
      <c r="H59" s="339"/>
      <c r="I59" s="338"/>
      <c r="J59" s="338"/>
      <c r="K59" s="338"/>
      <c r="L59" s="338"/>
      <c r="M59" s="338"/>
      <c r="N59" s="338"/>
      <c r="O59" s="338"/>
      <c r="P59" s="338"/>
      <c r="Q59" s="338"/>
    </row>
    <row r="60" spans="1:17" x14ac:dyDescent="0.15">
      <c r="A60" s="144">
        <v>25</v>
      </c>
      <c r="B60" s="123">
        <v>32263506.487606123</v>
      </c>
      <c r="C60" s="341">
        <v>38199293.928054996</v>
      </c>
      <c r="D60" s="123">
        <v>50750831.682925999</v>
      </c>
      <c r="E60" s="123">
        <v>56261105.343512163</v>
      </c>
      <c r="F60" s="123">
        <v>88510772.5509893</v>
      </c>
      <c r="G60" s="338"/>
      <c r="H60" s="339"/>
      <c r="I60" s="338"/>
      <c r="J60" s="338"/>
      <c r="K60" s="338"/>
      <c r="L60" s="338"/>
      <c r="M60" s="338"/>
      <c r="N60" s="338"/>
      <c r="O60" s="338"/>
      <c r="P60" s="338"/>
      <c r="Q60" s="338"/>
    </row>
    <row r="61" spans="1:17" x14ac:dyDescent="0.15">
      <c r="A61" s="144">
        <v>30</v>
      </c>
      <c r="B61" s="123">
        <v>32263506.487606123</v>
      </c>
      <c r="C61" s="341">
        <v>39349914.357168384</v>
      </c>
      <c r="D61" s="123">
        <v>55329121.056937583</v>
      </c>
      <c r="E61" s="123">
        <v>62724407.580128267</v>
      </c>
      <c r="F61" s="123">
        <v>109787416.45478234</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0.05</v>
      </c>
      <c r="E64" s="132">
        <f>E55</f>
        <v>0.06</v>
      </c>
      <c r="F64" s="132">
        <f>F55</f>
        <v>0.1</v>
      </c>
      <c r="H64" s="120"/>
    </row>
    <row r="65" spans="1:8" x14ac:dyDescent="0.15">
      <c r="A65" s="143">
        <v>0</v>
      </c>
      <c r="B65" s="124">
        <f>C12</f>
        <v>18.955446455215206</v>
      </c>
      <c r="C65" s="124">
        <f>C12</f>
        <v>18.955446455215206</v>
      </c>
      <c r="D65" s="124">
        <f>C12</f>
        <v>18.955446455215206</v>
      </c>
      <c r="E65" s="141">
        <f>C12</f>
        <v>18.955446455215206</v>
      </c>
      <c r="F65" s="124">
        <f>C12</f>
        <v>18.955446455215206</v>
      </c>
      <c r="H65" s="120"/>
    </row>
    <row r="66" spans="1:8" x14ac:dyDescent="0.15">
      <c r="A66" s="143">
        <f t="shared" ref="A66:A71" si="3">A56</f>
        <v>5</v>
      </c>
      <c r="B66" s="124">
        <f t="shared" ref="B66:F71" si="4">(B56-$C$7+$C$8+$C$9)/Common_Shares*$C$3*Exchange_Rate</f>
        <v>18.95544645521521</v>
      </c>
      <c r="C66" s="124">
        <f t="shared" si="4"/>
        <v>19.386447892319463</v>
      </c>
      <c r="D66" s="124">
        <f t="shared" si="4"/>
        <v>20.056664206861612</v>
      </c>
      <c r="E66" s="124">
        <f t="shared" si="4"/>
        <v>20.286670464379746</v>
      </c>
      <c r="F66" s="124">
        <f t="shared" si="4"/>
        <v>21.24161817946953</v>
      </c>
      <c r="H66" s="120"/>
    </row>
    <row r="67" spans="1:8" x14ac:dyDescent="0.15">
      <c r="A67" s="143">
        <f t="shared" si="3"/>
        <v>10</v>
      </c>
      <c r="B67" s="124">
        <f t="shared" si="4"/>
        <v>18.95544645521521</v>
      </c>
      <c r="C67" s="124">
        <f t="shared" si="4"/>
        <v>19.813841122161524</v>
      </c>
      <c r="D67" s="124">
        <f t="shared" si="4"/>
        <v>21.264887152264855</v>
      </c>
      <c r="E67" s="124">
        <f t="shared" si="4"/>
        <v>21.797358915363574</v>
      </c>
      <c r="F67" s="124">
        <f t="shared" si="4"/>
        <v>24.210808200899972</v>
      </c>
      <c r="H67" s="120"/>
    </row>
    <row r="68" spans="1:8" x14ac:dyDescent="0.15">
      <c r="A68" s="143">
        <f t="shared" si="3"/>
        <v>15</v>
      </c>
      <c r="B68" s="124">
        <f t="shared" si="4"/>
        <v>18.95544645521521</v>
      </c>
      <c r="C68" s="124">
        <f t="shared" si="4"/>
        <v>20.354971001623888</v>
      </c>
      <c r="D68" s="124">
        <f t="shared" si="4"/>
        <v>22.919509609309021</v>
      </c>
      <c r="E68" s="124">
        <f t="shared" si="4"/>
        <v>23.922978582981724</v>
      </c>
      <c r="F68" s="124">
        <f t="shared" si="4"/>
        <v>28.885540279536052</v>
      </c>
      <c r="H68" s="120"/>
    </row>
    <row r="69" spans="1:8" x14ac:dyDescent="0.15">
      <c r="A69" s="144">
        <f t="shared" si="3"/>
        <v>20</v>
      </c>
      <c r="B69" s="124">
        <f t="shared" si="4"/>
        <v>18.95544645521521</v>
      </c>
      <c r="C69" s="124">
        <f t="shared" si="4"/>
        <v>20.919107729248427</v>
      </c>
      <c r="D69" s="124">
        <f t="shared" si="4"/>
        <v>24.794833814591538</v>
      </c>
      <c r="E69" s="124">
        <f t="shared" si="4"/>
        <v>26.404110777646764</v>
      </c>
      <c r="F69" s="124">
        <f t="shared" si="4"/>
        <v>35.065794355572464</v>
      </c>
      <c r="H69" s="120"/>
    </row>
    <row r="70" spans="1:8" x14ac:dyDescent="0.15">
      <c r="A70" s="144">
        <f t="shared" si="3"/>
        <v>25</v>
      </c>
      <c r="B70" s="124">
        <f t="shared" si="4"/>
        <v>18.95544645521521</v>
      </c>
      <c r="C70" s="124">
        <f t="shared" si="4"/>
        <v>21.456035692118018</v>
      </c>
      <c r="D70" s="124">
        <f t="shared" si="4"/>
        <v>26.743664423991234</v>
      </c>
      <c r="E70" s="124">
        <f t="shared" si="4"/>
        <v>29.064996032693312</v>
      </c>
      <c r="F70" s="124">
        <f t="shared" si="4"/>
        <v>42.650922335104227</v>
      </c>
    </row>
    <row r="71" spans="1:8" x14ac:dyDescent="0.15">
      <c r="A71" s="144">
        <f t="shared" si="3"/>
        <v>30</v>
      </c>
      <c r="B71" s="124">
        <f t="shared" si="4"/>
        <v>18.95544645521521</v>
      </c>
      <c r="C71" s="124">
        <f t="shared" si="4"/>
        <v>21.940761449175085</v>
      </c>
      <c r="D71" s="124">
        <f t="shared" si="4"/>
        <v>28.672375862353334</v>
      </c>
      <c r="E71" s="124">
        <f t="shared" si="4"/>
        <v>31.787813210680039</v>
      </c>
      <c r="F71" s="124">
        <f t="shared" si="4"/>
        <v>51.614206023580643</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0.1</v>
      </c>
      <c r="D74" s="145">
        <f>Scenarios!C55</f>
        <v>30</v>
      </c>
      <c r="E74" s="135">
        <f>INDEX(B$65:F$71, MATCH(D74, A$65:A$71, 0), MATCH(C74, B$64:F$64, 0))</f>
        <v>51.614206023580643</v>
      </c>
      <c r="F74" s="142">
        <f>Scenarios!C58</f>
        <v>0.05</v>
      </c>
    </row>
    <row r="75" spans="1:8" x14ac:dyDescent="0.15">
      <c r="B75" s="127" t="str">
        <f>Scenarios!B36</f>
        <v>Optimistic</v>
      </c>
      <c r="C75" s="142">
        <f>Scenarios!C38</f>
        <v>0.06</v>
      </c>
      <c r="D75" s="145">
        <f>Scenarios!C37</f>
        <v>20</v>
      </c>
      <c r="E75" s="135">
        <f>INDEX(B$65:F$71, MATCH(D75, A$65:A$71, 0), MATCH(C75, B$64:F$64, 0))</f>
        <v>26.404110777646764</v>
      </c>
      <c r="F75" s="142">
        <f>Scenarios!C40*(1-F$74-F$78)</f>
        <v>0.22499999999999992</v>
      </c>
      <c r="H75" s="120"/>
    </row>
    <row r="76" spans="1:8" x14ac:dyDescent="0.15">
      <c r="B76" s="127" t="str">
        <f>Scenarios!B24</f>
        <v>Base</v>
      </c>
      <c r="C76" s="142">
        <f>Scenarios!C26</f>
        <v>0.05</v>
      </c>
      <c r="D76" s="145">
        <f>Scenarios!C25</f>
        <v>20</v>
      </c>
      <c r="E76" s="135">
        <f>INDEX(B$65:F$71, MATCH(D76, A$65:A$71, 0), MATCH(C76, B$64:F$64, 0))</f>
        <v>24.794833814591538</v>
      </c>
      <c r="F76" s="142">
        <f>Scenarios!C28*(1-F$74-F$78)</f>
        <v>0.495</v>
      </c>
      <c r="H76" s="120"/>
    </row>
    <row r="77" spans="1:8" x14ac:dyDescent="0.15">
      <c r="B77" s="127" t="str">
        <f>Scenarios!B30</f>
        <v>Pessimistic</v>
      </c>
      <c r="C77" s="142">
        <f>Scenarios!C32</f>
        <v>0.02</v>
      </c>
      <c r="D77" s="145">
        <f>Scenarios!C31</f>
        <v>20</v>
      </c>
      <c r="E77" s="135">
        <f>INDEX(B$65:F$71, MATCH(D77, A$65:A$71, 0), MATCH(C77, B$64:F$64, 0))</f>
        <v>20.919107729248427</v>
      </c>
      <c r="F77" s="142">
        <f>Scenarios!C34*(1-F$74-F$78)</f>
        <v>0.18</v>
      </c>
      <c r="H77" s="120"/>
    </row>
    <row r="78" spans="1:8" x14ac:dyDescent="0.15">
      <c r="B78" s="127" t="str">
        <f>Scenarios!B48</f>
        <v>Devil's advocate</v>
      </c>
      <c r="C78" s="142">
        <f>Scenarios!C50</f>
        <v>0</v>
      </c>
      <c r="D78" s="145">
        <f>Scenarios!C49</f>
        <v>30</v>
      </c>
      <c r="E78" s="135">
        <f>INDEX(B$65:F$71, MATCH(D78, A$65:A$71, 0), MATCH(C78, B$64:F$64, 0))</f>
        <v>18.95544645521521</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v>
      </c>
      <c r="E3" s="109" t="s">
        <v>124</v>
      </c>
      <c r="H3" s="120"/>
    </row>
    <row r="4" spans="2:8" x14ac:dyDescent="0.15">
      <c r="B4" s="100" t="s">
        <v>440</v>
      </c>
      <c r="C4" s="114">
        <f>Normalized_FCF!C91</f>
        <v>1388172.2131516247</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441</v>
      </c>
      <c r="C6" s="319">
        <f>(C4*(1+Terminal_Growth))/(Equity_Cost-Terminal_Growth)</f>
        <v>18508962.842021663</v>
      </c>
      <c r="D6" t="str">
        <f>Reporting_currency</f>
        <v>CNY</v>
      </c>
      <c r="E6" s="364"/>
      <c r="F6" s="364"/>
      <c r="H6" s="120"/>
    </row>
    <row r="7" spans="2:8" x14ac:dyDescent="0.15">
      <c r="B7" s="149" t="s">
        <v>444</v>
      </c>
      <c r="C7" s="111">
        <f>(C6*scaling_factor)/Common_Shares*Exchange_Rate</f>
        <v>7.7973333333333343</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5.4247061515052201E-2</v>
      </c>
      <c r="H11" s="120"/>
    </row>
    <row r="12" spans="2:8" ht="13.25" customHeight="1" x14ac:dyDescent="0.15">
      <c r="B12" s="118" t="s">
        <v>134</v>
      </c>
      <c r="C12" s="162">
        <f>Scenarios!C64</f>
        <v>20</v>
      </c>
      <c r="H12" s="120"/>
    </row>
    <row r="13" spans="2:8" ht="13.25" customHeight="1" x14ac:dyDescent="0.15">
      <c r="B13" s="153" t="s">
        <v>106</v>
      </c>
      <c r="C13" s="140">
        <f>F47/Common_Shares*scaling_factor</f>
        <v>10.585493183634357</v>
      </c>
      <c r="D13" t="str">
        <f>Market_currency</f>
        <v>HKD</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1463476.4765919468</v>
      </c>
      <c r="D16" s="138">
        <f>IF($C$12&lt;B16,0,DDM!$C$11)</f>
        <v>5.4247061515052201E-2</v>
      </c>
      <c r="E16" s="124">
        <f t="shared" ref="E16:E45" si="0">IF($C$12&lt;B16,0,1/(1+Equity_Cost)^B16)</f>
        <v>0.93023255813953487</v>
      </c>
      <c r="F16" s="125">
        <f t="shared" ref="F16:F46" si="1">C16*E16</f>
        <v>1361373.4665971599</v>
      </c>
      <c r="H16" s="120"/>
    </row>
    <row r="17" spans="2:8" x14ac:dyDescent="0.15">
      <c r="B17" s="122">
        <v>2</v>
      </c>
      <c r="C17" s="123">
        <f t="shared" ref="C17:C45" si="2">IF(ROW()-ROW($C$16)&lt;$C$12, $C$16*(1+D17)^(ROW()-ROW($C$16)), 0)</f>
        <v>1542865.7750434619</v>
      </c>
      <c r="D17" s="138">
        <f>IF($C$12&lt;B17,0,DDM!$C$11)</f>
        <v>5.4247061515052201E-2</v>
      </c>
      <c r="E17" s="124">
        <f t="shared" si="0"/>
        <v>0.86533261222282321</v>
      </c>
      <c r="F17" s="125">
        <f t="shared" si="1"/>
        <v>1335092.0714275497</v>
      </c>
      <c r="H17" s="120"/>
    </row>
    <row r="18" spans="2:8" x14ac:dyDescent="0.15">
      <c r="B18" s="122">
        <v>3</v>
      </c>
      <c r="C18" s="123">
        <f t="shared" si="2"/>
        <v>1626561.709651713</v>
      </c>
      <c r="D18" s="138">
        <f>IF($C$12&lt;B18,0,DDM!$C$11)</f>
        <v>5.4247061515052201E-2</v>
      </c>
      <c r="E18" s="124">
        <f t="shared" si="0"/>
        <v>0.80496056950960304</v>
      </c>
      <c r="F18" s="125">
        <f t="shared" si="1"/>
        <v>1309318.0401437564</v>
      </c>
      <c r="H18" s="120"/>
    </row>
    <row r="19" spans="2:8" x14ac:dyDescent="0.15">
      <c r="B19" s="122">
        <v>4</v>
      </c>
      <c r="C19" s="123">
        <f t="shared" si="2"/>
        <v>1714797.9027732178</v>
      </c>
      <c r="D19" s="138">
        <f>IF($C$12&lt;B19,0,DDM!$C$11)</f>
        <v>5.4247061515052201E-2</v>
      </c>
      <c r="E19" s="124">
        <f t="shared" si="0"/>
        <v>0.7488005297763749</v>
      </c>
      <c r="F19" s="125">
        <f t="shared" si="1"/>
        <v>1284041.578056002</v>
      </c>
      <c r="H19" s="120"/>
    </row>
    <row r="20" spans="2:8" x14ac:dyDescent="0.15">
      <c r="B20" s="122">
        <v>5</v>
      </c>
      <c r="C20" s="123">
        <f t="shared" si="2"/>
        <v>1807820.6500908388</v>
      </c>
      <c r="D20" s="138">
        <f>IF($C$12&lt;B20,0,DDM!$C$11)</f>
        <v>5.4247061515052201E-2</v>
      </c>
      <c r="E20" s="124">
        <f t="shared" si="0"/>
        <v>0.69655863235011617</v>
      </c>
      <c r="F20" s="125">
        <f t="shared" si="1"/>
        <v>1259253.0795615725</v>
      </c>
      <c r="H20" s="120"/>
    </row>
    <row r="21" spans="2:8" x14ac:dyDescent="0.15">
      <c r="B21" s="122">
        <v>6</v>
      </c>
      <c r="C21" s="123">
        <f t="shared" si="2"/>
        <v>1905889.6081044979</v>
      </c>
      <c r="D21" s="138">
        <f>IF($C$12&lt;B21,0,DDM!$C$11)</f>
        <v>5.4247061515052201E-2</v>
      </c>
      <c r="E21" s="124">
        <f t="shared" si="0"/>
        <v>0.64796151846522443</v>
      </c>
      <c r="F21" s="125">
        <f t="shared" si="1"/>
        <v>1234943.1244944821</v>
      </c>
      <c r="H21" s="120"/>
    </row>
    <row r="22" spans="2:8" x14ac:dyDescent="0.15">
      <c r="B22" s="122">
        <v>7</v>
      </c>
      <c r="C22" s="123">
        <f t="shared" si="2"/>
        <v>2009278.5189162414</v>
      </c>
      <c r="D22" s="138">
        <f>IF($C$12&lt;B22,0,DDM!$C$11)</f>
        <v>5.4247061515052201E-2</v>
      </c>
      <c r="E22" s="124">
        <f t="shared" si="0"/>
        <v>0.60275490089788319</v>
      </c>
      <c r="F22" s="125">
        <f t="shared" si="1"/>
        <v>1211102.4745456045</v>
      </c>
      <c r="H22" s="120"/>
    </row>
    <row r="23" spans="2:8" x14ac:dyDescent="0.15">
      <c r="B23" s="122">
        <v>8</v>
      </c>
      <c r="C23" s="123">
        <f t="shared" si="2"/>
        <v>2118275.9743327633</v>
      </c>
      <c r="D23" s="138">
        <f>IF($C$12&lt;B23,0,DDM!$C$11)</f>
        <v>5.4247061515052201E-2</v>
      </c>
      <c r="E23" s="124">
        <f t="shared" si="0"/>
        <v>0.56070223339337966</v>
      </c>
      <c r="F23" s="125">
        <f t="shared" si="1"/>
        <v>1187722.0697519179</v>
      </c>
      <c r="H23" s="120"/>
    </row>
    <row r="24" spans="2:8" x14ac:dyDescent="0.15">
      <c r="B24" s="122">
        <v>9</v>
      </c>
      <c r="C24" s="123">
        <f t="shared" si="2"/>
        <v>2233186.2214182494</v>
      </c>
      <c r="D24" s="138">
        <f>IF($C$12&lt;B24,0,DDM!$C$11)</f>
        <v>5.4247061515052201E-2</v>
      </c>
      <c r="E24" s="124">
        <f t="shared" si="0"/>
        <v>0.52158347292407414</v>
      </c>
      <c r="F24" s="125">
        <f t="shared" si="1"/>
        <v>1164793.0250535209</v>
      </c>
      <c r="H24" s="120"/>
    </row>
    <row r="25" spans="2:8" x14ac:dyDescent="0.15">
      <c r="B25" s="122">
        <v>10</v>
      </c>
      <c r="C25" s="123">
        <f t="shared" si="2"/>
        <v>2354330.0117460918</v>
      </c>
      <c r="D25" s="138">
        <f>IF($C$12&lt;B25,0,DDM!$C$11)</f>
        <v>5.4247061515052201E-2</v>
      </c>
      <c r="E25" s="124">
        <f t="shared" si="0"/>
        <v>0.48519392830146441</v>
      </c>
      <c r="F25" s="125">
        <f t="shared" si="1"/>
        <v>1142306.6269171191</v>
      </c>
      <c r="H25" s="120"/>
    </row>
    <row r="26" spans="2:8" x14ac:dyDescent="0.15">
      <c r="B26" s="122">
        <v>11</v>
      </c>
      <c r="C26" s="123">
        <f t="shared" si="2"/>
        <v>2482045.4967200155</v>
      </c>
      <c r="D26" s="138">
        <f>IF($C$12&lt;B26,0,DDM!$C$11)</f>
        <v>5.4247061515052201E-2</v>
      </c>
      <c r="E26" s="124">
        <f t="shared" si="0"/>
        <v>0.45134318911764126</v>
      </c>
      <c r="F26" s="125">
        <f t="shared" si="1"/>
        <v>1120254.3300246918</v>
      </c>
      <c r="H26" s="120"/>
    </row>
    <row r="27" spans="2:8" x14ac:dyDescent="0.15">
      <c r="B27" s="122">
        <v>12</v>
      </c>
      <c r="C27" s="123">
        <f t="shared" si="2"/>
        <v>2616689.1714637442</v>
      </c>
      <c r="D27" s="138">
        <f>IF($C$12&lt;B27,0,DDM!$C$11)</f>
        <v>5.4247061515052201E-2</v>
      </c>
      <c r="E27" s="124">
        <f t="shared" si="0"/>
        <v>0.41985412941175931</v>
      </c>
      <c r="F27" s="125">
        <f t="shared" si="1"/>
        <v>1098627.7540260882</v>
      </c>
      <c r="H27" s="120"/>
    </row>
    <row r="28" spans="2:8" x14ac:dyDescent="0.15">
      <c r="B28" s="122">
        <v>13</v>
      </c>
      <c r="C28" s="123">
        <f t="shared" si="2"/>
        <v>2758636.8699139087</v>
      </c>
      <c r="D28" s="138">
        <f>IF($C$12&lt;B28,0,DDM!$C$11)</f>
        <v>5.4247061515052201E-2</v>
      </c>
      <c r="E28" s="124">
        <f t="shared" si="0"/>
        <v>0.39056198084814819</v>
      </c>
      <c r="F28" s="125">
        <f t="shared" si="1"/>
        <v>1077418.6803543114</v>
      </c>
      <c r="H28" s="120"/>
    </row>
    <row r="29" spans="2:8" x14ac:dyDescent="0.15">
      <c r="B29" s="122">
        <v>14</v>
      </c>
      <c r="C29" s="123">
        <f t="shared" si="2"/>
        <v>2908284.8138938192</v>
      </c>
      <c r="D29" s="138">
        <f>IF($C$12&lt;B29,0,DDM!$C$11)</f>
        <v>5.4247061515052201E-2</v>
      </c>
      <c r="E29" s="124">
        <f t="shared" si="0"/>
        <v>0.36331347055641694</v>
      </c>
      <c r="F29" s="125">
        <f t="shared" si="1"/>
        <v>1056619.0491022866</v>
      </c>
      <c r="H29" s="120"/>
    </row>
    <row r="30" spans="2:8" x14ac:dyDescent="0.15">
      <c r="B30" s="122">
        <v>15</v>
      </c>
      <c r="C30" s="123">
        <f t="shared" si="2"/>
        <v>3066050.7190964096</v>
      </c>
      <c r="D30" s="138">
        <f>IF($C$12&lt;B30,0,DDM!$C$11)</f>
        <v>5.4247061515052201E-2</v>
      </c>
      <c r="E30" s="124">
        <f t="shared" si="0"/>
        <v>0.33796601912224833</v>
      </c>
      <c r="F30" s="125">
        <f t="shared" si="1"/>
        <v>1036220.9559599204</v>
      </c>
      <c r="H30" s="120"/>
    </row>
    <row r="31" spans="2:8" x14ac:dyDescent="0.15">
      <c r="B31" s="122">
        <v>16</v>
      </c>
      <c r="C31" s="123">
        <f t="shared" si="2"/>
        <v>3232374.9610635019</v>
      </c>
      <c r="D31" s="138">
        <f>IF($C$12&lt;B31,0,DDM!$C$11)</f>
        <v>5.4247061515052201E-2</v>
      </c>
      <c r="E31" s="124">
        <f t="shared" si="0"/>
        <v>0.31438699453232405</v>
      </c>
      <c r="F31" s="125">
        <f t="shared" si="1"/>
        <v>1016216.6492102924</v>
      </c>
      <c r="H31" s="120"/>
    </row>
    <row r="32" spans="2:8" x14ac:dyDescent="0.15">
      <c r="B32" s="122">
        <v>17</v>
      </c>
      <c r="C32" s="123">
        <f t="shared" si="2"/>
        <v>3407721.8044160274</v>
      </c>
      <c r="D32" s="138">
        <f>IF($C$12&lt;B32,0,DDM!$C$11)</f>
        <v>5.4247061515052201E-2</v>
      </c>
      <c r="E32" s="124">
        <f t="shared" si="0"/>
        <v>0.29245301816960378</v>
      </c>
      <c r="F32" s="125">
        <f t="shared" si="1"/>
        <v>996598.52678383549</v>
      </c>
      <c r="H32" s="120"/>
    </row>
    <row r="33" spans="2:8" x14ac:dyDescent="0.15">
      <c r="B33" s="122">
        <v>18</v>
      </c>
      <c r="C33" s="123">
        <f t="shared" si="2"/>
        <v>3592580.698766368</v>
      </c>
      <c r="D33" s="138">
        <f>IF($C$12&lt;B33,0,DDM!$C$11)</f>
        <v>5.4247061515052201E-2</v>
      </c>
      <c r="E33" s="124">
        <f t="shared" si="0"/>
        <v>0.27204931922753844</v>
      </c>
      <c r="F33" s="125">
        <f t="shared" si="1"/>
        <v>977359.1333693848</v>
      </c>
      <c r="H33" s="120"/>
    </row>
    <row r="34" spans="2:8" x14ac:dyDescent="0.15">
      <c r="B34" s="122">
        <v>19</v>
      </c>
      <c r="C34" s="123">
        <f t="shared" si="2"/>
        <v>3787467.6449301355</v>
      </c>
      <c r="D34" s="138">
        <f>IF($C$12&lt;B34,0,DDM!$C$11)</f>
        <v>5.4247061515052201E-2</v>
      </c>
      <c r="E34" s="124">
        <f t="shared" si="0"/>
        <v>0.25306913416515198</v>
      </c>
      <c r="F34" s="125">
        <f t="shared" si="1"/>
        <v>958491.15758099663</v>
      </c>
      <c r="H34" s="120"/>
    </row>
    <row r="35" spans="2:8" x14ac:dyDescent="0.15">
      <c r="B35" s="122">
        <v>20</v>
      </c>
      <c r="C35" s="123">
        <f t="shared" si="2"/>
        <v>3992926.6352509302</v>
      </c>
      <c r="D35" s="138">
        <f>IF($C$12&lt;B35,0,DDM!$C$11)</f>
        <v>5.4247061515052201E-2</v>
      </c>
      <c r="E35" s="124">
        <f t="shared" si="0"/>
        <v>0.23541314806060654</v>
      </c>
      <c r="F35" s="125">
        <f t="shared" si="1"/>
        <v>939987.42917946668</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19513019.687892623</v>
      </c>
      <c r="D46" s="139">
        <f>Terminal_Growth</f>
        <v>0</v>
      </c>
      <c r="E46" s="124">
        <f>1/(1+Equity_Cost)^C12</f>
        <v>0.23541314806060654</v>
      </c>
      <c r="F46" s="125">
        <f t="shared" si="1"/>
        <v>4593621.3928953968</v>
      </c>
      <c r="H46" s="120"/>
    </row>
    <row r="47" spans="2:8" x14ac:dyDescent="0.15">
      <c r="C47" s="114"/>
      <c r="E47" s="127" t="s">
        <v>100</v>
      </c>
      <c r="F47" s="137">
        <f>SUM(F16:F46)</f>
        <v>27361360.615035359</v>
      </c>
      <c r="H47" s="120"/>
    </row>
    <row r="48" spans="2:8" x14ac:dyDescent="0.15">
      <c r="C48" s="114"/>
      <c r="H48" s="120"/>
    </row>
    <row r="49" spans="1:8" x14ac:dyDescent="0.15">
      <c r="B49" s="119" t="s">
        <v>129</v>
      </c>
      <c r="C49" s="136"/>
      <c r="D49" s="136"/>
      <c r="E49" s="117"/>
      <c r="F49" s="117"/>
      <c r="H49" s="120"/>
    </row>
    <row r="50" spans="1:8" x14ac:dyDescent="0.15">
      <c r="A50" s="133">
        <f>F47</f>
        <v>27361360.615035359</v>
      </c>
      <c r="B50" s="131">
        <f>C73</f>
        <v>0</v>
      </c>
      <c r="C50" s="131">
        <f>C72</f>
        <v>0.02</v>
      </c>
      <c r="D50" s="131">
        <f>C71</f>
        <v>0.05</v>
      </c>
      <c r="E50" s="131">
        <f>C70</f>
        <v>0.06</v>
      </c>
      <c r="F50" s="131">
        <f>C69</f>
        <v>0.1</v>
      </c>
      <c r="H50" s="120"/>
    </row>
    <row r="51" spans="1:8" x14ac:dyDescent="0.15">
      <c r="A51" s="143">
        <v>5</v>
      </c>
      <c r="B51" s="123">
        <f t="dataTable" ref="B51:F56" dt2D="1" dtr="1" r1="C11" r2="C12"/>
        <v>18508962.842021666</v>
      </c>
      <c r="C51" s="123">
        <v>19095891.369587287</v>
      </c>
      <c r="D51" s="123">
        <v>20008577.594690364</v>
      </c>
      <c r="E51" s="123">
        <v>20321795.190814853</v>
      </c>
      <c r="F51" s="123">
        <v>21622222.539933462</v>
      </c>
      <c r="H51" s="120"/>
    </row>
    <row r="52" spans="1:8" x14ac:dyDescent="0.15">
      <c r="A52" s="143">
        <v>10</v>
      </c>
      <c r="B52" s="123">
        <v>18508962.842021666</v>
      </c>
      <c r="C52" s="123">
        <v>19677906.317769561</v>
      </c>
      <c r="D52" s="123">
        <v>21653909.728803381</v>
      </c>
      <c r="E52" s="123">
        <v>22379018.373418417</v>
      </c>
      <c r="F52" s="123">
        <v>25665601.928757086</v>
      </c>
      <c r="H52" s="120"/>
    </row>
    <row r="53" spans="1:8" x14ac:dyDescent="0.15">
      <c r="A53" s="143">
        <v>15</v>
      </c>
      <c r="B53" s="123">
        <v>18508962.842021666</v>
      </c>
      <c r="C53" s="123">
        <v>20414805.399843343</v>
      </c>
      <c r="D53" s="123">
        <v>23907139.158651035</v>
      </c>
      <c r="E53" s="123">
        <v>25273641.718671598</v>
      </c>
      <c r="F53" s="123">
        <v>32031551.968533784</v>
      </c>
      <c r="H53" s="120"/>
    </row>
    <row r="54" spans="1:8" x14ac:dyDescent="0.15">
      <c r="A54" s="144">
        <v>20</v>
      </c>
      <c r="B54" s="123">
        <v>18508962.842021666</v>
      </c>
      <c r="C54" s="123">
        <v>21183034.715074763</v>
      </c>
      <c r="D54" s="123">
        <v>26460915.503133144</v>
      </c>
      <c r="E54" s="123">
        <v>28652394.410296984</v>
      </c>
      <c r="F54" s="123">
        <v>40447689.625058711</v>
      </c>
      <c r="H54" s="120"/>
    </row>
    <row r="55" spans="1:8" x14ac:dyDescent="0.15">
      <c r="A55" s="144">
        <v>25</v>
      </c>
      <c r="B55" s="123">
        <v>18508962.842021666</v>
      </c>
      <c r="C55" s="123">
        <v>21914211.717112523</v>
      </c>
      <c r="D55" s="123">
        <v>29114791.29467278</v>
      </c>
      <c r="E55" s="123">
        <v>32275930.970310293</v>
      </c>
      <c r="F55" s="123">
        <v>50776954.47933457</v>
      </c>
      <c r="H55" s="120"/>
    </row>
    <row r="56" spans="1:8" x14ac:dyDescent="0.15">
      <c r="A56" s="144">
        <v>30</v>
      </c>
      <c r="B56" s="123">
        <v>18508962.842021666</v>
      </c>
      <c r="C56" s="123">
        <v>22574300.87313503</v>
      </c>
      <c r="D56" s="123">
        <v>31741269.229926206</v>
      </c>
      <c r="E56" s="123">
        <v>35983805.096770719</v>
      </c>
      <c r="F56" s="123">
        <v>62982962.266166791</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0.05</v>
      </c>
      <c r="E59" s="132">
        <f>E50</f>
        <v>0.06</v>
      </c>
      <c r="F59" s="132">
        <f>F50</f>
        <v>0.1</v>
      </c>
      <c r="H59" s="120"/>
    </row>
    <row r="60" spans="1:8" x14ac:dyDescent="0.15">
      <c r="A60" s="143">
        <v>0</v>
      </c>
      <c r="B60" s="124">
        <f>C7</f>
        <v>7.7973333333333343</v>
      </c>
      <c r="C60" s="124">
        <f>C7</f>
        <v>7.7973333333333343</v>
      </c>
      <c r="D60" s="124">
        <f>C7</f>
        <v>7.7973333333333343</v>
      </c>
      <c r="E60" s="141">
        <f>C7</f>
        <v>7.7973333333333343</v>
      </c>
      <c r="F60" s="124">
        <f>C7</f>
        <v>7.7973333333333343</v>
      </c>
      <c r="H60" s="120"/>
    </row>
    <row r="61" spans="1:8" x14ac:dyDescent="0.15">
      <c r="A61" s="143">
        <f t="shared" ref="A61:A66" si="3">A51</f>
        <v>5</v>
      </c>
      <c r="B61" s="124">
        <f t="shared" ref="B61:F66" si="4">B51/Common_Shares*$C$3*Exchange_Rate</f>
        <v>7.7973333333333352</v>
      </c>
      <c r="C61" s="124">
        <f t="shared" si="4"/>
        <v>8.044590697850893</v>
      </c>
      <c r="D61" s="124">
        <f t="shared" si="4"/>
        <v>8.4290811086108874</v>
      </c>
      <c r="E61" s="124">
        <f t="shared" si="4"/>
        <v>8.5610313439478603</v>
      </c>
      <c r="F61" s="124">
        <f t="shared" si="4"/>
        <v>9.1088667685152398</v>
      </c>
      <c r="H61" s="120"/>
    </row>
    <row r="62" spans="1:8" x14ac:dyDescent="0.15">
      <c r="A62" s="143">
        <f t="shared" si="3"/>
        <v>10</v>
      </c>
      <c r="B62" s="124">
        <f t="shared" si="4"/>
        <v>7.7973333333333352</v>
      </c>
      <c r="C62" s="124">
        <f t="shared" si="4"/>
        <v>8.2897781021746368</v>
      </c>
      <c r="D62" s="124">
        <f t="shared" si="4"/>
        <v>9.1222157376673163</v>
      </c>
      <c r="E62" s="124">
        <f t="shared" si="4"/>
        <v>9.4276847071175478</v>
      </c>
      <c r="F62" s="124">
        <f t="shared" si="4"/>
        <v>10.812234869520287</v>
      </c>
      <c r="H62" s="120"/>
    </row>
    <row r="63" spans="1:8" x14ac:dyDescent="0.15">
      <c r="A63" s="143">
        <f t="shared" si="3"/>
        <v>15</v>
      </c>
      <c r="B63" s="124">
        <f t="shared" si="4"/>
        <v>7.7973333333333352</v>
      </c>
      <c r="C63" s="124">
        <f t="shared" si="4"/>
        <v>8.6002140690626128</v>
      </c>
      <c r="D63" s="124">
        <f t="shared" si="4"/>
        <v>10.071441315078426</v>
      </c>
      <c r="E63" s="124">
        <f t="shared" si="4"/>
        <v>10.647112467064479</v>
      </c>
      <c r="F63" s="124">
        <f t="shared" si="4"/>
        <v>13.494040158512041</v>
      </c>
      <c r="H63" s="120"/>
    </row>
    <row r="64" spans="1:8" x14ac:dyDescent="0.15">
      <c r="A64" s="144">
        <f t="shared" si="3"/>
        <v>20</v>
      </c>
      <c r="B64" s="124">
        <f t="shared" si="4"/>
        <v>7.7973333333333352</v>
      </c>
      <c r="C64" s="124">
        <f t="shared" si="4"/>
        <v>8.9238486291633095</v>
      </c>
      <c r="D64" s="124">
        <f t="shared" si="4"/>
        <v>11.147279307010637</v>
      </c>
      <c r="E64" s="124">
        <f t="shared" si="4"/>
        <v>12.070491033025377</v>
      </c>
      <c r="F64" s="124">
        <f t="shared" si="4"/>
        <v>17.039534914066692</v>
      </c>
      <c r="H64" s="120"/>
    </row>
    <row r="65" spans="1:8" x14ac:dyDescent="0.15">
      <c r="A65" s="144">
        <f t="shared" si="3"/>
        <v>25</v>
      </c>
      <c r="B65" s="124">
        <f t="shared" si="4"/>
        <v>7.7973333333333352</v>
      </c>
      <c r="C65" s="124">
        <f t="shared" si="4"/>
        <v>9.2318740360549381</v>
      </c>
      <c r="D65" s="124">
        <f t="shared" si="4"/>
        <v>12.26528653132241</v>
      </c>
      <c r="E65" s="124">
        <f t="shared" si="4"/>
        <v>13.596990526546307</v>
      </c>
      <c r="F65" s="124">
        <f t="shared" si="4"/>
        <v>21.39097923023435</v>
      </c>
    </row>
    <row r="66" spans="1:8" x14ac:dyDescent="0.15">
      <c r="A66" s="144">
        <f t="shared" si="3"/>
        <v>30</v>
      </c>
      <c r="B66" s="124">
        <f t="shared" si="4"/>
        <v>7.7973333333333352</v>
      </c>
      <c r="C66" s="124">
        <f t="shared" si="4"/>
        <v>9.5099520257919359</v>
      </c>
      <c r="D66" s="124">
        <f t="shared" si="4"/>
        <v>13.3717517681168</v>
      </c>
      <c r="E66" s="124">
        <f t="shared" si="4"/>
        <v>15.159019191729806</v>
      </c>
      <c r="F66" s="124">
        <f t="shared" si="4"/>
        <v>26.533045384644417</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0.1</v>
      </c>
      <c r="D69" s="145">
        <f>Scenarios!C55</f>
        <v>30</v>
      </c>
      <c r="E69" s="135">
        <f>INDEX(B$60:F$66, MATCH(D69, A$60:A$66, 0), MATCH(C69, B$59:F$59, 0))</f>
        <v>26.533045384644417</v>
      </c>
      <c r="F69" s="142">
        <f>Scenarios!C58</f>
        <v>0.05</v>
      </c>
    </row>
    <row r="70" spans="1:8" x14ac:dyDescent="0.15">
      <c r="B70" s="127" t="str">
        <f>Scenarios!B36</f>
        <v>Optimistic</v>
      </c>
      <c r="C70" s="142">
        <f>Scenarios!C38</f>
        <v>0.06</v>
      </c>
      <c r="D70" s="145">
        <f>Scenarios!C37</f>
        <v>20</v>
      </c>
      <c r="E70" s="135">
        <f>INDEX(B$60:F$66, MATCH(D70, A$60:A$66, 0), MATCH(C70, B$59:F$59, 0))</f>
        <v>12.070491033025377</v>
      </c>
      <c r="F70" s="142">
        <f>Scenarios!C40*(1-F$69-F$73)</f>
        <v>0.22499999999999992</v>
      </c>
      <c r="H70" s="120"/>
    </row>
    <row r="71" spans="1:8" x14ac:dyDescent="0.15">
      <c r="B71" s="127" t="str">
        <f>Scenarios!B24</f>
        <v>Base</v>
      </c>
      <c r="C71" s="142">
        <f>Scenarios!C26</f>
        <v>0.05</v>
      </c>
      <c r="D71" s="145">
        <f>Scenarios!C25</f>
        <v>20</v>
      </c>
      <c r="E71" s="135">
        <f>INDEX(B$60:F$66, MATCH(D71, A$60:A$66, 0), MATCH(C71, B$59:F$59, 0))</f>
        <v>11.147279307010637</v>
      </c>
      <c r="F71" s="142">
        <f>Scenarios!C28*(1-F$69-F$73)</f>
        <v>0.495</v>
      </c>
      <c r="H71" s="120"/>
    </row>
    <row r="72" spans="1:8" x14ac:dyDescent="0.15">
      <c r="B72" s="127" t="str">
        <f>Scenarios!B30</f>
        <v>Pessimistic</v>
      </c>
      <c r="C72" s="142">
        <f>Scenarios!C32</f>
        <v>0.02</v>
      </c>
      <c r="D72" s="145">
        <f>Scenarios!C31</f>
        <v>20</v>
      </c>
      <c r="E72" s="135">
        <f>INDEX(B$60:F$66, MATCH(D72, A$60:A$66, 0), MATCH(C72, B$59:F$59, 0))</f>
        <v>8.9238486291633095</v>
      </c>
      <c r="F72" s="142">
        <f>Scenarios!C34*(1-F$69-F$73)</f>
        <v>0.18</v>
      </c>
      <c r="H72" s="120"/>
    </row>
    <row r="73" spans="1:8" x14ac:dyDescent="0.15">
      <c r="B73" s="127" t="str">
        <f>Scenarios!B48</f>
        <v>Devil's advocate</v>
      </c>
      <c r="C73" s="142">
        <f>Scenarios!C50</f>
        <v>0</v>
      </c>
      <c r="D73" s="145">
        <f>Scenarios!C49</f>
        <v>30</v>
      </c>
      <c r="E73" s="135">
        <f>INDEX(B$60:F$66, MATCH(D73, A$60:A$66, 0), MATCH(C73, B$59:F$59, 0))</f>
        <v>7.7973333333333352</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-15.3</v>
      </c>
    </row>
    <row r="4" spans="2:9" x14ac:dyDescent="0.15">
      <c r="B4" s="152" t="s">
        <v>146</v>
      </c>
      <c r="C4" s="120">
        <v>3</v>
      </c>
      <c r="D4" s="120"/>
      <c r="E4" s="155" t="s">
        <v>150</v>
      </c>
      <c r="F4" s="155"/>
      <c r="H4" s="247">
        <v>1</v>
      </c>
      <c r="I4" s="124">
        <f t="shared" ref="I4:I13" si="0">IF(ROW()-3 &lt; $C$76, $C$77, IF(ROW()-3 = $C$76, $C$77 + $C$60, ""))</f>
        <v>0.53705251382682939</v>
      </c>
    </row>
    <row r="5" spans="2:9" x14ac:dyDescent="0.15">
      <c r="H5" s="247">
        <v>2</v>
      </c>
      <c r="I5" s="124">
        <f t="shared" si="0"/>
        <v>0.53705251382682939</v>
      </c>
    </row>
    <row r="6" spans="2:9" x14ac:dyDescent="0.15">
      <c r="B6" s="159" t="s">
        <v>95</v>
      </c>
      <c r="C6" s="107">
        <f>DCF!C3</f>
        <v>1000</v>
      </c>
      <c r="E6" s="100" t="s">
        <v>279</v>
      </c>
      <c r="F6" s="100"/>
      <c r="H6" s="247">
        <v>3</v>
      </c>
      <c r="I6" s="124">
        <f t="shared" si="0"/>
        <v>26.045342192224673</v>
      </c>
    </row>
    <row r="7" spans="2:9" ht="12.75" customHeight="1" x14ac:dyDescent="0.15">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x14ac:dyDescent="0.15">
      <c r="B8" s="100" t="s">
        <v>66</v>
      </c>
      <c r="C8" s="338">
        <f>Normalized_FCF!G19</f>
        <v>2532238.998858477</v>
      </c>
      <c r="D8" t="str">
        <f>Reporting_currency</f>
        <v>CNY</v>
      </c>
      <c r="E8" s="366"/>
      <c r="F8" s="366"/>
      <c r="H8" s="247">
        <v>5</v>
      </c>
      <c r="I8" s="124" t="str">
        <f t="shared" si="0"/>
        <v/>
      </c>
    </row>
    <row r="9" spans="2:9" x14ac:dyDescent="0.15">
      <c r="B9" s="100" t="s">
        <v>57</v>
      </c>
      <c r="C9" s="338">
        <f>Normalized_FCF!C19</f>
        <v>2419762.9865704584</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8.3043513409933434E-2</v>
      </c>
      <c r="D12" s="158"/>
      <c r="E12" s="366"/>
      <c r="F12" s="366"/>
      <c r="H12" s="247">
        <v>9</v>
      </c>
      <c r="I12" s="124" t="str">
        <f t="shared" si="0"/>
        <v/>
      </c>
    </row>
    <row r="13" spans="2:9" x14ac:dyDescent="0.15">
      <c r="B13" s="148" t="s">
        <v>152</v>
      </c>
      <c r="C13" s="158">
        <f ca="1">(Normalized_FCF!G8/OFFSET(Normalized_FCF!G8, 0, $C$4))^(1/$C$4) - 1</f>
        <v>-9.2379152048964186E-2</v>
      </c>
      <c r="E13" s="366"/>
      <c r="F13" s="366"/>
      <c r="H13" s="247">
        <v>10</v>
      </c>
      <c r="I13" s="124" t="str">
        <f t="shared" si="0"/>
        <v/>
      </c>
    </row>
    <row r="14" spans="2:9" x14ac:dyDescent="0.15">
      <c r="B14" s="100" t="s">
        <v>66</v>
      </c>
      <c r="C14" s="158">
        <f ca="1">(Normalized_FCF!G19/OFFSET(Normalized_FCF!G19, 0, $C$4))^(1/$C$4) - 1</f>
        <v>-0.1008288646718225</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20</v>
      </c>
      <c r="E18" s="366" t="s">
        <v>330</v>
      </c>
      <c r="F18" s="367"/>
    </row>
    <row r="19" spans="2:6" x14ac:dyDescent="0.15">
      <c r="E19" s="367"/>
      <c r="F19" s="367"/>
    </row>
    <row r="20" spans="2:6" x14ac:dyDescent="0.15">
      <c r="B20" s="159" t="s">
        <v>303</v>
      </c>
      <c r="E20" s="367"/>
      <c r="F20" s="367"/>
    </row>
    <row r="21" spans="2:6" x14ac:dyDescent="0.15">
      <c r="B21" s="100" t="s">
        <v>277</v>
      </c>
      <c r="C21" s="160">
        <f>Market_Price</f>
        <v>15.3</v>
      </c>
      <c r="D21" t="str">
        <f>Market_currency</f>
        <v>HKD</v>
      </c>
      <c r="E21" s="367"/>
      <c r="F21" s="367"/>
    </row>
    <row r="22" spans="2:6" x14ac:dyDescent="0.15">
      <c r="B22" s="100" t="s">
        <v>278</v>
      </c>
      <c r="C22" s="160">
        <f>IF(valuation_method="DCF",DCF!C12,DDM!C7)</f>
        <v>18.955446455215206</v>
      </c>
      <c r="D22" t="str">
        <f>Market_currency</f>
        <v>HKD</v>
      </c>
      <c r="E22" s="367"/>
      <c r="F22" s="367"/>
    </row>
    <row r="24" spans="2:6" x14ac:dyDescent="0.15">
      <c r="B24" s="159" t="s">
        <v>115</v>
      </c>
      <c r="E24" s="159" t="s">
        <v>149</v>
      </c>
      <c r="F24" s="159"/>
    </row>
    <row r="25" spans="2:6" x14ac:dyDescent="0.15">
      <c r="B25" s="152" t="s">
        <v>133</v>
      </c>
      <c r="C25" s="166">
        <f>C18</f>
        <v>20</v>
      </c>
      <c r="D25" s="163"/>
      <c r="E25" s="365"/>
      <c r="F25" s="365"/>
    </row>
    <row r="26" spans="2:6" ht="14" x14ac:dyDescent="0.15">
      <c r="B26" s="118" t="s">
        <v>134</v>
      </c>
      <c r="C26" s="164">
        <v>0.05</v>
      </c>
      <c r="D26" s="164"/>
      <c r="E26" s="365"/>
      <c r="F26" s="365"/>
    </row>
    <row r="27" spans="2:6" x14ac:dyDescent="0.15">
      <c r="B27" s="100" t="s">
        <v>113</v>
      </c>
      <c r="C27" s="160">
        <f>IF(valuation_method="DCF",DCF!E76,DDM!E71)</f>
        <v>24.794833814591538</v>
      </c>
      <c r="D27" s="160" t="str">
        <f>Market_currency</f>
        <v>HKD</v>
      </c>
      <c r="E27" s="365"/>
      <c r="F27" s="365"/>
    </row>
    <row r="28" spans="2:6" x14ac:dyDescent="0.15">
      <c r="B28" s="100" t="s">
        <v>147</v>
      </c>
      <c r="C28" s="165">
        <v>0.55000000000000004</v>
      </c>
      <c r="D28" s="165"/>
      <c r="E28" s="365"/>
      <c r="F28" s="365"/>
    </row>
    <row r="30" spans="2:6" x14ac:dyDescent="0.15">
      <c r="B30" s="159" t="s">
        <v>116</v>
      </c>
      <c r="E30" s="159" t="s">
        <v>149</v>
      </c>
      <c r="F30" s="159"/>
    </row>
    <row r="31" spans="2:6" x14ac:dyDescent="0.15">
      <c r="B31" s="152" t="s">
        <v>133</v>
      </c>
      <c r="C31" s="166">
        <f>C18</f>
        <v>20</v>
      </c>
      <c r="D31" s="163"/>
      <c r="E31" s="365"/>
      <c r="F31" s="365"/>
    </row>
    <row r="32" spans="2:6" ht="14" x14ac:dyDescent="0.15">
      <c r="B32" s="118" t="s">
        <v>134</v>
      </c>
      <c r="C32" s="164">
        <v>0.02</v>
      </c>
      <c r="D32" s="164"/>
      <c r="E32" s="365"/>
      <c r="F32" s="365"/>
    </row>
    <row r="33" spans="2:6" x14ac:dyDescent="0.15">
      <c r="B33" s="100" t="s">
        <v>113</v>
      </c>
      <c r="C33" s="160">
        <f>IF(valuation_method="DCF",DCF!E77,DDM!E72)</f>
        <v>20.919107729248427</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20</v>
      </c>
      <c r="D37" s="163"/>
      <c r="E37" s="365"/>
      <c r="F37" s="365"/>
    </row>
    <row r="38" spans="2:6" ht="14" x14ac:dyDescent="0.15">
      <c r="B38" s="118" t="s">
        <v>134</v>
      </c>
      <c r="C38" s="164">
        <v>0.06</v>
      </c>
      <c r="D38" s="164"/>
      <c r="E38" s="365"/>
      <c r="F38" s="365"/>
    </row>
    <row r="39" spans="2:6" x14ac:dyDescent="0.15">
      <c r="B39" s="100" t="s">
        <v>113</v>
      </c>
      <c r="C39" s="160">
        <f>IF(valuation_method="DCF",DCF!E75,DDM!E70)</f>
        <v>26.404110777646764</v>
      </c>
      <c r="D39" t="str">
        <f>Market_currency</f>
        <v>HKD</v>
      </c>
      <c r="E39" s="365"/>
      <c r="F39" s="365"/>
    </row>
    <row r="40" spans="2:6" x14ac:dyDescent="0.15">
      <c r="B40" s="100" t="s">
        <v>147</v>
      </c>
      <c r="C40" s="167">
        <f>1-C28-C34</f>
        <v>0.24999999999999994</v>
      </c>
      <c r="D40" s="165"/>
      <c r="E40" s="365"/>
      <c r="F40" s="365"/>
    </row>
    <row r="42" spans="2:6" x14ac:dyDescent="0.15">
      <c r="B42" s="100" t="s">
        <v>120</v>
      </c>
      <c r="C42" s="154">
        <f>C27*C28+C33*C34+C39*C40</f>
        <v>24.422007838286724</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30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30</v>
      </c>
      <c r="D49" s="163"/>
      <c r="E49" s="365"/>
      <c r="F49" s="365"/>
    </row>
    <row r="50" spans="2:6" ht="14" x14ac:dyDescent="0.15">
      <c r="B50" s="118" t="s">
        <v>134</v>
      </c>
      <c r="C50" s="164">
        <v>0</v>
      </c>
      <c r="D50" s="164"/>
      <c r="E50" s="365"/>
      <c r="F50" s="365"/>
    </row>
    <row r="51" spans="2:6" x14ac:dyDescent="0.15">
      <c r="B51" s="100" t="s">
        <v>113</v>
      </c>
      <c r="C51" s="160">
        <f>IF(valuation_method="DCF",DCF!E78,DDM!E73)</f>
        <v>18.95544645521521</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30</v>
      </c>
      <c r="D55" s="163"/>
      <c r="E55" s="365"/>
      <c r="F55" s="365"/>
    </row>
    <row r="56" spans="2:6" ht="14" x14ac:dyDescent="0.15">
      <c r="B56" s="118" t="s">
        <v>134</v>
      </c>
      <c r="C56" s="164">
        <v>0.1</v>
      </c>
      <c r="D56" s="164"/>
      <c r="E56" s="365"/>
      <c r="F56" s="365"/>
    </row>
    <row r="57" spans="2:6" x14ac:dyDescent="0.15">
      <c r="B57" s="100" t="s">
        <v>113</v>
      </c>
      <c r="C57" s="160">
        <f>IF(valuation_method="DCF",DCF!E74,DDM!E69)</f>
        <v>51.614206023580643</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25.508289678397844</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20</v>
      </c>
      <c r="D64" s="150"/>
      <c r="E64" s="251" t="s">
        <v>395</v>
      </c>
    </row>
    <row r="65" spans="2:6" ht="14" x14ac:dyDescent="0.15">
      <c r="B65" s="118" t="s">
        <v>134</v>
      </c>
      <c r="C65" s="151">
        <v>5.4247061515052201E-2</v>
      </c>
      <c r="D65" s="151"/>
      <c r="E65" s="251" t="s">
        <v>312</v>
      </c>
    </row>
    <row r="66" spans="2:6" x14ac:dyDescent="0.15">
      <c r="B66" s="100" t="s">
        <v>102</v>
      </c>
      <c r="C66" s="160">
        <f>IF(valuation_method="DCF",DCF!C18,DDM!C13)</f>
        <v>25.456061066354259</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0.21027242908537611</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0.53705251382682939</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0.89003528352783778</v>
      </c>
      <c r="D81" s="116"/>
      <c r="E81" s="100"/>
      <c r="F81" s="100"/>
    </row>
    <row r="82" spans="2:8" x14ac:dyDescent="0.15">
      <c r="B82" s="100" t="s">
        <v>122</v>
      </c>
      <c r="C82" s="116">
        <f>C60/(1+C80)^C76</f>
        <v>9.9768768979375526</v>
      </c>
      <c r="D82" s="116"/>
    </row>
    <row r="83" spans="2:8" x14ac:dyDescent="0.15">
      <c r="B83" s="110" t="s">
        <v>101</v>
      </c>
      <c r="C83" s="111">
        <f>C81+C82</f>
        <v>10.866912181465391</v>
      </c>
      <c r="D83" t="str">
        <f>Market_currency</f>
        <v>HKD</v>
      </c>
      <c r="E83" s="146" t="s">
        <v>126</v>
      </c>
      <c r="F83" s="291">
        <f>(1-C83/C60)</f>
        <v>0.57398507236381935</v>
      </c>
    </row>
    <row r="84" spans="2:8" x14ac:dyDescent="0.15">
      <c r="E84" s="120"/>
    </row>
    <row r="85" spans="2:8" x14ac:dyDescent="0.15">
      <c r="B85" s="109" t="s">
        <v>302</v>
      </c>
    </row>
    <row r="86" spans="2:8" x14ac:dyDescent="0.15">
      <c r="B86" s="148" t="s">
        <v>300</v>
      </c>
      <c r="C86" s="116">
        <f>Market_Price</f>
        <v>15.3</v>
      </c>
      <c r="D86" t="str">
        <f>Market_currency</f>
        <v>HKD</v>
      </c>
    </row>
    <row r="87" spans="2:8" x14ac:dyDescent="0.15">
      <c r="B87" s="100" t="s">
        <v>298</v>
      </c>
      <c r="C87" s="237">
        <f ca="1">IRR(OFFSET($I$3, 0, 0, $C$76 + 1, 1))</f>
        <v>0.21573360804833119</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1.1011729168092663</v>
      </c>
      <c r="D91" s="116"/>
      <c r="E91" s="100"/>
      <c r="F91" s="100"/>
    </row>
    <row r="92" spans="2:8" x14ac:dyDescent="0.15">
      <c r="B92" s="100" t="s">
        <v>122</v>
      </c>
      <c r="C92" s="116">
        <f>C60/(1+C90)^C76</f>
        <v>14.137787447811043</v>
      </c>
      <c r="D92" s="116"/>
    </row>
    <row r="93" spans="2:8" x14ac:dyDescent="0.15">
      <c r="B93" s="110" t="s">
        <v>101</v>
      </c>
      <c r="C93" s="111">
        <f>C91+C92</f>
        <v>15.23896036462031</v>
      </c>
      <c r="D93" t="str">
        <f>Market_currency</f>
        <v>HKD</v>
      </c>
      <c r="E93" s="146" t="s">
        <v>126</v>
      </c>
      <c r="F93" s="291">
        <f>(1-C93/C60)</f>
        <v>0.40258792115232644</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1.3966188858696114</v>
      </c>
      <c r="D97" s="116"/>
      <c r="G97" s="2"/>
      <c r="H97" s="281"/>
    </row>
    <row r="98" spans="2:8" x14ac:dyDescent="0.15">
      <c r="B98" s="100" t="s">
        <v>122</v>
      </c>
      <c r="C98" s="116">
        <f>C60/(1+C96)^C76</f>
        <v>20.533167386739056</v>
      </c>
      <c r="D98" s="116"/>
      <c r="G98" s="2"/>
      <c r="H98" s="281"/>
    </row>
    <row r="99" spans="2:8" x14ac:dyDescent="0.15">
      <c r="B99" s="110" t="s">
        <v>398</v>
      </c>
      <c r="C99" s="111">
        <f>C97+C98</f>
        <v>21.929786272608666</v>
      </c>
      <c r="D99" t="s">
        <v>396</v>
      </c>
      <c r="E99" s="146" t="s">
        <v>126</v>
      </c>
      <c r="F99" s="291">
        <f>(1-C99/C60)</f>
        <v>0.14028786135433058</v>
      </c>
    </row>
    <row r="100" spans="2:8" x14ac:dyDescent="0.15">
      <c r="B100" s="100"/>
    </row>
    <row r="101" spans="2:8" x14ac:dyDescent="0.15">
      <c r="B101" s="109" t="s">
        <v>422</v>
      </c>
    </row>
    <row r="102" spans="2:8" x14ac:dyDescent="0.15">
      <c r="B102" s="148" t="s">
        <v>421</v>
      </c>
      <c r="C102" s="134">
        <f>Thesis!F32</f>
        <v>0.1174</v>
      </c>
    </row>
    <row r="103" spans="2:8" x14ac:dyDescent="0.15">
      <c r="B103" s="100" t="s">
        <v>121</v>
      </c>
      <c r="C103" s="116">
        <f>PV(C102, C76, -C77, 0)</f>
        <v>1.2956945736518182</v>
      </c>
      <c r="D103" s="116"/>
    </row>
    <row r="104" spans="2:8" x14ac:dyDescent="0.15">
      <c r="B104" s="100" t="s">
        <v>122</v>
      </c>
      <c r="C104" s="116">
        <f>C60/(1+C102)^C76</f>
        <v>18.283331735023872</v>
      </c>
      <c r="D104" s="116"/>
    </row>
    <row r="105" spans="2:8" x14ac:dyDescent="0.15">
      <c r="B105" s="110" t="s">
        <v>398</v>
      </c>
      <c r="C105" s="111">
        <f>C103+C104</f>
        <v>19.57902630867569</v>
      </c>
      <c r="D105" t="s">
        <v>396</v>
      </c>
      <c r="E105" s="146" t="s">
        <v>126</v>
      </c>
      <c r="F105" s="291">
        <f>(1-C105/C66)</f>
        <v>0.23086976191482955</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