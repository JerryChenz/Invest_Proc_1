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BC193B-15CE-4FBD-85B0-BB688F61200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<sst xmlns="http://schemas.openxmlformats.org/spreadsheetml/2006/main" count="768" uniqueCount="559">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</sst>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22</v>
      </c>
      <c r="E8" s="32"/>
    </row>
    <row r="9" spans="1:9">
      <c r="B9" s="4" t="s">
        <v>346</v>
      </c>
      <c r="C9" s="48">
        <v>2584811005</v>
      </c>
    </row>
    <row r="10" spans="1:9">
      <c r="B10" s="4" t="s">
        <v>352</v>
      </c>
      <c r="C10" s="33">
        <f>Thesis!C8*Common_Shares/1000000</f>
        <v>56865.842109999998</v>
      </c>
      <c r="D10" s="1" t="s">
        <v>528</v>
      </c>
      <c r="E10" s="303">
        <f>Scenarios!F34</f>
        <v>0.10753878801369247</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1.1359030000000001</v>
      </c>
    </row>
    <row r="17" spans="1:6">
      <c r="B17" s="1" t="s">
        <v>532</v>
      </c>
      <c r="C17" s="456">
        <v>0.02</v>
      </c>
      <c r="D17" s="4" t="s">
        <v>274</v>
      </c>
      <c r="E17" s="224" t="s">
        <v>558</v>
      </c>
    </row>
    <row r="18" spans="1:6">
      <c r="B18" s="1" t="str">
        <f>"Expected Equity Value ("&amp;C7&amp;") :"</f>
        <v>Expected Equity Value (HKD) :</v>
      </c>
      <c r="C18" s="252">
        <f>C125</f>
        <v>28.171637777548053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13.757769786501274</v>
      </c>
      <c r="D22" s="38" t="s">
        <v>406</v>
      </c>
      <c r="E22" s="79">
        <v>0.3</v>
      </c>
    </row>
    <row r="23" spans="1:6">
      <c r="B23" s="1" t="s">
        <v>313</v>
      </c>
      <c r="C23" s="256">
        <f>E141</f>
        <v>17.387516654247808</v>
      </c>
      <c r="D23" s="38" t="s">
        <v>407</v>
      </c>
      <c r="E23" s="443">
        <v>0.2</v>
      </c>
    </row>
    <row r="24" spans="1:6">
      <c r="B24" s="1" t="s">
        <v>315</v>
      </c>
      <c r="C24" s="256">
        <f>E144</f>
        <v>21.434401128760559</v>
      </c>
      <c r="D24" s="38" t="s">
        <v>408</v>
      </c>
      <c r="E24" s="443">
        <v>0.1174</v>
      </c>
    </row>
    <row r="25" spans="1:6">
      <c r="B25" s="1" t="s">
        <v>314</v>
      </c>
      <c r="C25" s="256">
        <f>E145</f>
        <v>24.180944523459061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3529289</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26477.099209515247</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-80161.680790484752</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-862281.82980237878</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2533243.3160416177</v>
      </c>
      <c r="D60" s="1" t="str">
        <f>Reporting_currency</f>
        <v>CNY</v>
      </c>
    </row>
    <row r="61" spans="2:6">
      <c r="B61" s="44" t="s">
        <v>213</v>
      </c>
      <c r="C61" s="285">
        <f>Normalized_FCF!C19</f>
        <v>2586845.4894071361</v>
      </c>
      <c r="D61" s="1" t="str">
        <f>Reporting_currency</f>
        <v>CNY</v>
      </c>
    </row>
    <row r="62" spans="2:6">
      <c r="B62" s="204" t="s">
        <v>302</v>
      </c>
      <c r="C62" s="89">
        <f>Normalized_FCF!C124</f>
        <v>5.167259365068487E-2</v>
      </c>
      <c r="F62" s="257"/>
    </row>
    <row r="63" spans="2:6">
      <c r="B63" s="204" t="s">
        <v>332</v>
      </c>
      <c r="C63" s="89">
        <f>Normalized_FCF!C92</f>
        <v>2.3401486026375651E-2</v>
      </c>
      <c r="E63" s="44" t="s">
        <v>322</v>
      </c>
      <c r="F63" s="258">
        <f>Normalized_FCF!C90</f>
        <v>0.51442779051339271</v>
      </c>
    </row>
    <row r="65" spans="1:6">
      <c r="B65" s="192" t="s">
        <v>325</v>
      </c>
      <c r="C65" s="264" t="s">
        <v>327</v>
      </c>
      <c r="D65" s="264" t="s">
        <v>328</v>
      </c>
    </row>
    <row r="66" spans="1:6">
      <c r="B66" s="44" t="s">
        <v>326</v>
      </c>
      <c r="C66" s="89">
        <f>Normalized_FCF!E119</f>
        <v>0.2</v>
      </c>
      <c r="D66" s="89">
        <f>Normalized_FCF!G119</f>
        <v>0.1336072484621037</v>
      </c>
    </row>
    <row r="67" spans="1:6">
      <c r="B67" s="229" t="str">
        <f>Normalized_FCF!B116</f>
        <v>Pre-tax Profit/Sales</v>
      </c>
      <c r="C67" s="263">
        <f>Normalized_FCF!E116</f>
        <v>0.13430424833028851</v>
      </c>
      <c r="D67" s="263">
        <f>Normalized_FCF!G116</f>
        <v>0.12658597807350364</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-1777313</v>
      </c>
      <c r="D78" s="1" t="str">
        <f>Reporting_currency</f>
        <v>CNY</v>
      </c>
    </row>
    <row r="79" spans="1:6">
      <c r="A79" s="191"/>
      <c r="B79" s="44" t="s">
        <v>234</v>
      </c>
      <c r="C79" s="201">
        <f>C78*scaling_factor*Exchange_Rate/Common_Shares</f>
        <v>-0.7810455637699516</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14778006.131747458</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6.4942394111597084</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0.73332790925129954</v>
      </c>
      <c r="D90" s="1" t="str">
        <f>Market_currency</f>
        <v>HKD</v>
      </c>
    </row>
    <row r="91" spans="1:6">
      <c r="A91" s="191"/>
    </row>
    <row r="92" spans="1:6">
      <c r="A92" s="191"/>
      <c r="B92" s="44" t="s">
        <v>469</v>
      </c>
      <c r="C92" s="216">
        <f>DCF!F8</f>
        <v>6.4465217566410571</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5.6659314522473956</v>
      </c>
      <c r="D111" s="1" t="str">
        <f>Market_currency</f>
        <v>HKD</v>
      </c>
    </row>
    <row r="112" spans="2:6">
      <c r="B112" s="44" t="s">
        <v>323</v>
      </c>
      <c r="C112" s="216">
        <f>DCF!C11</f>
        <v>28.53286464276237</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36.52 HKD</v>
      </c>
      <c r="E118" s="208">
        <f>DCF!F90</f>
        <v>0.05</v>
      </c>
      <c r="F118" s="208">
        <f>RATE(Holding_Period,Scenarios!C$58,-DCF!E90,C$18)</f>
        <v>-6.7515772364682175E-2</v>
      </c>
    </row>
    <row r="119" spans="2:6">
      <c r="B119" s="205" t="str">
        <f>DCF!B91&amp;" ("&amp;DCF!D91&amp;"yrs)"</f>
        <v>Optimistic (10yrs)</v>
      </c>
      <c r="C119" s="198">
        <f>DCF!C91</f>
        <v>0.06</v>
      </c>
      <c r="D119" s="207" t="str">
        <f>ROUND(DCF!E91,2)&amp;" "&amp;Market_currency</f>
        <v>30.56 HKD</v>
      </c>
      <c r="E119" s="199">
        <f>DCF!F91</f>
        <v>0.22499999999999992</v>
      </c>
      <c r="F119" s="208">
        <f>RATE(Holding_Period,Scenarios!C$58,-DCF!E91,C$18)</f>
        <v>-9.401359844818236E-3</v>
      </c>
    </row>
    <row r="120" spans="2:6">
      <c r="B120" s="205" t="str">
        <f>DCF!B92&amp;" ("&amp;DCF!D92&amp;"yrs)"</f>
        <v>Base (10yrs)</v>
      </c>
      <c r="C120" s="198">
        <f>DCF!C92</f>
        <v>0.04</v>
      </c>
      <c r="D120" s="207" t="str">
        <f>ROUND(DCF!E92,2)&amp;" "&amp;Market_currency</f>
        <v>28.01 HKD</v>
      </c>
      <c r="E120" s="199">
        <f>DCF!F92</f>
        <v>0.495</v>
      </c>
      <c r="F120" s="208">
        <f>RATE(Holding_Period,Scenarios!C$58,-DCF!E92,C$18)</f>
        <v>2.0220296222136128E-2</v>
      </c>
    </row>
    <row r="121" spans="2:6">
      <c r="B121" s="205" t="str">
        <f>DCF!B93&amp;" ("&amp;DCF!D93&amp;"yrs)"</f>
        <v>Pessimistic (10yrs)</v>
      </c>
      <c r="C121" s="198">
        <f>DCF!C93</f>
        <v>0.02</v>
      </c>
      <c r="D121" s="207" t="str">
        <f>ROUND(DCF!E93,2)&amp;" "&amp;Market_currency</f>
        <v>25.73 HKD</v>
      </c>
      <c r="E121" s="199">
        <f>DCF!F93</f>
        <v>0.18</v>
      </c>
      <c r="F121" s="208">
        <f>RATE(Holding_Period,Scenarios!C$58,-DCF!E93,C$18)</f>
        <v>5.0097819353919902E-2</v>
      </c>
    </row>
    <row r="122" spans="2:6">
      <c r="B122" s="205" t="str">
        <f>DCF!B94&amp;" ("&amp;DCF!D94&amp;"yrs)"</f>
        <v>Devil's advocate (10yrs)</v>
      </c>
      <c r="C122" s="198">
        <f>DCF!C94</f>
        <v>-0.05</v>
      </c>
      <c r="D122" s="207" t="str">
        <f>ROUND(DCF!E94,2)&amp;" "&amp;Market_currency</f>
        <v>19.44 HKD</v>
      </c>
      <c r="E122" s="199">
        <f>DCF!F94</f>
        <v>0.05</v>
      </c>
      <c r="F122" s="208">
        <f>RATE(Holding_Period,Scenarios!C$58,-DCF!E94,C$18)</f>
        <v>0.15510850412324068</v>
      </c>
    </row>
    <row r="124" spans="2:6">
      <c r="B124" s="462" t="s">
        <v>357</v>
      </c>
      <c r="C124" s="462"/>
      <c r="D124" s="462"/>
      <c r="E124" s="462"/>
      <c r="F124" s="462"/>
    </row>
    <row r="125" spans="2:6">
      <c r="B125" s="193" t="s">
        <v>218</v>
      </c>
      <c r="C125" s="197">
        <f>Scenarios!C36</f>
        <v>28.171637777548053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0.51483269258026432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0.93499428465874146</v>
      </c>
      <c r="D140" s="333">
        <f>Scenarios!D62</f>
        <v>12.822775501842534</v>
      </c>
      <c r="E140" s="334">
        <f>Scenarios!E62</f>
        <v>13.757769786501274</v>
      </c>
      <c r="F140" s="335">
        <f>E22</f>
        <v>0.3</v>
      </c>
    </row>
    <row r="141" spans="1:6">
      <c r="B141" s="336" t="s">
        <v>313</v>
      </c>
      <c r="C141" s="333">
        <f>Scenarios!C63</f>
        <v>1.0844855329815752</v>
      </c>
      <c r="D141" s="333">
        <f>Scenarios!D63</f>
        <v>16.303031121266233</v>
      </c>
      <c r="E141" s="334">
        <f>Scenarios!E63</f>
        <v>17.387516654247808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1.2420869634545573</v>
      </c>
      <c r="D144" s="333">
        <f>Scenarios!D66</f>
        <v>20.192314165306001</v>
      </c>
      <c r="E144" s="334">
        <f>Scenarios!E66</f>
        <v>21.434401128760559</v>
      </c>
      <c r="F144" s="335">
        <f>E24</f>
        <v>0.1174</v>
      </c>
    </row>
    <row r="145" spans="1:6">
      <c r="B145" s="336" t="s">
        <v>314</v>
      </c>
      <c r="C145" s="333">
        <f>Scenarios!C67</f>
        <v>1.3449361722354636</v>
      </c>
      <c r="D145" s="333">
        <f>Scenarios!D67</f>
        <v>22.836008351223597</v>
      </c>
      <c r="E145" s="334">
        <f>Scenarios!E67</f>
        <v>24.180944523459061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0.51483269258026432</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0.51483269258026432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11.939364164374952</v>
      </c>
      <c r="D47" s="134">
        <f>D46*H1/Common_Shares*Exchange_Rate</f>
        <v>5.6659314522473956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14778006.131747458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-2206424.9341262705</v>
      </c>
      <c r="D73" s="285">
        <f>(Normalized_FCF!C26+Normalized_FCF!C35-Normalized_FCF!C89)/12</f>
        <v>-2206424.9341262705</v>
      </c>
      <c r="F73" s="1" t="s">
        <v>278</v>
      </c>
    </row>
    <row r="74" spans="2:6" ht="15" customHeight="1">
      <c r="B74" s="227" t="s">
        <v>259</v>
      </c>
      <c r="C74" s="228">
        <f>-$C$66/C73</f>
        <v>8.6977153417636899</v>
      </c>
      <c r="D74" s="228">
        <f>-$C$66/D73</f>
        <v>8.6977153417636899</v>
      </c>
      <c r="F74" s="223" t="s">
        <v>257</v>
      </c>
    </row>
    <row r="75" spans="2:6" ht="15" customHeight="1">
      <c r="B75" s="77" t="s">
        <v>258</v>
      </c>
      <c r="C75" s="261"/>
      <c r="D75" s="262">
        <f>MAX(-D73*D76,G5)</f>
        <v>4412849.8682525409</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-2018855.1686390003</v>
      </c>
      <c r="D86" s="201">
        <f>C86*scaling_factor/Common_Shares</f>
        <v>-0.7810455637699516</v>
      </c>
      <c r="E86" s="214" t="str">
        <f>Market_currency</f>
        <v>HKD</v>
      </c>
    </row>
    <row r="87" spans="2:8" ht="15" customHeight="1">
      <c r="B87" s="212" t="s">
        <v>240</v>
      </c>
      <c r="C87" s="73">
        <f>DCF!F5*Exchange_Rate</f>
        <v>16786381.499070335</v>
      </c>
      <c r="D87" s="201">
        <f>C87*scaling_factor/Common_Shares</f>
        <v>6.4942394111597093</v>
      </c>
      <c r="E87" s="214" t="str">
        <f>Market_currency</f>
        <v>HKD</v>
      </c>
    </row>
    <row r="88" spans="2:8" ht="15" customHeight="1">
      <c r="B88" s="213" t="s">
        <v>159</v>
      </c>
      <c r="C88" s="73">
        <f>DCF!F6*Exchange_Rate</f>
        <v>1895514.0501064002</v>
      </c>
      <c r="D88" s="201">
        <f>C88*scaling_factor/Common_Shares</f>
        <v>0.73332790925129954</v>
      </c>
      <c r="E88" s="214" t="str">
        <f>Market_currency</f>
        <v>HKD</v>
      </c>
    </row>
    <row r="89" spans="2:8" ht="15" customHeight="1">
      <c r="B89" s="77" t="s">
        <v>244</v>
      </c>
      <c r="C89" s="162">
        <f>SUM(C86:C88)</f>
        <v>16663040.380537735</v>
      </c>
      <c r="D89" s="216">
        <f>SUM(D86:D88)</f>
        <v>6.4465217566410571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-80161.680790484752</v>
      </c>
      <c r="E10" s="237"/>
      <c r="G10" s="266">
        <f>G48</f>
        <v>-155653.68395838243</v>
      </c>
      <c r="H10" s="266">
        <f t="shared" ref="H10:Q10" si="6">H48</f>
        <v>-66345.429256672083</v>
      </c>
      <c r="I10" s="266">
        <f t="shared" si="6"/>
        <v>-17603.388165992234</v>
      </c>
      <c r="J10" s="266">
        <f t="shared" si="6"/>
        <v>-79093.60617963894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3449127.3192095151</v>
      </c>
      <c r="E11" s="237"/>
      <c r="G11" s="267">
        <f t="shared" ref="G11:Q11" si="7">IF(G$4="","",SUM(G8:G10))</f>
        <v>3629934.3160416177</v>
      </c>
      <c r="H11" s="267">
        <f t="shared" si="7"/>
        <v>3327408.570743328</v>
      </c>
      <c r="I11" s="267">
        <f t="shared" si="7"/>
        <v>4240823.6118340073</v>
      </c>
      <c r="J11" s="267">
        <f t="shared" si="7"/>
        <v>4800474.3938203612</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-862281.82980237878</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2586845.4894071361</v>
      </c>
      <c r="D14" s="58"/>
      <c r="E14" s="243"/>
      <c r="F14" s="58"/>
      <c r="G14" s="267">
        <f t="shared" ref="G14:Q14" si="8">IF(G$4="","",SUM(G11:G13))</f>
        <v>2533243.3160416177</v>
      </c>
      <c r="H14" s="267">
        <f t="shared" si="8"/>
        <v>2258149.570743328</v>
      </c>
      <c r="I14" s="267">
        <f t="shared" si="8"/>
        <v>2889494.6118340073</v>
      </c>
      <c r="J14" s="267">
        <f t="shared" si="8"/>
        <v>3483118.3938203612</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2586845.4894071361</v>
      </c>
      <c r="D19" s="26"/>
      <c r="E19" s="234"/>
      <c r="F19" s="26"/>
      <c r="G19" s="271">
        <f t="shared" ref="G19:Q19" si="9">IF(G$4="","",G14+G17)</f>
        <v>2533243.3160416177</v>
      </c>
      <c r="H19" s="271">
        <f t="shared" si="9"/>
        <v>2258149.570743328</v>
      </c>
      <c r="I19" s="271">
        <f t="shared" si="9"/>
        <v>2889494.6118340073</v>
      </c>
      <c r="J19" s="271">
        <f t="shared" si="9"/>
        <v>3483118.3938203612</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0.30212419964555259</v>
      </c>
      <c r="H41" s="6">
        <f t="shared" si="16"/>
        <v>0.32133324696015436</v>
      </c>
      <c r="I41" s="6">
        <f t="shared" si="16"/>
        <v>0.31864777309509407</v>
      </c>
      <c r="J41" s="6">
        <f t="shared" si="16"/>
        <v>0.2744205867853019</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26477.099209515247</v>
      </c>
      <c r="E46" s="237"/>
      <c r="G46" s="274">
        <f t="shared" ref="G46:Q46" si="17">IFERROR(IF(G$4="","",($C$46/$C$47)*G47),0)</f>
        <v>98767.316041617567</v>
      </c>
      <c r="H46" s="274">
        <f t="shared" si="17"/>
        <v>115100.57074332792</v>
      </c>
      <c r="I46" s="274">
        <f t="shared" si="17"/>
        <v>102957.61183400777</v>
      </c>
      <c r="J46" s="274">
        <f t="shared" si="17"/>
        <v>33364.39382036106</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-80161.680790484752</v>
      </c>
      <c r="E48" s="237"/>
      <c r="G48" s="267">
        <f>IF(G$4="","",(G45+G46))</f>
        <v>-155653.68395838243</v>
      </c>
      <c r="H48" s="267">
        <f t="shared" ref="H48:Q48" si="18">IF(H$4="","",(H45+H46))</f>
        <v>-66345.429256672083</v>
      </c>
      <c r="I48" s="267">
        <f t="shared" si="18"/>
        <v>-17603.388165992234</v>
      </c>
      <c r="J48" s="267">
        <f t="shared" si="18"/>
        <v>-79093.60617963894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2.7954623647143588E-3</v>
      </c>
      <c r="D76" s="26"/>
      <c r="E76" s="234"/>
      <c r="F76" s="26"/>
      <c r="G76" s="6">
        <f t="shared" ref="G76:Q76" si="28">IF(G$4="","",ABS(G10/G$4))</f>
        <v>5.4280799896407701E-3</v>
      </c>
      <c r="H76" s="6">
        <f t="shared" si="28"/>
        <v>2.4039513340302584E-3</v>
      </c>
      <c r="I76" s="6">
        <f t="shared" si="28"/>
        <v>6.8221241245739882E-4</v>
      </c>
      <c r="J76" s="6">
        <f t="shared" si="28"/>
        <v>3.5040147772233982E-3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0.12028073160240958</v>
      </c>
      <c r="D77" s="26"/>
      <c r="E77" s="234"/>
      <c r="F77" s="26"/>
      <c r="G77" s="62">
        <f t="shared" ref="G77:Q77" si="29">IF(G$4="","",G11/G$4)</f>
        <v>0.12658597807350364</v>
      </c>
      <c r="H77" s="62">
        <f t="shared" si="29"/>
        <v>0.12056487330207032</v>
      </c>
      <c r="I77" s="62">
        <f t="shared" si="29"/>
        <v>0.16435145778497368</v>
      </c>
      <c r="J77" s="62">
        <f t="shared" si="29"/>
        <v>0.21267121359247482</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3.0070182900602396E-2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9.0210548701807183E-2</v>
      </c>
      <c r="D80" s="26"/>
      <c r="E80" s="234"/>
      <c r="F80" s="26"/>
      <c r="G80" s="62">
        <f t="shared" ref="G80:Q80" si="32">IF(G$4="","",ABS(G14/G$4))</f>
        <v>8.8341290761696875E-2</v>
      </c>
      <c r="H80" s="62">
        <f t="shared" si="32"/>
        <v>8.1821486933590967E-2</v>
      </c>
      <c r="I80" s="62">
        <f t="shared" si="32"/>
        <v>0.11198123175685945</v>
      </c>
      <c r="J80" s="62">
        <f t="shared" si="32"/>
        <v>0.15430954425121507</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9.0210548701807183E-2</v>
      </c>
      <c r="D85" s="72"/>
      <c r="E85" s="234"/>
      <c r="F85" s="72"/>
      <c r="G85" s="62">
        <f t="shared" ref="G85:Q85" si="35">IF(G$4="","",ABS(G19/G$4))</f>
        <v>8.8341290761696875E-2</v>
      </c>
      <c r="H85" s="62">
        <f t="shared" si="35"/>
        <v>8.1821486933590967E-2</v>
      </c>
      <c r="I85" s="62">
        <f t="shared" si="35"/>
        <v>0.11198123175685945</v>
      </c>
      <c r="J85" s="62">
        <f t="shared" si="35"/>
        <v>0.15430954425121507</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0.51483269258026432</v>
      </c>
      <c r="E88" s="237"/>
      <c r="G88" s="109">
        <f>Data!C65</f>
        <v>0.51483269258026432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1330745.2095152491</v>
      </c>
      <c r="E89" s="237"/>
      <c r="G89" s="71">
        <f t="shared" ref="G89:Q89" si="36">IF(G$4="","",G88*Common_Shares/scaling_factor)</f>
        <v>1330745.2095152491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0.51442779051339271</v>
      </c>
      <c r="E90" s="237"/>
      <c r="G90" s="152">
        <f t="shared" ref="G90:Q90" si="37">IF(G$4="","",G88/(G19*scaling_factor/Common_Shares))</f>
        <v>0.52531282766577592</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2.3401486026375651E-2</v>
      </c>
      <c r="E92" s="237"/>
      <c r="G92" s="22">
        <f t="shared" ref="G92:Q92" si="38">IF(G$4="","",(G88*(1-dividend_tax_rate))/Market_Price)</f>
        <v>2.3401486026375651E-2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-4.9809991335950543E-2</v>
      </c>
      <c r="D96" s="26"/>
      <c r="E96" s="234"/>
      <c r="F96" s="26"/>
      <c r="G96" s="6">
        <f t="shared" ref="G96:Q96" si="40">IF(H5="","",G11/H11-1)</f>
        <v>9.0919326216289287E-2</v>
      </c>
      <c r="H96" s="6">
        <f t="shared" si="40"/>
        <v>-0.21538623736714657</v>
      </c>
      <c r="I96" s="6">
        <f t="shared" si="40"/>
        <v>-0.11658239083762034</v>
      </c>
      <c r="J96" s="6">
        <f t="shared" si="40"/>
        <v>1.4642396615189823</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2.0795219182622944</v>
      </c>
      <c r="H113" s="251">
        <f>IF(H$4="","",Data!D$22/H19)</f>
        <v>2.0760077457831305</v>
      </c>
      <c r="I113" s="251">
        <f>IF(I$4="","",Data!E$22/I19)</f>
        <v>1.3544250901080499</v>
      </c>
      <c r="J113" s="251">
        <f>IF(J$4="","",Data!F$22/J19)</f>
        <v>1.873417513334328</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0.12028073160240958</v>
      </c>
      <c r="E116" s="22">
        <f>E119/E117/E118</f>
        <v>0.13430424833028851</v>
      </c>
      <c r="G116" s="22">
        <f t="shared" ref="G116:Q116" si="44">IF(G4="","",G77)</f>
        <v>0.12658597807350364</v>
      </c>
      <c r="H116" s="22">
        <f t="shared" si="44"/>
        <v>0.12056487330207032</v>
      </c>
      <c r="I116" s="22">
        <f t="shared" si="44"/>
        <v>0.16435145778497368</v>
      </c>
      <c r="J116" s="22">
        <f t="shared" si="44"/>
        <v>0.21267121359247482</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0.12695227257378613</v>
      </c>
      <c r="D119" s="100"/>
      <c r="E119" s="453">
        <v>0.2</v>
      </c>
      <c r="F119" s="100"/>
      <c r="G119" s="99">
        <f t="shared" ref="G119:Q119" si="47">IF(G$4="","",G11/G104)</f>
        <v>0.1336072484621037</v>
      </c>
      <c r="H119" s="99">
        <f t="shared" si="47"/>
        <v>0.13633209792135378</v>
      </c>
      <c r="I119" s="99">
        <f t="shared" si="47"/>
        <v>0.1742904882767205</v>
      </c>
      <c r="J119" s="99">
        <f t="shared" si="47"/>
        <v>0.22746635969104786</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1.1367970603150672</v>
      </c>
      <c r="D123" s="26"/>
      <c r="E123" s="234"/>
      <c r="F123" s="26"/>
      <c r="G123" s="159">
        <f t="shared" ref="G123:Q123" si="48">IF(G$4="","",G14*$C$3/Common_Shares*Exchange_Rate)</f>
        <v>1.1132414233982351</v>
      </c>
      <c r="H123" s="159">
        <f t="shared" si="48"/>
        <v>0.99235064648607019</v>
      </c>
      <c r="I123" s="159">
        <f t="shared" si="48"/>
        <v>1.2697971308993574</v>
      </c>
      <c r="J123" s="159">
        <f t="shared" si="48"/>
        <v>1.530666894114268</v>
      </c>
      <c r="K123" s="159">
        <f t="shared" si="48"/>
        <v>0.6146515120636451</v>
      </c>
      <c r="L123" s="159">
        <f t="shared" si="48"/>
        <v>0.60564975642000562</v>
      </c>
      <c r="M123" s="159">
        <f t="shared" si="48"/>
        <v>0.26060882392830886</v>
      </c>
      <c r="N123" s="159">
        <f t="shared" si="48"/>
        <v>0.19928271565719369</v>
      </c>
      <c r="O123" s="159">
        <f t="shared" si="48"/>
        <v>0.10169997549666113</v>
      </c>
      <c r="P123" s="159">
        <f t="shared" si="48"/>
        <v>5.2879381790623412E-3</v>
      </c>
      <c r="Q123" s="159" t="str">
        <f t="shared" si="48"/>
        <v/>
      </c>
    </row>
    <row r="124" spans="1:17" ht="15.75" customHeight="1">
      <c r="A124" s="10"/>
      <c r="B124" s="26" t="s">
        <v>226</v>
      </c>
      <c r="C124" s="74">
        <f>C19*Exchange_Rate*$C$3/(Market_Price*Common_Shares)</f>
        <v>5.167259365068487E-2</v>
      </c>
      <c r="D124" s="26"/>
      <c r="E124" s="234"/>
      <c r="F124" s="26"/>
      <c r="G124" s="74">
        <f t="shared" ref="G124" si="49">IF(G$4="","",G123/Market_Price)</f>
        <v>5.0601882881737954E-2</v>
      </c>
      <c r="H124" s="74">
        <f t="shared" ref="H124" si="50">IF(H$4="","",H123/Market_Price)</f>
        <v>4.5106847567548645E-2</v>
      </c>
      <c r="I124" s="74">
        <f t="shared" ref="I124" si="51">IF(I$4="","",I123/Market_Price)</f>
        <v>5.7718051404516246E-2</v>
      </c>
      <c r="J124" s="74">
        <f t="shared" ref="J124" si="52">IF(J$4="","",J123/Market_Price)</f>
        <v>6.9575767914284908E-2</v>
      </c>
      <c r="K124" s="74">
        <f t="shared" ref="K124" si="53">IF(K$4="","",K123/Market_Price)</f>
        <v>2.7938705093802051E-2</v>
      </c>
      <c r="L124" s="74">
        <f t="shared" ref="L124" si="54">IF(L$4="","",L123/Market_Price)</f>
        <v>2.7529534382727528E-2</v>
      </c>
      <c r="M124" s="74">
        <f t="shared" ref="M124" si="55">IF(M$4="","",M123/Market_Price)</f>
        <v>1.1845855633104948E-2</v>
      </c>
      <c r="N124" s="74">
        <f t="shared" ref="N124" si="56">IF(N$4="","",N123/Market_Price)</f>
        <v>9.0583052571451671E-3</v>
      </c>
      <c r="O124" s="74">
        <f t="shared" ref="O124" si="57">IF(O$4="","",O123/Market_Price)</f>
        <v>4.622726158939142E-3</v>
      </c>
      <c r="P124" s="74">
        <f t="shared" ref="P124" si="58">IF(P$4="","",P123/Market_Price)</f>
        <v>2.403608263210155E-4</v>
      </c>
      <c r="Q124" s="74" t="str">
        <f t="shared" ref="Q124" si="59">IF(Q$4="","",Q123/Market_Price)</f>
        <v/>
      </c>
    </row>
    <row r="125" spans="1:17" ht="15.75" customHeight="1">
      <c r="B125" s="2" t="s">
        <v>306</v>
      </c>
      <c r="C125" s="151"/>
      <c r="G125" s="22">
        <f>IF(G$4="","",(Data!C47*$C$3)/(Market_Price*Common_Shares))</f>
        <v>5.2982913612215209E-2</v>
      </c>
      <c r="H125" s="22">
        <f>IF(H$4="","",(Data!D47*$C$3)/(Market_Price*Common_Shares))</f>
        <v>5.6043520710292352E-2</v>
      </c>
      <c r="I125" s="22">
        <f>IF(I$4="","",(Data!E47*$C$3)/(Market_Price*Common_Shares))</f>
        <v>7.1462425407138666E-2</v>
      </c>
      <c r="J125" s="22">
        <f>IF(J$4="","",(Data!F47*$C$3)/(Market_Price*Common_Shares))</f>
        <v>7.053246467785404E-2</v>
      </c>
      <c r="K125" s="22">
        <f>IF(K$4="","",(Data!G47*$C$3)/(Market_Price*Common_Shares))</f>
        <v>2.9868264268635834E-2</v>
      </c>
      <c r="L125" s="22">
        <f>IF(L$4="","",(Data!H47*$C$3)/(Market_Price*Common_Shares))</f>
        <v>2.6362803123535773E-2</v>
      </c>
      <c r="M125" s="22">
        <f>IF(M$4="","",(Data!I47*$C$3)/(Market_Price*Common_Shares))</f>
        <v>1.2578078042287871E-2</v>
      </c>
      <c r="N125" s="22">
        <f>IF(N$4="","",(Data!J47*$C$3)/(Market_Price*Common_Shares))</f>
        <v>9.0591290111117287E-3</v>
      </c>
      <c r="O125" s="22">
        <f>IF(O$4="","",(Data!K47*$C$3)/(Market_Price*Common_Shares))</f>
        <v>1.2324955966435085E-2</v>
      </c>
      <c r="P125" s="22">
        <f>IF(P$4="","",(Data!L47*$C$3)/(Market_Price*Common_Shares))</f>
        <v>1.0833392721210861E-3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2586845.4894071361</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14778006.131747458</v>
      </c>
      <c r="G5" t="str">
        <f>Reporting_currency</f>
        <v>CNY</v>
      </c>
      <c r="H5" s="308" t="s">
        <v>395</v>
      </c>
      <c r="I5" s="305">
        <f>Normalized_FCF!C7</f>
        <v>-1427907</v>
      </c>
      <c r="J5" s="305"/>
    </row>
    <row r="6" spans="2:15" ht="13.25" customHeight="1">
      <c r="B6" s="136" t="s">
        <v>194</v>
      </c>
      <c r="C6" s="283">
        <f>(C4*(1+Terminal_Growth))/(Equity_Cost-Terminal_Growth)</f>
        <v>50258712.365624368</v>
      </c>
      <c r="D6" t="str">
        <f>Reporting_currency</f>
        <v>CNY</v>
      </c>
      <c r="E6" s="187" t="s">
        <v>433</v>
      </c>
      <c r="F6" s="284">
        <f>BS!H42</f>
        <v>1668728.8</v>
      </c>
      <c r="G6" t="str">
        <f>Reporting_currency</f>
        <v>CNY</v>
      </c>
      <c r="H6" s="308" t="s">
        <v>416</v>
      </c>
      <c r="I6" s="305">
        <f>I7+I8</f>
        <v>-80161.680790484752</v>
      </c>
      <c r="J6" s="305"/>
      <c r="N6" s="135"/>
    </row>
    <row r="7" spans="2:15" ht="12.75" customHeight="1">
      <c r="B7" s="318" t="s">
        <v>430</v>
      </c>
      <c r="C7" s="275">
        <f>F7</f>
        <v>14669421.931747459</v>
      </c>
      <c r="E7" s="140" t="s">
        <v>424</v>
      </c>
      <c r="F7" s="283">
        <f>SUM(F4:F6)</f>
        <v>14669421.931747459</v>
      </c>
      <c r="G7" t="str">
        <f>Reporting_currency</f>
        <v>CNY</v>
      </c>
      <c r="H7" s="312" t="s">
        <v>417</v>
      </c>
      <c r="I7" s="313">
        <f>Normalized_FCF!C9</f>
        <v>0</v>
      </c>
      <c r="J7" s="313"/>
      <c r="N7" s="304"/>
      <c r="O7" s="304"/>
    </row>
    <row r="8" spans="2:15" ht="13.15">
      <c r="B8" s="136" t="s">
        <v>426</v>
      </c>
      <c r="C8" s="283">
        <f>C6+C7</f>
        <v>64928134.297371827</v>
      </c>
      <c r="D8" t="str">
        <f>Reporting_currency</f>
        <v>CNY</v>
      </c>
      <c r="E8" s="140" t="s">
        <v>464</v>
      </c>
      <c r="F8" s="108">
        <f>FV_adjustments*scaling_factor/Common_Shares*Exchange_Rate</f>
        <v>6.4465217566410571</v>
      </c>
      <c r="G8" s="294" t="str">
        <f>Market_currency</f>
        <v>HKD</v>
      </c>
      <c r="H8" s="314" t="str">
        <f>Normalized_FCF!B10</f>
        <v>Net Interest Income</v>
      </c>
      <c r="I8" s="313">
        <f>Normalized_FCF!C10</f>
        <v>-80161.680790484752</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73752062.532787561</v>
      </c>
      <c r="D10" t="str">
        <f>Market_currency</f>
        <v>HKD</v>
      </c>
      <c r="H10" s="308" t="s">
        <v>397</v>
      </c>
      <c r="I10" s="306">
        <f>Normalized_FCF!C41</f>
        <v>0.25</v>
      </c>
      <c r="N10" s="304"/>
      <c r="O10" s="304"/>
    </row>
    <row r="11" spans="2:15" ht="13.15">
      <c r="B11" s="136" t="s">
        <v>425</v>
      </c>
      <c r="C11" s="108">
        <f>(C10*scaling_factor)/Common_Shares</f>
        <v>28.53286464276237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0.12028073160240958</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28.174038840502373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0.12028073160240958</v>
      </c>
      <c r="F21" s="277">
        <f>C21*E21</f>
        <v>3591670.5336117474</v>
      </c>
      <c r="G21" s="299">
        <f t="shared" ref="G21:G50" si="2">IF(A21="",0%,IF(A21="I",$C$18,$F$18))</f>
        <v>0</v>
      </c>
      <c r="H21" s="277">
        <f>(F21*(1-$I$10)+C21*(G21-$I$9))</f>
        <v>2693752.9002088103</v>
      </c>
      <c r="I21" s="299">
        <f>H21/C4-1</f>
        <v>4.1327327526691882E-2</v>
      </c>
      <c r="J21" s="299">
        <f>H21/C21</f>
        <v>9.0210548701807183E-2</v>
      </c>
      <c r="K21" s="119">
        <f t="shared" ref="K21:K50" si="3">IF($C$15&lt;B21,0,1/(1+Equity_Cost)^B21)</f>
        <v>0.93240093240093236</v>
      </c>
      <c r="L21" s="277">
        <f t="shared" ref="L21:L51" si="4">H21*K21</f>
        <v>2511657.7158124107</v>
      </c>
    </row>
    <row r="22" spans="1:21">
      <c r="A22" s="302" t="str">
        <f t="shared" si="0"/>
        <v>I</v>
      </c>
      <c r="B22" s="117">
        <v>2</v>
      </c>
      <c r="C22" s="277">
        <f t="shared" ref="C22:C50" si="5">IF(A22="",0,C21*(1+D22))</f>
        <v>31094794.887723837</v>
      </c>
      <c r="D22" s="299">
        <f t="shared" si="1"/>
        <v>4.1327327526691798E-2</v>
      </c>
      <c r="E22" s="299">
        <f t="shared" ref="E22:E50" si="6">IF($C$15&lt;B22,0,IF(B22&gt;=$F$15,$F$17,$C$17))</f>
        <v>0.12028073160240958</v>
      </c>
      <c r="F22" s="277">
        <f t="shared" ref="F22:F50" si="7">IF(A22="", 0,C22*E22)</f>
        <v>3740104.6781222885</v>
      </c>
      <c r="G22" s="299">
        <f t="shared" si="2"/>
        <v>0</v>
      </c>
      <c r="H22" s="277">
        <f t="shared" ref="H22:H50" si="8">IF(A22="", 0,F22*(1-$I$10)+C22*(G22-$I$9))</f>
        <v>2805078.5085917162</v>
      </c>
      <c r="I22" s="299">
        <f t="shared" ref="I22:I50" si="9">IF(A22="", 0,H22/H21-1)</f>
        <v>4.1327327526691882E-2</v>
      </c>
      <c r="J22" s="299">
        <f>IF(A22="", 0,H22/C22)</f>
        <v>9.0210548701807183E-2</v>
      </c>
      <c r="K22" s="119">
        <f t="shared" si="3"/>
        <v>0.86937149874212816</v>
      </c>
      <c r="L22" s="277">
        <f t="shared" si="4"/>
        <v>2438655.307103714</v>
      </c>
    </row>
    <row r="23" spans="1:21">
      <c r="A23" s="302" t="str">
        <f t="shared" si="0"/>
        <v>I</v>
      </c>
      <c r="B23" s="117">
        <v>3</v>
      </c>
      <c r="C23" s="277">
        <f t="shared" si="5"/>
        <v>32379859.660424106</v>
      </c>
      <c r="D23" s="299">
        <f t="shared" si="1"/>
        <v>4.1327327526691798E-2</v>
      </c>
      <c r="E23" s="299">
        <f t="shared" si="6"/>
        <v>0.12028073160240958</v>
      </c>
      <c r="F23" s="277">
        <f t="shared" si="7"/>
        <v>3894673.2091391608</v>
      </c>
      <c r="G23" s="299">
        <f t="shared" si="2"/>
        <v>0</v>
      </c>
      <c r="H23" s="277">
        <f t="shared" si="8"/>
        <v>2921004.9068543706</v>
      </c>
      <c r="I23" s="299">
        <f t="shared" si="9"/>
        <v>4.1327327526691882E-2</v>
      </c>
      <c r="J23" s="299">
        <f t="shared" ref="J23:J50" si="10">IF(A23="", 0,H23/C23)</f>
        <v>9.0210548701807183E-2</v>
      </c>
      <c r="K23" s="119">
        <f t="shared" si="3"/>
        <v>0.81060279602995633</v>
      </c>
      <c r="L23" s="277">
        <f t="shared" si="4"/>
        <v>2367774.7447133749</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0.12028073160240958</v>
      </c>
      <c r="F24" s="277">
        <f t="shared" si="7"/>
        <v>4055629.644462687</v>
      </c>
      <c r="G24" s="299">
        <f t="shared" si="2"/>
        <v>0</v>
      </c>
      <c r="H24" s="277">
        <f t="shared" si="8"/>
        <v>3041722.2333470155</v>
      </c>
      <c r="I24" s="299">
        <f t="shared" si="9"/>
        <v>4.1327327526691882E-2</v>
      </c>
      <c r="J24" s="299">
        <f t="shared" si="10"/>
        <v>9.0210548701807197E-2</v>
      </c>
      <c r="K24" s="119">
        <f t="shared" si="3"/>
        <v>0.75580680282513402</v>
      </c>
      <c r="L24" s="277">
        <f t="shared" si="4"/>
        <v>2298954.356268134</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0.13966272347672004</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0" t="s">
        <v>420</v>
      </c>
      <c r="K52" s="460"/>
      <c r="L52" s="317">
        <f>SUM(L21:L51)</f>
        <v>49442184.121082738</v>
      </c>
    </row>
    <row r="53" spans="1:21">
      <c r="C53" s="111"/>
    </row>
    <row r="54" spans="1:21" ht="13.15">
      <c r="B54" s="115" t="s">
        <v>108</v>
      </c>
      <c r="C54" s="128"/>
      <c r="D54" s="128"/>
      <c r="E54" s="113"/>
      <c r="F54" s="113"/>
      <c r="G54" s="113"/>
      <c r="H54" s="113"/>
      <c r="I54" s="113"/>
      <c r="J54" s="113"/>
      <c r="K54" s="113"/>
      <c r="L54" s="113"/>
    </row>
    <row r="55" spans="1:21" ht="13.15">
      <c r="A55" s="125">
        <f>L52</f>
        <v>49442184.121082738</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39294805.229298837</v>
      </c>
      <c r="C56" s="118">
        <v>40705387.981119826</v>
      </c>
      <c r="D56" s="118">
        <v>41108411.624497242</v>
      </c>
      <c r="E56" s="118">
        <v>41511435.267874673</v>
      </c>
      <c r="F56" s="118">
        <v>42317482.554629527</v>
      </c>
      <c r="G56" s="295"/>
      <c r="H56" s="295"/>
      <c r="I56" s="295"/>
      <c r="J56" s="295"/>
      <c r="K56" s="295"/>
      <c r="L56" s="295"/>
    </row>
    <row r="57" spans="1:21" ht="13.15">
      <c r="A57" s="131">
        <v>2</v>
      </c>
      <c r="B57" s="118">
        <v>38323484.140534267</v>
      </c>
      <c r="C57" s="118">
        <v>41036848.7725868</v>
      </c>
      <c r="D57" s="118">
        <v>41829123.884362437</v>
      </c>
      <c r="E57" s="118">
        <v>42628967.029047564</v>
      </c>
      <c r="F57" s="118">
        <v>44251357.417146266</v>
      </c>
      <c r="G57" s="295"/>
      <c r="H57" s="295"/>
      <c r="I57" s="295"/>
      <c r="J57" s="295"/>
      <c r="K57" s="295"/>
      <c r="L57" s="295"/>
    </row>
    <row r="58" spans="1:21" ht="13.15">
      <c r="A58" s="131">
        <v>3</v>
      </c>
      <c r="B58" s="118">
        <v>36480453.046649836</v>
      </c>
      <c r="C58" s="118">
        <v>41758389.644017272</v>
      </c>
      <c r="D58" s="118">
        <v>43348175.278470561</v>
      </c>
      <c r="E58" s="118">
        <v>44975094.343423434</v>
      </c>
      <c r="F58" s="118">
        <v>48342026.310653895</v>
      </c>
      <c r="G58" s="295"/>
      <c r="H58" s="295"/>
      <c r="I58" s="295"/>
      <c r="J58" s="295"/>
      <c r="K58" s="295"/>
      <c r="L58" s="295"/>
    </row>
    <row r="59" spans="1:21" ht="13.15">
      <c r="A59" s="131">
        <v>4</v>
      </c>
      <c r="B59" s="118">
        <v>35698291.542664811</v>
      </c>
      <c r="C59" s="118">
        <v>42055254.718533747</v>
      </c>
      <c r="D59" s="118">
        <v>44012837.23120065</v>
      </c>
      <c r="E59" s="118">
        <v>46035832.919587269</v>
      </c>
      <c r="F59" s="118">
        <v>50283876.629838705</v>
      </c>
      <c r="G59" s="295"/>
      <c r="H59" s="295"/>
      <c r="I59" s="295"/>
      <c r="J59" s="295"/>
      <c r="K59" s="295"/>
      <c r="L59" s="295"/>
    </row>
    <row r="60" spans="1:21" ht="13.15">
      <c r="A60" s="131">
        <v>5</v>
      </c>
      <c r="B60" s="118">
        <v>33912242.592511281</v>
      </c>
      <c r="C60" s="118">
        <v>42456822.575384341</v>
      </c>
      <c r="D60" s="118">
        <v>45187571.123013616</v>
      </c>
      <c r="E60" s="118">
        <v>48055980.525439695</v>
      </c>
      <c r="F60" s="118">
        <v>54226381.660764962</v>
      </c>
      <c r="G60" s="295"/>
      <c r="H60" s="295"/>
      <c r="I60" s="295"/>
      <c r="J60" s="295"/>
      <c r="K60" s="295"/>
      <c r="L60" s="295"/>
    </row>
    <row r="61" spans="1:21" ht="13.15">
      <c r="A61" s="131">
        <v>6</v>
      </c>
      <c r="B61" s="118">
        <v>33282402.856308028</v>
      </c>
      <c r="C61" s="118">
        <v>42722702.808390565</v>
      </c>
      <c r="D61" s="118">
        <v>45800541.841021955</v>
      </c>
      <c r="E61" s="118">
        <v>49062812.157483153</v>
      </c>
      <c r="F61" s="118">
        <v>56176240.328047536</v>
      </c>
      <c r="G61" s="295"/>
      <c r="H61" s="295"/>
      <c r="I61" s="295"/>
      <c r="J61" s="295"/>
      <c r="K61" s="295"/>
      <c r="L61" s="295"/>
    </row>
    <row r="62" spans="1:21" ht="13.15">
      <c r="A62" s="131">
        <v>7</v>
      </c>
      <c r="B62" s="118">
        <v>31772294.571962152</v>
      </c>
      <c r="C62" s="118">
        <v>43091598.381122291</v>
      </c>
      <c r="D62" s="118">
        <v>46921102.86587064</v>
      </c>
      <c r="E62" s="118">
        <v>51047680.285038419</v>
      </c>
      <c r="F62" s="118">
        <v>60269831.607645847</v>
      </c>
      <c r="G62" s="295"/>
      <c r="H62" s="295"/>
      <c r="I62" s="295"/>
      <c r="J62" s="295"/>
      <c r="K62" s="295"/>
      <c r="L62" s="295"/>
    </row>
    <row r="63" spans="1:21" ht="13.15">
      <c r="A63" s="131">
        <v>8</v>
      </c>
      <c r="B63" s="118">
        <v>31265112.754294775</v>
      </c>
      <c r="C63" s="118">
        <v>43329727.768415779</v>
      </c>
      <c r="D63" s="118">
        <v>47486402.413396038</v>
      </c>
      <c r="E63" s="118">
        <v>52003344.534517646</v>
      </c>
      <c r="F63" s="118">
        <v>62227731.650102809</v>
      </c>
      <c r="G63" s="295"/>
      <c r="H63" s="295"/>
      <c r="I63" s="295"/>
      <c r="J63" s="295"/>
      <c r="K63" s="295"/>
      <c r="L63" s="295"/>
    </row>
    <row r="64" spans="1:21" ht="13.15">
      <c r="A64" s="131">
        <v>9</v>
      </c>
      <c r="B64" s="118">
        <v>29985417.558523841</v>
      </c>
      <c r="C64" s="118">
        <v>43668908.832614794</v>
      </c>
      <c r="D64" s="118">
        <v>48555876.75423336</v>
      </c>
      <c r="E64" s="118">
        <v>53953940.722946644</v>
      </c>
      <c r="F64" s="118">
        <v>66476489.373856351</v>
      </c>
      <c r="G64" s="295"/>
      <c r="H64" s="295"/>
      <c r="I64" s="295"/>
      <c r="J64" s="295"/>
      <c r="K64" s="295"/>
      <c r="L64" s="295"/>
    </row>
    <row r="65" spans="1:21" ht="13.15">
      <c r="A65" s="131">
        <v>10</v>
      </c>
      <c r="B65" s="118">
        <v>29577006.686064415</v>
      </c>
      <c r="C65" s="118">
        <v>43882183.826590925</v>
      </c>
      <c r="D65" s="118">
        <v>49077212.552247882</v>
      </c>
      <c r="E65" s="118">
        <v>54861037.926357985</v>
      </c>
      <c r="F65" s="118">
        <v>68442463.954770625</v>
      </c>
      <c r="G65" s="295"/>
      <c r="H65" s="295"/>
      <c r="I65" s="295"/>
      <c r="J65" s="295"/>
      <c r="K65" s="295"/>
      <c r="L65" s="295"/>
    </row>
    <row r="66" spans="1:21" ht="13.15">
      <c r="A66" s="131">
        <v>15</v>
      </c>
      <c r="B66" s="118">
        <v>26181993.571740706</v>
      </c>
      <c r="C66" s="277">
        <v>45108981.774867639</v>
      </c>
      <c r="D66" s="118">
        <v>52931168.829904646</v>
      </c>
      <c r="E66" s="118">
        <v>62194892.16334486</v>
      </c>
      <c r="F66" s="118">
        <v>86118442.238351867</v>
      </c>
      <c r="G66" s="295"/>
      <c r="H66" s="295"/>
      <c r="I66" s="295"/>
      <c r="J66" s="295"/>
      <c r="K66" s="295"/>
      <c r="L66" s="295"/>
      <c r="M66" s="275"/>
      <c r="N66" s="275"/>
      <c r="O66" s="275"/>
      <c r="P66" s="275"/>
      <c r="Q66" s="275"/>
      <c r="R66" s="275"/>
      <c r="S66" s="275"/>
      <c r="T66" s="275"/>
      <c r="U66" s="275"/>
    </row>
    <row r="67" spans="1:21" ht="13.15">
      <c r="A67" s="132">
        <v>20</v>
      </c>
      <c r="B67" s="118">
        <v>24405920.02411833</v>
      </c>
      <c r="C67" s="277">
        <v>45992818.161397465</v>
      </c>
      <c r="D67" s="118">
        <v>55810704.748077005</v>
      </c>
      <c r="E67" s="118">
        <v>68021479.348230213</v>
      </c>
      <c r="F67" s="118">
        <v>102116253.9315289</v>
      </c>
      <c r="G67" s="295"/>
      <c r="H67" s="295"/>
      <c r="I67" s="295"/>
      <c r="J67" s="295"/>
      <c r="K67" s="295"/>
      <c r="L67" s="295"/>
      <c r="M67" s="275"/>
      <c r="N67" s="275"/>
      <c r="O67" s="275"/>
      <c r="P67" s="275"/>
      <c r="Q67" s="275"/>
      <c r="R67" s="275"/>
      <c r="S67" s="275"/>
      <c r="T67" s="275"/>
      <c r="U67" s="275"/>
    </row>
    <row r="68" spans="1:21" ht="13.15">
      <c r="A68" s="132">
        <v>25</v>
      </c>
      <c r="B68" s="118">
        <v>22913961.773121234</v>
      </c>
      <c r="C68" s="277">
        <v>46782440.782431707</v>
      </c>
      <c r="D68" s="118">
        <v>58777255.645362914</v>
      </c>
      <c r="E68" s="118">
        <v>74522041.193857104</v>
      </c>
      <c r="F68" s="118">
        <v>122534953.98138988</v>
      </c>
      <c r="G68" s="295"/>
      <c r="H68" s="295"/>
      <c r="I68" s="295"/>
      <c r="J68" s="295"/>
      <c r="K68" s="295"/>
      <c r="L68" s="295"/>
      <c r="M68" s="275"/>
      <c r="N68" s="275"/>
      <c r="O68" s="275"/>
      <c r="P68" s="275"/>
      <c r="Q68" s="275"/>
      <c r="R68" s="275"/>
      <c r="S68" s="275"/>
      <c r="T68" s="275"/>
      <c r="U68" s="275"/>
    </row>
    <row r="69" spans="1:21" ht="13.15">
      <c r="A69" s="132">
        <v>30</v>
      </c>
      <c r="B69" s="118">
        <v>22144535.060936972</v>
      </c>
      <c r="C69" s="277">
        <v>47340351.473723039</v>
      </c>
      <c r="D69" s="118">
        <v>60942339.583812989</v>
      </c>
      <c r="E69" s="118">
        <v>79561540.616770342</v>
      </c>
      <c r="F69" s="118">
        <v>140552097.40501583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28.53286464276237</v>
      </c>
      <c r="C73" s="119">
        <f>C11</f>
        <v>28.53286464276237</v>
      </c>
      <c r="D73" s="119">
        <f>C11</f>
        <v>28.53286464276237</v>
      </c>
      <c r="E73" s="119">
        <f>C11</f>
        <v>28.53286464276237</v>
      </c>
      <c r="F73" s="119">
        <f>C11</f>
        <v>28.53286464276237</v>
      </c>
      <c r="G73" s="296"/>
      <c r="H73" s="296"/>
      <c r="I73" s="296"/>
      <c r="J73" s="296"/>
      <c r="K73" s="296"/>
      <c r="L73" s="296"/>
    </row>
    <row r="74" spans="1:21" ht="13.15">
      <c r="A74" s="131">
        <v>1</v>
      </c>
      <c r="B74" s="119">
        <f t="shared" ref="B74:F87" si="11">(B56+FV_adjustments)/Common_Shares*scaling_factor*Exchange_Rate</f>
        <v>23.714742550360651</v>
      </c>
      <c r="C74" s="119">
        <f t="shared" si="11"/>
        <v>24.334627399365971</v>
      </c>
      <c r="D74" s="119">
        <f t="shared" si="11"/>
        <v>24.511737356224632</v>
      </c>
      <c r="E74" s="119">
        <f t="shared" si="11"/>
        <v>24.688847313083297</v>
      </c>
      <c r="F74" s="119">
        <f t="shared" si="11"/>
        <v>25.043067226800627</v>
      </c>
      <c r="G74" s="296"/>
      <c r="H74" s="296"/>
      <c r="I74" s="296"/>
      <c r="J74" s="296"/>
      <c r="K74" s="296"/>
      <c r="L74" s="296"/>
    </row>
    <row r="75" spans="1:21" ht="13.15">
      <c r="A75" s="131">
        <v>2</v>
      </c>
      <c r="B75" s="119">
        <f t="shared" si="11"/>
        <v>23.287892565368828</v>
      </c>
      <c r="C75" s="119">
        <f t="shared" si="11"/>
        <v>24.480288844895799</v>
      </c>
      <c r="D75" s="119">
        <f t="shared" si="11"/>
        <v>24.82845653473867</v>
      </c>
      <c r="E75" s="119">
        <f t="shared" si="11"/>
        <v>25.179950019492413</v>
      </c>
      <c r="F75" s="119">
        <f t="shared" si="11"/>
        <v>25.892914373732495</v>
      </c>
      <c r="G75" s="296"/>
      <c r="H75" s="296"/>
      <c r="I75" s="296"/>
      <c r="J75" s="296"/>
      <c r="K75" s="296"/>
      <c r="L75" s="296"/>
    </row>
    <row r="76" spans="1:21" ht="13.15">
      <c r="A76" s="131">
        <v>3</v>
      </c>
      <c r="B76" s="119">
        <f t="shared" si="11"/>
        <v>22.477966986830598</v>
      </c>
      <c r="C76" s="119">
        <f t="shared" si="11"/>
        <v>24.79737215926388</v>
      </c>
      <c r="D76" s="119">
        <f t="shared" si="11"/>
        <v>25.496008256076841</v>
      </c>
      <c r="E76" s="119">
        <f t="shared" si="11"/>
        <v>26.210962751033104</v>
      </c>
      <c r="F76" s="119">
        <f t="shared" si="11"/>
        <v>27.690571169201764</v>
      </c>
      <c r="G76" s="296"/>
      <c r="H76" s="296"/>
      <c r="I76" s="296"/>
      <c r="J76" s="296"/>
      <c r="K76" s="296"/>
      <c r="L76" s="296"/>
    </row>
    <row r="77" spans="1:21" ht="13.15">
      <c r="A77" s="131">
        <v>4</v>
      </c>
      <c r="B77" s="119">
        <f t="shared" si="11"/>
        <v>22.134243752465505</v>
      </c>
      <c r="C77" s="119">
        <f t="shared" si="11"/>
        <v>24.927830412531215</v>
      </c>
      <c r="D77" s="119">
        <f t="shared" si="11"/>
        <v>25.788095957897802</v>
      </c>
      <c r="E77" s="119">
        <f t="shared" si="11"/>
        <v>26.677107520824592</v>
      </c>
      <c r="F77" s="119">
        <f t="shared" si="11"/>
        <v>28.54392315464527</v>
      </c>
      <c r="G77" s="296"/>
      <c r="H77" s="296"/>
      <c r="I77" s="296"/>
      <c r="J77" s="296"/>
      <c r="K77" s="296"/>
      <c r="L77" s="296"/>
    </row>
    <row r="78" spans="1:21" ht="13.15">
      <c r="A78" s="131">
        <v>5</v>
      </c>
      <c r="B78" s="119">
        <f t="shared" si="11"/>
        <v>21.349359149025705</v>
      </c>
      <c r="C78" s="119">
        <f t="shared" si="11"/>
        <v>25.104300619605471</v>
      </c>
      <c r="D78" s="119">
        <f t="shared" si="11"/>
        <v>26.304336313316757</v>
      </c>
      <c r="E78" s="119">
        <f t="shared" si="11"/>
        <v>27.564867485283035</v>
      </c>
      <c r="F78" s="119">
        <f t="shared" si="11"/>
        <v>30.276468893378784</v>
      </c>
      <c r="G78" s="296"/>
      <c r="H78" s="296"/>
      <c r="I78" s="296"/>
      <c r="J78" s="296"/>
      <c r="K78" s="296"/>
      <c r="L78" s="296"/>
    </row>
    <row r="79" spans="1:21" ht="13.15">
      <c r="A79" s="131">
        <v>6</v>
      </c>
      <c r="B79" s="119">
        <f t="shared" si="11"/>
        <v>21.072574175389896</v>
      </c>
      <c r="C79" s="119">
        <f t="shared" si="11"/>
        <v>25.221142490724194</v>
      </c>
      <c r="D79" s="119">
        <f t="shared" si="11"/>
        <v>26.573708145977236</v>
      </c>
      <c r="E79" s="119">
        <f t="shared" si="11"/>
        <v>28.007322685729328</v>
      </c>
      <c r="F79" s="119">
        <f t="shared" si="11"/>
        <v>31.133340171572012</v>
      </c>
      <c r="G79" s="296"/>
      <c r="H79" s="296"/>
      <c r="I79" s="296"/>
      <c r="J79" s="296"/>
      <c r="K79" s="296"/>
      <c r="L79" s="296"/>
    </row>
    <row r="80" spans="1:21" ht="13.15">
      <c r="A80" s="131">
        <f t="shared" ref="A80" si="12">A62</f>
        <v>7</v>
      </c>
      <c r="B80" s="119">
        <f t="shared" si="11"/>
        <v>20.408952530637062</v>
      </c>
      <c r="C80" s="119">
        <f t="shared" si="11"/>
        <v>25.383254763900887</v>
      </c>
      <c r="D80" s="119">
        <f t="shared" si="11"/>
        <v>27.066142071454387</v>
      </c>
      <c r="E80" s="119">
        <f t="shared" si="11"/>
        <v>28.879578976937129</v>
      </c>
      <c r="F80" s="119">
        <f t="shared" si="11"/>
        <v>32.932281218431861</v>
      </c>
      <c r="G80" s="296"/>
      <c r="H80" s="296"/>
      <c r="I80" s="296"/>
      <c r="J80" s="296"/>
      <c r="K80" s="296"/>
      <c r="L80" s="296"/>
    </row>
    <row r="81" spans="1:12" ht="13.15">
      <c r="A81" s="131">
        <v>8</v>
      </c>
      <c r="B81" s="119">
        <f t="shared" si="11"/>
        <v>20.186069949620723</v>
      </c>
      <c r="C81" s="119">
        <f t="shared" si="11"/>
        <v>25.487901442088038</v>
      </c>
      <c r="D81" s="119">
        <f t="shared" si="11"/>
        <v>27.314564664321189</v>
      </c>
      <c r="E81" s="119">
        <f t="shared" si="11"/>
        <v>29.299548516635141</v>
      </c>
      <c r="F81" s="119">
        <f t="shared" si="11"/>
        <v>33.792686303223348</v>
      </c>
      <c r="G81" s="296"/>
      <c r="H81" s="296"/>
      <c r="I81" s="296"/>
      <c r="J81" s="296"/>
      <c r="K81" s="296"/>
      <c r="L81" s="296"/>
    </row>
    <row r="82" spans="1:12" ht="13.15">
      <c r="A82" s="131">
        <f t="shared" ref="A82" si="13">A64</f>
        <v>9</v>
      </c>
      <c r="B82" s="119">
        <f t="shared" si="11"/>
        <v>19.623704032286742</v>
      </c>
      <c r="C82" s="119">
        <f t="shared" si="11"/>
        <v>25.636955584778388</v>
      </c>
      <c r="D82" s="119">
        <f t="shared" si="11"/>
        <v>27.784548392272754</v>
      </c>
      <c r="E82" s="119">
        <f t="shared" si="11"/>
        <v>30.156743900722834</v>
      </c>
      <c r="F82" s="119">
        <f t="shared" si="11"/>
        <v>35.659815712433215</v>
      </c>
      <c r="G82" s="296"/>
      <c r="H82" s="296"/>
      <c r="I82" s="296"/>
      <c r="J82" s="296"/>
      <c r="K82" s="296"/>
      <c r="L82" s="296"/>
    </row>
    <row r="83" spans="1:12" ht="13.15">
      <c r="A83" s="131">
        <f t="shared" ref="A83:A87" si="14">A65</f>
        <v>10</v>
      </c>
      <c r="B83" s="119">
        <f t="shared" si="11"/>
        <v>19.444226641343302</v>
      </c>
      <c r="C83" s="119">
        <f t="shared" si="11"/>
        <v>25.730679924783846</v>
      </c>
      <c r="D83" s="119">
        <f t="shared" si="11"/>
        <v>28.013650982685203</v>
      </c>
      <c r="E83" s="119">
        <f t="shared" si="11"/>
        <v>30.555370505396606</v>
      </c>
      <c r="F83" s="119">
        <f t="shared" si="11"/>
        <v>36.523769177527768</v>
      </c>
      <c r="G83" s="296"/>
      <c r="H83" s="296"/>
      <c r="I83" s="296"/>
      <c r="J83" s="296"/>
      <c r="K83" s="296"/>
      <c r="L83" s="296"/>
    </row>
    <row r="84" spans="1:12" ht="13.15">
      <c r="A84" s="131">
        <f t="shared" si="14"/>
        <v>15</v>
      </c>
      <c r="B84" s="119">
        <f t="shared" si="11"/>
        <v>17.952277878304191</v>
      </c>
      <c r="C84" s="119">
        <f t="shared" si="11"/>
        <v>26.269799987003385</v>
      </c>
      <c r="D84" s="119">
        <f t="shared" si="11"/>
        <v>29.707283704455183</v>
      </c>
      <c r="E84" s="119">
        <f t="shared" si="11"/>
        <v>33.778254891621238</v>
      </c>
      <c r="F84" s="119">
        <f t="shared" si="11"/>
        <v>44.291531200134429</v>
      </c>
      <c r="G84" s="296"/>
      <c r="H84" s="296"/>
      <c r="I84" s="296"/>
      <c r="J84" s="296"/>
      <c r="K84" s="296"/>
      <c r="L84" s="296"/>
    </row>
    <row r="85" spans="1:12" ht="13.15">
      <c r="A85" s="132">
        <f t="shared" si="14"/>
        <v>20</v>
      </c>
      <c r="B85" s="119">
        <f t="shared" si="11"/>
        <v>17.171776995623638</v>
      </c>
      <c r="C85" s="119">
        <f t="shared" si="11"/>
        <v>26.658204555471396</v>
      </c>
      <c r="D85" s="119">
        <f t="shared" si="11"/>
        <v>30.972704457358443</v>
      </c>
      <c r="E85" s="119">
        <f t="shared" si="11"/>
        <v>36.338766221180833</v>
      </c>
      <c r="F85" s="119">
        <f t="shared" si="11"/>
        <v>51.321817848002866</v>
      </c>
      <c r="G85" s="296"/>
      <c r="H85" s="296"/>
      <c r="I85" s="296"/>
      <c r="J85" s="296"/>
      <c r="K85" s="296"/>
      <c r="L85" s="296"/>
    </row>
    <row r="86" spans="1:12" ht="13.15">
      <c r="A86" s="132">
        <f t="shared" si="14"/>
        <v>25</v>
      </c>
      <c r="B86" s="119">
        <f t="shared" si="11"/>
        <v>16.516131437823038</v>
      </c>
      <c r="C86" s="119">
        <f t="shared" si="11"/>
        <v>27.005206600249778</v>
      </c>
      <c r="D86" s="119">
        <f t="shared" si="11"/>
        <v>32.276364205541753</v>
      </c>
      <c r="E86" s="119">
        <f t="shared" si="11"/>
        <v>39.195457750213201</v>
      </c>
      <c r="F86" s="119">
        <f t="shared" si="11"/>
        <v>60.294877231405344</v>
      </c>
      <c r="G86" s="296"/>
      <c r="H86" s="296"/>
      <c r="I86" s="296"/>
      <c r="J86" s="296"/>
      <c r="K86" s="296"/>
      <c r="L86" s="296"/>
    </row>
    <row r="87" spans="1:12" ht="13.15">
      <c r="A87" s="132">
        <f t="shared" si="14"/>
        <v>30</v>
      </c>
      <c r="B87" s="119">
        <f t="shared" si="11"/>
        <v>16.17800454616264</v>
      </c>
      <c r="C87" s="119">
        <f t="shared" si="11"/>
        <v>27.250382137936683</v>
      </c>
      <c r="D87" s="119">
        <f t="shared" si="11"/>
        <v>33.22781687894031</v>
      </c>
      <c r="E87" s="119">
        <f t="shared" si="11"/>
        <v>41.410080986462305</v>
      </c>
      <c r="F87" s="119">
        <f t="shared" si="11"/>
        <v>68.212565304822917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36.523769177527768</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30.555370505396606</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28.013650982685203</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25.730679924783846</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19.444226641343302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2533243.3160416177</v>
      </c>
      <c r="D8" s="469"/>
      <c r="E8" s="469"/>
      <c r="F8" s="469"/>
      <c r="G8" s="469"/>
    </row>
    <row r="9" spans="2:7">
      <c r="B9" s="97" t="s">
        <v>54</v>
      </c>
      <c r="C9" s="447">
        <f>Normalized_FCF!C19</f>
        <v>2586845.4894071361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-6.3673083379448103E-2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30.555370505396606</v>
      </c>
      <c r="F22" s="328">
        <f>1-F23-F24</f>
        <v>0.24999999999999994</v>
      </c>
      <c r="G22" s="328">
        <f>F22*(1-F$29-F$30)</f>
        <v>0.22499999999999992</v>
      </c>
    </row>
    <row r="23" spans="2:7">
      <c r="B23" s="302" t="s">
        <v>437</v>
      </c>
      <c r="C23" s="324">
        <v>0.04</v>
      </c>
      <c r="D23" s="325">
        <f>C18</f>
        <v>10</v>
      </c>
      <c r="E23" s="326">
        <f>DCF!E92</f>
        <v>28.013650982685203</v>
      </c>
      <c r="F23" s="327">
        <v>0.55000000000000004</v>
      </c>
      <c r="G23" s="328">
        <f t="shared" ref="G23:G24" si="0">F23*(1-F$29-F$30)</f>
        <v>0.495</v>
      </c>
    </row>
    <row r="24" spans="2:7">
      <c r="B24" s="302" t="s">
        <v>446</v>
      </c>
      <c r="C24" s="324">
        <v>0.02</v>
      </c>
      <c r="D24" s="325">
        <f>C18</f>
        <v>10</v>
      </c>
      <c r="E24" s="326">
        <f>DCF!E93</f>
        <v>25.730679924783846</v>
      </c>
      <c r="F24" s="327">
        <v>0.2</v>
      </c>
      <c r="G24" s="328">
        <f t="shared" si="0"/>
        <v>0.18</v>
      </c>
    </row>
    <row r="25" spans="2:7">
      <c r="B25" s="141" t="s">
        <v>451</v>
      </c>
      <c r="C25" s="441">
        <f>E23*F23+E24*F24+E22*F22</f>
        <v>28.192486651782783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36.523769177527768</v>
      </c>
      <c r="F29" s="327">
        <v>0.05</v>
      </c>
      <c r="G29" s="328">
        <f>F29</f>
        <v>0.05</v>
      </c>
    </row>
    <row r="30" spans="2:7">
      <c r="B30" s="315" t="s">
        <v>447</v>
      </c>
      <c r="C30" s="324">
        <v>-0.05</v>
      </c>
      <c r="D30" s="325">
        <f>C18</f>
        <v>10</v>
      </c>
      <c r="E30" s="326">
        <f>DCF!E94</f>
        <v>19.444226641343302</v>
      </c>
      <c r="F30" s="327">
        <v>0.05</v>
      </c>
      <c r="G30" s="328">
        <f>F30</f>
        <v>0.05</v>
      </c>
    </row>
    <row r="31" spans="2:7">
      <c r="E31" s="329"/>
      <c r="F31" s="329"/>
    </row>
    <row r="32" spans="2:7" ht="13.15">
      <c r="B32" s="145" t="s">
        <v>456</v>
      </c>
    </row>
    <row r="33" spans="2:7">
      <c r="B33" s="97" t="s">
        <v>458</v>
      </c>
      <c r="C33" s="155">
        <f>Normalized_FCF!C88*(1-dividend_tax_rate)</f>
        <v>0.51483269258026432</v>
      </c>
      <c r="D33" t="str">
        <f>Market_currency</f>
        <v>HKD</v>
      </c>
      <c r="E33" s="97" t="s">
        <v>455</v>
      </c>
      <c r="F33" s="219">
        <f>Holding_Period</f>
        <v>3</v>
      </c>
    </row>
    <row r="34" spans="2:7">
      <c r="B34" s="97" t="s">
        <v>233</v>
      </c>
      <c r="C34" s="146">
        <f>Market_Price</f>
        <v>22</v>
      </c>
      <c r="D34" t="str">
        <f>Market_currency</f>
        <v>HKD</v>
      </c>
      <c r="E34" s="97" t="s">
        <v>454</v>
      </c>
      <c r="F34" s="330">
        <f>RATE(Holding_Period,$C$33,-C34,$C$36)</f>
        <v>0.10753878801369247</v>
      </c>
    </row>
    <row r="35" spans="2:7">
      <c r="B35" s="97" t="s">
        <v>434</v>
      </c>
      <c r="C35" s="320">
        <f>DCF!C11</f>
        <v>28.53286464276237</v>
      </c>
      <c r="D35" s="97" t="str">
        <f>Market_currency</f>
        <v>HKD</v>
      </c>
      <c r="E35" s="97" t="s">
        <v>454</v>
      </c>
      <c r="F35" s="330">
        <f>RATE(Holding_Period,$C$33,-C35,$C$36)</f>
        <v>1.3881530706868081E-2</v>
      </c>
    </row>
    <row r="36" spans="2:7">
      <c r="B36" s="97" t="s">
        <v>435</v>
      </c>
      <c r="C36" s="321">
        <f>E22*G22+E23*G23+E24*G24+E30*G30+E29*G29</f>
        <v>28.171637777548053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28.174038840502373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0.22883020886271443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0.51483269258026432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0.93499428465874146</v>
      </c>
      <c r="D62" s="119">
        <f>C36/(1+F62)^Holding_Period</f>
        <v>12.822775501842534</v>
      </c>
      <c r="E62" s="332">
        <f>C62+D62</f>
        <v>13.757769786501274</v>
      </c>
      <c r="F62" s="301">
        <f>Thesis!E22</f>
        <v>0.3</v>
      </c>
      <c r="G62" s="440">
        <f>(1-E62/C36)</f>
        <v>0.51164465853434327</v>
      </c>
    </row>
    <row r="63" spans="2:7" ht="13.15">
      <c r="B63" s="302" t="s">
        <v>313</v>
      </c>
      <c r="C63" s="119">
        <f>PV(F63, Holding_Period, -C58, 0)</f>
        <v>1.0844855329815752</v>
      </c>
      <c r="D63" s="119">
        <f>C36/(1+F63)^Holding_Period</f>
        <v>16.303031121266233</v>
      </c>
      <c r="E63" s="332">
        <f>C63+D63</f>
        <v>17.387516654247808</v>
      </c>
      <c r="F63" s="301">
        <f>Thesis!E23</f>
        <v>0.2</v>
      </c>
      <c r="G63" s="440">
        <f>(1-E63/C36)</f>
        <v>0.38280064540283365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1.2420869634545573</v>
      </c>
      <c r="D66" s="119">
        <f>C36/(1+F66)^Holding_Period</f>
        <v>20.192314165306001</v>
      </c>
      <c r="E66" s="332">
        <f>C66+D66</f>
        <v>21.434401128760559</v>
      </c>
      <c r="F66" s="301">
        <f>Thesis!E24</f>
        <v>0.1174</v>
      </c>
      <c r="G66" s="440">
        <f>(1-E66/C36)</f>
        <v>0.23914962637198423</v>
      </c>
    </row>
    <row r="67" spans="2:7" ht="13.15">
      <c r="B67" s="302" t="s">
        <v>314</v>
      </c>
      <c r="C67" s="119">
        <f>PV(F67, Holding_Period, -C58, 0)</f>
        <v>1.3449361722354636</v>
      </c>
      <c r="D67" s="119">
        <f>C36/(1+F67)^Holding_Period</f>
        <v>22.836008351223597</v>
      </c>
      <c r="E67" s="332">
        <f>C67+D67</f>
        <v>24.180944523459061</v>
      </c>
      <c r="F67" s="301">
        <f>Thesis!E25</f>
        <v>7.2499999999999995E-2</v>
      </c>
      <c r="G67" s="440">
        <f>(1-E67/C36)</f>
        <v>0.14165641648528704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22</v>
      </c>
    </row>
    <row r="9" spans="1:10">
      <c r="B9" s="351" t="s">
        <v>361</v>
      </c>
      <c r="C9" s="353">
        <f>Common_Shares</f>
        <v>2584811005</v>
      </c>
    </row>
    <row r="10" spans="1:10">
      <c r="B10" s="351" t="s">
        <v>367</v>
      </c>
      <c r="C10" s="357">
        <f>投资主题!C8*Common_Shares/1000000</f>
        <v>56865.842109999998</v>
      </c>
      <c r="D10" s="343" t="s">
        <v>529</v>
      </c>
      <c r="E10" s="360">
        <f>Scenarios!F34</f>
        <v>0.10753878801369247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28.171637777548053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13.757769786501274</v>
      </c>
      <c r="D22" s="365" t="s">
        <v>440</v>
      </c>
      <c r="E22" s="366">
        <f>Thesis!E22</f>
        <v>0.3</v>
      </c>
    </row>
    <row r="23" spans="1:6">
      <c r="B23" s="343" t="s">
        <v>341</v>
      </c>
      <c r="C23" s="367">
        <f>E141</f>
        <v>17.387516654247808</v>
      </c>
      <c r="D23" s="365" t="s">
        <v>441</v>
      </c>
      <c r="E23" s="368">
        <f>Thesis!E23</f>
        <v>0.2</v>
      </c>
    </row>
    <row r="24" spans="1:6">
      <c r="B24" s="343" t="s">
        <v>343</v>
      </c>
      <c r="C24" s="367">
        <f>E144</f>
        <v>21.434401128760559</v>
      </c>
      <c r="D24" s="365" t="s">
        <v>443</v>
      </c>
      <c r="E24" s="368">
        <f>Thesis!E24</f>
        <v>0.1174</v>
      </c>
    </row>
    <row r="25" spans="1:6">
      <c r="B25" s="343" t="s">
        <v>342</v>
      </c>
      <c r="C25" s="367">
        <f>E145</f>
        <v>24.180944523459061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26477.099209515247</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-80161.680790484752</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-862281.82980237878</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2533243.3160416177</v>
      </c>
      <c r="D60" s="343" t="str">
        <f>Reporting_currency</f>
        <v>CNY</v>
      </c>
    </row>
    <row r="61" spans="2:6">
      <c r="B61" s="372" t="s">
        <v>213</v>
      </c>
      <c r="C61" s="373">
        <f>Normalized_FCF!C19</f>
        <v>2586845.4894071361</v>
      </c>
      <c r="D61" s="343" t="str">
        <f>Reporting_currency</f>
        <v>CNY</v>
      </c>
    </row>
    <row r="62" spans="2:6">
      <c r="B62" s="377" t="s">
        <v>302</v>
      </c>
      <c r="C62" s="378">
        <f>Normalized_FCF!C124</f>
        <v>5.167259365068487E-2</v>
      </c>
      <c r="F62" s="379"/>
    </row>
    <row r="63" spans="2:6">
      <c r="B63" s="377" t="s">
        <v>332</v>
      </c>
      <c r="C63" s="378">
        <f>Normalized_FCF!C92</f>
        <v>2.3401486026375651E-2</v>
      </c>
      <c r="E63" s="372" t="s">
        <v>373</v>
      </c>
      <c r="F63" s="380">
        <f>Normalized_FCF!C90</f>
        <v>0.51442779051339271</v>
      </c>
    </row>
    <row r="65" spans="1:6">
      <c r="B65" s="369" t="s">
        <v>376</v>
      </c>
      <c r="C65" s="381" t="s">
        <v>327</v>
      </c>
      <c r="D65" s="381" t="s">
        <v>374</v>
      </c>
    </row>
    <row r="66" spans="1:6">
      <c r="B66" s="372" t="s">
        <v>326</v>
      </c>
      <c r="C66" s="378">
        <f>Normalized_FCF!E119</f>
        <v>0.2</v>
      </c>
      <c r="D66" s="378">
        <f>Normalized_FCF!G119</f>
        <v>0.1336072484621037</v>
      </c>
    </row>
    <row r="67" spans="1:6">
      <c r="B67" s="382" t="str">
        <f>Normalized_FCF!B116</f>
        <v>Pre-tax Profit/Sales</v>
      </c>
      <c r="C67" s="383">
        <f>Normalized_FCF!E116</f>
        <v>0.13430424833028851</v>
      </c>
      <c r="D67" s="383">
        <f>Normalized_FCF!G116</f>
        <v>0.12658597807350364</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-0.7810455637699516</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14778006.131747458</v>
      </c>
      <c r="D84" s="343" t="str">
        <f>Reporting_currency</f>
        <v>CNY</v>
      </c>
    </row>
    <row r="85" spans="1:6">
      <c r="B85" s="382" t="s">
        <v>481</v>
      </c>
      <c r="C85" s="390">
        <f>BS!C66</f>
        <v>19190856</v>
      </c>
      <c r="D85" s="391" t="str">
        <f>Reporting_currency</f>
        <v>CNY</v>
      </c>
    </row>
    <row r="86" spans="1:6">
      <c r="B86" s="372" t="s">
        <v>235</v>
      </c>
      <c r="C86" s="387">
        <f>C84*scaling_factor*Exchange_Rate/Common_Shares</f>
        <v>6.4942394111597084</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0.73332790925129954</v>
      </c>
      <c r="D90" s="343" t="str">
        <f>Market_currency</f>
        <v>HKD</v>
      </c>
    </row>
    <row r="92" spans="1:6">
      <c r="B92" s="372" t="s">
        <v>480</v>
      </c>
      <c r="C92" s="387">
        <f>DCF!F8</f>
        <v>6.4465217566410571</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5.6659314522473956</v>
      </c>
      <c r="D111" s="343" t="str">
        <f>Market_currency</f>
        <v>HKD</v>
      </c>
    </row>
    <row r="112" spans="1:6">
      <c r="A112" s="385"/>
      <c r="B112" s="372" t="s">
        <v>377</v>
      </c>
      <c r="C112" s="394">
        <f>DCF!C11</f>
        <v>28.53286464276237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36.52 HKD</v>
      </c>
      <c r="F118" s="399">
        <f>DCF!F90</f>
        <v>0.05</v>
      </c>
    </row>
    <row r="119" spans="1:6">
      <c r="A119" s="385"/>
      <c r="B119" s="400" t="str">
        <f>DCF!B91</f>
        <v>Optimistic</v>
      </c>
      <c r="C119" s="401">
        <f>DCF!C91</f>
        <v>0.06</v>
      </c>
      <c r="D119" s="402">
        <f>DCF!D91</f>
        <v>10</v>
      </c>
      <c r="E119" s="398" t="str">
        <f>ROUND(DCF!E91,2)&amp;" "&amp;Market_currency</f>
        <v>30.56 HKD</v>
      </c>
      <c r="F119" s="403">
        <f>DCF!F91</f>
        <v>0.22499999999999992</v>
      </c>
    </row>
    <row r="120" spans="1:6">
      <c r="B120" s="400" t="str">
        <f>DCF!B92</f>
        <v>Base</v>
      </c>
      <c r="C120" s="401">
        <f>DCF!C92</f>
        <v>0.04</v>
      </c>
      <c r="D120" s="402">
        <f>DCF!D92</f>
        <v>10</v>
      </c>
      <c r="E120" s="398" t="str">
        <f>ROUND(DCF!E92,2)&amp;" "&amp;Market_currency</f>
        <v>28.01 HKD</v>
      </c>
      <c r="F120" s="403">
        <f>DCF!F92</f>
        <v>0.495</v>
      </c>
    </row>
    <row r="121" spans="1:6">
      <c r="B121" s="400" t="str">
        <f>DCF!B93</f>
        <v>Pessimistic</v>
      </c>
      <c r="C121" s="401">
        <f>DCF!C93</f>
        <v>0.02</v>
      </c>
      <c r="D121" s="402">
        <f>DCF!D93</f>
        <v>10</v>
      </c>
      <c r="E121" s="398" t="str">
        <f>ROUND(DCF!E93,2)&amp;" "&amp;Market_currency</f>
        <v>25.73 HKD</v>
      </c>
      <c r="F121" s="403">
        <f>DCF!F93</f>
        <v>0.18</v>
      </c>
    </row>
    <row r="122" spans="1:6">
      <c r="B122" s="400" t="str">
        <f>DCF!B94</f>
        <v>Devil's advocate</v>
      </c>
      <c r="C122" s="401">
        <f>DCF!C94</f>
        <v>-0.05</v>
      </c>
      <c r="D122" s="402">
        <f>DCF!D94</f>
        <v>10</v>
      </c>
      <c r="E122" s="398" t="str">
        <f>ROUND(DCF!E94,2)&amp;" "&amp;Market_currency</f>
        <v>19.44 HKD</v>
      </c>
      <c r="F122" s="403">
        <f>DCF!F94</f>
        <v>0.05</v>
      </c>
    </row>
    <row r="124" spans="1:6">
      <c r="B124" s="470" t="s">
        <v>519</v>
      </c>
      <c r="C124" s="470"/>
      <c r="D124" s="470"/>
      <c r="E124" s="470"/>
      <c r="F124" s="470"/>
    </row>
    <row r="125" spans="1:6">
      <c r="B125" s="372" t="s">
        <v>218</v>
      </c>
      <c r="C125" s="404">
        <f>Scenarios!C36</f>
        <v>28.171637777548053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0.51483269258026432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0.93499428465874146</v>
      </c>
      <c r="D140" s="409">
        <f>Scenarios!D62</f>
        <v>12.822775501842534</v>
      </c>
      <c r="E140" s="410">
        <f>Scenarios!E62</f>
        <v>13.757769786501274</v>
      </c>
      <c r="F140" s="411">
        <f>E22</f>
        <v>0.3</v>
      </c>
    </row>
    <row r="141" spans="1:6">
      <c r="B141" s="408" t="s">
        <v>313</v>
      </c>
      <c r="C141" s="409">
        <f>Scenarios!C63</f>
        <v>1.0844855329815752</v>
      </c>
      <c r="D141" s="409">
        <f>Scenarios!D63</f>
        <v>16.303031121266233</v>
      </c>
      <c r="E141" s="410">
        <f>Scenarios!E63</f>
        <v>17.387516654247808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1.2420869634545573</v>
      </c>
      <c r="D144" s="409">
        <f>Scenarios!D66</f>
        <v>20.192314165306001</v>
      </c>
      <c r="E144" s="410">
        <f>Scenarios!E66</f>
        <v>21.434401128760559</v>
      </c>
      <c r="F144" s="411">
        <f>E24</f>
        <v>0.1174</v>
      </c>
    </row>
    <row r="145" spans="1:6">
      <c r="B145" s="408" t="s">
        <v>314</v>
      </c>
      <c r="C145" s="409">
        <f>Scenarios!C67</f>
        <v>1.3449361722354636</v>
      </c>
      <c r="D145" s="409">
        <f>Scenarios!D67</f>
        <v>22.836008351223597</v>
      </c>
      <c r="E145" s="410">
        <f>Scenarios!E67</f>
        <v>24.180944523459061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