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6E2A78-AB60-4B22-BFE4-889091366CB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6" i="8"/>
  <c r="D76" i="8"/>
  <c r="D84" i="8"/>
  <c r="D86" i="8"/>
  <c r="E81" i="8"/>
  <c r="F83" i="8"/>
  <c r="F87" i="8"/>
  <c r="E78" i="8"/>
  <c r="E86" i="8"/>
  <c r="B77" i="8"/>
  <c r="F74" i="8"/>
  <c r="F76" i="8"/>
  <c r="F84" i="8"/>
  <c r="F86" i="8"/>
  <c r="B86" i="8"/>
  <c r="E77" i="8"/>
  <c r="C75" i="8"/>
  <c r="C79" i="8"/>
  <c r="C81" i="8"/>
  <c r="C85" i="8"/>
  <c r="C87" i="8"/>
  <c r="B87" i="8"/>
  <c r="D77" i="8"/>
  <c r="D79" i="8"/>
  <c r="D83" i="8"/>
  <c r="D85" i="8"/>
  <c r="B80" i="8"/>
  <c r="E79" i="8"/>
  <c r="E83" i="8"/>
  <c r="F77" i="8"/>
  <c r="F81" i="8"/>
  <c r="B82" i="8"/>
  <c r="B74" i="8"/>
  <c r="C27" i="8"/>
  <c r="C80" i="6"/>
  <c r="C80" i="12"/>
  <c r="D68" i="6"/>
  <c r="D68" i="12"/>
  <c r="O77" i="2"/>
  <c r="O116" i="2" s="1"/>
  <c r="O14" i="2"/>
  <c r="P77" i="2"/>
  <c r="P116" i="2" s="1"/>
  <c r="P14" i="2"/>
  <c r="O96" i="2"/>
  <c r="G52" i="2"/>
  <c r="F8" i="8" l="1"/>
  <c r="C92" i="12" s="1"/>
  <c r="E75" i="8"/>
  <c r="D75" i="8"/>
  <c r="C77" i="8"/>
  <c r="F82" i="8"/>
  <c r="E84" i="8"/>
  <c r="F79" i="8"/>
  <c r="D82" i="8"/>
  <c r="C84" i="8"/>
  <c r="F80" i="8"/>
  <c r="E82" i="8"/>
  <c r="F75" i="8"/>
  <c r="D80" i="8"/>
  <c r="C82" i="8"/>
  <c r="F85" i="8"/>
  <c r="D87" i="8"/>
  <c r="B79" i="8"/>
  <c r="E85" i="8"/>
  <c r="F78" i="8"/>
  <c r="E80" i="8"/>
  <c r="E87" i="8"/>
  <c r="D78" i="8"/>
  <c r="C80" i="8"/>
  <c r="E76" i="8"/>
  <c r="B84" i="8"/>
  <c r="D74" i="8"/>
  <c r="C76" i="8"/>
  <c r="B81" i="8"/>
  <c r="D81" i="8"/>
  <c r="C83" i="8"/>
  <c r="B78" i="8"/>
  <c r="B85" i="8"/>
  <c r="E74" i="8"/>
  <c r="B76" i="8"/>
  <c r="B83" i="8"/>
  <c r="C74" i="8"/>
  <c r="C92" i="6"/>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<sst xmlns="http://schemas.openxmlformats.org/spreadsheetml/2006/main" count="766" uniqueCount="557">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</sst>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19.399999999999999</v>
      </c>
      <c r="E8" s="32"/>
    </row>
    <row r="9" spans="1:9">
      <c r="B9" s="4" t="s">
        <v>346</v>
      </c>
      <c r="C9" s="48">
        <v>2584811005</v>
      </c>
    </row>
    <row r="10" spans="1:9">
      <c r="B10" s="4" t="s">
        <v>352</v>
      </c>
      <c r="C10" s="33">
        <f>Thesis!C8*Common_Shares/1000000</f>
        <v>50145.333497</v>
      </c>
      <c r="D10" s="1" t="s">
        <v>531</v>
      </c>
      <c r="E10" s="307">
        <f>Scenarios!F34</f>
        <v>0.11417442599706432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1.1164044342041017</v>
      </c>
    </row>
    <row r="17" spans="1:6">
      <c r="B17" s="1" t="s">
        <v>535</v>
      </c>
      <c r="C17" s="420">
        <v>0</v>
      </c>
      <c r="D17" s="4" t="s">
        <v>274</v>
      </c>
      <c r="E17" s="224" t="s">
        <v>556</v>
      </c>
    </row>
    <row r="18" spans="1:6">
      <c r="B18" s="1" t="str">
        <f>"Expected Equity Value ("&amp;C7&amp;") :"</f>
        <v>Expected Equity Value (HKD) :</v>
      </c>
      <c r="C18" s="255">
        <f>C125</f>
        <v>25.074785140196219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12.513721621307619</v>
      </c>
      <c r="D22" s="38" t="s">
        <v>408</v>
      </c>
      <c r="E22" s="79">
        <v>0.29465259038036606</v>
      </c>
    </row>
    <row r="23" spans="1:6">
      <c r="B23" s="1" t="s">
        <v>313</v>
      </c>
      <c r="C23" s="259">
        <f>E141</f>
        <v>15.585759231846879</v>
      </c>
      <c r="D23" s="38" t="s">
        <v>409</v>
      </c>
      <c r="E23" s="448">
        <v>0.20075184365903009</v>
      </c>
    </row>
    <row r="24" spans="1:6">
      <c r="B24" s="1" t="s">
        <v>315</v>
      </c>
      <c r="C24" s="259">
        <f>E144</f>
        <v>19.236393489781086</v>
      </c>
      <c r="D24" s="38" t="s">
        <v>410</v>
      </c>
      <c r="E24" s="448">
        <v>0.1174</v>
      </c>
    </row>
    <row r="25" spans="1:6">
      <c r="B25" s="1" t="s">
        <v>314</v>
      </c>
      <c r="C25" s="259">
        <f>E145</f>
        <v>21.694117104444985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24421.606900132894</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-82217.173099867097</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-753153.1929216024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2525575.7291607661</v>
      </c>
      <c r="D60" s="1" t="str">
        <f>Reporting_currency</f>
        <v>CNY</v>
      </c>
    </row>
    <row r="61" spans="2:6">
      <c r="B61" s="44" t="s">
        <v>213</v>
      </c>
      <c r="C61" s="289">
        <f>Normalized_FCF!C19</f>
        <v>2259459.5787648074</v>
      </c>
      <c r="D61" s="1" t="str">
        <f>Reporting_currency</f>
        <v>CNY</v>
      </c>
    </row>
    <row r="62" spans="2:6">
      <c r="B62" s="204" t="s">
        <v>302</v>
      </c>
      <c r="C62" s="89">
        <f>Normalized_FCF!C124</f>
        <v>5.0303199056176834E-2</v>
      </c>
      <c r="F62" s="260"/>
    </row>
    <row r="63" spans="2:6">
      <c r="B63" s="204" t="s">
        <v>332</v>
      </c>
      <c r="C63" s="89">
        <f>Normalized_FCF!C92</f>
        <v>2.7001263138476762E-2</v>
      </c>
      <c r="E63" s="44" t="s">
        <v>322</v>
      </c>
      <c r="F63" s="261">
        <f>Normalized_FCF!C90</f>
        <v>0.59925274063073197</v>
      </c>
    </row>
    <row r="65" spans="1:6">
      <c r="B65" s="192" t="s">
        <v>325</v>
      </c>
      <c r="C65" s="267" t="s">
        <v>327</v>
      </c>
      <c r="D65" s="267" t="s">
        <v>328</v>
      </c>
    </row>
    <row r="66" spans="1:6">
      <c r="B66" s="44" t="s">
        <v>326</v>
      </c>
      <c r="C66" s="89">
        <f>Normalized_FCF!C119</f>
        <v>0.11088545082703867</v>
      </c>
      <c r="D66" s="89">
        <f>Normalized_FCF!G119</f>
        <v>0.1333250270508326</v>
      </c>
    </row>
    <row r="67" spans="1:6">
      <c r="B67" s="229" t="str">
        <f>Normalized_FCF!B116</f>
        <v>Pre-tax Profit/Sales</v>
      </c>
      <c r="C67" s="266">
        <f>Normalized_FCF!C116</f>
        <v>0.11515025654178175</v>
      </c>
      <c r="D67" s="266">
        <f>Normalized_FCF!G116</f>
        <v>0.12631858783988789</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-0.76763837291407488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15120588.183311185</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6.5307257137829886</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0.72073982515564594</v>
      </c>
      <c r="D90" s="1" t="str">
        <f>Market_currency</f>
        <v>HKD</v>
      </c>
    </row>
    <row r="91" spans="1:6">
      <c r="A91" s="191"/>
    </row>
    <row r="92" spans="1:6">
      <c r="A92" s="191"/>
      <c r="B92" s="44" t="s">
        <v>472</v>
      </c>
      <c r="C92" s="216">
        <f>DCF!F8</f>
        <v>6.4838271660245601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5.5686717943217667</v>
      </c>
      <c r="D111" s="1" t="str">
        <f>Market_currency</f>
        <v>HKD</v>
      </c>
    </row>
    <row r="112" spans="2:6">
      <c r="B112" s="44" t="s">
        <v>323</v>
      </c>
      <c r="C112" s="216">
        <f>DCF!C11</f>
        <v>19.944269396229117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35.48 HKD</v>
      </c>
      <c r="E118" s="208">
        <f>DCF!F90</f>
        <v>0.05</v>
      </c>
      <c r="F118" s="208">
        <f>RATE(Holding_Period,Scenarios!C$58,-DCF!E90,C$18)</f>
        <v>-9.2649136867530249E-2</v>
      </c>
    </row>
    <row r="119" spans="2:6">
      <c r="B119" s="205" t="str">
        <f>DCF!B91&amp;" ("&amp;DCF!D91&amp;"yrs)"</f>
        <v>Optimistic (10yrs)</v>
      </c>
      <c r="C119" s="198">
        <f>DCF!C91</f>
        <v>0.06</v>
      </c>
      <c r="D119" s="207" t="str">
        <f>ROUND(DCF!E91,2)&amp;" "&amp;Market_currency</f>
        <v>27.82 HKD</v>
      </c>
      <c r="E119" s="199">
        <f>DCF!F91</f>
        <v>0.22499999999999992</v>
      </c>
      <c r="F119" s="208">
        <f>RATE(Holding_Period,Scenarios!C$58,-DCF!E91,C$18)</f>
        <v>-1.4535304756920565E-2</v>
      </c>
    </row>
    <row r="120" spans="2:6">
      <c r="B120" s="205" t="str">
        <f>DCF!B92&amp;" ("&amp;DCF!D92&amp;"yrs)"</f>
        <v>Base (10yrs)</v>
      </c>
      <c r="C120" s="198">
        <f>DCF!C92</f>
        <v>0.04</v>
      </c>
      <c r="D120" s="207" t="str">
        <f>ROUND(DCF!E92,2)&amp;" "&amp;Market_currency</f>
        <v>24.78 HKD</v>
      </c>
      <c r="E120" s="199">
        <f>DCF!F92</f>
        <v>0.495</v>
      </c>
      <c r="F120" s="208">
        <f>RATE(Holding_Period,Scenarios!C$58,-DCF!E92,C$18)</f>
        <v>2.5021280209221546E-2</v>
      </c>
    </row>
    <row r="121" spans="2:6">
      <c r="B121" s="205" t="str">
        <f>DCF!B93&amp;" ("&amp;DCF!D93&amp;"yrs)"</f>
        <v>Pessimistic (10yrs)</v>
      </c>
      <c r="C121" s="198">
        <f>DCF!C93</f>
        <v>0.02</v>
      </c>
      <c r="D121" s="207" t="str">
        <f>ROUND(DCF!E93,2)&amp;" "&amp;Market_currency</f>
        <v>22.17 HKD</v>
      </c>
      <c r="E121" s="199">
        <f>DCF!F93</f>
        <v>0.18</v>
      </c>
      <c r="F121" s="208">
        <f>RATE(Holding_Period,Scenarios!C$58,-DCF!E93,C$18)</f>
        <v>6.4537453439871065E-2</v>
      </c>
    </row>
    <row r="122" spans="2:6">
      <c r="B122" s="205" t="str">
        <f>DCF!B94&amp;" ("&amp;DCF!D94&amp;"yrs)"</f>
        <v>Devil's advocate (10yrs)</v>
      </c>
      <c r="C122" s="198">
        <f>DCF!C94</f>
        <v>-0.05</v>
      </c>
      <c r="D122" s="207" t="str">
        <f>ROUND(DCF!E94,2)&amp;" "&amp;Market_currency</f>
        <v>15.69 HKD</v>
      </c>
      <c r="E122" s="199">
        <f>DCF!F94</f>
        <v>0.05</v>
      </c>
      <c r="F122" s="208">
        <f>RATE(Holding_Period,Scenarios!C$58,-DCF!E94,C$18)</f>
        <v>0.19798906667171634</v>
      </c>
    </row>
    <row r="124" spans="2:6">
      <c r="B124" s="459" t="s">
        <v>357</v>
      </c>
      <c r="C124" s="459"/>
      <c r="D124" s="459"/>
      <c r="E124" s="459"/>
      <c r="F124" s="459"/>
    </row>
    <row r="125" spans="2:6">
      <c r="B125" s="193" t="s">
        <v>218</v>
      </c>
      <c r="C125" s="197">
        <f>Scenarios!C36</f>
        <v>25.074785140196219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0.52382450488644916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0.95852109587157208</v>
      </c>
      <c r="D140" s="337">
        <f>Scenarios!D62</f>
        <v>11.555200525436048</v>
      </c>
      <c r="E140" s="338">
        <f>Scenarios!E62</f>
        <v>12.513721621307619</v>
      </c>
      <c r="F140" s="339">
        <f>E22</f>
        <v>0.29465259038036606</v>
      </c>
    </row>
    <row r="141" spans="1:6">
      <c r="B141" s="340" t="s">
        <v>313</v>
      </c>
      <c r="C141" s="337">
        <f>Scenarios!C63</f>
        <v>1.1021288259573596</v>
      </c>
      <c r="D141" s="337">
        <f>Scenarios!D63</f>
        <v>14.483630405889519</v>
      </c>
      <c r="E141" s="338">
        <f>Scenarios!E63</f>
        <v>15.585759231846879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1.2637806379323124</v>
      </c>
      <c r="D144" s="337">
        <f>Scenarios!D66</f>
        <v>17.972612851848773</v>
      </c>
      <c r="E144" s="338">
        <f>Scenarios!E66</f>
        <v>19.236393489781086</v>
      </c>
      <c r="F144" s="339">
        <f>E24</f>
        <v>0.1174</v>
      </c>
    </row>
    <row r="145" spans="1:6">
      <c r="B145" s="340" t="s">
        <v>314</v>
      </c>
      <c r="C145" s="337">
        <f>Scenarios!C67</f>
        <v>1.3684261599515304</v>
      </c>
      <c r="D145" s="337">
        <f>Scenarios!D67</f>
        <v>20.325690944493456</v>
      </c>
      <c r="E145" s="338">
        <f>Scenarios!E67</f>
        <v>21.694117104444985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0.52382450488644916</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0.52382450488644916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11.734416666463373</v>
      </c>
      <c r="D47" s="134">
        <f>D46*H1/Common_Shares*Exchange_Rate</f>
        <v>5.5686717943217667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15120588.183311185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-2208361.7787432643</v>
      </c>
      <c r="D73" s="289">
        <f>(Normalized_FCF!C26+Normalized_FCF!C35-Normalized_FCF!C89)/12</f>
        <v>-2035133.9083444078</v>
      </c>
      <c r="F73" s="1" t="s">
        <v>278</v>
      </c>
    </row>
    <row r="74" spans="2:6" ht="15" customHeight="1">
      <c r="B74" s="227" t="s">
        <v>259</v>
      </c>
      <c r="C74" s="228">
        <f>-$C$66/C73</f>
        <v>8.6900870069038874</v>
      </c>
      <c r="D74" s="228">
        <f>-$C$66/D73</f>
        <v>9.4297755647990069</v>
      </c>
      <c r="F74" s="223" t="s">
        <v>257</v>
      </c>
    </row>
    <row r="75" spans="2:6" ht="15" customHeight="1">
      <c r="B75" s="77" t="s">
        <v>258</v>
      </c>
      <c r="C75" s="264"/>
      <c r="D75" s="265">
        <f>MAX(-D73*D76,G5)</f>
        <v>4070267.8166888156</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-1984200.1141685946</v>
      </c>
      <c r="D86" s="201">
        <f>C86*scaling_factor/Common_Shares</f>
        <v>-0.76763837291407488</v>
      </c>
      <c r="E86" s="214" t="str">
        <f>Market_currency</f>
        <v>HKD</v>
      </c>
    </row>
    <row r="87" spans="2:8" ht="15" customHeight="1">
      <c r="B87" s="212" t="s">
        <v>240</v>
      </c>
      <c r="C87" s="73">
        <f>DCF!F5*Exchange_Rate</f>
        <v>16880691.69562275</v>
      </c>
      <c r="D87" s="201">
        <f>C87*scaling_factor/Common_Shares</f>
        <v>6.5307257137829886</v>
      </c>
      <c r="E87" s="214" t="str">
        <f>Market_currency</f>
        <v>HKD</v>
      </c>
    </row>
    <row r="88" spans="2:8" ht="15" customHeight="1">
      <c r="B88" s="213" t="s">
        <v>159</v>
      </c>
      <c r="C88" s="73">
        <f>DCF!F6*Exchange_Rate</f>
        <v>1862976.2318040896</v>
      </c>
      <c r="D88" s="201">
        <f>C88*scaling_factor/Common_Shares</f>
        <v>0.72073982515564594</v>
      </c>
      <c r="E88" s="214" t="str">
        <f>Market_currency</f>
        <v>HKD</v>
      </c>
    </row>
    <row r="89" spans="2:8" ht="15" customHeight="1">
      <c r="B89" s="77" t="s">
        <v>244</v>
      </c>
      <c r="C89" s="162">
        <f>SUM(C86:C88)</f>
        <v>16759467.813258244</v>
      </c>
      <c r="D89" s="216">
        <f>SUM(D86:D88)</f>
        <v>6.4838271660245601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-82217.173099867097</v>
      </c>
      <c r="E10" s="238"/>
      <c r="G10" s="270">
        <f>G48</f>
        <v>-163321.27083923388</v>
      </c>
      <c r="H10" s="270">
        <f t="shared" ref="H10:Q10" si="6">H48</f>
        <v>-75281.013026491011</v>
      </c>
      <c r="I10" s="270">
        <f t="shared" si="6"/>
        <v>-25596.279594261781</v>
      </c>
      <c r="J10" s="270">
        <f t="shared" si="6"/>
        <v>-81683.778704290366</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3012612.7716864096</v>
      </c>
      <c r="E11" s="238"/>
      <c r="G11" s="271">
        <f t="shared" ref="G11:Q11" si="7">IF(G$4="","",SUM(G8:G10))</f>
        <v>3622266.7291607661</v>
      </c>
      <c r="H11" s="271">
        <f t="shared" si="7"/>
        <v>3318472.9869735092</v>
      </c>
      <c r="I11" s="271">
        <f t="shared" si="7"/>
        <v>4232830.7204057379</v>
      </c>
      <c r="J11" s="271">
        <f t="shared" si="7"/>
        <v>4797884.2212957097</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-753153.1929216024</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2259459.5787648074</v>
      </c>
      <c r="D14" s="58"/>
      <c r="E14" s="246"/>
      <c r="F14" s="58"/>
      <c r="G14" s="271">
        <f t="shared" ref="G14:Q14" si="8">IF(G$4="","",SUM(G11:G13))</f>
        <v>2525575.7291607661</v>
      </c>
      <c r="H14" s="271">
        <f t="shared" si="8"/>
        <v>2249213.9869735092</v>
      </c>
      <c r="I14" s="271">
        <f t="shared" si="8"/>
        <v>2881501.7204057379</v>
      </c>
      <c r="J14" s="271">
        <f t="shared" si="8"/>
        <v>3480528.2212957097</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2259459.5787648074</v>
      </c>
      <c r="D19" s="26"/>
      <c r="E19" s="235"/>
      <c r="F19" s="26"/>
      <c r="G19" s="275">
        <f t="shared" ref="G19:Q19" si="9">IF(G$4="","",G14+G17)</f>
        <v>2525575.7291607661</v>
      </c>
      <c r="H19" s="275">
        <f t="shared" si="9"/>
        <v>2249213.9869735092</v>
      </c>
      <c r="I19" s="275">
        <f t="shared" si="9"/>
        <v>2881501.7204057379</v>
      </c>
      <c r="J19" s="275">
        <f t="shared" si="9"/>
        <v>3480528.2212957097</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0.30276373387171562</v>
      </c>
      <c r="H41" s="6">
        <f t="shared" si="16"/>
        <v>0.32219849436687165</v>
      </c>
      <c r="I41" s="6">
        <f t="shared" si="16"/>
        <v>0.31924947848386159</v>
      </c>
      <c r="J41" s="6">
        <f t="shared" si="16"/>
        <v>0.27456873472537413</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24421.606900132894</v>
      </c>
      <c r="E46" s="238"/>
      <c r="G46" s="278">
        <f t="shared" ref="G46:Q46" si="17">IFERROR(IF(G$4="","",($C$46/$C$47)*G47),0)</f>
        <v>91099.729160766132</v>
      </c>
      <c r="H46" s="278">
        <f t="shared" si="17"/>
        <v>106164.98697350899</v>
      </c>
      <c r="I46" s="278">
        <f t="shared" si="17"/>
        <v>94964.720405738219</v>
      </c>
      <c r="J46" s="278">
        <f t="shared" si="17"/>
        <v>30774.221295709638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-82217.173099867097</v>
      </c>
      <c r="E48" s="238"/>
      <c r="G48" s="271">
        <f>IF(G$4="","",(G45+G46))</f>
        <v>-163321.27083923388</v>
      </c>
      <c r="H48" s="271">
        <f t="shared" ref="H48:Q48" si="18">IF(H$4="","",(H45+H46))</f>
        <v>-75281.013026491011</v>
      </c>
      <c r="I48" s="271">
        <f t="shared" si="18"/>
        <v>-25596.279594261781</v>
      </c>
      <c r="J48" s="271">
        <f t="shared" si="18"/>
        <v>-81683.778704290366</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3.1425640439312497E-3</v>
      </c>
      <c r="D76" s="26"/>
      <c r="E76" s="235"/>
      <c r="F76" s="26"/>
      <c r="G76" s="6">
        <f t="shared" ref="G76:Q76" si="28">IF(G$4="","",ABS(G10/G$4))</f>
        <v>5.6954702232565064E-3</v>
      </c>
      <c r="H76" s="6">
        <f t="shared" si="28"/>
        <v>2.7277220709817436E-3</v>
      </c>
      <c r="I76" s="6">
        <f t="shared" si="28"/>
        <v>9.9197378864088409E-4</v>
      </c>
      <c r="J76" s="6">
        <f t="shared" si="28"/>
        <v>3.618764922529999E-3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0.11515025654178175</v>
      </c>
      <c r="D77" s="26"/>
      <c r="E77" s="235"/>
      <c r="F77" s="26"/>
      <c r="G77" s="62">
        <f t="shared" ref="G77:Q77" si="29">IF(G$4="","",G11/G$4)</f>
        <v>0.12631858783988789</v>
      </c>
      <c r="H77" s="62">
        <f t="shared" si="29"/>
        <v>0.12024110256511884</v>
      </c>
      <c r="I77" s="62">
        <f t="shared" si="29"/>
        <v>0.16404169640879018</v>
      </c>
      <c r="J77" s="62">
        <f t="shared" si="29"/>
        <v>0.21255646344716822</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2.8787564135445438E-2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8.6362692406336317E-2</v>
      </c>
      <c r="D80" s="26"/>
      <c r="E80" s="235"/>
      <c r="F80" s="26"/>
      <c r="G80" s="62">
        <f t="shared" ref="G80:Q80" si="32">IF(G$4="","",ABS(G14/G$4))</f>
        <v>8.8073900528081131E-2</v>
      </c>
      <c r="H80" s="62">
        <f t="shared" si="32"/>
        <v>8.1497716196639494E-2</v>
      </c>
      <c r="I80" s="62">
        <f t="shared" si="32"/>
        <v>0.11167147038067597</v>
      </c>
      <c r="J80" s="62">
        <f t="shared" si="32"/>
        <v>0.15419479410590847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8.6362692406336317E-2</v>
      </c>
      <c r="D85" s="72"/>
      <c r="E85" s="235"/>
      <c r="F85" s="72"/>
      <c r="G85" s="62">
        <f t="shared" ref="G85:Q85" si="35">IF(G$4="","",ABS(G19/G$4))</f>
        <v>8.8073900528081131E-2</v>
      </c>
      <c r="H85" s="62">
        <f t="shared" si="35"/>
        <v>8.1497716196639494E-2</v>
      </c>
      <c r="I85" s="62">
        <f t="shared" si="35"/>
        <v>0.11167147038067597</v>
      </c>
      <c r="J85" s="62">
        <f t="shared" si="35"/>
        <v>0.15419479410590847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0.52382450488644916</v>
      </c>
      <c r="E88" s="238"/>
      <c r="G88" s="109">
        <f>Data!C65</f>
        <v>0.52382450488644916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1353987.3449191703</v>
      </c>
      <c r="E89" s="238"/>
      <c r="G89" s="71">
        <f t="shared" ref="G89:Q89" si="36">IF(G$4="","",G88*Common_Shares/scaling_factor)</f>
        <v>1353987.3449191703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0.59925274063073197</v>
      </c>
      <c r="E90" s="238"/>
      <c r="G90" s="152">
        <f t="shared" ref="G90:Q90" si="37">IF(G$4="","",G88/(G19*scaling_factor/Common_Shares))</f>
        <v>0.53611037249280669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2.7001263138476762E-2</v>
      </c>
      <c r="E92" s="238"/>
      <c r="G92" s="22">
        <f t="shared" ref="G92:Q92" si="38">IF(G$4="","",(G88*(1-dividend_tax_rate))/Market_Price)</f>
        <v>2.7001263138476762E-2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-0.16830730673872973</v>
      </c>
      <c r="D96" s="26"/>
      <c r="E96" s="235"/>
      <c r="F96" s="26"/>
      <c r="G96" s="6">
        <f t="shared" ref="G96:Q96" si="40">IF(H5="","",G11/H11-1)</f>
        <v>9.1546245330241804E-2</v>
      </c>
      <c r="H96" s="6">
        <f t="shared" si="40"/>
        <v>-0.2160156627630464</v>
      </c>
      <c r="I96" s="6">
        <f t="shared" si="40"/>
        <v>-0.11777139147750726</v>
      </c>
      <c r="J96" s="6">
        <f t="shared" si="40"/>
        <v>1.4629100417060656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2.0858352965525619</v>
      </c>
      <c r="H113" s="254">
        <f>IF(H$4="","",Data!D$22/H19)</f>
        <v>2.0842552230025828</v>
      </c>
      <c r="I113" s="254">
        <f>IF(I$4="","",Data!E$22/I19)</f>
        <v>1.3581820799499416</v>
      </c>
      <c r="J113" s="254">
        <f>IF(J$4="","",Data!F$22/J19)</f>
        <v>1.8748116909595947</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0.11515025654178175</v>
      </c>
      <c r="E116" s="238"/>
      <c r="G116" s="22">
        <f t="shared" ref="G116:Q116" si="44">IF(G4="","",G77)</f>
        <v>0.12631858783988789</v>
      </c>
      <c r="H116" s="22">
        <f t="shared" si="44"/>
        <v>0.12024110256511884</v>
      </c>
      <c r="I116" s="22">
        <f t="shared" si="44"/>
        <v>0.16404169640879018</v>
      </c>
      <c r="J116" s="22">
        <f t="shared" si="44"/>
        <v>0.21255646344716822</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0.11088545082703867</v>
      </c>
      <c r="D119" s="100"/>
      <c r="E119" s="241"/>
      <c r="F119" s="100"/>
      <c r="G119" s="99">
        <f t="shared" ref="G119:Q119" si="47">IF(G$4="","",G11/G104)</f>
        <v>0.1333250270508326</v>
      </c>
      <c r="H119" s="99">
        <f t="shared" si="47"/>
        <v>0.13596598511747313</v>
      </c>
      <c r="I119" s="99">
        <f t="shared" si="47"/>
        <v>0.17396199431486636</v>
      </c>
      <c r="J119" s="99">
        <f t="shared" si="47"/>
        <v>0.22734362658868768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0.97588206168983049</v>
      </c>
      <c r="D123" s="26"/>
      <c r="E123" s="235"/>
      <c r="F123" s="26"/>
      <c r="G123" s="159">
        <f t="shared" ref="G123:Q123" si="48">IF(G$4="","",G14*$C$3/Common_Shares*Exchange_Rate)</f>
        <v>1.0908201557093482</v>
      </c>
      <c r="H123" s="159">
        <f t="shared" si="48"/>
        <v>0.97145689324048379</v>
      </c>
      <c r="I123" s="159">
        <f t="shared" si="48"/>
        <v>1.2445479733740588</v>
      </c>
      <c r="J123" s="159">
        <f t="shared" si="48"/>
        <v>1.5032732111209213</v>
      </c>
      <c r="K123" s="159">
        <f t="shared" si="48"/>
        <v>0.60410059094668223</v>
      </c>
      <c r="L123" s="159">
        <f t="shared" si="48"/>
        <v>0.59525335670557111</v>
      </c>
      <c r="M123" s="159">
        <f t="shared" si="48"/>
        <v>0.25613529203310492</v>
      </c>
      <c r="N123" s="159">
        <f t="shared" si="48"/>
        <v>0.1958618891049026</v>
      </c>
      <c r="O123" s="159">
        <f t="shared" si="48"/>
        <v>9.9954224615060414E-2</v>
      </c>
      <c r="P123" s="159">
        <f t="shared" si="48"/>
        <v>5.1971670388249354E-3</v>
      </c>
      <c r="Q123" s="159" t="str">
        <f t="shared" si="48"/>
        <v/>
      </c>
    </row>
    <row r="124" spans="1:17" ht="15.75" customHeight="1">
      <c r="A124" s="10"/>
      <c r="B124" s="26" t="s">
        <v>226</v>
      </c>
      <c r="C124" s="74">
        <f>C19*Exchange_Rate*$C$3/(Market_Price*Common_Shares)</f>
        <v>5.0303199056176834E-2</v>
      </c>
      <c r="D124" s="26"/>
      <c r="E124" s="235"/>
      <c r="F124" s="26"/>
      <c r="G124" s="74">
        <f t="shared" ref="G124" si="49">IF(G$4="","",G123/Market_Price)</f>
        <v>5.6227843077801459E-2</v>
      </c>
      <c r="H124" s="74">
        <f t="shared" ref="H124" si="50">IF(H$4="","",H123/Market_Price)</f>
        <v>5.0075097589715664E-2</v>
      </c>
      <c r="I124" s="74">
        <f t="shared" ref="I124" si="51">IF(I$4="","",I123/Market_Price)</f>
        <v>6.4151957390415404E-2</v>
      </c>
      <c r="J124" s="74">
        <f t="shared" ref="J124" si="52">IF(J$4="","",J123/Market_Price)</f>
        <v>7.7488309851593884E-2</v>
      </c>
      <c r="K124" s="74">
        <f t="shared" ref="K124" si="53">IF(K$4="","",K123/Market_Price)</f>
        <v>3.1139205718901147E-2</v>
      </c>
      <c r="L124" s="74">
        <f t="shared" ref="L124" si="54">IF(L$4="","",L123/Market_Price)</f>
        <v>3.0683162716782019E-2</v>
      </c>
      <c r="M124" s="74">
        <f t="shared" ref="M124" si="55">IF(M$4="","",M123/Market_Price)</f>
        <v>1.3202850104799223E-2</v>
      </c>
      <c r="N124" s="74">
        <f t="shared" ref="N124" si="56">IF(N$4="","",N123/Market_Price)</f>
        <v>1.0095973665201166E-2</v>
      </c>
      <c r="O124" s="74">
        <f t="shared" ref="O124" si="57">IF(O$4="","",O123/Market_Price)</f>
        <v>5.1522796193330112E-3</v>
      </c>
      <c r="P124" s="74">
        <f t="shared" ref="P124" si="58">IF(P$4="","",P123/Market_Price)</f>
        <v>2.6789520818685234E-4</v>
      </c>
      <c r="Q124" s="74" t="str">
        <f t="shared" ref="Q124" si="59">IF(Q$4="","",Q123/Market_Price)</f>
        <v/>
      </c>
    </row>
    <row r="125" spans="1:17" ht="15.75" customHeight="1">
      <c r="B125" s="2" t="s">
        <v>306</v>
      </c>
      <c r="C125" s="151"/>
      <c r="G125" s="22">
        <f>IF(G$4="","",(Data!C47*$C$3)/(Market_Price*Common_Shares))</f>
        <v>6.0083716467460552E-2</v>
      </c>
      <c r="H125" s="22">
        <f>IF(H$4="","",(Data!D47*$C$3)/(Market_Price*Common_Shares))</f>
        <v>6.3554508021981024E-2</v>
      </c>
      <c r="I125" s="22">
        <f>IF(I$4="","",(Data!E47*$C$3)/(Market_Price*Common_Shares))</f>
        <v>8.1039863863765507E-2</v>
      </c>
      <c r="J125" s="22">
        <f>IF(J$4="","",(Data!F47*$C$3)/(Market_Price*Common_Shares))</f>
        <v>7.9985269222308711E-2</v>
      </c>
      <c r="K125" s="22">
        <f>IF(K$4="","",(Data!G47*$C$3)/(Market_Price*Common_Shares))</f>
        <v>3.3871227521133418E-2</v>
      </c>
      <c r="L125" s="22">
        <f>IF(L$4="","",(Data!H47*$C$3)/(Market_Price*Common_Shares))</f>
        <v>2.9895962305040564E-2</v>
      </c>
      <c r="M125" s="22">
        <f>IF(M$4="","",(Data!I47*$C$3)/(Market_Price*Common_Shares))</f>
        <v>1.4263799841769752E-2</v>
      </c>
      <c r="N125" s="22">
        <f>IF(N$4="","",(Data!J47*$C$3)/(Market_Price*Common_Shares))</f>
        <v>1.0273239084765878E-2</v>
      </c>
      <c r="O125" s="22">
        <f>IF(O$4="","",(Data!K47*$C$3)/(Market_Price*Common_Shares))</f>
        <v>1.3976754188740817E-2</v>
      </c>
      <c r="P125" s="22">
        <f>IF(P$4="","",(Data!L47*$C$3)/(Market_Price*Common_Shares))</f>
        <v>1.2285290714775202E-3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2259459.5787648074</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15120588.183311185</v>
      </c>
      <c r="G5" t="str">
        <f>Reporting_currency</f>
        <v>CNY</v>
      </c>
      <c r="H5" s="312" t="s">
        <v>396</v>
      </c>
      <c r="I5" s="309">
        <f>Normalized_FCF!C7</f>
        <v>-1427907</v>
      </c>
      <c r="J5" s="309"/>
    </row>
    <row r="6" spans="2:15" ht="13.25" customHeight="1">
      <c r="B6" s="136" t="s">
        <v>194</v>
      </c>
      <c r="C6" s="287">
        <f>(C4*(1+Terminal_Growth))/(Equity_Cost-Terminal_Growth)</f>
        <v>31164959.707100794</v>
      </c>
      <c r="D6" t="str">
        <f>Reporting_currency</f>
        <v>CNY</v>
      </c>
      <c r="E6" s="187" t="s">
        <v>436</v>
      </c>
      <c r="F6" s="288">
        <f>BS!H42</f>
        <v>1668728.8</v>
      </c>
      <c r="G6" t="str">
        <f>Reporting_currency</f>
        <v>CNY</v>
      </c>
      <c r="H6" s="312" t="s">
        <v>418</v>
      </c>
      <c r="I6" s="309">
        <f>I7+I8</f>
        <v>-82217.173099867097</v>
      </c>
      <c r="J6" s="309"/>
      <c r="N6" s="135"/>
    </row>
    <row r="7" spans="2:15" ht="12.75" customHeight="1">
      <c r="B7" s="322" t="s">
        <v>433</v>
      </c>
      <c r="C7" s="279">
        <f>F7</f>
        <v>15012003.983311186</v>
      </c>
      <c r="E7" s="140" t="s">
        <v>427</v>
      </c>
      <c r="F7" s="287">
        <f>SUM(F4:F6)</f>
        <v>15012003.983311186</v>
      </c>
      <c r="G7" t="str">
        <f>Reporting_currency</f>
        <v>CNY</v>
      </c>
      <c r="H7" s="316" t="s">
        <v>419</v>
      </c>
      <c r="I7" s="317">
        <f>Normalized_FCF!C9</f>
        <v>0</v>
      </c>
      <c r="J7" s="317"/>
      <c r="N7" s="308"/>
      <c r="O7" s="308"/>
    </row>
    <row r="8" spans="2:15" ht="13.15">
      <c r="B8" s="136" t="s">
        <v>429</v>
      </c>
      <c r="C8" s="287">
        <f>C6+C7</f>
        <v>46176963.690411977</v>
      </c>
      <c r="D8" t="str">
        <f>Reporting_currency</f>
        <v>CNY</v>
      </c>
      <c r="E8" s="140" t="s">
        <v>467</v>
      </c>
      <c r="F8" s="108">
        <f>FV_adjustments*scaling_factor/Common_Shares*Exchange_Rate</f>
        <v>6.4838271660245601</v>
      </c>
      <c r="G8" s="298" t="str">
        <f>Market_currency</f>
        <v>HKD</v>
      </c>
      <c r="H8" s="318" t="str">
        <f>Normalized_FCF!B10</f>
        <v>Net Interest Income</v>
      </c>
      <c r="I8" s="317">
        <f>Normalized_FCF!C10</f>
        <v>-82217.173099867097</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0</v>
      </c>
      <c r="J9" s="310"/>
      <c r="N9" s="308"/>
      <c r="O9" s="308"/>
    </row>
    <row r="10" spans="2:15" ht="13.5" thickTop="1">
      <c r="B10" s="107" t="s">
        <v>430</v>
      </c>
      <c r="C10" s="287">
        <f>C8*Exchange_Rate</f>
        <v>51552167.022057734</v>
      </c>
      <c r="D10" t="str">
        <f>Market_currency</f>
        <v>HKD</v>
      </c>
      <c r="H10" s="312" t="s">
        <v>398</v>
      </c>
      <c r="I10" s="310">
        <f>Normalized_FCF!C41</f>
        <v>0.25</v>
      </c>
      <c r="N10" s="308"/>
      <c r="O10" s="308"/>
    </row>
    <row r="11" spans="2:15" ht="13.15">
      <c r="B11" s="136" t="s">
        <v>428</v>
      </c>
      <c r="C11" s="108">
        <f>(C10*scaling_factor)/Common_Shares</f>
        <v>19.944269396229117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22.007620932293261</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3070216.8789784694</v>
      </c>
      <c r="H21" s="303">
        <f t="shared" ref="H21:H50" si="2">IF(A21="",0%,IF(A21="I",$C$18,$F$18))</f>
        <v>0</v>
      </c>
      <c r="I21" s="281">
        <f>(G21*(1-$I$10)+C21*(H21-$I$9))</f>
        <v>2302662.6592338523</v>
      </c>
      <c r="J21" s="303">
        <f>I21/C4-1</f>
        <v>1.9120979580729225E-2</v>
      </c>
      <c r="K21" s="119">
        <f t="shared" ref="K21:K50" si="3">IF($C$15&lt;B21,0,1/(1+Equity_Cost)^B21)</f>
        <v>0.93240093240093236</v>
      </c>
      <c r="L21" s="281">
        <f t="shared" ref="L21:L50" si="4">I21*K21</f>
        <v>2147004.8104744544</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3128893.1722180974</v>
      </c>
      <c r="H22" s="303">
        <f t="shared" si="2"/>
        <v>0</v>
      </c>
      <c r="I22" s="281">
        <f>IF(A22="", 0,G22*(1-$I$10)+C22*(H22-$I$9))</f>
        <v>2346669.879163573</v>
      </c>
      <c r="J22" s="303">
        <f>IF(A22="", 0,I22/I21-1)</f>
        <v>1.9111448979835854E-2</v>
      </c>
      <c r="K22" s="119">
        <f t="shared" si="3"/>
        <v>0.86937149874212816</v>
      </c>
      <c r="L22" s="281">
        <f t="shared" si="4"/>
        <v>2040127.9099014443</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3188661.608015338</v>
      </c>
      <c r="H23" s="303">
        <f t="shared" si="2"/>
        <v>0</v>
      </c>
      <c r="I23" s="281">
        <f t="shared" ref="I23:I50" si="9">IF(A23="", 0,G23*(1-$I$10)+C23*(H23-$I$9))</f>
        <v>2391496.2060115035</v>
      </c>
      <c r="J23" s="303">
        <f t="shared" ref="J23:J50" si="10">IF(A23="", 0,I23/I22-1)</f>
        <v>1.9102101768105451E-2</v>
      </c>
      <c r="K23" s="119">
        <f t="shared" si="3"/>
        <v>0.81060279602995633</v>
      </c>
      <c r="L23" s="281">
        <f t="shared" si="4"/>
        <v>1938553.5112879572</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3249542.5144328605</v>
      </c>
      <c r="H24" s="303">
        <f t="shared" si="2"/>
        <v>0</v>
      </c>
      <c r="I24" s="281">
        <f t="shared" si="9"/>
        <v>2437156.8858246454</v>
      </c>
      <c r="J24" s="303">
        <f t="shared" si="10"/>
        <v>1.9092934246922377E-2</v>
      </c>
      <c r="K24" s="119">
        <f t="shared" si="3"/>
        <v>0.75580680282513402</v>
      </c>
      <c r="L24" s="281">
        <f t="shared" si="4"/>
        <v>1842019.7538583854</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3311556.5978998113</v>
      </c>
      <c r="H25" s="303">
        <f t="shared" si="2"/>
        <v>0</v>
      </c>
      <c r="I25" s="281">
        <f t="shared" si="9"/>
        <v>2483667.4484248585</v>
      </c>
      <c r="J25" s="303">
        <f t="shared" si="10"/>
        <v>1.9083942798567843E-2</v>
      </c>
      <c r="K25" s="119">
        <f t="shared" si="3"/>
        <v>0.70471496766912267</v>
      </c>
      <c r="L25" s="281">
        <f t="shared" si="4"/>
        <v>1750277.6256175765</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3374724.9502543509</v>
      </c>
      <c r="H26" s="303">
        <f t="shared" si="2"/>
        <v>0</v>
      </c>
      <c r="I26" s="281">
        <f t="shared" si="9"/>
        <v>2531043.7126907632</v>
      </c>
      <c r="J26" s="303">
        <f t="shared" si="10"/>
        <v>1.9075123884218392E-2</v>
      </c>
      <c r="K26" s="119">
        <f t="shared" si="3"/>
        <v>0.65707689293158289</v>
      </c>
      <c r="L26" s="281">
        <f t="shared" si="4"/>
        <v>1663090.3386088647</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3439069.0559172835</v>
      </c>
      <c r="H27" s="303">
        <f t="shared" si="2"/>
        <v>0</v>
      </c>
      <c r="I27" s="281">
        <f t="shared" si="9"/>
        <v>2579301.7919379626</v>
      </c>
      <c r="J27" s="303">
        <f t="shared" si="10"/>
        <v>1.9066474042005455E-2</v>
      </c>
      <c r="K27" s="119">
        <f t="shared" si="3"/>
        <v>0.61265910762851561</v>
      </c>
      <c r="L27" s="281">
        <f t="shared" si="4"/>
        <v>1580232.7341533434</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3504610.7991991946</v>
      </c>
      <c r="H28" s="303">
        <f t="shared" si="2"/>
        <v>0</v>
      </c>
      <c r="I28" s="281">
        <f t="shared" si="9"/>
        <v>2628458.0993993962</v>
      </c>
      <c r="J28" s="303">
        <f t="shared" si="10"/>
        <v>1.9057989885123083E-2</v>
      </c>
      <c r="K28" s="119">
        <f t="shared" si="3"/>
        <v>0.5712439231967511</v>
      </c>
      <c r="L28" s="281">
        <f t="shared" si="4"/>
        <v>1501490.7166591871</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3571372.4717436112</v>
      </c>
      <c r="H29" s="303">
        <f t="shared" si="2"/>
        <v>0</v>
      </c>
      <c r="I29" s="281">
        <f t="shared" si="9"/>
        <v>2678529.3538077082</v>
      </c>
      <c r="J29" s="303">
        <f t="shared" si="10"/>
        <v>1.9049668099998751E-2</v>
      </c>
      <c r="K29" s="119">
        <f t="shared" si="3"/>
        <v>0.53262836661701729</v>
      </c>
      <c r="L29" s="281">
        <f t="shared" si="4"/>
        <v>1426660.7146543344</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3639376.7801086884</v>
      </c>
      <c r="H30" s="303">
        <f t="shared" si="2"/>
        <v>0</v>
      </c>
      <c r="I30" s="281">
        <f t="shared" si="9"/>
        <v>2729532.5850815163</v>
      </c>
      <c r="J30" s="303">
        <f t="shared" si="10"/>
        <v>1.9041505444509443E-2</v>
      </c>
      <c r="K30" s="119">
        <f t="shared" si="3"/>
        <v>0.49662318565689262</v>
      </c>
      <c r="L30" s="281">
        <f t="shared" si="4"/>
        <v>1355549.167757476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3639376.7801086884</v>
      </c>
      <c r="H51" s="303">
        <f>F18</f>
        <v>0</v>
      </c>
      <c r="I51" s="281">
        <f>(G51*(1-$I$10)+C51*(H51-$I$9))/Equity_Cost</f>
        <v>37648725.31146919</v>
      </c>
      <c r="J51" s="419">
        <f>(G51*(1-$I$10)+C51*(H51-$I$9))/VLOOKUP(C15,B21:I50,8,FALSE)-1</f>
        <v>0</v>
      </c>
      <c r="K51" s="119">
        <f>1/(1+Equity_Cost)^C15</f>
        <v>0.49662318565689262</v>
      </c>
      <c r="L51" s="281">
        <f>I51*K51</f>
        <v>18697229.900103115</v>
      </c>
    </row>
    <row r="52" spans="1:21" ht="13.15">
      <c r="G52" s="111"/>
      <c r="H52" s="111"/>
      <c r="I52" s="111"/>
      <c r="J52" s="464" t="s">
        <v>423</v>
      </c>
      <c r="K52" s="464"/>
      <c r="L52" s="321">
        <f>SUM(L21:L51)</f>
        <v>35942237.183076136</v>
      </c>
    </row>
    <row r="53" spans="1:21">
      <c r="C53" s="111"/>
    </row>
    <row r="54" spans="1:21" ht="13.15">
      <c r="B54" s="115" t="s">
        <v>108</v>
      </c>
      <c r="C54" s="128"/>
      <c r="D54" s="128"/>
      <c r="E54" s="113"/>
      <c r="F54" s="113"/>
      <c r="G54" s="113"/>
      <c r="H54" s="113"/>
      <c r="I54" s="113"/>
      <c r="J54" s="113"/>
      <c r="K54" s="113"/>
      <c r="L54" s="113"/>
    </row>
    <row r="55" spans="1:21" ht="13.15">
      <c r="A55" s="125">
        <f>L52</f>
        <v>35942237.183076136</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29564185.59772858</v>
      </c>
      <c r="C56" s="118">
        <v>31805269.350849681</v>
      </c>
      <c r="D56" s="118">
        <v>32445578.99459856</v>
      </c>
      <c r="E56" s="118">
        <v>33085888.638347451</v>
      </c>
      <c r="F56" s="118">
        <v>34366507.925845221</v>
      </c>
      <c r="G56" s="299"/>
      <c r="H56" s="299"/>
      <c r="I56" s="299"/>
      <c r="J56" s="299"/>
      <c r="K56" s="299"/>
      <c r="L56" s="299"/>
    </row>
    <row r="57" spans="1:21" ht="13.15">
      <c r="A57" s="131">
        <v>2</v>
      </c>
      <c r="B57" s="118">
        <v>28146250.489193752</v>
      </c>
      <c r="C57" s="118">
        <v>32414235.16588359</v>
      </c>
      <c r="D57" s="118">
        <v>33687391.637020648</v>
      </c>
      <c r="E57" s="118">
        <v>34984429.120511986</v>
      </c>
      <c r="F57" s="118">
        <v>37650147.124557458</v>
      </c>
      <c r="G57" s="299"/>
      <c r="H57" s="299"/>
      <c r="I57" s="299"/>
      <c r="J57" s="299"/>
      <c r="K57" s="299"/>
      <c r="L57" s="299"/>
    </row>
    <row r="58" spans="1:21" ht="13.15">
      <c r="A58" s="131">
        <v>3</v>
      </c>
      <c r="B58" s="118">
        <v>26890270.672775961</v>
      </c>
      <c r="C58" s="118">
        <v>32993391.465496253</v>
      </c>
      <c r="D58" s="118">
        <v>34891573.593308732</v>
      </c>
      <c r="E58" s="118">
        <v>36860842.091229372</v>
      </c>
      <c r="F58" s="118">
        <v>41017982.200159751</v>
      </c>
      <c r="G58" s="299"/>
      <c r="H58" s="299"/>
      <c r="I58" s="299"/>
      <c r="J58" s="299"/>
      <c r="K58" s="299"/>
      <c r="L58" s="299"/>
    </row>
    <row r="59" spans="1:21" ht="13.15">
      <c r="A59" s="131">
        <v>4</v>
      </c>
      <c r="B59" s="118">
        <v>25777747.758466486</v>
      </c>
      <c r="C59" s="118">
        <v>33544197.45673627</v>
      </c>
      <c r="D59" s="118">
        <v>36059265.187285036</v>
      </c>
      <c r="E59" s="118">
        <v>38715385.446903437</v>
      </c>
      <c r="F59" s="118">
        <v>44472172.021290295</v>
      </c>
      <c r="G59" s="299"/>
      <c r="H59" s="299"/>
      <c r="I59" s="299"/>
      <c r="J59" s="299"/>
      <c r="K59" s="299"/>
      <c r="L59" s="299"/>
    </row>
    <row r="60" spans="1:21" ht="13.15">
      <c r="A60" s="131">
        <v>5</v>
      </c>
      <c r="B60" s="118">
        <v>24792296.225977909</v>
      </c>
      <c r="C60" s="118">
        <v>34068040.916936561</v>
      </c>
      <c r="D60" s="118">
        <v>37191572.1875045</v>
      </c>
      <c r="E60" s="118">
        <v>40548314.078152403</v>
      </c>
      <c r="F60" s="118">
        <v>48014930.812193438</v>
      </c>
      <c r="G60" s="299"/>
      <c r="H60" s="299"/>
      <c r="I60" s="299"/>
      <c r="J60" s="299"/>
      <c r="K60" s="299"/>
      <c r="L60" s="299"/>
    </row>
    <row r="61" spans="1:21" ht="13.15">
      <c r="A61" s="131">
        <v>6</v>
      </c>
      <c r="B61" s="118">
        <v>23919402.094636049</v>
      </c>
      <c r="C61" s="118">
        <v>34566241.690273896</v>
      </c>
      <c r="D61" s="118">
        <v>38289566.854383975</v>
      </c>
      <c r="E61" s="118">
        <v>42359879.904841334</v>
      </c>
      <c r="F61" s="118">
        <v>51648529.572094075</v>
      </c>
      <c r="G61" s="299"/>
      <c r="H61" s="299"/>
      <c r="I61" s="299"/>
      <c r="J61" s="299"/>
      <c r="K61" s="299"/>
      <c r="L61" s="299"/>
    </row>
    <row r="62" spans="1:21" ht="13.15">
      <c r="A62" s="131">
        <v>7</v>
      </c>
      <c r="B62" s="118">
        <v>23146209.157783121</v>
      </c>
      <c r="C62" s="118">
        <v>35040055.013168164</v>
      </c>
      <c r="D62" s="118">
        <v>39354288.955600448</v>
      </c>
      <c r="E62" s="118">
        <v>44150331.910706408</v>
      </c>
      <c r="F62" s="118">
        <v>55375297.53096655</v>
      </c>
      <c r="G62" s="299"/>
      <c r="H62" s="299"/>
      <c r="I62" s="299"/>
      <c r="J62" s="299"/>
      <c r="K62" s="299"/>
      <c r="L62" s="299"/>
    </row>
    <row r="63" spans="1:21" ht="13.15">
      <c r="A63" s="131">
        <v>8</v>
      </c>
      <c r="B63" s="118">
        <v>22461329.633298006</v>
      </c>
      <c r="C63" s="118">
        <v>35490674.676899761</v>
      </c>
      <c r="D63" s="118">
        <v>40386746.750719436</v>
      </c>
      <c r="E63" s="118">
        <v>45919916.177575365</v>
      </c>
      <c r="F63" s="118">
        <v>59197623.642630622</v>
      </c>
      <c r="G63" s="299"/>
      <c r="H63" s="299"/>
      <c r="I63" s="299"/>
      <c r="J63" s="299"/>
      <c r="K63" s="299"/>
      <c r="L63" s="299"/>
    </row>
    <row r="64" spans="1:21" ht="13.15">
      <c r="A64" s="131">
        <v>9</v>
      </c>
      <c r="B64" s="118">
        <v>21854676.44144639</v>
      </c>
      <c r="C64" s="118">
        <v>35919236.035413727</v>
      </c>
      <c r="D64" s="118">
        <v>41387917.945986345</v>
      </c>
      <c r="E64" s="118">
        <v>47668875.919189446</v>
      </c>
      <c r="F64" s="118">
        <v>63117958.116132215</v>
      </c>
      <c r="G64" s="299"/>
      <c r="H64" s="299"/>
      <c r="I64" s="299"/>
      <c r="J64" s="299"/>
      <c r="K64" s="299"/>
      <c r="L64" s="299"/>
    </row>
    <row r="65" spans="1:21" ht="13.15">
      <c r="A65" s="131">
        <v>10</v>
      </c>
      <c r="B65" s="118">
        <v>21317314.639806263</v>
      </c>
      <c r="C65" s="118">
        <v>36326818.865888558</v>
      </c>
      <c r="D65" s="118">
        <v>42358750.620184556</v>
      </c>
      <c r="E65" s="118">
        <v>49397451.514630876</v>
      </c>
      <c r="F65" s="118">
        <v>67138813.986390263</v>
      </c>
      <c r="G65" s="299"/>
      <c r="H65" s="299"/>
      <c r="I65" s="299"/>
      <c r="J65" s="299"/>
      <c r="K65" s="299"/>
      <c r="L65" s="299"/>
    </row>
    <row r="66" spans="1:21" ht="13.15">
      <c r="A66" s="131">
        <v>15</v>
      </c>
      <c r="B66" s="118">
        <v>19422424.526747245</v>
      </c>
      <c r="C66" s="281">
        <v>38084288.758699596</v>
      </c>
      <c r="D66" s="118">
        <v>46789055.87740349</v>
      </c>
      <c r="E66" s="118">
        <v>57742786.271598957</v>
      </c>
      <c r="F66" s="118">
        <v>88843474.806241453</v>
      </c>
      <c r="G66" s="299"/>
      <c r="H66" s="299"/>
      <c r="I66" s="299"/>
      <c r="J66" s="299"/>
      <c r="K66" s="299"/>
      <c r="L66" s="299"/>
      <c r="M66" s="279"/>
      <c r="N66" s="279"/>
      <c r="O66" s="279"/>
      <c r="P66" s="279"/>
      <c r="Q66" s="279"/>
      <c r="R66" s="279"/>
      <c r="S66" s="279"/>
      <c r="T66" s="279"/>
      <c r="U66" s="279"/>
    </row>
    <row r="67" spans="1:21" ht="13.15">
      <c r="A67" s="132">
        <v>20</v>
      </c>
      <c r="B67" s="118">
        <v>18389150.40671815</v>
      </c>
      <c r="C67" s="281">
        <v>39451709.768617943</v>
      </c>
      <c r="D67" s="118">
        <v>50587570.855714686</v>
      </c>
      <c r="E67" s="118">
        <v>65613001.047421716</v>
      </c>
      <c r="F67" s="118">
        <v>113477190.51207733</v>
      </c>
      <c r="G67" s="299"/>
      <c r="H67" s="299"/>
      <c r="I67" s="299"/>
      <c r="J67" s="299"/>
      <c r="K67" s="299"/>
      <c r="L67" s="299"/>
      <c r="M67" s="279"/>
      <c r="N67" s="279"/>
      <c r="O67" s="279"/>
      <c r="P67" s="279"/>
      <c r="Q67" s="279"/>
      <c r="R67" s="279"/>
      <c r="S67" s="279"/>
      <c r="T67" s="279"/>
      <c r="U67" s="279"/>
    </row>
    <row r="68" spans="1:21" ht="13.15">
      <c r="A68" s="132">
        <v>25</v>
      </c>
      <c r="B68" s="118">
        <v>17825711.186805643</v>
      </c>
      <c r="C68" s="281">
        <v>40515648.460264802</v>
      </c>
      <c r="D68" s="118">
        <v>53844392.948716901</v>
      </c>
      <c r="E68" s="118">
        <v>73035145.565454498</v>
      </c>
      <c r="F68" s="118">
        <v>141435238.53284827</v>
      </c>
      <c r="G68" s="299"/>
      <c r="H68" s="299"/>
      <c r="I68" s="299"/>
      <c r="J68" s="299"/>
      <c r="K68" s="299"/>
      <c r="L68" s="299"/>
      <c r="M68" s="279"/>
      <c r="N68" s="279"/>
      <c r="O68" s="279"/>
      <c r="P68" s="279"/>
      <c r="Q68" s="279"/>
      <c r="R68" s="279"/>
      <c r="S68" s="279"/>
      <c r="T68" s="279"/>
      <c r="U68" s="279"/>
    </row>
    <row r="69" spans="1:21" ht="13.15">
      <c r="A69" s="132">
        <v>30</v>
      </c>
      <c r="B69" s="118">
        <v>17518470.592676878</v>
      </c>
      <c r="C69" s="281">
        <v>41343459.011201724</v>
      </c>
      <c r="D69" s="118">
        <v>56636771.077019855</v>
      </c>
      <c r="E69" s="118">
        <v>80034729.543237984</v>
      </c>
      <c r="F69" s="118">
        <v>173166239.18520039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19.944269396229117</v>
      </c>
      <c r="C73" s="119">
        <f>C11</f>
        <v>19.944269396229117</v>
      </c>
      <c r="D73" s="119">
        <f>C11</f>
        <v>19.944269396229117</v>
      </c>
      <c r="E73" s="119">
        <f>C11</f>
        <v>19.944269396229117</v>
      </c>
      <c r="F73" s="119">
        <f>C11</f>
        <v>19.944269396229117</v>
      </c>
      <c r="G73" s="300"/>
      <c r="H73" s="300"/>
      <c r="I73" s="300"/>
      <c r="J73" s="300"/>
      <c r="K73" s="300"/>
      <c r="L73" s="300"/>
    </row>
    <row r="74" spans="1:21" ht="13.15">
      <c r="A74" s="131">
        <v>1</v>
      </c>
      <c r="B74" s="119">
        <f t="shared" ref="B74:F87" si="11">(B56+FV_adjustments)/Common_Shares*scaling_factor*Exchange_Rate</f>
        <v>19.252879847668193</v>
      </c>
      <c r="C74" s="119">
        <f t="shared" si="11"/>
        <v>20.220825215653491</v>
      </c>
      <c r="D74" s="119">
        <f t="shared" si="11"/>
        <v>20.497381035077858</v>
      </c>
      <c r="E74" s="119">
        <f t="shared" si="11"/>
        <v>20.773936854502235</v>
      </c>
      <c r="F74" s="119">
        <f t="shared" si="11"/>
        <v>21.327048493350965</v>
      </c>
      <c r="G74" s="300"/>
      <c r="H74" s="300"/>
      <c r="I74" s="300"/>
      <c r="J74" s="300"/>
      <c r="K74" s="300"/>
      <c r="L74" s="300"/>
    </row>
    <row r="75" spans="1:21" ht="13.15">
      <c r="A75" s="131">
        <v>2</v>
      </c>
      <c r="B75" s="119">
        <f t="shared" si="11"/>
        <v>18.640460200924249</v>
      </c>
      <c r="C75" s="119">
        <f t="shared" si="11"/>
        <v>20.483843337623522</v>
      </c>
      <c r="D75" s="119">
        <f t="shared" si="11"/>
        <v>21.033731715173605</v>
      </c>
      <c r="E75" s="119">
        <f t="shared" si="11"/>
        <v>21.593934528879384</v>
      </c>
      <c r="F75" s="119">
        <f t="shared" si="11"/>
        <v>22.745283464757996</v>
      </c>
      <c r="G75" s="300"/>
      <c r="H75" s="300"/>
      <c r="I75" s="300"/>
      <c r="J75" s="300"/>
      <c r="K75" s="300"/>
      <c r="L75" s="300"/>
    </row>
    <row r="76" spans="1:21" ht="13.15">
      <c r="A76" s="131">
        <v>3</v>
      </c>
      <c r="B76" s="119">
        <f t="shared" si="11"/>
        <v>18.097990583761785</v>
      </c>
      <c r="C76" s="119">
        <f t="shared" si="11"/>
        <v>20.733986446629984</v>
      </c>
      <c r="D76" s="119">
        <f t="shared" si="11"/>
        <v>21.553829344357368</v>
      </c>
      <c r="E76" s="119">
        <f t="shared" si="11"/>
        <v>22.404375120804588</v>
      </c>
      <c r="F76" s="119">
        <f t="shared" si="11"/>
        <v>24.199883435431872</v>
      </c>
      <c r="G76" s="300"/>
      <c r="H76" s="300"/>
      <c r="I76" s="300"/>
      <c r="J76" s="300"/>
      <c r="K76" s="300"/>
      <c r="L76" s="300"/>
    </row>
    <row r="77" spans="1:21" ht="13.15">
      <c r="A77" s="131">
        <v>4</v>
      </c>
      <c r="B77" s="119">
        <f t="shared" si="11"/>
        <v>17.617481365762398</v>
      </c>
      <c r="C77" s="119">
        <f t="shared" si="11"/>
        <v>20.971884788062706</v>
      </c>
      <c r="D77" s="119">
        <f t="shared" si="11"/>
        <v>22.058166439323426</v>
      </c>
      <c r="E77" s="119">
        <f t="shared" si="11"/>
        <v>23.205370018185214</v>
      </c>
      <c r="F77" s="119">
        <f t="shared" si="11"/>
        <v>25.691780841251223</v>
      </c>
      <c r="G77" s="300"/>
      <c r="H77" s="300"/>
      <c r="I77" s="300"/>
      <c r="J77" s="300"/>
      <c r="K77" s="300"/>
      <c r="L77" s="300"/>
    </row>
    <row r="78" spans="1:21" ht="13.15">
      <c r="A78" s="131">
        <v>5</v>
      </c>
      <c r="B78" s="119">
        <f t="shared" si="11"/>
        <v>17.191855485017019</v>
      </c>
      <c r="C78" s="119">
        <f t="shared" si="11"/>
        <v>21.198137756138571</v>
      </c>
      <c r="D78" s="119">
        <f t="shared" si="11"/>
        <v>22.547220592017791</v>
      </c>
      <c r="E78" s="119">
        <f t="shared" si="11"/>
        <v>23.997029310701262</v>
      </c>
      <c r="F78" s="119">
        <f t="shared" si="11"/>
        <v>27.221932026706977</v>
      </c>
      <c r="G78" s="300"/>
      <c r="H78" s="300"/>
      <c r="I78" s="300"/>
      <c r="J78" s="300"/>
      <c r="K78" s="300"/>
      <c r="L78" s="300"/>
    </row>
    <row r="79" spans="1:21" ht="13.15">
      <c r="A79" s="131">
        <v>6</v>
      </c>
      <c r="B79" s="119">
        <f t="shared" si="11"/>
        <v>16.814844215359109</v>
      </c>
      <c r="C79" s="119">
        <f t="shared" si="11"/>
        <v>21.413315404098842</v>
      </c>
      <c r="D79" s="119">
        <f t="shared" si="11"/>
        <v>23.021454921903242</v>
      </c>
      <c r="E79" s="119">
        <f t="shared" si="11"/>
        <v>24.779461804936229</v>
      </c>
      <c r="F79" s="119">
        <f t="shared" si="11"/>
        <v>28.791317857943639</v>
      </c>
      <c r="G79" s="300"/>
      <c r="H79" s="300"/>
      <c r="I79" s="300"/>
      <c r="J79" s="300"/>
      <c r="K79" s="300"/>
      <c r="L79" s="300"/>
    </row>
    <row r="80" spans="1:21" ht="13.15">
      <c r="A80" s="131">
        <f t="shared" ref="A80" si="12">A62</f>
        <v>7</v>
      </c>
      <c r="B80" s="119">
        <f t="shared" si="11"/>
        <v>16.480894838972148</v>
      </c>
      <c r="C80" s="119">
        <f t="shared" si="11"/>
        <v>21.61795988048064</v>
      </c>
      <c r="D80" s="119">
        <f t="shared" si="11"/>
        <v>23.481318514519433</v>
      </c>
      <c r="E80" s="119">
        <f t="shared" si="11"/>
        <v>25.552775039331639</v>
      </c>
      <c r="F80" s="119">
        <f t="shared" si="11"/>
        <v>30.400944351519716</v>
      </c>
      <c r="G80" s="300"/>
      <c r="H80" s="300"/>
      <c r="I80" s="300"/>
      <c r="J80" s="300"/>
      <c r="K80" s="300"/>
      <c r="L80" s="300"/>
    </row>
    <row r="81" spans="1:12" ht="13.15">
      <c r="A81" s="131">
        <v>8</v>
      </c>
      <c r="B81" s="119">
        <f t="shared" si="11"/>
        <v>16.185088864550131</v>
      </c>
      <c r="C81" s="119">
        <f t="shared" si="11"/>
        <v>21.812586795081508</v>
      </c>
      <c r="D81" s="119">
        <f t="shared" si="11"/>
        <v>23.927246846753317</v>
      </c>
      <c r="E81" s="119">
        <f t="shared" si="11"/>
        <v>26.317075298967186</v>
      </c>
      <c r="F81" s="119">
        <f t="shared" si="11"/>
        <v>32.05184331929005</v>
      </c>
      <c r="G81" s="300"/>
      <c r="H81" s="300"/>
      <c r="I81" s="300"/>
      <c r="J81" s="300"/>
      <c r="K81" s="300"/>
      <c r="L81" s="300"/>
    </row>
    <row r="82" spans="1:12" ht="13.15">
      <c r="A82" s="131">
        <f t="shared" ref="A82" si="13">A64</f>
        <v>9</v>
      </c>
      <c r="B82" s="119">
        <f t="shared" si="11"/>
        <v>15.923069586507319</v>
      </c>
      <c r="C82" s="119">
        <f t="shared" si="11"/>
        <v>21.997686518058558</v>
      </c>
      <c r="D82" s="119">
        <f t="shared" si="11"/>
        <v>24.359662199222541</v>
      </c>
      <c r="E82" s="119">
        <f t="shared" si="11"/>
        <v>27.072467630168756</v>
      </c>
      <c r="F82" s="119">
        <f t="shared" si="11"/>
        <v>33.745073029823715</v>
      </c>
      <c r="G82" s="300"/>
      <c r="H82" s="300"/>
      <c r="I82" s="300"/>
      <c r="J82" s="300"/>
      <c r="K82" s="300"/>
      <c r="L82" s="300"/>
    </row>
    <row r="83" spans="1:12" ht="13.15">
      <c r="A83" s="131">
        <f t="shared" ref="A83:A87" si="14">A65</f>
        <v>10</v>
      </c>
      <c r="B83" s="119">
        <f t="shared" si="11"/>
        <v>15.690977918310885</v>
      </c>
      <c r="C83" s="119">
        <f t="shared" si="11"/>
        <v>22.173725415435335</v>
      </c>
      <c r="D83" s="119">
        <f t="shared" si="11"/>
        <v>24.778974056162387</v>
      </c>
      <c r="E83" s="119">
        <f t="shared" si="11"/>
        <v>27.819055854946068</v>
      </c>
      <c r="F83" s="119">
        <f t="shared" si="11"/>
        <v>35.481718886781316</v>
      </c>
      <c r="G83" s="300"/>
      <c r="H83" s="300"/>
      <c r="I83" s="300"/>
      <c r="J83" s="300"/>
      <c r="K83" s="300"/>
      <c r="L83" s="300"/>
    </row>
    <row r="84" spans="1:12" ht="13.15">
      <c r="A84" s="131">
        <f t="shared" si="14"/>
        <v>15</v>
      </c>
      <c r="B84" s="119">
        <f t="shared" si="11"/>
        <v>14.872556873036594</v>
      </c>
      <c r="C84" s="119">
        <f t="shared" si="11"/>
        <v>22.932793361803217</v>
      </c>
      <c r="D84" s="119">
        <f t="shared" si="11"/>
        <v>26.692464993979314</v>
      </c>
      <c r="E84" s="119">
        <f t="shared" si="11"/>
        <v>31.423485234724559</v>
      </c>
      <c r="F84" s="119">
        <f t="shared" si="11"/>
        <v>44.856168134832977</v>
      </c>
      <c r="G84" s="300"/>
      <c r="H84" s="300"/>
      <c r="I84" s="300"/>
      <c r="J84" s="300"/>
      <c r="K84" s="300"/>
      <c r="L84" s="300"/>
    </row>
    <row r="85" spans="1:12" ht="13.15">
      <c r="A85" s="132">
        <f t="shared" si="14"/>
        <v>20</v>
      </c>
      <c r="B85" s="119">
        <f t="shared" si="11"/>
        <v>14.426275962317233</v>
      </c>
      <c r="C85" s="119">
        <f t="shared" si="11"/>
        <v>23.52339548936445</v>
      </c>
      <c r="D85" s="119">
        <f t="shared" si="11"/>
        <v>28.333079706998657</v>
      </c>
      <c r="E85" s="119">
        <f t="shared" si="11"/>
        <v>34.822705780006622</v>
      </c>
      <c r="F85" s="119">
        <f t="shared" si="11"/>
        <v>55.495704020327395</v>
      </c>
      <c r="G85" s="300"/>
      <c r="H85" s="300"/>
      <c r="I85" s="300"/>
      <c r="J85" s="300"/>
      <c r="K85" s="300"/>
      <c r="L85" s="300"/>
    </row>
    <row r="86" spans="1:12" ht="13.15">
      <c r="A86" s="132">
        <f t="shared" si="14"/>
        <v>25</v>
      </c>
      <c r="B86" s="119">
        <f t="shared" si="11"/>
        <v>14.182921209378605</v>
      </c>
      <c r="C86" s="119">
        <f t="shared" si="11"/>
        <v>23.98292071994349</v>
      </c>
      <c r="D86" s="119">
        <f t="shared" si="11"/>
        <v>29.739732115630581</v>
      </c>
      <c r="E86" s="119">
        <f t="shared" si="11"/>
        <v>38.028400523338725</v>
      </c>
      <c r="F86" s="119">
        <f t="shared" si="11"/>
        <v>67.571050620795717</v>
      </c>
      <c r="G86" s="300"/>
      <c r="H86" s="300"/>
      <c r="I86" s="300"/>
      <c r="J86" s="300"/>
      <c r="K86" s="300"/>
      <c r="L86" s="300"/>
    </row>
    <row r="87" spans="1:12" ht="13.15">
      <c r="A87" s="132">
        <f t="shared" si="14"/>
        <v>30</v>
      </c>
      <c r="B87" s="119">
        <f t="shared" si="11"/>
        <v>14.050221077342119</v>
      </c>
      <c r="C87" s="119">
        <f t="shared" si="11"/>
        <v>24.340459962835613</v>
      </c>
      <c r="D87" s="119">
        <f t="shared" si="11"/>
        <v>30.945786762713755</v>
      </c>
      <c r="E87" s="119">
        <f t="shared" si="11"/>
        <v>41.051587354122688</v>
      </c>
      <c r="F87" s="119">
        <f t="shared" si="11"/>
        <v>81.275971313834617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35.481718886781316</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27.819055854946068</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24.778974056162387</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22.173725415435335</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15.690977918310885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2525575.7291607661</v>
      </c>
      <c r="D8" s="465"/>
      <c r="E8" s="465"/>
      <c r="F8" s="465"/>
      <c r="G8" s="465"/>
    </row>
    <row r="9" spans="2:7">
      <c r="B9" s="97" t="s">
        <v>54</v>
      </c>
      <c r="C9" s="452">
        <f>Normalized_FCF!C19</f>
        <v>2259459.5787648074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-6.379543153355216E-2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27.819055854946068</v>
      </c>
      <c r="F22" s="332">
        <f>1-F23-F24</f>
        <v>0.24999999999999994</v>
      </c>
      <c r="G22" s="332">
        <f>F22*(1-F$29-F$30)</f>
        <v>0.22499999999999992</v>
      </c>
    </row>
    <row r="23" spans="2:7">
      <c r="B23" s="306" t="s">
        <v>440</v>
      </c>
      <c r="C23" s="328">
        <v>0.04</v>
      </c>
      <c r="D23" s="329">
        <f>C18</f>
        <v>10</v>
      </c>
      <c r="E23" s="330">
        <f>DCF!E92</f>
        <v>24.778974056162387</v>
      </c>
      <c r="F23" s="331">
        <v>0.55000000000000004</v>
      </c>
      <c r="G23" s="332">
        <f t="shared" ref="G23:G24" si="0">F23*(1-F$29-F$30)</f>
        <v>0.495</v>
      </c>
    </row>
    <row r="24" spans="2:7">
      <c r="B24" s="306" t="s">
        <v>449</v>
      </c>
      <c r="C24" s="328">
        <v>0.02</v>
      </c>
      <c r="D24" s="329">
        <f>C18</f>
        <v>10</v>
      </c>
      <c r="E24" s="330">
        <f>DCF!E93</f>
        <v>22.173725415435335</v>
      </c>
      <c r="F24" s="331">
        <v>0.2</v>
      </c>
      <c r="G24" s="332">
        <f t="shared" si="0"/>
        <v>0.18</v>
      </c>
    </row>
    <row r="25" spans="2:7">
      <c r="B25" s="141" t="s">
        <v>454</v>
      </c>
      <c r="C25" s="446">
        <f>E23*F23+E24*F24+E22*F22</f>
        <v>25.017944777712895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35.481718886781316</v>
      </c>
      <c r="F29" s="331">
        <v>0.05</v>
      </c>
      <c r="G29" s="332">
        <f>F29</f>
        <v>0.05</v>
      </c>
    </row>
    <row r="30" spans="2:7">
      <c r="B30" s="319" t="s">
        <v>450</v>
      </c>
      <c r="C30" s="328">
        <v>-0.05</v>
      </c>
      <c r="D30" s="329">
        <f>C18</f>
        <v>10</v>
      </c>
      <c r="E30" s="330">
        <f>DCF!E94</f>
        <v>15.690977918310885</v>
      </c>
      <c r="F30" s="331">
        <v>0.05</v>
      </c>
      <c r="G30" s="332">
        <f>F30</f>
        <v>0.05</v>
      </c>
    </row>
    <row r="31" spans="2:7">
      <c r="E31" s="333"/>
      <c r="F31" s="333"/>
    </row>
    <row r="32" spans="2:7" ht="13.15">
      <c r="B32" s="145" t="s">
        <v>459</v>
      </c>
    </row>
    <row r="33" spans="2:7">
      <c r="B33" s="97" t="s">
        <v>461</v>
      </c>
      <c r="C33" s="155">
        <f>Normalized_FCF!C88*(1-dividend_tax_rate)</f>
        <v>0.52382450488644916</v>
      </c>
      <c r="D33" t="str">
        <f>Market_currency</f>
        <v>HKD</v>
      </c>
      <c r="E33" s="97" t="s">
        <v>458</v>
      </c>
      <c r="F33" s="219">
        <f>Holding_Period</f>
        <v>3</v>
      </c>
    </row>
    <row r="34" spans="2:7">
      <c r="B34" s="97" t="s">
        <v>233</v>
      </c>
      <c r="C34" s="146">
        <f>Market_Price</f>
        <v>19.399999999999999</v>
      </c>
      <c r="D34" t="str">
        <f>Market_currency</f>
        <v>HKD</v>
      </c>
      <c r="E34" s="97" t="s">
        <v>457</v>
      </c>
      <c r="F34" s="334">
        <f>RATE(Holding_Period,$C$33,-C34,$C$36)</f>
        <v>0.11417442599706432</v>
      </c>
    </row>
    <row r="35" spans="2:7">
      <c r="B35" s="97" t="s">
        <v>437</v>
      </c>
      <c r="C35" s="324">
        <f>DCF!C11</f>
        <v>19.944269396229117</v>
      </c>
      <c r="D35" s="97" t="str">
        <f>Market_currency</f>
        <v>HKD</v>
      </c>
      <c r="E35" s="97" t="s">
        <v>457</v>
      </c>
      <c r="F35" s="334">
        <f>RATE(Holding_Period,$C$33,-C35,$C$36)</f>
        <v>0.10370361520964431</v>
      </c>
    </row>
    <row r="36" spans="2:7">
      <c r="B36" s="97" t="s">
        <v>438</v>
      </c>
      <c r="C36" s="325">
        <f>E22*G22+E23*G23+E24*G24+E30*G30+E29*G29</f>
        <v>25.074785140196219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22.007620932293261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0.2585795702644183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0.52382450488644916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0.95852109587157208</v>
      </c>
      <c r="D62" s="119">
        <f>C36/(1+F62)^Holding_Period</f>
        <v>11.555200525436048</v>
      </c>
      <c r="E62" s="336">
        <f>C62+D62</f>
        <v>12.513721621307619</v>
      </c>
      <c r="F62" s="305">
        <f>Thesis!E22</f>
        <v>0.29465259038036606</v>
      </c>
      <c r="G62" s="445">
        <f>(1-E62/C36)</f>
        <v>0.50094401402277799</v>
      </c>
    </row>
    <row r="63" spans="2:7" ht="13.15">
      <c r="B63" s="306" t="s">
        <v>313</v>
      </c>
      <c r="C63" s="119">
        <f>PV(F63, Holding_Period, -C58, 0)</f>
        <v>1.1021288259573596</v>
      </c>
      <c r="D63" s="119">
        <f>C36/(1+F63)^Holding_Period</f>
        <v>14.483630405889519</v>
      </c>
      <c r="E63" s="336">
        <f>C63+D63</f>
        <v>15.585759231846879</v>
      </c>
      <c r="F63" s="305">
        <f>Thesis!E23</f>
        <v>0.20075184365903009</v>
      </c>
      <c r="G63" s="445">
        <f>(1-E63/C36)</f>
        <v>0.37842900169612725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1.2637806379323124</v>
      </c>
      <c r="D66" s="119">
        <f>C36/(1+F66)^Holding_Period</f>
        <v>17.972612851848773</v>
      </c>
      <c r="E66" s="336">
        <f>C66+D66</f>
        <v>19.236393489781086</v>
      </c>
      <c r="F66" s="305">
        <f>Thesis!E24</f>
        <v>0.1174</v>
      </c>
      <c r="G66" s="445">
        <f>(1-E66/C36)</f>
        <v>0.23283914967853026</v>
      </c>
    </row>
    <row r="67" spans="2:7" ht="13.15">
      <c r="B67" s="306" t="s">
        <v>314</v>
      </c>
      <c r="C67" s="119">
        <f>PV(F67, Holding_Period, -C58, 0)</f>
        <v>1.3684261599515304</v>
      </c>
      <c r="D67" s="119">
        <f>C36/(1+F67)^Holding_Period</f>
        <v>20.325690944493456</v>
      </c>
      <c r="E67" s="336">
        <f>C67+D67</f>
        <v>21.694117104444985</v>
      </c>
      <c r="F67" s="305">
        <f>Thesis!E25</f>
        <v>7.2499999999999995E-2</v>
      </c>
      <c r="G67" s="445">
        <f>(1-E67/C36)</f>
        <v>0.13482340992552888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19.399999999999999</v>
      </c>
    </row>
    <row r="9" spans="1:10">
      <c r="B9" s="355" t="s">
        <v>361</v>
      </c>
      <c r="C9" s="357">
        <f>Common_Shares</f>
        <v>2584811005</v>
      </c>
    </row>
    <row r="10" spans="1:10">
      <c r="B10" s="355" t="s">
        <v>367</v>
      </c>
      <c r="C10" s="361">
        <f>投资主题!C8*Common_Shares/1000000</f>
        <v>50145.333497</v>
      </c>
      <c r="D10" s="347" t="s">
        <v>532</v>
      </c>
      <c r="E10" s="364">
        <f>Scenarios!F34</f>
        <v>0.11417442599706432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1.1164044342041017</v>
      </c>
    </row>
    <row r="17" spans="1:6">
      <c r="B17" s="347" t="s">
        <v>538</v>
      </c>
      <c r="C17" s="429">
        <f>Terminal_Growth</f>
        <v>0</v>
      </c>
      <c r="D17" s="355" t="s">
        <v>339</v>
      </c>
      <c r="E17" s="348" t="str">
        <f>Reporting_currency</f>
        <v>CNY</v>
      </c>
    </row>
    <row r="18" spans="1:6">
      <c r="B18" s="347" t="str">
        <f>"预期股权价值 ("&amp;C7&amp;") :"</f>
        <v>预期股权价值 (HKD) :</v>
      </c>
      <c r="C18" s="363">
        <f>C125</f>
        <v>25.074785140196219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12.513721621307619</v>
      </c>
      <c r="D22" s="369" t="s">
        <v>443</v>
      </c>
      <c r="E22" s="370">
        <f>Thesis!E22</f>
        <v>0.29465259038036606</v>
      </c>
    </row>
    <row r="23" spans="1:6">
      <c r="B23" s="347" t="s">
        <v>341</v>
      </c>
      <c r="C23" s="371">
        <f>E141</f>
        <v>15.585759231846879</v>
      </c>
      <c r="D23" s="369" t="s">
        <v>444</v>
      </c>
      <c r="E23" s="372">
        <f>Thesis!E23</f>
        <v>0.20075184365903009</v>
      </c>
    </row>
    <row r="24" spans="1:6">
      <c r="B24" s="347" t="s">
        <v>343</v>
      </c>
      <c r="C24" s="371">
        <f>E144</f>
        <v>19.236393489781086</v>
      </c>
      <c r="D24" s="369" t="s">
        <v>446</v>
      </c>
      <c r="E24" s="372">
        <f>Thesis!E24</f>
        <v>0.1174</v>
      </c>
    </row>
    <row r="25" spans="1:6">
      <c r="B25" s="347" t="s">
        <v>342</v>
      </c>
      <c r="C25" s="371">
        <f>E145</f>
        <v>21.694117104444985</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24421.606900132894</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-82217.173099867097</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-753153.1929216024</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2525575.7291607661</v>
      </c>
      <c r="D60" s="347" t="str">
        <f>Reporting_currency</f>
        <v>CNY</v>
      </c>
    </row>
    <row r="61" spans="2:6">
      <c r="B61" s="376" t="s">
        <v>213</v>
      </c>
      <c r="C61" s="377">
        <f>Normalized_FCF!C19</f>
        <v>2259459.5787648074</v>
      </c>
      <c r="D61" s="347" t="str">
        <f>Reporting_currency</f>
        <v>CNY</v>
      </c>
    </row>
    <row r="62" spans="2:6">
      <c r="B62" s="381" t="s">
        <v>302</v>
      </c>
      <c r="C62" s="382">
        <f>Normalized_FCF!C124</f>
        <v>5.0303199056176834E-2</v>
      </c>
      <c r="F62" s="383"/>
    </row>
    <row r="63" spans="2:6">
      <c r="B63" s="381" t="s">
        <v>332</v>
      </c>
      <c r="C63" s="382">
        <f>Normalized_FCF!C92</f>
        <v>2.7001263138476762E-2</v>
      </c>
      <c r="E63" s="376" t="s">
        <v>373</v>
      </c>
      <c r="F63" s="384">
        <f>Normalized_FCF!C90</f>
        <v>0.59925274063073197</v>
      </c>
    </row>
    <row r="65" spans="1:6">
      <c r="B65" s="373" t="s">
        <v>376</v>
      </c>
      <c r="C65" s="385" t="s">
        <v>327</v>
      </c>
      <c r="D65" s="385" t="s">
        <v>374</v>
      </c>
    </row>
    <row r="66" spans="1:6">
      <c r="B66" s="376" t="s">
        <v>326</v>
      </c>
      <c r="C66" s="382">
        <f>Normalized_FCF!C119</f>
        <v>0.11088545082703867</v>
      </c>
      <c r="D66" s="382">
        <f>Normalized_FCF!G119</f>
        <v>0.1333250270508326</v>
      </c>
    </row>
    <row r="67" spans="1:6">
      <c r="B67" s="386" t="str">
        <f>Normalized_FCF!B116</f>
        <v>Pre-tax Profit/Sales</v>
      </c>
      <c r="C67" s="387">
        <f>Normalized_FCF!C116</f>
        <v>0.11515025654178175</v>
      </c>
      <c r="D67" s="387">
        <f>Normalized_FCF!G116</f>
        <v>0.12631858783988789</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-0.76763837291407488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15120588.183311185</v>
      </c>
      <c r="D84" s="347" t="str">
        <f>Reporting_currency</f>
        <v>CNY</v>
      </c>
    </row>
    <row r="85" spans="1:6">
      <c r="B85" s="386" t="s">
        <v>484</v>
      </c>
      <c r="C85" s="394">
        <f>BS!C66</f>
        <v>19190856</v>
      </c>
      <c r="D85" s="395" t="str">
        <f>Reporting_currency</f>
        <v>CNY</v>
      </c>
    </row>
    <row r="86" spans="1:6">
      <c r="B86" s="376" t="s">
        <v>235</v>
      </c>
      <c r="C86" s="391">
        <f>C84*scaling_factor*Exchange_Rate/Common_Shares</f>
        <v>6.5307257137829886</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0.72073982515564594</v>
      </c>
      <c r="D90" s="347" t="str">
        <f>Market_currency</f>
        <v>HKD</v>
      </c>
    </row>
    <row r="92" spans="1:6">
      <c r="B92" s="376" t="s">
        <v>483</v>
      </c>
      <c r="C92" s="391">
        <f>DCF!F8</f>
        <v>6.4838271660245601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5.5686717943217667</v>
      </c>
      <c r="D111" s="347" t="str">
        <f>Market_currency</f>
        <v>HKD</v>
      </c>
    </row>
    <row r="112" spans="1:6">
      <c r="A112" s="389"/>
      <c r="B112" s="376" t="s">
        <v>377</v>
      </c>
      <c r="C112" s="398">
        <f>DCF!C11</f>
        <v>19.944269396229117</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35.48 HKD</v>
      </c>
      <c r="F118" s="403">
        <f>DCF!F90</f>
        <v>0.05</v>
      </c>
    </row>
    <row r="119" spans="1:6">
      <c r="A119" s="389"/>
      <c r="B119" s="404" t="str">
        <f>DCF!B91</f>
        <v>Optimistic</v>
      </c>
      <c r="C119" s="405">
        <f>DCF!C91</f>
        <v>0.06</v>
      </c>
      <c r="D119" s="406">
        <f>DCF!D91</f>
        <v>10</v>
      </c>
      <c r="E119" s="402" t="str">
        <f>ROUND(DCF!E91,2)&amp;" "&amp;Market_currency</f>
        <v>27.82 HKD</v>
      </c>
      <c r="F119" s="407">
        <f>DCF!F91</f>
        <v>0.22499999999999992</v>
      </c>
    </row>
    <row r="120" spans="1:6">
      <c r="B120" s="404" t="str">
        <f>DCF!B92</f>
        <v>Base</v>
      </c>
      <c r="C120" s="405">
        <f>DCF!C92</f>
        <v>0.04</v>
      </c>
      <c r="D120" s="406">
        <f>DCF!D92</f>
        <v>10</v>
      </c>
      <c r="E120" s="402" t="str">
        <f>ROUND(DCF!E92,2)&amp;" "&amp;Market_currency</f>
        <v>24.78 HKD</v>
      </c>
      <c r="F120" s="407">
        <f>DCF!F92</f>
        <v>0.495</v>
      </c>
    </row>
    <row r="121" spans="1:6">
      <c r="B121" s="404" t="str">
        <f>DCF!B93</f>
        <v>Pessimistic</v>
      </c>
      <c r="C121" s="405">
        <f>DCF!C93</f>
        <v>0.02</v>
      </c>
      <c r="D121" s="406">
        <f>DCF!D93</f>
        <v>10</v>
      </c>
      <c r="E121" s="402" t="str">
        <f>ROUND(DCF!E93,2)&amp;" "&amp;Market_currency</f>
        <v>22.17 HKD</v>
      </c>
      <c r="F121" s="407">
        <f>DCF!F93</f>
        <v>0.18</v>
      </c>
    </row>
    <row r="122" spans="1:6">
      <c r="B122" s="404" t="str">
        <f>DCF!B94</f>
        <v>Devil's advocate</v>
      </c>
      <c r="C122" s="405">
        <f>DCF!C94</f>
        <v>-0.05</v>
      </c>
      <c r="D122" s="406">
        <f>DCF!D94</f>
        <v>10</v>
      </c>
      <c r="E122" s="402" t="str">
        <f>ROUND(DCF!E94,2)&amp;" "&amp;Market_currency</f>
        <v>15.69 HKD</v>
      </c>
      <c r="F122" s="407">
        <f>DCF!F94</f>
        <v>0.05</v>
      </c>
    </row>
    <row r="124" spans="1:6">
      <c r="B124" s="466" t="s">
        <v>522</v>
      </c>
      <c r="C124" s="466"/>
      <c r="D124" s="466"/>
      <c r="E124" s="466"/>
      <c r="F124" s="466"/>
    </row>
    <row r="125" spans="1:6">
      <c r="B125" s="376" t="s">
        <v>218</v>
      </c>
      <c r="C125" s="408">
        <f>Scenarios!C36</f>
        <v>25.074785140196219</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0.52382450488644916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0.95852109587157208</v>
      </c>
      <c r="D140" s="413">
        <f>Scenarios!D62</f>
        <v>11.555200525436048</v>
      </c>
      <c r="E140" s="414">
        <f>Scenarios!E62</f>
        <v>12.513721621307619</v>
      </c>
      <c r="F140" s="415">
        <f>E22</f>
        <v>0.29465259038036606</v>
      </c>
    </row>
    <row r="141" spans="1:6">
      <c r="B141" s="412" t="s">
        <v>313</v>
      </c>
      <c r="C141" s="413">
        <f>Scenarios!C63</f>
        <v>1.1021288259573596</v>
      </c>
      <c r="D141" s="413">
        <f>Scenarios!D63</f>
        <v>14.483630405889519</v>
      </c>
      <c r="E141" s="414">
        <f>Scenarios!E63</f>
        <v>15.585759231846879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1.2637806379323124</v>
      </c>
      <c r="D144" s="413">
        <f>Scenarios!D66</f>
        <v>17.972612851848773</v>
      </c>
      <c r="E144" s="414">
        <f>Scenarios!E66</f>
        <v>19.236393489781086</v>
      </c>
      <c r="F144" s="415">
        <f>E24</f>
        <v>0.1174</v>
      </c>
    </row>
    <row r="145" spans="1:6">
      <c r="B145" s="412" t="s">
        <v>314</v>
      </c>
      <c r="C145" s="413">
        <f>Scenarios!C67</f>
        <v>1.3684261599515304</v>
      </c>
      <c r="D145" s="413">
        <f>Scenarios!D67</f>
        <v>20.325690944493456</v>
      </c>
      <c r="E145" s="414">
        <f>Scenarios!E67</f>
        <v>21.694117104444985</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