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1D30DBD-0B6E-437E-9444-3149DF84C0D1}"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C44" i="6"/>
  <c r="C44" i="12"/>
  <c r="J94" i="2"/>
  <c r="N94" i="2"/>
  <c r="P94" i="2"/>
  <c r="K94" i="2"/>
  <c r="I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<sst xmlns="http://schemas.openxmlformats.org/spreadsheetml/2006/main" count="836" uniqueCount="561">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</sst>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F8677CF9-5069-4AB0-80F6-5029A17F7F4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2584797906</v>
          </cell>
        </row>
        <row r="12">
          <cell r="C12">
            <v>16.28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45778</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李宁</v>
      </c>
    </row>
    <row r="6" spans="1:10">
      <c r="B6" s="4" t="s">
        <v>481</v>
      </c>
      <c r="C6" s="34">
        <f>Common_Shares</f>
        <v>2584797906</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2331.HK</v>
      </c>
      <c r="D11" s="49"/>
      <c r="E11" s="34"/>
    </row>
    <row r="12" spans="1:10">
      <c r="B12" s="4" t="s">
        <v>485</v>
      </c>
      <c r="C12" s="366">
        <f>Market_Price</f>
        <v>16.34</v>
      </c>
      <c r="D12" s="50"/>
      <c r="E12" s="48"/>
    </row>
    <row r="13" spans="1:10">
      <c r="B13" s="1" t="s">
        <v>486</v>
      </c>
      <c r="C13" s="32" t="str">
        <f>Market_currency</f>
        <v>HKD</v>
      </c>
      <c r="D13" s="48"/>
      <c r="E13" s="5"/>
    </row>
    <row r="14" spans="1:10">
      <c r="B14" s="4" t="s">
        <v>487</v>
      </c>
      <c r="C14" s="35">
        <f>投资主题!C12*Common_Shares/1000000</f>
        <v>42235.597784040001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1.0887533899999999</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25.50469290898609</v>
      </c>
      <c r="D26" s="1" t="s">
        <v>447</v>
      </c>
      <c r="E26" s="301">
        <f ca="1">Scenarios!C87</f>
        <v>0.18574218142995003</v>
      </c>
    </row>
    <row r="27" spans="2:6">
      <c r="D27" s="5"/>
      <c r="E27" s="5"/>
    </row>
    <row r="28" spans="2:6">
      <c r="B28" s="45" t="s">
        <v>449</v>
      </c>
      <c r="C28" s="309" t="str">
        <f>C145&amp;" ("&amp;Market_currency&amp;")"</f>
        <v>2331.HK (HKD)</v>
      </c>
      <c r="D28" s="309" t="str">
        <f>IF(D11="","",D145&amp;" ("&amp;D13&amp;")")</f>
        <v/>
      </c>
      <c r="E28" s="305" t="s">
        <v>454</v>
      </c>
      <c r="F28" s="361">
        <f>Thesis!F28</f>
        <v>3</v>
      </c>
    </row>
    <row r="29" spans="2:6">
      <c r="B29" s="1" t="s">
        <v>450</v>
      </c>
      <c r="C29" s="310">
        <f>C149</f>
        <v>11.185995252530727</v>
      </c>
      <c r="D29" s="310" t="str">
        <f>D149</f>
        <v/>
      </c>
      <c r="E29" s="306" t="s">
        <v>456</v>
      </c>
      <c r="F29" s="362">
        <f>Thesis!F29</f>
        <v>0.35</v>
      </c>
    </row>
    <row r="30" spans="2:6">
      <c r="B30" s="1" t="s">
        <v>451</v>
      </c>
      <c r="C30" s="311">
        <f>C157</f>
        <v>14.002029351358065</v>
      </c>
      <c r="D30" s="311" t="str">
        <f>D157</f>
        <v/>
      </c>
      <c r="E30" s="307" t="s">
        <v>455</v>
      </c>
      <c r="F30" s="224">
        <f>Thesis!F30</f>
        <v>0.25</v>
      </c>
    </row>
    <row r="31" spans="2:6">
      <c r="B31" s="1" t="s">
        <v>452</v>
      </c>
      <c r="C31" s="311">
        <f>C165</f>
        <v>21.787405948450889</v>
      </c>
      <c r="D31" s="311" t="str">
        <f>D165</f>
        <v/>
      </c>
      <c r="E31" s="307" t="s">
        <v>492</v>
      </c>
      <c r="F31" s="224">
        <f>Thesis!F31</f>
        <v>7.4999999999999997E-2</v>
      </c>
    </row>
    <row r="32" spans="2:6">
      <c r="B32" s="1" t="s">
        <v>453</v>
      </c>
      <c r="C32" s="311">
        <f>C173</f>
        <v>19.447042873693722</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v>
      </c>
    </row>
    <row r="40" spans="1:6">
      <c r="B40" s="370" t="s">
        <v>495</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179409.3</v>
      </c>
      <c r="D48" s="1" t="str">
        <f>Reporting_currency</f>
        <v>CNY</v>
      </c>
    </row>
    <row r="50" spans="2:6">
      <c r="B50" s="370" t="s">
        <v>498</v>
      </c>
      <c r="C50" s="370"/>
      <c r="D50" s="370"/>
      <c r="E50" s="370"/>
      <c r="F50" s="370"/>
    </row>
    <row r="51" spans="2:6">
      <c r="B51" s="47" t="s">
        <v>331</v>
      </c>
      <c r="C51" s="350">
        <f>Normalized_FCF!C48</f>
        <v>95948.494485648931</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-158472.50551435107</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-806587.85459694581</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2532239.768485649</v>
      </c>
      <c r="D67" s="1" t="str">
        <f>Reporting_currency</f>
        <v>CNY</v>
      </c>
    </row>
    <row r="68" spans="1:6">
      <c r="B68" s="47" t="s">
        <v>244</v>
      </c>
      <c r="C68" s="349">
        <f>Normalized_FCF!C19</f>
        <v>2419763.5637908373</v>
      </c>
      <c r="D68" s="1" t="str">
        <f>Reporting_currency</f>
        <v>CNY</v>
      </c>
    </row>
    <row r="69" spans="1:6">
      <c r="B69" s="227" t="s">
        <v>371</v>
      </c>
      <c r="C69" s="92">
        <f>Normalized_FCF!C126</f>
        <v>6.2376902927873096E-2</v>
      </c>
      <c r="F69" s="314"/>
    </row>
    <row r="70" spans="1:6">
      <c r="B70" s="227" t="s">
        <v>435</v>
      </c>
      <c r="C70" s="92">
        <f>Normalized_FCF!C94</f>
        <v>2.9584777059375657E-2</v>
      </c>
      <c r="E70" s="47" t="s">
        <v>504</v>
      </c>
      <c r="F70" s="315">
        <f>Normalized_FCF!C92</f>
        <v>0.57376163298126837</v>
      </c>
    </row>
    <row r="72" spans="1:6">
      <c r="B72" s="210" t="s">
        <v>514</v>
      </c>
      <c r="C72" s="323" t="s">
        <v>430</v>
      </c>
      <c r="D72" s="323" t="s">
        <v>505</v>
      </c>
    </row>
    <row r="73" spans="1:6">
      <c r="B73" s="47" t="s">
        <v>429</v>
      </c>
      <c r="C73" s="92">
        <f>Normalized_FCF!C121</f>
        <v>0.12359752747543779</v>
      </c>
      <c r="D73" s="92">
        <f>Normalized_FCF!G121</f>
        <v>0.1390198438422113</v>
      </c>
    </row>
    <row r="74" spans="1:6">
      <c r="B74" s="259" t="str">
        <f>Normalized_FCF!B118</f>
        <v>Pre-tax Profit/Sales</v>
      </c>
      <c r="C74" s="322">
        <f>Normalized_FCF!C118</f>
        <v>0.12331992913690223</v>
      </c>
      <c r="D74" s="322">
        <f>Normalized_FCF!G118</f>
        <v>0.12655098155900632</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13.589847917885953</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1936137</v>
      </c>
      <c r="D102" s="1" t="str">
        <f>Reporting_currency</f>
        <v>CNY</v>
      </c>
    </row>
    <row r="103" spans="2:6">
      <c r="B103" s="47" t="s">
        <v>276</v>
      </c>
      <c r="C103" s="223">
        <f>C102*scaling_factor*Exchange_Rate/Common_Shares</f>
        <v>0.81552825362526804</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515</v>
      </c>
    </row>
    <row r="108" spans="2:6">
      <c r="B108" s="47" t="s">
        <v>260</v>
      </c>
      <c r="C108" s="349">
        <f>BS!C66</f>
        <v>18164188</v>
      </c>
      <c r="D108" s="1" t="str">
        <f>Reporting_currency</f>
        <v>CNY</v>
      </c>
    </row>
    <row r="109" spans="2:6">
      <c r="B109" s="47" t="s">
        <v>262</v>
      </c>
      <c r="C109" s="349">
        <f>DCF!C8</f>
        <v>14106620.938352155</v>
      </c>
      <c r="D109" s="1" t="str">
        <f>Reporting_currency</f>
        <v>CNY</v>
      </c>
    </row>
    <row r="110" spans="2:6">
      <c r="B110" s="47" t="s">
        <v>277</v>
      </c>
      <c r="C110" s="223">
        <f>C109*scaling_factor*Exchange_Rate/Common_Shares</f>
        <v>5.9419080046546151</v>
      </c>
      <c r="D110" s="1" t="str">
        <f>Market_currency</f>
        <v>HKD</v>
      </c>
    </row>
    <row r="112" spans="2:6">
      <c r="B112" s="1" t="s">
        <v>516</v>
      </c>
    </row>
    <row r="113" spans="1:6">
      <c r="B113" s="47" t="s">
        <v>253</v>
      </c>
      <c r="C113" s="349">
        <f>DCF!C9</f>
        <v>561572.19999999995</v>
      </c>
      <c r="D113" s="1" t="str">
        <f>Reporting_currency</f>
        <v>CNY</v>
      </c>
    </row>
    <row r="114" spans="1:6">
      <c r="B114" s="47" t="s">
        <v>278</v>
      </c>
      <c r="C114" s="223">
        <f>C113*scaling_factor*Exchange_Rate/Common_Shares</f>
        <v>0.23654214322152808</v>
      </c>
      <c r="D114" s="1" t="str">
        <f>Market_currency</f>
        <v>HKD</v>
      </c>
    </row>
    <row r="116" spans="1:6">
      <c r="B116" s="374" t="s">
        <v>517</v>
      </c>
      <c r="C116" s="374"/>
      <c r="D116" s="374"/>
      <c r="E116" s="374"/>
      <c r="F116" s="374"/>
    </row>
    <row r="118" spans="1:6">
      <c r="B118" s="47" t="s">
        <v>518</v>
      </c>
      <c r="C118" s="223">
        <f>IF(valuation_method="DCF",DCF!C12,DDM!C7)</f>
        <v>18.952769812136829</v>
      </c>
      <c r="D118" s="1" t="str">
        <f>Market_currency</f>
        <v>HKD</v>
      </c>
    </row>
    <row r="119" spans="1:6">
      <c r="B119" s="296" t="s">
        <v>551</v>
      </c>
      <c r="C119" s="223">
        <f>BS!D47</f>
        <v>4.5899741393740427</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51.61 HKD</v>
      </c>
      <c r="F126" s="232">
        <f>DCF!F74</f>
        <v>0.05</v>
      </c>
    </row>
    <row r="127" spans="1:6">
      <c r="B127" s="218" t="str">
        <f>DCF!B75</f>
        <v>Optimistic</v>
      </c>
      <c r="C127" s="219">
        <f>DCF!C75</f>
        <v>0.06</v>
      </c>
      <c r="D127" s="220">
        <f>DCF!D75</f>
        <v>20</v>
      </c>
      <c r="E127" s="231" t="str">
        <f>ROUND(IF(valuation_method="DCF",DCF!E75,DDM!E70),2)&amp;" "&amp;Market_currency</f>
        <v>26.4 HKD</v>
      </c>
      <c r="F127" s="221">
        <f>DCF!F75</f>
        <v>0.22499999999999992</v>
      </c>
    </row>
    <row r="128" spans="1:6">
      <c r="B128" s="218" t="str">
        <f>DCF!B76</f>
        <v>Base</v>
      </c>
      <c r="C128" s="219">
        <f>DCF!C76</f>
        <v>0.05</v>
      </c>
      <c r="D128" s="220">
        <f>DCF!D76</f>
        <v>20</v>
      </c>
      <c r="E128" s="231" t="str">
        <f>ROUND(IF(valuation_method="DCF",DCF!E76,DDM!E71),2)&amp;" "&amp;Market_currency</f>
        <v>24.79 HKD</v>
      </c>
      <c r="F128" s="221">
        <f>DCF!F76</f>
        <v>0.495</v>
      </c>
    </row>
    <row r="129" spans="1:6">
      <c r="B129" s="218" t="str">
        <f>DCF!B77</f>
        <v>Pessimistic</v>
      </c>
      <c r="C129" s="219">
        <f>DCF!C77</f>
        <v>0.02</v>
      </c>
      <c r="D129" s="220">
        <f>DCF!D77</f>
        <v>20</v>
      </c>
      <c r="E129" s="231" t="str">
        <f>ROUND(IF(valuation_method="DCF",DCF!E77,DDM!E72),2)&amp;" "&amp;Market_currency</f>
        <v>20.92 HKD</v>
      </c>
      <c r="F129" s="221">
        <f>DCF!F77</f>
        <v>0.18</v>
      </c>
    </row>
    <row r="130" spans="1:6">
      <c r="B130" s="218" t="str">
        <f>DCF!B78</f>
        <v>Devil's advocate</v>
      </c>
      <c r="C130" s="219">
        <f>DCF!C78</f>
        <v>0</v>
      </c>
      <c r="D130" s="220">
        <f>DCF!D78</f>
        <v>30</v>
      </c>
      <c r="E130" s="231" t="str">
        <f>ROUND(IF(valuation_method="DCF",DCF!E78,DDM!E73),2)&amp;" "&amp;Market_currency</f>
        <v>18.95 HKD</v>
      </c>
      <c r="F130" s="221">
        <f>DCF!F78</f>
        <v>0.05</v>
      </c>
    </row>
    <row r="132" spans="1:6">
      <c r="B132" s="211" t="s">
        <v>254</v>
      </c>
      <c r="C132" s="217">
        <f>Scenarios!C60</f>
        <v>25.50469290898609</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0.48341525715019823</v>
      </c>
      <c r="D143" s="212" t="str">
        <f>Market_currency</f>
        <v>HKD</v>
      </c>
    </row>
    <row r="145" spans="2:4">
      <c r="B145" s="210" t="s">
        <v>532</v>
      </c>
      <c r="C145" s="241" t="str">
        <f>C11</f>
        <v>2331.HK</v>
      </c>
      <c r="D145" s="241" t="str">
        <f>IF(D11="","",D11)</f>
        <v/>
      </c>
    </row>
    <row r="146" spans="2:4">
      <c r="B146" s="1" t="s">
        <v>387</v>
      </c>
      <c r="C146" s="297">
        <f>F29</f>
        <v>0.35</v>
      </c>
    </row>
    <row r="147" spans="2:4">
      <c r="B147" s="212" t="str">
        <f>"PV("&amp;C141&amp;" yrs of Dividends)"</f>
        <v>PV(3 yrs of Dividends)</v>
      </c>
      <c r="C147" s="216">
        <f>Scenarios!C81</f>
        <v>0.81981411795323977</v>
      </c>
    </row>
    <row r="148" spans="2:4">
      <c r="B148" s="212" t="str">
        <f>"+ PV(Equity Value realized at year "&amp;C141&amp;")"</f>
        <v>+ PV(Equity Value realized at year 3)</v>
      </c>
      <c r="C148" s="216">
        <f>Scenarios!C82</f>
        <v>10.366181134577488</v>
      </c>
    </row>
    <row r="149" spans="2:4">
      <c r="B149" s="80" t="s">
        <v>256</v>
      </c>
      <c r="C149" s="215">
        <f>Scenarios!C83</f>
        <v>11.185995252530727</v>
      </c>
      <c r="D149" s="300" t="str">
        <f>IF($D$11="","",C149*$E$25)</f>
        <v/>
      </c>
    </row>
    <row r="150" spans="2:4">
      <c r="B150" s="259" t="s">
        <v>533</v>
      </c>
      <c r="C150" s="298" t="str">
        <f>Market_currency</f>
        <v>HKD</v>
      </c>
      <c r="D150" s="298" t="str">
        <f>IF($D$11="","",D$13)</f>
        <v/>
      </c>
    </row>
    <row r="151" spans="2:4">
      <c r="B151" s="214" t="s">
        <v>534</v>
      </c>
      <c r="C151" s="92">
        <f>Scenarios!F83</f>
        <v>0.56141423492342635</v>
      </c>
    </row>
    <row r="153" spans="2:4">
      <c r="B153" s="210" t="s">
        <v>391</v>
      </c>
    </row>
    <row r="154" spans="2:4">
      <c r="B154" s="1" t="s">
        <v>390</v>
      </c>
      <c r="C154" s="297">
        <f>Scenarios!C90</f>
        <v>0.25</v>
      </c>
    </row>
    <row r="155" spans="2:4">
      <c r="B155" s="212" t="str">
        <f>"PV("&amp;C141&amp;" yrs of Dividends)"</f>
        <v>PV(3 yrs of Dividends)</v>
      </c>
      <c r="C155" s="216">
        <f>Scenarios!C91</f>
        <v>0.94362658195718696</v>
      </c>
    </row>
    <row r="156" spans="2:4">
      <c r="B156" s="212" t="str">
        <f>"+ PV(Equity Value realized at year "&amp;C141&amp;")"</f>
        <v>+ PV(Equity Value realized at year 3)</v>
      </c>
      <c r="C156" s="216">
        <f>Scenarios!C92</f>
        <v>13.058402769400878</v>
      </c>
    </row>
    <row r="157" spans="2:4">
      <c r="B157" s="80" t="s">
        <v>256</v>
      </c>
      <c r="C157" s="215">
        <f>Scenarios!C93</f>
        <v>14.002029351358065</v>
      </c>
      <c r="D157" s="300" t="str">
        <f>IF($D$11="","",C157*$E$25)</f>
        <v/>
      </c>
    </row>
    <row r="158" spans="2:4">
      <c r="B158" s="259" t="s">
        <v>533</v>
      </c>
      <c r="C158" s="298" t="str">
        <f>Market_currency</f>
        <v>HKD</v>
      </c>
      <c r="D158" s="298" t="str">
        <f>IF($D$11="","",D$13)</f>
        <v/>
      </c>
    </row>
    <row r="159" spans="2:4">
      <c r="B159" s="214" t="s">
        <v>534</v>
      </c>
      <c r="C159" s="92">
        <f>Scenarios!F93</f>
        <v>0.45100184498105766</v>
      </c>
    </row>
    <row r="161" spans="2:4">
      <c r="B161" s="210" t="s">
        <v>381</v>
      </c>
    </row>
    <row r="162" spans="2:4">
      <c r="B162" s="1" t="s">
        <v>389</v>
      </c>
      <c r="C162" s="92">
        <f>Scenarios!C96</f>
        <v>7.4999999999999997E-2</v>
      </c>
    </row>
    <row r="163" spans="2:4">
      <c r="B163" s="212" t="str">
        <f>"PV("&amp;C141&amp;" yrs of Dividends)"</f>
        <v>PV(3 yrs of Dividends)</v>
      </c>
      <c r="C163" s="216">
        <f>Scenarios!C97</f>
        <v>1.2571338192659129</v>
      </c>
    </row>
    <row r="164" spans="2:4">
      <c r="B164" s="212" t="str">
        <f>"+ PV(Equity Value realized at year "&amp;C141&amp;")"</f>
        <v>+ PV(Equity Value realized at year 3)</v>
      </c>
      <c r="C164" s="216">
        <f>Scenarios!C98</f>
        <v>20.530272129184976</v>
      </c>
    </row>
    <row r="165" spans="2:4">
      <c r="B165" s="80" t="s">
        <v>382</v>
      </c>
      <c r="C165" s="215">
        <f>Scenarios!C99</f>
        <v>21.787405948450889</v>
      </c>
      <c r="D165" s="300" t="str">
        <f>IF($D$11="","",C165*$E$25)</f>
        <v/>
      </c>
    </row>
    <row r="166" spans="2:4">
      <c r="B166" s="259" t="s">
        <v>533</v>
      </c>
      <c r="C166" s="298" t="str">
        <f>Market_currency</f>
        <v>HKD</v>
      </c>
      <c r="D166" s="298" t="str">
        <f>IF($D$11="","",D$13)</f>
        <v/>
      </c>
    </row>
    <row r="167" spans="2:4">
      <c r="B167" s="214" t="s">
        <v>534</v>
      </c>
      <c r="C167" s="92">
        <f>Scenarios!F99</f>
        <v>0.14574913620016516</v>
      </c>
    </row>
    <row r="169" spans="2:4">
      <c r="B169" s="210" t="s">
        <v>409</v>
      </c>
    </row>
    <row r="170" spans="2:4">
      <c r="B170" s="1" t="s">
        <v>400</v>
      </c>
      <c r="C170" s="92">
        <f>F32</f>
        <v>0.1174</v>
      </c>
    </row>
    <row r="171" spans="2:4">
      <c r="B171" s="212" t="str">
        <f>"PV("&amp;C141&amp;" yrs of Dividends)"</f>
        <v>PV(3 yrs of Dividends)</v>
      </c>
      <c r="C171" s="216">
        <f>Scenarios!C103</f>
        <v>1.1662891605270043</v>
      </c>
    </row>
    <row r="172" spans="2:4">
      <c r="B172" s="212" t="str">
        <f>"+ PV(Equity Value realized at year "&amp;C141&amp;")"</f>
        <v>+ PV(Equity Value realized at year 3)</v>
      </c>
      <c r="C172" s="216">
        <f>Scenarios!C104</f>
        <v>18.280753713166717</v>
      </c>
    </row>
    <row r="173" spans="2:4">
      <c r="B173" s="80" t="s">
        <v>382</v>
      </c>
      <c r="C173" s="215">
        <f>Scenarios!C105</f>
        <v>19.447042873693722</v>
      </c>
      <c r="D173" s="300" t="str">
        <f>IF($D$11="","",C173*$E$25)</f>
        <v/>
      </c>
    </row>
    <row r="174" spans="2:4">
      <c r="B174" s="259" t="s">
        <v>533</v>
      </c>
      <c r="C174" s="298" t="str">
        <f>Market_currency</f>
        <v>HKD</v>
      </c>
      <c r="D174" s="298" t="str">
        <f>IF($D$11="","",D$13)</f>
        <v/>
      </c>
    </row>
    <row r="175" spans="2:4">
      <c r="B175" s="214" t="s">
        <v>534</v>
      </c>
      <c r="C175" s="92">
        <f>Scenarios!F105</f>
        <v>0.23594678128460589</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45778</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2584797906</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16.34</v>
      </c>
      <c r="D12" s="50"/>
      <c r="E12" s="48"/>
    </row>
    <row r="13" spans="1:10">
      <c r="B13" s="1" t="s">
        <v>465</v>
      </c>
      <c r="C13" s="48" t="s">
        <v>377</v>
      </c>
      <c r="D13" s="48"/>
      <c r="E13" s="5"/>
    </row>
    <row r="14" spans="1:10">
      <c r="B14" s="4" t="s">
        <v>466</v>
      </c>
      <c r="C14" s="35">
        <f>Thesis!C12*Common_Shares/1000000</f>
        <v>42235.597784040001</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1.0887533899999999</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25.50469290898609</v>
      </c>
      <c r="D26" s="1" t="s">
        <v>380</v>
      </c>
      <c r="E26" s="301">
        <f ca="1">Scenarios!C87</f>
        <v>0.18574218142995003</v>
      </c>
    </row>
    <row r="27" spans="2:6">
      <c r="D27" s="5"/>
      <c r="E27" s="5"/>
    </row>
    <row r="28" spans="2:6">
      <c r="B28" s="45" t="s">
        <v>410</v>
      </c>
      <c r="C28" s="309" t="str">
        <f>C145&amp;" ("&amp;Market_currency&amp;")"</f>
        <v>2331.HK (HKD)</v>
      </c>
      <c r="D28" s="309" t="str">
        <f>IF(D11="","",D145&amp;" ("&amp;D13&amp;")")</f>
        <v/>
      </c>
      <c r="E28" s="305" t="s">
        <v>406</v>
      </c>
      <c r="F28" s="303">
        <v>3</v>
      </c>
    </row>
    <row r="29" spans="2:6">
      <c r="B29" s="1" t="s">
        <v>402</v>
      </c>
      <c r="C29" s="310">
        <f>C149</f>
        <v>11.185995252530727</v>
      </c>
      <c r="D29" s="310" t="str">
        <f>D149</f>
        <v/>
      </c>
      <c r="E29" s="306" t="s">
        <v>401</v>
      </c>
      <c r="F29" s="302">
        <v>0.35</v>
      </c>
    </row>
    <row r="30" spans="2:6">
      <c r="B30" s="1" t="s">
        <v>403</v>
      </c>
      <c r="C30" s="311">
        <f>C157</f>
        <v>14.002029351358065</v>
      </c>
      <c r="D30" s="311" t="str">
        <f>D157</f>
        <v/>
      </c>
      <c r="E30" s="307" t="s">
        <v>414</v>
      </c>
      <c r="F30" s="312">
        <v>0.25</v>
      </c>
    </row>
    <row r="31" spans="2:6">
      <c r="B31" s="1" t="s">
        <v>404</v>
      </c>
      <c r="C31" s="311">
        <f>C165</f>
        <v>21.787405948450889</v>
      </c>
      <c r="D31" s="311" t="str">
        <f>D165</f>
        <v/>
      </c>
      <c r="E31" s="307" t="s">
        <v>413</v>
      </c>
      <c r="F31" s="312">
        <v>7.4999999999999997E-2</v>
      </c>
    </row>
    <row r="32" spans="2:6">
      <c r="B32" s="1" t="s">
        <v>405</v>
      </c>
      <c r="C32" s="311">
        <f>C173</f>
        <v>19.447042873693722</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179409.3</v>
      </c>
      <c r="D48" s="1" t="str">
        <f>Reporting_currency</f>
        <v>CNY</v>
      </c>
    </row>
    <row r="50" spans="2:6">
      <c r="B50" s="370" t="s">
        <v>236</v>
      </c>
      <c r="C50" s="370"/>
      <c r="D50" s="370"/>
      <c r="E50" s="370"/>
      <c r="F50" s="370"/>
    </row>
    <row r="51" spans="2:6">
      <c r="B51" s="47" t="s">
        <v>331</v>
      </c>
      <c r="C51" s="350">
        <f>Normalized_FCF!C48</f>
        <v>95948.494485648931</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-158472.50551435107</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-806587.85459694581</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2532239.768485649</v>
      </c>
      <c r="D67" s="1" t="str">
        <f>Reporting_currency</f>
        <v>CNY</v>
      </c>
    </row>
    <row r="68" spans="1:6">
      <c r="B68" s="47" t="s">
        <v>244</v>
      </c>
      <c r="C68" s="349">
        <f>Normalized_FCF!C19</f>
        <v>2419763.5637908373</v>
      </c>
      <c r="D68" s="1" t="str">
        <f>Reporting_currency</f>
        <v>CNY</v>
      </c>
    </row>
    <row r="69" spans="1:6">
      <c r="B69" s="227" t="s">
        <v>371</v>
      </c>
      <c r="C69" s="92">
        <f>Normalized_FCF!C126</f>
        <v>6.2376902927873096E-2</v>
      </c>
      <c r="F69" s="314"/>
    </row>
    <row r="70" spans="1:6">
      <c r="B70" s="227" t="s">
        <v>435</v>
      </c>
      <c r="C70" s="92">
        <f>Normalized_FCF!C94</f>
        <v>2.9584777059375657E-2</v>
      </c>
      <c r="E70" s="47" t="s">
        <v>425</v>
      </c>
      <c r="F70" s="315">
        <f>Normalized_FCF!C92</f>
        <v>0.57376163298126837</v>
      </c>
    </row>
    <row r="72" spans="1:6">
      <c r="B72" s="210" t="s">
        <v>428</v>
      </c>
      <c r="C72" s="323" t="s">
        <v>430</v>
      </c>
      <c r="D72" s="323" t="s">
        <v>431</v>
      </c>
    </row>
    <row r="73" spans="1:6">
      <c r="B73" s="47" t="s">
        <v>429</v>
      </c>
      <c r="C73" s="92">
        <f>Normalized_FCF!C121</f>
        <v>0.12359752747543779</v>
      </c>
      <c r="D73" s="92">
        <f>Normalized_FCF!G121</f>
        <v>0.1390198438422113</v>
      </c>
    </row>
    <row r="74" spans="1:6">
      <c r="B74" s="259" t="str">
        <f>Normalized_FCF!B118</f>
        <v>Pre-tax Profit/Sales</v>
      </c>
      <c r="C74" s="322">
        <f>Normalized_FCF!C118</f>
        <v>0.12331992913690223</v>
      </c>
      <c r="D74" s="322">
        <f>Normalized_FCF!G118</f>
        <v>0.12655098155900632</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13.589847917885953</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1936137</v>
      </c>
      <c r="D102" s="1" t="str">
        <f>Reporting_currency</f>
        <v>CNY</v>
      </c>
    </row>
    <row r="103" spans="2:6">
      <c r="B103" s="47" t="s">
        <v>276</v>
      </c>
      <c r="C103" s="223">
        <f>C102*scaling_factor*Exchange_Rate/Common_Shares</f>
        <v>0.81552825362526804</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250</v>
      </c>
    </row>
    <row r="108" spans="2:6">
      <c r="B108" s="47" t="s">
        <v>260</v>
      </c>
      <c r="C108" s="349">
        <f>BS!C66</f>
        <v>18164188</v>
      </c>
      <c r="D108" s="1" t="str">
        <f>Reporting_currency</f>
        <v>CNY</v>
      </c>
    </row>
    <row r="109" spans="2:6">
      <c r="B109" s="47" t="s">
        <v>262</v>
      </c>
      <c r="C109" s="349">
        <f>DCF!C8</f>
        <v>14106620.938352155</v>
      </c>
      <c r="D109" s="1" t="str">
        <f>Reporting_currency</f>
        <v>CNY</v>
      </c>
    </row>
    <row r="110" spans="2:6">
      <c r="B110" s="47" t="s">
        <v>277</v>
      </c>
      <c r="C110" s="223">
        <f>C109*scaling_factor*Exchange_Rate/Common_Shares</f>
        <v>5.9419080046546151</v>
      </c>
      <c r="D110" s="1" t="str">
        <f>Market_currency</f>
        <v>HKD</v>
      </c>
    </row>
    <row r="112" spans="2:6">
      <c r="B112" s="1" t="s">
        <v>252</v>
      </c>
    </row>
    <row r="113" spans="1:6">
      <c r="B113" s="47" t="s">
        <v>253</v>
      </c>
      <c r="C113" s="349">
        <f>DCF!C9</f>
        <v>561572.19999999995</v>
      </c>
      <c r="D113" s="1" t="str">
        <f>Reporting_currency</f>
        <v>CNY</v>
      </c>
    </row>
    <row r="114" spans="1:6">
      <c r="B114" s="47" t="s">
        <v>278</v>
      </c>
      <c r="C114" s="223">
        <f>C113*scaling_factor*Exchange_Rate/Common_Shares</f>
        <v>0.23654214322152808</v>
      </c>
      <c r="D114" s="1" t="str">
        <f>Market_currency</f>
        <v>HKD</v>
      </c>
    </row>
    <row r="116" spans="1:6" ht="24.6" customHeight="1">
      <c r="B116" s="374" t="s">
        <v>352</v>
      </c>
      <c r="C116" s="374"/>
      <c r="D116" s="374"/>
      <c r="E116" s="374"/>
      <c r="F116" s="374"/>
    </row>
    <row r="118" spans="1:6">
      <c r="B118" s="47" t="s">
        <v>426</v>
      </c>
      <c r="C118" s="223">
        <f>IF(valuation_method="DCF",DCF!C12,DDM!C7)</f>
        <v>18.952769812136829</v>
      </c>
      <c r="D118" s="1" t="str">
        <f>Market_currency</f>
        <v>HKD</v>
      </c>
    </row>
    <row r="119" spans="1:6">
      <c r="B119" s="296" t="s">
        <v>550</v>
      </c>
      <c r="C119" s="223">
        <f>BS!D47</f>
        <v>4.5899741393740427</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51.61 HKD</v>
      </c>
      <c r="F126" s="232">
        <f>DCF!F74</f>
        <v>0.05</v>
      </c>
    </row>
    <row r="127" spans="1:6">
      <c r="B127" s="218" t="str">
        <f>DCF!B75</f>
        <v>Optimistic</v>
      </c>
      <c r="C127" s="219">
        <f>DCF!C75</f>
        <v>0.06</v>
      </c>
      <c r="D127" s="220">
        <f>DCF!D75</f>
        <v>20</v>
      </c>
      <c r="E127" s="231" t="str">
        <f>ROUND(IF(valuation_method="DCF",DCF!E75,DDM!E70),2)&amp;" "&amp;Market_currency</f>
        <v>26.4 HKD</v>
      </c>
      <c r="F127" s="221">
        <f>DCF!F75</f>
        <v>0.22499999999999992</v>
      </c>
    </row>
    <row r="128" spans="1:6">
      <c r="B128" s="218" t="str">
        <f>DCF!B76</f>
        <v>Base</v>
      </c>
      <c r="C128" s="219">
        <f>DCF!C76</f>
        <v>0.05</v>
      </c>
      <c r="D128" s="220">
        <f>DCF!D76</f>
        <v>20</v>
      </c>
      <c r="E128" s="231" t="str">
        <f>ROUND(IF(valuation_method="DCF",DCF!E76,DDM!E71),2)&amp;" "&amp;Market_currency</f>
        <v>24.79 HKD</v>
      </c>
      <c r="F128" s="221">
        <f>DCF!F76</f>
        <v>0.495</v>
      </c>
    </row>
    <row r="129" spans="1:6">
      <c r="B129" s="218" t="str">
        <f>DCF!B77</f>
        <v>Pessimistic</v>
      </c>
      <c r="C129" s="219">
        <f>DCF!C77</f>
        <v>0.02</v>
      </c>
      <c r="D129" s="220">
        <f>DCF!D77</f>
        <v>20</v>
      </c>
      <c r="E129" s="231" t="str">
        <f>ROUND(IF(valuation_method="DCF",DCF!E77,DDM!E72),2)&amp;" "&amp;Market_currency</f>
        <v>20.92 HKD</v>
      </c>
      <c r="F129" s="221">
        <f>DCF!F77</f>
        <v>0.18</v>
      </c>
    </row>
    <row r="130" spans="1:6">
      <c r="B130" s="218" t="str">
        <f>DCF!B78</f>
        <v>Devil's advocate</v>
      </c>
      <c r="C130" s="219">
        <f>DCF!C78</f>
        <v>0</v>
      </c>
      <c r="D130" s="220">
        <f>DCF!D78</f>
        <v>30</v>
      </c>
      <c r="E130" s="231" t="str">
        <f>ROUND(IF(valuation_method="DCF",DCF!E78,DDM!E73),2)&amp;" "&amp;Market_currency</f>
        <v>18.95 HKD</v>
      </c>
      <c r="F130" s="221">
        <f>DCF!F78</f>
        <v>0.05</v>
      </c>
    </row>
    <row r="132" spans="1:6">
      <c r="B132" s="211" t="s">
        <v>254</v>
      </c>
      <c r="C132" s="217">
        <f>Scenarios!C60</f>
        <v>25.50469290898609</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0.48341525715019823</v>
      </c>
      <c r="D143" s="212" t="str">
        <f>Market_currency</f>
        <v>HKD</v>
      </c>
    </row>
    <row r="145" spans="2:4">
      <c r="B145" s="210" t="s">
        <v>388</v>
      </c>
      <c r="C145" s="241" t="str">
        <f>C11</f>
        <v>2331.HK</v>
      </c>
      <c r="D145" s="241" t="str">
        <f>IF(D11="","",D11)</f>
        <v/>
      </c>
    </row>
    <row r="146" spans="2:4">
      <c r="B146" s="1" t="s">
        <v>387</v>
      </c>
      <c r="C146" s="297">
        <f>F29</f>
        <v>0.35</v>
      </c>
    </row>
    <row r="147" spans="2:4">
      <c r="B147" s="212" t="str">
        <f>"PV("&amp;C141&amp;" yrs of Dividends)"</f>
        <v>PV(3 yrs of Dividends)</v>
      </c>
      <c r="C147" s="216">
        <f>Scenarios!C81</f>
        <v>0.81981411795323977</v>
      </c>
    </row>
    <row r="148" spans="2:4">
      <c r="B148" s="212" t="str">
        <f>"+ PV(Equity Value realized at year "&amp;C141&amp;")"</f>
        <v>+ PV(Equity Value realized at year 3)</v>
      </c>
      <c r="C148" s="216">
        <f>Scenarios!C82</f>
        <v>10.366181134577488</v>
      </c>
    </row>
    <row r="149" spans="2:4">
      <c r="B149" s="80" t="s">
        <v>256</v>
      </c>
      <c r="C149" s="215">
        <f>Scenarios!C83</f>
        <v>11.185995252530727</v>
      </c>
      <c r="D149" s="300" t="str">
        <f>IF($D$11="","",C149*$E$25)</f>
        <v/>
      </c>
    </row>
    <row r="150" spans="2:4">
      <c r="B150" s="259" t="s">
        <v>396</v>
      </c>
      <c r="C150" s="298" t="str">
        <f>Market_currency</f>
        <v>HKD</v>
      </c>
      <c r="D150" s="298" t="str">
        <f>IF($D$11="","",D$13)</f>
        <v/>
      </c>
    </row>
    <row r="151" spans="2:4">
      <c r="B151" s="214" t="s">
        <v>258</v>
      </c>
      <c r="C151" s="92">
        <f>Scenarios!F83</f>
        <v>0.56141423492342635</v>
      </c>
    </row>
    <row r="153" spans="2:4">
      <c r="B153" s="210" t="s">
        <v>391</v>
      </c>
    </row>
    <row r="154" spans="2:4">
      <c r="B154" s="1" t="s">
        <v>390</v>
      </c>
      <c r="C154" s="297">
        <f>Scenarios!C90</f>
        <v>0.25</v>
      </c>
    </row>
    <row r="155" spans="2:4">
      <c r="B155" s="212" t="str">
        <f>"PV("&amp;C141&amp;" yrs of Dividends)"</f>
        <v>PV(3 yrs of Dividends)</v>
      </c>
      <c r="C155" s="216">
        <f>Scenarios!C91</f>
        <v>0.94362658195718696</v>
      </c>
    </row>
    <row r="156" spans="2:4">
      <c r="B156" s="212" t="str">
        <f>"+ PV(Equity Value realized at year "&amp;C141&amp;")"</f>
        <v>+ PV(Equity Value realized at year 3)</v>
      </c>
      <c r="C156" s="216">
        <f>Scenarios!C92</f>
        <v>13.058402769400878</v>
      </c>
    </row>
    <row r="157" spans="2:4">
      <c r="B157" s="80" t="s">
        <v>256</v>
      </c>
      <c r="C157" s="215">
        <f>Scenarios!C93</f>
        <v>14.002029351358065</v>
      </c>
      <c r="D157" s="300" t="str">
        <f>IF($D$11="","",C157*$E$25)</f>
        <v/>
      </c>
    </row>
    <row r="158" spans="2:4">
      <c r="B158" s="259" t="s">
        <v>396</v>
      </c>
      <c r="C158" s="298" t="str">
        <f>Market_currency</f>
        <v>HKD</v>
      </c>
      <c r="D158" s="298" t="str">
        <f>IF($D$11="","",D$13)</f>
        <v/>
      </c>
    </row>
    <row r="159" spans="2:4">
      <c r="B159" s="214" t="s">
        <v>258</v>
      </c>
      <c r="C159" s="92">
        <f>Scenarios!F93</f>
        <v>0.45100184498105766</v>
      </c>
    </row>
    <row r="161" spans="2:4">
      <c r="B161" s="210" t="s">
        <v>381</v>
      </c>
    </row>
    <row r="162" spans="2:4">
      <c r="B162" s="1" t="s">
        <v>389</v>
      </c>
      <c r="C162" s="92">
        <f>Scenarios!C96</f>
        <v>7.4999999999999997E-2</v>
      </c>
    </row>
    <row r="163" spans="2:4">
      <c r="B163" s="212" t="str">
        <f>"PV("&amp;C141&amp;" yrs of Dividends)"</f>
        <v>PV(3 yrs of Dividends)</v>
      </c>
      <c r="C163" s="216">
        <f>Scenarios!C97</f>
        <v>1.2571338192659129</v>
      </c>
    </row>
    <row r="164" spans="2:4">
      <c r="B164" s="212" t="str">
        <f>"+ PV(Equity Value realized at year "&amp;C141&amp;")"</f>
        <v>+ PV(Equity Value realized at year 3)</v>
      </c>
      <c r="C164" s="216">
        <f>Scenarios!C98</f>
        <v>20.530272129184976</v>
      </c>
    </row>
    <row r="165" spans="2:4">
      <c r="B165" s="80" t="s">
        <v>382</v>
      </c>
      <c r="C165" s="215">
        <f>Scenarios!C99</f>
        <v>21.787405948450889</v>
      </c>
      <c r="D165" s="300" t="str">
        <f>IF($D$11="","",C165*$E$25)</f>
        <v/>
      </c>
    </row>
    <row r="166" spans="2:4">
      <c r="B166" s="259" t="s">
        <v>396</v>
      </c>
      <c r="C166" s="298" t="str">
        <f>Market_currency</f>
        <v>HKD</v>
      </c>
      <c r="D166" s="298" t="str">
        <f>IF($D$11="","",D$13)</f>
        <v/>
      </c>
    </row>
    <row r="167" spans="2:4">
      <c r="B167" s="214" t="s">
        <v>258</v>
      </c>
      <c r="C167" s="92">
        <f>Scenarios!F99</f>
        <v>0.14574913620016516</v>
      </c>
    </row>
    <row r="169" spans="2:4">
      <c r="B169" s="210" t="s">
        <v>409</v>
      </c>
    </row>
    <row r="170" spans="2:4">
      <c r="B170" s="1" t="s">
        <v>400</v>
      </c>
      <c r="C170" s="92">
        <f>F32</f>
        <v>0.1174</v>
      </c>
    </row>
    <row r="171" spans="2:4">
      <c r="B171" s="212" t="str">
        <f>"PV("&amp;C141&amp;" yrs of Dividends)"</f>
        <v>PV(3 yrs of Dividends)</v>
      </c>
      <c r="C171" s="216">
        <f>Scenarios!C103</f>
        <v>1.1662891605270043</v>
      </c>
    </row>
    <row r="172" spans="2:4">
      <c r="B172" s="212" t="str">
        <f>"+ PV(Equity Value realized at year "&amp;C141&amp;")"</f>
        <v>+ PV(Equity Value realized at year 3)</v>
      </c>
      <c r="C172" s="216">
        <f>Scenarios!C104</f>
        <v>18.280753713166717</v>
      </c>
    </row>
    <row r="173" spans="2:4">
      <c r="B173" s="80" t="s">
        <v>382</v>
      </c>
      <c r="C173" s="215">
        <f>Scenarios!C105</f>
        <v>19.447042873693722</v>
      </c>
      <c r="D173" s="300" t="str">
        <f>IF($D$11="","",C173*$E$25)</f>
        <v/>
      </c>
    </row>
    <row r="174" spans="2:4">
      <c r="B174" s="259" t="s">
        <v>396</v>
      </c>
      <c r="C174" s="298" t="str">
        <f>Market_currency</f>
        <v>HKD</v>
      </c>
      <c r="D174" s="298" t="str">
        <f>IF($D$11="","",D$13)</f>
        <v/>
      </c>
    </row>
    <row r="175" spans="2:4">
      <c r="B175" s="214" t="s">
        <v>258</v>
      </c>
      <c r="C175" s="92">
        <f>Scenarios!F105</f>
        <v>0.23594678128460589</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47</v>
      </c>
      <c r="C8" s="351"/>
      <c r="D8" s="351"/>
      <c r="E8" s="351"/>
      <c r="F8" s="351"/>
      <c r="G8" s="351"/>
      <c r="H8" s="351"/>
      <c r="I8" s="351"/>
      <c r="J8" s="351"/>
      <c r="K8" s="351"/>
      <c r="L8" s="351"/>
      <c r="M8" s="351"/>
    </row>
    <row r="9" spans="2:13">
      <c r="B9" s="40" t="s">
        <v>155</v>
      </c>
      <c r="C9" s="351">
        <v>256299</v>
      </c>
      <c r="D9" s="351">
        <v>377972</v>
      </c>
      <c r="E9" s="351">
        <v>201155</v>
      </c>
      <c r="F9" s="351">
        <v>159222</v>
      </c>
      <c r="G9" s="351">
        <v>83487</v>
      </c>
      <c r="H9" s="351">
        <v>343469</v>
      </c>
      <c r="I9" s="351">
        <v>63633</v>
      </c>
      <c r="J9" s="351">
        <v>73806</v>
      </c>
      <c r="K9" s="351">
        <v>9716</v>
      </c>
      <c r="L9" s="351">
        <v>6948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254421</v>
      </c>
      <c r="D12" s="351">
        <v>181446</v>
      </c>
      <c r="E12" s="351">
        <v>120561</v>
      </c>
      <c r="F12" s="351">
        <v>112458</v>
      </c>
      <c r="G12" s="351"/>
      <c r="H12" s="351"/>
      <c r="I12" s="351"/>
      <c r="J12" s="351"/>
      <c r="K12" s="351"/>
      <c r="L12" s="351"/>
      <c r="M12" s="351"/>
    </row>
    <row r="13" spans="2:13">
      <c r="B13" s="40" t="s">
        <v>65</v>
      </c>
      <c r="C13" s="351">
        <v>429525</v>
      </c>
      <c r="D13" s="351">
        <v>500556</v>
      </c>
      <c r="E13" s="351">
        <v>447748</v>
      </c>
      <c r="F13" s="351">
        <v>145097</v>
      </c>
      <c r="G13" s="351"/>
      <c r="H13" s="351"/>
      <c r="I13" s="351"/>
      <c r="J13" s="351"/>
      <c r="K13" s="351"/>
      <c r="L13" s="351"/>
      <c r="M13" s="351"/>
    </row>
    <row r="14" spans="2:13">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42</v>
      </c>
      <c r="C16" s="351">
        <v>0</v>
      </c>
      <c r="D16" s="351">
        <v>52</v>
      </c>
      <c r="E16" s="351">
        <v>-63</v>
      </c>
      <c r="F16" s="351">
        <v>7</v>
      </c>
      <c r="G16" s="351">
        <v>0</v>
      </c>
      <c r="H16" s="351">
        <v>4</v>
      </c>
      <c r="I16" s="351">
        <v>0</v>
      </c>
      <c r="J16" s="351">
        <v>0</v>
      </c>
      <c r="K16" s="351">
        <v>57615</v>
      </c>
      <c r="L16" s="351">
        <v>47296</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c r="B23" s="27" t="s">
        <v>356</v>
      </c>
      <c r="C23" s="351"/>
      <c r="D23" s="351">
        <v>-2449105</v>
      </c>
      <c r="E23" s="351">
        <v>-9481433</v>
      </c>
      <c r="F23" s="351">
        <v>-6538700</v>
      </c>
      <c r="G23" s="351">
        <v>-991555</v>
      </c>
      <c r="H23" s="351">
        <v>-573343</v>
      </c>
      <c r="I23" s="351">
        <v>-482937</v>
      </c>
      <c r="J23" s="351">
        <v>-342516</v>
      </c>
      <c r="K23" s="351">
        <v>-320306</v>
      </c>
      <c r="L23" s="351">
        <v>-362745</v>
      </c>
      <c r="M23" s="351"/>
    </row>
    <row r="24" spans="2:13">
      <c r="B24" s="27" t="s">
        <v>355</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0.53712806350022024</v>
      </c>
      <c r="D25" s="39"/>
      <c r="E25" s="39"/>
      <c r="F25" s="39"/>
      <c r="G25" s="39"/>
      <c r="H25" s="39"/>
      <c r="I25" s="39"/>
      <c r="J25" s="39"/>
      <c r="K25" s="39"/>
      <c r="L25" s="39"/>
      <c r="M25" s="39"/>
    </row>
    <row r="27" spans="2:13">
      <c r="B27" s="16" t="s">
        <v>26</v>
      </c>
      <c r="C27" s="97" t="s">
        <v>559</v>
      </c>
    </row>
    <row r="28" spans="2:13">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168</v>
      </c>
      <c r="C32" s="333">
        <f>BS!G28</f>
        <v>0</v>
      </c>
      <c r="D32" s="351">
        <v>0</v>
      </c>
      <c r="E32" s="351">
        <v>2498</v>
      </c>
      <c r="F32" s="351">
        <v>2561</v>
      </c>
      <c r="G32" s="351">
        <v>2554</v>
      </c>
      <c r="H32" s="351">
        <v>2554</v>
      </c>
      <c r="I32" s="351">
        <v>2550</v>
      </c>
      <c r="J32" s="351">
        <v>2550</v>
      </c>
      <c r="K32" s="351">
        <v>2550</v>
      </c>
      <c r="L32" s="351">
        <v>230637</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66</v>
      </c>
    </row>
    <row r="51" spans="2:13">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34</v>
      </c>
      <c r="C65" s="73">
        <f>IF(C$4="","",C25)</f>
        <v>0.53712806350022024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1004591+245432</f>
        <v>1250023</v>
      </c>
      <c r="D4" s="261">
        <v>0.6</v>
      </c>
      <c r="E4" s="25"/>
      <c r="F4" s="4" t="s">
        <v>75</v>
      </c>
      <c r="G4" s="19">
        <f>8264361+7498596</f>
        <v>15762957</v>
      </c>
      <c r="H4" s="261">
        <v>0.9</v>
      </c>
    </row>
    <row r="5" spans="2:8" ht="15" customHeight="1">
      <c r="B5" s="1" t="s">
        <v>31</v>
      </c>
      <c r="C5" s="19">
        <v>0</v>
      </c>
      <c r="D5" s="261">
        <v>0.6</v>
      </c>
      <c r="E5" s="25"/>
      <c r="F5" s="1" t="s">
        <v>27</v>
      </c>
      <c r="G5" s="19">
        <v>23261</v>
      </c>
      <c r="H5" s="261">
        <v>0.7</v>
      </c>
    </row>
    <row r="6" spans="2:8" ht="15" customHeight="1">
      <c r="B6" s="4" t="s">
        <v>8</v>
      </c>
      <c r="C6" s="19">
        <v>2598226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893775</v>
      </c>
      <c r="D11" s="261">
        <v>0.05</v>
      </c>
      <c r="H11" s="262"/>
    </row>
    <row r="12" spans="2:8" ht="15" customHeight="1">
      <c r="B12" s="80" t="s">
        <v>70</v>
      </c>
      <c r="C12" s="81">
        <f>SUM(C4:C11)</f>
        <v>4742024</v>
      </c>
      <c r="D12" s="20">
        <f>C4*D4+C5*D5+C9*D9+C6*D6+C8*D8+C7*D7+C10*D10+C11*D11</f>
        <v>2093815.5499999998</v>
      </c>
      <c r="F12" s="80" t="s">
        <v>68</v>
      </c>
      <c r="G12" s="81">
        <f>SUM(G4:G9)</f>
        <v>15786218</v>
      </c>
      <c r="H12" s="20">
        <f>G4*H4+G5*H5+G6*H6+G7*H7+G8*H8+G9*H9</f>
        <v>14202944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166519</v>
      </c>
      <c r="D15" s="261">
        <v>0.4</v>
      </c>
      <c r="F15" s="4" t="s">
        <v>76</v>
      </c>
      <c r="G15" s="19">
        <v>2377970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450316</v>
      </c>
      <c r="H17" s="261">
        <v>0.6</v>
      </c>
    </row>
    <row r="18" spans="2:8" ht="15" customHeight="1">
      <c r="B18" s="4" t="s">
        <v>169</v>
      </c>
      <c r="C18" s="19">
        <v>0</v>
      </c>
      <c r="D18" s="261">
        <v>0.6</v>
      </c>
      <c r="F18" s="4" t="s">
        <v>177</v>
      </c>
      <c r="G18" s="19">
        <v>1743938</v>
      </c>
      <c r="H18" s="261">
        <v>0.1</v>
      </c>
    </row>
    <row r="19" spans="2:8" ht="15" customHeight="1">
      <c r="B19" s="4" t="s">
        <v>24</v>
      </c>
      <c r="C19" s="19">
        <f>4610454+1576667+150864</f>
        <v>6337985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234736</v>
      </c>
      <c r="D21" s="261">
        <v>0.05</v>
      </c>
      <c r="F21" s="1" t="s">
        <v>176</v>
      </c>
      <c r="G21" s="19">
        <v>2913826</v>
      </c>
      <c r="H21" s="261">
        <v>0.1</v>
      </c>
    </row>
    <row r="22" spans="2:8" ht="15" customHeight="1">
      <c r="B22" s="4" t="s">
        <v>18</v>
      </c>
      <c r="C22" s="19">
        <v>949424</v>
      </c>
      <c r="D22" s="261">
        <v>0.9</v>
      </c>
      <c r="H22" s="262"/>
    </row>
    <row r="23" spans="2:8" ht="15" customHeight="1">
      <c r="B23" s="4" t="s">
        <v>19</v>
      </c>
      <c r="C23" s="19">
        <v>5450</v>
      </c>
      <c r="D23" s="261">
        <v>0</v>
      </c>
      <c r="H23" s="262"/>
    </row>
    <row r="24" spans="2:8" ht="15" customHeight="1">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c r="B26" s="16" t="s">
        <v>196</v>
      </c>
      <c r="C26" s="182" t="s">
        <v>132</v>
      </c>
      <c r="F26" s="184" t="s">
        <v>192</v>
      </c>
      <c r="G26" s="185" t="s">
        <v>132</v>
      </c>
      <c r="H26" s="186" t="s">
        <v>33</v>
      </c>
    </row>
    <row r="27" spans="2:8" ht="15" customHeight="1">
      <c r="B27" s="4" t="s">
        <v>3</v>
      </c>
      <c r="C27" s="19">
        <v>0</v>
      </c>
      <c r="F27" s="187" t="s">
        <v>28</v>
      </c>
      <c r="G27" s="85">
        <f>G32-G30</f>
        <v>26103689</v>
      </c>
      <c r="H27" s="188">
        <f>H32-G30</f>
        <v>10897009.050000001</v>
      </c>
    </row>
    <row r="28" spans="2:8" ht="15" customHeight="1">
      <c r="B28" s="4" t="s">
        <v>4</v>
      </c>
      <c r="C28" s="19">
        <v>551610</v>
      </c>
      <c r="F28" s="189" t="s">
        <v>240</v>
      </c>
      <c r="G28" s="12">
        <v>0</v>
      </c>
      <c r="H28" s="188"/>
    </row>
    <row r="29" spans="2:8" ht="15" customHeight="1">
      <c r="B29" s="4" t="s">
        <v>5</v>
      </c>
      <c r="C29" s="19">
        <v>0</v>
      </c>
      <c r="F29" s="190" t="s">
        <v>73</v>
      </c>
      <c r="G29" s="14">
        <f>G27-G28</f>
        <v>26103689</v>
      </c>
      <c r="H29" s="188">
        <f>H27-G28</f>
        <v>10897009.050000001</v>
      </c>
    </row>
    <row r="30" spans="2:8" ht="15" customHeight="1">
      <c r="B30" s="2" t="s">
        <v>6</v>
      </c>
      <c r="C30" s="19">
        <v>0</v>
      </c>
      <c r="F30" s="187" t="s">
        <v>21</v>
      </c>
      <c r="G30" s="85">
        <f>C33+C42</f>
        <v>9604717</v>
      </c>
      <c r="H30" s="188"/>
    </row>
    <row r="31" spans="2:8" ht="15" customHeight="1">
      <c r="B31" s="80" t="s">
        <v>199</v>
      </c>
      <c r="C31" s="81">
        <f>SUM(C27:C30)</f>
        <v>551610</v>
      </c>
      <c r="F31" s="190" t="s">
        <v>74</v>
      </c>
      <c r="G31" s="191">
        <f>C31+C40</f>
        <v>1936137</v>
      </c>
      <c r="H31" s="188"/>
    </row>
    <row r="32" spans="2:8" ht="15" customHeight="1">
      <c r="B32" s="4" t="s">
        <v>7</v>
      </c>
      <c r="C32" s="21">
        <f>C33-C31</f>
        <v>7034336</v>
      </c>
      <c r="F32" s="192" t="s">
        <v>72</v>
      </c>
      <c r="G32" s="193">
        <f>G35+G40</f>
        <v>35708406</v>
      </c>
      <c r="H32" s="188">
        <f>H35+H40</f>
        <v>20501726.050000001</v>
      </c>
    </row>
    <row r="33" spans="2:8" ht="15" customHeight="1">
      <c r="B33" s="83" t="s">
        <v>2</v>
      </c>
      <c r="C33" s="84">
        <v>7585946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12436138</v>
      </c>
      <c r="H35" s="200">
        <f>D12+D24</f>
        <v>3660440.05</v>
      </c>
    </row>
    <row r="36" spans="2:8" ht="15" customHeight="1">
      <c r="B36" s="4" t="s">
        <v>11</v>
      </c>
      <c r="C36" s="19">
        <v>0</v>
      </c>
      <c r="F36" s="190" t="s">
        <v>193</v>
      </c>
      <c r="G36" s="191">
        <f>C4+C15</f>
        <v>1416542</v>
      </c>
      <c r="H36" s="195"/>
    </row>
    <row r="37" spans="2:8" ht="15" customHeight="1">
      <c r="B37" s="4" t="s">
        <v>12</v>
      </c>
      <c r="C37" s="19">
        <v>1384527</v>
      </c>
      <c r="F37" s="190" t="s">
        <v>194</v>
      </c>
      <c r="G37" s="191">
        <f>C6</f>
        <v>2598226</v>
      </c>
      <c r="H37" s="195"/>
    </row>
    <row r="38" spans="2:8" ht="15" customHeight="1">
      <c r="B38" s="4" t="s">
        <v>13</v>
      </c>
      <c r="C38" s="19">
        <v>0</v>
      </c>
      <c r="F38" s="190" t="s">
        <v>195</v>
      </c>
      <c r="G38" s="191">
        <f>C7+C17</f>
        <v>0</v>
      </c>
      <c r="H38" s="195"/>
    </row>
    <row r="39" spans="2:8" ht="15" customHeight="1">
      <c r="B39" s="2" t="s">
        <v>14</v>
      </c>
      <c r="C39" s="19">
        <v>0</v>
      </c>
      <c r="F39" s="190" t="s">
        <v>77</v>
      </c>
      <c r="G39" s="191">
        <f>C7+C17+C19+C20</f>
        <v>6337985</v>
      </c>
      <c r="H39" s="188">
        <f>C7*D7+C17*D17+C19*D19+C20*D20</f>
        <v>633798.5</v>
      </c>
    </row>
    <row r="40" spans="2:8" ht="15" customHeight="1">
      <c r="B40" s="80" t="s">
        <v>200</v>
      </c>
      <c r="C40" s="81">
        <f>SUM(C36:C39)</f>
        <v>1384527</v>
      </c>
      <c r="F40" s="199" t="s">
        <v>134</v>
      </c>
      <c r="G40" s="193">
        <f>G12+G24</f>
        <v>23272268</v>
      </c>
      <c r="H40" s="200">
        <f>H12+H24</f>
        <v>16841286</v>
      </c>
    </row>
    <row r="41" spans="2:8" ht="15" customHeight="1">
      <c r="B41" s="4" t="s">
        <v>15</v>
      </c>
      <c r="C41" s="21">
        <f>C42-C40</f>
        <v>634244</v>
      </c>
      <c r="F41" s="190" t="s">
        <v>187</v>
      </c>
      <c r="G41" s="191">
        <f>C70</f>
        <v>19908126</v>
      </c>
      <c r="H41" s="200">
        <f>H40-H42</f>
        <v>16279713.800000001</v>
      </c>
    </row>
    <row r="42" spans="2:8" ht="15" customHeight="1">
      <c r="B42" s="83" t="s">
        <v>20</v>
      </c>
      <c r="C42" s="84">
        <v>2018771</v>
      </c>
      <c r="F42" s="201" t="s">
        <v>188</v>
      </c>
      <c r="G42" s="202">
        <f>C82</f>
        <v>3364142</v>
      </c>
      <c r="H42" s="203">
        <f>D82</f>
        <v>561572.19999999995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26103689</v>
      </c>
      <c r="D46" s="76">
        <f>H29</f>
        <v>10897009.050000001</v>
      </c>
      <c r="F46" s="253"/>
    </row>
    <row r="47" spans="2:8" ht="15" customHeight="1">
      <c r="B47" s="1" t="str">
        <f>"Equity per share ("&amp;Market_currency&amp;")"</f>
        <v>Equity per share (HKD)</v>
      </c>
      <c r="C47" s="147">
        <f>C46*H1/Common_Shares*Exchange_Rate</f>
        <v>10.995242538801293</v>
      </c>
      <c r="D47" s="147">
        <f>D46*H1/Common_Shares*Exchange_Rate</f>
        <v>4.5899741393740427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0.60402076709908736</v>
      </c>
      <c r="D50" s="95">
        <f>G31/Normalized_FCF!G8</f>
        <v>0.54859123183168057</v>
      </c>
      <c r="F50" s="253"/>
    </row>
    <row r="51" spans="2:8" ht="15" customHeight="1">
      <c r="B51" s="1" t="s">
        <v>172</v>
      </c>
      <c r="C51" s="181"/>
      <c r="D51" s="92">
        <f>G29/G32</f>
        <v>0.73102364188421065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0.25775000437452</v>
      </c>
      <c r="D54" s="92">
        <f>Normalized_FCF!G8/G35</f>
        <v>0.28379300712166428</v>
      </c>
      <c r="F54" s="253"/>
    </row>
    <row r="55" spans="2:8" ht="15" customHeight="1">
      <c r="B55" s="1" t="s">
        <v>137</v>
      </c>
      <c r="C55" s="92">
        <f>Normalized_FCF!C11/G40</f>
        <v>7.709145494543118E-3</v>
      </c>
      <c r="D55" s="92">
        <f>Normalized_FCF!G11/G40</f>
        <v>1.1013064992204455E-2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0.17749280099481338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18164188</v>
      </c>
      <c r="D66" s="76">
        <f>C66-D75</f>
        <v>14106620.938352155</v>
      </c>
      <c r="F66" s="5" t="s">
        <v>222</v>
      </c>
    </row>
    <row r="67" spans="2:6" ht="15" customHeight="1">
      <c r="B67" s="105" t="s">
        <v>173</v>
      </c>
      <c r="C67" s="20">
        <f>G6+G16</f>
        <v>0</v>
      </c>
      <c r="F67" s="253"/>
    </row>
    <row r="68" spans="2:6" ht="15" customHeight="1">
      <c r="B68" s="105" t="s">
        <v>177</v>
      </c>
      <c r="C68" s="20">
        <f>G18</f>
        <v>1743938</v>
      </c>
      <c r="F68" s="253"/>
    </row>
    <row r="69" spans="2:6" ht="15" customHeight="1">
      <c r="B69" s="105" t="s">
        <v>175</v>
      </c>
      <c r="C69" s="20">
        <f>G8+G20</f>
        <v>0</v>
      </c>
      <c r="F69" s="253"/>
    </row>
    <row r="70" spans="2:6" ht="15" customHeight="1">
      <c r="B70" s="80" t="s">
        <v>184</v>
      </c>
      <c r="C70" s="81">
        <f>SUM(C66:C69)</f>
        <v>19908126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-2211226.7911491003</v>
      </c>
      <c r="D73" s="349">
        <f>(Normalized_FCF!C25+Normalized_FCF!C35-Normalized_FCF!C91)/12</f>
        <v>-2028783.5308239225</v>
      </c>
      <c r="F73" s="1" t="s">
        <v>342</v>
      </c>
    </row>
    <row r="74" spans="2:6" ht="15" customHeight="1">
      <c r="B74" s="257" t="s">
        <v>312</v>
      </c>
      <c r="C74" s="258">
        <f>-$C$66/C73</f>
        <v>8.2145296324673609</v>
      </c>
      <c r="D74" s="258">
        <f>-$C$66/D73</f>
        <v>8.9532410550588519</v>
      </c>
      <c r="F74" s="253" t="s">
        <v>310</v>
      </c>
    </row>
    <row r="75" spans="2:6" ht="15" customHeight="1">
      <c r="B75" s="80" t="s">
        <v>311</v>
      </c>
      <c r="C75" s="320"/>
      <c r="D75" s="321">
        <f>MAX(-D73*D76,G5)</f>
        <v>4057567.061647845</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450316</v>
      </c>
      <c r="D79" s="76">
        <f>G7*H7+G17*H17</f>
        <v>270189.59999999998</v>
      </c>
      <c r="F79" s="253"/>
    </row>
    <row r="80" spans="2:6" ht="15" customHeight="1">
      <c r="B80" s="105" t="s">
        <v>178</v>
      </c>
      <c r="C80" s="20">
        <f>G19</f>
        <v>0</v>
      </c>
      <c r="D80" s="76">
        <f>G19*H19</f>
        <v>0</v>
      </c>
      <c r="F80" s="253"/>
    </row>
    <row r="81" spans="2:8" ht="15" customHeight="1">
      <c r="B81" s="105" t="s">
        <v>176</v>
      </c>
      <c r="C81" s="20">
        <f>G9+G21</f>
        <v>2913826</v>
      </c>
      <c r="D81" s="76">
        <f>G9*H9+G21*H21</f>
        <v>291382.60000000003</v>
      </c>
      <c r="F81" s="253"/>
    </row>
    <row r="82" spans="2:8" ht="15" customHeight="1">
      <c r="B82" s="80" t="s">
        <v>185</v>
      </c>
      <c r="C82" s="81">
        <f>SUM(C79:C81)</f>
        <v>3364142</v>
      </c>
      <c r="D82" s="81">
        <f>SUM(D79:D81)</f>
        <v>561572.19999999995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-2107975.7222544299</v>
      </c>
      <c r="D86" s="223">
        <f>C86*scaling_factor/Common_Shares</f>
        <v>-0.81552825362526815</v>
      </c>
      <c r="E86" s="240" t="str">
        <f>Market_currency</f>
        <v>HKD</v>
      </c>
    </row>
    <row r="87" spans="2:8" ht="15" customHeight="1">
      <c r="B87" s="238" t="s">
        <v>282</v>
      </c>
      <c r="C87" s="76">
        <f>DCF!C8*Exchange_Rate</f>
        <v>15358631.368075889</v>
      </c>
      <c r="D87" s="223">
        <f>C87*scaling_factor/Common_Shares</f>
        <v>5.9419080046546151</v>
      </c>
      <c r="E87" s="240" t="str">
        <f>Market_currency</f>
        <v>HKD</v>
      </c>
    </row>
    <row r="88" spans="2:8" ht="15" customHeight="1">
      <c r="B88" s="239" t="s">
        <v>185</v>
      </c>
      <c r="C88" s="76">
        <f>DCF!C9*Exchange_Rate</f>
        <v>611413.63647975796</v>
      </c>
      <c r="D88" s="223">
        <f>C88*scaling_factor/Common_Shares</f>
        <v>0.23654214322152808</v>
      </c>
      <c r="E88" s="240" t="str">
        <f>Market_currency</f>
        <v>HKD</v>
      </c>
    </row>
    <row r="89" spans="2:8" ht="15" customHeight="1">
      <c r="B89" s="80" t="s">
        <v>286</v>
      </c>
      <c r="C89" s="180">
        <f>SUM(C86:C88)</f>
        <v>13862069.282301217</v>
      </c>
      <c r="D89" s="242">
        <f>SUM(D86:D88)</f>
        <v>5.3629218942508752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66</v>
      </c>
      <c r="C12" s="328">
        <f>C50</f>
        <v>-158472.50551435107</v>
      </c>
      <c r="E12" s="268"/>
      <c r="G12" s="328">
        <f>G50</f>
        <v>-158472.50551435107</v>
      </c>
      <c r="H12" s="328">
        <f t="shared" ref="H12:Q12" si="6">H50</f>
        <v>-69630.402291465012</v>
      </c>
      <c r="I12" s="328">
        <f t="shared" si="6"/>
        <v>-20541.800863837168</v>
      </c>
      <c r="J12" s="328">
        <f t="shared" si="6"/>
        <v>-80045.826775195383</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3226351.4183877832</v>
      </c>
      <c r="E13" s="268"/>
      <c r="G13" s="329">
        <f>IF(G$4="","",SUM(G8:G12))</f>
        <v>3628930.768485649</v>
      </c>
      <c r="H13" s="329">
        <f t="shared" ref="H13:Q13" si="7">IF(H$4="","",SUM(H8:H12))</f>
        <v>3325938.8717085351</v>
      </c>
      <c r="I13" s="329">
        <f t="shared" si="7"/>
        <v>4239715.6241361629</v>
      </c>
      <c r="J13" s="329">
        <f t="shared" si="7"/>
        <v>4800549.9272248046</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61</v>
      </c>
      <c r="C14" s="328">
        <f>-SUM(C8+C11,C12)*C43</f>
        <v>-806587.85459694581</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150</v>
      </c>
      <c r="C16" s="332">
        <f>SUM(C13:C15)</f>
        <v>2419763.5637908373</v>
      </c>
      <c r="D16" s="61"/>
      <c r="E16" s="276"/>
      <c r="F16" s="61"/>
      <c r="G16" s="329">
        <f>IF(G$4="","",SUM(G13:G15))</f>
        <v>2532239.768485649</v>
      </c>
      <c r="H16" s="329">
        <f t="shared" ref="H16:Q16" si="8">IF(H$4="","",SUM(H13:H15))</f>
        <v>2256679.8717085351</v>
      </c>
      <c r="I16" s="329">
        <f t="shared" si="8"/>
        <v>2888386.6241361629</v>
      </c>
      <c r="J16" s="329">
        <f t="shared" si="8"/>
        <v>3483193.9272248046</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2419763.5637908373</v>
      </c>
      <c r="D19" s="27"/>
      <c r="E19" s="265"/>
      <c r="F19" s="27"/>
      <c r="G19" s="334">
        <f>IF(G$4="","",G16+G17)</f>
        <v>2532239.768485649</v>
      </c>
      <c r="H19" s="334">
        <f t="shared" ref="H19:Q19" si="9">IF(H$4="","",H16+H17)</f>
        <v>2256679.8717085351</v>
      </c>
      <c r="I19" s="334">
        <f t="shared" si="9"/>
        <v>2888386.6241361629</v>
      </c>
      <c r="J19" s="334">
        <f t="shared" si="9"/>
        <v>3483193.9272248046</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0.30235899619609952</v>
      </c>
      <c r="H43" s="6">
        <f t="shared" si="18"/>
        <v>0.32165079563739796</v>
      </c>
      <c r="I43" s="6">
        <f t="shared" si="18"/>
        <v>0.31886871316746629</v>
      </c>
      <c r="J43" s="6">
        <f t="shared" si="18"/>
        <v>0.27447503156650105</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95948.494485648931</v>
      </c>
      <c r="E48" s="268"/>
      <c r="G48" s="337">
        <f>IFERROR(IF(G$4="","",($C$48/$C$49)*G49),0)</f>
        <v>95948.494485648931</v>
      </c>
      <c r="H48" s="337">
        <f t="shared" ref="H48:Q48" si="19">IFERROR(IF(H$4="","",($C$48/$C$49)*H49),0)</f>
        <v>111815.59770853499</v>
      </c>
      <c r="I48" s="337">
        <f t="shared" si="19"/>
        <v>100019.19913616283</v>
      </c>
      <c r="J48" s="337">
        <f t="shared" si="19"/>
        <v>32412.173224804617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-158472.50551435107</v>
      </c>
      <c r="E50" s="268"/>
      <c r="G50" s="329">
        <f>IF(G$4="","",(G47+G48))</f>
        <v>-158472.50551435107</v>
      </c>
      <c r="H50" s="329">
        <f t="shared" ref="H50:Q50" si="20">IF(H$4="","",(H47+H48))</f>
        <v>-69630.402291465012</v>
      </c>
      <c r="I50" s="329">
        <f t="shared" si="20"/>
        <v>-20541.800863837168</v>
      </c>
      <c r="J50" s="329">
        <f t="shared" si="20"/>
        <v>-80045.826775195383</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66</v>
      </c>
      <c r="C80" s="77">
        <f>ABS(C12/C$4)</f>
        <v>6.0572503165023236E-3</v>
      </c>
      <c r="D80" s="27"/>
      <c r="E80" s="265"/>
      <c r="F80" s="27"/>
      <c r="G80" s="6">
        <f t="shared" ref="G80:Q80" si="31">IF(G$4="","",ABS(G12/G$4))</f>
        <v>5.5263801936141785E-3</v>
      </c>
      <c r="H80" s="6">
        <f t="shared" si="31"/>
        <v>2.522978603847037E-3</v>
      </c>
      <c r="I80" s="6">
        <f t="shared" si="31"/>
        <v>7.9608944547453989E-4</v>
      </c>
      <c r="J80" s="6">
        <f t="shared" si="31"/>
        <v>3.5462001724679655E-3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0.12331992913690223</v>
      </c>
      <c r="D81" s="27"/>
      <c r="E81" s="265"/>
      <c r="F81" s="27"/>
      <c r="G81" s="65">
        <f t="shared" ref="G81:Q81" si="32">IF(G$4="","",G13/G$4)</f>
        <v>0.12655098155900632</v>
      </c>
      <c r="H81" s="65">
        <f t="shared" si="32"/>
        <v>0.12051162042549846</v>
      </c>
      <c r="I81" s="65">
        <f t="shared" si="32"/>
        <v>0.16430851815578457</v>
      </c>
      <c r="J81" s="65">
        <f t="shared" si="32"/>
        <v>0.21267455988275197</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61</v>
      </c>
      <c r="C82" s="77">
        <f>ABS(C14/C$4)</f>
        <v>3.0829982284225559E-2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150</v>
      </c>
      <c r="C84" s="78">
        <f>ABS(C16/C$4)</f>
        <v>9.2489946852676669E-2</v>
      </c>
      <c r="D84" s="27"/>
      <c r="E84" s="265"/>
      <c r="F84" s="27"/>
      <c r="G84" s="65">
        <f t="shared" ref="G84:Q84" si="35">IF(G$4="","",ABS(G16/G$4))</f>
        <v>8.8306294247199588E-2</v>
      </c>
      <c r="H84" s="65">
        <f t="shared" si="35"/>
        <v>8.1768234057019107E-2</v>
      </c>
      <c r="I84" s="65">
        <f t="shared" si="35"/>
        <v>0.11193829212767036</v>
      </c>
      <c r="J84" s="65">
        <f t="shared" si="35"/>
        <v>0.15431289054149222</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9.2489946852676669E-2</v>
      </c>
      <c r="D87" s="75"/>
      <c r="E87" s="265"/>
      <c r="F87" s="75"/>
      <c r="G87" s="65">
        <f t="shared" ref="G87:Q87" si="36">IF(G$4="","",ABS(G19/G$4))</f>
        <v>8.8306294247199588E-2</v>
      </c>
      <c r="H87" s="65">
        <f t="shared" si="36"/>
        <v>8.1768234057019107E-2</v>
      </c>
      <c r="I87" s="65">
        <f t="shared" si="36"/>
        <v>0.11193829212767036</v>
      </c>
      <c r="J87" s="65">
        <f t="shared" si="36"/>
        <v>0.15431289054149222</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0.53712806350022024</v>
      </c>
      <c r="E90" s="268"/>
      <c r="G90" s="112">
        <f>Data!C65</f>
        <v>0.53712806350022024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1388367.4937892044</v>
      </c>
      <c r="E91" s="268"/>
      <c r="G91" s="74">
        <f t="shared" ref="G91:Q91" si="37">IF(G$4="","",G90*Common_Shares/scaling_factor)</f>
        <v>1388367.4937892044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0.57376163298126837</v>
      </c>
      <c r="E92" s="268"/>
      <c r="G92" s="170">
        <f t="shared" ref="G92:Q92" si="38">IF(G$4="","",G90/(G19*scaling_factor/Common_Shares))</f>
        <v>0.54827647486931586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2.9584777059375657E-2</v>
      </c>
      <c r="E94" s="268"/>
      <c r="G94" s="23">
        <f t="shared" ref="G94:Q94" si="39">IF(G$4="","",(G90*(1-dividend_tax_rate))/Market_Price)</f>
        <v>2.9584777059375657E-2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160</v>
      </c>
      <c r="C98" s="77">
        <f>C13/G13-1</f>
        <v>-0.11093607891171264</v>
      </c>
      <c r="D98" s="27"/>
      <c r="E98" s="265"/>
      <c r="F98" s="27"/>
      <c r="G98" s="6">
        <f t="shared" ref="G98:Q98" si="41">IF(H5="","",G13/H13-1)</f>
        <v>9.1099658912692894E-2</v>
      </c>
      <c r="H98" s="6">
        <f t="shared" si="41"/>
        <v>-0.21552784041118533</v>
      </c>
      <c r="I98" s="6">
        <f t="shared" si="41"/>
        <v>-0.11682709514342238</v>
      </c>
      <c r="J98" s="6">
        <f t="shared" si="41"/>
        <v>1.4633355734144349</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373</v>
      </c>
      <c r="C115" s="169"/>
      <c r="E115" s="268"/>
      <c r="G115" s="295">
        <f>IF(G$4="","",Data!C$22/G19)</f>
        <v>0</v>
      </c>
      <c r="H115" s="295">
        <f>IF(H$4="","",Data!D$22/H19)</f>
        <v>2.0773597791922334</v>
      </c>
      <c r="I115" s="295">
        <f>IF(I$4="","",Data!E$22/I19)</f>
        <v>1.3549446487865699</v>
      </c>
      <c r="J115" s="295">
        <f>IF(J$4="","",Data!F$22/J19)</f>
        <v>1.873376888090462</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0.12331992913690223</v>
      </c>
      <c r="E118" s="268"/>
      <c r="G118" s="23">
        <f t="shared" ref="G118:Q118" si="45">IF(G4="","",IF(valuation_method="DDM",G13/(G4+G12),G81))</f>
        <v>0.12655098155900632</v>
      </c>
      <c r="H118" s="23">
        <f t="shared" si="45"/>
        <v>0.12051162042549846</v>
      </c>
      <c r="I118" s="23">
        <f t="shared" si="45"/>
        <v>0.16430851815578457</v>
      </c>
      <c r="J118" s="23">
        <f t="shared" si="45"/>
        <v>0.21267455988275197</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218</v>
      </c>
      <c r="C121" s="102">
        <f>C13/C106</f>
        <v>0.12359752747543779</v>
      </c>
      <c r="D121" s="103"/>
      <c r="E121" s="271"/>
      <c r="F121" s="103"/>
      <c r="G121" s="102">
        <f t="shared" ref="G121:Q121" si="48">IF(G$4="","",G13/G106)</f>
        <v>0.1390198438422113</v>
      </c>
      <c r="H121" s="102">
        <f t="shared" si="48"/>
        <v>0.13627188074379162</v>
      </c>
      <c r="I121" s="102">
        <f t="shared" si="48"/>
        <v>0.17424495190583184</v>
      </c>
      <c r="J121" s="102">
        <f t="shared" si="48"/>
        <v>0.22746993877659949</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1.0192385938414465</v>
      </c>
      <c r="D125" s="27"/>
      <c r="E125" s="265"/>
      <c r="F125" s="27"/>
      <c r="G125" s="177">
        <f t="shared" ref="G125:Q125" si="49">IF(G$4="","",G16*$C$3/Common_Shares*Exchange_Rate)</f>
        <v>1.0666151600602409</v>
      </c>
      <c r="H125" s="177">
        <f t="shared" si="49"/>
        <v>0.95054543907055944</v>
      </c>
      <c r="I125" s="177">
        <f t="shared" si="49"/>
        <v>1.2166292464718913</v>
      </c>
      <c r="J125" s="177">
        <f t="shared" si="49"/>
        <v>1.467170484582333</v>
      </c>
      <c r="K125" s="177">
        <f t="shared" si="49"/>
        <v>0.58945531757563219</v>
      </c>
      <c r="L125" s="177">
        <f t="shared" si="49"/>
        <v>0.5807864726651597</v>
      </c>
      <c r="M125" s="177">
        <f t="shared" si="49"/>
        <v>0.24979261294391497</v>
      </c>
      <c r="N125" s="177">
        <f t="shared" si="49"/>
        <v>0.1910117604930503</v>
      </c>
      <c r="O125" s="177">
        <f t="shared" si="49"/>
        <v>9.7479057818209175E-2</v>
      </c>
      <c r="P125" s="177">
        <f t="shared" si="49"/>
        <v>5.0684695741431782E-3</v>
      </c>
      <c r="Q125" s="177" t="str">
        <f t="shared" si="49"/>
        <v/>
      </c>
    </row>
    <row r="126" spans="1:17" ht="15.75" customHeight="1">
      <c r="A126" s="10"/>
      <c r="B126" s="27" t="s">
        <v>264</v>
      </c>
      <c r="C126" s="77">
        <f>C19*Exchange_Rate*$C$3/(Market_Price*Common_Shares)</f>
        <v>6.2376902927873096E-2</v>
      </c>
      <c r="D126" s="27"/>
      <c r="E126" s="265"/>
      <c r="F126" s="27"/>
      <c r="G126" s="77">
        <f t="shared" ref="G126" si="50">IF(G$4="","",G125/Market_Price)</f>
        <v>6.5276325585082062E-2</v>
      </c>
      <c r="H126" s="77">
        <f t="shared" ref="H126" si="51">IF(H$4="","",H125/Market_Price)</f>
        <v>5.8172915487794338E-2</v>
      </c>
      <c r="I126" s="77">
        <f t="shared" ref="I126" si="52">IF(I$4="","",I125/Market_Price)</f>
        <v>7.445711422716593E-2</v>
      </c>
      <c r="J126" s="77">
        <f t="shared" ref="J126" si="53">IF(J$4="","",J125/Market_Price)</f>
        <v>8.9790115335516091E-2</v>
      </c>
      <c r="K126" s="77">
        <f t="shared" ref="K126" si="54">IF(K$4="","",K125/Market_Price)</f>
        <v>3.6074376840613966E-2</v>
      </c>
      <c r="L126" s="77">
        <f t="shared" ref="L126" si="55">IF(L$4="","",L125/Market_Price)</f>
        <v>3.5543847776325563E-2</v>
      </c>
      <c r="M126" s="77">
        <f t="shared" ref="M126" si="56">IF(M$4="","",M125/Market_Price)</f>
        <v>1.528718561468268E-2</v>
      </c>
      <c r="N126" s="77">
        <f t="shared" ref="N126" si="57">IF(N$4="","",N125/Market_Price)</f>
        <v>1.1689826223564889E-2</v>
      </c>
      <c r="O126" s="77">
        <f t="shared" ref="O126" si="58">IF(O$4="","",O125/Market_Price)</f>
        <v>5.9656706131094965E-3</v>
      </c>
      <c r="P126" s="77">
        <f t="shared" ref="P126" si="59">IF(P$4="","",P125/Market_Price)</f>
        <v>3.1018785643471104E-4</v>
      </c>
      <c r="Q126" s="77" t="str">
        <f t="shared" ref="Q126" si="60">IF(Q$4="","",Q125/Market_Price)</f>
        <v/>
      </c>
    </row>
    <row r="127" spans="1:17" ht="15.75" customHeight="1">
      <c r="B127" s="2" t="s">
        <v>375</v>
      </c>
      <c r="C127" s="169"/>
      <c r="G127" s="23">
        <f>IF(G$4="","",(Data!C47*$C$3)/(Market_Price*Common_Shares))</f>
        <v>7.1335985710578059E-2</v>
      </c>
      <c r="H127" s="23">
        <f>IF(H$4="","",(Data!D47*$C$3)/(Market_Price*Common_Shares))</f>
        <v>7.5456775024131187E-2</v>
      </c>
      <c r="I127" s="23">
        <f>IF(I$4="","",(Data!E47*$C$3)/(Market_Price*Common_Shares))</f>
        <v>9.6216727434022944E-2</v>
      </c>
      <c r="J127" s="23">
        <f>IF(J$4="","",(Data!F47*$C$3)/(Market_Price*Common_Shares))</f>
        <v>9.4964631979605488E-2</v>
      </c>
      <c r="K127" s="23">
        <f>IF(K$4="","",(Data!G47*$C$3)/(Market_Price*Common_Shares))</f>
        <v>4.0214513091177878E-2</v>
      </c>
      <c r="L127" s="23">
        <f>IF(L$4="","",(Data!H47*$C$3)/(Market_Price*Common_Shares))</f>
        <v>3.5494774044999941E-2</v>
      </c>
      <c r="M127" s="23">
        <f>IF(M$4="","",(Data!I47*$C$3)/(Market_Price*Common_Shares))</f>
        <v>1.6935074617797495E-2</v>
      </c>
      <c r="N127" s="23">
        <f>IF(N$4="","",(Data!J47*$C$3)/(Market_Price*Common_Shares))</f>
        <v>1.2197175535056991E-2</v>
      </c>
      <c r="O127" s="23">
        <f>IF(O$4="","",(Data!K47*$C$3)/(Market_Price*Common_Shares))</f>
        <v>1.6594272054197008E-2</v>
      </c>
      <c r="P127" s="23">
        <f>IF(P$4="","",(Data!L47*$C$3)/(Market_Price*Common_Shares))</f>
        <v>1.4586037189529093E-3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2419763.5637908373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32263514.183877833</v>
      </c>
      <c r="D6" t="str">
        <f>Reporting_currency</f>
        <v>CNY</v>
      </c>
      <c r="E6" s="378" t="s">
        <v>245</v>
      </c>
      <c r="F6" s="378"/>
      <c r="H6" s="120"/>
    </row>
    <row r="7" spans="2:8">
      <c r="B7" s="148" t="s">
        <v>220</v>
      </c>
      <c r="C7" s="338">
        <f>BS!G31</f>
        <v>1936137</v>
      </c>
      <c r="D7" t="str">
        <f>Reporting_currency</f>
        <v>CNY</v>
      </c>
      <c r="E7" s="378"/>
      <c r="F7" s="378"/>
      <c r="H7" s="120"/>
    </row>
    <row r="8" spans="2:8">
      <c r="B8" s="148" t="s">
        <v>221</v>
      </c>
      <c r="C8" s="338">
        <f>BS!D66</f>
        <v>14106620.938352155</v>
      </c>
      <c r="D8" t="str">
        <f>Reporting_currency</f>
        <v>CNY</v>
      </c>
      <c r="E8" s="378"/>
      <c r="F8" s="378"/>
      <c r="H8" s="120"/>
    </row>
    <row r="9" spans="2:8">
      <c r="B9" s="205" t="s">
        <v>186</v>
      </c>
      <c r="C9" s="348">
        <f>BS!H42</f>
        <v>561572.19999999995</v>
      </c>
      <c r="D9" t="str">
        <f>Reporting_currency</f>
        <v>CNY</v>
      </c>
      <c r="E9" s="378"/>
      <c r="F9" s="378"/>
      <c r="H9" s="120"/>
    </row>
    <row r="10" spans="2:8" ht="13.15">
      <c r="B10" s="149" t="s">
        <v>223</v>
      </c>
      <c r="C10" s="347">
        <f>C6-C7+C8+C9</f>
        <v>44995570.322229989</v>
      </c>
      <c r="D10" t="str">
        <f>Reporting_currency</f>
        <v>CNY</v>
      </c>
      <c r="H10" s="120"/>
    </row>
    <row r="11" spans="2:8" ht="13.15" thickBot="1">
      <c r="B11" s="207" t="s">
        <v>162</v>
      </c>
      <c r="C11" s="208">
        <f>Exchange_Rate</f>
        <v>1.0887533899999999</v>
      </c>
      <c r="D11" t="str">
        <f>Thesis!C15</f>
        <v>CNY/HKD</v>
      </c>
      <c r="H11" s="120"/>
    </row>
    <row r="12" spans="2:8" ht="13.5" thickTop="1">
      <c r="B12" s="149" t="s">
        <v>99</v>
      </c>
      <c r="C12" s="111">
        <f>(C10*scaling_factor)/Common_Shares*Exchange_Rate</f>
        <v>18.952769812136829</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5.4247061515052201E-2</v>
      </c>
      <c r="H16" s="120"/>
    </row>
    <row r="17" spans="2:17" ht="13.35" customHeight="1">
      <c r="B17" s="118" t="s">
        <v>130</v>
      </c>
      <c r="C17" s="162">
        <f>Scenarios!C64</f>
        <v>20</v>
      </c>
      <c r="H17" s="120"/>
    </row>
    <row r="18" spans="2:17" ht="13.35" customHeight="1">
      <c r="B18" s="153" t="s">
        <v>103</v>
      </c>
      <c r="C18" s="140">
        <f>(F52-C7+C8+C9)*Exchange_Rate/Common_Shares*scaling_factor</f>
        <v>25.452471630693626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2551028.6266876804</v>
      </c>
      <c r="D21" s="138">
        <f>IF($C$17&lt;B21,0,DCF!$C$16)</f>
        <v>5.4247061515052201E-2</v>
      </c>
      <c r="E21" s="124">
        <f t="shared" ref="E21:E50" si="0">IF($C$17&lt;B21,0,1/(1+Equity_Cost)^B21)</f>
        <v>0.93023255813953487</v>
      </c>
      <c r="F21" s="125">
        <f t="shared" ref="F21:F51" si="1">C21*E21</f>
        <v>2373049.8852908653</v>
      </c>
      <c r="H21" s="120"/>
    </row>
    <row r="22" spans="2:17">
      <c r="B22" s="122">
        <v>2</v>
      </c>
      <c r="C22" s="123">
        <f t="shared" ref="C22:C50" si="2">IF(ROW()-ROW($C$21)&lt;$C$17, $C$21*(1+D22)^(ROW()-ROW($C$21)), 0)</f>
        <v>2689414.4335262659</v>
      </c>
      <c r="D22" s="138">
        <f>IF($C$17&lt;B22,0,DCF!$C$16)</f>
        <v>5.4247061515052201E-2</v>
      </c>
      <c r="E22" s="124">
        <f t="shared" si="0"/>
        <v>0.86533261222282321</v>
      </c>
      <c r="F22" s="125">
        <f t="shared" si="1"/>
        <v>2327238.0171130481</v>
      </c>
      <c r="H22" s="120"/>
    </row>
    <row r="23" spans="2:17">
      <c r="B23" s="122">
        <v>3</v>
      </c>
      <c r="C23" s="123">
        <f t="shared" si="2"/>
        <v>2835307.2637412343</v>
      </c>
      <c r="D23" s="138">
        <f>IF($C$17&lt;B23,0,DCF!$C$16)</f>
        <v>5.4247061515052201E-2</v>
      </c>
      <c r="E23" s="124">
        <f t="shared" si="0"/>
        <v>0.80496056950960304</v>
      </c>
      <c r="F23" s="125">
        <f t="shared" si="1"/>
        <v>2282310.5497558583</v>
      </c>
      <c r="G23" s="338"/>
      <c r="H23" s="339"/>
      <c r="I23" s="338"/>
      <c r="J23" s="338"/>
      <c r="K23" s="338"/>
      <c r="L23" s="338"/>
      <c r="M23" s="338"/>
      <c r="N23" s="338"/>
      <c r="O23" s="338"/>
      <c r="P23" s="338"/>
      <c r="Q23" s="338"/>
    </row>
    <row r="24" spans="2:17">
      <c r="B24" s="122">
        <v>4</v>
      </c>
      <c r="C24" s="123">
        <f t="shared" si="2"/>
        <v>2989114.3512914786</v>
      </c>
      <c r="D24" s="138">
        <f>IF($C$17&lt;B24,0,DCF!$C$16)</f>
        <v>5.4247061515052201E-2</v>
      </c>
      <c r="E24" s="124">
        <f t="shared" si="0"/>
        <v>0.7488005297763749</v>
      </c>
      <c r="F24" s="125">
        <f t="shared" si="1"/>
        <v>2238250.4098092243</v>
      </c>
      <c r="G24" s="338"/>
      <c r="H24" s="339"/>
      <c r="I24" s="338"/>
      <c r="J24" s="338"/>
      <c r="K24" s="338"/>
      <c r="L24" s="338"/>
      <c r="M24" s="338"/>
      <c r="N24" s="338"/>
      <c r="O24" s="338"/>
      <c r="P24" s="338"/>
      <c r="Q24" s="338"/>
    </row>
    <row r="25" spans="2:17">
      <c r="B25" s="122">
        <v>5</v>
      </c>
      <c r="C25" s="123">
        <f t="shared" si="2"/>
        <v>3151265.0213815127</v>
      </c>
      <c r="D25" s="138">
        <f>IF($C$17&lt;B25,0,DCF!$C$16)</f>
        <v>5.4247061515052201E-2</v>
      </c>
      <c r="E25" s="124">
        <f t="shared" si="0"/>
        <v>0.69655863235011617</v>
      </c>
      <c r="F25" s="125">
        <f t="shared" si="1"/>
        <v>2195040.8534662663</v>
      </c>
      <c r="G25" s="338"/>
      <c r="H25" s="339"/>
      <c r="I25" s="338"/>
      <c r="J25" s="338"/>
      <c r="K25" s="338"/>
      <c r="L25" s="338"/>
      <c r="M25" s="338"/>
      <c r="N25" s="338"/>
      <c r="O25" s="338"/>
      <c r="P25" s="338"/>
      <c r="Q25" s="338"/>
    </row>
    <row r="26" spans="2:17">
      <c r="B26" s="122">
        <v>6</v>
      </c>
      <c r="C26" s="123">
        <f t="shared" si="2"/>
        <v>3322211.8888466274</v>
      </c>
      <c r="D26" s="138">
        <f>IF($C$17&lt;B26,0,DCF!$C$16)</f>
        <v>5.4247061515052201E-2</v>
      </c>
      <c r="E26" s="124">
        <f t="shared" si="0"/>
        <v>0.64796151846522443</v>
      </c>
      <c r="F26" s="125">
        <f t="shared" si="1"/>
        <v>2152665.460160282</v>
      </c>
      <c r="H26" s="120"/>
    </row>
    <row r="27" spans="2:17">
      <c r="B27" s="122">
        <v>7</v>
      </c>
      <c r="C27" s="123">
        <f t="shared" si="2"/>
        <v>3502432.1215469283</v>
      </c>
      <c r="D27" s="138">
        <f>IF($C$17&lt;B27,0,DCF!$C$16)</f>
        <v>5.4247061515052201E-2</v>
      </c>
      <c r="E27" s="124">
        <f t="shared" si="0"/>
        <v>0.60275490089788319</v>
      </c>
      <c r="F27" s="125">
        <f t="shared" si="1"/>
        <v>2111108.1263245814</v>
      </c>
      <c r="H27" s="120"/>
    </row>
    <row r="28" spans="2:17">
      <c r="B28" s="122">
        <v>8</v>
      </c>
      <c r="C28" s="123">
        <f t="shared" si="2"/>
        <v>3692428.7722967784</v>
      </c>
      <c r="D28" s="138">
        <f>IF($C$17&lt;B28,0,DCF!$C$16)</f>
        <v>5.4247061515052201E-2</v>
      </c>
      <c r="E28" s="124">
        <f t="shared" si="0"/>
        <v>0.56070223339337966</v>
      </c>
      <c r="F28" s="125">
        <f t="shared" si="1"/>
        <v>2070353.0592727785</v>
      </c>
      <c r="H28" s="120"/>
    </row>
    <row r="29" spans="2:17">
      <c r="B29" s="122">
        <v>9</v>
      </c>
      <c r="C29" s="123">
        <f t="shared" si="2"/>
        <v>3892732.1830475102</v>
      </c>
      <c r="D29" s="138">
        <f>IF($C$17&lt;B29,0,DCF!$C$16)</f>
        <v>5.4247061515052201E-2</v>
      </c>
      <c r="E29" s="124">
        <f t="shared" si="0"/>
        <v>0.52158347292407414</v>
      </c>
      <c r="F29" s="125">
        <f t="shared" si="1"/>
        <v>2030384.7711972331</v>
      </c>
      <c r="H29" s="120"/>
    </row>
    <row r="30" spans="2:17">
      <c r="B30" s="122">
        <v>10</v>
      </c>
      <c r="C30" s="123">
        <f t="shared" si="2"/>
        <v>4103901.4652429111</v>
      </c>
      <c r="D30" s="138">
        <f>IF($C$17&lt;B30,0,DCF!$C$16)</f>
        <v>5.4247061515052201E-2</v>
      </c>
      <c r="E30" s="124">
        <f t="shared" si="0"/>
        <v>0.48519392830146441</v>
      </c>
      <c r="F30" s="125">
        <f t="shared" si="1"/>
        <v>1991188.0732833438</v>
      </c>
      <c r="H30" s="120"/>
    </row>
    <row r="31" spans="2:17">
      <c r="B31" s="122">
        <v>11</v>
      </c>
      <c r="C31" s="123">
        <f t="shared" si="2"/>
        <v>4326526.0604796559</v>
      </c>
      <c r="D31" s="138">
        <f>IF($C$17&lt;B31,0,DCF!$C$16)</f>
        <v>5.4247061515052201E-2</v>
      </c>
      <c r="E31" s="124">
        <f t="shared" si="0"/>
        <v>0.45134318911764126</v>
      </c>
      <c r="F31" s="125">
        <f t="shared" si="1"/>
        <v>1952748.0699374727</v>
      </c>
      <c r="H31" s="120"/>
    </row>
    <row r="32" spans="2:17">
      <c r="B32" s="122">
        <v>12</v>
      </c>
      <c r="C32" s="123">
        <f t="shared" si="2"/>
        <v>4561227.3858289709</v>
      </c>
      <c r="D32" s="138">
        <f>IF($C$17&lt;B32,0,DCF!$C$16)</f>
        <v>5.4247061515052201E-2</v>
      </c>
      <c r="E32" s="124">
        <f t="shared" si="0"/>
        <v>0.41985412941175931</v>
      </c>
      <c r="F32" s="125">
        <f t="shared" si="1"/>
        <v>1915050.1531262973</v>
      </c>
      <c r="H32" s="120"/>
    </row>
    <row r="33" spans="2:17">
      <c r="B33" s="122">
        <v>13</v>
      </c>
      <c r="C33" s="341">
        <f t="shared" si="2"/>
        <v>4808660.5684121763</v>
      </c>
      <c r="D33" s="138">
        <f>IF($C$17&lt;B33,0,DCF!$C$16)</f>
        <v>5.4247061515052201E-2</v>
      </c>
      <c r="E33" s="124">
        <f t="shared" si="0"/>
        <v>0.39056198084814819</v>
      </c>
      <c r="F33" s="125">
        <f t="shared" si="1"/>
        <v>1878079.9968254417</v>
      </c>
      <c r="G33" s="338"/>
      <c r="H33" s="339"/>
      <c r="I33" s="338"/>
      <c r="J33" s="338"/>
      <c r="K33" s="338"/>
      <c r="L33" s="338"/>
      <c r="M33" s="338"/>
      <c r="N33" s="338"/>
      <c r="O33" s="338"/>
      <c r="P33" s="338"/>
      <c r="Q33" s="338"/>
    </row>
    <row r="34" spans="2:17">
      <c r="B34" s="122">
        <v>14</v>
      </c>
      <c r="C34" s="341">
        <f t="shared" si="2"/>
        <v>5069516.2740718368</v>
      </c>
      <c r="D34" s="138">
        <f>IF($C$17&lt;B34,0,DCF!$C$16)</f>
        <v>5.4247061515052201E-2</v>
      </c>
      <c r="E34" s="124">
        <f t="shared" si="0"/>
        <v>0.36331347055641694</v>
      </c>
      <c r="F34" s="125">
        <f t="shared" si="1"/>
        <v>1841823.5515752749</v>
      </c>
      <c r="G34" s="338"/>
      <c r="H34" s="339"/>
      <c r="I34" s="338"/>
      <c r="J34" s="338"/>
      <c r="K34" s="338"/>
      <c r="L34" s="338"/>
      <c r="M34" s="338"/>
      <c r="N34" s="338"/>
      <c r="O34" s="338"/>
      <c r="P34" s="338"/>
      <c r="Q34" s="338"/>
    </row>
    <row r="35" spans="2:17">
      <c r="B35" s="122">
        <v>15</v>
      </c>
      <c r="C35" s="341">
        <f t="shared" si="2"/>
        <v>5344522.6352429707</v>
      </c>
      <c r="D35" s="138">
        <f>IF($C$17&lt;B35,0,DCF!$C$16)</f>
        <v>5.4247061515052201E-2</v>
      </c>
      <c r="E35" s="124">
        <f t="shared" si="0"/>
        <v>0.33796601912224833</v>
      </c>
      <c r="F35" s="125">
        <f t="shared" si="1"/>
        <v>1806267.0391418149</v>
      </c>
      <c r="G35" s="338"/>
      <c r="H35" s="339"/>
      <c r="I35" s="338"/>
      <c r="J35" s="338"/>
      <c r="K35" s="338"/>
      <c r="L35" s="338"/>
      <c r="M35" s="338"/>
      <c r="N35" s="338"/>
      <c r="O35" s="338"/>
      <c r="P35" s="338"/>
      <c r="Q35" s="338"/>
    </row>
    <row r="36" spans="2:17">
      <c r="B36" s="122">
        <v>16</v>
      </c>
      <c r="C36" s="123">
        <f t="shared" si="2"/>
        <v>5634447.2834055834</v>
      </c>
      <c r="D36" s="138">
        <f>IF($C$17&lt;B36,0,DCF!$C$16)</f>
        <v>5.4247061515052201E-2</v>
      </c>
      <c r="E36" s="124">
        <f t="shared" si="0"/>
        <v>0.31438699453232405</v>
      </c>
      <c r="F36" s="125">
        <f t="shared" si="1"/>
        <v>1771396.9472806992</v>
      </c>
      <c r="H36" s="120"/>
    </row>
    <row r="37" spans="2:17">
      <c r="B37" s="122">
        <v>17</v>
      </c>
      <c r="C37" s="123">
        <f t="shared" si="2"/>
        <v>5940099.4917918034</v>
      </c>
      <c r="D37" s="138">
        <f>IF($C$17&lt;B37,0,DCF!$C$16)</f>
        <v>5.4247061515052201E-2</v>
      </c>
      <c r="E37" s="124">
        <f t="shared" si="0"/>
        <v>0.29245301816960378</v>
      </c>
      <c r="F37" s="125">
        <f t="shared" si="1"/>
        <v>1737200.0246022425</v>
      </c>
      <c r="H37" s="120"/>
    </row>
    <row r="38" spans="2:17">
      <c r="B38" s="122">
        <v>18</v>
      </c>
      <c r="C38" s="123">
        <f t="shared" si="2"/>
        <v>6262332.4343285626</v>
      </c>
      <c r="D38" s="138">
        <f>IF($C$17&lt;B38,0,DCF!$C$16)</f>
        <v>5.4247061515052201E-2</v>
      </c>
      <c r="E38" s="124">
        <f t="shared" si="0"/>
        <v>0.27204931922753844</v>
      </c>
      <c r="F38" s="125">
        <f t="shared" si="1"/>
        <v>1703663.2755356191</v>
      </c>
      <c r="H38" s="120"/>
    </row>
    <row r="39" spans="2:17">
      <c r="B39" s="122">
        <v>19</v>
      </c>
      <c r="C39" s="123">
        <f t="shared" si="2"/>
        <v>6602045.5671212906</v>
      </c>
      <c r="D39" s="138">
        <f>IF($C$17&lt;B39,0,DCF!$C$16)</f>
        <v>5.4247061515052201E-2</v>
      </c>
      <c r="E39" s="124">
        <f t="shared" si="0"/>
        <v>0.25306913416515198</v>
      </c>
      <c r="F39" s="125">
        <f t="shared" si="1"/>
        <v>1670773.9553902647</v>
      </c>
      <c r="H39" s="120"/>
    </row>
    <row r="40" spans="2:17">
      <c r="B40" s="122">
        <v>20</v>
      </c>
      <c r="C40" s="123">
        <f t="shared" si="2"/>
        <v>6960187.1391260959</v>
      </c>
      <c r="D40" s="138">
        <f>IF($C$17&lt;B40,0,DCF!$C$16)</f>
        <v>5.4247061515052201E-2</v>
      </c>
      <c r="E40" s="124">
        <f t="shared" si="0"/>
        <v>0.23541314806060654</v>
      </c>
      <c r="F40" s="125">
        <f t="shared" si="1"/>
        <v>1638519.5655126211</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34013715.022502407</v>
      </c>
      <c r="D51" s="139">
        <f>Terminal_Growth</f>
        <v>0</v>
      </c>
      <c r="E51" s="124">
        <f>1/(1+Equity_Cost)^C17</f>
        <v>0.23541314806060654</v>
      </c>
      <c r="F51" s="125">
        <f t="shared" si="1"/>
        <v>8007275.7306836359</v>
      </c>
      <c r="H51" s="120"/>
    </row>
    <row r="52" spans="1:17">
      <c r="C52" s="114"/>
      <c r="E52" s="127" t="s">
        <v>97</v>
      </c>
      <c r="F52" s="137">
        <f>SUM(F21:F51)</f>
        <v>47694387.515284866</v>
      </c>
      <c r="H52" s="120"/>
    </row>
    <row r="53" spans="1:17">
      <c r="C53" s="114"/>
      <c r="H53" s="120"/>
    </row>
    <row r="54" spans="1:17" ht="13.15">
      <c r="B54" s="119" t="s">
        <v>125</v>
      </c>
      <c r="C54" s="136"/>
      <c r="D54" s="136"/>
      <c r="E54" s="117"/>
      <c r="F54" s="117"/>
      <c r="H54" s="120"/>
    </row>
    <row r="55" spans="1:17" ht="13.15">
      <c r="A55" s="133">
        <f>F52</f>
        <v>47694387.515284866</v>
      </c>
      <c r="B55" s="131">
        <f>C78</f>
        <v>0</v>
      </c>
      <c r="C55" s="131">
        <f>C77</f>
        <v>0.02</v>
      </c>
      <c r="D55" s="131">
        <f>C76</f>
        <v>0.05</v>
      </c>
      <c r="E55" s="131">
        <f>C75</f>
        <v>0.06</v>
      </c>
      <c r="F55" s="131">
        <f>C74</f>
        <v>0.1</v>
      </c>
      <c r="H55" s="120"/>
    </row>
    <row r="56" spans="1:17" ht="13.15">
      <c r="A56" s="143">
        <v>5</v>
      </c>
      <c r="B56" s="123">
        <f t="dataTable" ref="B56:F61" dt2D="1" dtr="1" r1="C16" r2="C17"/>
        <v>32263514.183877833</v>
      </c>
      <c r="C56" s="123">
        <v>33286606.457370549</v>
      </c>
      <c r="D56" s="123">
        <v>34877536.495988883</v>
      </c>
      <c r="E56" s="123">
        <v>35423515.243769377</v>
      </c>
      <c r="F56" s="123">
        <v>37690328.170106649</v>
      </c>
      <c r="H56" s="120"/>
    </row>
    <row r="57" spans="1:17" ht="13.15">
      <c r="A57" s="143">
        <v>10</v>
      </c>
      <c r="B57" s="123">
        <v>32263514.183877841</v>
      </c>
      <c r="C57" s="123">
        <v>34301133.727006398</v>
      </c>
      <c r="D57" s="123">
        <v>37745563.035305619</v>
      </c>
      <c r="E57" s="123">
        <v>39009521.110107958</v>
      </c>
      <c r="F57" s="123">
        <v>44738460.978820056</v>
      </c>
      <c r="H57" s="120"/>
    </row>
    <row r="58" spans="1:17" ht="13.15">
      <c r="A58" s="143">
        <v>15</v>
      </c>
      <c r="B58" s="123">
        <v>32263514.183877837</v>
      </c>
      <c r="C58" s="341">
        <v>35585644.058001101</v>
      </c>
      <c r="D58" s="123">
        <v>41673233.120869428</v>
      </c>
      <c r="E58" s="123">
        <v>44055223.67884028</v>
      </c>
      <c r="F58" s="123">
        <v>55835134.582588524</v>
      </c>
      <c r="G58" s="338"/>
      <c r="H58" s="339"/>
      <c r="I58" s="338"/>
      <c r="J58" s="338"/>
      <c r="K58" s="338"/>
      <c r="L58" s="338"/>
      <c r="M58" s="338"/>
      <c r="N58" s="338"/>
      <c r="O58" s="338"/>
      <c r="P58" s="338"/>
      <c r="Q58" s="338"/>
    </row>
    <row r="59" spans="1:17" ht="13.15">
      <c r="A59" s="144">
        <v>20</v>
      </c>
      <c r="B59" s="123">
        <v>32263514.183877841</v>
      </c>
      <c r="C59" s="341">
        <v>36924767.034258179</v>
      </c>
      <c r="D59" s="123">
        <v>46124795.318919137</v>
      </c>
      <c r="E59" s="123">
        <v>49944826.263301693</v>
      </c>
      <c r="F59" s="123">
        <v>70505550.152189493</v>
      </c>
      <c r="G59" s="338"/>
      <c r="H59" s="339"/>
      <c r="I59" s="338"/>
      <c r="J59" s="338"/>
      <c r="K59" s="338"/>
      <c r="L59" s="338"/>
      <c r="M59" s="338"/>
      <c r="N59" s="338"/>
      <c r="O59" s="338"/>
      <c r="P59" s="338"/>
      <c r="Q59" s="338"/>
    </row>
    <row r="60" spans="1:17" ht="13.15">
      <c r="A60" s="144">
        <v>25</v>
      </c>
      <c r="B60" s="123">
        <v>32263514.183877841</v>
      </c>
      <c r="C60" s="341">
        <v>38199303.04027427</v>
      </c>
      <c r="D60" s="123">
        <v>50750843.789241567</v>
      </c>
      <c r="E60" s="123">
        <v>56261118.764271453</v>
      </c>
      <c r="F60" s="123">
        <v>88510793.664718986</v>
      </c>
      <c r="G60" s="338"/>
      <c r="H60" s="339"/>
      <c r="I60" s="338"/>
      <c r="J60" s="338"/>
      <c r="K60" s="338"/>
      <c r="L60" s="338"/>
      <c r="M60" s="338"/>
      <c r="N60" s="338"/>
      <c r="O60" s="338"/>
      <c r="P60" s="338"/>
      <c r="Q60" s="338"/>
    </row>
    <row r="61" spans="1:17" ht="13.15">
      <c r="A61" s="144">
        <v>30</v>
      </c>
      <c r="B61" s="123">
        <v>32263514.183877844</v>
      </c>
      <c r="C61" s="341">
        <v>39349923.743861459</v>
      </c>
      <c r="D61" s="123">
        <v>55329134.255377442</v>
      </c>
      <c r="E61" s="123">
        <v>62724422.542670682</v>
      </c>
      <c r="F61" s="123">
        <v>109787442.6439316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18.952769812136829</v>
      </c>
      <c r="C65" s="124">
        <f>C12</f>
        <v>18.952769812136829</v>
      </c>
      <c r="D65" s="124">
        <f>C12</f>
        <v>18.952769812136829</v>
      </c>
      <c r="E65" s="141">
        <f>C12</f>
        <v>18.952769812136829</v>
      </c>
      <c r="F65" s="124">
        <f>C12</f>
        <v>18.952769812136829</v>
      </c>
      <c r="H65" s="120"/>
    </row>
    <row r="66" spans="1:8" ht="13.15">
      <c r="A66" s="143">
        <f t="shared" ref="A66:A71" si="3">A56</f>
        <v>5</v>
      </c>
      <c r="B66" s="124">
        <f t="shared" ref="B66:F71" si="4">(B56-$C$7+$C$8+$C$9)/Common_Shares*$C$3*Exchange_Rate</f>
        <v>18.952769812136829</v>
      </c>
      <c r="C66" s="124">
        <f t="shared" si="4"/>
        <v>19.383710729592064</v>
      </c>
      <c r="D66" s="124">
        <f t="shared" si="4"/>
        <v>20.053832934805015</v>
      </c>
      <c r="E66" s="124">
        <f t="shared" si="4"/>
        <v>20.283806895683785</v>
      </c>
      <c r="F66" s="124">
        <f t="shared" si="4"/>
        <v>21.238620520500113</v>
      </c>
      <c r="H66" s="120"/>
    </row>
    <row r="67" spans="1:8" ht="13.15">
      <c r="A67" s="143">
        <f t="shared" si="3"/>
        <v>10</v>
      </c>
      <c r="B67" s="124">
        <f t="shared" si="4"/>
        <v>18.952769812136832</v>
      </c>
      <c r="C67" s="124">
        <f t="shared" si="4"/>
        <v>19.811043946436392</v>
      </c>
      <c r="D67" s="124">
        <f t="shared" si="4"/>
        <v>21.261886225951198</v>
      </c>
      <c r="E67" s="124">
        <f t="shared" si="4"/>
        <v>21.794283221307985</v>
      </c>
      <c r="F67" s="124">
        <f t="shared" si="4"/>
        <v>24.207393619102639</v>
      </c>
      <c r="H67" s="120"/>
    </row>
    <row r="68" spans="1:8" ht="13.15">
      <c r="A68" s="143">
        <f t="shared" si="3"/>
        <v>15</v>
      </c>
      <c r="B68" s="124">
        <f t="shared" si="4"/>
        <v>18.952769812136832</v>
      </c>
      <c r="C68" s="124">
        <f t="shared" si="4"/>
        <v>20.352097842415716</v>
      </c>
      <c r="D68" s="124">
        <f t="shared" si="4"/>
        <v>22.916276346947832</v>
      </c>
      <c r="E68" s="124">
        <f t="shared" si="4"/>
        <v>23.919604417169023</v>
      </c>
      <c r="F68" s="124">
        <f t="shared" si="4"/>
        <v>28.881469288918833</v>
      </c>
      <c r="H68" s="120"/>
    </row>
    <row r="69" spans="1:8" ht="13.15">
      <c r="A69" s="144">
        <f t="shared" si="3"/>
        <v>20</v>
      </c>
      <c r="B69" s="124">
        <f t="shared" si="4"/>
        <v>18.952769812136832</v>
      </c>
      <c r="C69" s="124">
        <f t="shared" si="4"/>
        <v>20.916155356019562</v>
      </c>
      <c r="D69" s="124">
        <f t="shared" si="4"/>
        <v>24.791337226048711</v>
      </c>
      <c r="E69" s="124">
        <f t="shared" si="4"/>
        <v>26.400388220305206</v>
      </c>
      <c r="F69" s="124">
        <f t="shared" si="4"/>
        <v>35.060855556230301</v>
      </c>
      <c r="H69" s="120"/>
    </row>
    <row r="70" spans="1:8" ht="13.15">
      <c r="A70" s="144">
        <f t="shared" si="3"/>
        <v>25</v>
      </c>
      <c r="B70" s="124">
        <f t="shared" si="4"/>
        <v>18.952769812136832</v>
      </c>
      <c r="C70" s="124">
        <f t="shared" si="4"/>
        <v>21.453007925423911</v>
      </c>
      <c r="D70" s="124">
        <f t="shared" si="4"/>
        <v>26.739894187765724</v>
      </c>
      <c r="E70" s="124">
        <f t="shared" si="4"/>
        <v>29.0608998435541</v>
      </c>
      <c r="F70" s="124">
        <f t="shared" si="4"/>
        <v>42.644918459770118</v>
      </c>
    </row>
    <row r="71" spans="1:8" ht="13.15">
      <c r="A71" s="144">
        <f t="shared" si="3"/>
        <v>30</v>
      </c>
      <c r="B71" s="124">
        <f t="shared" si="4"/>
        <v>18.952769812136836</v>
      </c>
      <c r="C71" s="124">
        <f t="shared" si="4"/>
        <v>21.937665619058986</v>
      </c>
      <c r="D71" s="124">
        <f t="shared" si="4"/>
        <v>28.668334803505729</v>
      </c>
      <c r="E71" s="124">
        <f t="shared" si="4"/>
        <v>31.783334693488545</v>
      </c>
      <c r="F71" s="124">
        <f t="shared" si="4"/>
        <v>51.606943556658976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51.606943556658976</v>
      </c>
      <c r="F74" s="142">
        <f>Scenarios!C58</f>
        <v>0.05</v>
      </c>
    </row>
    <row r="75" spans="1:8">
      <c r="B75" s="127" t="str">
        <f>Scenarios!B36</f>
        <v>Optimistic</v>
      </c>
      <c r="C75" s="142">
        <f>Scenarios!C38</f>
        <v>0.06</v>
      </c>
      <c r="D75" s="145">
        <f>Scenarios!C37</f>
        <v>20</v>
      </c>
      <c r="E75" s="135">
        <f>INDEX(B$65:F$71, MATCH(D75, A$65:A$71, 0), MATCH(C75, B$64:F$64, 0))</f>
        <v>26.400388220305206</v>
      </c>
      <c r="F75" s="142">
        <f>Scenarios!C40*(1-F$74-F$78)</f>
        <v>0.22499999999999992</v>
      </c>
      <c r="H75" s="120"/>
    </row>
    <row r="76" spans="1:8">
      <c r="B76" s="127" t="str">
        <f>Scenarios!B24</f>
        <v>Base</v>
      </c>
      <c r="C76" s="142">
        <f>Scenarios!C26</f>
        <v>0.05</v>
      </c>
      <c r="D76" s="145">
        <f>Scenarios!C25</f>
        <v>20</v>
      </c>
      <c r="E76" s="135">
        <f>INDEX(B$65:F$71, MATCH(D76, A$65:A$71, 0), MATCH(C76, B$64:F$64, 0))</f>
        <v>24.791337226048711</v>
      </c>
      <c r="F76" s="142">
        <f>Scenarios!C28*(1-F$74-F$78)</f>
        <v>0.495</v>
      </c>
      <c r="H76" s="120"/>
    </row>
    <row r="77" spans="1:8">
      <c r="B77" s="127" t="str">
        <f>Scenarios!B30</f>
        <v>Pessimistic</v>
      </c>
      <c r="C77" s="142">
        <f>Scenarios!C32</f>
        <v>0.02</v>
      </c>
      <c r="D77" s="145">
        <f>Scenarios!C31</f>
        <v>20</v>
      </c>
      <c r="E77" s="135">
        <f>INDEX(B$65:F$71, MATCH(D77, A$65:A$71, 0), MATCH(C77, B$64:F$64, 0))</f>
        <v>20.916155356019562</v>
      </c>
      <c r="F77" s="142">
        <f>Scenarios!C34*(1-F$74-F$78)</f>
        <v>0.18</v>
      </c>
      <c r="H77" s="120"/>
    </row>
    <row r="78" spans="1:8">
      <c r="B78" s="127" t="str">
        <f>Scenarios!B48</f>
        <v>Devil's advocate</v>
      </c>
      <c r="C78" s="142">
        <f>Scenarios!C50</f>
        <v>0</v>
      </c>
      <c r="D78" s="145">
        <f>Scenarios!C49</f>
        <v>30</v>
      </c>
      <c r="E78" s="135">
        <f>INDEX(B$65:F$71, MATCH(D78, A$65:A$71, 0), MATCH(C78, B$64:F$64, 0))</f>
        <v>18.952769812136836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1249530.7444102841</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16660409.925470455</v>
      </c>
      <c r="D6" t="str">
        <f>Reporting_currency</f>
        <v>CNY</v>
      </c>
      <c r="E6" s="378"/>
      <c r="F6" s="378"/>
      <c r="H6" s="120"/>
    </row>
    <row r="7" spans="2:8" ht="13.15">
      <c r="B7" s="149" t="s">
        <v>421</v>
      </c>
      <c r="C7" s="111">
        <f>(C6*scaling_factor)/Common_Shares*Exchange_Rate</f>
        <v>7.0176000000000016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5.4247061515052201E-2</v>
      </c>
      <c r="H11" s="120"/>
    </row>
    <row r="12" spans="2:8" ht="13.35" customHeight="1">
      <c r="B12" s="118" t="s">
        <v>130</v>
      </c>
      <c r="C12" s="162">
        <f>Scenarios!C64</f>
        <v>20</v>
      </c>
      <c r="H12" s="120"/>
    </row>
    <row r="13" spans="2:8" ht="13.35" customHeight="1">
      <c r="B13" s="153" t="s">
        <v>103</v>
      </c>
      <c r="C13" s="140">
        <f>F47/Common_Shares*scaling_factor</f>
        <v>9.5282840647465843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1317314.1155672576</v>
      </c>
      <c r="D16" s="138">
        <f>IF($C$12&lt;B16,0,DDM!$C$11)</f>
        <v>5.4247061515052201E-2</v>
      </c>
      <c r="E16" s="124">
        <f t="shared" ref="E16:E45" si="0">IF($C$12&lt;B16,0,1/(1+Equity_Cost)^B16)</f>
        <v>0.93023255813953487</v>
      </c>
      <c r="F16" s="125">
        <f t="shared" ref="F16:F46" si="1">C16*E16</f>
        <v>1225408.4795974488</v>
      </c>
      <c r="H16" s="120"/>
    </row>
    <row r="17" spans="2:8">
      <c r="B17" s="122">
        <v>2</v>
      </c>
      <c r="C17" s="123">
        <f t="shared" ref="C17:C45" si="2">IF(ROW()-ROW($C$16)&lt;$C$12, $C$16*(1+D17)^(ROW()-ROW($C$16)), 0)</f>
        <v>1388774.5354290812</v>
      </c>
      <c r="D17" s="138">
        <f>IF($C$12&lt;B17,0,DDM!$C$11)</f>
        <v>5.4247061515052201E-2</v>
      </c>
      <c r="E17" s="124">
        <f t="shared" si="0"/>
        <v>0.86533261222282321</v>
      </c>
      <c r="F17" s="125">
        <f t="shared" si="1"/>
        <v>1201751.8965313844</v>
      </c>
      <c r="H17" s="120"/>
    </row>
    <row r="18" spans="2:8">
      <c r="B18" s="122">
        <v>3</v>
      </c>
      <c r="C18" s="123">
        <f t="shared" si="2"/>
        <v>1464111.4730830404</v>
      </c>
      <c r="D18" s="138">
        <f>IF($C$12&lt;B18,0,DDM!$C$11)</f>
        <v>5.4247061515052201E-2</v>
      </c>
      <c r="E18" s="124">
        <f t="shared" si="0"/>
        <v>0.80496056950960304</v>
      </c>
      <c r="F18" s="125">
        <f t="shared" si="1"/>
        <v>1178552.005198468</v>
      </c>
      <c r="H18" s="120"/>
    </row>
    <row r="19" spans="2:8">
      <c r="B19" s="122">
        <v>4</v>
      </c>
      <c r="C19" s="123">
        <f t="shared" si="2"/>
        <v>1543535.2182282696</v>
      </c>
      <c r="D19" s="138">
        <f>IF($C$12&lt;B19,0,DDM!$C$11)</f>
        <v>5.4247061515052201E-2</v>
      </c>
      <c r="E19" s="124">
        <f t="shared" si="0"/>
        <v>0.7488005297763749</v>
      </c>
      <c r="F19" s="125">
        <f t="shared" si="1"/>
        <v>1155799.9891378207</v>
      </c>
      <c r="H19" s="120"/>
    </row>
    <row r="20" spans="2:8">
      <c r="B20" s="122">
        <v>5</v>
      </c>
      <c r="C20" s="123">
        <f t="shared" si="2"/>
        <v>1627267.4681621478</v>
      </c>
      <c r="D20" s="138">
        <f>IF($C$12&lt;B20,0,DDM!$C$11)</f>
        <v>5.4247061515052201E-2</v>
      </c>
      <c r="E20" s="124">
        <f t="shared" si="0"/>
        <v>0.69655863235011617</v>
      </c>
      <c r="F20" s="125">
        <f t="shared" si="1"/>
        <v>1133487.202090862</v>
      </c>
      <c r="H20" s="120"/>
    </row>
    <row r="21" spans="2:8">
      <c r="B21" s="122">
        <v>6</v>
      </c>
      <c r="C21" s="123">
        <f t="shared" si="2"/>
        <v>1715541.946608983</v>
      </c>
      <c r="D21" s="138">
        <f>IF($C$12&lt;B21,0,DDM!$C$11)</f>
        <v>5.4247061515052201E-2</v>
      </c>
      <c r="E21" s="124">
        <f t="shared" si="0"/>
        <v>0.64796151846522443</v>
      </c>
      <c r="F21" s="125">
        <f t="shared" si="1"/>
        <v>1111605.1647155436</v>
      </c>
      <c r="H21" s="120"/>
    </row>
    <row r="22" spans="2:8">
      <c r="B22" s="122">
        <v>7</v>
      </c>
      <c r="C22" s="123">
        <f t="shared" si="2"/>
        <v>1808605.0561183328</v>
      </c>
      <c r="D22" s="138">
        <f>IF($C$12&lt;B22,0,DDM!$C$11)</f>
        <v>5.4247061515052201E-2</v>
      </c>
      <c r="E22" s="124">
        <f t="shared" si="0"/>
        <v>0.60275490089788319</v>
      </c>
      <c r="F22" s="125">
        <f t="shared" si="1"/>
        <v>1090145.5613640163</v>
      </c>
      <c r="H22" s="120"/>
    </row>
    <row r="23" spans="2:8">
      <c r="B23" s="122">
        <v>8</v>
      </c>
      <c r="C23" s="123">
        <f t="shared" si="2"/>
        <v>1906716.5658540181</v>
      </c>
      <c r="D23" s="138">
        <f>IF($C$12&lt;B23,0,DDM!$C$11)</f>
        <v>5.4247061515052201E-2</v>
      </c>
      <c r="E23" s="124">
        <f t="shared" si="0"/>
        <v>0.56070223339337966</v>
      </c>
      <c r="F23" s="125">
        <f t="shared" si="1"/>
        <v>1069100.236922503</v>
      </c>
      <c r="H23" s="120"/>
    </row>
    <row r="24" spans="2:8">
      <c r="B24" s="122">
        <v>9</v>
      </c>
      <c r="C24" s="123">
        <f t="shared" si="2"/>
        <v>2010150.3366936697</v>
      </c>
      <c r="D24" s="138">
        <f>IF($C$12&lt;B24,0,DDM!$C$11)</f>
        <v>5.4247061515052201E-2</v>
      </c>
      <c r="E24" s="124">
        <f t="shared" si="0"/>
        <v>0.52158347292407414</v>
      </c>
      <c r="F24" s="125">
        <f t="shared" si="1"/>
        <v>1048461.1937121812</v>
      </c>
      <c r="H24" s="120"/>
    </row>
    <row r="25" spans="2:8">
      <c r="B25" s="122">
        <v>10</v>
      </c>
      <c r="C25" s="123">
        <f t="shared" si="2"/>
        <v>2119195.0856627938</v>
      </c>
      <c r="D25" s="138">
        <f>IF($C$12&lt;B25,0,DDM!$C$11)</f>
        <v>5.4247061515052201E-2</v>
      </c>
      <c r="E25" s="124">
        <f t="shared" si="0"/>
        <v>0.48519392830146441</v>
      </c>
      <c r="F25" s="125">
        <f t="shared" si="1"/>
        <v>1028220.5884498893</v>
      </c>
      <c r="H25" s="120"/>
    </row>
    <row r="26" spans="2:8">
      <c r="B26" s="122">
        <v>11</v>
      </c>
      <c r="C26" s="123">
        <f t="shared" si="2"/>
        <v>2234155.1918371394</v>
      </c>
      <c r="D26" s="138">
        <f>IF($C$12&lt;B26,0,DDM!$C$11)</f>
        <v>5.4247061515052201E-2</v>
      </c>
      <c r="E26" s="124">
        <f t="shared" si="0"/>
        <v>0.45134318911764126</v>
      </c>
      <c r="F26" s="125">
        <f t="shared" si="1"/>
        <v>1008370.7292675101</v>
      </c>
      <c r="H26" s="120"/>
    </row>
    <row r="27" spans="2:8">
      <c r="B27" s="122">
        <v>12</v>
      </c>
      <c r="C27" s="123">
        <f t="shared" si="2"/>
        <v>2355351.5459629018</v>
      </c>
      <c r="D27" s="138">
        <f>IF($C$12&lt;B27,0,DDM!$C$11)</f>
        <v>5.4247061515052201E-2</v>
      </c>
      <c r="E27" s="124">
        <f t="shared" si="0"/>
        <v>0.41985412941175931</v>
      </c>
      <c r="F27" s="125">
        <f t="shared" si="1"/>
        <v>988904.07278889557</v>
      </c>
      <c r="H27" s="120"/>
    </row>
    <row r="28" spans="2:8">
      <c r="B28" s="122">
        <v>13</v>
      </c>
      <c r="C28" s="123">
        <f t="shared" si="2"/>
        <v>2483122.4461663244</v>
      </c>
      <c r="D28" s="138">
        <f>IF($C$12&lt;B28,0,DDM!$C$11)</f>
        <v>5.4247061515052201E-2</v>
      </c>
      <c r="E28" s="124">
        <f t="shared" si="0"/>
        <v>0.39056198084814819</v>
      </c>
      <c r="F28" s="125">
        <f t="shared" si="1"/>
        <v>969813.2212632189</v>
      </c>
      <c r="H28" s="120"/>
    </row>
    <row r="29" spans="2:8">
      <c r="B29" s="122">
        <v>14</v>
      </c>
      <c r="C29" s="123">
        <f t="shared" si="2"/>
        <v>2617824.5422529154</v>
      </c>
      <c r="D29" s="138">
        <f>IF($C$12&lt;B29,0,DDM!$C$11)</f>
        <v>5.4247061515052201E-2</v>
      </c>
      <c r="E29" s="124">
        <f t="shared" si="0"/>
        <v>0.36331347055641694</v>
      </c>
      <c r="F29" s="125">
        <f t="shared" si="1"/>
        <v>951090.91975367023</v>
      </c>
      <c r="H29" s="120"/>
    </row>
    <row r="30" spans="2:8">
      <c r="B30" s="122">
        <v>15</v>
      </c>
      <c r="C30" s="123">
        <f t="shared" si="2"/>
        <v>2759833.8312321231</v>
      </c>
      <c r="D30" s="138">
        <f>IF($C$12&lt;B30,0,DDM!$C$11)</f>
        <v>5.4247061515052201E-2</v>
      </c>
      <c r="E30" s="124">
        <f t="shared" si="0"/>
        <v>0.33796601912224833</v>
      </c>
      <c r="F30" s="125">
        <f t="shared" si="1"/>
        <v>932730.05338042357</v>
      </c>
      <c r="H30" s="120"/>
    </row>
    <row r="31" spans="2:8">
      <c r="B31" s="122">
        <v>16</v>
      </c>
      <c r="C31" s="123">
        <f t="shared" si="2"/>
        <v>2909546.7068462935</v>
      </c>
      <c r="D31" s="138">
        <f>IF($C$12&lt;B31,0,DDM!$C$11)</f>
        <v>5.4247061515052201E-2</v>
      </c>
      <c r="E31" s="124">
        <f t="shared" si="0"/>
        <v>0.31438699453232405</v>
      </c>
      <c r="F31" s="125">
        <f t="shared" si="1"/>
        <v>914723.64461682714</v>
      </c>
      <c r="H31" s="120"/>
    </row>
    <row r="32" spans="2:8">
      <c r="B32" s="122">
        <v>17</v>
      </c>
      <c r="C32" s="123">
        <f t="shared" si="2"/>
        <v>3067381.0660335012</v>
      </c>
      <c r="D32" s="138">
        <f>IF($C$12&lt;B32,0,DDM!$C$11)</f>
        <v>5.4247061515052201E-2</v>
      </c>
      <c r="E32" s="124">
        <f t="shared" si="0"/>
        <v>0.29245301816960378</v>
      </c>
      <c r="F32" s="125">
        <f t="shared" si="1"/>
        <v>897064.85063779412</v>
      </c>
      <c r="H32" s="120"/>
    </row>
    <row r="33" spans="2:8">
      <c r="B33" s="122">
        <v>18</v>
      </c>
      <c r="C33" s="123">
        <f t="shared" si="2"/>
        <v>3233777.4754127269</v>
      </c>
      <c r="D33" s="138">
        <f>IF($C$12&lt;B33,0,DDM!$C$11)</f>
        <v>5.4247061515052201E-2</v>
      </c>
      <c r="E33" s="124">
        <f t="shared" si="0"/>
        <v>0.27204931922753844</v>
      </c>
      <c r="F33" s="125">
        <f t="shared" si="1"/>
        <v>879746.96071938029</v>
      </c>
      <c r="H33" s="120"/>
    </row>
    <row r="34" spans="2:8">
      <c r="B34" s="122">
        <v>19</v>
      </c>
      <c r="C34" s="123">
        <f t="shared" si="2"/>
        <v>3409200.4010474305</v>
      </c>
      <c r="D34" s="138">
        <f>IF($C$12&lt;B34,0,DDM!$C$11)</f>
        <v>5.4247061515052201E-2</v>
      </c>
      <c r="E34" s="124">
        <f t="shared" si="0"/>
        <v>0.25306913416515198</v>
      </c>
      <c r="F34" s="125">
        <f t="shared" si="1"/>
        <v>862763.39368856209</v>
      </c>
      <c r="H34" s="120"/>
    </row>
    <row r="35" spans="2:8">
      <c r="B35" s="122">
        <v>20</v>
      </c>
      <c r="C35" s="123">
        <f t="shared" si="2"/>
        <v>3594139.5049201907</v>
      </c>
      <c r="D35" s="138">
        <f>IF($C$12&lt;B35,0,DDM!$C$11)</f>
        <v>5.4247061515052201E-2</v>
      </c>
      <c r="E35" s="124">
        <f t="shared" si="0"/>
        <v>0.23541314806060654</v>
      </c>
      <c r="F35" s="125">
        <f t="shared" si="1"/>
        <v>846107.69542225194</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17564188.207563438</v>
      </c>
      <c r="D46" s="139">
        <f>Terminal_Growth</f>
        <v>0</v>
      </c>
      <c r="E46" s="124">
        <f>1/(1+Equity_Cost)^C12</f>
        <v>0.23541314806060654</v>
      </c>
      <c r="F46" s="125">
        <f t="shared" si="1"/>
        <v>4134840.8390714908</v>
      </c>
      <c r="H46" s="120"/>
    </row>
    <row r="47" spans="2:8">
      <c r="C47" s="114"/>
      <c r="E47" s="127" t="s">
        <v>97</v>
      </c>
      <c r="F47" s="137">
        <f>SUM(F16:F46)</f>
        <v>24628688.698330142</v>
      </c>
      <c r="H47" s="120"/>
    </row>
    <row r="48" spans="2:8">
      <c r="C48" s="114"/>
      <c r="H48" s="120"/>
    </row>
    <row r="49" spans="1:8" ht="13.15">
      <c r="B49" s="119" t="s">
        <v>125</v>
      </c>
      <c r="C49" s="136"/>
      <c r="D49" s="136"/>
      <c r="E49" s="117"/>
      <c r="F49" s="117"/>
      <c r="H49" s="120"/>
    </row>
    <row r="50" spans="1:8" ht="13.15">
      <c r="A50" s="133">
        <f>F47</f>
        <v>24628688.698330142</v>
      </c>
      <c r="B50" s="131">
        <f>C73</f>
        <v>0</v>
      </c>
      <c r="C50" s="131">
        <f>C72</f>
        <v>0.02</v>
      </c>
      <c r="D50" s="131">
        <f>C71</f>
        <v>0.05</v>
      </c>
      <c r="E50" s="131">
        <f>C70</f>
        <v>0.06</v>
      </c>
      <c r="F50" s="131">
        <f>C69</f>
        <v>0.1</v>
      </c>
      <c r="H50" s="120"/>
    </row>
    <row r="51" spans="1:8" ht="13.15">
      <c r="A51" s="143">
        <v>5</v>
      </c>
      <c r="B51" s="123">
        <f t="dataTable" ref="B51:F56" dt2D="1" dtr="1" r1="C11" r2="C12"/>
        <v>16660409.925470456</v>
      </c>
      <c r="C51" s="123">
        <v>17188719.909647182</v>
      </c>
      <c r="D51" s="123">
        <v>18010253.064872131</v>
      </c>
      <c r="E51" s="123">
        <v>18292188.55698178</v>
      </c>
      <c r="F51" s="123">
        <v>19462737.814632267</v>
      </c>
      <c r="H51" s="120"/>
    </row>
    <row r="52" spans="1:8" ht="13.15">
      <c r="A52" s="143">
        <v>10</v>
      </c>
      <c r="B52" s="123">
        <v>16660409.92547046</v>
      </c>
      <c r="C52" s="123">
        <v>17712607.050284445</v>
      </c>
      <c r="D52" s="123">
        <v>19491260.296440922</v>
      </c>
      <c r="E52" s="123">
        <v>20143949.880557522</v>
      </c>
      <c r="F52" s="123">
        <v>23102291.185448896</v>
      </c>
      <c r="H52" s="120"/>
    </row>
    <row r="53" spans="1:8" ht="13.15">
      <c r="A53" s="143">
        <v>15</v>
      </c>
      <c r="B53" s="123">
        <v>16660409.92547046</v>
      </c>
      <c r="C53" s="123">
        <v>18375909.520867992</v>
      </c>
      <c r="D53" s="123">
        <v>21519452.058335215</v>
      </c>
      <c r="E53" s="123">
        <v>22749477.371393804</v>
      </c>
      <c r="F53" s="123">
        <v>28832452.1962514</v>
      </c>
      <c r="H53" s="120"/>
    </row>
    <row r="54" spans="1:8" ht="13.15">
      <c r="A54" s="144">
        <v>20</v>
      </c>
      <c r="B54" s="123">
        <v>16660409.925470464</v>
      </c>
      <c r="C54" s="123">
        <v>19067413.167925991</v>
      </c>
      <c r="D54" s="123">
        <v>23818174.094798826</v>
      </c>
      <c r="E54" s="123">
        <v>25790782.568217959</v>
      </c>
      <c r="F54" s="123">
        <v>36408041.630606674</v>
      </c>
      <c r="H54" s="120"/>
    </row>
    <row r="55" spans="1:8" ht="13.15">
      <c r="A55" s="144">
        <v>25</v>
      </c>
      <c r="B55" s="123">
        <v>16660409.925470464</v>
      </c>
      <c r="C55" s="123">
        <v>19725565.042020686</v>
      </c>
      <c r="D55" s="123">
        <v>26206998.306923252</v>
      </c>
      <c r="E55" s="123">
        <v>29052424.237987332</v>
      </c>
      <c r="F55" s="123">
        <v>45705687.758583553</v>
      </c>
      <c r="H55" s="120"/>
    </row>
    <row r="56" spans="1:8" ht="13.15">
      <c r="A56" s="144">
        <v>30</v>
      </c>
      <c r="B56" s="123">
        <v>16660409.925470464</v>
      </c>
      <c r="C56" s="123">
        <v>20319728.854469698</v>
      </c>
      <c r="D56" s="123">
        <v>28571160.979624674</v>
      </c>
      <c r="E56" s="123">
        <v>32389980.39530085</v>
      </c>
      <c r="F56" s="123">
        <v>56692640.134997614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7.0176000000000016</v>
      </c>
      <c r="C60" s="124">
        <f>C7</f>
        <v>7.0176000000000016</v>
      </c>
      <c r="D60" s="124">
        <f>C7</f>
        <v>7.0176000000000016</v>
      </c>
      <c r="E60" s="141">
        <f>C7</f>
        <v>7.0176000000000016</v>
      </c>
      <c r="F60" s="124">
        <f>C7</f>
        <v>7.0176000000000016</v>
      </c>
      <c r="H60" s="120"/>
    </row>
    <row r="61" spans="1:8" ht="13.15">
      <c r="A61" s="143">
        <f t="shared" ref="A61:A66" si="3">A51</f>
        <v>5</v>
      </c>
      <c r="B61" s="124">
        <f t="shared" ref="B61:F66" si="4">B51/Common_Shares*$C$3*Exchange_Rate</f>
        <v>7.0176000000000025</v>
      </c>
      <c r="C61" s="124">
        <f t="shared" si="4"/>
        <v>7.2401316280658046</v>
      </c>
      <c r="D61" s="124">
        <f t="shared" si="4"/>
        <v>7.5861729977497987</v>
      </c>
      <c r="E61" s="124">
        <f t="shared" si="4"/>
        <v>7.7049282095530751</v>
      </c>
      <c r="F61" s="124">
        <f t="shared" si="4"/>
        <v>8.1979800916637195</v>
      </c>
      <c r="H61" s="120"/>
    </row>
    <row r="62" spans="1:8" ht="13.15">
      <c r="A62" s="143">
        <f t="shared" si="3"/>
        <v>10</v>
      </c>
      <c r="B62" s="124">
        <f t="shared" si="4"/>
        <v>7.0176000000000034</v>
      </c>
      <c r="C62" s="124">
        <f t="shared" si="4"/>
        <v>7.460800291957173</v>
      </c>
      <c r="D62" s="124">
        <f t="shared" si="4"/>
        <v>8.2099941639005873</v>
      </c>
      <c r="E62" s="124">
        <f t="shared" si="4"/>
        <v>8.4849162364057928</v>
      </c>
      <c r="F62" s="124">
        <f t="shared" si="4"/>
        <v>9.731011382568262</v>
      </c>
      <c r="H62" s="120"/>
    </row>
    <row r="63" spans="1:8" ht="13.15">
      <c r="A63" s="143">
        <f t="shared" si="3"/>
        <v>15</v>
      </c>
      <c r="B63" s="124">
        <f t="shared" si="4"/>
        <v>7.0176000000000034</v>
      </c>
      <c r="C63" s="124">
        <f t="shared" si="4"/>
        <v>7.7401926621563506</v>
      </c>
      <c r="D63" s="124">
        <f t="shared" si="4"/>
        <v>9.0642971835705826</v>
      </c>
      <c r="E63" s="124">
        <f t="shared" si="4"/>
        <v>9.5824012203580349</v>
      </c>
      <c r="F63" s="124">
        <f t="shared" si="4"/>
        <v>12.14463614266084</v>
      </c>
      <c r="H63" s="120"/>
    </row>
    <row r="64" spans="1:8" ht="13.15">
      <c r="A64" s="144">
        <f t="shared" si="3"/>
        <v>20</v>
      </c>
      <c r="B64" s="124">
        <f t="shared" si="4"/>
        <v>7.0176000000000052</v>
      </c>
      <c r="C64" s="124">
        <f t="shared" si="4"/>
        <v>8.0314637662469774</v>
      </c>
      <c r="D64" s="124">
        <f t="shared" si="4"/>
        <v>10.032551376309573</v>
      </c>
      <c r="E64" s="124">
        <f t="shared" si="4"/>
        <v>10.863441929722846</v>
      </c>
      <c r="F64" s="124">
        <f t="shared" si="4"/>
        <v>15.335581422660027</v>
      </c>
      <c r="H64" s="120"/>
    </row>
    <row r="65" spans="1:8" ht="13.15">
      <c r="A65" s="144">
        <f t="shared" si="3"/>
        <v>25</v>
      </c>
      <c r="B65" s="124">
        <f t="shared" si="4"/>
        <v>7.0176000000000052</v>
      </c>
      <c r="C65" s="124">
        <f t="shared" si="4"/>
        <v>8.3086866324494437</v>
      </c>
      <c r="D65" s="124">
        <f t="shared" si="4"/>
        <v>11.038757878190168</v>
      </c>
      <c r="E65" s="124">
        <f t="shared" si="4"/>
        <v>12.237291473891682</v>
      </c>
      <c r="F65" s="124">
        <f t="shared" si="4"/>
        <v>19.251881307210926</v>
      </c>
    </row>
    <row r="66" spans="1:8" ht="13.15">
      <c r="A66" s="144">
        <f t="shared" si="3"/>
        <v>30</v>
      </c>
      <c r="B66" s="124">
        <f t="shared" si="4"/>
        <v>7.0176000000000052</v>
      </c>
      <c r="C66" s="124">
        <f t="shared" si="4"/>
        <v>8.5589568232127391</v>
      </c>
      <c r="D66" s="124">
        <f t="shared" si="4"/>
        <v>12.034576591305116</v>
      </c>
      <c r="E66" s="124">
        <f t="shared" si="4"/>
        <v>13.643117272556834</v>
      </c>
      <c r="F66" s="124">
        <f t="shared" si="4"/>
        <v>23.879740846179992</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23.879740846179992</v>
      </c>
      <c r="F69" s="142">
        <f>Scenarios!C58</f>
        <v>0.05</v>
      </c>
    </row>
    <row r="70" spans="1:8">
      <c r="B70" s="127" t="str">
        <f>Scenarios!B36</f>
        <v>Optimistic</v>
      </c>
      <c r="C70" s="142">
        <f>Scenarios!C38</f>
        <v>0.06</v>
      </c>
      <c r="D70" s="145">
        <f>Scenarios!C37</f>
        <v>20</v>
      </c>
      <c r="E70" s="135">
        <f>INDEX(B$60:F$66, MATCH(D70, A$60:A$66, 0), MATCH(C70, B$59:F$59, 0))</f>
        <v>10.863441929722846</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10.032551376309573</v>
      </c>
      <c r="F71" s="142">
        <f>Scenarios!C28*(1-F$69-F$73)</f>
        <v>0.495</v>
      </c>
      <c r="H71" s="120"/>
    </row>
    <row r="72" spans="1:8">
      <c r="B72" s="127" t="str">
        <f>Scenarios!B30</f>
        <v>Pessimistic</v>
      </c>
      <c r="C72" s="142">
        <f>Scenarios!C32</f>
        <v>0.02</v>
      </c>
      <c r="D72" s="145">
        <f>Scenarios!C31</f>
        <v>20</v>
      </c>
      <c r="E72" s="135">
        <f>INDEX(B$60:F$66, MATCH(D72, A$60:A$66, 0), MATCH(C72, B$59:F$59, 0))</f>
        <v>8.0314637662469774</v>
      </c>
      <c r="F72" s="142">
        <f>Scenarios!C34*(1-F$69-F$73)</f>
        <v>0.18</v>
      </c>
      <c r="H72" s="120"/>
    </row>
    <row r="73" spans="1:8">
      <c r="B73" s="127" t="str">
        <f>Scenarios!B48</f>
        <v>Devil's advocate</v>
      </c>
      <c r="C73" s="142">
        <f>Scenarios!C50</f>
        <v>0</v>
      </c>
      <c r="D73" s="145">
        <f>Scenarios!C49</f>
        <v>30</v>
      </c>
      <c r="E73" s="135">
        <f>INDEX(B$60:F$66, MATCH(D73, A$60:A$66, 0), MATCH(C73, B$59:F$59, 0))</f>
        <v>7.0176000000000052</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-16.34</v>
      </c>
    </row>
    <row r="4" spans="2:9">
      <c r="B4" s="152" t="s">
        <v>142</v>
      </c>
      <c r="C4" s="120">
        <v>3</v>
      </c>
      <c r="D4" s="120"/>
      <c r="E4" s="155" t="s">
        <v>146</v>
      </c>
      <c r="F4" s="155"/>
      <c r="H4" s="247">
        <v>1</v>
      </c>
      <c r="I4" s="124">
        <f t="shared" ref="I4:I13" si="0">IF(ROW()-3 &lt; $C$76, $C$77, IF(ROW()-3 = $C$76, $C$77 + $C$60, ""))</f>
        <v>0.48341525715019823</v>
      </c>
    </row>
    <row r="5" spans="2:9">
      <c r="H5" s="247">
        <v>2</v>
      </c>
      <c r="I5" s="124">
        <f t="shared" si="0"/>
        <v>0.48341525715019823</v>
      </c>
    </row>
    <row r="6" spans="2:9" ht="13.15">
      <c r="B6" s="159" t="s">
        <v>92</v>
      </c>
      <c r="C6" s="107">
        <f>DCF!C3</f>
        <v>1000</v>
      </c>
      <c r="E6" s="100" t="s">
        <v>274</v>
      </c>
      <c r="F6" s="100"/>
      <c r="H6" s="247">
        <v>3</v>
      </c>
      <c r="I6" s="124">
        <f t="shared" si="0"/>
        <v>25.988108166136289</v>
      </c>
    </row>
    <row r="7" spans="2:9" ht="12.75" customHeight="1">
      <c r="B7" s="100" t="s">
        <v>270</v>
      </c>
      <c r="C7" s="338">
        <f>Normalized_FCF!G8</f>
        <v>3529289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80"/>
      <c r="H7" s="247">
        <v>4</v>
      </c>
      <c r="I7" s="124" t="str">
        <f t="shared" si="0"/>
        <v/>
      </c>
    </row>
    <row r="8" spans="2:9">
      <c r="B8" s="100" t="s">
        <v>64</v>
      </c>
      <c r="C8" s="338">
        <f>Normalized_FCF!G19</f>
        <v>2532239.768485649</v>
      </c>
      <c r="D8" t="str">
        <f>Reporting_currency</f>
        <v>CNY</v>
      </c>
      <c r="E8" s="380"/>
      <c r="F8" s="380"/>
      <c r="H8" s="247">
        <v>5</v>
      </c>
      <c r="I8" s="124" t="str">
        <f t="shared" si="0"/>
        <v/>
      </c>
    </row>
    <row r="9" spans="2:9">
      <c r="B9" s="100" t="s">
        <v>55</v>
      </c>
      <c r="C9" s="338">
        <f>Normalized_FCF!C19</f>
        <v>2419763.5637908373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8.3043513409933434E-2</v>
      </c>
      <c r="D12" s="158"/>
      <c r="E12" s="380"/>
      <c r="F12" s="380"/>
      <c r="H12" s="247">
        <v>9</v>
      </c>
      <c r="I12" s="124" t="str">
        <f t="shared" si="0"/>
        <v/>
      </c>
    </row>
    <row r="13" spans="2:9">
      <c r="B13" s="148" t="s">
        <v>148</v>
      </c>
      <c r="C13" s="158">
        <f ca="1">(Normalized_FCF!G8/OFFSET(Normalized_FCF!G8, 0, $C$4))^(1/$C$4) - 1</f>
        <v>-9.2379152048964186E-2</v>
      </c>
      <c r="E13" s="380"/>
      <c r="F13" s="380"/>
      <c r="H13" s="247">
        <v>10</v>
      </c>
      <c r="I13" s="124" t="str">
        <f t="shared" si="0"/>
        <v/>
      </c>
    </row>
    <row r="14" spans="2:9">
      <c r="B14" s="100" t="s">
        <v>64</v>
      </c>
      <c r="C14" s="158">
        <f ca="1">(Normalized_FCF!G19/OFFSET(Normalized_FCF!G19, 0, $C$4))^(1/$C$4) - 1</f>
        <v>-0.10082879594779437</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16.34</v>
      </c>
      <c r="D21" t="str">
        <f>Market_currency</f>
        <v>HKD</v>
      </c>
      <c r="E21" s="381"/>
      <c r="F21" s="381"/>
    </row>
    <row r="22" spans="2:6">
      <c r="B22" s="100" t="s">
        <v>273</v>
      </c>
      <c r="C22" s="160">
        <f>IF(valuation_method="DCF",DCF!C12,DDM!C7)</f>
        <v>18.952769812136829</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0.05</v>
      </c>
      <c r="D26" s="164"/>
      <c r="E26" s="379"/>
      <c r="F26" s="379"/>
    </row>
    <row r="27" spans="2:6">
      <c r="B27" s="100" t="s">
        <v>109</v>
      </c>
      <c r="C27" s="160">
        <f>IF(valuation_method="DCF",DCF!E76,DDM!E71)</f>
        <v>24.791337226048711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0.02</v>
      </c>
      <c r="D32" s="164"/>
      <c r="E32" s="379"/>
      <c r="F32" s="379"/>
    </row>
    <row r="33" spans="2:6">
      <c r="B33" s="100" t="s">
        <v>109</v>
      </c>
      <c r="C33" s="160">
        <f>IF(valuation_method="DCF",DCF!E77,DDM!E72)</f>
        <v>20.916155356019562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0.06</v>
      </c>
      <c r="D38" s="164"/>
      <c r="E38" s="379"/>
      <c r="F38" s="379"/>
    </row>
    <row r="39" spans="2:6">
      <c r="B39" s="100" t="s">
        <v>109</v>
      </c>
      <c r="C39" s="160">
        <f>IF(valuation_method="DCF",DCF!E75,DDM!E70)</f>
        <v>26.400388220305206</v>
      </c>
      <c r="D39" t="str">
        <f>Market_currency</f>
        <v>HKD</v>
      </c>
      <c r="E39" s="379"/>
      <c r="F39" s="379"/>
    </row>
    <row r="40" spans="2:6">
      <c r="B40" s="100" t="s">
        <v>143</v>
      </c>
      <c r="C40" s="167">
        <f>1-C28-C34</f>
        <v>0.24999999999999994</v>
      </c>
      <c r="D40" s="165"/>
      <c r="E40" s="379"/>
      <c r="F40" s="379"/>
    </row>
    <row r="42" spans="2:6" ht="13.15">
      <c r="B42" s="100" t="s">
        <v>116</v>
      </c>
      <c r="C42" s="154">
        <f>C27*C28+C33*C34+C39*C40</f>
        <v>24.418563600607005</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18.952769812136836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51.606943556658976</v>
      </c>
      <c r="D57" t="str">
        <f>Market_currency</f>
        <v>HKD</v>
      </c>
      <c r="E57" s="379"/>
      <c r="F57" s="379"/>
    </row>
    <row r="58" spans="2:6">
      <c r="B58" s="100" t="s">
        <v>143</v>
      </c>
      <c r="C58" s="165">
        <v>0.05</v>
      </c>
      <c r="D58" s="165"/>
      <c r="E58" s="379"/>
      <c r="F58" s="379"/>
    </row>
    <row r="60" spans="2:6" ht="13.15">
      <c r="B60" s="100" t="s">
        <v>116</v>
      </c>
      <c r="C60" s="154">
        <f>C51*C52+C57*C58+C42*(1-C52-C58)</f>
        <v>25.50469290898609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5.4247061515052201E-2</v>
      </c>
      <c r="D65" s="151"/>
      <c r="E65" s="251" t="s">
        <v>304</v>
      </c>
    </row>
    <row r="66" spans="2:6">
      <c r="B66" s="100" t="s">
        <v>99</v>
      </c>
      <c r="C66" s="160">
        <f>IF(valuation_method="DCF",DCF!C18,DDM!C13)</f>
        <v>25.452471630693626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0.21027196498262296</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0.48341525715019823</v>
      </c>
      <c r="D77" t="str">
        <f>Market_currency</f>
        <v>HKD</v>
      </c>
    </row>
    <row r="79" spans="2:6" ht="13.15">
      <c r="B79" s="109" t="s">
        <v>296</v>
      </c>
    </row>
    <row r="80" spans="2:6">
      <c r="B80" s="148" t="s">
        <v>294</v>
      </c>
      <c r="C80" s="167">
        <f>Thesis!F29</f>
        <v>0.35</v>
      </c>
    </row>
    <row r="81" spans="2:8">
      <c r="B81" s="100" t="s">
        <v>117</v>
      </c>
      <c r="C81" s="116">
        <f>PV(C80, C76, -C77, 0)</f>
        <v>0.81981411795323977</v>
      </c>
      <c r="D81" s="116"/>
      <c r="E81" s="100"/>
      <c r="F81" s="100"/>
    </row>
    <row r="82" spans="2:8">
      <c r="B82" s="100" t="s">
        <v>118</v>
      </c>
      <c r="C82" s="116">
        <f>C60/(1+C80)^C76</f>
        <v>10.366181134577488</v>
      </c>
      <c r="D82" s="116"/>
    </row>
    <row r="83" spans="2:8" ht="13.15">
      <c r="B83" s="110" t="s">
        <v>98</v>
      </c>
      <c r="C83" s="111">
        <f>C81+C82</f>
        <v>11.185995252530727</v>
      </c>
      <c r="D83" t="str">
        <f>Market_currency</f>
        <v>HKD</v>
      </c>
      <c r="E83" s="146" t="s">
        <v>122</v>
      </c>
      <c r="F83" s="291">
        <f>(1-C83/C60)</f>
        <v>0.56141423492342635</v>
      </c>
    </row>
    <row r="84" spans="2:8">
      <c r="E84" s="120"/>
    </row>
    <row r="85" spans="2:8" ht="13.15">
      <c r="B85" s="109" t="s">
        <v>297</v>
      </c>
    </row>
    <row r="86" spans="2:8">
      <c r="B86" s="148" t="s">
        <v>295</v>
      </c>
      <c r="C86" s="116">
        <f>Market_Price</f>
        <v>16.34</v>
      </c>
      <c r="D86" t="str">
        <f>Market_currency</f>
        <v>HKD</v>
      </c>
    </row>
    <row r="87" spans="2:8" ht="13.15">
      <c r="B87" s="100" t="s">
        <v>293</v>
      </c>
      <c r="C87" s="237">
        <f ca="1">IRR(OFFSET($I$3, 0, 0, $C$76 + 1, 1))</f>
        <v>0.18574218142995003</v>
      </c>
    </row>
    <row r="88" spans="2:8">
      <c r="B88" s="100"/>
    </row>
    <row r="89" spans="2:8" ht="13.15">
      <c r="B89" s="109" t="s">
        <v>392</v>
      </c>
    </row>
    <row r="90" spans="2:8">
      <c r="B90" s="148" t="s">
        <v>393</v>
      </c>
      <c r="C90" s="167">
        <f>Thesis!F30</f>
        <v>0.25</v>
      </c>
    </row>
    <row r="91" spans="2:8">
      <c r="B91" s="100" t="s">
        <v>117</v>
      </c>
      <c r="C91" s="116">
        <f>PV(C90, C76, -C77, 0)</f>
        <v>0.94362658195718696</v>
      </c>
      <c r="D91" s="116"/>
      <c r="E91" s="100"/>
      <c r="F91" s="100"/>
    </row>
    <row r="92" spans="2:8">
      <c r="B92" s="100" t="s">
        <v>118</v>
      </c>
      <c r="C92" s="116">
        <f>C60/(1+C90)^C76</f>
        <v>13.058402769400878</v>
      </c>
      <c r="D92" s="116"/>
    </row>
    <row r="93" spans="2:8" ht="13.15">
      <c r="B93" s="110" t="s">
        <v>98</v>
      </c>
      <c r="C93" s="111">
        <f>C91+C92</f>
        <v>14.002029351358065</v>
      </c>
      <c r="D93" t="str">
        <f>Market_currency</f>
        <v>HKD</v>
      </c>
      <c r="E93" s="146" t="s">
        <v>122</v>
      </c>
      <c r="F93" s="291">
        <f>(1-C93/C60)</f>
        <v>0.45100184498105766</v>
      </c>
    </row>
    <row r="95" spans="2:8" ht="13.15">
      <c r="B95" s="109" t="s">
        <v>378</v>
      </c>
      <c r="G95" s="2"/>
      <c r="H95" s="281"/>
    </row>
    <row r="96" spans="2:8">
      <c r="B96" s="148" t="s">
        <v>383</v>
      </c>
      <c r="C96" s="134">
        <f>Thesis!F31</f>
        <v>7.4999999999999997E-2</v>
      </c>
      <c r="G96" s="2"/>
      <c r="H96" s="281"/>
    </row>
    <row r="97" spans="2:8">
      <c r="B97" s="100" t="s">
        <v>117</v>
      </c>
      <c r="C97" s="116">
        <f>PV(C96, C76, -C77, 0)</f>
        <v>1.2571338192659129</v>
      </c>
      <c r="D97" s="116"/>
      <c r="G97" s="2"/>
      <c r="H97" s="281"/>
    </row>
    <row r="98" spans="2:8">
      <c r="B98" s="100" t="s">
        <v>118</v>
      </c>
      <c r="C98" s="116">
        <f>C60/(1+C96)^C76</f>
        <v>20.530272129184976</v>
      </c>
      <c r="D98" s="116"/>
      <c r="G98" s="2"/>
      <c r="H98" s="281"/>
    </row>
    <row r="99" spans="2:8" ht="13.15">
      <c r="B99" s="110" t="s">
        <v>379</v>
      </c>
      <c r="C99" s="111">
        <f>C97+C98</f>
        <v>21.787405948450889</v>
      </c>
      <c r="D99" t="s">
        <v>377</v>
      </c>
      <c r="E99" s="146" t="s">
        <v>122</v>
      </c>
      <c r="F99" s="291">
        <f>(1-C99/C60)</f>
        <v>0.14574913620016516</v>
      </c>
    </row>
    <row r="100" spans="2:8">
      <c r="B100" s="100"/>
    </row>
    <row r="101" spans="2:8" ht="13.15">
      <c r="B101" s="109" t="s">
        <v>399</v>
      </c>
    </row>
    <row r="102" spans="2:8">
      <c r="B102" s="148" t="s">
        <v>398</v>
      </c>
      <c r="C102" s="134">
        <f>Thesis!F32</f>
        <v>0.1174</v>
      </c>
    </row>
    <row r="103" spans="2:8">
      <c r="B103" s="100" t="s">
        <v>117</v>
      </c>
      <c r="C103" s="116">
        <f>PV(C102, C76, -C77, 0)</f>
        <v>1.1662891605270043</v>
      </c>
      <c r="D103" s="116"/>
    </row>
    <row r="104" spans="2:8">
      <c r="B104" s="100" t="s">
        <v>118</v>
      </c>
      <c r="C104" s="116">
        <f>C60/(1+C102)^C76</f>
        <v>18.280753713166717</v>
      </c>
      <c r="D104" s="116"/>
    </row>
    <row r="105" spans="2:8" ht="13.15">
      <c r="B105" s="110" t="s">
        <v>379</v>
      </c>
      <c r="C105" s="111">
        <f>C103+C104</f>
        <v>19.447042873693722</v>
      </c>
      <c r="D105" t="s">
        <v>377</v>
      </c>
      <c r="E105" s="146" t="s">
        <v>122</v>
      </c>
      <c r="F105" s="291">
        <f>(1-C105/C66)</f>
        <v>0.23594678128460589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A689D-BEE8-4828-8A88-F46DA1A74ED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