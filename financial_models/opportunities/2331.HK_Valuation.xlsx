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B20B78-E5D4-4470-9792-A3840DF4752D}"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107" i="2"/>
  <c r="C24" i="2"/>
  <c r="C108" i="2"/>
  <c r="C95" i="2"/>
  <c r="C23" i="2"/>
  <c r="C26" i="2" s="1"/>
  <c r="I4" i="8"/>
  <c r="C109" i="2"/>
  <c r="C17" i="2"/>
  <c r="C81" i="2"/>
  <c r="C82" i="2" s="1"/>
  <c r="C73" i="2"/>
  <c r="C75" i="2"/>
  <c r="C38" i="2"/>
  <c r="D55" i="3"/>
  <c r="G29" i="3"/>
  <c r="D62" i="3" s="1"/>
  <c r="C5" i="2" l="1"/>
  <c r="C6" i="2" s="1"/>
  <c r="C8" i="2" s="1"/>
  <c r="C34" i="12" s="1"/>
  <c r="C32" i="2"/>
  <c r="C16" i="2"/>
  <c r="C55" i="6"/>
  <c r="C55" i="12"/>
  <c r="D51" i="3"/>
  <c r="C46" i="3"/>
  <c r="C47" i="3" s="1"/>
  <c r="C62" i="3"/>
  <c r="C18" i="8" l="1"/>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<sst xmlns="http://schemas.openxmlformats.org/spreadsheetml/2006/main" count="768" uniqueCount="559">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</sst>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20.399999999999999</v>
      </c>
      <c r="E8" s="32"/>
    </row>
    <row r="9" spans="1:9">
      <c r="B9" s="4" t="s">
        <v>346</v>
      </c>
      <c r="C9" s="48">
        <v>2584811005</v>
      </c>
    </row>
    <row r="10" spans="1:9">
      <c r="B10" s="4" t="s">
        <v>352</v>
      </c>
      <c r="C10" s="33">
        <f>Thesis!C8*Common_Shares/1000000</f>
        <v>52730.144502000003</v>
      </c>
      <c r="D10" s="1" t="s">
        <v>528</v>
      </c>
      <c r="E10" s="303">
        <f>Scenarios!F34</f>
        <v>0.1299291484233063</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1.1192569189071655</v>
      </c>
    </row>
    <row r="17" spans="1:6">
      <c r="B17" s="1" t="s">
        <v>532</v>
      </c>
      <c r="C17" s="456">
        <v>0.01</v>
      </c>
      <c r="D17" s="4" t="s">
        <v>274</v>
      </c>
      <c r="E17" s="224" t="s">
        <v>558</v>
      </c>
    </row>
    <row r="18" spans="1:6">
      <c r="B18" s="1" t="str">
        <f>"Expected Equity Value ("&amp;C7&amp;") :"</f>
        <v>Expected Equity Value (HKD) :</v>
      </c>
      <c r="C18" s="252">
        <f>C125</f>
        <v>27.649613525671576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13.697835639908911</v>
      </c>
      <c r="D22" s="38" t="s">
        <v>406</v>
      </c>
      <c r="E22" s="79">
        <v>0.29465259038036606</v>
      </c>
    </row>
    <row r="23" spans="1:6">
      <c r="B23" s="1" t="s">
        <v>313</v>
      </c>
      <c r="C23" s="256">
        <f>E141</f>
        <v>17.070215892398458</v>
      </c>
      <c r="D23" s="38" t="s">
        <v>407</v>
      </c>
      <c r="E23" s="443">
        <v>0.20075184365903009</v>
      </c>
    </row>
    <row r="24" spans="1:6">
      <c r="B24" s="1" t="s">
        <v>315</v>
      </c>
      <c r="C24" s="256">
        <f>E144</f>
        <v>21.078707684352352</v>
      </c>
      <c r="D24" s="38" t="s">
        <v>408</v>
      </c>
      <c r="E24" s="443">
        <v>0.1174</v>
      </c>
    </row>
    <row r="25" spans="1:6">
      <c r="B25" s="1" t="s">
        <v>314</v>
      </c>
      <c r="C25" s="256">
        <f>E145</f>
        <v>23.777792687483654</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3529289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26496.890637468288</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-80141.889362531714</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-862286.77765936707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2533317.1438504755</v>
      </c>
      <c r="D60" s="1" t="str">
        <f>Reporting_currency</f>
        <v>CNY</v>
      </c>
    </row>
    <row r="61" spans="2:6">
      <c r="B61" s="44" t="s">
        <v>213</v>
      </c>
      <c r="C61" s="285">
        <f>Normalized_FCF!C19</f>
        <v>2586860.3329781014</v>
      </c>
      <c r="D61" s="1" t="str">
        <f>Reporting_currency</f>
        <v>CNY</v>
      </c>
    </row>
    <row r="62" spans="2:6">
      <c r="B62" s="204" t="s">
        <v>302</v>
      </c>
      <c r="C62" s="89">
        <f>Normalized_FCF!C124</f>
        <v>5.4909034543275642E-2</v>
      </c>
      <c r="F62" s="257"/>
    </row>
    <row r="63" spans="2:6">
      <c r="B63" s="204" t="s">
        <v>332</v>
      </c>
      <c r="C63" s="89">
        <f>Normalized_FCF!C92</f>
        <v>2.5612230920722474E-2</v>
      </c>
      <c r="E63" s="44" t="s">
        <v>322</v>
      </c>
      <c r="F63" s="258">
        <f>Normalized_FCF!C90</f>
        <v>0.52207559111376323</v>
      </c>
    </row>
    <row r="65" spans="1:6">
      <c r="B65" s="192" t="s">
        <v>325</v>
      </c>
      <c r="C65" s="264" t="s">
        <v>327</v>
      </c>
      <c r="D65" s="264" t="s">
        <v>328</v>
      </c>
    </row>
    <row r="66" spans="1:6">
      <c r="B66" s="44" t="s">
        <v>326</v>
      </c>
      <c r="C66" s="89">
        <f>Normalized_FCF!E119</f>
        <v>0.12695300103827109</v>
      </c>
      <c r="D66" s="89">
        <f>Normalized_FCF!G119</f>
        <v>0.13360996584747289</v>
      </c>
    </row>
    <row r="67" spans="1:6">
      <c r="B67" s="229" t="str">
        <f>Normalized_FCF!B116</f>
        <v>Pre-tax Profit/Sales</v>
      </c>
      <c r="C67" s="263">
        <f>Normalized_FCF!E116</f>
        <v>0.12028142178494372</v>
      </c>
      <c r="D67" s="263">
        <f>Normalized_FCF!G116</f>
        <v>0.12658855265601107</v>
      </c>
    </row>
    <row r="68" spans="1:6">
      <c r="B68" s="229" t="str">
        <f>Normalized_FCF!B117</f>
        <v>Sales/Total Assets</v>
      </c>
      <c r="C68" s="265">
        <f>Normalized_FCF!E117</f>
        <v>0.77964492924870721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-1777313</v>
      </c>
      <c r="D78" s="1" t="str">
        <f>Reporting_currency</f>
        <v>CNY</v>
      </c>
    </row>
    <row r="79" spans="1:6">
      <c r="A79" s="191"/>
      <c r="B79" s="44" t="s">
        <v>234</v>
      </c>
      <c r="C79" s="201">
        <f>C78*scaling_factor*Exchange_Rate/Common_Shares</f>
        <v>-0.76959973803332327</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14774707.560421951</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6.3976413091108286</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0.72258136148706609</v>
      </c>
      <c r="D90" s="1" t="str">
        <f>Market_currency</f>
        <v>HKD</v>
      </c>
    </row>
    <row r="91" spans="1:6">
      <c r="A91" s="191"/>
    </row>
    <row r="92" spans="1:6">
      <c r="A92" s="191"/>
      <c r="B92" s="44" t="s">
        <v>469</v>
      </c>
      <c r="C92" s="216">
        <f>DCF!F8</f>
        <v>6.3506229325645718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5.582900106771107</v>
      </c>
      <c r="D111" s="1" t="str">
        <f>Market_currency</f>
        <v>HKD</v>
      </c>
    </row>
    <row r="112" spans="2:6">
      <c r="B112" s="44" t="s">
        <v>323</v>
      </c>
      <c r="C112" s="216">
        <f>DCF!C11</f>
        <v>24.452154896238998</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39.36 HKD</v>
      </c>
      <c r="E118" s="208">
        <f>DCF!F90</f>
        <v>0.05</v>
      </c>
      <c r="F118" s="208">
        <f>RATE(Holding_Period,Scenarios!C$58,-DCF!E90,C$18)</f>
        <v>-9.6069680572106519E-2</v>
      </c>
    </row>
    <row r="119" spans="2:6">
      <c r="B119" s="205" t="str">
        <f>DCF!B91&amp;" ("&amp;DCF!D91&amp;"yrs)"</f>
        <v>Optimistic (10yrs)</v>
      </c>
      <c r="C119" s="198">
        <f>DCF!C91</f>
        <v>0.06</v>
      </c>
      <c r="D119" s="207" t="str">
        <f>ROUND(DCF!E91,2)&amp;" "&amp;Market_currency</f>
        <v>30.74 HKD</v>
      </c>
      <c r="E119" s="199">
        <f>DCF!F91</f>
        <v>0.22499999999999992</v>
      </c>
      <c r="F119" s="208">
        <f>RATE(Holding_Period,Scenarios!C$58,-DCF!E91,C$18)</f>
        <v>-1.7061581110670972E-2</v>
      </c>
    </row>
    <row r="120" spans="2:6">
      <c r="B120" s="205" t="str">
        <f>DCF!B92&amp;" ("&amp;DCF!D92&amp;"yrs)"</f>
        <v>Base (10yrs)</v>
      </c>
      <c r="C120" s="198">
        <f>DCF!C92</f>
        <v>0.04</v>
      </c>
      <c r="D120" s="207" t="str">
        <f>ROUND(DCF!E92,2)&amp;" "&amp;Market_currency</f>
        <v>27.32 HKD</v>
      </c>
      <c r="E120" s="199">
        <f>DCF!F92</f>
        <v>0.495</v>
      </c>
      <c r="F120" s="208">
        <f>RATE(Holding_Period,Scenarios!C$58,-DCF!E92,C$18)</f>
        <v>2.3100287783089802E-2</v>
      </c>
    </row>
    <row r="121" spans="2:6">
      <c r="B121" s="205" t="str">
        <f>DCF!B93&amp;" ("&amp;DCF!D93&amp;"yrs)"</f>
        <v>Pessimistic (10yrs)</v>
      </c>
      <c r="C121" s="198">
        <f>DCF!C93</f>
        <v>0.02</v>
      </c>
      <c r="D121" s="207" t="str">
        <f>ROUND(DCF!E93,2)&amp;" "&amp;Market_currency</f>
        <v>24.39 HKD</v>
      </c>
      <c r="E121" s="199">
        <f>DCF!F93</f>
        <v>0.18</v>
      </c>
      <c r="F121" s="208">
        <f>RATE(Holding_Period,Scenarios!C$58,-DCF!E93,C$18)</f>
        <v>6.3334667721622023E-2</v>
      </c>
    </row>
    <row r="122" spans="2:6">
      <c r="B122" s="205" t="str">
        <f>DCF!B94&amp;" ("&amp;DCF!D94&amp;"yrs)"</f>
        <v>Devil's advocate (10yrs)</v>
      </c>
      <c r="C122" s="198">
        <f>DCF!C94</f>
        <v>-0.05</v>
      </c>
      <c r="D122" s="207" t="str">
        <f>ROUND(DCF!E94,2)&amp;" "&amp;Market_currency</f>
        <v>17.09 HKD</v>
      </c>
      <c r="E122" s="199">
        <f>DCF!F94</f>
        <v>0.05</v>
      </c>
      <c r="F122" s="208">
        <f>RATE(Holding_Period,Scenarios!C$58,-DCF!E94,C$18)</f>
        <v>0.20016941454594125</v>
      </c>
    </row>
    <row r="124" spans="2:6">
      <c r="B124" s="463" t="s">
        <v>357</v>
      </c>
      <c r="C124" s="463"/>
      <c r="D124" s="463"/>
      <c r="E124" s="463"/>
      <c r="F124" s="463"/>
    </row>
    <row r="125" spans="2:6">
      <c r="B125" s="193" t="s">
        <v>218</v>
      </c>
      <c r="C125" s="197">
        <f>Scenarios!C36</f>
        <v>27.649613525671576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0.52248951078273842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0.95607825480679909</v>
      </c>
      <c r="D140" s="333">
        <f>Scenarios!D62</f>
        <v>12.741757385102112</v>
      </c>
      <c r="E140" s="334">
        <f>Scenarios!E62</f>
        <v>13.697835639908911</v>
      </c>
      <c r="F140" s="335">
        <f>E22</f>
        <v>0.29465259038036606</v>
      </c>
    </row>
    <row r="141" spans="1:6">
      <c r="B141" s="336" t="s">
        <v>313</v>
      </c>
      <c r="C141" s="333">
        <f>Scenarios!C63</f>
        <v>1.0993199930935711</v>
      </c>
      <c r="D141" s="333">
        <f>Scenarios!D63</f>
        <v>15.970895899304889</v>
      </c>
      <c r="E141" s="334">
        <f>Scenarios!E63</f>
        <v>17.070215892398458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1.2605598269845901</v>
      </c>
      <c r="D144" s="333">
        <f>Scenarios!D66</f>
        <v>19.818147857367762</v>
      </c>
      <c r="E144" s="334">
        <f>Scenarios!E66</f>
        <v>21.078707684352352</v>
      </c>
      <c r="F144" s="335">
        <f>E24</f>
        <v>0.1174</v>
      </c>
    </row>
    <row r="145" spans="1:6">
      <c r="B145" s="336" t="s">
        <v>314</v>
      </c>
      <c r="C145" s="333">
        <f>Scenarios!C67</f>
        <v>1.3649386544265742</v>
      </c>
      <c r="D145" s="333">
        <f>Scenarios!D67</f>
        <v>22.41285403305708</v>
      </c>
      <c r="E145" s="334">
        <f>Scenarios!E67</f>
        <v>23.777792687483654</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0.52248951078273842</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0.52248951078273842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11.764398851247801</v>
      </c>
      <c r="D47" s="134">
        <f>D46*H1/Common_Shares*Exchange_Rate</f>
        <v>5.582900106771107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14774707.560421951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-2208074.219789024</v>
      </c>
      <c r="D73" s="285">
        <f>(Normalized_FCF!C26+Normalized_FCF!C35-Normalized_FCF!C89)/12</f>
        <v>-2208074.219789024</v>
      </c>
      <c r="F73" s="1" t="s">
        <v>278</v>
      </c>
    </row>
    <row r="74" spans="2:6" ht="15" customHeight="1">
      <c r="B74" s="227" t="s">
        <v>259</v>
      </c>
      <c r="C74" s="228">
        <f>-$C$66/C73</f>
        <v>8.6912187226358899</v>
      </c>
      <c r="D74" s="228">
        <f>-$C$66/D73</f>
        <v>8.6912187226358899</v>
      </c>
      <c r="F74" s="223" t="s">
        <v>257</v>
      </c>
    </row>
    <row r="75" spans="2:6" ht="15" customHeight="1">
      <c r="B75" s="77" t="s">
        <v>258</v>
      </c>
      <c r="C75" s="261"/>
      <c r="D75" s="262">
        <f>MAX(-D73*D76,G5)</f>
        <v>4416148.439578048</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-1989269.872313651</v>
      </c>
      <c r="D86" s="201">
        <f>C86*scaling_factor/Common_Shares</f>
        <v>-0.76959973803332327</v>
      </c>
      <c r="E86" s="214" t="str">
        <f>Market_currency</f>
        <v>HKD</v>
      </c>
    </row>
    <row r="87" spans="2:8" ht="15" customHeight="1">
      <c r="B87" s="212" t="s">
        <v>240</v>
      </c>
      <c r="C87" s="73">
        <f>DCF!F5*Exchange_Rate</f>
        <v>16536693.661832277</v>
      </c>
      <c r="D87" s="201">
        <f>C87*scaling_factor/Common_Shares</f>
        <v>6.3976413091108286</v>
      </c>
      <c r="E87" s="214" t="str">
        <f>Market_currency</f>
        <v>HKD</v>
      </c>
    </row>
    <row r="88" spans="2:8" ht="15" customHeight="1">
      <c r="B88" s="213" t="s">
        <v>159</v>
      </c>
      <c r="C88" s="73">
        <f>DCF!F6*Exchange_Rate</f>
        <v>1867736.2551796515</v>
      </c>
      <c r="D88" s="201">
        <f>C88*scaling_factor/Common_Shares</f>
        <v>0.72258136148706609</v>
      </c>
      <c r="E88" s="214" t="str">
        <f>Market_currency</f>
        <v>HKD</v>
      </c>
    </row>
    <row r="89" spans="2:8" ht="15" customHeight="1">
      <c r="B89" s="77" t="s">
        <v>244</v>
      </c>
      <c r="C89" s="162">
        <f>SUM(C86:C88)</f>
        <v>16415160.044698277</v>
      </c>
      <c r="D89" s="216">
        <f>SUM(D86:D88)</f>
        <v>6.3506229325645709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-80141.889362531714</v>
      </c>
      <c r="E10" s="237"/>
      <c r="G10" s="266">
        <f>G48</f>
        <v>-155579.85614952448</v>
      </c>
      <c r="H10" s="266">
        <f t="shared" ref="H10:Q10" si="6">H48</f>
        <v>-66259.392465587283</v>
      </c>
      <c r="I10" s="266">
        <f t="shared" si="6"/>
        <v>-17526.428143268233</v>
      </c>
      <c r="J10" s="266">
        <f t="shared" si="6"/>
        <v>-79068.666551952861</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3449147.1106374683</v>
      </c>
      <c r="E11" s="237"/>
      <c r="G11" s="267">
        <f t="shared" ref="G11:Q11" si="7">IF(G$4="","",SUM(G8:G10))</f>
        <v>3630008.1438504755</v>
      </c>
      <c r="H11" s="267">
        <f t="shared" si="7"/>
        <v>3327494.6075344128</v>
      </c>
      <c r="I11" s="267">
        <f t="shared" si="7"/>
        <v>4240900.5718567315</v>
      </c>
      <c r="J11" s="267">
        <f t="shared" si="7"/>
        <v>4800499.3334480468</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-862286.77765936707</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2586860.3329781014</v>
      </c>
      <c r="D14" s="58"/>
      <c r="E14" s="243"/>
      <c r="F14" s="58"/>
      <c r="G14" s="267">
        <f t="shared" ref="G14:Q14" si="8">IF(G$4="","",SUM(G11:G13))</f>
        <v>2533317.1438504755</v>
      </c>
      <c r="H14" s="267">
        <f t="shared" si="8"/>
        <v>2258235.6075344128</v>
      </c>
      <c r="I14" s="267">
        <f t="shared" si="8"/>
        <v>2889571.5718567315</v>
      </c>
      <c r="J14" s="267">
        <f t="shared" si="8"/>
        <v>3483143.3334480468</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2586860.3329781014</v>
      </c>
      <c r="D19" s="26"/>
      <c r="E19" s="234"/>
      <c r="F19" s="26"/>
      <c r="G19" s="271">
        <f t="shared" ref="G19:Q19" si="9">IF(G$4="","",G14+G17)</f>
        <v>2533317.1438504755</v>
      </c>
      <c r="H19" s="271">
        <f t="shared" si="9"/>
        <v>2258235.6075344128</v>
      </c>
      <c r="I19" s="271">
        <f t="shared" si="9"/>
        <v>2889571.5718567315</v>
      </c>
      <c r="J19" s="271">
        <f t="shared" si="9"/>
        <v>3483143.3334480468</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0.30211805498505073</v>
      </c>
      <c r="H41" s="6">
        <f t="shared" si="16"/>
        <v>0.32132493846241111</v>
      </c>
      <c r="I41" s="6">
        <f t="shared" si="16"/>
        <v>0.31864199056389747</v>
      </c>
      <c r="J41" s="6">
        <f t="shared" si="16"/>
        <v>0.27441916111126502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26496.890637468288</v>
      </c>
      <c r="E46" s="237"/>
      <c r="G46" s="274">
        <f t="shared" ref="G46:Q46" si="17">IFERROR(IF(G$4="","",($C$46/$C$47)*G47),0)</f>
        <v>98841.143850475521</v>
      </c>
      <c r="H46" s="274">
        <f t="shared" si="17"/>
        <v>115186.60753441272</v>
      </c>
      <c r="I46" s="274">
        <f t="shared" si="17"/>
        <v>103034.57185673177</v>
      </c>
      <c r="J46" s="274">
        <f t="shared" si="17"/>
        <v>33389.333448047139</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-80141.889362531714</v>
      </c>
      <c r="E48" s="237"/>
      <c r="G48" s="267">
        <f>IF(G$4="","",(G45+G46))</f>
        <v>-155579.85614952448</v>
      </c>
      <c r="H48" s="267">
        <f t="shared" ref="H48:Q48" si="18">IF(H$4="","",(H45+H46))</f>
        <v>-66259.392465587283</v>
      </c>
      <c r="I48" s="267">
        <f t="shared" si="18"/>
        <v>-17526.428143268233</v>
      </c>
      <c r="J48" s="267">
        <f t="shared" si="18"/>
        <v>-79068.666551952861</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2.7947721821802466E-3</v>
      </c>
      <c r="D76" s="26"/>
      <c r="E76" s="234"/>
      <c r="F76" s="26"/>
      <c r="G76" s="6">
        <f t="shared" ref="G76:Q76" si="28">IF(G$4="","",ABS(G10/G$4))</f>
        <v>5.4255054071333112E-3</v>
      </c>
      <c r="H76" s="6">
        <f t="shared" si="28"/>
        <v>2.400833888548011E-3</v>
      </c>
      <c r="I76" s="6">
        <f t="shared" si="28"/>
        <v>6.7922985692489362E-4</v>
      </c>
      <c r="J76" s="6">
        <f t="shared" si="28"/>
        <v>3.5029098987361031E-3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0.12028142178494369</v>
      </c>
      <c r="D77" s="26"/>
      <c r="E77" s="234"/>
      <c r="F77" s="26"/>
      <c r="G77" s="62">
        <f t="shared" ref="G77:Q77" si="29">IF(G$4="","",G11/G$4)</f>
        <v>0.12658855265601107</v>
      </c>
      <c r="H77" s="62">
        <f t="shared" si="29"/>
        <v>0.12056799074755256</v>
      </c>
      <c r="I77" s="62">
        <f t="shared" si="29"/>
        <v>0.1643544403405062</v>
      </c>
      <c r="J77" s="62">
        <f t="shared" si="29"/>
        <v>0.2126723184709621</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3.0070355446235923E-2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9.0211066338707777E-2</v>
      </c>
      <c r="D80" s="26"/>
      <c r="E80" s="234"/>
      <c r="F80" s="26"/>
      <c r="G80" s="62">
        <f t="shared" ref="G80:Q80" si="32">IF(G$4="","",ABS(G14/G$4))</f>
        <v>8.8343865344204325E-2</v>
      </c>
      <c r="H80" s="62">
        <f t="shared" si="32"/>
        <v>8.1824604379073212E-2</v>
      </c>
      <c r="I80" s="62">
        <f t="shared" si="32"/>
        <v>0.11198421431239197</v>
      </c>
      <c r="J80" s="62">
        <f t="shared" si="32"/>
        <v>0.15431064912970235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9.0211066338707777E-2</v>
      </c>
      <c r="D85" s="72"/>
      <c r="E85" s="234"/>
      <c r="F85" s="72"/>
      <c r="G85" s="62">
        <f t="shared" ref="G85:Q85" si="35">IF(G$4="","",ABS(G19/G$4))</f>
        <v>8.8343865344204325E-2</v>
      </c>
      <c r="H85" s="62">
        <f t="shared" si="35"/>
        <v>8.1824604379073212E-2</v>
      </c>
      <c r="I85" s="62">
        <f t="shared" si="35"/>
        <v>0.11198421431239197</v>
      </c>
      <c r="J85" s="62">
        <f t="shared" si="35"/>
        <v>0.15431064912970235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0.52248951078273842</v>
      </c>
      <c r="E88" s="237"/>
      <c r="G88" s="109">
        <f>Data!C65</f>
        <v>0.52248951078273842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1350536.6374682884</v>
      </c>
      <c r="E89" s="237"/>
      <c r="G89" s="71">
        <f t="shared" ref="G89:Q89" si="36">IF(G$4="","",G88*Common_Shares/scaling_factor)</f>
        <v>1350536.6374682884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0.52207559111376323</v>
      </c>
      <c r="E90" s="237"/>
      <c r="G90" s="152">
        <f t="shared" ref="G90:Q90" si="37">IF(G$4="","",G88/(G19*scaling_factor/Common_Shares))</f>
        <v>0.53310997430647855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2.5612230920722474E-2</v>
      </c>
      <c r="E92" s="237"/>
      <c r="G92" s="22">
        <f t="shared" ref="G92:Q92" si="38">IF(G$4="","",(G88*(1-dividend_tax_rate))/Market_Price)</f>
        <v>2.5612230920722474E-2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-4.9823864312646293E-2</v>
      </c>
      <c r="D96" s="26"/>
      <c r="E96" s="234"/>
      <c r="F96" s="26"/>
      <c r="G96" s="6">
        <f t="shared" ref="G96:Q96" si="40">IF(H5="","",G11/H11-1)</f>
        <v>9.0913306254827297E-2</v>
      </c>
      <c r="H96" s="6">
        <f t="shared" si="40"/>
        <v>-0.21538018844012075</v>
      </c>
      <c r="I96" s="6">
        <f t="shared" si="40"/>
        <v>-0.11657094871199014</v>
      </c>
      <c r="J96" s="6">
        <f t="shared" si="40"/>
        <v>1.4642524638411372</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237"/>
      <c r="G113" s="251">
        <f>IF(G$4="","",Data!C$22/G19)</f>
        <v>2.079461315290783</v>
      </c>
      <c r="H113" s="251">
        <f>IF(H$4="","",Data!D$22/H19)</f>
        <v>2.0759286517133537</v>
      </c>
      <c r="I113" s="251">
        <f>IF(I$4="","",Data!E$22/I19)</f>
        <v>1.3543890167376138</v>
      </c>
      <c r="J113" s="251">
        <f>IF(J$4="","",Data!F$22/J19)</f>
        <v>1.8734040994920571</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
        <v>553</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0.12028142178494369</v>
      </c>
      <c r="E116" s="22">
        <f>E119/E117/E118</f>
        <v>0.12028142178494372</v>
      </c>
      <c r="G116" s="22">
        <f t="shared" ref="G116:Q116" si="44">IF(G4="","",G77)</f>
        <v>0.12658855265601107</v>
      </c>
      <c r="H116" s="22">
        <f t="shared" si="44"/>
        <v>0.12056799074755256</v>
      </c>
      <c r="I116" s="22">
        <f t="shared" si="44"/>
        <v>0.1643544403405062</v>
      </c>
      <c r="J116" s="22">
        <f t="shared" si="44"/>
        <v>0.2126723184709621</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8">
        <f>C117</f>
        <v>0.77964492924870721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0.12695300103827109</v>
      </c>
      <c r="D119" s="100"/>
      <c r="E119" s="453">
        <f>C11/C104</f>
        <v>0.12695300103827109</v>
      </c>
      <c r="F119" s="100"/>
      <c r="G119" s="99">
        <f t="shared" ref="G119:Q119" si="47">IF(G$4="","",G11/G104)</f>
        <v>0.13360996584747289</v>
      </c>
      <c r="H119" s="99">
        <f t="shared" si="47"/>
        <v>0.1363356230599046</v>
      </c>
      <c r="I119" s="99">
        <f t="shared" si="47"/>
        <v>0.17429365120005005</v>
      </c>
      <c r="J119" s="99">
        <f t="shared" si="47"/>
        <v>0.22746754143390416</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1.120144304682823</v>
      </c>
      <c r="D123" s="26"/>
      <c r="E123" s="234"/>
      <c r="F123" s="26"/>
      <c r="G123" s="159">
        <f t="shared" ref="G123:Q123" si="48">IF(G$4="","",G14*$C$3/Common_Shares*Exchange_Rate)</f>
        <v>1.0969594045970814</v>
      </c>
      <c r="H123" s="159">
        <f t="shared" si="48"/>
        <v>0.97784550722129793</v>
      </c>
      <c r="I123" s="159">
        <f t="shared" si="48"/>
        <v>1.2512222240705371</v>
      </c>
      <c r="J123" s="159">
        <f t="shared" si="48"/>
        <v>1.5082465479935909</v>
      </c>
      <c r="K123" s="159">
        <f t="shared" si="48"/>
        <v>0.60564410657774981</v>
      </c>
      <c r="L123" s="159">
        <f t="shared" si="48"/>
        <v>0.59677426708753367</v>
      </c>
      <c r="M123" s="159">
        <f t="shared" si="48"/>
        <v>0.25678973407942307</v>
      </c>
      <c r="N123" s="159">
        <f t="shared" si="48"/>
        <v>0.19636232875335599</v>
      </c>
      <c r="O123" s="159">
        <f t="shared" si="48"/>
        <v>0.10020961404919888</v>
      </c>
      <c r="P123" s="159">
        <f t="shared" si="48"/>
        <v>5.2104461328730386E-3</v>
      </c>
      <c r="Q123" s="159" t="str">
        <f t="shared" si="48"/>
        <v/>
      </c>
    </row>
    <row r="124" spans="1:17" ht="15.75" customHeight="1">
      <c r="A124" s="10"/>
      <c r="B124" s="26" t="s">
        <v>226</v>
      </c>
      <c r="C124" s="74">
        <f>C19*Exchange_Rate*$C$3/(Market_Price*Common_Shares)</f>
        <v>5.4909034543275642E-2</v>
      </c>
      <c r="D124" s="26"/>
      <c r="E124" s="234"/>
      <c r="F124" s="26"/>
      <c r="G124" s="74">
        <f t="shared" ref="G124" si="49">IF(G$4="","",G123/Market_Price)</f>
        <v>5.3772519833190272E-2</v>
      </c>
      <c r="H124" s="74">
        <f t="shared" ref="H124" si="50">IF(H$4="","",H123/Market_Price)</f>
        <v>4.7933603295161664E-2</v>
      </c>
      <c r="I124" s="74">
        <f t="shared" ref="I124" si="51">IF(I$4="","",I123/Market_Price)</f>
        <v>6.1334422748555745E-2</v>
      </c>
      <c r="J124" s="74">
        <f t="shared" ref="J124" si="52">IF(J$4="","",J123/Market_Price)</f>
        <v>7.3933654313411326E-2</v>
      </c>
      <c r="K124" s="74">
        <f t="shared" ref="K124" si="53">IF(K$4="","",K123/Market_Price)</f>
        <v>2.968843659694852E-2</v>
      </c>
      <c r="L124" s="74">
        <f t="shared" ref="L124" si="54">IF(L$4="","",L123/Market_Price)</f>
        <v>2.9253640543506553E-2</v>
      </c>
      <c r="M124" s="74">
        <f t="shared" ref="M124" si="55">IF(M$4="","",M123/Market_Price)</f>
        <v>1.2587732062716819E-2</v>
      </c>
      <c r="N124" s="74">
        <f t="shared" ref="N124" si="56">IF(N$4="","",N123/Market_Price)</f>
        <v>9.6256043506547061E-3</v>
      </c>
      <c r="O124" s="74">
        <f t="shared" ref="O124" si="57">IF(O$4="","",O123/Market_Price)</f>
        <v>4.912235982803867E-3</v>
      </c>
      <c r="P124" s="74">
        <f t="shared" ref="P124" si="58">IF(P$4="","",P123/Market_Price)</f>
        <v>2.5541402612122739E-4</v>
      </c>
      <c r="Q124" s="74" t="str">
        <f t="shared" ref="Q124" si="59">IF(Q$4="","",Q123/Market_Price)</f>
        <v/>
      </c>
    </row>
    <row r="125" spans="1:17" ht="15.75" customHeight="1">
      <c r="B125" s="2" t="s">
        <v>306</v>
      </c>
      <c r="C125" s="151"/>
      <c r="G125" s="22">
        <f>IF(G$4="","",(Data!C47*$C$3)/(Market_Price*Common_Shares))</f>
        <v>5.7138436248467386E-2</v>
      </c>
      <c r="H125" s="22">
        <f>IF(H$4="","",(Data!D47*$C$3)/(Market_Price*Common_Shares))</f>
        <v>6.0439090962079986E-2</v>
      </c>
      <c r="I125" s="22">
        <f>IF(I$4="","",(Data!E47*$C$3)/(Market_Price*Common_Shares))</f>
        <v>7.7067321517502479E-2</v>
      </c>
      <c r="J125" s="22">
        <f>IF(J$4="","",(Data!F47*$C$3)/(Market_Price*Common_Shares))</f>
        <v>7.6064422691803385E-2</v>
      </c>
      <c r="K125" s="22">
        <f>IF(K$4="","",(Data!G47*$C$3)/(Market_Price*Common_Shares))</f>
        <v>3.221087323088178E-2</v>
      </c>
      <c r="L125" s="22">
        <f>IF(L$4="","",(Data!H47*$C$3)/(Market_Price*Common_Shares))</f>
        <v>2.8430473956754264E-2</v>
      </c>
      <c r="M125" s="22">
        <f>IF(M$4="","",(Data!I47*$C$3)/(Market_Price*Common_Shares))</f>
        <v>1.3564593967173195E-2</v>
      </c>
      <c r="N125" s="22">
        <f>IF(N$4="","",(Data!J47*$C$3)/(Market_Price*Common_Shares))</f>
        <v>9.7696489335518649E-3</v>
      </c>
      <c r="O125" s="22">
        <f>IF(O$4="","",(Data!K47*$C$3)/(Market_Price*Common_Shares))</f>
        <v>1.3291619179488817E-2</v>
      </c>
      <c r="P125" s="22">
        <f>IF(P$4="","",(Data!L47*$C$3)/(Market_Price*Common_Shares))</f>
        <v>1.1683070581697986E-3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2586860.3329781014</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14774707.560421951</v>
      </c>
      <c r="G5" t="str">
        <f>Reporting_currency</f>
        <v>CNY</v>
      </c>
      <c r="H5" s="308" t="s">
        <v>395</v>
      </c>
      <c r="I5" s="305">
        <f>Normalized_FCF!C7</f>
        <v>-1427907</v>
      </c>
      <c r="J5" s="305"/>
    </row>
    <row r="6" spans="2:15" ht="13.25" customHeight="1">
      <c r="B6" s="136" t="s">
        <v>194</v>
      </c>
      <c r="C6" s="283">
        <f>(C4*(1+Terminal_Growth))/(Equity_Cost-Terminal_Growth)</f>
        <v>41803662.980926126</v>
      </c>
      <c r="D6" t="str">
        <f>Reporting_currency</f>
        <v>CNY</v>
      </c>
      <c r="E6" s="187" t="s">
        <v>433</v>
      </c>
      <c r="F6" s="284">
        <f>BS!H42</f>
        <v>1668728.8</v>
      </c>
      <c r="G6" t="str">
        <f>Reporting_currency</f>
        <v>CNY</v>
      </c>
      <c r="H6" s="308" t="s">
        <v>416</v>
      </c>
      <c r="I6" s="305">
        <f>I7+I8</f>
        <v>-80141.889362531714</v>
      </c>
      <c r="J6" s="305"/>
      <c r="N6" s="135"/>
    </row>
    <row r="7" spans="2:15" ht="12.75" customHeight="1">
      <c r="B7" s="318" t="s">
        <v>430</v>
      </c>
      <c r="C7" s="275">
        <f>F7</f>
        <v>14666123.360421952</v>
      </c>
      <c r="E7" s="140" t="s">
        <v>424</v>
      </c>
      <c r="F7" s="283">
        <f>SUM(F4:F6)</f>
        <v>14666123.360421952</v>
      </c>
      <c r="G7" t="str">
        <f>Reporting_currency</f>
        <v>CNY</v>
      </c>
      <c r="H7" s="312" t="s">
        <v>417</v>
      </c>
      <c r="I7" s="313">
        <f>Normalized_FCF!C9</f>
        <v>0</v>
      </c>
      <c r="J7" s="313"/>
      <c r="N7" s="304"/>
      <c r="O7" s="304"/>
    </row>
    <row r="8" spans="2:15" ht="13.15">
      <c r="B8" s="136" t="s">
        <v>426</v>
      </c>
      <c r="C8" s="283">
        <f>C6+C7</f>
        <v>56469786.341348082</v>
      </c>
      <c r="D8" t="str">
        <f>Reporting_currency</f>
        <v>CNY</v>
      </c>
      <c r="E8" s="140" t="s">
        <v>464</v>
      </c>
      <c r="F8" s="108">
        <f>FV_adjustments*scaling_factor/Common_Shares*Exchange_Rate</f>
        <v>6.3506229325645718</v>
      </c>
      <c r="G8" s="294" t="str">
        <f>Market_currency</f>
        <v>HKD</v>
      </c>
      <c r="H8" s="314" t="str">
        <f>Normalized_FCF!B10</f>
        <v>Net Interest Income</v>
      </c>
      <c r="I8" s="313">
        <f>Normalized_FCF!C10</f>
        <v>-80141.889362531714</v>
      </c>
      <c r="J8" s="313"/>
      <c r="N8" s="304"/>
      <c r="O8" s="304"/>
    </row>
    <row r="9" spans="2:15" ht="13.15" thickBot="1">
      <c r="B9" s="189" t="str">
        <f>"*"&amp;Thesis!E15</f>
        <v>*CNY/HKD</v>
      </c>
      <c r="C9" s="190">
        <f>Exchange_Rate</f>
        <v>1.1192569189071655</v>
      </c>
      <c r="D9" t="str">
        <f>Thesis!E15</f>
        <v>CNY/HKD</v>
      </c>
      <c r="F9" s="322"/>
      <c r="H9" s="308" t="str">
        <f>Normalized_FCF!B79</f>
        <v>NCI’s Share of Profits</v>
      </c>
      <c r="I9" s="144">
        <f>Normalized_FCF!C79</f>
        <v>0</v>
      </c>
      <c r="J9" s="306"/>
      <c r="N9" s="304"/>
      <c r="O9" s="304"/>
    </row>
    <row r="10" spans="2:15" ht="13.5" thickTop="1">
      <c r="B10" s="107" t="s">
        <v>427</v>
      </c>
      <c r="C10" s="283">
        <f>C8*Exchange_Rate</f>
        <v>63204199.071763195</v>
      </c>
      <c r="D10" t="str">
        <f>Market_currency</f>
        <v>HKD</v>
      </c>
      <c r="H10" s="308" t="s">
        <v>397</v>
      </c>
      <c r="I10" s="306">
        <f>Normalized_FCF!C41</f>
        <v>0.25</v>
      </c>
      <c r="N10" s="304"/>
      <c r="O10" s="304"/>
    </row>
    <row r="11" spans="2:15" ht="13.15">
      <c r="B11" s="136" t="s">
        <v>425</v>
      </c>
      <c r="C11" s="108">
        <f>(C10*scaling_factor)/Common_Shares</f>
        <v>24.452154896238998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10</v>
      </c>
      <c r="E15" s="308" t="str">
        <f>IF(F14="II","Change year","Terminal Year")</f>
        <v>Terminal Year</v>
      </c>
      <c r="F15" s="310">
        <f>IF(F14="II",_xlfn.CEILING.MATH(C15/2),C15+1)</f>
        <v>11</v>
      </c>
      <c r="H15" s="97" t="s">
        <v>429</v>
      </c>
      <c r="I15" s="126">
        <f>Terminal_Growth</f>
        <v>0.01</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0.12028142178494369</v>
      </c>
      <c r="E17" s="308" t="s">
        <v>550</v>
      </c>
      <c r="F17" s="311">
        <f>Scenarios!C40</f>
        <v>0.12028142178494372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24.19861167675089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554</v>
      </c>
      <c r="I20" s="121" t="s">
        <v>530</v>
      </c>
      <c r="J20" s="121" t="s">
        <v>552</v>
      </c>
      <c r="K20" s="121" t="s">
        <v>531</v>
      </c>
      <c r="L20" s="122" t="s">
        <v>419</v>
      </c>
    </row>
    <row r="21" spans="1:21">
      <c r="A21" s="302" t="str">
        <f t="shared" ref="A21:A50" si="0">IF($C$15&lt;B21,"",IF(B21&gt;=$F$15,"II","I"))</f>
        <v>I</v>
      </c>
      <c r="B21" s="117">
        <v>1</v>
      </c>
      <c r="C21" s="277">
        <f>I4*(1+D21)</f>
        <v>29209383.090896934</v>
      </c>
      <c r="D21" s="299">
        <f t="shared" ref="D21:D50" si="1">IF(A21="",0,IF(A21="I",$C$16,$F$16))</f>
        <v>1.8613012126595999E-2</v>
      </c>
      <c r="E21" s="299">
        <f>$C$17</f>
        <v>0.12028142178494369</v>
      </c>
      <c r="F21" s="277">
        <f>C21*E21</f>
        <v>3513346.1276341765</v>
      </c>
      <c r="G21" s="299">
        <f t="shared" ref="G21:G50" si="2">IF(A21="",0%,IF(A21="I",$C$18,$F$18))</f>
        <v>0</v>
      </c>
      <c r="H21" s="277">
        <f>(F21*(1-$I$10)+C21*(G21-$I$9))</f>
        <v>2635009.5957256323</v>
      </c>
      <c r="I21" s="299">
        <f>H21/C4-1</f>
        <v>1.8613012126595718E-2</v>
      </c>
      <c r="J21" s="299">
        <f>H21/C21</f>
        <v>9.0211066338707763E-2</v>
      </c>
      <c r="K21" s="119">
        <f t="shared" ref="K21:K50" si="3">IF($C$15&lt;B21,0,1/(1+Equity_Cost)^B21)</f>
        <v>0.93240093240093236</v>
      </c>
      <c r="L21" s="277">
        <f t="shared" ref="L21:L51" si="4">H21*K21</f>
        <v>2456885.4039399833</v>
      </c>
    </row>
    <row r="22" spans="1:21">
      <c r="A22" s="302" t="str">
        <f t="shared" si="0"/>
        <v>I</v>
      </c>
      <c r="B22" s="117">
        <v>2</v>
      </c>
      <c r="C22" s="277">
        <f t="shared" ref="C22:C50" si="5">IF(A22="",0,C21*(1+D22))</f>
        <v>29753057.692578185</v>
      </c>
      <c r="D22" s="299">
        <f t="shared" si="1"/>
        <v>1.8613012126595999E-2</v>
      </c>
      <c r="E22" s="299">
        <f t="shared" ref="E22:E50" si="6">IF($C$15&lt;B22,0,IF(B22&gt;=$F$15,$F$17,$C$17))</f>
        <v>0.12028142178494369</v>
      </c>
      <c r="F22" s="277">
        <f t="shared" ref="F22:F50" si="7">IF(A22="", 0,C22*E22)</f>
        <v>3578740.0817127605</v>
      </c>
      <c r="G22" s="299">
        <f t="shared" si="2"/>
        <v>0</v>
      </c>
      <c r="H22" s="277">
        <f t="shared" ref="H22:H50" si="8">IF(A22="", 0,F22*(1-$I$10)+C22*(G22-$I$9))</f>
        <v>2684055.0612845705</v>
      </c>
      <c r="I22" s="299">
        <f t="shared" ref="I22:I50" si="9">IF(A22="", 0,H22/H21-1)</f>
        <v>1.8613012126596162E-2</v>
      </c>
      <c r="J22" s="299">
        <f>IF(A22="", 0,H22/C22)</f>
        <v>9.0211066338707777E-2</v>
      </c>
      <c r="K22" s="119">
        <f t="shared" si="3"/>
        <v>0.86937149874212816</v>
      </c>
      <c r="L22" s="277">
        <f t="shared" si="4"/>
        <v>2333440.9713353617</v>
      </c>
    </row>
    <row r="23" spans="1:21">
      <c r="A23" s="302" t="str">
        <f t="shared" si="0"/>
        <v>I</v>
      </c>
      <c r="B23" s="117">
        <v>3</v>
      </c>
      <c r="C23" s="277">
        <f t="shared" si="5"/>
        <v>30306851.716213454</v>
      </c>
      <c r="D23" s="299">
        <f t="shared" si="1"/>
        <v>1.8613012126595999E-2</v>
      </c>
      <c r="E23" s="299">
        <f t="shared" si="6"/>
        <v>0.12028142178494369</v>
      </c>
      <c r="F23" s="277">
        <f t="shared" si="7"/>
        <v>3645351.2142516151</v>
      </c>
      <c r="G23" s="299">
        <f t="shared" si="2"/>
        <v>0</v>
      </c>
      <c r="H23" s="277">
        <f t="shared" si="8"/>
        <v>2734013.4106887113</v>
      </c>
      <c r="I23" s="299">
        <f t="shared" si="9"/>
        <v>1.861301212659594E-2</v>
      </c>
      <c r="J23" s="299">
        <f t="shared" ref="J23:J50" si="10">IF(A23="", 0,H23/C23)</f>
        <v>9.0211066338707777E-2</v>
      </c>
      <c r="K23" s="119">
        <f t="shared" si="3"/>
        <v>0.81060279602995633</v>
      </c>
      <c r="L23" s="277">
        <f t="shared" si="4"/>
        <v>2216198.9150876668</v>
      </c>
      <c r="N23" s="275"/>
      <c r="O23" s="275"/>
      <c r="P23" s="275"/>
      <c r="Q23" s="275"/>
      <c r="R23" s="275"/>
      <c r="S23" s="275"/>
      <c r="T23" s="275"/>
      <c r="U23" s="275"/>
    </row>
    <row r="24" spans="1:21">
      <c r="A24" s="302" t="str">
        <f t="shared" si="0"/>
        <v>I</v>
      </c>
      <c r="B24" s="117">
        <v>4</v>
      </c>
      <c r="C24" s="277">
        <f t="shared" si="5"/>
        <v>30870953.514726281</v>
      </c>
      <c r="D24" s="299">
        <f t="shared" si="1"/>
        <v>1.8613012126595999E-2</v>
      </c>
      <c r="E24" s="299">
        <f t="shared" si="6"/>
        <v>0.12028142178494369</v>
      </c>
      <c r="F24" s="277">
        <f t="shared" si="7"/>
        <v>3713202.1806081817</v>
      </c>
      <c r="G24" s="299">
        <f t="shared" si="2"/>
        <v>0</v>
      </c>
      <c r="H24" s="277">
        <f t="shared" si="8"/>
        <v>2784901.6354561364</v>
      </c>
      <c r="I24" s="299">
        <f t="shared" si="9"/>
        <v>1.861301212659594E-2</v>
      </c>
      <c r="J24" s="299">
        <f t="shared" si="10"/>
        <v>9.0211066338707777E-2</v>
      </c>
      <c r="K24" s="119">
        <f t="shared" si="3"/>
        <v>0.75580680282513402</v>
      </c>
      <c r="L24" s="277">
        <f t="shared" si="4"/>
        <v>2104847.6012765896</v>
      </c>
      <c r="N24" s="275"/>
      <c r="O24" s="275"/>
      <c r="P24" s="275"/>
      <c r="Q24" s="275"/>
      <c r="R24" s="275"/>
      <c r="S24" s="275"/>
      <c r="T24" s="275"/>
      <c r="U24" s="275"/>
    </row>
    <row r="25" spans="1:21">
      <c r="A25" s="302" t="str">
        <f t="shared" si="0"/>
        <v>I</v>
      </c>
      <c r="B25" s="117">
        <v>5</v>
      </c>
      <c r="C25" s="277">
        <f t="shared" si="5"/>
        <v>31445554.946855459</v>
      </c>
      <c r="D25" s="299">
        <f t="shared" si="1"/>
        <v>1.8613012126595999E-2</v>
      </c>
      <c r="E25" s="299">
        <f t="shared" si="6"/>
        <v>0.12028142178494369</v>
      </c>
      <c r="F25" s="277">
        <f t="shared" si="7"/>
        <v>3782316.0578243444</v>
      </c>
      <c r="G25" s="299">
        <f t="shared" si="2"/>
        <v>0</v>
      </c>
      <c r="H25" s="277">
        <f t="shared" si="8"/>
        <v>2836737.0433682585</v>
      </c>
      <c r="I25" s="299">
        <f t="shared" si="9"/>
        <v>1.861301212659594E-2</v>
      </c>
      <c r="J25" s="299">
        <f t="shared" si="10"/>
        <v>9.0211066338707777E-2</v>
      </c>
      <c r="K25" s="119">
        <f t="shared" si="3"/>
        <v>0.70471496766912267</v>
      </c>
      <c r="L25" s="277">
        <f t="shared" si="4"/>
        <v>1999091.0538030649</v>
      </c>
      <c r="N25" s="275"/>
      <c r="O25" s="275"/>
      <c r="P25" s="275"/>
      <c r="Q25" s="275"/>
      <c r="R25" s="275"/>
      <c r="S25" s="275"/>
      <c r="T25" s="275"/>
      <c r="U25" s="275"/>
    </row>
    <row r="26" spans="1:21">
      <c r="A26" s="302" t="str">
        <f t="shared" si="0"/>
        <v>I</v>
      </c>
      <c r="B26" s="117">
        <v>6</v>
      </c>
      <c r="C26" s="277">
        <f t="shared" si="5"/>
        <v>32030851.442408819</v>
      </c>
      <c r="D26" s="299">
        <f t="shared" si="1"/>
        <v>1.8613012126595999E-2</v>
      </c>
      <c r="E26" s="299">
        <f t="shared" si="6"/>
        <v>0.12028142178494369</v>
      </c>
      <c r="F26" s="277">
        <f t="shared" si="7"/>
        <v>3852716.3524752473</v>
      </c>
      <c r="G26" s="299">
        <f t="shared" si="2"/>
        <v>0</v>
      </c>
      <c r="H26" s="277">
        <f t="shared" si="8"/>
        <v>2889537.2643564353</v>
      </c>
      <c r="I26" s="299">
        <f t="shared" si="9"/>
        <v>1.8613012126595718E-2</v>
      </c>
      <c r="J26" s="299">
        <f t="shared" si="10"/>
        <v>9.0211066338707763E-2</v>
      </c>
      <c r="K26" s="119">
        <f t="shared" si="3"/>
        <v>0.65707689293158289</v>
      </c>
      <c r="L26" s="277">
        <f t="shared" si="4"/>
        <v>1898648.1676733524</v>
      </c>
    </row>
    <row r="27" spans="1:21">
      <c r="A27" s="302" t="str">
        <f t="shared" si="0"/>
        <v>I</v>
      </c>
      <c r="B27" s="117">
        <v>7</v>
      </c>
      <c r="C27" s="277">
        <f t="shared" si="5"/>
        <v>32627042.068731569</v>
      </c>
      <c r="D27" s="299">
        <f t="shared" si="1"/>
        <v>1.8613012126595999E-2</v>
      </c>
      <c r="E27" s="299">
        <f t="shared" si="6"/>
        <v>0.12028142178494369</v>
      </c>
      <c r="F27" s="277">
        <f t="shared" si="7"/>
        <v>3924427.0086642038</v>
      </c>
      <c r="G27" s="299">
        <f t="shared" si="2"/>
        <v>0</v>
      </c>
      <c r="H27" s="277">
        <f t="shared" si="8"/>
        <v>2943320.2564981529</v>
      </c>
      <c r="I27" s="299">
        <f t="shared" si="9"/>
        <v>1.8613012126596162E-2</v>
      </c>
      <c r="J27" s="299">
        <f t="shared" si="10"/>
        <v>9.0211066338707777E-2</v>
      </c>
      <c r="K27" s="119">
        <f t="shared" si="3"/>
        <v>0.61265910762851561</v>
      </c>
      <c r="L27" s="277">
        <f t="shared" si="4"/>
        <v>1803251.961811092</v>
      </c>
    </row>
    <row r="28" spans="1:21">
      <c r="A28" s="302" t="str">
        <f t="shared" si="0"/>
        <v>I</v>
      </c>
      <c r="B28" s="117">
        <v>8</v>
      </c>
      <c r="C28" s="277">
        <f t="shared" si="5"/>
        <v>33234329.598411825</v>
      </c>
      <c r="D28" s="299">
        <f t="shared" si="1"/>
        <v>1.8613012126595999E-2</v>
      </c>
      <c r="E28" s="299">
        <f t="shared" si="6"/>
        <v>0.12028142178494369</v>
      </c>
      <c r="F28" s="277">
        <f t="shared" si="7"/>
        <v>3997472.4161664108</v>
      </c>
      <c r="G28" s="299">
        <f t="shared" si="2"/>
        <v>0</v>
      </c>
      <c r="H28" s="277">
        <f t="shared" si="8"/>
        <v>2998104.3121248083</v>
      </c>
      <c r="I28" s="299">
        <f t="shared" si="9"/>
        <v>1.861301212659594E-2</v>
      </c>
      <c r="J28" s="299">
        <f t="shared" si="10"/>
        <v>9.0211066338707777E-2</v>
      </c>
      <c r="K28" s="119">
        <f t="shared" si="3"/>
        <v>0.5712439231967511</v>
      </c>
      <c r="L28" s="277">
        <f t="shared" si="4"/>
        <v>1712648.8694112722</v>
      </c>
    </row>
    <row r="29" spans="1:21">
      <c r="A29" s="302" t="str">
        <f t="shared" si="0"/>
        <v>I</v>
      </c>
      <c r="B29" s="117">
        <v>9</v>
      </c>
      <c r="C29" s="277">
        <f t="shared" si="5"/>
        <v>33852920.578246348</v>
      </c>
      <c r="D29" s="299">
        <f t="shared" si="1"/>
        <v>1.8613012126595999E-2</v>
      </c>
      <c r="E29" s="299">
        <f t="shared" si="6"/>
        <v>0.12028142178494369</v>
      </c>
      <c r="F29" s="277">
        <f t="shared" si="7"/>
        <v>4071877.4187242487</v>
      </c>
      <c r="G29" s="299">
        <f t="shared" si="2"/>
        <v>0</v>
      </c>
      <c r="H29" s="277">
        <f t="shared" si="8"/>
        <v>3053908.0640431866</v>
      </c>
      <c r="I29" s="299">
        <f t="shared" si="9"/>
        <v>1.8613012126595718E-2</v>
      </c>
      <c r="J29" s="299">
        <f t="shared" si="10"/>
        <v>9.0211066338707763E-2</v>
      </c>
      <c r="K29" s="119">
        <f t="shared" si="3"/>
        <v>0.53262836661701729</v>
      </c>
      <c r="L29" s="277">
        <f t="shared" si="4"/>
        <v>1626598.0639498599</v>
      </c>
    </row>
    <row r="30" spans="1:21">
      <c r="A30" s="302" t="str">
        <f t="shared" si="0"/>
        <v>I</v>
      </c>
      <c r="B30" s="117">
        <v>10</v>
      </c>
      <c r="C30" s="277">
        <f t="shared" si="5"/>
        <v>34483025.399489939</v>
      </c>
      <c r="D30" s="299">
        <f t="shared" si="1"/>
        <v>1.8613012126595999E-2</v>
      </c>
      <c r="E30" s="299">
        <f t="shared" si="6"/>
        <v>0.12028142178494369</v>
      </c>
      <c r="F30" s="277">
        <f t="shared" si="7"/>
        <v>4147667.3224969758</v>
      </c>
      <c r="G30" s="299">
        <f t="shared" si="2"/>
        <v>0</v>
      </c>
      <c r="H30" s="277">
        <f t="shared" si="8"/>
        <v>3110750.4918727316</v>
      </c>
      <c r="I30" s="299">
        <f t="shared" si="9"/>
        <v>1.861301212659594E-2</v>
      </c>
      <c r="J30" s="299">
        <f t="shared" si="10"/>
        <v>9.0211066338707763E-2</v>
      </c>
      <c r="K30" s="119">
        <f t="shared" si="3"/>
        <v>0.49662318565689262</v>
      </c>
      <c r="L30" s="277">
        <f t="shared" si="4"/>
        <v>1544870.8190575817</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34827855.653484836</v>
      </c>
      <c r="D51" s="301">
        <f>Terminal_Growth</f>
        <v>0.01</v>
      </c>
      <c r="E51" s="301">
        <f>F17</f>
        <v>0.12028142178494372</v>
      </c>
      <c r="F51" s="277">
        <f>C51*E51</f>
        <v>4189143.9957219465</v>
      </c>
      <c r="G51" s="299">
        <f>F18</f>
        <v>0</v>
      </c>
      <c r="H51" s="277">
        <f>(F51*(1-$I$10)+C51*(G51-$I$9))/Equity_Cost</f>
        <v>43335972.369537376</v>
      </c>
      <c r="I51" s="415">
        <f>(F51*(1-$I$10)+C51*(G51-$I$9))/VLOOKUP(C15,B21:H50,COLUMN(H20)-1,FALSE)-1</f>
        <v>1.0000000000000231E-2</v>
      </c>
      <c r="J51" s="454"/>
      <c r="K51" s="119">
        <f>1/(1+Equity_Cost)^C15</f>
        <v>0.49662318565689262</v>
      </c>
      <c r="L51" s="277">
        <f t="shared" si="4"/>
        <v>21521648.651698727</v>
      </c>
    </row>
    <row r="52" spans="1:21" ht="13.15">
      <c r="G52" s="111"/>
      <c r="H52" s="111"/>
      <c r="I52" s="111"/>
      <c r="J52" s="468" t="s">
        <v>420</v>
      </c>
      <c r="K52" s="468"/>
      <c r="L52" s="317">
        <f>SUM(L21:L51)</f>
        <v>41218130.479044549</v>
      </c>
    </row>
    <row r="53" spans="1:21">
      <c r="C53" s="111"/>
    </row>
    <row r="54" spans="1:21" ht="13.15">
      <c r="B54" s="115" t="s">
        <v>108</v>
      </c>
      <c r="C54" s="128"/>
      <c r="D54" s="128"/>
      <c r="E54" s="113"/>
      <c r="F54" s="113"/>
      <c r="G54" s="113"/>
      <c r="H54" s="113"/>
      <c r="I54" s="113"/>
      <c r="J54" s="113"/>
      <c r="K54" s="113"/>
      <c r="L54" s="113"/>
    </row>
    <row r="55" spans="1:21" ht="13.15">
      <c r="A55" s="125">
        <f>L52</f>
        <v>41218130.479044549</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34212844.561387084</v>
      </c>
      <c r="C56" s="118">
        <v>36733791.002752461</v>
      </c>
      <c r="D56" s="118">
        <v>37454061.414571136</v>
      </c>
      <c r="E56" s="118">
        <v>38174331.826389812</v>
      </c>
      <c r="F56" s="118">
        <v>39614872.650027171</v>
      </c>
      <c r="G56" s="295"/>
      <c r="H56" s="295"/>
      <c r="I56" s="295"/>
      <c r="J56" s="295"/>
      <c r="K56" s="295"/>
      <c r="L56" s="295"/>
    </row>
    <row r="57" spans="1:21" ht="13.15">
      <c r="A57" s="131">
        <v>2</v>
      </c>
      <c r="B57" s="118">
        <v>32596475.197806001</v>
      </c>
      <c r="C57" s="118">
        <v>37395864.207408093</v>
      </c>
      <c r="D57" s="118">
        <v>38827560.482471995</v>
      </c>
      <c r="E57" s="118">
        <v>40286119.989678308</v>
      </c>
      <c r="F57" s="118">
        <v>43283828.700518221</v>
      </c>
      <c r="G57" s="295"/>
      <c r="H57" s="295"/>
      <c r="I57" s="295"/>
      <c r="J57" s="295"/>
      <c r="K57" s="295"/>
      <c r="L57" s="295"/>
    </row>
    <row r="58" spans="1:21" ht="13.15">
      <c r="A58" s="131">
        <v>3</v>
      </c>
      <c r="B58" s="118">
        <v>31164726.111184053</v>
      </c>
      <c r="C58" s="118">
        <v>38025528.234213442</v>
      </c>
      <c r="D58" s="118">
        <v>40159438.366497062</v>
      </c>
      <c r="E58" s="118">
        <v>42373295.237310782</v>
      </c>
      <c r="F58" s="118">
        <v>47046860.54717572</v>
      </c>
      <c r="G58" s="295"/>
      <c r="H58" s="295"/>
      <c r="I58" s="295"/>
      <c r="J58" s="295"/>
      <c r="K58" s="295"/>
      <c r="L58" s="295"/>
    </row>
    <row r="59" spans="1:21" ht="13.15">
      <c r="A59" s="131">
        <v>4</v>
      </c>
      <c r="B59" s="118">
        <v>29896510.137020089</v>
      </c>
      <c r="C59" s="118">
        <v>38624369.546419926</v>
      </c>
      <c r="D59" s="118">
        <v>41450956.314642593</v>
      </c>
      <c r="E59" s="118">
        <v>44436144.43310602</v>
      </c>
      <c r="F59" s="118">
        <v>50906380.389901355</v>
      </c>
      <c r="G59" s="295"/>
      <c r="H59" s="295"/>
      <c r="I59" s="295"/>
      <c r="J59" s="295"/>
      <c r="K59" s="295"/>
      <c r="L59" s="295"/>
    </row>
    <row r="60" spans="1:21" ht="13.15">
      <c r="A60" s="131">
        <v>5</v>
      </c>
      <c r="B60" s="118">
        <v>28773148.668063667</v>
      </c>
      <c r="C60" s="118">
        <v>39193896.948238686</v>
      </c>
      <c r="D60" s="118">
        <v>42703337.355268538</v>
      </c>
      <c r="E60" s="118">
        <v>46474951.097481757</v>
      </c>
      <c r="F60" s="118">
        <v>54864862.279876374</v>
      </c>
      <c r="G60" s="295"/>
      <c r="H60" s="295"/>
      <c r="I60" s="295"/>
      <c r="J60" s="295"/>
      <c r="K60" s="295"/>
      <c r="L60" s="295"/>
    </row>
    <row r="61" spans="1:21" ht="13.15">
      <c r="A61" s="131">
        <v>6</v>
      </c>
      <c r="B61" s="118">
        <v>27778096.551039323</v>
      </c>
      <c r="C61" s="118">
        <v>39735545.38633205</v>
      </c>
      <c r="D61" s="118">
        <v>43917767.455269478</v>
      </c>
      <c r="E61" s="118">
        <v>48489995.446421854</v>
      </c>
      <c r="F61" s="118">
        <v>58924843.705491766</v>
      </c>
      <c r="G61" s="295"/>
      <c r="H61" s="295"/>
      <c r="I61" s="295"/>
      <c r="J61" s="295"/>
      <c r="K61" s="295"/>
      <c r="L61" s="295"/>
    </row>
    <row r="62" spans="1:21" ht="13.15">
      <c r="A62" s="131">
        <v>7</v>
      </c>
      <c r="B62" s="118">
        <v>26896698.405423358</v>
      </c>
      <c r="C62" s="118">
        <v>40250679.565218046</v>
      </c>
      <c r="D62" s="118">
        <v>45095396.643149182</v>
      </c>
      <c r="E62" s="118">
        <v>50481554.42998971</v>
      </c>
      <c r="F62" s="118">
        <v>63088927.218943469</v>
      </c>
      <c r="G62" s="295"/>
      <c r="H62" s="295"/>
      <c r="I62" s="295"/>
      <c r="J62" s="295"/>
      <c r="K62" s="295"/>
      <c r="L62" s="295"/>
    </row>
    <row r="63" spans="1:21" ht="13.15">
      <c r="A63" s="131">
        <v>8</v>
      </c>
      <c r="B63" s="118">
        <v>26115972.775274023</v>
      </c>
      <c r="C63" s="118">
        <v>40740597.385697037</v>
      </c>
      <c r="D63" s="118">
        <v>46237340.098062813</v>
      </c>
      <c r="E63" s="118">
        <v>52449901.770392433</v>
      </c>
      <c r="F63" s="118">
        <v>67359782.104534939</v>
      </c>
      <c r="G63" s="295"/>
      <c r="H63" s="295"/>
      <c r="I63" s="295"/>
      <c r="J63" s="295"/>
      <c r="K63" s="295"/>
      <c r="L63" s="295"/>
    </row>
    <row r="64" spans="1:21" ht="13.15">
      <c r="A64" s="131">
        <v>9</v>
      </c>
      <c r="B64" s="118">
        <v>25424420.935048498</v>
      </c>
      <c r="C64" s="118">
        <v>41206533.214963764</v>
      </c>
      <c r="D64" s="118">
        <v>47344679.205857858</v>
      </c>
      <c r="E64" s="118">
        <v>54395307.99960164</v>
      </c>
      <c r="F64" s="118">
        <v>71740146.089756966</v>
      </c>
      <c r="G64" s="295"/>
      <c r="H64" s="295"/>
      <c r="I64" s="295"/>
      <c r="J64" s="295"/>
      <c r="K64" s="295"/>
      <c r="L64" s="295"/>
    </row>
    <row r="65" spans="1:21" ht="13.15">
      <c r="A65" s="131">
        <v>10</v>
      </c>
      <c r="B65" s="118">
        <v>24811857.533450138</v>
      </c>
      <c r="C65" s="118">
        <v>41649660.99664402</v>
      </c>
      <c r="D65" s="118">
        <v>48418462.583113655</v>
      </c>
      <c r="E65" s="118">
        <v>56318040.496535689</v>
      </c>
      <c r="F65" s="118">
        <v>76232827.100241095</v>
      </c>
      <c r="G65" s="295"/>
      <c r="H65" s="295"/>
      <c r="I65" s="295"/>
      <c r="J65" s="295"/>
      <c r="K65" s="295"/>
      <c r="L65" s="295"/>
    </row>
    <row r="66" spans="1:21" ht="13.15">
      <c r="A66" s="131">
        <v>15</v>
      </c>
      <c r="B66" s="118">
        <v>22651785.251111217</v>
      </c>
      <c r="C66" s="277">
        <v>43560398.340667829</v>
      </c>
      <c r="D66" s="118">
        <v>53318573.866759472</v>
      </c>
      <c r="E66" s="118">
        <v>65600739.140049815</v>
      </c>
      <c r="F66" s="118">
        <v>100484409.51224291</v>
      </c>
      <c r="G66" s="295"/>
      <c r="H66" s="295"/>
      <c r="I66" s="295"/>
      <c r="J66" s="295"/>
      <c r="K66" s="295"/>
      <c r="L66" s="295"/>
      <c r="M66" s="275"/>
      <c r="N66" s="275"/>
      <c r="O66" s="275"/>
      <c r="P66" s="275"/>
      <c r="Q66" s="275"/>
      <c r="R66" s="275"/>
      <c r="S66" s="275"/>
      <c r="T66" s="275"/>
      <c r="U66" s="275"/>
    </row>
    <row r="67" spans="1:21" ht="13.15">
      <c r="A67" s="132">
        <v>20</v>
      </c>
      <c r="B67" s="118">
        <v>21473908.617869493</v>
      </c>
      <c r="C67" s="277">
        <v>45047070.971215516</v>
      </c>
      <c r="D67" s="118">
        <v>57519897.483454108</v>
      </c>
      <c r="E67" s="118">
        <v>74354951.421671554</v>
      </c>
      <c r="F67" s="118">
        <v>128008755.15912402</v>
      </c>
      <c r="G67" s="295"/>
      <c r="H67" s="295"/>
      <c r="I67" s="295"/>
      <c r="J67" s="295"/>
      <c r="K67" s="295"/>
      <c r="L67" s="295"/>
      <c r="M67" s="275"/>
      <c r="N67" s="275"/>
      <c r="O67" s="275"/>
      <c r="P67" s="275"/>
      <c r="Q67" s="275"/>
      <c r="R67" s="275"/>
      <c r="S67" s="275"/>
      <c r="T67" s="275"/>
      <c r="U67" s="275"/>
    </row>
    <row r="68" spans="1:21" ht="13.15">
      <c r="A68" s="132">
        <v>25</v>
      </c>
      <c r="B68" s="118">
        <v>20831618.369306799</v>
      </c>
      <c r="C68" s="277">
        <v>46203794.849215999</v>
      </c>
      <c r="D68" s="118">
        <v>61122085.08909215</v>
      </c>
      <c r="E68" s="118">
        <v>82610765.341176867</v>
      </c>
      <c r="F68" s="118">
        <v>159247525.08425933</v>
      </c>
      <c r="G68" s="295"/>
      <c r="H68" s="295"/>
      <c r="I68" s="295"/>
      <c r="J68" s="295"/>
      <c r="K68" s="295"/>
      <c r="L68" s="295"/>
      <c r="M68" s="275"/>
      <c r="N68" s="275"/>
      <c r="O68" s="275"/>
      <c r="P68" s="275"/>
      <c r="Q68" s="275"/>
      <c r="R68" s="275"/>
      <c r="S68" s="275"/>
      <c r="T68" s="275"/>
      <c r="U68" s="275"/>
    </row>
    <row r="69" spans="1:21" ht="13.15">
      <c r="A69" s="132">
        <v>30</v>
      </c>
      <c r="B69" s="118">
        <v>20481380.702851564</v>
      </c>
      <c r="C69" s="277">
        <v>47103798.052640535</v>
      </c>
      <c r="D69" s="118">
        <v>64210577.366776071</v>
      </c>
      <c r="E69" s="118">
        <v>90396555.916142359</v>
      </c>
      <c r="F69" s="118">
        <v>194701982.71079767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24.452154896238998</v>
      </c>
      <c r="C73" s="119">
        <f>C11</f>
        <v>24.452154896238998</v>
      </c>
      <c r="D73" s="119">
        <f>C11</f>
        <v>24.452154896238998</v>
      </c>
      <c r="E73" s="119">
        <f>C11</f>
        <v>24.452154896238998</v>
      </c>
      <c r="F73" s="119">
        <f>C11</f>
        <v>24.452154896238998</v>
      </c>
      <c r="G73" s="296"/>
      <c r="H73" s="296"/>
      <c r="I73" s="296"/>
      <c r="J73" s="296"/>
      <c r="K73" s="296"/>
      <c r="L73" s="296"/>
    </row>
    <row r="74" spans="1:21" ht="13.15">
      <c r="A74" s="131">
        <v>1</v>
      </c>
      <c r="B74" s="119">
        <f t="shared" ref="B74:F87" si="11">(B56+FV_adjustments)/Common_Shares*scaling_factor*Exchange_Rate</f>
        <v>21.165231395912503</v>
      </c>
      <c r="C74" s="119">
        <f t="shared" si="11"/>
        <v>22.256834124790778</v>
      </c>
      <c r="D74" s="119">
        <f t="shared" si="11"/>
        <v>22.568720618756</v>
      </c>
      <c r="E74" s="119">
        <f t="shared" si="11"/>
        <v>22.880607112721218</v>
      </c>
      <c r="F74" s="119">
        <f t="shared" si="11"/>
        <v>23.504380100651666</v>
      </c>
      <c r="G74" s="296"/>
      <c r="H74" s="296"/>
      <c r="I74" s="296"/>
      <c r="J74" s="296"/>
      <c r="K74" s="296"/>
      <c r="L74" s="296"/>
    </row>
    <row r="75" spans="1:21" ht="13.15">
      <c r="A75" s="131">
        <v>2</v>
      </c>
      <c r="B75" s="119">
        <f t="shared" si="11"/>
        <v>20.465322354130286</v>
      </c>
      <c r="C75" s="119">
        <f t="shared" si="11"/>
        <v>22.543520468086449</v>
      </c>
      <c r="D75" s="119">
        <f t="shared" si="11"/>
        <v>23.163463650988092</v>
      </c>
      <c r="E75" s="119">
        <f t="shared" si="11"/>
        <v>23.795038964200788</v>
      </c>
      <c r="F75" s="119">
        <f t="shared" si="11"/>
        <v>25.093085981559351</v>
      </c>
      <c r="G75" s="296"/>
      <c r="H75" s="296"/>
      <c r="I75" s="296"/>
      <c r="J75" s="296"/>
      <c r="K75" s="296"/>
      <c r="L75" s="296"/>
    </row>
    <row r="76" spans="1:21" ht="13.15">
      <c r="A76" s="131">
        <v>3</v>
      </c>
      <c r="B76" s="119">
        <f t="shared" si="11"/>
        <v>19.845356303134366</v>
      </c>
      <c r="C76" s="119">
        <f t="shared" si="11"/>
        <v>22.816173214157857</v>
      </c>
      <c r="D76" s="119">
        <f t="shared" si="11"/>
        <v>23.740184167091932</v>
      </c>
      <c r="E76" s="119">
        <f t="shared" si="11"/>
        <v>24.698813101793654</v>
      </c>
      <c r="F76" s="119">
        <f t="shared" si="11"/>
        <v>26.722527910695455</v>
      </c>
      <c r="G76" s="296"/>
      <c r="H76" s="296"/>
      <c r="I76" s="296"/>
      <c r="J76" s="296"/>
      <c r="K76" s="296"/>
      <c r="L76" s="296"/>
    </row>
    <row r="77" spans="1:21" ht="13.15">
      <c r="A77" s="131">
        <v>4</v>
      </c>
      <c r="B77" s="119">
        <f t="shared" si="11"/>
        <v>19.296202225329129</v>
      </c>
      <c r="C77" s="119">
        <f t="shared" si="11"/>
        <v>23.075479322309675</v>
      </c>
      <c r="D77" s="119">
        <f t="shared" si="11"/>
        <v>24.299428303919914</v>
      </c>
      <c r="E77" s="119">
        <f t="shared" si="11"/>
        <v>25.592053741279361</v>
      </c>
      <c r="F77" s="119">
        <f t="shared" si="11"/>
        <v>28.393750402117089</v>
      </c>
      <c r="G77" s="296"/>
      <c r="H77" s="296"/>
      <c r="I77" s="296"/>
      <c r="J77" s="296"/>
      <c r="K77" s="296"/>
      <c r="L77" s="296"/>
    </row>
    <row r="78" spans="1:21" ht="13.15">
      <c r="A78" s="131">
        <v>5</v>
      </c>
      <c r="B78" s="119">
        <f t="shared" si="11"/>
        <v>18.809772039860622</v>
      </c>
      <c r="C78" s="119">
        <f t="shared" si="11"/>
        <v>23.32209212446806</v>
      </c>
      <c r="D78" s="119">
        <f t="shared" si="11"/>
        <v>24.841725648722786</v>
      </c>
      <c r="E78" s="119">
        <f t="shared" si="11"/>
        <v>26.474883650701152</v>
      </c>
      <c r="F78" s="119">
        <f t="shared" si="11"/>
        <v>30.107824752293123</v>
      </c>
      <c r="G78" s="296"/>
      <c r="H78" s="296"/>
      <c r="I78" s="296"/>
      <c r="J78" s="296"/>
      <c r="K78" s="296"/>
      <c r="L78" s="296"/>
    </row>
    <row r="79" spans="1:21" ht="13.15">
      <c r="A79" s="131">
        <v>6</v>
      </c>
      <c r="B79" s="119">
        <f t="shared" si="11"/>
        <v>18.378901479305764</v>
      </c>
      <c r="C79" s="119">
        <f t="shared" si="11"/>
        <v>23.556632971276031</v>
      </c>
      <c r="D79" s="119">
        <f t="shared" si="11"/>
        <v>25.367589740652846</v>
      </c>
      <c r="E79" s="119">
        <f t="shared" si="11"/>
        <v>27.347424167239211</v>
      </c>
      <c r="F79" s="119">
        <f t="shared" si="11"/>
        <v>31.86584972683265</v>
      </c>
      <c r="G79" s="296"/>
      <c r="H79" s="296"/>
      <c r="I79" s="296"/>
      <c r="J79" s="296"/>
      <c r="K79" s="296"/>
      <c r="L79" s="296"/>
    </row>
    <row r="80" spans="1:21" ht="13.15">
      <c r="A80" s="131">
        <f t="shared" ref="A80" si="12">A62</f>
        <v>7</v>
      </c>
      <c r="B80" s="119">
        <f t="shared" si="11"/>
        <v>17.997244572520575</v>
      </c>
      <c r="C80" s="119">
        <f t="shared" si="11"/>
        <v>23.779692797610881</v>
      </c>
      <c r="D80" s="119">
        <f t="shared" si="11"/>
        <v>25.877518557069887</v>
      </c>
      <c r="E80" s="119">
        <f t="shared" si="11"/>
        <v>28.209795213887578</v>
      </c>
      <c r="F80" s="119">
        <f t="shared" si="11"/>
        <v>33.668952264821911</v>
      </c>
      <c r="G80" s="296"/>
      <c r="H80" s="296"/>
      <c r="I80" s="296"/>
      <c r="J80" s="296"/>
      <c r="K80" s="296"/>
      <c r="L80" s="296"/>
    </row>
    <row r="81" spans="1:12" ht="13.15">
      <c r="A81" s="131">
        <v>8</v>
      </c>
      <c r="B81" s="119">
        <f t="shared" si="11"/>
        <v>17.659180179563997</v>
      </c>
      <c r="C81" s="119">
        <f t="shared" si="11"/>
        <v>23.991833611467804</v>
      </c>
      <c r="D81" s="119">
        <f t="shared" si="11"/>
        <v>26.371994985110643</v>
      </c>
      <c r="E81" s="119">
        <f t="shared" si="11"/>
        <v>29.0621153159363</v>
      </c>
      <c r="F81" s="119">
        <f t="shared" si="11"/>
        <v>35.518288201221146</v>
      </c>
      <c r="G81" s="296"/>
      <c r="H81" s="296"/>
      <c r="I81" s="296"/>
      <c r="J81" s="296"/>
      <c r="K81" s="296"/>
      <c r="L81" s="296"/>
    </row>
    <row r="82" spans="1:12" ht="13.15">
      <c r="A82" s="131">
        <f t="shared" ref="A82" si="13">A64</f>
        <v>9</v>
      </c>
      <c r="B82" s="119">
        <f t="shared" si="11"/>
        <v>17.35972920211994</v>
      </c>
      <c r="C82" s="119">
        <f t="shared" si="11"/>
        <v>24.193589909961098</v>
      </c>
      <c r="D82" s="119">
        <f t="shared" si="11"/>
        <v>26.851487278968349</v>
      </c>
      <c r="E82" s="119">
        <f t="shared" si="11"/>
        <v>29.904501617261836</v>
      </c>
      <c r="F82" s="119">
        <f t="shared" si="11"/>
        <v>37.415043007784469</v>
      </c>
      <c r="G82" s="296"/>
      <c r="H82" s="296"/>
      <c r="I82" s="296"/>
      <c r="J82" s="296"/>
      <c r="K82" s="296"/>
      <c r="L82" s="296"/>
    </row>
    <row r="83" spans="1:12" ht="13.15">
      <c r="A83" s="131">
        <f t="shared" ref="A83:A87" si="14">A65</f>
        <v>10</v>
      </c>
      <c r="B83" s="119">
        <f t="shared" si="11"/>
        <v>17.094481250071595</v>
      </c>
      <c r="C83" s="119">
        <f t="shared" si="11"/>
        <v>24.385470026010669</v>
      </c>
      <c r="D83" s="119">
        <f t="shared" si="11"/>
        <v>27.316449503315212</v>
      </c>
      <c r="E83" s="119">
        <f t="shared" si="11"/>
        <v>30.737069896427414</v>
      </c>
      <c r="F83" s="119">
        <f t="shared" si="11"/>
        <v>39.36043255297762</v>
      </c>
      <c r="G83" s="296"/>
      <c r="H83" s="296"/>
      <c r="I83" s="296"/>
      <c r="J83" s="296"/>
      <c r="K83" s="296"/>
      <c r="L83" s="296"/>
    </row>
    <row r="84" spans="1:12" ht="13.15">
      <c r="A84" s="131">
        <f t="shared" si="14"/>
        <v>15</v>
      </c>
      <c r="B84" s="119">
        <f t="shared" si="11"/>
        <v>16.159141744525261</v>
      </c>
      <c r="C84" s="119">
        <f t="shared" si="11"/>
        <v>25.212844247327464</v>
      </c>
      <c r="D84" s="119">
        <f t="shared" si="11"/>
        <v>29.438261677213649</v>
      </c>
      <c r="E84" s="119">
        <f t="shared" si="11"/>
        <v>34.756599627144936</v>
      </c>
      <c r="F84" s="119">
        <f t="shared" si="11"/>
        <v>49.861684426547527</v>
      </c>
      <c r="G84" s="296"/>
      <c r="H84" s="296"/>
      <c r="I84" s="296"/>
      <c r="J84" s="296"/>
      <c r="K84" s="296"/>
      <c r="L84" s="296"/>
    </row>
    <row r="85" spans="1:12" ht="13.15">
      <c r="A85" s="132">
        <f t="shared" si="14"/>
        <v>20</v>
      </c>
      <c r="B85" s="119">
        <f t="shared" si="11"/>
        <v>15.649105781035205</v>
      </c>
      <c r="C85" s="119">
        <f t="shared" si="11"/>
        <v>25.856592910062055</v>
      </c>
      <c r="D85" s="119">
        <f t="shared" si="11"/>
        <v>31.257489666206812</v>
      </c>
      <c r="E85" s="119">
        <f t="shared" si="11"/>
        <v>38.547287861926428</v>
      </c>
      <c r="F85" s="119">
        <f t="shared" si="11"/>
        <v>61.780085518183235</v>
      </c>
      <c r="G85" s="296"/>
      <c r="H85" s="296"/>
      <c r="I85" s="296"/>
      <c r="J85" s="296"/>
      <c r="K85" s="296"/>
      <c r="L85" s="296"/>
    </row>
    <row r="86" spans="1:12" ht="13.15">
      <c r="A86" s="132">
        <f t="shared" si="14"/>
        <v>25</v>
      </c>
      <c r="B86" s="119">
        <f t="shared" si="11"/>
        <v>15.370985716063412</v>
      </c>
      <c r="C86" s="119">
        <f t="shared" si="11"/>
        <v>26.357469454309502</v>
      </c>
      <c r="D86" s="119">
        <f t="shared" si="11"/>
        <v>32.817283938597733</v>
      </c>
      <c r="E86" s="119">
        <f t="shared" si="11"/>
        <v>42.12216309757887</v>
      </c>
      <c r="F86" s="119">
        <f t="shared" si="11"/>
        <v>75.30688082709473</v>
      </c>
      <c r="G86" s="296"/>
      <c r="H86" s="296"/>
      <c r="I86" s="296"/>
      <c r="J86" s="296"/>
      <c r="K86" s="296"/>
      <c r="L86" s="296"/>
    </row>
    <row r="87" spans="1:12" ht="13.15">
      <c r="A87" s="132">
        <f t="shared" si="14"/>
        <v>30</v>
      </c>
      <c r="B87" s="119">
        <f t="shared" si="11"/>
        <v>15.219328232911405</v>
      </c>
      <c r="C87" s="119">
        <f t="shared" si="11"/>
        <v>26.747182594079856</v>
      </c>
      <c r="D87" s="119">
        <f t="shared" si="11"/>
        <v>34.154641425896529</v>
      </c>
      <c r="E87" s="119">
        <f t="shared" si="11"/>
        <v>45.493512087247979</v>
      </c>
      <c r="F87" s="119">
        <f t="shared" si="11"/>
        <v>90.659123961251439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39.36043255297762</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30.737069896427414</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27.316449503315212</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24.385470026010669</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17.094481250071595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2533317.1438504755</v>
      </c>
      <c r="D8" s="469"/>
      <c r="E8" s="469"/>
      <c r="F8" s="469"/>
      <c r="G8" s="469"/>
    </row>
    <row r="9" spans="2:7">
      <c r="B9" s="97" t="s">
        <v>54</v>
      </c>
      <c r="C9" s="447">
        <f>Normalized_FCF!C19</f>
        <v>2586860.3329781014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-6.3671908710537628E-2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30.737069896427414</v>
      </c>
      <c r="F22" s="328">
        <f>1-F23-F24</f>
        <v>0.24999999999999994</v>
      </c>
      <c r="G22" s="328">
        <f>F22*(1-F$29-F$30)</f>
        <v>0.22499999999999992</v>
      </c>
    </row>
    <row r="23" spans="2:7">
      <c r="B23" s="302" t="s">
        <v>437</v>
      </c>
      <c r="C23" s="324">
        <v>0.04</v>
      </c>
      <c r="D23" s="325">
        <f>C18</f>
        <v>10</v>
      </c>
      <c r="E23" s="326">
        <f>DCF!E92</f>
        <v>27.316449503315212</v>
      </c>
      <c r="F23" s="327">
        <v>0.55000000000000004</v>
      </c>
      <c r="G23" s="328">
        <f t="shared" ref="G23:G24" si="0">F23*(1-F$29-F$30)</f>
        <v>0.495</v>
      </c>
    </row>
    <row r="24" spans="2:7">
      <c r="B24" s="302" t="s">
        <v>446</v>
      </c>
      <c r="C24" s="324">
        <v>0.02</v>
      </c>
      <c r="D24" s="325">
        <f>C18</f>
        <v>10</v>
      </c>
      <c r="E24" s="326">
        <f>DCF!E93</f>
        <v>24.385470026010669</v>
      </c>
      <c r="F24" s="327">
        <v>0.2</v>
      </c>
      <c r="G24" s="328">
        <f t="shared" si="0"/>
        <v>0.18</v>
      </c>
    </row>
    <row r="25" spans="2:7">
      <c r="B25" s="141" t="s">
        <v>451</v>
      </c>
      <c r="C25" s="441">
        <f>E23*F23+E24*F24+E22*F22</f>
        <v>27.585408706132355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39.36043255297762</v>
      </c>
      <c r="F29" s="327">
        <v>0.05</v>
      </c>
      <c r="G29" s="328">
        <f>F29</f>
        <v>0.05</v>
      </c>
    </row>
    <row r="30" spans="2:7">
      <c r="B30" s="315" t="s">
        <v>447</v>
      </c>
      <c r="C30" s="324">
        <v>-0.05</v>
      </c>
      <c r="D30" s="325">
        <f>C18</f>
        <v>10</v>
      </c>
      <c r="E30" s="326">
        <f>DCF!E94</f>
        <v>17.094481250071595</v>
      </c>
      <c r="F30" s="327">
        <v>0.05</v>
      </c>
      <c r="G30" s="328">
        <f>F30</f>
        <v>0.05</v>
      </c>
    </row>
    <row r="31" spans="2:7">
      <c r="E31" s="329"/>
      <c r="F31" s="329"/>
    </row>
    <row r="32" spans="2:7" ht="13.15">
      <c r="B32" s="145" t="s">
        <v>456</v>
      </c>
    </row>
    <row r="33" spans="2:7">
      <c r="B33" s="97" t="s">
        <v>458</v>
      </c>
      <c r="C33" s="155">
        <f>Normalized_FCF!C88*(1-dividend_tax_rate)</f>
        <v>0.52248951078273842</v>
      </c>
      <c r="D33" t="str">
        <f>Market_currency</f>
        <v>HKD</v>
      </c>
      <c r="E33" s="97" t="s">
        <v>455</v>
      </c>
      <c r="F33" s="219">
        <f>Holding_Period</f>
        <v>3</v>
      </c>
    </row>
    <row r="34" spans="2:7">
      <c r="B34" s="97" t="s">
        <v>233</v>
      </c>
      <c r="C34" s="146">
        <f>Market_Price</f>
        <v>20.399999999999999</v>
      </c>
      <c r="D34" t="str">
        <f>Market_currency</f>
        <v>HKD</v>
      </c>
      <c r="E34" s="97" t="s">
        <v>454</v>
      </c>
      <c r="F34" s="330">
        <f>RATE(Holding_Period,$C$33,-C34,$C$36)</f>
        <v>0.1299291484233063</v>
      </c>
    </row>
    <row r="35" spans="2:7">
      <c r="B35" s="97" t="s">
        <v>434</v>
      </c>
      <c r="C35" s="320">
        <f>DCF!C11</f>
        <v>24.452154896238998</v>
      </c>
      <c r="D35" s="97" t="str">
        <f>Market_currency</f>
        <v>HKD</v>
      </c>
      <c r="E35" s="97" t="s">
        <v>454</v>
      </c>
      <c r="F35" s="330">
        <f>RATE(Holding_Period,$C$33,-C35,$C$36)</f>
        <v>6.2347691484686767E-2</v>
      </c>
    </row>
    <row r="36" spans="2:7">
      <c r="B36" s="97" t="s">
        <v>435</v>
      </c>
      <c r="C36" s="321">
        <f>E22*G22+E23*G23+E24*G24+E30*G30+E29*G29</f>
        <v>27.649613525671576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0.12028142178494372</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24.19861167675089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0.2296821590894306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0.52248951078273842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0.95607825480679909</v>
      </c>
      <c r="D62" s="119">
        <f>C36/(1+F62)^Holding_Period</f>
        <v>12.741757385102112</v>
      </c>
      <c r="E62" s="332">
        <f>C62+D62</f>
        <v>13.697835639908911</v>
      </c>
      <c r="F62" s="301">
        <f>Thesis!E22</f>
        <v>0.29465259038036606</v>
      </c>
      <c r="G62" s="440">
        <f>(1-E62/C36)</f>
        <v>0.50459214819798437</v>
      </c>
    </row>
    <row r="63" spans="2:7" ht="13.15">
      <c r="B63" s="302" t="s">
        <v>313</v>
      </c>
      <c r="C63" s="119">
        <f>PV(F63, Holding_Period, -C58, 0)</f>
        <v>1.0993199930935711</v>
      </c>
      <c r="D63" s="119">
        <f>C36/(1+F63)^Holding_Period</f>
        <v>15.970895899304889</v>
      </c>
      <c r="E63" s="332">
        <f>C63+D63</f>
        <v>17.070215892398458</v>
      </c>
      <c r="F63" s="301">
        <f>Thesis!E23</f>
        <v>0.20075184365903009</v>
      </c>
      <c r="G63" s="440">
        <f>(1-E63/C36)</f>
        <v>0.38262370732417517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1.2605598269845901</v>
      </c>
      <c r="D66" s="119">
        <f>C36/(1+F66)^Holding_Period</f>
        <v>19.818147857367762</v>
      </c>
      <c r="E66" s="332">
        <f>C66+D66</f>
        <v>21.078707684352352</v>
      </c>
      <c r="F66" s="301">
        <f>Thesis!E24</f>
        <v>0.1174</v>
      </c>
      <c r="G66" s="440">
        <f>(1-E66/C36)</f>
        <v>0.23764910258938687</v>
      </c>
    </row>
    <row r="67" spans="2:7" ht="13.15">
      <c r="B67" s="302" t="s">
        <v>314</v>
      </c>
      <c r="C67" s="119">
        <f>PV(F67, Holding_Period, -C58, 0)</f>
        <v>1.3649386544265742</v>
      </c>
      <c r="D67" s="119">
        <f>C36/(1+F67)^Holding_Period</f>
        <v>22.41285403305708</v>
      </c>
      <c r="E67" s="332">
        <f>C67+D67</f>
        <v>23.777792687483654</v>
      </c>
      <c r="F67" s="301">
        <f>Thesis!E25</f>
        <v>7.2499999999999995E-2</v>
      </c>
      <c r="G67" s="440">
        <f>(1-E67/C36)</f>
        <v>0.1400316440080831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20.399999999999999</v>
      </c>
    </row>
    <row r="9" spans="1:10">
      <c r="B9" s="351" t="s">
        <v>361</v>
      </c>
      <c r="C9" s="353">
        <f>Common_Shares</f>
        <v>2584811005</v>
      </c>
    </row>
    <row r="10" spans="1:10">
      <c r="B10" s="351" t="s">
        <v>367</v>
      </c>
      <c r="C10" s="357">
        <f>投资主题!C8*Common_Shares/1000000</f>
        <v>52730.144502000003</v>
      </c>
      <c r="D10" s="343" t="s">
        <v>529</v>
      </c>
      <c r="E10" s="360">
        <f>Scenarios!F34</f>
        <v>0.1299291484233063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1.1192569189071655</v>
      </c>
    </row>
    <row r="17" spans="1:6">
      <c r="B17" s="343" t="s">
        <v>535</v>
      </c>
      <c r="C17" s="424">
        <f>Terminal_Growth</f>
        <v>0.01</v>
      </c>
      <c r="D17" s="351" t="s">
        <v>339</v>
      </c>
      <c r="E17" s="344" t="str">
        <f>Reporting_currency</f>
        <v>CNY</v>
      </c>
    </row>
    <row r="18" spans="1:6">
      <c r="B18" s="343" t="str">
        <f>"预期股权价值 ("&amp;C7&amp;") :"</f>
        <v>预期股权价值 (HKD) :</v>
      </c>
      <c r="C18" s="359">
        <f>C125</f>
        <v>27.649613525671576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13.697835639908911</v>
      </c>
      <c r="D22" s="365" t="s">
        <v>440</v>
      </c>
      <c r="E22" s="366">
        <f>Thesis!E22</f>
        <v>0.29465259038036606</v>
      </c>
    </row>
    <row r="23" spans="1:6">
      <c r="B23" s="343" t="s">
        <v>341</v>
      </c>
      <c r="C23" s="367">
        <f>E141</f>
        <v>17.070215892398458</v>
      </c>
      <c r="D23" s="365" t="s">
        <v>441</v>
      </c>
      <c r="E23" s="368">
        <f>Thesis!E23</f>
        <v>0.20075184365903009</v>
      </c>
    </row>
    <row r="24" spans="1:6">
      <c r="B24" s="343" t="s">
        <v>343</v>
      </c>
      <c r="C24" s="367">
        <f>E144</f>
        <v>21.078707684352352</v>
      </c>
      <c r="D24" s="365" t="s">
        <v>443</v>
      </c>
      <c r="E24" s="368">
        <f>Thesis!E24</f>
        <v>0.1174</v>
      </c>
    </row>
    <row r="25" spans="1:6">
      <c r="B25" s="343" t="s">
        <v>342</v>
      </c>
      <c r="C25" s="367">
        <f>E145</f>
        <v>23.777792687483654</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26496.890637468288</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-80141.889362531714</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-862286.77765936707</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2533317.1438504755</v>
      </c>
      <c r="D60" s="343" t="str">
        <f>Reporting_currency</f>
        <v>CNY</v>
      </c>
    </row>
    <row r="61" spans="2:6">
      <c r="B61" s="372" t="s">
        <v>213</v>
      </c>
      <c r="C61" s="373">
        <f>Normalized_FCF!C19</f>
        <v>2586860.3329781014</v>
      </c>
      <c r="D61" s="343" t="str">
        <f>Reporting_currency</f>
        <v>CNY</v>
      </c>
    </row>
    <row r="62" spans="2:6">
      <c r="B62" s="377" t="s">
        <v>302</v>
      </c>
      <c r="C62" s="378">
        <f>Normalized_FCF!C124</f>
        <v>5.4909034543275642E-2</v>
      </c>
      <c r="F62" s="379"/>
    </row>
    <row r="63" spans="2:6">
      <c r="B63" s="377" t="s">
        <v>332</v>
      </c>
      <c r="C63" s="378">
        <f>Normalized_FCF!C92</f>
        <v>2.5612230920722474E-2</v>
      </c>
      <c r="E63" s="372" t="s">
        <v>373</v>
      </c>
      <c r="F63" s="380">
        <f>Normalized_FCF!C90</f>
        <v>0.52207559111376323</v>
      </c>
    </row>
    <row r="65" spans="1:6">
      <c r="B65" s="369" t="s">
        <v>376</v>
      </c>
      <c r="C65" s="381" t="s">
        <v>327</v>
      </c>
      <c r="D65" s="381" t="s">
        <v>374</v>
      </c>
    </row>
    <row r="66" spans="1:6">
      <c r="B66" s="372" t="s">
        <v>326</v>
      </c>
      <c r="C66" s="378">
        <f>Normalized_FCF!E119</f>
        <v>0.12695300103827109</v>
      </c>
      <c r="D66" s="378">
        <f>Normalized_FCF!G119</f>
        <v>0.13360996584747289</v>
      </c>
    </row>
    <row r="67" spans="1:6">
      <c r="B67" s="382" t="str">
        <f>Normalized_FCF!B116</f>
        <v>Pre-tax Profit/Sales</v>
      </c>
      <c r="C67" s="383">
        <f>Normalized_FCF!E116</f>
        <v>0.12028142178494372</v>
      </c>
      <c r="D67" s="383">
        <f>Normalized_FCF!G116</f>
        <v>0.12658855265601107</v>
      </c>
    </row>
    <row r="68" spans="1:6">
      <c r="B68" s="382" t="str">
        <f>Normalized_FCF!B117</f>
        <v>Sales/Total Assets</v>
      </c>
      <c r="C68" s="384">
        <f>Normalized_FCF!E117</f>
        <v>0.77964492924870721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-0.76959973803332327</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14774707.560421951</v>
      </c>
      <c r="D84" s="343" t="str">
        <f>Reporting_currency</f>
        <v>CNY</v>
      </c>
    </row>
    <row r="85" spans="1:6">
      <c r="B85" s="382" t="s">
        <v>481</v>
      </c>
      <c r="C85" s="390">
        <f>BS!C66</f>
        <v>19190856</v>
      </c>
      <c r="D85" s="391" t="str">
        <f>Reporting_currency</f>
        <v>CNY</v>
      </c>
    </row>
    <row r="86" spans="1:6">
      <c r="B86" s="372" t="s">
        <v>235</v>
      </c>
      <c r="C86" s="387">
        <f>C84*scaling_factor*Exchange_Rate/Common_Shares</f>
        <v>6.3976413091108286</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0.72258136148706609</v>
      </c>
      <c r="D90" s="343" t="str">
        <f>Market_currency</f>
        <v>HKD</v>
      </c>
    </row>
    <row r="92" spans="1:6">
      <c r="B92" s="372" t="s">
        <v>480</v>
      </c>
      <c r="C92" s="387">
        <f>DCF!F8</f>
        <v>6.3506229325645718</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5.582900106771107</v>
      </c>
      <c r="D111" s="343" t="str">
        <f>Market_currency</f>
        <v>HKD</v>
      </c>
    </row>
    <row r="112" spans="1:6">
      <c r="A112" s="385"/>
      <c r="B112" s="372" t="s">
        <v>377</v>
      </c>
      <c r="C112" s="394">
        <f>DCF!C11</f>
        <v>24.452154896238998</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39.36 HKD</v>
      </c>
      <c r="F118" s="399">
        <f>DCF!F90</f>
        <v>0.05</v>
      </c>
    </row>
    <row r="119" spans="1:6">
      <c r="A119" s="385"/>
      <c r="B119" s="400" t="str">
        <f>DCF!B91</f>
        <v>Optimistic</v>
      </c>
      <c r="C119" s="401">
        <f>DCF!C91</f>
        <v>0.06</v>
      </c>
      <c r="D119" s="402">
        <f>DCF!D91</f>
        <v>10</v>
      </c>
      <c r="E119" s="398" t="str">
        <f>ROUND(DCF!E91,2)&amp;" "&amp;Market_currency</f>
        <v>30.74 HKD</v>
      </c>
      <c r="F119" s="403">
        <f>DCF!F91</f>
        <v>0.22499999999999992</v>
      </c>
    </row>
    <row r="120" spans="1:6">
      <c r="B120" s="400" t="str">
        <f>DCF!B92</f>
        <v>Base</v>
      </c>
      <c r="C120" s="401">
        <f>DCF!C92</f>
        <v>0.04</v>
      </c>
      <c r="D120" s="402">
        <f>DCF!D92</f>
        <v>10</v>
      </c>
      <c r="E120" s="398" t="str">
        <f>ROUND(DCF!E92,2)&amp;" "&amp;Market_currency</f>
        <v>27.32 HKD</v>
      </c>
      <c r="F120" s="403">
        <f>DCF!F92</f>
        <v>0.495</v>
      </c>
    </row>
    <row r="121" spans="1:6">
      <c r="B121" s="400" t="str">
        <f>DCF!B93</f>
        <v>Pessimistic</v>
      </c>
      <c r="C121" s="401">
        <f>DCF!C93</f>
        <v>0.02</v>
      </c>
      <c r="D121" s="402">
        <f>DCF!D93</f>
        <v>10</v>
      </c>
      <c r="E121" s="398" t="str">
        <f>ROUND(DCF!E93,2)&amp;" "&amp;Market_currency</f>
        <v>24.39 HKD</v>
      </c>
      <c r="F121" s="403">
        <f>DCF!F93</f>
        <v>0.18</v>
      </c>
    </row>
    <row r="122" spans="1:6">
      <c r="B122" s="400" t="str">
        <f>DCF!B94</f>
        <v>Devil's advocate</v>
      </c>
      <c r="C122" s="401">
        <f>DCF!C94</f>
        <v>-0.05</v>
      </c>
      <c r="D122" s="402">
        <f>DCF!D94</f>
        <v>10</v>
      </c>
      <c r="E122" s="398" t="str">
        <f>ROUND(DCF!E94,2)&amp;" "&amp;Market_currency</f>
        <v>17.09 HKD</v>
      </c>
      <c r="F122" s="403">
        <f>DCF!F94</f>
        <v>0.05</v>
      </c>
    </row>
    <row r="124" spans="1:6">
      <c r="B124" s="470" t="s">
        <v>519</v>
      </c>
      <c r="C124" s="470"/>
      <c r="D124" s="470"/>
      <c r="E124" s="470"/>
      <c r="F124" s="470"/>
    </row>
    <row r="125" spans="1:6">
      <c r="B125" s="372" t="s">
        <v>218</v>
      </c>
      <c r="C125" s="404">
        <f>Scenarios!C36</f>
        <v>27.649613525671576</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0.52248951078273842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0.95607825480679909</v>
      </c>
      <c r="D140" s="409">
        <f>Scenarios!D62</f>
        <v>12.741757385102112</v>
      </c>
      <c r="E140" s="410">
        <f>Scenarios!E62</f>
        <v>13.697835639908911</v>
      </c>
      <c r="F140" s="411">
        <f>E22</f>
        <v>0.29465259038036606</v>
      </c>
    </row>
    <row r="141" spans="1:6">
      <c r="B141" s="408" t="s">
        <v>313</v>
      </c>
      <c r="C141" s="409">
        <f>Scenarios!C63</f>
        <v>1.0993199930935711</v>
      </c>
      <c r="D141" s="409">
        <f>Scenarios!D63</f>
        <v>15.970895899304889</v>
      </c>
      <c r="E141" s="410">
        <f>Scenarios!E63</f>
        <v>17.070215892398458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1.2605598269845901</v>
      </c>
      <c r="D144" s="409">
        <f>Scenarios!D66</f>
        <v>19.818147857367762</v>
      </c>
      <c r="E144" s="410">
        <f>Scenarios!E66</f>
        <v>21.078707684352352</v>
      </c>
      <c r="F144" s="411">
        <f>E24</f>
        <v>0.1174</v>
      </c>
    </row>
    <row r="145" spans="1:6">
      <c r="B145" s="408" t="s">
        <v>314</v>
      </c>
      <c r="C145" s="409">
        <f>Scenarios!C67</f>
        <v>1.3649386544265742</v>
      </c>
      <c r="D145" s="409">
        <f>Scenarios!D67</f>
        <v>22.41285403305708</v>
      </c>
      <c r="E145" s="410">
        <f>Scenarios!E67</f>
        <v>23.777792687483654</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