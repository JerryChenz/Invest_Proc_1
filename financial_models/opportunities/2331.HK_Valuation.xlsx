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C0B966-12BB-4518-B94E-7FC0439D3F9B}" xr6:coauthVersionLast="47" xr6:coauthVersionMax="47" xr10:uidLastSave="{00000000-0000-0000-0000-000000000000}"/>
  <bookViews>
    <workbookView xWindow="1470" yWindow="1470"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<sst xmlns="http://schemas.openxmlformats.org/spreadsheetml/2006/main" count="768" uniqueCount="559">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</sst>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20.98</v>
      </c>
      <c r="E8" s="32"/>
    </row>
    <row r="9" spans="1:9">
      <c r="B9" s="4" t="s">
        <v>345</v>
      </c>
      <c r="C9" s="48">
        <v>2584811005</v>
      </c>
    </row>
    <row r="10" spans="1:9">
      <c r="B10" s="4" t="s">
        <v>351</v>
      </c>
      <c r="C10" s="33">
        <f>Thesis!C8*Common_Shares/1000000</f>
        <v>54229.334884900003</v>
      </c>
      <c r="D10" s="1" t="s">
        <v>527</v>
      </c>
      <c r="E10" s="303">
        <f>Scenarios!F34</f>
        <v>0.12851807778732405</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0.02</v>
      </c>
      <c r="D17" s="4" t="s">
        <v>273</v>
      </c>
      <c r="E17" s="224" t="s">
        <v>558</v>
      </c>
    </row>
    <row r="18" spans="1:6">
      <c r="B18" s="1" t="str">
        <f>"Expected Equity Value ("&amp;C7&amp;") :"</f>
        <v>Expected Equity Value (HKD) :</v>
      </c>
      <c r="C18" s="252">
        <f>C125</f>
        <v>28.41658544651769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13.861229219297506</v>
      </c>
      <c r="D22" s="38" t="s">
        <v>405</v>
      </c>
      <c r="E22" s="79">
        <v>0.3</v>
      </c>
    </row>
    <row r="23" spans="1:6">
      <c r="B23" s="1" t="s">
        <v>312</v>
      </c>
      <c r="C23" s="256">
        <f>E141</f>
        <v>17.519952060611732</v>
      </c>
      <c r="D23" s="38" t="s">
        <v>406</v>
      </c>
      <c r="E23" s="443">
        <v>0.2</v>
      </c>
    </row>
    <row r="24" spans="1:6">
      <c r="B24" s="1" t="s">
        <v>314</v>
      </c>
      <c r="C24" s="256">
        <f>E144</f>
        <v>21.599299259757597</v>
      </c>
      <c r="D24" s="38" t="s">
        <v>407</v>
      </c>
      <c r="E24" s="443">
        <v>0.1174</v>
      </c>
    </row>
    <row r="25" spans="1:6">
      <c r="B25" s="1" t="s">
        <v>313</v>
      </c>
      <c r="C25" s="256">
        <f>E145</f>
        <v>24.367945564097976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3529289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26465.666898080377</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-80173.113101919618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-862278.97172452009</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2533200.6701797112</v>
      </c>
      <c r="D60" s="1" t="str">
        <f>Reporting_currency</f>
        <v>CNY</v>
      </c>
    </row>
    <row r="61" spans="2:6">
      <c r="B61" s="44" t="s">
        <v>212</v>
      </c>
      <c r="C61" s="285">
        <f>Normalized_FCF!C19</f>
        <v>2586836.9151735604</v>
      </c>
      <c r="D61" s="1" t="str">
        <f>Reporting_currency</f>
        <v>CNY</v>
      </c>
    </row>
    <row r="62" spans="2:6">
      <c r="B62" s="204" t="s">
        <v>301</v>
      </c>
      <c r="C62" s="89">
        <f>Normalized_FCF!C124</f>
        <v>5.4654147142006039E-2</v>
      </c>
      <c r="F62" s="257"/>
    </row>
    <row r="63" spans="2:6">
      <c r="B63" s="204" t="s">
        <v>331</v>
      </c>
      <c r="C63" s="89">
        <f>Normalized_FCF!C92</f>
        <v>2.4328399027584907E-2</v>
      </c>
      <c r="E63" s="44" t="s">
        <v>321</v>
      </c>
      <c r="F63" s="258">
        <f>Normalized_FCF!C90</f>
        <v>0.51001007846366686</v>
      </c>
    </row>
    <row r="65" spans="1:6">
      <c r="B65" s="192" t="s">
        <v>324</v>
      </c>
      <c r="C65" s="264" t="s">
        <v>326</v>
      </c>
      <c r="D65" s="264" t="s">
        <v>327</v>
      </c>
    </row>
    <row r="66" spans="1:6">
      <c r="B66" s="44" t="s">
        <v>325</v>
      </c>
      <c r="C66" s="89">
        <f>Normalized_FCF!E119</f>
        <v>0.2</v>
      </c>
      <c r="D66" s="89">
        <f>Normalized_FCF!G119</f>
        <v>0.13360567879285584</v>
      </c>
    </row>
    <row r="67" spans="1:6">
      <c r="B67" s="229" t="str">
        <f>Normalized_FCF!B116</f>
        <v>Pre-tax Profit/Sales</v>
      </c>
      <c r="C67" s="263">
        <f>Normalized_FCF!E116</f>
        <v>0.13430424833028851</v>
      </c>
      <c r="D67" s="263">
        <f>Normalized_FCF!G116</f>
        <v>0.12658449089283583</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-1777313</v>
      </c>
      <c r="D78" s="1" t="str">
        <f>Reporting_currency</f>
        <v>CNY</v>
      </c>
    </row>
    <row r="79" spans="1:6">
      <c r="A79" s="191"/>
      <c r="B79" s="44" t="s">
        <v>233</v>
      </c>
      <c r="C79" s="201">
        <f>C78*scaling_factor*Exchange_Rate/Common_Shares</f>
        <v>-0.78781359896678405</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14779911.516986605</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6.5513588684760853</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0.73968245414708755</v>
      </c>
      <c r="D90" s="1" t="str">
        <f>Market_currency</f>
        <v>HKD</v>
      </c>
    </row>
    <row r="91" spans="1:6">
      <c r="A91" s="191"/>
    </row>
    <row r="92" spans="1:6">
      <c r="A92" s="191"/>
      <c r="B92" s="44" t="s">
        <v>468</v>
      </c>
      <c r="C92" s="216">
        <f>DCF!F8</f>
        <v>6.5032277236563889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5.7150287460167313</v>
      </c>
      <c r="D111" s="1" t="str">
        <f>Market_currency</f>
        <v>HKD</v>
      </c>
    </row>
    <row r="112" spans="2:6">
      <c r="B112" s="44" t="s">
        <v>322</v>
      </c>
      <c r="C112" s="216">
        <f>DCF!C11</f>
        <v>28.780882717562534</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36.84 HKD</v>
      </c>
      <c r="E118" s="208">
        <f>DCF!F90</f>
        <v>0.05</v>
      </c>
      <c r="F118" s="208">
        <f>RATE(Holding_Period,Scenarios!C$58,-DCF!E90,C$18)</f>
        <v>-6.777719804562006E-2</v>
      </c>
    </row>
    <row r="119" spans="2:6">
      <c r="B119" s="205" t="str">
        <f>DCF!B91&amp;" ("&amp;DCF!D91&amp;"yrs)"</f>
        <v>Optimistic (10yrs)</v>
      </c>
      <c r="C119" s="198">
        <f>DCF!C91</f>
        <v>0.06</v>
      </c>
      <c r="D119" s="207" t="str">
        <f>ROUND(DCF!E91,2)&amp;" "&amp;Market_currency</f>
        <v>30.82 HKD</v>
      </c>
      <c r="E119" s="199">
        <f>DCF!F91</f>
        <v>0.22499999999999992</v>
      </c>
      <c r="F119" s="208">
        <f>RATE(Holding_Period,Scenarios!C$58,-DCF!E91,C$18)</f>
        <v>-9.697137442486051E-3</v>
      </c>
    </row>
    <row r="120" spans="2:6">
      <c r="B120" s="205" t="str">
        <f>DCF!B92&amp;" ("&amp;DCF!D92&amp;"yrs)"</f>
        <v>Base (10yrs)</v>
      </c>
      <c r="C120" s="198">
        <f>DCF!C92</f>
        <v>0.04</v>
      </c>
      <c r="D120" s="207" t="str">
        <f>ROUND(DCF!E92,2)&amp;" "&amp;Market_currency</f>
        <v>28.26 HKD</v>
      </c>
      <c r="E120" s="199">
        <f>DCF!F92</f>
        <v>0.495</v>
      </c>
      <c r="F120" s="208">
        <f>RATE(Holding_Period,Scenarios!C$58,-DCF!E92,C$18)</f>
        <v>1.9905876852087796E-2</v>
      </c>
    </row>
    <row r="121" spans="2:6">
      <c r="B121" s="205" t="str">
        <f>DCF!B93&amp;" ("&amp;DCF!D93&amp;"yrs)"</f>
        <v>Pessimistic (10yrs)</v>
      </c>
      <c r="C121" s="198">
        <f>DCF!C93</f>
        <v>0.02</v>
      </c>
      <c r="D121" s="207" t="str">
        <f>ROUND(DCF!E93,2)&amp;" "&amp;Market_currency</f>
        <v>25.95 HKD</v>
      </c>
      <c r="E121" s="199">
        <f>DCF!F93</f>
        <v>0.18</v>
      </c>
      <c r="F121" s="208">
        <f>RATE(Holding_Period,Scenarios!C$58,-DCF!E93,C$18)</f>
        <v>4.9763796674014732E-2</v>
      </c>
    </row>
    <row r="122" spans="2:6">
      <c r="B122" s="205" t="str">
        <f>DCF!B94&amp;" ("&amp;DCF!D94&amp;"yrs)"</f>
        <v>Devil's advocate (10yrs)</v>
      </c>
      <c r="C122" s="198">
        <f>DCF!C94</f>
        <v>-0.05</v>
      </c>
      <c r="D122" s="207" t="str">
        <f>ROUND(DCF!E94,2)&amp;" "&amp;Market_currency</f>
        <v>19.61 HKD</v>
      </c>
      <c r="E122" s="199">
        <f>DCF!F94</f>
        <v>0.05</v>
      </c>
      <c r="F122" s="208">
        <f>RATE(Holding_Period,Scenarios!C$58,-DCF!E94,C$18)</f>
        <v>0.15469891000937036</v>
      </c>
    </row>
    <row r="124" spans="2:6">
      <c r="B124" s="461" t="s">
        <v>356</v>
      </c>
      <c r="C124" s="461"/>
      <c r="D124" s="461"/>
      <c r="E124" s="461"/>
      <c r="F124" s="461"/>
    </row>
    <row r="125" spans="2:6">
      <c r="B125" s="193" t="s">
        <v>217</v>
      </c>
      <c r="C125" s="197">
        <f>Scenarios!C36</f>
        <v>28.41658544651769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0.51040981159873133</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0.9269618335361578</v>
      </c>
      <c r="D140" s="333">
        <f>Scenarios!D62</f>
        <v>12.934267385761348</v>
      </c>
      <c r="E140" s="334">
        <f>Scenarios!E62</f>
        <v>13.861229219297506</v>
      </c>
      <c r="F140" s="335">
        <f>E22</f>
        <v>0.3</v>
      </c>
    </row>
    <row r="141" spans="1:6">
      <c r="B141" s="336" t="s">
        <v>312</v>
      </c>
      <c r="C141" s="333">
        <f>Scenarios!C63</f>
        <v>1.0751688160991792</v>
      </c>
      <c r="D141" s="333">
        <f>Scenarios!D63</f>
        <v>16.444783244512553</v>
      </c>
      <c r="E141" s="334">
        <f>Scenarios!E63</f>
        <v>17.519952060611732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1.2314163069728561</v>
      </c>
      <c r="D144" s="333">
        <f>Scenarios!D66</f>
        <v>20.36788295278474</v>
      </c>
      <c r="E144" s="334">
        <f>Scenarios!E66</f>
        <v>21.599299259757597</v>
      </c>
      <c r="F144" s="335">
        <f>E24</f>
        <v>0.1174</v>
      </c>
    </row>
    <row r="145" spans="1:6">
      <c r="B145" s="336" t="s">
        <v>313</v>
      </c>
      <c r="C145" s="333">
        <f>Scenarios!C67</f>
        <v>1.3333819475265722</v>
      </c>
      <c r="D145" s="333">
        <f>Scenarios!D67</f>
        <v>23.034563616571404</v>
      </c>
      <c r="E145" s="334">
        <f>Scenarios!E67</f>
        <v>24.367945564097976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0.51040981159873133</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0.51040981159873133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12.04282296452773</v>
      </c>
      <c r="D47" s="134">
        <f>D46*H1/Common_Shares*Exchange_Rate</f>
        <v>5.7150287460167313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14779911.516986605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-2205472.2415066981</v>
      </c>
      <c r="D73" s="285">
        <f>(Normalized_FCF!C26+Normalized_FCF!C35-Normalized_FCF!C89)/12</f>
        <v>-2205472.2415066981</v>
      </c>
      <c r="F73" s="1" t="s">
        <v>277</v>
      </c>
    </row>
    <row r="74" spans="2:6" ht="15" customHeight="1">
      <c r="B74" s="227" t="s">
        <v>258</v>
      </c>
      <c r="C74" s="228">
        <f>-$C$66/C73</f>
        <v>8.701472473255663</v>
      </c>
      <c r="D74" s="228">
        <f>-$C$66/D73</f>
        <v>8.701472473255663</v>
      </c>
      <c r="F74" s="223" t="s">
        <v>256</v>
      </c>
    </row>
    <row r="75" spans="2:6" ht="15" customHeight="1">
      <c r="B75" s="77" t="s">
        <v>257</v>
      </c>
      <c r="C75" s="261"/>
      <c r="D75" s="262">
        <f>MAX(-D73*D76,G5)</f>
        <v>4410944.4830133962</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-2036349.2604979998</v>
      </c>
      <c r="D86" s="201">
        <f>C86*scaling_factor/Common_Shares</f>
        <v>-0.78781359896678405</v>
      </c>
      <c r="E86" s="214" t="str">
        <f>Market_currency</f>
        <v>HKD</v>
      </c>
    </row>
    <row r="87" spans="2:8" ht="15" customHeight="1">
      <c r="B87" s="212" t="s">
        <v>239</v>
      </c>
      <c r="C87" s="73">
        <f>DCF!F5*Exchange_Rate</f>
        <v>16934024.500941332</v>
      </c>
      <c r="D87" s="201">
        <f>C87*scaling_factor/Common_Shares</f>
        <v>6.5513588684760853</v>
      </c>
      <c r="E87" s="214" t="str">
        <f>Market_currency</f>
        <v>HKD</v>
      </c>
    </row>
    <row r="88" spans="2:8" ht="15" customHeight="1">
      <c r="B88" s="213" t="s">
        <v>158</v>
      </c>
      <c r="C88" s="73">
        <f>DCF!F6*Exchange_Rate</f>
        <v>1911939.3476847999</v>
      </c>
      <c r="D88" s="201">
        <f>C88*scaling_factor/Common_Shares</f>
        <v>0.73968245414708755</v>
      </c>
      <c r="E88" s="214" t="str">
        <f>Market_currency</f>
        <v>HKD</v>
      </c>
    </row>
    <row r="89" spans="2:8" ht="15" customHeight="1">
      <c r="B89" s="77" t="s">
        <v>243</v>
      </c>
      <c r="C89" s="162">
        <f>SUM(C86:C88)</f>
        <v>16809614.588128131</v>
      </c>
      <c r="D89" s="216">
        <f>SUM(D86:D88)</f>
        <v>6.503227723656388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-80173.113101919618</v>
      </c>
      <c r="E10" s="237"/>
      <c r="G10" s="266">
        <f>G48</f>
        <v>-155696.32982028893</v>
      </c>
      <c r="H10" s="266">
        <f t="shared" ref="H10:Q10" si="6">H48</f>
        <v>-66395.127509515281</v>
      </c>
      <c r="I10" s="266">
        <f t="shared" si="6"/>
        <v>-17647.843318490734</v>
      </c>
      <c r="J10" s="266">
        <f t="shared" si="6"/>
        <v>-79108.012294824439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3449115.8868980804</v>
      </c>
      <c r="E11" s="237"/>
      <c r="G11" s="267">
        <f t="shared" ref="G11:Q11" si="7">IF(G$4="","",SUM(G8:G10))</f>
        <v>3629891.6701797112</v>
      </c>
      <c r="H11" s="267">
        <f t="shared" si="7"/>
        <v>3327358.8724904847</v>
      </c>
      <c r="I11" s="267">
        <f t="shared" si="7"/>
        <v>4240779.1566815097</v>
      </c>
      <c r="J11" s="267">
        <f t="shared" si="7"/>
        <v>4800459.9877051758</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-862278.97172452009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2586836.9151735604</v>
      </c>
      <c r="D14" s="58"/>
      <c r="E14" s="243"/>
      <c r="F14" s="58"/>
      <c r="G14" s="267">
        <f t="shared" ref="G14:Q14" si="8">IF(G$4="","",SUM(G11:G13))</f>
        <v>2533200.6701797112</v>
      </c>
      <c r="H14" s="267">
        <f t="shared" si="8"/>
        <v>2258099.8724904847</v>
      </c>
      <c r="I14" s="267">
        <f t="shared" si="8"/>
        <v>2889450.1566815097</v>
      </c>
      <c r="J14" s="267">
        <f t="shared" si="8"/>
        <v>3483103.9877051758</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2586836.9151735604</v>
      </c>
      <c r="D19" s="26"/>
      <c r="E19" s="234"/>
      <c r="F19" s="26"/>
      <c r="G19" s="271">
        <f t="shared" ref="G19:Q19" si="9">IF(G$4="","",G14+G17)</f>
        <v>2533200.6701797112</v>
      </c>
      <c r="H19" s="271">
        <f t="shared" si="9"/>
        <v>2258099.8724904847</v>
      </c>
      <c r="I19" s="271">
        <f t="shared" si="9"/>
        <v>2889450.1566815097</v>
      </c>
      <c r="J19" s="271">
        <f t="shared" si="9"/>
        <v>3483103.9877051758</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0.30212774915833901</v>
      </c>
      <c r="H41" s="6">
        <f t="shared" si="16"/>
        <v>0.32133804647279074</v>
      </c>
      <c r="I41" s="6">
        <f t="shared" si="16"/>
        <v>0.31865111340941427</v>
      </c>
      <c r="J41" s="6">
        <f t="shared" si="16"/>
        <v>0.27442141031775352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26465.666898080377</v>
      </c>
      <c r="E46" s="237"/>
      <c r="G46" s="274">
        <f t="shared" ref="G46:Q46" si="17">IFERROR(IF(G$4="","",($C$46/$C$47)*G47),0)</f>
        <v>98724.670179711058</v>
      </c>
      <c r="H46" s="274">
        <f t="shared" si="17"/>
        <v>115050.87249048472</v>
      </c>
      <c r="I46" s="274">
        <f t="shared" si="17"/>
        <v>102913.15668150927</v>
      </c>
      <c r="J46" s="274">
        <f t="shared" si="17"/>
        <v>33349.987705175568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-80173.113101919618</v>
      </c>
      <c r="E48" s="237"/>
      <c r="G48" s="267">
        <f>IF(G$4="","",(G45+G46))</f>
        <v>-155696.32982028893</v>
      </c>
      <c r="H48" s="267">
        <f t="shared" ref="H48:Q48" si="18">IF(H$4="","",(H45+H46))</f>
        <v>-66395.127509515281</v>
      </c>
      <c r="I48" s="267">
        <f t="shared" si="18"/>
        <v>-17647.843318490734</v>
      </c>
      <c r="J48" s="267">
        <f t="shared" si="18"/>
        <v>-79108.012294824439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2.795861041439232E-3</v>
      </c>
      <c r="D76" s="26"/>
      <c r="E76" s="234"/>
      <c r="F76" s="26"/>
      <c r="G76" s="6">
        <f t="shared" ref="G76:Q76" si="28">IF(G$4="","",ABS(G10/G$4))</f>
        <v>5.429567170308576E-3</v>
      </c>
      <c r="H76" s="6">
        <f t="shared" si="28"/>
        <v>2.4057520938197412E-3</v>
      </c>
      <c r="I76" s="6">
        <f t="shared" si="28"/>
        <v>6.839352544777068E-4</v>
      </c>
      <c r="J76" s="6">
        <f t="shared" si="28"/>
        <v>3.5046529987299217E-3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0.12028033292568471</v>
      </c>
      <c r="D77" s="26"/>
      <c r="E77" s="234"/>
      <c r="F77" s="26"/>
      <c r="G77" s="62">
        <f t="shared" ref="G77:Q77" si="29">IF(G$4="","",G11/G$4)</f>
        <v>0.12658449089283583</v>
      </c>
      <c r="H77" s="62">
        <f t="shared" si="29"/>
        <v>0.12056307254228084</v>
      </c>
      <c r="I77" s="62">
        <f t="shared" si="29"/>
        <v>0.16434973494295341</v>
      </c>
      <c r="J77" s="62">
        <f t="shared" si="29"/>
        <v>0.21267057537096831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3.0070083231421178E-2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9.0210249694263542E-2</v>
      </c>
      <c r="D80" s="26"/>
      <c r="E80" s="234"/>
      <c r="F80" s="26"/>
      <c r="G80" s="62">
        <f t="shared" ref="G80:Q80" si="32">IF(G$4="","",ABS(G14/G$4))</f>
        <v>8.8339803581029067E-2</v>
      </c>
      <c r="H80" s="62">
        <f t="shared" si="32"/>
        <v>8.181968617380149E-2</v>
      </c>
      <c r="I80" s="62">
        <f t="shared" si="32"/>
        <v>0.11197950891483918</v>
      </c>
      <c r="J80" s="62">
        <f t="shared" si="32"/>
        <v>0.15430890602970856</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9.0210249694263542E-2</v>
      </c>
      <c r="D85" s="72"/>
      <c r="E85" s="234"/>
      <c r="F85" s="72"/>
      <c r="G85" s="62">
        <f t="shared" ref="G85:Q85" si="35">IF(G$4="","",ABS(G19/G$4))</f>
        <v>8.8339803581029067E-2</v>
      </c>
      <c r="H85" s="62">
        <f t="shared" si="35"/>
        <v>8.181968617380149E-2</v>
      </c>
      <c r="I85" s="62">
        <f t="shared" si="35"/>
        <v>0.11197950891483918</v>
      </c>
      <c r="J85" s="62">
        <f t="shared" si="35"/>
        <v>0.15430890602970856</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0.51040981159873133</v>
      </c>
      <c r="E88" s="237"/>
      <c r="G88" s="109">
        <f>Data!C65</f>
        <v>0.51040981159873133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1319312.8980803774</v>
      </c>
      <c r="E89" s="237"/>
      <c r="G89" s="71">
        <f t="shared" ref="G89:Q89" si="36">IF(G$4="","",G88*Common_Shares/scaling_factor)</f>
        <v>1319312.8980803774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0.51001007846366686</v>
      </c>
      <c r="E90" s="237"/>
      <c r="G90" s="152">
        <f t="shared" ref="G90:Q90" si="37">IF(G$4="","",G88/(G19*scaling_factor/Common_Shares))</f>
        <v>0.52080868034303107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2.4328399027584907E-2</v>
      </c>
      <c r="E92" s="237"/>
      <c r="G92" s="22">
        <f t="shared" ref="G92:Q92" si="38">IF(G$4="","",(G88*(1-dividend_tax_rate))/Market_Price)</f>
        <v>2.4328399027584907E-2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-4.9801977498871386E-2</v>
      </c>
      <c r="D96" s="26"/>
      <c r="E96" s="234"/>
      <c r="F96" s="26"/>
      <c r="G96" s="6">
        <f t="shared" ref="G96:Q96" si="40">IF(H5="","",G11/H11-1)</f>
        <v>9.0922803725942636E-2</v>
      </c>
      <c r="H96" s="6">
        <f t="shared" si="40"/>
        <v>-0.21538973156663821</v>
      </c>
      <c r="I96" s="6">
        <f t="shared" si="40"/>
        <v>-0.1165890003160337</v>
      </c>
      <c r="J96" s="6">
        <f t="shared" si="40"/>
        <v>1.4642322663914396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2.0795569265447416</v>
      </c>
      <c r="H113" s="251">
        <f>IF(H$4="","",Data!D$22/H19)</f>
        <v>2.0760534363919079</v>
      </c>
      <c r="I113" s="251">
        <f>IF(I$4="","",Data!E$22/I19)</f>
        <v>1.3544459283889208</v>
      </c>
      <c r="J113" s="251">
        <f>IF(J$4="","",Data!F$22/J19)</f>
        <v>1.8734252617875993</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0.12028033292568471</v>
      </c>
      <c r="E116" s="22">
        <f>E119/E117/E118</f>
        <v>0.13430424833028851</v>
      </c>
      <c r="G116" s="22">
        <f t="shared" ref="G116:Q116" si="44">IF(G4="","",G77)</f>
        <v>0.12658449089283583</v>
      </c>
      <c r="H116" s="22">
        <f t="shared" si="44"/>
        <v>0.12056307254228084</v>
      </c>
      <c r="I116" s="22">
        <f t="shared" si="44"/>
        <v>0.16434973494295341</v>
      </c>
      <c r="J116" s="22">
        <f t="shared" si="44"/>
        <v>0.21267057537096831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0.12695185178389259</v>
      </c>
      <c r="D119" s="100"/>
      <c r="E119" s="453">
        <v>0.2</v>
      </c>
      <c r="F119" s="100"/>
      <c r="G119" s="99">
        <f t="shared" ref="G119:Q119" si="47">IF(G$4="","",G11/G104)</f>
        <v>0.13360567879285584</v>
      </c>
      <c r="H119" s="99">
        <f t="shared" si="47"/>
        <v>0.13633006166192574</v>
      </c>
      <c r="I119" s="99">
        <f t="shared" si="47"/>
        <v>0.17428866124712805</v>
      </c>
      <c r="J119" s="99">
        <f t="shared" si="47"/>
        <v>0.22746567706964221</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1.1466440070392867</v>
      </c>
      <c r="D123" s="26"/>
      <c r="E123" s="234"/>
      <c r="F123" s="26"/>
      <c r="G123" s="159">
        <f t="shared" ref="G123:Q123" si="48">IF(G$4="","",G14*$C$3/Common_Shares*Exchange_Rate)</f>
        <v>1.122869149597931</v>
      </c>
      <c r="H123" s="159">
        <f t="shared" si="48"/>
        <v>1.0009276854291647</v>
      </c>
      <c r="I123" s="159">
        <f t="shared" si="48"/>
        <v>1.2807806655160898</v>
      </c>
      <c r="J123" s="159">
        <f t="shared" si="48"/>
        <v>1.5439242767759935</v>
      </c>
      <c r="K123" s="159">
        <f t="shared" si="48"/>
        <v>0.61997768413400878</v>
      </c>
      <c r="L123" s="159">
        <f t="shared" si="48"/>
        <v>0.61089792510381224</v>
      </c>
      <c r="M123" s="159">
        <f t="shared" si="48"/>
        <v>0.26286709127501567</v>
      </c>
      <c r="N123" s="159">
        <f t="shared" si="48"/>
        <v>0.20100957065292283</v>
      </c>
      <c r="O123" s="159">
        <f t="shared" si="48"/>
        <v>0.10258124164246198</v>
      </c>
      <c r="P123" s="159">
        <f t="shared" si="48"/>
        <v>5.333760027843892E-3</v>
      </c>
      <c r="Q123" s="159" t="str">
        <f t="shared" si="48"/>
        <v/>
      </c>
    </row>
    <row r="124" spans="1:17" ht="15.75" customHeight="1">
      <c r="A124" s="10"/>
      <c r="B124" s="26" t="s">
        <v>225</v>
      </c>
      <c r="C124" s="74">
        <f>C19*Exchange_Rate*$C$3/(Market_Price*Common_Shares)</f>
        <v>5.4654147142006039E-2</v>
      </c>
      <c r="D124" s="26"/>
      <c r="E124" s="234"/>
      <c r="F124" s="26"/>
      <c r="G124" s="74">
        <f t="shared" ref="G124" si="49">IF(G$4="","",G123/Market_Price)</f>
        <v>5.3520931820683078E-2</v>
      </c>
      <c r="H124" s="74">
        <f t="shared" ref="H124" si="50">IF(H$4="","",H123/Market_Price)</f>
        <v>4.7708659934659899E-2</v>
      </c>
      <c r="I124" s="74">
        <f t="shared" ref="I124" si="51">IF(I$4="","",I123/Market_Price)</f>
        <v>6.1047696163779301E-2</v>
      </c>
      <c r="J124" s="74">
        <f t="shared" ref="J124" si="52">IF(J$4="","",J123/Market_Price)</f>
        <v>7.3590289646138868E-2</v>
      </c>
      <c r="K124" s="74">
        <f t="shared" ref="K124" si="53">IF(K$4="","",K123/Market_Price)</f>
        <v>2.9550890568827873E-2</v>
      </c>
      <c r="L124" s="74">
        <f t="shared" ref="L124" si="54">IF(L$4="","",L123/Market_Price)</f>
        <v>2.9118108918198868E-2</v>
      </c>
      <c r="M124" s="74">
        <f t="shared" ref="M124" si="55">IF(M$4="","",M123/Market_Price)</f>
        <v>1.2529413311487877E-2</v>
      </c>
      <c r="N124" s="74">
        <f t="shared" ref="N124" si="56">IF(N$4="","",N123/Market_Price)</f>
        <v>9.581009087365245E-3</v>
      </c>
      <c r="O124" s="74">
        <f t="shared" ref="O124" si="57">IF(O$4="","",O123/Market_Price)</f>
        <v>4.8894776759991409E-3</v>
      </c>
      <c r="P124" s="74">
        <f t="shared" ref="P124" si="58">IF(P$4="","",P123/Market_Price)</f>
        <v>2.5423069722802156E-4</v>
      </c>
      <c r="Q124" s="74" t="str">
        <f t="shared" ref="Q124" si="59">IF(Q$4="","",Q123/Market_Price)</f>
        <v/>
      </c>
    </row>
    <row r="125" spans="1:17" ht="15.75" customHeight="1">
      <c r="B125" s="2" t="s">
        <v>305</v>
      </c>
      <c r="C125" s="151"/>
      <c r="G125" s="22">
        <f>IF(G$4="","",(Data!C47*$C$3)/(Market_Price*Common_Shares))</f>
        <v>5.5558822662952083E-2</v>
      </c>
      <c r="H125" s="22">
        <f>IF(H$4="","",(Data!D47*$C$3)/(Market_Price*Common_Shares))</f>
        <v>5.8768229534148321E-2</v>
      </c>
      <c r="I125" s="22">
        <f>IF(I$4="","",(Data!E47*$C$3)/(Market_Price*Common_Shares))</f>
        <v>7.4936766394521001E-2</v>
      </c>
      <c r="J125" s="22">
        <f>IF(J$4="","",(Data!F47*$C$3)/(Market_Price*Common_Shares))</f>
        <v>7.3961593084498997E-2</v>
      </c>
      <c r="K125" s="22">
        <f>IF(K$4="","",(Data!G47*$C$3)/(Market_Price*Common_Shares))</f>
        <v>3.1320391511438908E-2</v>
      </c>
      <c r="L125" s="22">
        <f>IF(L$4="","",(Data!H47*$C$3)/(Market_Price*Common_Shares))</f>
        <v>2.7644502798750571E-2</v>
      </c>
      <c r="M125" s="22">
        <f>IF(M$4="","",(Data!I47*$C$3)/(Market_Price*Common_Shares))</f>
        <v>1.3189595659215117E-2</v>
      </c>
      <c r="N125" s="22">
        <f>IF(N$4="","",(Data!J47*$C$3)/(Market_Price*Common_Shares))</f>
        <v>9.4995633100313642E-3</v>
      </c>
      <c r="O125" s="22">
        <f>IF(O$4="","",(Data!K47*$C$3)/(Market_Price*Common_Shares))</f>
        <v>1.2924167362324683E-2</v>
      </c>
      <c r="P125" s="22">
        <f>IF(P$4="","",(Data!L47*$C$3)/(Market_Price*Common_Shares))</f>
        <v>1.1360087696217298E-3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2586836.9151735604</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14779911.516986605</v>
      </c>
      <c r="G5" t="str">
        <f>Reporting_currency</f>
        <v>CNY</v>
      </c>
      <c r="H5" s="308" t="s">
        <v>394</v>
      </c>
      <c r="I5" s="305">
        <f>Normalized_FCF!C7</f>
        <v>-1427907</v>
      </c>
      <c r="J5" s="305"/>
    </row>
    <row r="6" spans="2:15" ht="13.25" customHeight="1">
      <c r="B6" s="136" t="s">
        <v>193</v>
      </c>
      <c r="C6" s="283">
        <f>(C4*(1+Terminal_Growth))/(Equity_Cost-Terminal_Growth)</f>
        <v>50258545.780514896</v>
      </c>
      <c r="D6" t="str">
        <f>Reporting_currency</f>
        <v>CNY</v>
      </c>
      <c r="E6" s="187" t="s">
        <v>432</v>
      </c>
      <c r="F6" s="284">
        <f>BS!H42</f>
        <v>1668728.8</v>
      </c>
      <c r="G6" t="str">
        <f>Reporting_currency</f>
        <v>CNY</v>
      </c>
      <c r="H6" s="308" t="s">
        <v>415</v>
      </c>
      <c r="I6" s="305">
        <f>I7+I8</f>
        <v>-80173.113101919618</v>
      </c>
      <c r="J6" s="305"/>
      <c r="N6" s="135"/>
    </row>
    <row r="7" spans="2:15" ht="12.75" customHeight="1">
      <c r="B7" s="318" t="s">
        <v>429</v>
      </c>
      <c r="C7" s="275">
        <f>F7</f>
        <v>14671327.316986606</v>
      </c>
      <c r="E7" s="140" t="s">
        <v>423</v>
      </c>
      <c r="F7" s="283">
        <f>SUM(F4:F6)</f>
        <v>14671327.316986606</v>
      </c>
      <c r="G7" t="str">
        <f>Reporting_currency</f>
        <v>CNY</v>
      </c>
      <c r="H7" s="312" t="s">
        <v>416</v>
      </c>
      <c r="I7" s="313">
        <f>Normalized_FCF!C9</f>
        <v>0</v>
      </c>
      <c r="J7" s="313"/>
      <c r="N7" s="304"/>
      <c r="O7" s="304"/>
    </row>
    <row r="8" spans="2:15" ht="13.15">
      <c r="B8" s="136" t="s">
        <v>425</v>
      </c>
      <c r="C8" s="283">
        <f>C6+C7</f>
        <v>64929873.097501501</v>
      </c>
      <c r="D8" t="str">
        <f>Reporting_currency</f>
        <v>CNY</v>
      </c>
      <c r="E8" s="140" t="s">
        <v>463</v>
      </c>
      <c r="F8" s="108">
        <f>FV_adjustments*scaling_factor/Common_Shares*Exchange_Rate</f>
        <v>6.5032277236563889</v>
      </c>
      <c r="G8" s="294" t="str">
        <f>Market_currency</f>
        <v>HKD</v>
      </c>
      <c r="H8" s="314" t="str">
        <f>Normalized_FCF!B10</f>
        <v>Net Interest Income</v>
      </c>
      <c r="I8" s="313">
        <f>Normalized_FCF!C10</f>
        <v>-80173.113101919618</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74393142.381969944</v>
      </c>
      <c r="D10" t="str">
        <f>Market_currency</f>
        <v>HKD</v>
      </c>
      <c r="H10" s="308" t="s">
        <v>396</v>
      </c>
      <c r="I10" s="306">
        <f>Normalized_FCF!C41</f>
        <v>0.25</v>
      </c>
      <c r="N10" s="304"/>
      <c r="O10" s="304"/>
    </row>
    <row r="11" spans="2:15" ht="13.15">
      <c r="B11" s="136" t="s">
        <v>424</v>
      </c>
      <c r="C11" s="108">
        <f>(C10*scaling_factor)/Common_Shares</f>
        <v>28.780882717562534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0.12028033292568471</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28.419007274425734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0.12028033292568471</v>
      </c>
      <c r="F21" s="277">
        <f>C21*E21</f>
        <v>3591658.6288334336</v>
      </c>
      <c r="G21" s="299">
        <f t="shared" ref="G21:G50" si="2">IF(A21="",0%,IF(A21="I",$C$18,$F$18))</f>
        <v>0</v>
      </c>
      <c r="H21" s="277">
        <f>(F21*(1-$I$10)+C21*(G21-$I$9))</f>
        <v>2693743.9716250752</v>
      </c>
      <c r="I21" s="299">
        <f>H21/C4-1</f>
        <v>4.1327327526691882E-2</v>
      </c>
      <c r="J21" s="299">
        <f>H21/C21</f>
        <v>9.0210249694263542E-2</v>
      </c>
      <c r="K21" s="119">
        <f t="shared" ref="K21:K50" si="3">IF($C$15&lt;B21,0,1/(1+Equity_Cost)^B21)</f>
        <v>0.93240093240093236</v>
      </c>
      <c r="L21" s="277">
        <f t="shared" ref="L21:L51" si="4">H21*K21</f>
        <v>2511649.3907926106</v>
      </c>
    </row>
    <row r="22" spans="1:21">
      <c r="A22" s="302" t="str">
        <f t="shared" si="0"/>
        <v>I</v>
      </c>
      <c r="B22" s="117">
        <v>2</v>
      </c>
      <c r="C22" s="277">
        <f t="shared" ref="C22:C50" si="5">IF(A22="",0,C21*(1+D22))</f>
        <v>31094794.887723837</v>
      </c>
      <c r="D22" s="299">
        <f t="shared" si="1"/>
        <v>4.1327327526691798E-2</v>
      </c>
      <c r="E22" s="299">
        <f t="shared" ref="E22:E50" si="6">IF($C$15&lt;B22,0,IF(B22&gt;=$F$15,$F$17,$C$17))</f>
        <v>0.12028033292568471</v>
      </c>
      <c r="F22" s="277">
        <f t="shared" ref="F22:F50" si="7">IF(A22="", 0,C22*E22)</f>
        <v>3740092.2813513023</v>
      </c>
      <c r="G22" s="299">
        <f t="shared" si="2"/>
        <v>0</v>
      </c>
      <c r="H22" s="277">
        <f t="shared" ref="H22:H50" si="8">IF(A22="", 0,F22*(1-$I$10)+C22*(G22-$I$9))</f>
        <v>2805069.2110134768</v>
      </c>
      <c r="I22" s="299">
        <f t="shared" ref="I22:I50" si="9">IF(A22="", 0,H22/H21-1)</f>
        <v>4.1327327526692104E-2</v>
      </c>
      <c r="J22" s="299">
        <f>IF(A22="", 0,H22/C22)</f>
        <v>9.0210249694263542E-2</v>
      </c>
      <c r="K22" s="119">
        <f t="shared" si="3"/>
        <v>0.86937149874212816</v>
      </c>
      <c r="L22" s="277">
        <f t="shared" si="4"/>
        <v>2438647.2240541852</v>
      </c>
    </row>
    <row r="23" spans="1:21">
      <c r="A23" s="302" t="str">
        <f t="shared" si="0"/>
        <v>I</v>
      </c>
      <c r="B23" s="117">
        <v>3</v>
      </c>
      <c r="C23" s="277">
        <f t="shared" si="5"/>
        <v>32379859.660424106</v>
      </c>
      <c r="D23" s="299">
        <f t="shared" si="1"/>
        <v>4.1327327526691798E-2</v>
      </c>
      <c r="E23" s="299">
        <f t="shared" si="6"/>
        <v>0.12028033292568471</v>
      </c>
      <c r="F23" s="277">
        <f t="shared" si="7"/>
        <v>3894660.3000427596</v>
      </c>
      <c r="G23" s="299">
        <f t="shared" si="2"/>
        <v>0</v>
      </c>
      <c r="H23" s="277">
        <f t="shared" si="8"/>
        <v>2920995.2250320697</v>
      </c>
      <c r="I23" s="299">
        <f t="shared" si="9"/>
        <v>4.1327327526691882E-2</v>
      </c>
      <c r="J23" s="299">
        <f t="shared" ref="J23:J50" si="10">IF(A23="", 0,H23/C23)</f>
        <v>9.0210249694263528E-2</v>
      </c>
      <c r="K23" s="119">
        <f t="shared" si="3"/>
        <v>0.81060279602995633</v>
      </c>
      <c r="L23" s="277">
        <f t="shared" si="4"/>
        <v>2367766.896601147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0.12028033292568471</v>
      </c>
      <c r="F24" s="277">
        <f t="shared" si="7"/>
        <v>4055616.2018678305</v>
      </c>
      <c r="G24" s="299">
        <f t="shared" si="2"/>
        <v>0</v>
      </c>
      <c r="H24" s="277">
        <f t="shared" si="8"/>
        <v>3041712.151400873</v>
      </c>
      <c r="I24" s="299">
        <f t="shared" si="9"/>
        <v>4.1327327526691882E-2</v>
      </c>
      <c r="J24" s="299">
        <f t="shared" si="10"/>
        <v>9.0210249694263542E-2</v>
      </c>
      <c r="K24" s="119">
        <f t="shared" si="3"/>
        <v>0.75580680282513402</v>
      </c>
      <c r="L24" s="277">
        <f t="shared" si="4"/>
        <v>2298946.736264654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0.13966650096046163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49442152.244897701</v>
      </c>
    </row>
    <row r="53" spans="1:21">
      <c r="C53" s="111"/>
    </row>
    <row r="54" spans="1:21" ht="13.15">
      <c r="B54" s="115" t="s">
        <v>107</v>
      </c>
      <c r="C54" s="128"/>
      <c r="D54" s="128"/>
      <c r="E54" s="113"/>
      <c r="F54" s="113"/>
      <c r="G54" s="113"/>
      <c r="H54" s="113"/>
      <c r="I54" s="113"/>
      <c r="J54" s="113"/>
      <c r="K54" s="113"/>
      <c r="L54" s="113"/>
    </row>
    <row r="55" spans="1:21" ht="13.15">
      <c r="A55" s="125">
        <f>L52</f>
        <v>49442152.244897701</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39294797.434541039</v>
      </c>
      <c r="C56" s="118">
        <v>40705379.906550206</v>
      </c>
      <c r="D56" s="118">
        <v>41108403.469981395</v>
      </c>
      <c r="E56" s="118">
        <v>41511427.033412591</v>
      </c>
      <c r="F56" s="118">
        <v>42317474.160274975</v>
      </c>
      <c r="G56" s="295"/>
      <c r="H56" s="295"/>
      <c r="I56" s="295"/>
      <c r="J56" s="295"/>
      <c r="K56" s="295"/>
      <c r="L56" s="295"/>
    </row>
    <row r="57" spans="1:21" ht="13.15">
      <c r="A57" s="131">
        <v>2</v>
      </c>
      <c r="B57" s="118">
        <v>38323476.345776469</v>
      </c>
      <c r="C57" s="118">
        <v>41036840.698017187</v>
      </c>
      <c r="D57" s="118">
        <v>41829115.729846589</v>
      </c>
      <c r="E57" s="118">
        <v>42628958.794585481</v>
      </c>
      <c r="F57" s="118">
        <v>44251349.022791713</v>
      </c>
      <c r="G57" s="295"/>
      <c r="H57" s="295"/>
      <c r="I57" s="295"/>
      <c r="J57" s="295"/>
      <c r="K57" s="295"/>
      <c r="L57" s="295"/>
    </row>
    <row r="58" spans="1:21" ht="13.15">
      <c r="A58" s="131">
        <v>3</v>
      </c>
      <c r="B58" s="118">
        <v>36480445.451757625</v>
      </c>
      <c r="C58" s="118">
        <v>41758381.489501424</v>
      </c>
      <c r="D58" s="118">
        <v>43348166.964062244</v>
      </c>
      <c r="E58" s="118">
        <v>44975085.869122654</v>
      </c>
      <c r="F58" s="118">
        <v>48342017.516568176</v>
      </c>
      <c r="G58" s="295"/>
      <c r="H58" s="295"/>
      <c r="I58" s="295"/>
      <c r="J58" s="295"/>
      <c r="K58" s="295"/>
      <c r="L58" s="295"/>
    </row>
    <row r="59" spans="1:21" ht="13.15">
      <c r="A59" s="131">
        <v>4</v>
      </c>
      <c r="B59" s="118">
        <v>35698283.947772592</v>
      </c>
      <c r="C59" s="118">
        <v>42055246.564017899</v>
      </c>
      <c r="D59" s="118">
        <v>44012828.916792333</v>
      </c>
      <c r="E59" s="118">
        <v>46035824.445286483</v>
      </c>
      <c r="F59" s="118">
        <v>50283867.835752986</v>
      </c>
      <c r="G59" s="295"/>
      <c r="H59" s="295"/>
      <c r="I59" s="295"/>
      <c r="J59" s="295"/>
      <c r="K59" s="295"/>
      <c r="L59" s="295"/>
    </row>
    <row r="60" spans="1:21" ht="13.15">
      <c r="A60" s="131">
        <v>5</v>
      </c>
      <c r="B60" s="118">
        <v>33912228.270208716</v>
      </c>
      <c r="C60" s="118">
        <v>42456806.665524751</v>
      </c>
      <c r="D60" s="118">
        <v>45187554.74614875</v>
      </c>
      <c r="E60" s="118">
        <v>48055963.675606206</v>
      </c>
      <c r="F60" s="118">
        <v>54226363.847104147</v>
      </c>
      <c r="G60" s="295"/>
      <c r="H60" s="295"/>
      <c r="I60" s="295"/>
      <c r="J60" s="295"/>
      <c r="K60" s="295"/>
      <c r="L60" s="295"/>
    </row>
    <row r="61" spans="1:21" ht="13.15">
      <c r="A61" s="131">
        <v>6</v>
      </c>
      <c r="B61" s="118">
        <v>33282388.534005467</v>
      </c>
      <c r="C61" s="118">
        <v>42722686.898530975</v>
      </c>
      <c r="D61" s="118">
        <v>45800525.46415709</v>
      </c>
      <c r="E61" s="118">
        <v>49062795.307649657</v>
      </c>
      <c r="F61" s="118">
        <v>56176222.514386721</v>
      </c>
      <c r="G61" s="295"/>
      <c r="H61" s="295"/>
      <c r="I61" s="295"/>
      <c r="J61" s="295"/>
      <c r="K61" s="295"/>
      <c r="L61" s="295"/>
    </row>
    <row r="62" spans="1:21" ht="13.15">
      <c r="A62" s="131">
        <v>7</v>
      </c>
      <c r="B62" s="118">
        <v>31772274.290648088</v>
      </c>
      <c r="C62" s="118">
        <v>43091575.095551163</v>
      </c>
      <c r="D62" s="118">
        <v>46921078.670866087</v>
      </c>
      <c r="E62" s="118">
        <v>51047655.157289147</v>
      </c>
      <c r="F62" s="118">
        <v>60269804.54313878</v>
      </c>
      <c r="G62" s="295"/>
      <c r="H62" s="295"/>
      <c r="I62" s="295"/>
      <c r="J62" s="295"/>
      <c r="K62" s="295"/>
      <c r="L62" s="295"/>
    </row>
    <row r="63" spans="1:21" ht="13.15">
      <c r="A63" s="131">
        <v>8</v>
      </c>
      <c r="B63" s="118">
        <v>31265092.472980715</v>
      </c>
      <c r="C63" s="118">
        <v>43329704.482844651</v>
      </c>
      <c r="D63" s="118">
        <v>47486378.218391493</v>
      </c>
      <c r="E63" s="118">
        <v>52003319.406768382</v>
      </c>
      <c r="F63" s="118">
        <v>62227704.585595742</v>
      </c>
      <c r="G63" s="295"/>
      <c r="H63" s="295"/>
      <c r="I63" s="295"/>
      <c r="J63" s="295"/>
      <c r="K63" s="295"/>
      <c r="L63" s="295"/>
    </row>
    <row r="64" spans="1:21" ht="13.15">
      <c r="A64" s="131">
        <v>9</v>
      </c>
      <c r="B64" s="118">
        <v>29985391.998831294</v>
      </c>
      <c r="C64" s="118">
        <v>43668878.532380953</v>
      </c>
      <c r="D64" s="118">
        <v>48555844.978002459</v>
      </c>
      <c r="E64" s="118">
        <v>53953907.413760796</v>
      </c>
      <c r="F64" s="118">
        <v>66476452.821301848</v>
      </c>
      <c r="G64" s="295"/>
      <c r="H64" s="295"/>
      <c r="I64" s="295"/>
      <c r="J64" s="295"/>
      <c r="K64" s="295"/>
      <c r="L64" s="295"/>
    </row>
    <row r="65" spans="1:21" ht="13.15">
      <c r="A65" s="131">
        <v>10</v>
      </c>
      <c r="B65" s="118">
        <v>29576981.126371868</v>
      </c>
      <c r="C65" s="118">
        <v>43882153.526357085</v>
      </c>
      <c r="D65" s="118">
        <v>49077180.77601698</v>
      </c>
      <c r="E65" s="118">
        <v>54861004.617172137</v>
      </c>
      <c r="F65" s="118">
        <v>68442427.402216122</v>
      </c>
      <c r="G65" s="295"/>
      <c r="H65" s="295"/>
      <c r="I65" s="295"/>
      <c r="J65" s="295"/>
      <c r="K65" s="295"/>
      <c r="L65" s="295"/>
    </row>
    <row r="66" spans="1:21" ht="13.15">
      <c r="A66" s="131">
        <v>15</v>
      </c>
      <c r="B66" s="118">
        <v>26181955.526681297</v>
      </c>
      <c r="C66" s="277">
        <v>45108932.424484752</v>
      </c>
      <c r="D66" s="118">
        <v>52931115.660763845</v>
      </c>
      <c r="E66" s="118">
        <v>62194834.877545245</v>
      </c>
      <c r="F66" s="118">
        <v>86118375.736843348</v>
      </c>
      <c r="G66" s="295"/>
      <c r="H66" s="295"/>
      <c r="I66" s="295"/>
      <c r="J66" s="295"/>
      <c r="K66" s="295"/>
      <c r="L66" s="295"/>
      <c r="M66" s="275"/>
      <c r="N66" s="275"/>
      <c r="O66" s="275"/>
      <c r="P66" s="275"/>
      <c r="Q66" s="275"/>
      <c r="R66" s="275"/>
      <c r="S66" s="275"/>
      <c r="T66" s="275"/>
      <c r="U66" s="275"/>
    </row>
    <row r="67" spans="1:21" ht="13.15">
      <c r="A67" s="132">
        <v>20</v>
      </c>
      <c r="B67" s="118">
        <v>24405875.851366255</v>
      </c>
      <c r="C67" s="277">
        <v>45992757.614407353</v>
      </c>
      <c r="D67" s="118">
        <v>55810638.37561968</v>
      </c>
      <c r="E67" s="118">
        <v>68021406.540148765</v>
      </c>
      <c r="F67" s="118">
        <v>102116166.16230357</v>
      </c>
      <c r="G67" s="295"/>
      <c r="H67" s="295"/>
      <c r="I67" s="295"/>
      <c r="J67" s="295"/>
      <c r="K67" s="295"/>
      <c r="L67" s="295"/>
      <c r="M67" s="275"/>
      <c r="N67" s="275"/>
      <c r="O67" s="275"/>
      <c r="P67" s="275"/>
      <c r="Q67" s="275"/>
      <c r="R67" s="275"/>
      <c r="S67" s="275"/>
      <c r="T67" s="275"/>
      <c r="U67" s="275"/>
    </row>
    <row r="68" spans="1:21" ht="13.15">
      <c r="A68" s="132">
        <v>25</v>
      </c>
      <c r="B68" s="118">
        <v>22913910.792160928</v>
      </c>
      <c r="C68" s="277">
        <v>46782365.413239434</v>
      </c>
      <c r="D68" s="118">
        <v>58777170.930763476</v>
      </c>
      <c r="E68" s="118">
        <v>74521945.774208173</v>
      </c>
      <c r="F68" s="118">
        <v>122534832.22158417</v>
      </c>
      <c r="G68" s="295"/>
      <c r="H68" s="295"/>
      <c r="I68" s="295"/>
      <c r="J68" s="295"/>
      <c r="K68" s="295"/>
      <c r="L68" s="295"/>
      <c r="M68" s="275"/>
      <c r="N68" s="275"/>
      <c r="O68" s="275"/>
      <c r="P68" s="275"/>
      <c r="Q68" s="275"/>
      <c r="R68" s="275"/>
      <c r="S68" s="275"/>
      <c r="T68" s="275"/>
      <c r="U68" s="275"/>
    </row>
    <row r="69" spans="1:21" ht="13.15">
      <c r="A69" s="132">
        <v>30</v>
      </c>
      <c r="B69" s="118">
        <v>22144480.738576442</v>
      </c>
      <c r="C69" s="277">
        <v>47340267.392873161</v>
      </c>
      <c r="D69" s="118">
        <v>60942243.548775651</v>
      </c>
      <c r="E69" s="118">
        <v>79561430.558560416</v>
      </c>
      <c r="F69" s="118">
        <v>140551951.50740421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28.780882717562534</v>
      </c>
      <c r="C73" s="119">
        <f>C11</f>
        <v>28.780882717562534</v>
      </c>
      <c r="D73" s="119">
        <f>C11</f>
        <v>28.780882717562534</v>
      </c>
      <c r="E73" s="119">
        <f>C11</f>
        <v>28.780882717562534</v>
      </c>
      <c r="F73" s="119">
        <f>C11</f>
        <v>28.780882717562534</v>
      </c>
      <c r="G73" s="296"/>
      <c r="H73" s="296"/>
      <c r="I73" s="296"/>
      <c r="J73" s="296"/>
      <c r="K73" s="296"/>
      <c r="L73" s="296"/>
    </row>
    <row r="74" spans="1:21" ht="13.15">
      <c r="A74" s="131">
        <v>1</v>
      </c>
      <c r="B74" s="119">
        <f t="shared" ref="B74:F87" si="11">(B56+FV_adjustments)/Common_Shares*scaling_factor*Exchange_Rate</f>
        <v>23.921080283996925</v>
      </c>
      <c r="C74" s="119">
        <f t="shared" si="11"/>
        <v>24.546336529752747</v>
      </c>
      <c r="D74" s="119">
        <f t="shared" si="11"/>
        <v>24.724981171397264</v>
      </c>
      <c r="E74" s="119">
        <f t="shared" si="11"/>
        <v>24.903625813041785</v>
      </c>
      <c r="F74" s="119">
        <f t="shared" si="11"/>
        <v>25.260915096330823</v>
      </c>
      <c r="G74" s="296"/>
      <c r="H74" s="296"/>
      <c r="I74" s="296"/>
      <c r="J74" s="296"/>
      <c r="K74" s="296"/>
      <c r="L74" s="296"/>
    </row>
    <row r="75" spans="1:21" ht="13.15">
      <c r="A75" s="131">
        <v>2</v>
      </c>
      <c r="B75" s="119">
        <f t="shared" si="11"/>
        <v>23.490531493383259</v>
      </c>
      <c r="C75" s="119">
        <f t="shared" si="11"/>
        <v>24.693260183066471</v>
      </c>
      <c r="D75" s="119">
        <f t="shared" si="11"/>
        <v>25.044444833264297</v>
      </c>
      <c r="E75" s="119">
        <f t="shared" si="11"/>
        <v>25.398984097558525</v>
      </c>
      <c r="F75" s="119">
        <f t="shared" si="11"/>
        <v>26.118126468436191</v>
      </c>
      <c r="G75" s="296"/>
      <c r="H75" s="296"/>
      <c r="I75" s="296"/>
      <c r="J75" s="296"/>
      <c r="K75" s="296"/>
      <c r="L75" s="296"/>
    </row>
    <row r="76" spans="1:21" ht="13.15">
      <c r="A76" s="131">
        <v>3</v>
      </c>
      <c r="B76" s="119">
        <f t="shared" si="11"/>
        <v>22.673587712730129</v>
      </c>
      <c r="C76" s="119">
        <f t="shared" si="11"/>
        <v>25.013091100716057</v>
      </c>
      <c r="D76" s="119">
        <f t="shared" si="11"/>
        <v>25.717781054764036</v>
      </c>
      <c r="E76" s="119">
        <f t="shared" si="11"/>
        <v>26.438930811628889</v>
      </c>
      <c r="F76" s="119">
        <f t="shared" si="11"/>
        <v>27.931360416683951</v>
      </c>
      <c r="G76" s="296"/>
      <c r="H76" s="296"/>
      <c r="I76" s="296"/>
      <c r="J76" s="296"/>
      <c r="K76" s="296"/>
      <c r="L76" s="296"/>
    </row>
    <row r="77" spans="1:21" ht="13.15">
      <c r="A77" s="131">
        <v>4</v>
      </c>
      <c r="B77" s="119">
        <f t="shared" si="11"/>
        <v>22.326885995346803</v>
      </c>
      <c r="C77" s="119">
        <f t="shared" si="11"/>
        <v>25.144679820745878</v>
      </c>
      <c r="D77" s="119">
        <f t="shared" si="11"/>
        <v>26.012399799507691</v>
      </c>
      <c r="E77" s="119">
        <f t="shared" si="11"/>
        <v>26.909114890207356</v>
      </c>
      <c r="F77" s="119">
        <f t="shared" si="11"/>
        <v>28.792106997962417</v>
      </c>
      <c r="G77" s="296"/>
      <c r="H77" s="296"/>
      <c r="I77" s="296"/>
      <c r="J77" s="296"/>
      <c r="K77" s="296"/>
      <c r="L77" s="296"/>
    </row>
    <row r="78" spans="1:21" ht="13.15">
      <c r="A78" s="131">
        <v>5</v>
      </c>
      <c r="B78" s="119">
        <f t="shared" si="11"/>
        <v>21.535197108078965</v>
      </c>
      <c r="C78" s="119">
        <f t="shared" si="11"/>
        <v>25.322675766743902</v>
      </c>
      <c r="D78" s="119">
        <f t="shared" si="11"/>
        <v>26.533109985853329</v>
      </c>
      <c r="E78" s="119">
        <f t="shared" si="11"/>
        <v>27.804563895223449</v>
      </c>
      <c r="F78" s="119">
        <f t="shared" si="11"/>
        <v>30.539661858369534</v>
      </c>
      <c r="G78" s="296"/>
      <c r="H78" s="296"/>
      <c r="I78" s="296"/>
      <c r="J78" s="296"/>
      <c r="K78" s="296"/>
      <c r="L78" s="296"/>
    </row>
    <row r="79" spans="1:21" ht="13.15">
      <c r="A79" s="131">
        <v>6</v>
      </c>
      <c r="B79" s="119">
        <f t="shared" si="11"/>
        <v>21.256013695055728</v>
      </c>
      <c r="C79" s="119">
        <f t="shared" si="11"/>
        <v>25.440530113872835</v>
      </c>
      <c r="D79" s="119">
        <f t="shared" si="11"/>
        <v>26.804816020420905</v>
      </c>
      <c r="E79" s="119">
        <f t="shared" si="11"/>
        <v>28.250853125985703</v>
      </c>
      <c r="F79" s="119">
        <f t="shared" si="11"/>
        <v>31.403958228310263</v>
      </c>
      <c r="G79" s="296"/>
      <c r="H79" s="296"/>
      <c r="I79" s="296"/>
      <c r="J79" s="296"/>
      <c r="K79" s="296"/>
      <c r="L79" s="296"/>
    </row>
    <row r="80" spans="1:21" ht="13.15">
      <c r="A80" s="131">
        <f t="shared" ref="A80" si="12">A62</f>
        <v>7</v>
      </c>
      <c r="B80" s="119">
        <f t="shared" si="11"/>
        <v>20.586638893368924</v>
      </c>
      <c r="C80" s="119">
        <f t="shared" si="11"/>
        <v>25.604043877689808</v>
      </c>
      <c r="D80" s="119">
        <f t="shared" si="11"/>
        <v>27.301513594011592</v>
      </c>
      <c r="E80" s="119">
        <f t="shared" si="11"/>
        <v>29.130664156225819</v>
      </c>
      <c r="F80" s="119">
        <f t="shared" si="11"/>
        <v>33.218483633085285</v>
      </c>
      <c r="G80" s="296"/>
      <c r="H80" s="296"/>
      <c r="I80" s="296"/>
      <c r="J80" s="296"/>
      <c r="K80" s="296"/>
      <c r="L80" s="296"/>
    </row>
    <row r="81" spans="1:12" ht="13.15">
      <c r="A81" s="131">
        <v>8</v>
      </c>
      <c r="B81" s="119">
        <f t="shared" si="11"/>
        <v>20.361824956202511</v>
      </c>
      <c r="C81" s="119">
        <f t="shared" si="11"/>
        <v>25.709597356240543</v>
      </c>
      <c r="D81" s="119">
        <f t="shared" si="11"/>
        <v>27.552088856236249</v>
      </c>
      <c r="E81" s="119">
        <f t="shared" si="11"/>
        <v>29.554272880061255</v>
      </c>
      <c r="F81" s="119">
        <f t="shared" si="11"/>
        <v>34.086344431304411</v>
      </c>
      <c r="G81" s="296"/>
      <c r="H81" s="296"/>
      <c r="I81" s="296"/>
      <c r="J81" s="296"/>
      <c r="K81" s="296"/>
      <c r="L81" s="296"/>
    </row>
    <row r="82" spans="1:12" ht="13.15">
      <c r="A82" s="131">
        <f t="shared" ref="A82" si="13">A64</f>
        <v>9</v>
      </c>
      <c r="B82" s="119">
        <f t="shared" si="11"/>
        <v>19.794583600212231</v>
      </c>
      <c r="C82" s="119">
        <f t="shared" si="11"/>
        <v>25.859939996305254</v>
      </c>
      <c r="D82" s="119">
        <f t="shared" si="11"/>
        <v>28.02614179843858</v>
      </c>
      <c r="E82" s="119">
        <f t="shared" si="11"/>
        <v>30.41889253787625</v>
      </c>
      <c r="F82" s="119">
        <f t="shared" si="11"/>
        <v>35.969648969489526</v>
      </c>
      <c r="G82" s="296"/>
      <c r="H82" s="296"/>
      <c r="I82" s="296"/>
      <c r="J82" s="296"/>
      <c r="K82" s="296"/>
      <c r="L82" s="296"/>
    </row>
    <row r="83" spans="1:12" ht="13.15">
      <c r="A83" s="131">
        <f t="shared" ref="A83:A87" si="14">A65</f>
        <v>10</v>
      </c>
      <c r="B83" s="119">
        <f t="shared" si="11"/>
        <v>19.613550974394819</v>
      </c>
      <c r="C83" s="119">
        <f t="shared" si="11"/>
        <v>25.954476490762875</v>
      </c>
      <c r="D83" s="119">
        <f t="shared" si="11"/>
        <v>28.257229643575617</v>
      </c>
      <c r="E83" s="119">
        <f t="shared" si="11"/>
        <v>30.820973382630207</v>
      </c>
      <c r="F83" s="119">
        <f t="shared" si="11"/>
        <v>36.84108889597816</v>
      </c>
      <c r="G83" s="296"/>
      <c r="H83" s="296"/>
      <c r="I83" s="296"/>
      <c r="J83" s="296"/>
      <c r="K83" s="296"/>
      <c r="L83" s="296"/>
    </row>
    <row r="84" spans="1:12" ht="13.15">
      <c r="A84" s="131">
        <f t="shared" si="14"/>
        <v>15</v>
      </c>
      <c r="B84" s="119">
        <f t="shared" si="11"/>
        <v>18.108668415005113</v>
      </c>
      <c r="C84" s="119">
        <f t="shared" si="11"/>
        <v>26.498259774219676</v>
      </c>
      <c r="D84" s="119">
        <f t="shared" si="11"/>
        <v>29.965528807389791</v>
      </c>
      <c r="E84" s="119">
        <f t="shared" si="11"/>
        <v>34.071774570511046</v>
      </c>
      <c r="F84" s="119">
        <f t="shared" si="11"/>
        <v>44.676148040120815</v>
      </c>
      <c r="G84" s="296"/>
      <c r="H84" s="296"/>
      <c r="I84" s="296"/>
      <c r="J84" s="296"/>
      <c r="K84" s="296"/>
      <c r="L84" s="296"/>
    </row>
    <row r="85" spans="1:12" ht="13.15">
      <c r="A85" s="132">
        <f t="shared" si="14"/>
        <v>20</v>
      </c>
      <c r="B85" s="119">
        <f t="shared" si="11"/>
        <v>17.321401500814027</v>
      </c>
      <c r="C85" s="119">
        <f t="shared" si="11"/>
        <v>26.890025042200289</v>
      </c>
      <c r="D85" s="119">
        <f t="shared" si="11"/>
        <v>31.241909024772543</v>
      </c>
      <c r="E85" s="119">
        <f t="shared" si="11"/>
        <v>36.654466753122406</v>
      </c>
      <c r="F85" s="119">
        <f t="shared" si="11"/>
        <v>51.767345173432815</v>
      </c>
      <c r="G85" s="296"/>
      <c r="H85" s="296"/>
      <c r="I85" s="296"/>
      <c r="J85" s="296"/>
      <c r="K85" s="296"/>
      <c r="L85" s="296"/>
    </row>
    <row r="86" spans="1:12" ht="13.15">
      <c r="A86" s="132">
        <f t="shared" si="14"/>
        <v>25</v>
      </c>
      <c r="B86" s="119">
        <f t="shared" si="11"/>
        <v>16.660071525269348</v>
      </c>
      <c r="C86" s="119">
        <f t="shared" si="11"/>
        <v>27.240027411940535</v>
      </c>
      <c r="D86" s="119">
        <f t="shared" si="11"/>
        <v>32.556857313970873</v>
      </c>
      <c r="E86" s="119">
        <f t="shared" si="11"/>
        <v>39.535902498660271</v>
      </c>
      <c r="F86" s="119">
        <f t="shared" si="11"/>
        <v>60.818144213479655</v>
      </c>
      <c r="G86" s="296"/>
      <c r="H86" s="296"/>
      <c r="I86" s="296"/>
      <c r="J86" s="296"/>
      <c r="K86" s="296"/>
      <c r="L86" s="296"/>
    </row>
    <row r="87" spans="1:12" ht="13.15">
      <c r="A87" s="132">
        <f t="shared" si="14"/>
        <v>30</v>
      </c>
      <c r="B87" s="119">
        <f t="shared" si="11"/>
        <v>16.319013163760935</v>
      </c>
      <c r="C87" s="119">
        <f t="shared" si="11"/>
        <v>27.487323620568919</v>
      </c>
      <c r="D87" s="119">
        <f t="shared" si="11"/>
        <v>33.516549642345566</v>
      </c>
      <c r="E87" s="119">
        <f t="shared" si="11"/>
        <v>41.769709737395864</v>
      </c>
      <c r="F87" s="119">
        <f t="shared" si="11"/>
        <v>68.804431146381035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36.84108889597816</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30.820973382630207</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28.257229643575617</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25.954476490762875</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19.613550974394819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2533200.6701797112</v>
      </c>
      <c r="D8" s="469"/>
      <c r="E8" s="469"/>
      <c r="F8" s="469"/>
      <c r="G8" s="469"/>
    </row>
    <row r="9" spans="2:7">
      <c r="B9" s="97" t="s">
        <v>53</v>
      </c>
      <c r="C9" s="447">
        <f>Normalized_FCF!C19</f>
        <v>2586836.9151735604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-6.3673761943846663E-2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30.820973382630207</v>
      </c>
      <c r="F22" s="328">
        <f>1-F23-F24</f>
        <v>0.24999999999999994</v>
      </c>
      <c r="G22" s="328">
        <f>F22*(1-F$29-F$30)</f>
        <v>0.22499999999999992</v>
      </c>
    </row>
    <row r="23" spans="2:7">
      <c r="B23" s="302" t="s">
        <v>436</v>
      </c>
      <c r="C23" s="324">
        <v>0.04</v>
      </c>
      <c r="D23" s="325">
        <f>C18</f>
        <v>10</v>
      </c>
      <c r="E23" s="326">
        <f>DCF!E92</f>
        <v>28.257229643575617</v>
      </c>
      <c r="F23" s="327">
        <v>0.55000000000000004</v>
      </c>
      <c r="G23" s="328">
        <f t="shared" ref="G23:G24" si="0">F23*(1-F$29-F$30)</f>
        <v>0.495</v>
      </c>
    </row>
    <row r="24" spans="2:7">
      <c r="B24" s="302" t="s">
        <v>445</v>
      </c>
      <c r="C24" s="324">
        <v>0.02</v>
      </c>
      <c r="D24" s="325">
        <f>C18</f>
        <v>10</v>
      </c>
      <c r="E24" s="326">
        <f>DCF!E93</f>
        <v>25.954476490762875</v>
      </c>
      <c r="F24" s="327">
        <v>0.2</v>
      </c>
      <c r="G24" s="328">
        <f t="shared" si="0"/>
        <v>0.18</v>
      </c>
    </row>
    <row r="25" spans="2:7">
      <c r="B25" s="141" t="s">
        <v>450</v>
      </c>
      <c r="C25" s="441">
        <f>E23*F23+E24*F24+E22*F22</f>
        <v>28.437614947776716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36.84108889597816</v>
      </c>
      <c r="F29" s="327">
        <v>0.05</v>
      </c>
      <c r="G29" s="328">
        <f>F29</f>
        <v>0.05</v>
      </c>
    </row>
    <row r="30" spans="2:7">
      <c r="B30" s="315" t="s">
        <v>446</v>
      </c>
      <c r="C30" s="324">
        <v>-0.05</v>
      </c>
      <c r="D30" s="325">
        <f>C18</f>
        <v>10</v>
      </c>
      <c r="E30" s="326">
        <f>DCF!E94</f>
        <v>19.613550974394819</v>
      </c>
      <c r="F30" s="327">
        <v>0.05</v>
      </c>
      <c r="G30" s="328">
        <f>F30</f>
        <v>0.05</v>
      </c>
    </row>
    <row r="31" spans="2:7">
      <c r="E31" s="329"/>
      <c r="F31" s="329"/>
    </row>
    <row r="32" spans="2:7" ht="13.15">
      <c r="B32" s="145" t="s">
        <v>455</v>
      </c>
    </row>
    <row r="33" spans="2:7">
      <c r="B33" s="97" t="s">
        <v>457</v>
      </c>
      <c r="C33" s="155">
        <f>Normalized_FCF!C88*(1-dividend_tax_rate)</f>
        <v>0.51040981159873133</v>
      </c>
      <c r="D33" t="str">
        <f>Market_currency</f>
        <v>HKD</v>
      </c>
      <c r="E33" s="97" t="s">
        <v>454</v>
      </c>
      <c r="F33" s="219">
        <f>Holding_Period</f>
        <v>3</v>
      </c>
    </row>
    <row r="34" spans="2:7">
      <c r="B34" s="97" t="s">
        <v>232</v>
      </c>
      <c r="C34" s="146">
        <f>Market_Price</f>
        <v>20.98</v>
      </c>
      <c r="D34" t="str">
        <f>Market_currency</f>
        <v>HKD</v>
      </c>
      <c r="E34" s="97" t="s">
        <v>453</v>
      </c>
      <c r="F34" s="330">
        <f>RATE(Holding_Period,$C$33,-C34,$C$36)</f>
        <v>0.12851807778732405</v>
      </c>
    </row>
    <row r="35" spans="2:7">
      <c r="B35" s="97" t="s">
        <v>433</v>
      </c>
      <c r="C35" s="320">
        <f>DCF!C11</f>
        <v>28.780882717562534</v>
      </c>
      <c r="D35" s="97" t="str">
        <f>Market_currency</f>
        <v>HKD</v>
      </c>
      <c r="E35" s="97" t="s">
        <v>453</v>
      </c>
      <c r="F35" s="330">
        <f>RATE(Holding_Period,$C$33,-C35,$C$36)</f>
        <v>1.3571878493533694E-2</v>
      </c>
    </row>
    <row r="36" spans="2:7">
      <c r="B36" s="97" t="s">
        <v>434</v>
      </c>
      <c r="C36" s="321">
        <f>E22*G22+E23*G23+E24*G24+E30*G30+E29*G29</f>
        <v>28.41658544651769</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28.419007274425734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0.2288532426211442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0.51040981159873133</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0.9269618335361578</v>
      </c>
      <c r="D62" s="119">
        <f>C36/(1+F62)^Holding_Period</f>
        <v>12.934267385761348</v>
      </c>
      <c r="E62" s="332">
        <f>C62+D62</f>
        <v>13.861229219297506</v>
      </c>
      <c r="F62" s="301">
        <f>Thesis!E22</f>
        <v>0.3</v>
      </c>
      <c r="G62" s="440">
        <f>(1-E62/C36)</f>
        <v>0.5122134133467422</v>
      </c>
    </row>
    <row r="63" spans="2:7" ht="13.15">
      <c r="B63" s="302" t="s">
        <v>312</v>
      </c>
      <c r="C63" s="119">
        <f>PV(F63, Holding_Period, -C58, 0)</f>
        <v>1.0751688160991792</v>
      </c>
      <c r="D63" s="119">
        <f>C36/(1+F63)^Holding_Period</f>
        <v>16.444783244512553</v>
      </c>
      <c r="E63" s="332">
        <f>C63+D63</f>
        <v>17.519952060611732</v>
      </c>
      <c r="F63" s="301">
        <f>Thesis!E23</f>
        <v>0.2</v>
      </c>
      <c r="G63" s="440">
        <f>(1-E63/C36)</f>
        <v>0.38346033538808888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1.2314163069728561</v>
      </c>
      <c r="D66" s="119">
        <f>C36/(1+F66)^Holding_Period</f>
        <v>20.36788295278474</v>
      </c>
      <c r="E66" s="332">
        <f>C66+D66</f>
        <v>21.599299259757597</v>
      </c>
      <c r="F66" s="301">
        <f>Thesis!E24</f>
        <v>0.1174</v>
      </c>
      <c r="G66" s="440">
        <f>(1-E66/C36)</f>
        <v>0.2399051849347198</v>
      </c>
    </row>
    <row r="67" spans="2:7" ht="13.15">
      <c r="B67" s="302" t="s">
        <v>313</v>
      </c>
      <c r="C67" s="119">
        <f>PV(F67, Holding_Period, -C58, 0)</f>
        <v>1.3333819475265722</v>
      </c>
      <c r="D67" s="119">
        <f>C36/(1+F67)^Holding_Period</f>
        <v>23.034563616571404</v>
      </c>
      <c r="E67" s="332">
        <f>C67+D67</f>
        <v>24.367945564097976</v>
      </c>
      <c r="F67" s="301">
        <f>Thesis!E25</f>
        <v>7.2499999999999995E-2</v>
      </c>
      <c r="G67" s="440">
        <f>(1-E67/C36)</f>
        <v>0.14247453797851894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20.98</v>
      </c>
    </row>
    <row r="9" spans="1:10">
      <c r="B9" s="351" t="s">
        <v>360</v>
      </c>
      <c r="C9" s="353">
        <f>Common_Shares</f>
        <v>2584811005</v>
      </c>
    </row>
    <row r="10" spans="1:10">
      <c r="B10" s="351" t="s">
        <v>366</v>
      </c>
      <c r="C10" s="357">
        <f>投资主题!C8*Common_Shares/1000000</f>
        <v>54229.334884900003</v>
      </c>
      <c r="D10" s="343" t="s">
        <v>528</v>
      </c>
      <c r="E10" s="360">
        <f>Scenarios!F34</f>
        <v>0.12851807778732405</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28.41658544651769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13.861229219297506</v>
      </c>
      <c r="D22" s="365" t="s">
        <v>439</v>
      </c>
      <c r="E22" s="366">
        <f>Thesis!E22</f>
        <v>0.3</v>
      </c>
    </row>
    <row r="23" spans="1:6">
      <c r="B23" s="343" t="s">
        <v>340</v>
      </c>
      <c r="C23" s="367">
        <f>E141</f>
        <v>17.519952060611732</v>
      </c>
      <c r="D23" s="365" t="s">
        <v>440</v>
      </c>
      <c r="E23" s="368">
        <f>Thesis!E23</f>
        <v>0.2</v>
      </c>
    </row>
    <row r="24" spans="1:6">
      <c r="B24" s="343" t="s">
        <v>342</v>
      </c>
      <c r="C24" s="367">
        <f>E144</f>
        <v>21.599299259757597</v>
      </c>
      <c r="D24" s="365" t="s">
        <v>442</v>
      </c>
      <c r="E24" s="368">
        <f>Thesis!E24</f>
        <v>0.1174</v>
      </c>
    </row>
    <row r="25" spans="1:6">
      <c r="B25" s="343" t="s">
        <v>341</v>
      </c>
      <c r="C25" s="367">
        <f>E145</f>
        <v>24.367945564097976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26465.666898080377</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-80173.113101919618</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-862278.97172452009</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2533200.6701797112</v>
      </c>
      <c r="D60" s="343" t="str">
        <f>Reporting_currency</f>
        <v>CNY</v>
      </c>
    </row>
    <row r="61" spans="2:6">
      <c r="B61" s="372" t="s">
        <v>212</v>
      </c>
      <c r="C61" s="373">
        <f>Normalized_FCF!C19</f>
        <v>2586836.9151735604</v>
      </c>
      <c r="D61" s="343" t="str">
        <f>Reporting_currency</f>
        <v>CNY</v>
      </c>
    </row>
    <row r="62" spans="2:6">
      <c r="B62" s="377" t="s">
        <v>301</v>
      </c>
      <c r="C62" s="378">
        <f>Normalized_FCF!C124</f>
        <v>5.4654147142006039E-2</v>
      </c>
      <c r="F62" s="379"/>
    </row>
    <row r="63" spans="2:6">
      <c r="B63" s="377" t="s">
        <v>331</v>
      </c>
      <c r="C63" s="378">
        <f>Normalized_FCF!C92</f>
        <v>2.4328399027584907E-2</v>
      </c>
      <c r="E63" s="372" t="s">
        <v>372</v>
      </c>
      <c r="F63" s="380">
        <f>Normalized_FCF!C90</f>
        <v>0.51001007846366686</v>
      </c>
    </row>
    <row r="65" spans="1:6">
      <c r="B65" s="369" t="s">
        <v>375</v>
      </c>
      <c r="C65" s="381" t="s">
        <v>326</v>
      </c>
      <c r="D65" s="381" t="s">
        <v>373</v>
      </c>
    </row>
    <row r="66" spans="1:6">
      <c r="B66" s="372" t="s">
        <v>325</v>
      </c>
      <c r="C66" s="378">
        <f>Normalized_FCF!E119</f>
        <v>0.2</v>
      </c>
      <c r="D66" s="378">
        <f>Normalized_FCF!G119</f>
        <v>0.13360567879285584</v>
      </c>
    </row>
    <row r="67" spans="1:6">
      <c r="B67" s="382" t="str">
        <f>Normalized_FCF!B116</f>
        <v>Pre-tax Profit/Sales</v>
      </c>
      <c r="C67" s="383">
        <f>Normalized_FCF!E116</f>
        <v>0.13430424833028851</v>
      </c>
      <c r="D67" s="383">
        <f>Normalized_FCF!G116</f>
        <v>0.12658449089283583</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-1777313</v>
      </c>
      <c r="D78" s="343" t="str">
        <f>Reporting_currency</f>
        <v>CNY</v>
      </c>
    </row>
    <row r="79" spans="1:6">
      <c r="B79" s="372" t="s">
        <v>233</v>
      </c>
      <c r="C79" s="387">
        <f>C78*scaling_factor*Exchange_Rate/Common_Shares</f>
        <v>-0.78781359896678405</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14779911.516986605</v>
      </c>
      <c r="D84" s="343" t="str">
        <f>Reporting_currency</f>
        <v>CNY</v>
      </c>
    </row>
    <row r="85" spans="1:6">
      <c r="B85" s="382" t="s">
        <v>480</v>
      </c>
      <c r="C85" s="390">
        <f>BS!C66</f>
        <v>19190856</v>
      </c>
      <c r="D85" s="391" t="str">
        <f>Reporting_currency</f>
        <v>CNY</v>
      </c>
    </row>
    <row r="86" spans="1:6">
      <c r="B86" s="372" t="s">
        <v>234</v>
      </c>
      <c r="C86" s="387">
        <f>C84*scaling_factor*Exchange_Rate/Common_Shares</f>
        <v>6.5513588684760853</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0.73968245414708755</v>
      </c>
      <c r="D90" s="343" t="str">
        <f>Market_currency</f>
        <v>HKD</v>
      </c>
    </row>
    <row r="92" spans="1:6">
      <c r="B92" s="372" t="s">
        <v>479</v>
      </c>
      <c r="C92" s="387">
        <f>DCF!F8</f>
        <v>6.5032277236563889</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5.7150287460167313</v>
      </c>
      <c r="D111" s="343" t="str">
        <f>Market_currency</f>
        <v>HKD</v>
      </c>
    </row>
    <row r="112" spans="1:6">
      <c r="A112" s="385"/>
      <c r="B112" s="372" t="s">
        <v>376</v>
      </c>
      <c r="C112" s="394">
        <f>DCF!C11</f>
        <v>28.780882717562534</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36.84 HKD</v>
      </c>
      <c r="F118" s="399">
        <f>DCF!F90</f>
        <v>0.05</v>
      </c>
    </row>
    <row r="119" spans="1:6">
      <c r="A119" s="385"/>
      <c r="B119" s="400" t="str">
        <f>DCF!B91</f>
        <v>Optimistic</v>
      </c>
      <c r="C119" s="401">
        <f>DCF!C91</f>
        <v>0.06</v>
      </c>
      <c r="D119" s="402">
        <f>DCF!D91</f>
        <v>10</v>
      </c>
      <c r="E119" s="398" t="str">
        <f>ROUND(DCF!E91,2)&amp;" "&amp;Market_currency</f>
        <v>30.82 HKD</v>
      </c>
      <c r="F119" s="403">
        <f>DCF!F91</f>
        <v>0.22499999999999992</v>
      </c>
    </row>
    <row r="120" spans="1:6">
      <c r="B120" s="400" t="str">
        <f>DCF!B92</f>
        <v>Base</v>
      </c>
      <c r="C120" s="401">
        <f>DCF!C92</f>
        <v>0.04</v>
      </c>
      <c r="D120" s="402">
        <f>DCF!D92</f>
        <v>10</v>
      </c>
      <c r="E120" s="398" t="str">
        <f>ROUND(DCF!E92,2)&amp;" "&amp;Market_currency</f>
        <v>28.26 HKD</v>
      </c>
      <c r="F120" s="403">
        <f>DCF!F92</f>
        <v>0.495</v>
      </c>
    </row>
    <row r="121" spans="1:6">
      <c r="B121" s="400" t="str">
        <f>DCF!B93</f>
        <v>Pessimistic</v>
      </c>
      <c r="C121" s="401">
        <f>DCF!C93</f>
        <v>0.02</v>
      </c>
      <c r="D121" s="402">
        <f>DCF!D93</f>
        <v>10</v>
      </c>
      <c r="E121" s="398" t="str">
        <f>ROUND(DCF!E93,2)&amp;" "&amp;Market_currency</f>
        <v>25.95 HKD</v>
      </c>
      <c r="F121" s="403">
        <f>DCF!F93</f>
        <v>0.18</v>
      </c>
    </row>
    <row r="122" spans="1:6">
      <c r="B122" s="400" t="str">
        <f>DCF!B94</f>
        <v>Devil's advocate</v>
      </c>
      <c r="C122" s="401">
        <f>DCF!C94</f>
        <v>-0.05</v>
      </c>
      <c r="D122" s="402">
        <f>DCF!D94</f>
        <v>10</v>
      </c>
      <c r="E122" s="398" t="str">
        <f>ROUND(DCF!E94,2)&amp;" "&amp;Market_currency</f>
        <v>19.61 HKD</v>
      </c>
      <c r="F122" s="403">
        <f>DCF!F94</f>
        <v>0.05</v>
      </c>
    </row>
    <row r="124" spans="1:6">
      <c r="B124" s="470" t="s">
        <v>518</v>
      </c>
      <c r="C124" s="470"/>
      <c r="D124" s="470"/>
      <c r="E124" s="470"/>
      <c r="F124" s="470"/>
    </row>
    <row r="125" spans="1:6">
      <c r="B125" s="372" t="s">
        <v>217</v>
      </c>
      <c r="C125" s="404">
        <f>Scenarios!C36</f>
        <v>28.41658544651769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0.51040981159873133</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0.9269618335361578</v>
      </c>
      <c r="D140" s="409">
        <f>Scenarios!D62</f>
        <v>12.934267385761348</v>
      </c>
      <c r="E140" s="410">
        <f>Scenarios!E62</f>
        <v>13.861229219297506</v>
      </c>
      <c r="F140" s="411">
        <f>E22</f>
        <v>0.3</v>
      </c>
    </row>
    <row r="141" spans="1:6">
      <c r="B141" s="408" t="s">
        <v>312</v>
      </c>
      <c r="C141" s="409">
        <f>Scenarios!C63</f>
        <v>1.0751688160991792</v>
      </c>
      <c r="D141" s="409">
        <f>Scenarios!D63</f>
        <v>16.444783244512553</v>
      </c>
      <c r="E141" s="410">
        <f>Scenarios!E63</f>
        <v>17.519952060611732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1.2314163069728561</v>
      </c>
      <c r="D144" s="409">
        <f>Scenarios!D66</f>
        <v>20.36788295278474</v>
      </c>
      <c r="E144" s="410">
        <f>Scenarios!E66</f>
        <v>21.599299259757597</v>
      </c>
      <c r="F144" s="411">
        <f>E24</f>
        <v>0.1174</v>
      </c>
    </row>
    <row r="145" spans="1:6">
      <c r="B145" s="408" t="s">
        <v>313</v>
      </c>
      <c r="C145" s="409">
        <f>Scenarios!C67</f>
        <v>1.3333819475265722</v>
      </c>
      <c r="D145" s="409">
        <f>Scenarios!D67</f>
        <v>23.034563616571404</v>
      </c>
      <c r="E145" s="410">
        <f>Scenarios!E67</f>
        <v>24.367945564097976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