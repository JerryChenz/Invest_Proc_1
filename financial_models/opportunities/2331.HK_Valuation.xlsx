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ACEC29E-A397-416B-A9A0-F35100CE13ED}"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F71" i="4"/>
  <c r="E72" i="4"/>
  <c r="D72" i="4"/>
  <c r="D70" i="4"/>
  <c r="J72" i="4"/>
  <c r="H72" i="4"/>
  <c r="L69" i="4"/>
  <c r="L70" i="4"/>
  <c r="L72" i="4"/>
  <c r="L71" i="4"/>
  <c r="K70" i="4"/>
  <c r="K72" i="4"/>
  <c r="C72" i="4"/>
  <c r="C70"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K58" i="4"/>
  <c r="O62" i="2" s="1"/>
  <c r="K71" i="4"/>
  <c r="I91" i="2"/>
  <c r="G69" i="4"/>
  <c r="J91" i="2"/>
  <c r="J69" i="4"/>
  <c r="I69" i="4"/>
  <c r="N126" i="2"/>
  <c r="N91" i="2"/>
  <c r="P126" i="2"/>
  <c r="P91" i="2"/>
  <c r="Q126" i="2"/>
  <c r="Q48" i="2"/>
  <c r="Q92" i="2"/>
  <c r="Q91" i="2"/>
  <c r="D69" i="4"/>
  <c r="J71" i="4"/>
  <c r="L126" i="2"/>
  <c r="L91" i="2"/>
  <c r="I70" i="4"/>
  <c r="O126" i="2"/>
  <c r="O91" i="2"/>
  <c r="M126" i="2"/>
  <c r="M91" i="2"/>
  <c r="H91" i="2"/>
  <c r="J70" i="4"/>
  <c r="E69" i="4"/>
  <c r="I71" i="4"/>
  <c r="C69" i="4"/>
  <c r="K126" i="2"/>
  <c r="K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82" i="2"/>
  <c r="O40" i="2"/>
  <c r="O28" i="2"/>
  <c r="O75" i="2"/>
  <c r="C76" i="4" l="1"/>
  <c r="G105" i="2"/>
  <c r="G101" i="2" s="1"/>
  <c r="C58" i="4"/>
  <c r="C71" i="4"/>
  <c r="O63" i="2"/>
  <c r="O30" i="2"/>
  <c r="E58" i="4"/>
  <c r="I62" i="2" s="1"/>
  <c r="E71" i="4"/>
  <c r="O73" i="2"/>
  <c r="H58" i="4"/>
  <c r="H71" i="4"/>
  <c r="G71" i="4"/>
  <c r="D71" i="4"/>
  <c r="O6" i="2"/>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8" i="2" l="1"/>
  <c r="O74" i="2"/>
  <c r="M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O120" i="2"/>
  <c r="O76" i="2"/>
  <c r="O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O48" i="2"/>
  <c r="O50" i="2" s="1"/>
  <c r="O12" i="2" s="1"/>
  <c r="K48" i="2"/>
  <c r="I48" i="2"/>
  <c r="I50" i="2" s="1"/>
  <c r="I12" i="2" s="1"/>
  <c r="I80" i="2" s="1"/>
  <c r="P48" i="2"/>
  <c r="P50" i="2" s="1"/>
  <c r="P12" i="2" s="1"/>
  <c r="L48" i="2"/>
  <c r="L50" i="2" s="1"/>
  <c r="L12" i="2" s="1"/>
  <c r="J48" i="2"/>
  <c r="J50" i="2" s="1"/>
  <c r="J12" i="2" s="1"/>
  <c r="J80" i="2" s="1"/>
  <c r="H48" i="2"/>
  <c r="H50" i="2" s="1"/>
  <c r="H12" i="2" s="1"/>
  <c r="H80" i="2" s="1"/>
  <c r="N48" i="2"/>
  <c r="M48" i="2"/>
  <c r="M50" i="2" s="1"/>
  <c r="M12" i="2" s="1"/>
  <c r="N50" i="2"/>
  <c r="N12" i="2" s="1"/>
  <c r="G50" i="2"/>
  <c r="G12" i="2" s="1"/>
  <c r="G43" i="2" s="1"/>
  <c r="C40" i="6"/>
  <c r="K50" i="2"/>
  <c r="K12" i="2" s="1"/>
  <c r="K43" i="2" s="1"/>
  <c r="C87" i="3"/>
  <c r="D87" i="3" s="1"/>
  <c r="C31" i="3"/>
  <c r="L80" i="2" l="1"/>
  <c r="L43" i="2"/>
  <c r="O80" i="2"/>
  <c r="O13" i="2"/>
  <c r="O4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24" i="2"/>
  <c r="O125" i="2" s="1"/>
  <c r="O19"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N92" i="2"/>
  <c r="N114" i="2"/>
  <c r="I114" i="2"/>
  <c r="I92" i="2"/>
  <c r="J114" i="2"/>
  <c r="J92" i="2"/>
  <c r="L124" i="2"/>
  <c r="L125" i="2" s="1"/>
  <c r="L19" i="2"/>
  <c r="M124" i="2"/>
  <c r="M125" i="2" s="1"/>
  <c r="M19" i="2"/>
  <c r="I124" i="2"/>
  <c r="I125" i="2" s="1"/>
  <c r="J84" i="2"/>
  <c r="N124" i="2"/>
  <c r="N125" i="2" s="1"/>
  <c r="M84" i="2"/>
  <c r="I87" i="2"/>
  <c r="I84" i="2"/>
  <c r="J124" i="2"/>
  <c r="J125" i="2" s="1"/>
  <c r="K87" i="2"/>
  <c r="L84" i="2"/>
  <c r="N87" i="2"/>
  <c r="C76" i="2"/>
  <c r="C50" i="3"/>
  <c r="C90" i="6" s="1"/>
  <c r="C54" i="3"/>
  <c r="C120" i="2"/>
  <c r="L114" i="2" l="1"/>
  <c r="L92" i="2"/>
  <c r="L87" i="2"/>
  <c r="M114" i="2"/>
  <c r="M92" i="2"/>
  <c r="C14" i="9"/>
  <c r="M87" i="2"/>
  <c r="C81" i="2"/>
  <c r="C117" i="2" s="1"/>
  <c r="C97" i="2"/>
  <c r="J87" i="2"/>
  <c r="C82" i="2"/>
  <c r="C124" i="2" l="1"/>
  <c r="C84" i="2" l="1"/>
  <c r="C9" i="9"/>
  <c r="C57" i="6" l="1"/>
  <c r="C125" i="2"/>
  <c r="C58" i="6" s="1"/>
  <c r="C87" i="2"/>
  <c r="C6" i="8" l="1"/>
  <c r="C77" i="6" s="1"/>
  <c r="C21" i="8"/>
  <c r="C37" i="8" l="1"/>
  <c r="F37" i="8" s="1"/>
  <c r="C40" i="8"/>
  <c r="F40" i="8" s="1"/>
  <c r="C36" i="8"/>
  <c r="F36" i="8" s="1"/>
  <c r="C39" i="8"/>
  <c r="F39"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<sst xmlns="http://schemas.openxmlformats.org/spreadsheetml/2006/main" count="616" uniqueCount="433">
  <si>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</si>
  <si>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</si>
  <si>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</si>
  <si>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</si>
  <si>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</si>
  <si>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</si>
  <si>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</si>
  <si>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</si>
  <si>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</si>
  <si>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</si>
  <si>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</si>
  <si>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</si>
  <si>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</si>
  <si>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</si>
  <si>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</si>
  <si>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</si>
  <si>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</si>
  <si>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</si>
  <si>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</si>
  <si>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</si>
  <si>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</si>
  <si>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</si>
  <si>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</si>
  <si>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</si>
  <si>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</si>
  <si>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</si>
  <si>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</si>
  <si>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</si>
  <si>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</si>
  <si>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</si>
  <si>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</si>
  <si>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</si>
  <si>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</si>
  <si>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</si>
  <si>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</si>
  <si>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</si>
  <si>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</si>
  <si>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</si>
  <si>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</si>
  <si>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</si>
  <si>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</si>
  <si>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</si>
  <si>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</si>
  <si>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</si>
  <si>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</si>
  <si>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</si>
  <si>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</si>
  <si>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</si>
  <si>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</si>
  <si>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</si>
  <si>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</si>
  <si>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</si>
  <si>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</si>
  <si>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</si>
  <si>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</si>
  <si>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</si>
  <si>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</si>
  <si>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</si>
  <si>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</si>
  <si>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</si>
  <si>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</si>
  <si>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</si>
  <si>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</si>
  <si>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</si>
  <si>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</si>
  <si>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</si>
  <si>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</si>
  <si>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</si>
  <si>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</si>
  <si>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</si>
  <si>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</si>
  <si>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</si>
  <si>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</si>
  <si>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</si>
  <si>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</si>
  <si>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</si>
  <si>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</si>
  <si>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</si>
  <si>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</si>
  <si>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</si>
  <si>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</si>
  <si>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</si>
  <si>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</si>
  <si>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</si>
  <si>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</si>
  <si>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</si>
  <si>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</si>
  <si>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</si>
  <si>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</si>
  <si>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</si>
  <si>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</si>
  <si>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</si>
  <si>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</si>
  <si>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</si>
  <si>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</si>
  <si>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</si>
  <si>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</si>
  <si>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</si>
  <si>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</si>
  <si>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</si>
  <si>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</si>
  <si>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</si>
  <si>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</si>
  <si>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</si>
  <si>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</si>
  <si>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</si>
  <si>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</si>
  <si>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</si>
  <si>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</si>
  <si>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</si>
  <si>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</si>
  <si>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</si>
  <si>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</si>
  <si>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</si>
  <si>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</si>
  <si>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</si>
  <si>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</si>
  <si>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</si>
  <si>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</si>
  <si>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</si>
  <si>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</si>
  <si>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</si>
  <si>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</si>
  <si>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</si>
  <si>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</si>
  <si>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</si>
  <si>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</si>
  <si>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</si>
  <si>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</si>
  <si>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</si>
  <si>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</si>
  <si>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</si>
  <si>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</si>
  <si>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</si>
  <si>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</si>
  <si>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</si>
  <si>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</si>
  <si>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</si>
  <si>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</si>
  <si>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</si>
  <si>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</si>
  <si>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</si>
  <si>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</si>
  <si>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</si>
  <si>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</si>
  <si>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</si>
  <si>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</si>
  <si>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</si>
  <si>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</si>
  <si>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</si>
  <si>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</si>
  <si>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</si>
  <si>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</si>
  <si>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</si>
  <si>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</si>
  <si>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</si>
  <si>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</si>
  <si>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</si>
  <si>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</si>
  <si>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</si>
  <si>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</si>
  <si>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</si>
  <si>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</si>
  <si>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</si>
  <si>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</si>
  <si>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</si>
  <si>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</si>
  <si>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</si>
  <si>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</si>
  <si>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</si>
  <si>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</si>
  <si>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</si>
  <si>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</si>
  <si>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</si>
  <si>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</si>
  <si>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</si>
  <si>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</si>
  <si>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</si>
  <si>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</si>
  <si>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</si>
  <si>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</si>
  <si>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</si>
  <si>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</si>
  <si>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</si>
  <si>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</si>
  <si>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</si>
  <si>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</si>
  <si>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</si>
  <si>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</si>
  <si>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</si>
  <si>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</si>
  <si>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</si>
  <si>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</si>
  <si>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</si>
  <si>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</si>
  <si>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</si>
  <si>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</si>
  <si>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</si>
  <si>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</si>
  <si>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</si>
  <si>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</si>
  <si>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</si>
  <si>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</si>
  <si>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</si>
  <si>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</si>
  <si>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</si>
  <si>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</si>
  <si>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</si>
  <si>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</si>
  <si>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</si>
  <si>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</si>
  <si>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</si>
  <si>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</si>
  <si>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</si>
  <si>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</si>
  <si>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</si>
  <si>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</si>
  <si>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</si>
  <si>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</si>
  <si>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</si>
  <si>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</si>
  <si>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</si>
  <si>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</si>
  <si>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</si>
  <si>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</si>
  <si>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</si>
  <si>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</si>
  <si>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</si>
  <si>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</si>
  <si>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</si>
  <si>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</si>
  <si>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</si>
  <si>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</si>
  <si>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</si>
  <si>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</si>
  <si>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</si>
  <si>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</si>
  <si>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</si>
  <si>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</si>
  <si>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</si>
  <si>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</si>
  <si>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</si>
  <si>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</si>
  <si>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</si>
  <si>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</si>
  <si>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</si>
  <si>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</si>
  <si>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</si>
  <si>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</si>
  <si>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</si>
  <si>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</si>
  <si>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</si>
  <si>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</si>
  <si>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</si>
  <si>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</si>
  <si>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</si>
  <si>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</si>
  <si>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</si>
  <si>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</si>
  <si>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</si>
  <si>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</si>
  <si>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</si>
  <si>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</si>
  <si>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</si>
  <si>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</si>
  <si>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</si>
  <si>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</si>
  <si>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</si>
  <si>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</si>
  <si>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</si>
  <si>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</si>
  <si>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</si>
  <si>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</si>
  <si>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</si>
  <si>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</si>
  <si>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</si>
  <si>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</si>
  <si>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</si>
  <si>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</si>
  <si>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</si>
  <si>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</si>
  <si>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</si>
  <si>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</si>
  <si>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</si>
  <si>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</si>
  <si>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</si>
  <si>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</si>
  <si>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</si>
  <si>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</si>
  <si>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</si>
  <si>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</si>
  <si>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</si>
  <si>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</si>
  <si>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</si>
  <si>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</si>
  <si>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</si>
  <si>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</si>
  <si>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</si>
  <si>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</si>
  <si>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</si>
  <si>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</si>
  <si>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</si>
  <si>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</si>
  <si>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</si>
  <si>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</si>
  <si>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</si>
  <si>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</si>
  <si>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</si>
  <si>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</si>
  <si>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</si>
  <si>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</si>
  <si>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</si>
  <si>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</si>
  <si>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</si>
  <si>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</si>
  <si>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</si>
  <si>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</si>
  <si>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</si>
  <si>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</si>
  <si>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</si>
  <si>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</si>
  <si>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</si>
  <si>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</si>
  <si>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</si>
  <si>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</si>
  <si>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</si>
  <si>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</si>
  <si>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</si>
  <si>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</si>
  <si>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</si>
  <si>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</si>
  <si>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</si>
  <si>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</si>
  <si>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</si>
  <si>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</si>
  <si>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</si>
  <si>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</si>
  <si>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</si>
  <si>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</si>
  <si>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</si>
  <si>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</si>
  <si>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</si>
  <si>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</si>
  <si>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</si>
  <si>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</si>
  <si>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</si>
  <si>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</si>
  <si>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</si>
  <si>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</si>
  <si>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</si>
  <si>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</si>
  <si>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</si>
  <si>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</si>
  <si>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</si>
  <si>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</si>
  <si>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</si>
  <si>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</si>
  <si>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</si>
  <si>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</si>
  <si>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</si>
  <si>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</si>
  <si>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</si>
  <si>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</si>
  <si>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</si>
  <si>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</si>
  <si>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</si>
  <si>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</si>
  <si>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</si>
  <si>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</si>
  <si>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</si>
  <si>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</si>
  <si>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</si>
  <si>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</si>
  <si>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</si>
  <si>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</si>
  <si>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</si>
  <si>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</si>
  <si>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</si>
  <si>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</si>
  <si>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</si>
  <si>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</si>
  <si>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</si>
  <si>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</si>
  <si>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</si>
  <si>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</si>
  <si>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</si>
  <si>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</si>
  <si>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</si>
  <si>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</si>
  <si>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</si>
  <si>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</si>
  <si>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</si>
  <si>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</si>
  <si>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</si>
  <si>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</si>
  <si>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</si>
  <si>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</si>
  <si>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</si>
  <si>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</si>
  <si>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</si>
  <si>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</si>
  <si>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</si>
  <si>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</si>
  <si>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</si>
  <si>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</si>
  <si>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</si>
  <si>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</si>
  <si>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</si>
  <si>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</si>
  <si>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</si>
  <si>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</si>
  <si>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</si>
  <si>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</si>
  <si>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</si>
  <si>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</si>
  <si>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</si>
  <si>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</si>
  <si>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</si>
  <si>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</si>
  <si>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</si>
  <si>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</si>
  <si>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</si>
  <si>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</si>
  <si>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</si>
  <si>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</si>
  <si>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李宁</t>
  </si>
  <si>
    <t>2331.HK</t>
  </si>
  <si>
    <t>CNY</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</si>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</sst>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opLeftCell="A124" zoomScaleNormal="100" workbookViewId="0">
      <selection activeCell="D139" sqref="D139"/>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45778</v>
      </c>
      <c r="D1" s="52"/>
      <c r="E1" s="331" t="s">
        <v>361</v>
      </c>
      <c r="F1" s="284" t="s">
        <v>424</v>
      </c>
    </row>
    <row r="2" spans="1:10" ht="13.9">
      <c r="A2" s="247" t="s">
        <v>268</v>
      </c>
      <c r="B2" s="36"/>
      <c r="C2" s="36"/>
      <c r="D2" s="36"/>
      <c r="E2" s="36"/>
      <c r="F2" s="36"/>
      <c r="G2" s="22"/>
      <c r="H2" s="22"/>
      <c r="I2" s="22"/>
      <c r="J2" s="22"/>
    </row>
    <row r="4" spans="1:10">
      <c r="B4" s="45" t="str">
        <f>D5&amp;" Stock Information"</f>
        <v>2331.HK Stock Information</v>
      </c>
      <c r="C4" s="46"/>
      <c r="D4" s="5"/>
      <c r="E4" s="2"/>
      <c r="F4" s="2"/>
    </row>
    <row r="5" spans="1:10" ht="12.4">
      <c r="B5" s="4" t="s">
        <v>323</v>
      </c>
      <c r="C5" s="333" t="s">
        <v>425</v>
      </c>
      <c r="D5" s="49" t="s">
        <v>426</v>
      </c>
    </row>
    <row r="6" spans="1:10">
      <c r="B6" s="4" t="s">
        <v>95</v>
      </c>
      <c r="C6" s="50">
        <v>15.44</v>
      </c>
      <c r="D6" s="48" t="s">
        <v>404</v>
      </c>
      <c r="E6" s="48"/>
    </row>
    <row r="7" spans="1:10">
      <c r="B7" s="4" t="s">
        <v>0</v>
      </c>
      <c r="C7" s="51">
        <v>2584797906</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39909.279668639996</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1.0737034399999998</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11.862033069653084</v>
      </c>
      <c r="D20" s="1" t="s">
        <v>315</v>
      </c>
      <c r="E20" s="330">
        <v>3</v>
      </c>
    </row>
    <row r="21" spans="1:6">
      <c r="B21" s="1" t="s">
        <v>407</v>
      </c>
      <c r="C21" s="280">
        <f ca="1">Scenarios!C87</f>
        <v>0.18737363316325828</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3205414.6239021346</v>
      </c>
      <c r="D30" s="1" t="str">
        <f>Reporting_currency</f>
        <v>CNY</v>
      </c>
    </row>
    <row r="31" spans="1:6">
      <c r="B31" s="47"/>
      <c r="C31" s="76"/>
    </row>
    <row r="32" spans="1:6" ht="24.4" customHeight="1">
      <c r="B32" s="343" t="s">
        <v>234</v>
      </c>
      <c r="C32" s="343"/>
      <c r="D32" s="343"/>
      <c r="E32" s="343"/>
      <c r="F32" s="343"/>
    </row>
    <row r="33" spans="2:6">
      <c r="B33" s="47" t="s">
        <v>235</v>
      </c>
      <c r="C33" s="188">
        <f>Normalized_FCF!C9</f>
        <v>0</v>
      </c>
      <c r="D33" s="1" t="str">
        <f>Reporting_currency</f>
        <v>CNY</v>
      </c>
    </row>
    <row r="34" spans="2:6">
      <c r="B34" s="52" t="s">
        <v>236</v>
      </c>
      <c r="C34" s="188">
        <f>Normalized_FCF!C10</f>
        <v>0</v>
      </c>
      <c r="D34" s="1" t="str">
        <f>Reporting_currency</f>
        <v>CNY</v>
      </c>
    </row>
    <row r="36" spans="2:6">
      <c r="B36" s="343" t="s">
        <v>237</v>
      </c>
      <c r="C36" s="343"/>
      <c r="D36" s="343"/>
      <c r="E36" s="343"/>
      <c r="F36" s="343"/>
    </row>
    <row r="37" spans="2:6">
      <c r="B37" s="47" t="s">
        <v>238</v>
      </c>
      <c r="C37" s="188">
        <f>Normalized_FCF!C11</f>
        <v>179409.3</v>
      </c>
      <c r="D37" s="1" t="str">
        <f>Reporting_currency</f>
        <v>CNY</v>
      </c>
    </row>
    <row r="39" spans="2:6">
      <c r="B39" s="343" t="s">
        <v>241</v>
      </c>
      <c r="C39" s="343"/>
      <c r="D39" s="343"/>
      <c r="E39" s="343"/>
      <c r="F39" s="343"/>
    </row>
    <row r="40" spans="2:6">
      <c r="B40" s="47" t="s">
        <v>348</v>
      </c>
      <c r="C40" s="322">
        <f>Normalized_FCF!C48</f>
        <v>96025.191128996186</v>
      </c>
      <c r="D40" s="1" t="str">
        <f>Reporting_currency</f>
        <v>CNY</v>
      </c>
      <c r="E40" s="321"/>
      <c r="F40" s="321"/>
    </row>
    <row r="41" spans="2:6">
      <c r="B41" s="47" t="s">
        <v>349</v>
      </c>
      <c r="C41" s="322">
        <f>Normalized_FCF!C47</f>
        <v>-254421</v>
      </c>
      <c r="D41" s="1" t="str">
        <f>Reporting_currency</f>
        <v>CNY</v>
      </c>
      <c r="E41" s="321"/>
      <c r="F41" s="321"/>
    </row>
    <row r="42" spans="2:6">
      <c r="B42" s="47" t="s">
        <v>239</v>
      </c>
      <c r="C42" s="188">
        <f>Normalized_FCF!C12</f>
        <v>-158395.8088710038</v>
      </c>
      <c r="D42" s="1" t="str">
        <f>Reporting_currency</f>
        <v>CNY</v>
      </c>
    </row>
    <row r="44" spans="2:6">
      <c r="B44" s="1" t="s">
        <v>247</v>
      </c>
    </row>
    <row r="45" spans="2:6">
      <c r="B45" s="47" t="s">
        <v>266</v>
      </c>
      <c r="C45" s="188">
        <f>Normalized_FCF!C15</f>
        <v>0</v>
      </c>
      <c r="D45" s="1" t="str">
        <f>Reporting_currency</f>
        <v>CNY</v>
      </c>
    </row>
    <row r="47" spans="2:6">
      <c r="B47" s="343" t="s">
        <v>242</v>
      </c>
      <c r="C47" s="343"/>
      <c r="D47" s="343"/>
      <c r="E47" s="343"/>
      <c r="F47" s="343"/>
    </row>
    <row r="48" spans="2:6">
      <c r="B48" s="47" t="s">
        <v>240</v>
      </c>
      <c r="C48" s="188">
        <f>Normalized_FCF!C14</f>
        <v>-806607.02875778265</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2532316.4651289964</v>
      </c>
      <c r="D56" s="1" t="str">
        <f>Reporting_currency</f>
        <v>CNY</v>
      </c>
    </row>
    <row r="57" spans="1:6">
      <c r="B57" s="47" t="s">
        <v>249</v>
      </c>
      <c r="C57" s="188">
        <f>Normalized_FCF!C19</f>
        <v>2419821.086273348</v>
      </c>
      <c r="D57" s="1" t="str">
        <f>Reporting_currency</f>
        <v>CNY</v>
      </c>
    </row>
    <row r="58" spans="1:6">
      <c r="B58" s="254" t="s">
        <v>398</v>
      </c>
      <c r="C58" s="92">
        <f>Normalized_FCF!C125</f>
        <v>6.5101907277916274E-2</v>
      </c>
    </row>
    <row r="59" spans="1:6">
      <c r="B59" s="254" t="s">
        <v>316</v>
      </c>
      <c r="C59" s="92">
        <f>Normalized_FCF!C93</f>
        <v>3.5275706733689696E-2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12.564668104637839</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1936137</v>
      </c>
      <c r="D86" s="1" t="str">
        <f>Reporting_currency</f>
        <v>CNY</v>
      </c>
    </row>
    <row r="87" spans="2:6">
      <c r="B87" s="47" t="s">
        <v>285</v>
      </c>
      <c r="C87" s="248">
        <f>C86*scaling_factor*Exchange_Rate/Common_Shares</f>
        <v>0.80425512276443312</v>
      </c>
      <c r="D87" s="1" t="str">
        <f>Market_currency</f>
        <v>HKD</v>
      </c>
    </row>
    <row r="88" spans="2:6">
      <c r="B88" s="336" t="s">
        <v>412</v>
      </c>
      <c r="C88" s="337">
        <f>BS!G30/BS!G27</f>
        <v>0.36794481423679237</v>
      </c>
    </row>
    <row r="89" spans="2:6">
      <c r="B89" s="336" t="s">
        <v>413</v>
      </c>
      <c r="C89" s="337">
        <f>BS!G31/BS!G27</f>
        <v>7.4171010848313429E-2</v>
      </c>
    </row>
    <row r="90" spans="2:6">
      <c r="B90" s="336" t="s">
        <v>415</v>
      </c>
      <c r="C90" s="338">
        <f>BS!C50</f>
        <v>0.60402076709908736</v>
      </c>
    </row>
    <row r="92" spans="2:6">
      <c r="B92" s="1" t="s">
        <v>255</v>
      </c>
    </row>
    <row r="93" spans="2:6">
      <c r="B93" s="47" t="s">
        <v>265</v>
      </c>
      <c r="C93" s="188">
        <f>BS!C66</f>
        <v>18164188</v>
      </c>
      <c r="D93" s="1" t="str">
        <f>Reporting_currency</f>
        <v>CNY</v>
      </c>
    </row>
    <row r="94" spans="2:6">
      <c r="B94" s="47" t="s">
        <v>267</v>
      </c>
      <c r="C94" s="188">
        <f>Valuation_Model!C8</f>
        <v>14103377.513059732</v>
      </c>
      <c r="D94" s="1" t="str">
        <f>Reporting_currency</f>
        <v>CNY</v>
      </c>
    </row>
    <row r="95" spans="2:6">
      <c r="B95" s="47" t="s">
        <v>286</v>
      </c>
      <c r="C95" s="248">
        <f>C94*scaling_factor*Exchange_Rate/Common_Shares</f>
        <v>5.8584251079128187</v>
      </c>
      <c r="D95" s="1" t="str">
        <f>Market_currency</f>
        <v>HKD</v>
      </c>
    </row>
    <row r="97" spans="1:6">
      <c r="B97" s="1" t="s">
        <v>257</v>
      </c>
    </row>
    <row r="98" spans="1:6">
      <c r="B98" s="47" t="s">
        <v>258</v>
      </c>
      <c r="C98" s="188">
        <f>Valuation_Model!C9</f>
        <v>561572.19999999995</v>
      </c>
      <c r="D98" s="1" t="str">
        <f>Reporting_currency</f>
        <v>CNY</v>
      </c>
    </row>
    <row r="99" spans="1:6">
      <c r="B99" s="47" t="s">
        <v>287</v>
      </c>
      <c r="C99" s="248">
        <f>C98*scaling_factor*Exchange_Rate/Common_Shares</f>
        <v>0.23327239686659199</v>
      </c>
      <c r="D99" s="1" t="str">
        <f>Market_currency</f>
        <v>HKD</v>
      </c>
    </row>
    <row r="101" spans="1:6" ht="24.4" customHeight="1">
      <c r="B101" s="342" t="s">
        <v>374</v>
      </c>
      <c r="C101" s="342"/>
      <c r="D101" s="342"/>
      <c r="E101" s="342"/>
      <c r="F101" s="342"/>
    </row>
    <row r="103" spans="1:6">
      <c r="B103" s="47" t="s">
        <v>283</v>
      </c>
      <c r="C103" s="248">
        <f>Valuation_Model!C12</f>
        <v>17.852110486652816</v>
      </c>
      <c r="D103" s="1" t="str">
        <f>Market_currency</f>
        <v>HKD</v>
      </c>
    </row>
    <row r="104" spans="1:6">
      <c r="B104" s="336" t="s">
        <v>414</v>
      </c>
      <c r="C104" s="248">
        <f>BS!D47</f>
        <v>4.5265264551387059</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47.24 HKD</v>
      </c>
      <c r="F111" s="259">
        <f>Valuation_Model!F74</f>
        <v>0.05</v>
      </c>
    </row>
    <row r="112" spans="1:6">
      <c r="B112" s="242" t="str">
        <f>Valuation_Model!B75</f>
        <v>Optimistic</v>
      </c>
      <c r="C112" s="243">
        <f>Valuation_Model!C75</f>
        <v>0.06</v>
      </c>
      <c r="D112" s="244">
        <f>Valuation_Model!D75</f>
        <v>20</v>
      </c>
      <c r="E112" s="245" t="str">
        <f>ROUND(Valuation_Model!E75,2)&amp;" "&amp;Market_currency</f>
        <v>24.76 HKD</v>
      </c>
      <c r="F112" s="246">
        <f>Valuation_Model!F75</f>
        <v>0.22499999999999992</v>
      </c>
    </row>
    <row r="113" spans="1:6">
      <c r="B113" s="242" t="str">
        <f>Valuation_Model!B76</f>
        <v>Base</v>
      </c>
      <c r="C113" s="243">
        <f>Valuation_Model!C76</f>
        <v>0.05</v>
      </c>
      <c r="D113" s="244">
        <f>Valuation_Model!D76</f>
        <v>20</v>
      </c>
      <c r="E113" s="245" t="str">
        <f>ROUND(Valuation_Model!E76,2)&amp;" "&amp;Market_currency</f>
        <v>23.27 HKD</v>
      </c>
      <c r="F113" s="246">
        <f>Valuation_Model!F76</f>
        <v>0.495</v>
      </c>
    </row>
    <row r="114" spans="1:6">
      <c r="B114" s="242" t="str">
        <f>Valuation_Model!B77</f>
        <v>Pessimistic</v>
      </c>
      <c r="C114" s="243">
        <f>Valuation_Model!C77</f>
        <v>0.02</v>
      </c>
      <c r="D114" s="244">
        <f>Valuation_Model!D77</f>
        <v>20</v>
      </c>
      <c r="E114" s="245" t="str">
        <f>ROUND(Valuation_Model!E77,2)&amp;" "&amp;Market_currency</f>
        <v>19.68 HKD</v>
      </c>
      <c r="F114" s="246">
        <f>Valuation_Model!F77</f>
        <v>0.18</v>
      </c>
    </row>
    <row r="115" spans="1:6">
      <c r="B115" s="242" t="str">
        <f>Valuation_Model!B78</f>
        <v>Devil's advocate</v>
      </c>
      <c r="C115" s="243">
        <f>Valuation_Model!C78</f>
        <v>0</v>
      </c>
      <c r="D115" s="244">
        <f>Valuation_Model!D78</f>
        <v>30</v>
      </c>
      <c r="E115" s="245" t="str">
        <f>ROUND(Valuation_Model!E78,2)&amp;" "&amp;Market_currency</f>
        <v>17.85 HKD</v>
      </c>
      <c r="F115" s="246">
        <f>Valuation_Model!F78</f>
        <v>0.05</v>
      </c>
    </row>
    <row r="117" spans="1:6">
      <c r="B117" s="235" t="s">
        <v>259</v>
      </c>
      <c r="C117" s="241">
        <f>Scenarios!C60</f>
        <v>23.887705575274836</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0.5446569119681689</v>
      </c>
      <c r="D128" s="236" t="str">
        <f>Market_currency</f>
        <v>HKD</v>
      </c>
    </row>
    <row r="130" spans="2:4">
      <c r="B130" s="234" t="s">
        <v>418</v>
      </c>
      <c r="C130" s="337">
        <f>C19</f>
        <v>0.3</v>
      </c>
      <c r="D130" s="1" t="s">
        <v>416</v>
      </c>
    </row>
    <row r="131" spans="2:4">
      <c r="B131" s="236" t="str">
        <f>"PV("&amp;C126&amp;" yrs of Dividends)"</f>
        <v>PV(3 yrs of Dividends)</v>
      </c>
      <c r="C131" s="240">
        <f>Scenarios!C81</f>
        <v>0.98915843366089862</v>
      </c>
    </row>
    <row r="132" spans="2:4">
      <c r="B132" s="236" t="str">
        <f>"+ PV(Equity Value realized at year "&amp;C126&amp;")"</f>
        <v>+ PV(Equity Value realized at year 3)</v>
      </c>
      <c r="C132" s="240">
        <f>Scenarios!C82</f>
        <v>10.872874635992185</v>
      </c>
    </row>
    <row r="133" spans="2:4">
      <c r="B133" s="80" t="s">
        <v>261</v>
      </c>
      <c r="C133" s="239">
        <f>Scenarios!C83</f>
        <v>11.862033069653084</v>
      </c>
      <c r="D133" s="47" t="str">
        <f>Reporting_currency</f>
        <v>CNY</v>
      </c>
    </row>
    <row r="134" spans="2:4">
      <c r="B134" s="238" t="s">
        <v>263</v>
      </c>
      <c r="C134" s="92">
        <f>Scenarios!F83</f>
        <v>0.50342518111362788</v>
      </c>
    </row>
    <row r="136" spans="2:4">
      <c r="B136" s="234" t="s">
        <v>421</v>
      </c>
      <c r="C136" s="337">
        <f>Scenarios!C90</f>
        <v>0.2</v>
      </c>
      <c r="D136" s="1" t="s">
        <v>420</v>
      </c>
    </row>
    <row r="137" spans="2:4">
      <c r="B137" s="236" t="str">
        <f>"PV("&amp;C126&amp;" yrs of Dividends)"</f>
        <v>PV(3 yrs of Dividends)</v>
      </c>
      <c r="C137" s="240">
        <f>Scenarios!C91</f>
        <v>1.1473096988218372</v>
      </c>
    </row>
    <row r="138" spans="2:4">
      <c r="B138" s="236" t="str">
        <f>"+ PV(Equity Value realized at year "&amp;C126&amp;")"</f>
        <v>+ PV(Equity Value realized at year 3)</v>
      </c>
      <c r="C138" s="240">
        <f>Scenarios!C92</f>
        <v>13.823903689395159</v>
      </c>
    </row>
    <row r="139" spans="2:4">
      <c r="B139" s="80" t="s">
        <v>261</v>
      </c>
      <c r="C139" s="239">
        <f>Scenarios!C93</f>
        <v>14.971213388216997</v>
      </c>
      <c r="D139" s="47" t="str">
        <f>Reporting_currency</f>
        <v>CNY</v>
      </c>
    </row>
    <row r="140" spans="2:4">
      <c r="B140" s="238" t="s">
        <v>263</v>
      </c>
      <c r="C140" s="92">
        <f>Scenarios!F93</f>
        <v>0.37326699958521459</v>
      </c>
    </row>
    <row r="142" spans="2:4">
      <c r="B142" s="234" t="s">
        <v>408</v>
      </c>
      <c r="C142" s="92">
        <f>Scenarios!C96</f>
        <v>0.08</v>
      </c>
      <c r="D142" s="1" t="s">
        <v>419</v>
      </c>
    </row>
    <row r="143" spans="2:4">
      <c r="B143" s="236" t="str">
        <f>"PV("&amp;C126&amp;" yrs of Dividends)"</f>
        <v>PV(3 yrs of Dividends)</v>
      </c>
      <c r="C143" s="240">
        <f>Scenarios!C97</f>
        <v>1.4036336869169019</v>
      </c>
    </row>
    <row r="144" spans="2:4">
      <c r="B144" s="236" t="str">
        <f>"+ PV(Equity Value realized at year "&amp;C126&amp;")"</f>
        <v>+ PV(Equity Value realized at year 3)</v>
      </c>
      <c r="C144" s="240">
        <f>Scenarios!C98</f>
        <v>18.962830849650423</v>
      </c>
    </row>
    <row r="145" spans="1:6">
      <c r="B145" s="80" t="s">
        <v>409</v>
      </c>
      <c r="C145" s="239">
        <f>Scenarios!C99</f>
        <v>20.366464536567324</v>
      </c>
      <c r="D145" s="101" t="str">
        <f>Reporting_currency</f>
        <v>CNY</v>
      </c>
    </row>
    <row r="146" spans="1:6">
      <c r="B146" s="238" t="s">
        <v>263</v>
      </c>
      <c r="C146" s="92">
        <f>Scenarios!F99</f>
        <v>0.14740808938771421</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0.5446569119681689</v>
      </c>
      <c r="D25" s="39"/>
      <c r="E25" s="39"/>
      <c r="F25" s="39"/>
      <c r="G25" s="39"/>
      <c r="H25" s="39"/>
      <c r="I25" s="39"/>
      <c r="J25" s="39"/>
      <c r="K25" s="39"/>
      <c r="L25" s="39"/>
      <c r="M25" s="39"/>
    </row>
    <row r="27" spans="2:13">
      <c r="B27" s="16" t="s">
        <v>28</v>
      </c>
      <c r="C27" s="97" t="s">
        <v>430</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0.5446569119681689</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81">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10.843254171218041</v>
      </c>
      <c r="D47" s="148">
        <f>D46*H1/Common_Shares*Exchange_Rate</f>
        <v>4.5265264551387059</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14103377.513059732</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-2212848.5037953123</v>
      </c>
      <c r="D73" s="188">
        <f>(Normalized_FCF!C25+Normalized_FCF!C35-Normalized_FCF!C91)/12</f>
        <v>-2030405.2434701344</v>
      </c>
      <c r="F73" s="1" t="s">
        <v>359</v>
      </c>
    </row>
    <row r="74" spans="2:6" ht="15" customHeight="1">
      <c r="B74" s="288" t="s">
        <v>329</v>
      </c>
      <c r="C74" s="289">
        <f>-$C$66/C73</f>
        <v>8.2085095156067585</v>
      </c>
      <c r="D74" s="289">
        <f>-$C$66/D73</f>
        <v>8.9460899780557419</v>
      </c>
      <c r="F74" s="283" t="s">
        <v>327</v>
      </c>
    </row>
    <row r="75" spans="2:6" ht="15" customHeight="1">
      <c r="B75" s="80" t="s">
        <v>328</v>
      </c>
      <c r="C75" s="293"/>
      <c r="D75" s="292">
        <f>MAX(-D73*D76,G5)</f>
        <v>4060810.4869402689</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-2078836.9572112798</v>
      </c>
      <c r="D86" s="248">
        <f>C86*scaling_factor/Common_Shares</f>
        <v>-0.80425512276443323</v>
      </c>
      <c r="E86" s="269" t="str">
        <f>Market_currency</f>
        <v>HKD</v>
      </c>
    </row>
    <row r="87" spans="2:8" ht="15" customHeight="1">
      <c r="B87" s="267" t="s">
        <v>294</v>
      </c>
      <c r="C87" s="188">
        <f>Valuation_Model!C8*Exchange_Rate</f>
        <v>15142844.951390877</v>
      </c>
      <c r="D87" s="248">
        <f>C87*scaling_factor/Common_Shares</f>
        <v>5.8584251079128187</v>
      </c>
      <c r="E87" s="269" t="str">
        <f>Market_currency</f>
        <v>HKD</v>
      </c>
    </row>
    <row r="88" spans="2:8" ht="15" customHeight="1">
      <c r="B88" s="268" t="s">
        <v>190</v>
      </c>
      <c r="C88" s="188">
        <f>Valuation_Model!C9*Exchange_Rate</f>
        <v>602962.00294836785</v>
      </c>
      <c r="D88" s="248">
        <f>C88*scaling_factor/Common_Shares</f>
        <v>0.23327239686659196</v>
      </c>
      <c r="E88" s="269" t="str">
        <f>Market_currency</f>
        <v>HKD</v>
      </c>
    </row>
    <row r="89" spans="2:8" ht="15" customHeight="1">
      <c r="B89" s="80" t="s">
        <v>298</v>
      </c>
      <c r="C89" s="187">
        <f>SUM(C86:C88)</f>
        <v>13666969.997127965</v>
      </c>
      <c r="D89" s="271">
        <f>SUM(D86:D88)</f>
        <v>5.2874423820149783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7" sqref="G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-158395.8088710038</v>
      </c>
      <c r="E12" s="302"/>
      <c r="G12" s="191">
        <f>G50</f>
        <v>-158395.8088710038</v>
      </c>
      <c r="H12" s="191">
        <f t="shared" ref="H12:Q12" si="6">H50</f>
        <v>-69541.022243720814</v>
      </c>
      <c r="I12" s="191">
        <f t="shared" si="6"/>
        <v>-20461.850293636497</v>
      </c>
      <c r="J12" s="191">
        <f t="shared" si="6"/>
        <v>-80019.918032142581</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3226428.1150311306</v>
      </c>
      <c r="E13" s="302"/>
      <c r="G13" s="184">
        <f>IF(G$4="","",SUM(G8:G12))</f>
        <v>3629007.4651289964</v>
      </c>
      <c r="H13" s="184">
        <f t="shared" ref="H13:Q13" si="7">IF(H$4="","",SUM(H8:H12))</f>
        <v>3326028.2517562793</v>
      </c>
      <c r="I13" s="184">
        <f t="shared" si="7"/>
        <v>4239795.5747063635</v>
      </c>
      <c r="J13" s="184">
        <f t="shared" si="7"/>
        <v>4800575.8359678574</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-806607.02875778265</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2419821.086273348</v>
      </c>
      <c r="D16" s="61"/>
      <c r="E16" s="310"/>
      <c r="F16" s="61"/>
      <c r="G16" s="184">
        <f>IF(G$4="","",SUM(G13:G15))</f>
        <v>2532316.4651289964</v>
      </c>
      <c r="H16" s="184">
        <f t="shared" ref="H16:Q16" si="8">IF(H$4="","",SUM(H13:H15))</f>
        <v>2256769.2517562793</v>
      </c>
      <c r="I16" s="184">
        <f t="shared" si="8"/>
        <v>2888466.5747063635</v>
      </c>
      <c r="J16" s="184">
        <f t="shared" si="8"/>
        <v>3483219.8359678574</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2419821.086273348</v>
      </c>
      <c r="D19" s="27"/>
      <c r="E19" s="299"/>
      <c r="F19" s="27"/>
      <c r="G19" s="186">
        <f>IF(G$4="","",G16+G17)</f>
        <v>2532316.4651289964</v>
      </c>
      <c r="H19" s="186">
        <f t="shared" ref="H19:Q19" si="9">IF(H$4="","",H16+H17)</f>
        <v>2256769.2517562793</v>
      </c>
      <c r="I19" s="186">
        <f t="shared" si="9"/>
        <v>2888466.5747063635</v>
      </c>
      <c r="J19" s="186">
        <f t="shared" si="9"/>
        <v>3483219.8359678574</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0.30235260284309473</v>
      </c>
      <c r="H43" s="6">
        <f t="shared" si="18"/>
        <v>0.32164214722537882</v>
      </c>
      <c r="I43" s="6">
        <f t="shared" si="18"/>
        <v>0.31886269760704133</v>
      </c>
      <c r="J43" s="6">
        <f t="shared" si="18"/>
        <v>0.27447354990553091</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96025.191128996186</v>
      </c>
      <c r="E48" s="302"/>
      <c r="G48" s="328">
        <f>IFERROR(IF(G$4="","",($C$48/$C$49)*G49),0)</f>
        <v>96025.191128996186</v>
      </c>
      <c r="H48" s="328">
        <f t="shared" ref="H48:Q48" si="19">IFERROR(IF(H$4="","",($C$48/$C$49)*H49),0)</f>
        <v>111904.97775627919</v>
      </c>
      <c r="I48" s="328">
        <f t="shared" si="19"/>
        <v>100099.1497063635</v>
      </c>
      <c r="J48" s="328">
        <f t="shared" si="19"/>
        <v>32438.081967857423</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-158395.8088710038</v>
      </c>
      <c r="E50" s="302"/>
      <c r="G50" s="184">
        <f>IF(G$4="","",(G47+G48))</f>
        <v>-158395.8088710038</v>
      </c>
      <c r="H50" s="184">
        <f t="shared" ref="H50:Q50" si="20">IF(H$4="","",(H47+H48))</f>
        <v>-69541.022243720814</v>
      </c>
      <c r="I50" s="184">
        <f t="shared" si="20"/>
        <v>-20461.850293636497</v>
      </c>
      <c r="J50" s="184">
        <f t="shared" si="20"/>
        <v>-80019.918032142581</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432</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6.0543187621252288E-3</v>
      </c>
      <c r="D80" s="27"/>
      <c r="E80" s="299"/>
      <c r="F80" s="27"/>
      <c r="G80" s="6">
        <f t="shared" ref="G80:Q80" si="31">IF(G$4="","",ABS(G12/G$4))</f>
        <v>5.5237055668116595E-3</v>
      </c>
      <c r="H80" s="6">
        <f t="shared" si="31"/>
        <v>2.5197400192539807E-3</v>
      </c>
      <c r="I80" s="6">
        <f t="shared" si="31"/>
        <v>7.9299099244608726E-4</v>
      </c>
      <c r="J80" s="6">
        <f t="shared" si="31"/>
        <v>3.5450523601111726E-3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0.12332286069127933</v>
      </c>
      <c r="D81" s="27"/>
      <c r="E81" s="299"/>
      <c r="F81" s="27"/>
      <c r="G81" s="65">
        <f t="shared" ref="G81:Q81" si="32">IF(G$4="","",G13/G$4)</f>
        <v>0.12655365618580885</v>
      </c>
      <c r="H81" s="65">
        <f t="shared" si="32"/>
        <v>0.1205148590100915</v>
      </c>
      <c r="I81" s="65">
        <f t="shared" si="32"/>
        <v>0.16431161660881302</v>
      </c>
      <c r="J81" s="65">
        <f t="shared" si="32"/>
        <v>0.21267570769510877</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3.0830715172819833E-2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9.2492145518459495E-2</v>
      </c>
      <c r="D84" s="27"/>
      <c r="E84" s="299"/>
      <c r="F84" s="27"/>
      <c r="G84" s="65">
        <f t="shared" ref="G84:Q84" si="35">IF(G$4="","",ABS(G16/G$4))</f>
        <v>8.8308968874002108E-2</v>
      </c>
      <c r="H84" s="65">
        <f t="shared" si="35"/>
        <v>8.177147264161215E-2</v>
      </c>
      <c r="I84" s="65">
        <f t="shared" si="35"/>
        <v>0.1119413905806988</v>
      </c>
      <c r="J84" s="65">
        <f t="shared" si="35"/>
        <v>0.15431403835384902</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9.2492145518459495E-2</v>
      </c>
      <c r="D87" s="75"/>
      <c r="E87" s="299"/>
      <c r="F87" s="75"/>
      <c r="G87" s="65">
        <f t="shared" ref="G87:Q87" si="36">IF(G$4="","",ABS(G19/G$4))</f>
        <v>8.8308968874002108E-2</v>
      </c>
      <c r="H87" s="65">
        <f t="shared" si="36"/>
        <v>8.177147264161215E-2</v>
      </c>
      <c r="I87" s="65">
        <f t="shared" si="36"/>
        <v>0.1119413905806988</v>
      </c>
      <c r="J87" s="65">
        <f t="shared" si="36"/>
        <v>0.15431403835384902</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0.5446569119681689</v>
      </c>
      <c r="E90" s="302"/>
      <c r="G90" s="113">
        <f>Data!C65</f>
        <v>0.5446569119681689</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1407828.0455437494</v>
      </c>
      <c r="E91" s="302"/>
      <c r="G91" s="74">
        <f t="shared" ref="G91:Q91" si="37">IF(G$4="","",G90*Common_Shares/scaling_factor)</f>
        <v>1407828.0455437494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0.58179013875438157</v>
      </c>
      <c r="E92" s="302"/>
      <c r="G92" s="171">
        <f t="shared" ref="G92:Q92" si="38">IF(G$4="","",G90/(G19*scaling_factor/Common_Shares))</f>
        <v>0.55594475055945836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3.5275706733689696E-2</v>
      </c>
      <c r="E93" s="302"/>
      <c r="G93" s="23">
        <f t="shared" ref="G93:Q93" si="39">IF(G$4="","",G90/Market_Price)</f>
        <v>3.5275706733689696E-2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-0.11093373435195064</v>
      </c>
      <c r="D97" s="27"/>
      <c r="E97" s="299"/>
      <c r="F97" s="27"/>
      <c r="G97" s="6">
        <f t="shared" ref="G97:Q97" si="41">IF(H5="","",G13/H13-1)</f>
        <v>9.1093397421603939E-2</v>
      </c>
      <c r="H97" s="6">
        <f t="shared" si="41"/>
        <v>-0.21552155212421276</v>
      </c>
      <c r="I97" s="6">
        <f t="shared" si="41"/>
        <v>-0.11681520726324146</v>
      </c>
      <c r="J97" s="6">
        <f t="shared" si="41"/>
        <v>1.4633488681263724</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2.0772775047124203</v>
      </c>
      <c r="I114" s="334">
        <f>IF(I$4="","",Data!E$22/I19)</f>
        <v>1.3549071449434551</v>
      </c>
      <c r="J114" s="334">
        <f>IF(J$4="","",Data!F$22/J19)</f>
        <v>1.8733629536152581</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0.12332286069127933</v>
      </c>
      <c r="E117" s="302"/>
      <c r="G117" s="23">
        <f t="shared" ref="G117:Q117" si="45">G81</f>
        <v>0.12655365618580885</v>
      </c>
      <c r="H117" s="23">
        <f t="shared" si="45"/>
        <v>0.1205148590100915</v>
      </c>
      <c r="I117" s="23">
        <f t="shared" si="45"/>
        <v>0.16431161660881302</v>
      </c>
      <c r="J117" s="23">
        <f t="shared" si="45"/>
        <v>0.21267570769510877</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1.0051734483710271</v>
      </c>
      <c r="D124" s="27"/>
      <c r="E124" s="299"/>
      <c r="F124" s="27"/>
      <c r="G124" s="178">
        <f t="shared" ref="G124:Q124" si="49">IF(G$4="","",G16*$C$3/Common_Shares*Exchange_Rate)</f>
        <v>1.0519030882322462</v>
      </c>
      <c r="H124" s="178">
        <f t="shared" si="49"/>
        <v>0.93744307950431427</v>
      </c>
      <c r="I124" s="178">
        <f t="shared" si="49"/>
        <v>1.1998448661646506</v>
      </c>
      <c r="J124" s="178">
        <f t="shared" si="49"/>
        <v>1.4469003984696525</v>
      </c>
      <c r="K124" s="178">
        <f t="shared" si="49"/>
        <v>0.581307216143087</v>
      </c>
      <c r="L124" s="178">
        <f t="shared" si="49"/>
        <v>0.57275820156669999</v>
      </c>
      <c r="M124" s="178">
        <f t="shared" si="49"/>
        <v>0.24633970398426958</v>
      </c>
      <c r="N124" s="178">
        <f t="shared" si="49"/>
        <v>0.18837138529767902</v>
      </c>
      <c r="O124" s="178">
        <f t="shared" si="49"/>
        <v>9.6131594784168772E-2</v>
      </c>
      <c r="P124" s="178">
        <f t="shared" si="49"/>
        <v>4.9984075983385591E-3</v>
      </c>
      <c r="Q124" s="178" t="str">
        <f t="shared" si="49"/>
        <v/>
      </c>
    </row>
    <row r="125" spans="1:17" ht="15.75" customHeight="1">
      <c r="A125" s="10"/>
      <c r="B125" s="27" t="s">
        <v>270</v>
      </c>
      <c r="C125" s="77">
        <f>C19*Exchange_Rate*$C$3/(Market_Price*Common_Shares)</f>
        <v>6.5101907277916274E-2</v>
      </c>
      <c r="D125" s="27"/>
      <c r="E125" s="299"/>
      <c r="F125" s="27"/>
      <c r="G125" s="77">
        <f t="shared" ref="G125" si="50">IF(G$4="","",G124/Market_Price)</f>
        <v>6.8128438357010768E-2</v>
      </c>
      <c r="H125" s="77">
        <f t="shared" ref="H125" si="51">IF(H$4="","",H124/Market_Price)</f>
        <v>6.0715225356497038E-2</v>
      </c>
      <c r="I125" s="77">
        <f t="shared" ref="I125" si="52">IF(I$4="","",I124/Market_Price)</f>
        <v>7.7710159725689801E-2</v>
      </c>
      <c r="J125" s="77">
        <f t="shared" ref="J125" si="53">IF(J$4="","",J124/Market_Price)</f>
        <v>9.3711165703993043E-2</v>
      </c>
      <c r="K125" s="77">
        <f t="shared" ref="K125" si="54">IF(K$4="","",K124/Market_Price)</f>
        <v>3.7649431097350194E-2</v>
      </c>
      <c r="L125" s="77">
        <f t="shared" ref="L125" si="55">IF(L$4="","",L124/Market_Price)</f>
        <v>3.7095738443439122E-2</v>
      </c>
      <c r="M125" s="77">
        <f t="shared" ref="M125" si="56">IF(M$4="","",M124/Market_Price)</f>
        <v>1.5954644040431967E-2</v>
      </c>
      <c r="N125" s="77">
        <f t="shared" ref="N125" si="57">IF(N$4="","",N124/Market_Price)</f>
        <v>1.2200219255031026E-2</v>
      </c>
      <c r="O125" s="77">
        <f t="shared" ref="O125" si="58">IF(O$4="","",O124/Market_Price)</f>
        <v>6.2261395585601542E-3</v>
      </c>
      <c r="P125" s="77">
        <f t="shared" ref="P125" si="59">IF(P$4="","",P124/Market_Price)</f>
        <v>3.2373106206855956E-4</v>
      </c>
      <c r="Q125" s="77" t="str">
        <f t="shared" ref="Q125" si="60">IF(Q$4="","",Q124/Market_Price)</f>
        <v/>
      </c>
    </row>
    <row r="126" spans="1:17" ht="15.75" customHeight="1">
      <c r="B126" s="2" t="s">
        <v>402</v>
      </c>
      <c r="C126" s="170"/>
      <c r="G126" s="23">
        <f>IF(G$4="","",(Data!C47*$C$3)/(Market_Price*Common_Shares))</f>
        <v>7.5494171406142854E-2</v>
      </c>
      <c r="H126" s="23">
        <f>IF(H$4="","",(Data!D47*$C$3)/(Market_Price*Common_Shares))</f>
        <v>7.9855162169320176E-2</v>
      </c>
      <c r="I126" s="23">
        <f>IF(I$4="","",(Data!E47*$C$3)/(Market_Price*Common_Shares))</f>
        <v>0.10182521543212013</v>
      </c>
      <c r="J126" s="23">
        <f>IF(J$4="","",(Data!F47*$C$3)/(Market_Price*Common_Shares))</f>
        <v>0.10050013513903847</v>
      </c>
      <c r="K126" s="23">
        <f>IF(K$4="","",(Data!G47*$C$3)/(Market_Price*Common_Shares))</f>
        <v>4.2558623310223226E-2</v>
      </c>
      <c r="L126" s="23">
        <f>IF(L$4="","",(Data!H47*$C$3)/(Market_Price*Common_Shares))</f>
        <v>3.7563769941405381E-2</v>
      </c>
      <c r="M126" s="23">
        <f>IF(M$4="","",(Data!I47*$C$3)/(Market_Price*Common_Shares))</f>
        <v>1.792222274966393E-2</v>
      </c>
      <c r="N126" s="23">
        <f>IF(N$4="","",(Data!J47*$C$3)/(Market_Price*Common_Shares))</f>
        <v>1.2908150792929486E-2</v>
      </c>
      <c r="O126" s="23">
        <f>IF(O$4="","",(Data!K47*$C$3)/(Market_Price*Common_Shares))</f>
        <v>1.7561554751656678E-2</v>
      </c>
      <c r="P126" s="23">
        <f>IF(P$4="","",(Data!L47*$C$3)/(Market_Price*Common_Shares))</f>
        <v>1.5436259564566412E-3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2419821.086273348</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30247763.57841685</v>
      </c>
      <c r="D6" t="str">
        <f>Reporting_currency</f>
        <v>CNY</v>
      </c>
      <c r="E6" s="348" t="s">
        <v>250</v>
      </c>
      <c r="F6" s="348"/>
      <c r="H6" s="121"/>
    </row>
    <row r="7" spans="2:8">
      <c r="B7" s="149" t="s">
        <v>225</v>
      </c>
      <c r="C7" s="226">
        <f>BS!G31</f>
        <v>1936137</v>
      </c>
      <c r="D7" t="str">
        <f>Reporting_currency</f>
        <v>CNY</v>
      </c>
      <c r="E7" s="348"/>
      <c r="F7" s="348"/>
      <c r="H7" s="121"/>
    </row>
    <row r="8" spans="2:8">
      <c r="B8" s="149" t="s">
        <v>226</v>
      </c>
      <c r="C8" s="201">
        <f>BS!D66</f>
        <v>14103377.513059732</v>
      </c>
      <c r="D8" t="str">
        <f>Reporting_currency</f>
        <v>CNY</v>
      </c>
      <c r="E8" s="348"/>
      <c r="F8" s="348"/>
      <c r="H8" s="121"/>
    </row>
    <row r="9" spans="2:8">
      <c r="B9" s="227" t="s">
        <v>191</v>
      </c>
      <c r="C9" s="229">
        <f>BS!H42</f>
        <v>561572.19999999995</v>
      </c>
      <c r="D9" t="str">
        <f>Reporting_currency</f>
        <v>CNY</v>
      </c>
      <c r="E9" s="348"/>
      <c r="F9" s="348"/>
      <c r="H9" s="121"/>
    </row>
    <row r="10" spans="2:8" ht="13.15">
      <c r="B10" s="150" t="s">
        <v>228</v>
      </c>
      <c r="C10" s="232">
        <f>C6-C7+C8+C9</f>
        <v>42976576.291476585</v>
      </c>
      <c r="D10" t="str">
        <f>Reporting_currency</f>
        <v>CNY</v>
      </c>
      <c r="H10" s="121"/>
    </row>
    <row r="11" spans="2:8" ht="13.15" thickBot="1">
      <c r="B11" s="230" t="s">
        <v>167</v>
      </c>
      <c r="C11" s="231">
        <f>Exchange_Rate</f>
        <v>1.0737034399999998</v>
      </c>
      <c r="D11" t="str">
        <f>Thesis!D17</f>
        <v>CNY/HKD</v>
      </c>
      <c r="H11" s="121"/>
    </row>
    <row r="12" spans="2:8" ht="13.5" thickTop="1">
      <c r="B12" s="150" t="s">
        <v>103</v>
      </c>
      <c r="C12" s="112">
        <f>(C10*scaling_factor)/Common_Shares*Exchange_Rate</f>
        <v>17.852110486652816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5.4247061515052243E-2</v>
      </c>
      <c r="H16" s="121"/>
    </row>
    <row r="17" spans="2:8" ht="13.25" customHeight="1">
      <c r="B17" s="119" t="s">
        <v>135</v>
      </c>
      <c r="C17" s="163">
        <f>Scenarios!C64</f>
        <v>20</v>
      </c>
      <c r="H17" s="121"/>
    </row>
    <row r="18" spans="2:8" ht="13.25" customHeight="1">
      <c r="B18" s="154" t="s">
        <v>107</v>
      </c>
      <c r="C18" s="141">
        <f>(F52-C7+C8+C9)*Exchange_Rate/Common_Shares*scaling_factor</f>
        <v>23.884246804264929</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2551089.2695958391</v>
      </c>
      <c r="D21" s="139">
        <f>IF($C$17&lt;B21,0,Valuation_Model!$C$16)</f>
        <v>5.4247061515052243E-2</v>
      </c>
      <c r="E21" s="125">
        <f t="shared" ref="E21:E50" si="0">IF($C$17&lt;B21,0,1/(1+Equity_Cost)^B21)</f>
        <v>0.92592592592592582</v>
      </c>
      <c r="F21" s="126">
        <f t="shared" ref="F21:F51" si="1">C21*E21</f>
        <v>2362119.6940702209</v>
      </c>
      <c r="H21" s="121"/>
    </row>
    <row r="22" spans="2:8">
      <c r="B22" s="123">
        <v>2</v>
      </c>
      <c r="C22" s="124">
        <f t="shared" ref="C22:C50" si="2">IF(ROW()-ROW($C$21)&lt;$C$17, $C$21*(1+D22)^(ROW()-ROW($C$21)), 0)</f>
        <v>2689478.3661339944</v>
      </c>
      <c r="D22" s="139">
        <f>IF($C$17&lt;B22,0,Valuation_Model!$C$16)</f>
        <v>5.4247061515052243E-2</v>
      </c>
      <c r="E22" s="125">
        <f t="shared" si="0"/>
        <v>0.85733882030178321</v>
      </c>
      <c r="F22" s="126">
        <f t="shared" si="1"/>
        <v>2305794.2096484862</v>
      </c>
      <c r="H22" s="121"/>
    </row>
    <row r="23" spans="2:8">
      <c r="B23" s="123">
        <v>3</v>
      </c>
      <c r="C23" s="124">
        <f t="shared" si="2"/>
        <v>2835374.6645050677</v>
      </c>
      <c r="D23" s="139">
        <f>IF($C$17&lt;B23,0,Valuation_Model!$C$16)</f>
        <v>5.4247061515052243E-2</v>
      </c>
      <c r="E23" s="125">
        <f t="shared" si="0"/>
        <v>0.79383224102016958</v>
      </c>
      <c r="F23" s="126">
        <f t="shared" si="1"/>
        <v>2250811.8240558696</v>
      </c>
      <c r="H23" s="121"/>
    </row>
    <row r="24" spans="2:8">
      <c r="B24" s="123">
        <v>4</v>
      </c>
      <c r="C24" s="124">
        <f t="shared" si="2"/>
        <v>2989185.4083486949</v>
      </c>
      <c r="D24" s="139">
        <f>IF($C$17&lt;B24,0,Valuation_Model!$C$16)</f>
        <v>5.4247061515052243E-2</v>
      </c>
      <c r="E24" s="125">
        <f t="shared" si="0"/>
        <v>0.73502985279645328</v>
      </c>
      <c r="F24" s="126">
        <f t="shared" si="1"/>
        <v>2197140.5106798471</v>
      </c>
      <c r="H24" s="121"/>
    </row>
    <row r="25" spans="2:8">
      <c r="B25" s="123">
        <v>5</v>
      </c>
      <c r="C25" s="124">
        <f t="shared" si="2"/>
        <v>3151339.9330752832</v>
      </c>
      <c r="D25" s="139">
        <f>IF($C$17&lt;B25,0,Valuation_Model!$C$16)</f>
        <v>5.4247061515052243E-2</v>
      </c>
      <c r="E25" s="125">
        <f t="shared" si="0"/>
        <v>0.68058319703375303</v>
      </c>
      <c r="F25" s="126">
        <f t="shared" si="1"/>
        <v>2144749.0065925093</v>
      </c>
      <c r="H25" s="121"/>
    </row>
    <row r="26" spans="2:8">
      <c r="B26" s="123">
        <v>6</v>
      </c>
      <c r="C26" s="124">
        <f t="shared" si="2"/>
        <v>3322290.8642796585</v>
      </c>
      <c r="D26" s="139">
        <f>IF($C$17&lt;B26,0,Valuation_Model!$C$16)</f>
        <v>5.4247061515052243E-2</v>
      </c>
      <c r="E26" s="125">
        <f t="shared" si="0"/>
        <v>0.63016962688310452</v>
      </c>
      <c r="F26" s="126">
        <f t="shared" si="1"/>
        <v>2093606.7943402592</v>
      </c>
      <c r="H26" s="121"/>
    </row>
    <row r="27" spans="2:8">
      <c r="B27" s="123">
        <v>7</v>
      </c>
      <c r="C27" s="124">
        <f t="shared" si="2"/>
        <v>3502515.3811651343</v>
      </c>
      <c r="D27" s="139">
        <f>IF($C$17&lt;B27,0,Valuation_Model!$C$16)</f>
        <v>5.4247061515052243E-2</v>
      </c>
      <c r="E27" s="125">
        <f t="shared" si="0"/>
        <v>0.58349039526213387</v>
      </c>
      <c r="F27" s="126">
        <f t="shared" si="1"/>
        <v>2043684.0841677475</v>
      </c>
      <c r="H27" s="121"/>
    </row>
    <row r="28" spans="2:8">
      <c r="B28" s="123">
        <v>8</v>
      </c>
      <c r="C28" s="124">
        <f t="shared" si="2"/>
        <v>3692516.5485046166</v>
      </c>
      <c r="D28" s="139">
        <f>IF($C$17&lt;B28,0,Valuation_Model!$C$16)</f>
        <v>5.4247061515052243E-2</v>
      </c>
      <c r="E28" s="125">
        <f t="shared" si="0"/>
        <v>0.54026888450197574</v>
      </c>
      <c r="F28" s="126">
        <f t="shared" si="1"/>
        <v>1994951.7966656748</v>
      </c>
      <c r="H28" s="121"/>
    </row>
    <row r="29" spans="2:8">
      <c r="B29" s="123">
        <v>9</v>
      </c>
      <c r="C29" s="124">
        <f t="shared" si="2"/>
        <v>3892824.7208566945</v>
      </c>
      <c r="D29" s="139">
        <f>IF($C$17&lt;B29,0,Valuation_Model!$C$16)</f>
        <v>5.4247061515052243E-2</v>
      </c>
      <c r="E29" s="125">
        <f t="shared" si="0"/>
        <v>0.50024896713145905</v>
      </c>
      <c r="F29" s="126">
        <f t="shared" si="1"/>
        <v>1947381.5458323718</v>
      </c>
      <c r="H29" s="121"/>
    </row>
    <row r="30" spans="2:8">
      <c r="B30" s="123">
        <v>10</v>
      </c>
      <c r="C30" s="124">
        <f t="shared" si="2"/>
        <v>4103999.0229563243</v>
      </c>
      <c r="D30" s="139">
        <f>IF($C$17&lt;B30,0,Valuation_Model!$C$16)</f>
        <v>5.4247061515052243E-2</v>
      </c>
      <c r="E30" s="125">
        <f t="shared" si="0"/>
        <v>0.46319348808468425</v>
      </c>
      <c r="F30" s="126">
        <f t="shared" si="1"/>
        <v>1900945.622539276</v>
      </c>
      <c r="H30" s="121"/>
    </row>
    <row r="31" spans="2:8">
      <c r="B31" s="123">
        <v>11</v>
      </c>
      <c r="C31" s="124">
        <f t="shared" si="2"/>
        <v>4326628.9104123507</v>
      </c>
      <c r="D31" s="139">
        <f>IF($C$17&lt;B31,0,Valuation_Model!$C$16)</f>
        <v>5.4247061515052243E-2</v>
      </c>
      <c r="E31" s="125">
        <f t="shared" si="0"/>
        <v>0.42888285933767062</v>
      </c>
      <c r="F31" s="126">
        <f t="shared" si="1"/>
        <v>1855616.9783906792</v>
      </c>
      <c r="H31" s="121"/>
    </row>
    <row r="32" spans="2:8">
      <c r="B32" s="123">
        <v>12</v>
      </c>
      <c r="C32" s="124">
        <f t="shared" si="2"/>
        <v>4561335.8150682934</v>
      </c>
      <c r="D32" s="139">
        <f>IF($C$17&lt;B32,0,Valuation_Model!$C$16)</f>
        <v>5.4247061515052243E-2</v>
      </c>
      <c r="E32" s="125">
        <f t="shared" si="0"/>
        <v>0.39711375864599124</v>
      </c>
      <c r="F32" s="126">
        <f t="shared" si="1"/>
        <v>1811369.2099683459</v>
      </c>
      <c r="H32" s="121"/>
    </row>
    <row r="33" spans="2:8">
      <c r="B33" s="123">
        <v>13</v>
      </c>
      <c r="C33" s="124">
        <f t="shared" si="2"/>
        <v>4808774.8796191132</v>
      </c>
      <c r="D33" s="139">
        <f>IF($C$17&lt;B33,0,Valuation_Model!$C$16)</f>
        <v>5.4247061515052243E-2</v>
      </c>
      <c r="E33" s="125">
        <f t="shared" si="0"/>
        <v>0.36769792467221413</v>
      </c>
      <c r="F33" s="126">
        <f t="shared" si="1"/>
        <v>1768176.5434518242</v>
      </c>
      <c r="H33" s="121"/>
    </row>
    <row r="34" spans="2:8">
      <c r="B34" s="123">
        <v>14</v>
      </c>
      <c r="C34" s="124">
        <f t="shared" si="2"/>
        <v>5069636.7863258496</v>
      </c>
      <c r="D34" s="139">
        <f>IF($C$17&lt;B34,0,Valuation_Model!$C$16)</f>
        <v>5.4247061515052243E-2</v>
      </c>
      <c r="E34" s="125">
        <f t="shared" si="0"/>
        <v>0.34046104136316119</v>
      </c>
      <c r="F34" s="126">
        <f t="shared" si="1"/>
        <v>1726013.8196054886</v>
      </c>
      <c r="H34" s="121"/>
    </row>
    <row r="35" spans="2:8">
      <c r="B35" s="123">
        <v>15</v>
      </c>
      <c r="C35" s="124">
        <f t="shared" si="2"/>
        <v>5344649.6849326408</v>
      </c>
      <c r="D35" s="139">
        <f>IF($C$17&lt;B35,0,Valuation_Model!$C$16)</f>
        <v>5.4247061515052243E-2</v>
      </c>
      <c r="E35" s="125">
        <f t="shared" si="0"/>
        <v>0.31524170496588994</v>
      </c>
      <c r="F35" s="126">
        <f t="shared" si="1"/>
        <v>1684856.4791235721</v>
      </c>
      <c r="H35" s="121"/>
    </row>
    <row r="36" spans="2:8">
      <c r="B36" s="123">
        <v>16</v>
      </c>
      <c r="C36" s="124">
        <f t="shared" si="2"/>
        <v>5634581.2251675874</v>
      </c>
      <c r="D36" s="139">
        <f>IF($C$17&lt;B36,0,Valuation_Model!$C$16)</f>
        <v>5.4247061515052243E-2</v>
      </c>
      <c r="E36" s="125">
        <f t="shared" si="0"/>
        <v>0.29189046756100923</v>
      </c>
      <c r="F36" s="126">
        <f t="shared" si="1"/>
        <v>1644680.5483246513</v>
      </c>
      <c r="H36" s="121"/>
    </row>
    <row r="37" spans="2:8">
      <c r="B37" s="123">
        <v>17</v>
      </c>
      <c r="C37" s="124">
        <f t="shared" si="2"/>
        <v>5940240.6995008122</v>
      </c>
      <c r="D37" s="139">
        <f>IF($C$17&lt;B37,0,Valuation_Model!$C$16)</f>
        <v>5.4247061515052243E-2</v>
      </c>
      <c r="E37" s="125">
        <f t="shared" si="0"/>
        <v>0.27026895144537894</v>
      </c>
      <c r="F37" s="126">
        <f t="shared" si="1"/>
        <v>1605462.6251872489</v>
      </c>
      <c r="H37" s="121"/>
    </row>
    <row r="38" spans="2:8">
      <c r="B38" s="123">
        <v>18</v>
      </c>
      <c r="C38" s="124">
        <f t="shared" si="2"/>
        <v>6262481.3021408496</v>
      </c>
      <c r="D38" s="139">
        <f>IF($C$17&lt;B38,0,Valuation_Model!$C$16)</f>
        <v>5.4247061515052243E-2</v>
      </c>
      <c r="E38" s="125">
        <f t="shared" si="0"/>
        <v>0.25024902911609154</v>
      </c>
      <c r="F38" s="126">
        <f t="shared" si="1"/>
        <v>1567179.8657184243</v>
      </c>
      <c r="H38" s="121"/>
    </row>
    <row r="39" spans="2:8">
      <c r="B39" s="123">
        <v>19</v>
      </c>
      <c r="C39" s="124">
        <f t="shared" si="2"/>
        <v>6602202.510574949</v>
      </c>
      <c r="D39" s="139">
        <f>IF($C$17&lt;B39,0,Valuation_Model!$C$16)</f>
        <v>5.4247061515052243E-2</v>
      </c>
      <c r="E39" s="125">
        <f t="shared" si="0"/>
        <v>0.23171206399638106</v>
      </c>
      <c r="F39" s="126">
        <f t="shared" si="1"/>
        <v>1529809.9706474103</v>
      </c>
      <c r="H39" s="121"/>
    </row>
    <row r="40" spans="2:8">
      <c r="B40" s="123">
        <v>20</v>
      </c>
      <c r="C40" s="124">
        <f t="shared" si="2"/>
        <v>6960352.5963009419</v>
      </c>
      <c r="D40" s="139">
        <f>IF($C$17&lt;B40,0,Valuation_Model!$C$16)</f>
        <v>5.4247061515052243E-2</v>
      </c>
      <c r="E40" s="125">
        <f t="shared" si="0"/>
        <v>0.21454820740405653</v>
      </c>
      <c r="F40" s="126">
        <f t="shared" si="1"/>
        <v>1493331.1724365379</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31888615.869947989</v>
      </c>
      <c r="D51" s="140">
        <f>Terminal_Growth</f>
        <v>0</v>
      </c>
      <c r="E51" s="125">
        <f>1/(1+Equity_Cost)^C17</f>
        <v>0.21454820740405653</v>
      </c>
      <c r="F51" s="126">
        <f t="shared" si="1"/>
        <v>6841645.37149389</v>
      </c>
      <c r="H51" s="121"/>
    </row>
    <row r="52" spans="1:8">
      <c r="C52" s="115"/>
      <c r="E52" s="128" t="s">
        <v>101</v>
      </c>
      <c r="F52" s="138">
        <f>SUM(F21:F51)</f>
        <v>44769327.672940329</v>
      </c>
      <c r="H52" s="121"/>
    </row>
    <row r="53" spans="1:8">
      <c r="C53" s="115"/>
      <c r="H53" s="121"/>
    </row>
    <row r="54" spans="1:8" ht="13.15">
      <c r="B54" s="120" t="s">
        <v>130</v>
      </c>
      <c r="C54" s="137"/>
      <c r="D54" s="137"/>
      <c r="E54" s="118"/>
      <c r="F54" s="118"/>
      <c r="H54" s="121"/>
    </row>
    <row r="55" spans="1:8" ht="13.15">
      <c r="A55" s="134">
        <f>F52</f>
        <v>44769327.672940329</v>
      </c>
      <c r="B55" s="132">
        <f>C78</f>
        <v>0</v>
      </c>
      <c r="C55" s="132">
        <f>C77</f>
        <v>0.02</v>
      </c>
      <c r="D55" s="132">
        <f>C76</f>
        <v>0.05</v>
      </c>
      <c r="E55" s="132">
        <f>C75</f>
        <v>0.06</v>
      </c>
      <c r="F55" s="132">
        <f>C74</f>
        <v>0.1</v>
      </c>
      <c r="H55" s="121"/>
    </row>
    <row r="56" spans="1:8" ht="13.15">
      <c r="A56" s="144">
        <v>5</v>
      </c>
      <c r="B56" s="124">
        <f t="dataTable" ref="B56:F61" dt2D="1" dtr="1" r1="C16" r2="C17"/>
        <v>30247763.578416843</v>
      </c>
      <c r="C56" s="124">
        <v>31223714.770386942</v>
      </c>
      <c r="D56" s="124">
        <v>32742845.811419886</v>
      </c>
      <c r="E56" s="124">
        <v>33264587.767910317</v>
      </c>
      <c r="F56" s="124">
        <v>35432838.635631844</v>
      </c>
      <c r="H56" s="121"/>
    </row>
    <row r="57" spans="1:8" ht="13.15">
      <c r="A57" s="144">
        <v>10</v>
      </c>
      <c r="B57" s="124">
        <v>30247763.578416839</v>
      </c>
      <c r="C57" s="124">
        <v>32200564.65918025</v>
      </c>
      <c r="D57" s="124">
        <v>35503968.500671156</v>
      </c>
      <c r="E57" s="124">
        <v>36716761.267090946</v>
      </c>
      <c r="F57" s="124">
        <v>42216596.518636107</v>
      </c>
      <c r="H57" s="121"/>
    </row>
    <row r="58" spans="1:8" ht="13.15">
      <c r="A58" s="144">
        <v>15</v>
      </c>
      <c r="B58" s="124">
        <v>30247763.578416832</v>
      </c>
      <c r="C58" s="124">
        <v>33409687.25165531</v>
      </c>
      <c r="D58" s="124">
        <v>39200562.329374589</v>
      </c>
      <c r="E58" s="124">
        <v>41465359.10401246</v>
      </c>
      <c r="F58" s="124">
        <v>52657555.741237685</v>
      </c>
      <c r="H58" s="121"/>
    </row>
    <row r="59" spans="1:8" ht="13.15">
      <c r="A59" s="145">
        <v>20</v>
      </c>
      <c r="B59" s="124">
        <v>30247763.578416828</v>
      </c>
      <c r="C59" s="124">
        <v>34641589.269367412</v>
      </c>
      <c r="D59" s="124">
        <v>43295041.782955445</v>
      </c>
      <c r="E59" s="124">
        <v>46882218.500325561</v>
      </c>
      <c r="F59" s="124">
        <v>66147154.440993145</v>
      </c>
      <c r="H59" s="121"/>
    </row>
    <row r="60" spans="1:8" ht="13.15">
      <c r="A60" s="145">
        <v>25</v>
      </c>
      <c r="B60" s="124">
        <v>30247763.578416824</v>
      </c>
      <c r="C60" s="124">
        <v>35787326.504094459</v>
      </c>
      <c r="D60" s="124">
        <v>47452907.157062538</v>
      </c>
      <c r="E60" s="124">
        <v>52558922.448604964</v>
      </c>
      <c r="F60" s="124">
        <v>82324986.322327629</v>
      </c>
      <c r="H60" s="121"/>
    </row>
    <row r="61" spans="1:8" ht="13.15">
      <c r="A61" s="145">
        <v>30</v>
      </c>
      <c r="B61" s="124">
        <v>30247763.578416828</v>
      </c>
      <c r="C61" s="124">
        <v>36798026.12654455</v>
      </c>
      <c r="D61" s="124">
        <v>51473753.756532319</v>
      </c>
      <c r="E61" s="124">
        <v>58234904.998928867</v>
      </c>
      <c r="F61" s="124">
        <v>101004702.21091367</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17.852110486652816</v>
      </c>
      <c r="C65" s="125">
        <f>C12</f>
        <v>17.852110486652816</v>
      </c>
      <c r="D65" s="125">
        <f>C12</f>
        <v>17.852110486652816</v>
      </c>
      <c r="E65" s="142">
        <f>C12</f>
        <v>17.852110486652816</v>
      </c>
      <c r="F65" s="125">
        <f>C12</f>
        <v>17.852110486652816</v>
      </c>
      <c r="H65" s="121"/>
    </row>
    <row r="66" spans="1:8" ht="13.15">
      <c r="A66" s="144">
        <f t="shared" ref="A66:A71" si="3">A56</f>
        <v>5</v>
      </c>
      <c r="B66" s="125">
        <f t="shared" ref="B66:F71" si="4">(B56-$C$7+$C$8+$C$9)/Common_Shares*$C$3*Exchange_Rate</f>
        <v>17.852110486652812</v>
      </c>
      <c r="C66" s="125">
        <f t="shared" si="4"/>
        <v>18.257512452376318</v>
      </c>
      <c r="D66" s="125">
        <f t="shared" si="4"/>
        <v>18.888546786156009</v>
      </c>
      <c r="E66" s="125">
        <f t="shared" si="4"/>
        <v>19.105274032868703</v>
      </c>
      <c r="F66" s="125">
        <f t="shared" si="4"/>
        <v>20.005947315701199</v>
      </c>
      <c r="H66" s="121"/>
    </row>
    <row r="67" spans="1:8" ht="13.15">
      <c r="A67" s="144">
        <f t="shared" si="3"/>
        <v>10</v>
      </c>
      <c r="B67" s="125">
        <f t="shared" si="4"/>
        <v>17.852110486652812</v>
      </c>
      <c r="C67" s="125">
        <f t="shared" si="4"/>
        <v>18.663287729246644</v>
      </c>
      <c r="D67" s="125">
        <f t="shared" si="4"/>
        <v>20.03549406695868</v>
      </c>
      <c r="E67" s="125">
        <f t="shared" si="4"/>
        <v>20.539278042599229</v>
      </c>
      <c r="F67" s="125">
        <f t="shared" si="4"/>
        <v>22.823863624825908</v>
      </c>
      <c r="H67" s="121"/>
    </row>
    <row r="68" spans="1:8" ht="13.15">
      <c r="A68" s="144">
        <f t="shared" si="3"/>
        <v>15</v>
      </c>
      <c r="B68" s="125">
        <f t="shared" si="4"/>
        <v>17.852110486652805</v>
      </c>
      <c r="C68" s="125">
        <f t="shared" si="4"/>
        <v>19.165547145314974</v>
      </c>
      <c r="D68" s="125">
        <f t="shared" si="4"/>
        <v>21.57102823810159</v>
      </c>
      <c r="E68" s="125">
        <f t="shared" si="4"/>
        <v>22.511805883496976</v>
      </c>
      <c r="F68" s="125">
        <f t="shared" si="4"/>
        <v>27.160950794458984</v>
      </c>
      <c r="H68" s="121"/>
    </row>
    <row r="69" spans="1:8" ht="13.15">
      <c r="A69" s="145">
        <f t="shared" si="3"/>
        <v>20</v>
      </c>
      <c r="B69" s="125">
        <f t="shared" si="4"/>
        <v>17.852110486652805</v>
      </c>
      <c r="C69" s="125">
        <f t="shared" si="4"/>
        <v>19.677268944179826</v>
      </c>
      <c r="D69" s="125">
        <f t="shared" si="4"/>
        <v>23.271840771303591</v>
      </c>
      <c r="E69" s="125">
        <f t="shared" si="4"/>
        <v>24.761923989178271</v>
      </c>
      <c r="F69" s="125">
        <f t="shared" si="4"/>
        <v>32.764417314810984</v>
      </c>
      <c r="H69" s="121"/>
    </row>
    <row r="70" spans="1:8" ht="13.15">
      <c r="A70" s="145">
        <f t="shared" si="3"/>
        <v>25</v>
      </c>
      <c r="B70" s="125">
        <f t="shared" si="4"/>
        <v>17.852110486652805</v>
      </c>
      <c r="C70" s="125">
        <f t="shared" si="4"/>
        <v>20.153198612571668</v>
      </c>
      <c r="D70" s="125">
        <f t="shared" si="4"/>
        <v>24.99898328595544</v>
      </c>
      <c r="E70" s="125">
        <f t="shared" si="4"/>
        <v>27.119979349321063</v>
      </c>
      <c r="F70" s="125">
        <f t="shared" si="4"/>
        <v>39.484553423869919</v>
      </c>
    </row>
    <row r="71" spans="1:8" ht="13.15">
      <c r="A71" s="145">
        <f t="shared" si="3"/>
        <v>30</v>
      </c>
      <c r="B71" s="125">
        <f t="shared" si="4"/>
        <v>17.852110486652805</v>
      </c>
      <c r="C71" s="125">
        <f t="shared" si="4"/>
        <v>20.573034785802992</v>
      </c>
      <c r="D71" s="125">
        <f t="shared" si="4"/>
        <v>26.66920934716574</v>
      </c>
      <c r="E71" s="125">
        <f t="shared" si="4"/>
        <v>29.477735046784378</v>
      </c>
      <c r="F71" s="125">
        <f t="shared" si="4"/>
        <v>47.24395123258877</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47.24395123258877</v>
      </c>
      <c r="F74" s="143">
        <f>Scenarios!C58</f>
        <v>0.05</v>
      </c>
    </row>
    <row r="75" spans="1:8">
      <c r="B75" s="128" t="str">
        <f>Scenarios!B36</f>
        <v>Optimistic</v>
      </c>
      <c r="C75" s="143">
        <f>Scenarios!C38</f>
        <v>0.06</v>
      </c>
      <c r="D75" s="146">
        <f>Scenarios!C37</f>
        <v>20</v>
      </c>
      <c r="E75" s="136">
        <f>INDEX(B$65:F$71, MATCH(D75, A$65:A$71, 0), MATCH(C75, B$64:F$64, 0))</f>
        <v>24.761923989178271</v>
      </c>
      <c r="F75" s="143">
        <f>Scenarios!C40*(1-F$74-F$78)</f>
        <v>0.22499999999999992</v>
      </c>
      <c r="H75" s="121"/>
    </row>
    <row r="76" spans="1:8">
      <c r="B76" s="128" t="str">
        <f>Scenarios!B24</f>
        <v>Base</v>
      </c>
      <c r="C76" s="143">
        <f>Scenarios!C26</f>
        <v>0.05</v>
      </c>
      <c r="D76" s="146">
        <f>Scenarios!C25</f>
        <v>20</v>
      </c>
      <c r="E76" s="136">
        <f>INDEX(B$65:F$71, MATCH(D76, A$65:A$71, 0), MATCH(C76, B$64:F$64, 0))</f>
        <v>23.271840771303591</v>
      </c>
      <c r="F76" s="143">
        <f>Scenarios!C28*(1-F$74-F$78)</f>
        <v>0.495</v>
      </c>
      <c r="H76" s="121"/>
    </row>
    <row r="77" spans="1:8">
      <c r="B77" s="128" t="str">
        <f>Scenarios!B30</f>
        <v>Pessimistic</v>
      </c>
      <c r="C77" s="143">
        <f>Scenarios!C32</f>
        <v>0.02</v>
      </c>
      <c r="D77" s="146">
        <f>Scenarios!C31</f>
        <v>20</v>
      </c>
      <c r="E77" s="136">
        <f>INDEX(B$65:F$71, MATCH(D77, A$65:A$71, 0), MATCH(C77, B$64:F$64, 0))</f>
        <v>19.677268944179826</v>
      </c>
      <c r="F77" s="143">
        <f>Scenarios!C34*(1-F$74-F$78)</f>
        <v>0.18</v>
      </c>
      <c r="H77" s="121"/>
    </row>
    <row r="78" spans="1:8">
      <c r="B78" s="128" t="str">
        <f>Scenarios!B48</f>
        <v>Devil's advocate</v>
      </c>
      <c r="C78" s="143">
        <f>Scenarios!C50</f>
        <v>0</v>
      </c>
      <c r="D78" s="146">
        <f>Scenarios!C49</f>
        <v>30</v>
      </c>
      <c r="E78" s="136">
        <f>INDEX(B$65:F$71, MATCH(D78, A$65:A$71, 0), MATCH(C78, B$64:F$64, 0))</f>
        <v>17.852110486652805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abSelected="1" topLeftCell="A46" zoomScale="75" zoomScaleNormal="100" workbookViewId="0">
      <selection activeCell="E55" sqref="E55:F58"/>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-15.44</v>
      </c>
    </row>
    <row r="4" spans="2:9">
      <c r="B4" s="153" t="s">
        <v>147</v>
      </c>
      <c r="C4" s="121">
        <v>3</v>
      </c>
      <c r="D4" s="121"/>
      <c r="E4" s="156" t="s">
        <v>151</v>
      </c>
      <c r="F4" s="156"/>
      <c r="H4" s="276">
        <v>1</v>
      </c>
      <c r="I4" s="264">
        <f t="shared" ref="I4:I13" si="0">IF(ROW()-3 &lt; $C$76, $C$77, IF(ROW()-3 = $C$76, $C$77 + $C$60, ""))</f>
        <v>0.5446569119681689</v>
      </c>
    </row>
    <row r="5" spans="2:9">
      <c r="H5" s="276">
        <v>2</v>
      </c>
      <c r="I5" s="264">
        <f t="shared" si="0"/>
        <v>0.5446569119681689</v>
      </c>
    </row>
    <row r="6" spans="2:9" ht="13.15">
      <c r="B6" s="160" t="s">
        <v>96</v>
      </c>
      <c r="C6" s="107">
        <f>Valuation_Model!C3</f>
        <v>1000</v>
      </c>
      <c r="E6" s="100" t="s">
        <v>282</v>
      </c>
      <c r="F6" s="100"/>
      <c r="H6" s="276">
        <v>3</v>
      </c>
      <c r="I6" s="264">
        <f t="shared" si="0"/>
        <v>24.432362487243005</v>
      </c>
    </row>
    <row r="7" spans="2:9" ht="12.75" customHeight="1">
      <c r="B7" s="100" t="s">
        <v>276</v>
      </c>
      <c r="C7" s="115">
        <f>Normalized_FCF!G8</f>
        <v>3529289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0"/>
      <c r="H7" s="276">
        <v>4</v>
      </c>
      <c r="I7" s="264" t="str">
        <f t="shared" si="0"/>
        <v/>
      </c>
    </row>
    <row r="8" spans="2:9">
      <c r="B8" s="100" t="s">
        <v>66</v>
      </c>
      <c r="C8" s="115">
        <f>Normalized_FCF!G19</f>
        <v>2532316.4651289964</v>
      </c>
      <c r="D8" t="str">
        <f>Reporting_currency</f>
        <v>CNY</v>
      </c>
      <c r="E8" s="350"/>
      <c r="F8" s="350"/>
      <c r="H8" s="276">
        <v>5</v>
      </c>
      <c r="I8" s="264" t="str">
        <f t="shared" si="0"/>
        <v/>
      </c>
    </row>
    <row r="9" spans="2:9">
      <c r="B9" s="100" t="s">
        <v>57</v>
      </c>
      <c r="C9" s="201">
        <f>Normalized_FCF!C19</f>
        <v>2419821.086273348</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8.3043513409933434E-2</v>
      </c>
      <c r="D12" s="159"/>
      <c r="E12" s="350"/>
      <c r="F12" s="350"/>
      <c r="H12" s="276">
        <v>9</v>
      </c>
      <c r="I12" s="264" t="str">
        <f t="shared" si="0"/>
        <v/>
      </c>
    </row>
    <row r="13" spans="2:9">
      <c r="B13" s="149" t="s">
        <v>153</v>
      </c>
      <c r="C13" s="159">
        <f ca="1">(Normalized_FCF!G8/OFFSET(Normalized_FCF!G8, 0, $C$4))^(1/$C$4) - 1</f>
        <v>-9.2379152048964186E-2</v>
      </c>
      <c r="E13" s="350"/>
      <c r="F13" s="350"/>
      <c r="H13" s="276">
        <v>10</v>
      </c>
      <c r="I13" s="264" t="str">
        <f t="shared" si="0"/>
        <v/>
      </c>
    </row>
    <row r="14" spans="2:9">
      <c r="B14" s="100" t="s">
        <v>66</v>
      </c>
      <c r="C14" s="159">
        <f ca="1">(Normalized_FCF!G19/OFFSET(Normalized_FCF!G19, 0, $C$4))^(1/$C$4) - 1</f>
        <v>-0.10082194740824768</v>
      </c>
      <c r="E14" s="350"/>
      <c r="F14" s="350"/>
    </row>
    <row r="16" spans="2:9" ht="13.9">
      <c r="B16" s="36" t="s">
        <v>163</v>
      </c>
      <c r="C16" s="37"/>
      <c r="D16" s="37"/>
      <c r="E16" s="37"/>
      <c r="F16" s="37"/>
    </row>
    <row r="17" spans="2:6" ht="13.15">
      <c r="B17" s="109" t="s">
        <v>152</v>
      </c>
      <c r="E17" s="160" t="s">
        <v>337</v>
      </c>
    </row>
    <row r="18" spans="2:6">
      <c r="B18" s="153" t="s">
        <v>134</v>
      </c>
      <c r="C18" s="151">
        <v>20</v>
      </c>
      <c r="E18" s="350" t="s">
        <v>338</v>
      </c>
      <c r="F18" s="351"/>
    </row>
    <row r="19" spans="2:6">
      <c r="E19" s="351"/>
      <c r="F19" s="351"/>
    </row>
    <row r="20" spans="2:6" ht="13.15">
      <c r="B20" s="160" t="s">
        <v>310</v>
      </c>
      <c r="E20" s="351"/>
      <c r="F20" s="351"/>
    </row>
    <row r="21" spans="2:6">
      <c r="B21" s="100" t="s">
        <v>280</v>
      </c>
      <c r="C21" s="161">
        <f>Market_Price</f>
        <v>15.44</v>
      </c>
      <c r="D21" t="str">
        <f>Market_currency</f>
        <v>HKD</v>
      </c>
      <c r="E21" s="351"/>
      <c r="F21" s="351"/>
    </row>
    <row r="22" spans="2:6">
      <c r="B22" s="100" t="s">
        <v>281</v>
      </c>
      <c r="C22" s="161">
        <f>Valuation_Model!C12</f>
        <v>17.852110486652816</v>
      </c>
      <c r="D22" t="str">
        <f>Market_currency</f>
        <v>HKD</v>
      </c>
      <c r="E22" s="351"/>
      <c r="F22" s="351"/>
    </row>
    <row r="24" spans="2:6" ht="13.15">
      <c r="B24" s="160" t="s">
        <v>116</v>
      </c>
      <c r="E24" s="160" t="s">
        <v>150</v>
      </c>
      <c r="F24" s="160"/>
    </row>
    <row r="25" spans="2:6">
      <c r="B25" s="153" t="s">
        <v>134</v>
      </c>
      <c r="C25" s="167">
        <f>C18</f>
        <v>20</v>
      </c>
      <c r="D25" s="164"/>
      <c r="E25" s="349"/>
      <c r="F25" s="349"/>
    </row>
    <row r="26" spans="2:6">
      <c r="B26" s="119" t="s">
        <v>135</v>
      </c>
      <c r="C26" s="165">
        <v>0.05</v>
      </c>
      <c r="D26" s="165"/>
      <c r="E26" s="349"/>
      <c r="F26" s="349"/>
    </row>
    <row r="27" spans="2:6">
      <c r="B27" s="100" t="s">
        <v>114</v>
      </c>
      <c r="C27" s="161">
        <f>Valuation_Model!E76</f>
        <v>23.271840771303591</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20</v>
      </c>
      <c r="D31" s="164"/>
      <c r="E31" s="349"/>
      <c r="F31" s="349"/>
    </row>
    <row r="32" spans="2:6">
      <c r="B32" s="119" t="s">
        <v>135</v>
      </c>
      <c r="C32" s="165">
        <v>0.02</v>
      </c>
      <c r="D32" s="165"/>
      <c r="E32" s="349"/>
      <c r="F32" s="349"/>
    </row>
    <row r="33" spans="2:6">
      <c r="B33" s="100" t="s">
        <v>114</v>
      </c>
      <c r="C33" s="161">
        <f>Valuation_Model!E77</f>
        <v>19.677268944179826</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20</v>
      </c>
      <c r="D37" s="164"/>
      <c r="E37" s="349"/>
      <c r="F37" s="349"/>
    </row>
    <row r="38" spans="2:6">
      <c r="B38" s="119" t="s">
        <v>135</v>
      </c>
      <c r="C38" s="165">
        <v>0.06</v>
      </c>
      <c r="D38" s="165"/>
      <c r="E38" s="349"/>
      <c r="F38" s="349"/>
    </row>
    <row r="39" spans="2:6">
      <c r="B39" s="100" t="s">
        <v>114</v>
      </c>
      <c r="C39" s="161">
        <f>Valuation_Model!E75</f>
        <v>24.761923989178271</v>
      </c>
      <c r="D39" t="str">
        <f>Market_currency</f>
        <v>HKD</v>
      </c>
      <c r="E39" s="349"/>
      <c r="F39" s="349"/>
    </row>
    <row r="40" spans="2:6">
      <c r="B40" s="100" t="s">
        <v>148</v>
      </c>
      <c r="C40" s="168">
        <f>1-C28-C34</f>
        <v>0.24999999999999994</v>
      </c>
      <c r="D40" s="166"/>
      <c r="E40" s="349"/>
      <c r="F40" s="349"/>
    </row>
    <row r="42" spans="2:6" ht="13.15">
      <c r="B42" s="100" t="s">
        <v>121</v>
      </c>
      <c r="C42" s="155">
        <f>C27*C28+C33*C34+C39*C40</f>
        <v>22.925447210347507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17.852110486652805</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47.24395123258877</v>
      </c>
      <c r="D57" t="str">
        <f>Market_currency</f>
        <v>HKD</v>
      </c>
      <c r="E57" s="349"/>
      <c r="F57" s="349"/>
    </row>
    <row r="58" spans="2:6">
      <c r="B58" s="100" t="s">
        <v>148</v>
      </c>
      <c r="C58" s="166">
        <v>0.05</v>
      </c>
      <c r="D58" s="166"/>
      <c r="E58" s="349"/>
      <c r="F58" s="349"/>
    </row>
    <row r="60" spans="2:6" ht="13.15">
      <c r="B60" s="100" t="s">
        <v>121</v>
      </c>
      <c r="C60" s="155">
        <f>C51*C52+C57*C58+C42*(1-C52-C58)</f>
        <v>23.887705575274836</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5.4247061515052243E-2</v>
      </c>
      <c r="D65" s="152"/>
      <c r="E65" s="281" t="s">
        <v>320</v>
      </c>
    </row>
    <row r="66" spans="2:6">
      <c r="B66" s="100" t="s">
        <v>103</v>
      </c>
      <c r="C66" s="161">
        <f>Valuation_Model!C18</f>
        <v>23.884246804264929</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0.22134576154052185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0.5446569119681689</v>
      </c>
      <c r="D77" t="str">
        <f>Market_currency</f>
        <v>HKD</v>
      </c>
    </row>
    <row r="79" spans="2:6" ht="13.15">
      <c r="B79" s="109" t="s">
        <v>308</v>
      </c>
    </row>
    <row r="80" spans="2:6">
      <c r="B80" s="149" t="s">
        <v>306</v>
      </c>
      <c r="C80" s="168">
        <f>Thesis!C127</f>
        <v>0.3</v>
      </c>
    </row>
    <row r="81" spans="2:8">
      <c r="B81" s="100" t="s">
        <v>122</v>
      </c>
      <c r="C81" s="117">
        <f>PV(C80, C76, -C77, 0)</f>
        <v>0.98915843366089862</v>
      </c>
      <c r="D81" s="117"/>
      <c r="E81" s="100"/>
      <c r="F81" s="100"/>
    </row>
    <row r="82" spans="2:8">
      <c r="B82" s="100" t="s">
        <v>123</v>
      </c>
      <c r="C82" s="117">
        <f>C60/(1+C80)^C76</f>
        <v>10.872874635992185</v>
      </c>
      <c r="D82" s="117"/>
    </row>
    <row r="83" spans="2:8" ht="13.15">
      <c r="B83" s="111" t="s">
        <v>102</v>
      </c>
      <c r="C83" s="112">
        <f>C81+C82</f>
        <v>11.862033069653084</v>
      </c>
      <c r="D83" t="str">
        <f>Market_currency</f>
        <v>HKD</v>
      </c>
      <c r="E83" s="147" t="s">
        <v>127</v>
      </c>
      <c r="F83" s="329">
        <f>(1-C83/C60)</f>
        <v>0.50342518111362788</v>
      </c>
    </row>
    <row r="84" spans="2:8">
      <c r="E84" s="121"/>
    </row>
    <row r="85" spans="2:8" ht="13.15">
      <c r="B85" s="109" t="s">
        <v>309</v>
      </c>
    </row>
    <row r="86" spans="2:8">
      <c r="B86" s="149" t="s">
        <v>307</v>
      </c>
      <c r="C86" s="266">
        <f>Market_Price</f>
        <v>15.44</v>
      </c>
      <c r="D86" t="str">
        <f>Market_currency</f>
        <v>HKD</v>
      </c>
    </row>
    <row r="87" spans="2:8" ht="13.15">
      <c r="B87" s="100" t="s">
        <v>305</v>
      </c>
      <c r="C87" s="265">
        <f ca="1">IRR(OFFSET($I$3, 0, 0, $C$76 + 1, 1))</f>
        <v>0.18737363316325828</v>
      </c>
    </row>
    <row r="88" spans="2:8">
      <c r="B88" s="100"/>
    </row>
    <row r="89" spans="2:8" ht="13.15">
      <c r="B89" s="109" t="s">
        <v>422</v>
      </c>
    </row>
    <row r="90" spans="2:8">
      <c r="B90" s="149" t="s">
        <v>423</v>
      </c>
      <c r="C90" s="168">
        <f>Thesis!E19</f>
        <v>0.2</v>
      </c>
    </row>
    <row r="91" spans="2:8">
      <c r="B91" s="100" t="s">
        <v>122</v>
      </c>
      <c r="C91" s="117">
        <f>PV(C90, C76, -C77, 0)</f>
        <v>1.1473096988218372</v>
      </c>
      <c r="D91" s="117"/>
      <c r="E91" s="100"/>
      <c r="F91" s="100"/>
    </row>
    <row r="92" spans="2:8">
      <c r="B92" s="100" t="s">
        <v>123</v>
      </c>
      <c r="C92" s="117">
        <f>C60/(1+C90)^C76</f>
        <v>13.823903689395159</v>
      </c>
      <c r="D92" s="117"/>
    </row>
    <row r="93" spans="2:8" ht="13.15">
      <c r="B93" s="111" t="s">
        <v>102</v>
      </c>
      <c r="C93" s="112">
        <f>C91+C92</f>
        <v>14.971213388216997</v>
      </c>
      <c r="D93" t="str">
        <f>Market_currency</f>
        <v>HKD</v>
      </c>
      <c r="E93" s="147" t="s">
        <v>127</v>
      </c>
      <c r="F93" s="329">
        <f>(1-C93/C60)</f>
        <v>0.37326699958521459</v>
      </c>
    </row>
    <row r="95" spans="2:8" ht="13.15">
      <c r="B95" s="109" t="s">
        <v>405</v>
      </c>
      <c r="G95" s="2"/>
      <c r="H95" s="316"/>
    </row>
    <row r="96" spans="2:8">
      <c r="B96" s="149" t="s">
        <v>411</v>
      </c>
      <c r="C96" s="135">
        <f>Thesis!C67</f>
        <v>0.08</v>
      </c>
      <c r="G96" s="2"/>
      <c r="H96" s="316"/>
    </row>
    <row r="97" spans="2:8">
      <c r="B97" s="100" t="s">
        <v>122</v>
      </c>
      <c r="C97" s="117">
        <f>PV(C96, C76, -C77, 0)</f>
        <v>1.4036336869169019</v>
      </c>
      <c r="D97" s="117"/>
      <c r="G97" s="2"/>
      <c r="H97" s="316"/>
    </row>
    <row r="98" spans="2:8">
      <c r="B98" s="100" t="s">
        <v>123</v>
      </c>
      <c r="C98" s="117">
        <f>C60/(1+C96)^C76</f>
        <v>18.962830849650423</v>
      </c>
      <c r="D98" s="117"/>
      <c r="G98" s="2"/>
      <c r="H98" s="316"/>
    </row>
    <row r="99" spans="2:8" ht="13.15">
      <c r="B99" s="111" t="s">
        <v>406</v>
      </c>
      <c r="C99" s="112">
        <f>C97+C98</f>
        <v>20.366464536567324</v>
      </c>
      <c r="D99" t="s">
        <v>404</v>
      </c>
      <c r="E99" s="147" t="s">
        <v>127</v>
      </c>
      <c r="F99" s="329">
        <f>(1-C99/C60)</f>
        <v>0.14740808938771421</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2025-05-08T04:09:14Z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