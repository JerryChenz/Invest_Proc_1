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68E7B0-8EAC-49CD-80CE-A375777944B4}"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<sst xmlns="http://schemas.openxmlformats.org/spreadsheetml/2006/main" count="766" uniqueCount="556">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</sst>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17.27</v>
      </c>
      <c r="E8" s="32"/>
    </row>
    <row r="9" spans="1:9">
      <c r="B9" s="4" t="s">
        <v>346</v>
      </c>
      <c r="C9" s="48">
        <v>2584811005</v>
      </c>
    </row>
    <row r="10" spans="1:9">
      <c r="B10" s="4" t="s">
        <v>352</v>
      </c>
      <c r="C10" s="33">
        <f>Thesis!C8*Common_Shares/1000000</f>
        <v>44639.686056350001</v>
      </c>
      <c r="D10" s="1" t="s">
        <v>531</v>
      </c>
      <c r="E10" s="310">
        <f>Scenarios!F34</f>
        <v>0.15535076181866403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1.0935255500000001</v>
      </c>
    </row>
    <row r="17" spans="1:6">
      <c r="B17" s="1" t="s">
        <v>535</v>
      </c>
      <c r="C17" s="423">
        <v>0</v>
      </c>
      <c r="D17" s="4" t="s">
        <v>274</v>
      </c>
      <c r="E17" s="227" t="s">
        <v>546</v>
      </c>
    </row>
    <row r="18" spans="1:6">
      <c r="B18" s="1" t="str">
        <f>"Expected Equity Value ("&amp;C7&amp;") :"</f>
        <v>Expected Equity Value (HKD) :</v>
      </c>
      <c r="C18" s="258">
        <f>C125</f>
        <v>24.767351320305323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13.412418868379266</v>
      </c>
      <c r="D22" s="38" t="s">
        <v>408</v>
      </c>
      <c r="E22" s="79">
        <v>0.25992104989487319</v>
      </c>
    </row>
    <row r="23" spans="1:6">
      <c r="B23" s="1" t="s">
        <v>313</v>
      </c>
      <c r="C23" s="262">
        <f>E141</f>
        <v>16.012769476039846</v>
      </c>
      <c r="D23" s="38" t="s">
        <v>409</v>
      </c>
      <c r="E23" s="451">
        <v>0.1856311014966876</v>
      </c>
    </row>
    <row r="24" spans="1:6">
      <c r="B24" s="1" t="s">
        <v>315</v>
      </c>
      <c r="C24" s="262">
        <f>E144</f>
        <v>19.042478087573112</v>
      </c>
      <c r="D24" s="38" t="s">
        <v>410</v>
      </c>
      <c r="E24" s="451">
        <v>0.1174</v>
      </c>
    </row>
    <row r="25" spans="1:6">
      <c r="B25" s="1" t="s">
        <v>314</v>
      </c>
      <c r="C25" s="262">
        <f>E145</f>
        <v>21.473540781072693</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3094829.9447862767</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24449.935199986721</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-82188.844800013278</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-753160.27499656589</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2525681.4019960887</v>
      </c>
      <c r="D60" s="1" t="str">
        <f>Reporting_currency</f>
        <v>CNY</v>
      </c>
    </row>
    <row r="61" spans="2:6">
      <c r="B61" s="44" t="s">
        <v>213</v>
      </c>
      <c r="C61" s="292">
        <f>Normalized_FCF!C19</f>
        <v>2259480.8249896979</v>
      </c>
      <c r="D61" s="1" t="str">
        <f>Reporting_currency</f>
        <v>CNY</v>
      </c>
    </row>
    <row r="62" spans="2:6">
      <c r="B62" s="206" t="s">
        <v>302</v>
      </c>
      <c r="C62" s="89">
        <f>Normalized_FCF!C124</f>
        <v>5.5349851895068199E-2</v>
      </c>
      <c r="F62" s="263"/>
    </row>
    <row r="63" spans="2:6">
      <c r="B63" s="206" t="s">
        <v>332</v>
      </c>
      <c r="C63" s="89">
        <f>Normalized_FCF!C92</f>
        <v>3.0966070035261056E-2</v>
      </c>
      <c r="E63" s="44" t="s">
        <v>322</v>
      </c>
      <c r="F63" s="264">
        <f>Normalized_FCF!C90</f>
        <v>0.61178463188741738</v>
      </c>
    </row>
    <row r="65" spans="1:6">
      <c r="B65" s="192" t="s">
        <v>325</v>
      </c>
      <c r="C65" s="270" t="s">
        <v>327</v>
      </c>
      <c r="D65" s="270" t="s">
        <v>328</v>
      </c>
    </row>
    <row r="66" spans="1:6">
      <c r="B66" s="44" t="s">
        <v>326</v>
      </c>
      <c r="C66" s="89">
        <f>Normalized_FCF!C119</f>
        <v>0.11088649350876995</v>
      </c>
      <c r="D66" s="89">
        <f>Normalized_FCF!G119</f>
        <v>0.13332891655833751</v>
      </c>
    </row>
    <row r="67" spans="1:6">
      <c r="B67" s="232" t="str">
        <f>Normalized_FCF!B116</f>
        <v>Pre-tax Profit/Sales</v>
      </c>
      <c r="C67" s="269">
        <f>Normalized_FCF!C116</f>
        <v>0.11515133932647489</v>
      </c>
      <c r="D67" s="269">
        <f>Normalized_FCF!G116</f>
        <v>0.12632227294767509</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-1777313</v>
      </c>
      <c r="D78" s="1" t="str">
        <f>Reporting_currency</f>
        <v>CNY</v>
      </c>
    </row>
    <row r="79" spans="1:6">
      <c r="A79" s="191"/>
      <c r="B79" s="44" t="s">
        <v>234</v>
      </c>
      <c r="C79" s="203">
        <f>C78*scaling_factor*Exchange_Rate/Common_Shares</f>
        <v>-0.75190687910551901</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15115866.800002214</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6.3948917442028472</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0.70596944043142529</v>
      </c>
      <c r="D90" s="1" t="str">
        <f>Market_currency</f>
        <v>HKD</v>
      </c>
    </row>
    <row r="91" spans="1:6">
      <c r="A91" s="191"/>
    </row>
    <row r="92" spans="1:6">
      <c r="A92" s="191"/>
      <c r="B92" s="44" t="s">
        <v>472</v>
      </c>
      <c r="C92" s="219">
        <f>DCF!F8</f>
        <v>6.3489543055287534</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5.4545509674515618</v>
      </c>
      <c r="D111" s="1" t="str">
        <f>Market_currency</f>
        <v>HKD</v>
      </c>
    </row>
    <row r="112" spans="2:6">
      <c r="B112" s="44" t="s">
        <v>323</v>
      </c>
      <c r="C112" s="219">
        <f>DCF!C11</f>
        <v>19.533670750050515</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34.75 HKD</v>
      </c>
      <c r="F118" s="211">
        <f>DCF!F82</f>
        <v>0.05</v>
      </c>
    </row>
    <row r="119" spans="2:6">
      <c r="B119" s="198" t="str">
        <f>DCF!B83</f>
        <v>Optimistic</v>
      </c>
      <c r="C119" s="199">
        <f>DCF!C83</f>
        <v>0.06</v>
      </c>
      <c r="D119" s="200">
        <f>DCF!D83</f>
        <v>10</v>
      </c>
      <c r="E119" s="210" t="str">
        <f>ROUND(DCF!E83,2)&amp;" "&amp;Market_currency</f>
        <v>27.25 HKD</v>
      </c>
      <c r="F119" s="201">
        <f>DCF!F83</f>
        <v>0.22499999999999992</v>
      </c>
    </row>
    <row r="120" spans="2:6">
      <c r="B120" s="198" t="str">
        <f>DCF!B84</f>
        <v>Base</v>
      </c>
      <c r="C120" s="199">
        <f>DCF!C84</f>
        <v>0.04</v>
      </c>
      <c r="D120" s="200">
        <f>DCF!D84</f>
        <v>10</v>
      </c>
      <c r="E120" s="210" t="str">
        <f>ROUND(DCF!E84,2)&amp;" "&amp;Market_currency</f>
        <v>24.27 HKD</v>
      </c>
      <c r="F120" s="201">
        <f>DCF!F84</f>
        <v>0.495</v>
      </c>
    </row>
    <row r="121" spans="2:6">
      <c r="B121" s="198" t="str">
        <f>DCF!B85</f>
        <v>Pessimistic</v>
      </c>
      <c r="C121" s="199">
        <f>DCF!C85</f>
        <v>0.02</v>
      </c>
      <c r="D121" s="200">
        <f>DCF!D85</f>
        <v>10</v>
      </c>
      <c r="E121" s="210" t="str">
        <f>ROUND(DCF!E85,2)&amp;" "&amp;Market_currency</f>
        <v>21.72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0" t="s">
        <v>357</v>
      </c>
      <c r="C124" s="460"/>
      <c r="D124" s="460"/>
      <c r="E124" s="460"/>
      <c r="F124" s="460"/>
    </row>
    <row r="125" spans="2:6">
      <c r="B125" s="193" t="s">
        <v>218</v>
      </c>
      <c r="C125" s="197">
        <f>Scenarios!C36</f>
        <v>24.767351320305323</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0.53478402950895843</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1.0287432082266046</v>
      </c>
      <c r="D140" s="340">
        <f>Scenarios!D62</f>
        <v>12.383675660152662</v>
      </c>
      <c r="E140" s="341">
        <f>Scenarios!E62</f>
        <v>13.412418868379266</v>
      </c>
      <c r="F140" s="342">
        <f>E22</f>
        <v>0.25992104989487319</v>
      </c>
    </row>
    <row r="141" spans="1:6">
      <c r="B141" s="343" t="s">
        <v>313</v>
      </c>
      <c r="C141" s="340">
        <f>Scenarios!C63</f>
        <v>1.1523586838566511</v>
      </c>
      <c r="D141" s="340">
        <f>Scenarios!D63</f>
        <v>14.860410792183195</v>
      </c>
      <c r="E141" s="341">
        <f>Scenarios!E63</f>
        <v>16.012769476039846</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1.2902216212953799</v>
      </c>
      <c r="D144" s="340">
        <f>Scenarios!D66</f>
        <v>17.752256466277732</v>
      </c>
      <c r="E144" s="341">
        <f>Scenarios!E66</f>
        <v>19.042478087573112</v>
      </c>
      <c r="F144" s="342">
        <f>E24</f>
        <v>0.1174</v>
      </c>
    </row>
    <row r="145" spans="1:6">
      <c r="B145" s="343" t="s">
        <v>314</v>
      </c>
      <c r="C145" s="340">
        <f>Scenarios!C67</f>
        <v>1.3970565505769663</v>
      </c>
      <c r="D145" s="340">
        <f>Scenarios!D67</f>
        <v>20.076484230495726</v>
      </c>
      <c r="E145" s="341">
        <f>Scenarios!E67</f>
        <v>21.473540781072693</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0.53478402950895843</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0.53478402950895843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11.493938975861855</v>
      </c>
      <c r="D47" s="134">
        <f>D46*H1/Common_Shares*Exchange_Rate</f>
        <v>5.4545509674515618</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15115866.800002214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-2210722.4703977499</v>
      </c>
      <c r="D73" s="292">
        <f>(Normalized_FCF!C26+Normalized_FCF!C35-Normalized_FCF!C89)/12</f>
        <v>-2037494.5999988934</v>
      </c>
      <c r="F73" s="1" t="s">
        <v>278</v>
      </c>
    </row>
    <row r="74" spans="2:6" ht="15" customHeight="1">
      <c r="B74" s="230" t="s">
        <v>259</v>
      </c>
      <c r="C74" s="231">
        <f>-$C$66/C73</f>
        <v>8.6808074088771576</v>
      </c>
      <c r="D74" s="231">
        <f>-$C$66/D73</f>
        <v>9.418849993521663</v>
      </c>
      <c r="F74" s="226" t="s">
        <v>257</v>
      </c>
    </row>
    <row r="75" spans="2:6" ht="15" customHeight="1">
      <c r="B75" s="77" t="s">
        <v>258</v>
      </c>
      <c r="C75" s="267"/>
      <c r="D75" s="268">
        <f>MAX(-D73*D76,G5)</f>
        <v>4074989.1999977869</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1943537.1758471502</v>
      </c>
      <c r="D86" s="203">
        <f>C86*scaling_factor/Common_Shares</f>
        <v>0.75190687910551901</v>
      </c>
      <c r="E86" s="217" t="str">
        <f>Market_currency</f>
        <v>HKD</v>
      </c>
    </row>
    <row r="87" spans="2:8" ht="15" customHeight="1">
      <c r="B87" s="215" t="s">
        <v>240</v>
      </c>
      <c r="C87" s="73">
        <f>DCF!F5*Exchange_Rate</f>
        <v>16529586.556199161</v>
      </c>
      <c r="D87" s="203">
        <f>C87*scaling_factor/Common_Shares</f>
        <v>6.3948917442028463</v>
      </c>
      <c r="E87" s="217" t="str">
        <f>Market_currency</f>
        <v>HKD</v>
      </c>
    </row>
    <row r="88" spans="2:8" ht="15" customHeight="1">
      <c r="B88" s="216" t="s">
        <v>159</v>
      </c>
      <c r="C88" s="73">
        <f>DCF!F6*Exchange_Rate</f>
        <v>1824797.5788208402</v>
      </c>
      <c r="D88" s="203">
        <f>C88*scaling_factor/Common_Shares</f>
        <v>0.70596944043142529</v>
      </c>
      <c r="E88" s="217" t="str">
        <f>Market_currency</f>
        <v>HKD</v>
      </c>
    </row>
    <row r="89" spans="2:8" ht="15" customHeight="1">
      <c r="B89" s="77" t="s">
        <v>244</v>
      </c>
      <c r="C89" s="162">
        <f>SUM(C86:C88)</f>
        <v>20297921.310867149</v>
      </c>
      <c r="D89" s="219">
        <f>SUM(D86:D88)</f>
        <v>7.8527680637397905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-82188.844800013278</v>
      </c>
      <c r="E10" s="241"/>
      <c r="G10" s="273">
        <f>G48</f>
        <v>-163215.59800391138</v>
      </c>
      <c r="H10" s="273">
        <f t="shared" ref="H10:Q10" si="6">H48</f>
        <v>-75157.864963496555</v>
      </c>
      <c r="I10" s="273">
        <f t="shared" si="6"/>
        <v>-25486.123490030397</v>
      </c>
      <c r="J10" s="273">
        <f t="shared" si="6"/>
        <v>-81648.08157051052</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3012641.0999862636</v>
      </c>
      <c r="E11" s="241"/>
      <c r="G11" s="274">
        <f t="shared" ref="G11:Q11" si="7">IF(G$4="","",SUM(G8:G10))</f>
        <v>3622372.4019960887</v>
      </c>
      <c r="H11" s="274">
        <f t="shared" si="7"/>
        <v>3318596.1350365034</v>
      </c>
      <c r="I11" s="274">
        <f t="shared" si="7"/>
        <v>4232940.8765099701</v>
      </c>
      <c r="J11" s="274">
        <f t="shared" si="7"/>
        <v>4797919.9184294892</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-753160.27499656589</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2259480.8249896979</v>
      </c>
      <c r="D14" s="58"/>
      <c r="E14" s="249"/>
      <c r="F14" s="58"/>
      <c r="G14" s="274">
        <f t="shared" ref="G14:Q14" si="8">IF(G$4="","",SUM(G11:G13))</f>
        <v>2525681.4019960887</v>
      </c>
      <c r="H14" s="274">
        <f t="shared" si="8"/>
        <v>2249337.1350365034</v>
      </c>
      <c r="I14" s="274">
        <f t="shared" si="8"/>
        <v>2881611.8765099701</v>
      </c>
      <c r="J14" s="274">
        <f t="shared" si="8"/>
        <v>3480563.9184294892</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2259480.8249896979</v>
      </c>
      <c r="D19" s="26"/>
      <c r="E19" s="238"/>
      <c r="F19" s="26"/>
      <c r="G19" s="278">
        <f t="shared" ref="G19:Q19" si="9">IF(G$4="","",G14+G17)</f>
        <v>2525681.4019960887</v>
      </c>
      <c r="H19" s="278">
        <f t="shared" si="9"/>
        <v>2249337.1350365034</v>
      </c>
      <c r="I19" s="278">
        <f t="shared" si="9"/>
        <v>2881611.8765099701</v>
      </c>
      <c r="J19" s="278">
        <f t="shared" si="9"/>
        <v>3480563.9184294892</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0.30275490156552493</v>
      </c>
      <c r="H41" s="6">
        <f t="shared" si="16"/>
        <v>0.32218653807003217</v>
      </c>
      <c r="I41" s="6">
        <f t="shared" si="16"/>
        <v>0.31924117048243805</v>
      </c>
      <c r="J41" s="6">
        <f t="shared" si="16"/>
        <v>0.27456669189910321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24449.935199986721</v>
      </c>
      <c r="E46" s="241"/>
      <c r="G46" s="281">
        <f t="shared" ref="G46:Q46" si="17">IFERROR(IF(G$4="","",($C$46/$C$47)*G47),0)</f>
        <v>91205.401996088636</v>
      </c>
      <c r="H46" s="281">
        <f t="shared" si="17"/>
        <v>106288.13503650345</v>
      </c>
      <c r="I46" s="281">
        <f t="shared" si="17"/>
        <v>95074.876509969603</v>
      </c>
      <c r="J46" s="281">
        <f t="shared" si="17"/>
        <v>30809.918429489488</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-82188.844800013278</v>
      </c>
      <c r="E48" s="241"/>
      <c r="G48" s="274">
        <f>IF(G$4="","",(G45+G46))</f>
        <v>-163215.59800391138</v>
      </c>
      <c r="H48" s="274">
        <f t="shared" ref="H48:Q48" si="18">IF(H$4="","",(H45+H46))</f>
        <v>-75157.864963496555</v>
      </c>
      <c r="I48" s="274">
        <f t="shared" si="18"/>
        <v>-25486.123490030397</v>
      </c>
      <c r="J48" s="274">
        <f t="shared" si="18"/>
        <v>-81648.08157051052</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3.141481259238103E-3</v>
      </c>
      <c r="D76" s="26"/>
      <c r="E76" s="238"/>
      <c r="F76" s="26"/>
      <c r="G76" s="6">
        <f t="shared" ref="G76:Q76" si="28">IF(G$4="","",ABS(G10/G$4))</f>
        <v>5.6917851154692986E-3</v>
      </c>
      <c r="H76" s="6">
        <f t="shared" si="28"/>
        <v>2.7232599406792407E-3</v>
      </c>
      <c r="I76" s="6">
        <f t="shared" si="28"/>
        <v>9.8770473197372604E-4</v>
      </c>
      <c r="J76" s="6">
        <f t="shared" si="28"/>
        <v>3.617183463669911E-3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0.11515133932647489</v>
      </c>
      <c r="D77" s="26"/>
      <c r="E77" s="238"/>
      <c r="F77" s="26"/>
      <c r="G77" s="62">
        <f t="shared" ref="G77:Q77" si="29">IF(G$4="","",G11/G$4)</f>
        <v>0.12632227294767509</v>
      </c>
      <c r="H77" s="62">
        <f t="shared" si="29"/>
        <v>0.12024556469542133</v>
      </c>
      <c r="I77" s="62">
        <f t="shared" si="29"/>
        <v>0.16404596546545738</v>
      </c>
      <c r="J77" s="62">
        <f t="shared" si="29"/>
        <v>0.21255804490602828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2.8787834831618724E-2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8.6363504494856178E-2</v>
      </c>
      <c r="D80" s="26"/>
      <c r="E80" s="238"/>
      <c r="F80" s="26"/>
      <c r="G80" s="62">
        <f t="shared" ref="G80:Q80" si="32">IF(G$4="","",ABS(G14/G$4))</f>
        <v>8.8077585635868344E-2</v>
      </c>
      <c r="H80" s="62">
        <f t="shared" si="32"/>
        <v>8.1502178326941982E-2</v>
      </c>
      <c r="I80" s="62">
        <f t="shared" si="32"/>
        <v>0.11167573943734316</v>
      </c>
      <c r="J80" s="62">
        <f t="shared" si="32"/>
        <v>0.15419637556476853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8.6363504494856178E-2</v>
      </c>
      <c r="D85" s="72"/>
      <c r="E85" s="238"/>
      <c r="F85" s="72"/>
      <c r="G85" s="62">
        <f t="shared" ref="G85:Q85" si="35">IF(G$4="","",ABS(G19/G$4))</f>
        <v>8.8077585635868344E-2</v>
      </c>
      <c r="H85" s="62">
        <f t="shared" si="35"/>
        <v>8.1502178326941982E-2</v>
      </c>
      <c r="I85" s="62">
        <f t="shared" si="35"/>
        <v>0.11167573943734316</v>
      </c>
      <c r="J85" s="62">
        <f t="shared" si="35"/>
        <v>0.15419637556476853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0.53478402950895843</v>
      </c>
      <c r="E88" s="241"/>
      <c r="G88" s="109">
        <f>Data!C65</f>
        <v>0.53478402950895843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1382315.6447730004</v>
      </c>
      <c r="E89" s="241"/>
      <c r="G89" s="71">
        <f t="shared" ref="G89:Q89" si="36">IF(G$4="","",G88*Common_Shares/scaling_factor)</f>
        <v>1382315.6447730004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0.61178463188741738</v>
      </c>
      <c r="E90" s="241"/>
      <c r="G90" s="152">
        <f t="shared" ref="G90:Q90" si="37">IF(G$4="","",G88/(G19*scaling_factor/Common_Shares))</f>
        <v>0.54730404384358733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3.0966070035261056E-2</v>
      </c>
      <c r="E92" s="241"/>
      <c r="G92" s="22">
        <f t="shared" ref="G92:Q92" si="38">IF(G$4="","",(G88*(1-dividend_tax_rate))/Market_Price)</f>
        <v>3.0966070035261056E-2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-0.16832374873269129</v>
      </c>
      <c r="D96" s="26"/>
      <c r="E96" s="238"/>
      <c r="F96" s="26"/>
      <c r="G96" s="6">
        <f t="shared" ref="G96:Q96" si="40">IF(H5="","",G11/H11-1)</f>
        <v>9.1537582338636625E-2</v>
      </c>
      <c r="H96" s="6">
        <f t="shared" si="40"/>
        <v>-0.2160069720197314</v>
      </c>
      <c r="I96" s="6">
        <f t="shared" si="40"/>
        <v>-0.11775499623271213</v>
      </c>
      <c r="J96" s="6">
        <f t="shared" si="40"/>
        <v>1.4629283662060306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2.0857480265866717</v>
      </c>
      <c r="H113" s="257">
        <f>IF(H$4="","",Data!D$22/H19)</f>
        <v>2.084141112943446</v>
      </c>
      <c r="I113" s="257">
        <f>IF(I$4="","",Data!E$22/I19)</f>
        <v>1.3581301603809028</v>
      </c>
      <c r="J113" s="257">
        <f>IF(J$4="","",Data!F$22/J19)</f>
        <v>1.8747924626376009</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0.11515133932647489</v>
      </c>
      <c r="E116" s="241"/>
      <c r="G116" s="22">
        <f t="shared" ref="G116:Q116" si="44">IF(G4="","",G77)</f>
        <v>0.12632227294767509</v>
      </c>
      <c r="H116" s="22">
        <f t="shared" si="44"/>
        <v>0.12024556469542133</v>
      </c>
      <c r="I116" s="22">
        <f t="shared" si="44"/>
        <v>0.16404596546545738</v>
      </c>
      <c r="J116" s="22">
        <f t="shared" si="44"/>
        <v>0.21255804490602828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0.11088649350876995</v>
      </c>
      <c r="D119" s="100"/>
      <c r="E119" s="244"/>
      <c r="F119" s="100"/>
      <c r="G119" s="99">
        <f t="shared" ref="G119:Q119" si="47">IF(G$4="","",G11/G104)</f>
        <v>0.13332891655833751</v>
      </c>
      <c r="H119" s="99">
        <f t="shared" si="47"/>
        <v>0.13597103079594211</v>
      </c>
      <c r="I119" s="99">
        <f t="shared" si="47"/>
        <v>0.17396652153951672</v>
      </c>
      <c r="J119" s="99">
        <f t="shared" si="47"/>
        <v>0.22734531806673883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0.9558919422278277</v>
      </c>
      <c r="D123" s="26"/>
      <c r="E123" s="238"/>
      <c r="F123" s="26"/>
      <c r="G123" s="159">
        <f t="shared" ref="G123:Q123" si="48">IF(G$4="","",G14*$C$3/Common_Shares*Exchange_Rate)</f>
        <v>1.0685102852394208</v>
      </c>
      <c r="H123" s="159">
        <f t="shared" si="48"/>
        <v>0.95160057078378801</v>
      </c>
      <c r="I123" s="159">
        <f t="shared" si="48"/>
        <v>1.2190895992208519</v>
      </c>
      <c r="J123" s="159">
        <f t="shared" si="48"/>
        <v>1.4724811856063582</v>
      </c>
      <c r="K123" s="159">
        <f t="shared" si="48"/>
        <v>0.59172053668995428</v>
      </c>
      <c r="L123" s="159">
        <f t="shared" si="48"/>
        <v>0.58305461205450881</v>
      </c>
      <c r="M123" s="159">
        <f t="shared" si="48"/>
        <v>0.25088621785580029</v>
      </c>
      <c r="N123" s="159">
        <f t="shared" si="48"/>
        <v>0.19184801980849275</v>
      </c>
      <c r="O123" s="159">
        <f t="shared" si="48"/>
        <v>9.7905826148863839E-2</v>
      </c>
      <c r="P123" s="159">
        <f t="shared" si="48"/>
        <v>5.090659594723445E-3</v>
      </c>
      <c r="Q123" s="159" t="str">
        <f t="shared" si="48"/>
        <v/>
      </c>
    </row>
    <row r="124" spans="1:17" ht="15.75" customHeight="1">
      <c r="A124" s="10"/>
      <c r="B124" s="26" t="s">
        <v>226</v>
      </c>
      <c r="C124" s="74">
        <f>C19*Exchange_Rate*$C$3/(Market_Price*Common_Shares)</f>
        <v>5.5349851895068199E-2</v>
      </c>
      <c r="D124" s="26"/>
      <c r="E124" s="238"/>
      <c r="F124" s="26"/>
      <c r="G124" s="74">
        <f t="shared" ref="G124" si="49">IF(G$4="","",G123/Market_Price)</f>
        <v>6.1870890865050425E-2</v>
      </c>
      <c r="H124" s="74">
        <f t="shared" ref="H124" si="50">IF(H$4="","",H123/Market_Price)</f>
        <v>5.5101364839825598E-2</v>
      </c>
      <c r="I124" s="74">
        <f t="shared" ref="I124" si="51">IF(I$4="","",I123/Market_Price)</f>
        <v>7.0590017326048179E-2</v>
      </c>
      <c r="J124" s="74">
        <f t="shared" ref="J124" si="52">IF(J$4="","",J123/Market_Price)</f>
        <v>8.5262373225614252E-2</v>
      </c>
      <c r="K124" s="74">
        <f t="shared" ref="K124" si="53">IF(K$4="","",K123/Market_Price)</f>
        <v>3.4262914689632558E-2</v>
      </c>
      <c r="L124" s="74">
        <f t="shared" ref="L124" si="54">IF(L$4="","",L123/Market_Price)</f>
        <v>3.3761124033266289E-2</v>
      </c>
      <c r="M124" s="74">
        <f t="shared" ref="M124" si="55">IF(M$4="","",M123/Market_Price)</f>
        <v>1.4527285341968749E-2</v>
      </c>
      <c r="N124" s="74">
        <f t="shared" ref="N124" si="56">IF(N$4="","",N123/Market_Price)</f>
        <v>1.1108744632802129E-2</v>
      </c>
      <c r="O124" s="74">
        <f t="shared" ref="O124" si="57">IF(O$4="","",O123/Market_Price)</f>
        <v>5.6691271655393075E-3</v>
      </c>
      <c r="P124" s="74">
        <f t="shared" ref="P124" si="58">IF(P$4="","",P123/Market_Price)</f>
        <v>2.9476894005347104E-4</v>
      </c>
      <c r="Q124" s="74" t="str">
        <f t="shared" ref="Q124" si="59">IF(Q$4="","",Q123/Market_Price)</f>
        <v/>
      </c>
    </row>
    <row r="125" spans="1:17" ht="15.75" customHeight="1">
      <c r="B125" s="2" t="s">
        <v>306</v>
      </c>
      <c r="C125" s="151"/>
      <c r="G125" s="22">
        <f>IF(G$4="","",(Data!C47*$C$3)/(Market_Price*Common_Shares))</f>
        <v>6.7494157467790084E-2</v>
      </c>
      <c r="H125" s="22">
        <f>IF(H$4="","",(Data!D47*$C$3)/(Market_Price*Common_Shares))</f>
        <v>7.1393020013111277E-2</v>
      </c>
      <c r="I125" s="22">
        <f>IF(I$4="","",(Data!E47*$C$3)/(Market_Price*Common_Shares))</f>
        <v>9.1034936824380477E-2</v>
      </c>
      <c r="J125" s="22">
        <f>IF(J$4="","",(Data!F47*$C$3)/(Market_Price*Common_Shares))</f>
        <v>8.9850273474973305E-2</v>
      </c>
      <c r="K125" s="22">
        <f>IF(K$4="","",(Data!G47*$C$3)/(Market_Price*Common_Shares))</f>
        <v>3.8048744291255841E-2</v>
      </c>
      <c r="L125" s="22">
        <f>IF(L$4="","",(Data!H47*$C$3)/(Market_Price*Common_Shares))</f>
        <v>3.358318869240226E-2</v>
      </c>
      <c r="M125" s="22">
        <f>IF(M$4="","",(Data!I47*$C$3)/(Market_Price*Common_Shares))</f>
        <v>1.6023029353232958E-2</v>
      </c>
      <c r="N125" s="22">
        <f>IF(N$4="","",(Data!J47*$C$3)/(Market_Price*Common_Shares))</f>
        <v>1.1540291733900292E-2</v>
      </c>
      <c r="O125" s="22">
        <f>IF(O$4="","",(Data!K47*$C$3)/(Market_Price*Common_Shares))</f>
        <v>1.5700580848961893E-2</v>
      </c>
      <c r="P125" s="22">
        <f>IF(P$4="","",(Data!L47*$C$3)/(Market_Price*Common_Shares))</f>
        <v>1.3800500281797275E-3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2259480.8249896979</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15115866.800002214</v>
      </c>
      <c r="G5" t="str">
        <f>Reporting_currency</f>
        <v>CNY</v>
      </c>
      <c r="H5" s="315" t="s">
        <v>396</v>
      </c>
      <c r="I5" s="312">
        <f>Normalized_FCF!C7</f>
        <v>-1427907</v>
      </c>
      <c r="J5" s="312"/>
    </row>
    <row r="6" spans="2:15" ht="13.25" customHeight="1">
      <c r="B6" s="136" t="s">
        <v>194</v>
      </c>
      <c r="C6" s="290">
        <f>(C4*(1+Terminal_Growth))/(Equity_Cost-Terminal_Growth)</f>
        <v>31165252.758478593</v>
      </c>
      <c r="D6" t="str">
        <f>Reporting_currency</f>
        <v>CNY</v>
      </c>
      <c r="E6" s="187" t="s">
        <v>436</v>
      </c>
      <c r="F6" s="291">
        <f>BS!H42</f>
        <v>1668728.8</v>
      </c>
      <c r="G6" t="str">
        <f>Reporting_currency</f>
        <v>CNY</v>
      </c>
      <c r="H6" s="315" t="s">
        <v>418</v>
      </c>
      <c r="I6" s="312">
        <f>I7+I8</f>
        <v>-82188.844800013278</v>
      </c>
      <c r="J6" s="312"/>
      <c r="N6" s="135"/>
    </row>
    <row r="7" spans="2:15" ht="12.75" customHeight="1">
      <c r="B7" s="325" t="s">
        <v>433</v>
      </c>
      <c r="C7" s="282">
        <f>F7</f>
        <v>15007282.600002214</v>
      </c>
      <c r="E7" s="140" t="s">
        <v>427</v>
      </c>
      <c r="F7" s="290">
        <f>SUM(F4:F6)</f>
        <v>15007282.600002214</v>
      </c>
      <c r="G7" t="str">
        <f>Reporting_currency</f>
        <v>CNY</v>
      </c>
      <c r="H7" s="319" t="s">
        <v>419</v>
      </c>
      <c r="I7" s="320">
        <f>Normalized_FCF!C9</f>
        <v>0</v>
      </c>
      <c r="J7" s="320"/>
      <c r="N7" s="311"/>
      <c r="O7" s="311"/>
    </row>
    <row r="8" spans="2:15" ht="13.15">
      <c r="B8" s="136" t="s">
        <v>429</v>
      </c>
      <c r="C8" s="290">
        <f>C6+C7</f>
        <v>46172535.358480811</v>
      </c>
      <c r="D8" t="str">
        <f>Reporting_currency</f>
        <v>CNY</v>
      </c>
      <c r="E8" s="140" t="s">
        <v>467</v>
      </c>
      <c r="F8" s="108">
        <f>FV_adjustments*scaling_factor/Common_Shares*Exchange_Rate</f>
        <v>6.3489543055287534</v>
      </c>
      <c r="G8" s="301" t="str">
        <f>Market_currency</f>
        <v>HKD</v>
      </c>
      <c r="H8" s="321" t="str">
        <f>Normalized_FCF!B10</f>
        <v>Net Interest Income</v>
      </c>
      <c r="I8" s="320">
        <f>Normalized_FCF!C10</f>
        <v>-82188.844800013278</v>
      </c>
      <c r="J8" s="320"/>
      <c r="N8" s="311"/>
      <c r="O8" s="311"/>
    </row>
    <row r="9" spans="2:15" ht="13.15" thickBot="1">
      <c r="B9" s="189" t="str">
        <f>"*"&amp;Thesis!E15</f>
        <v>*CNY/HKD</v>
      </c>
      <c r="C9" s="190">
        <f>Exchange_Rate</f>
        <v>1.0935255500000001</v>
      </c>
      <c r="D9" t="str">
        <f>Thesis!E15</f>
        <v>CNY/HKD</v>
      </c>
      <c r="F9" s="329"/>
      <c r="H9" s="315" t="str">
        <f>Normalized_FCF!B79</f>
        <v>NCI’s Share of Profits</v>
      </c>
      <c r="I9" s="144">
        <f>Normalized_FCF!C79</f>
        <v>0</v>
      </c>
      <c r="J9" s="313"/>
      <c r="N9" s="311"/>
      <c r="O9" s="311"/>
    </row>
    <row r="10" spans="2:15" ht="13.5" thickTop="1">
      <c r="B10" s="107" t="s">
        <v>430</v>
      </c>
      <c r="C10" s="290">
        <f>C8*Exchange_Rate</f>
        <v>50490847.122777179</v>
      </c>
      <c r="D10" t="str">
        <f>Market_currency</f>
        <v>HKD</v>
      </c>
      <c r="H10" s="315" t="s">
        <v>398</v>
      </c>
      <c r="I10" s="313">
        <f>Normalized_FCF!C41</f>
        <v>0.25</v>
      </c>
      <c r="N10" s="311"/>
      <c r="O10" s="311"/>
    </row>
    <row r="11" spans="2:15" ht="13.15">
      <c r="B11" s="136" t="s">
        <v>428</v>
      </c>
      <c r="C11" s="108">
        <f>(C10*scaling_factor)/Common_Shares</f>
        <v>19.533670750050515</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21.554737268768218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3070245.2072783234</v>
      </c>
      <c r="H21" s="306">
        <f t="shared" ref="H21:H50" si="2">IF(A21="",0%,IF(A21="I",$C$18,$F$18))</f>
        <v>0</v>
      </c>
      <c r="I21" s="284">
        <f>(G21*(1-$I$10)+C21*(H21-$I$9))</f>
        <v>2302683.9054587428</v>
      </c>
      <c r="J21" s="306">
        <f>I21/C4-1</f>
        <v>1.9120799783393538E-2</v>
      </c>
      <c r="K21" s="119">
        <f t="shared" ref="K21:K50" si="3">IF($C$15&lt;B21,0,1/(1+Equity_Cost)^B21)</f>
        <v>0.93240093240093236</v>
      </c>
      <c r="L21" s="284">
        <f t="shared" ref="L21:L50" si="4">I21*K21</f>
        <v>2147024.620474352</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3128921.5005179513</v>
      </c>
      <c r="H22" s="306">
        <f t="shared" si="2"/>
        <v>0</v>
      </c>
      <c r="I22" s="284">
        <f>IF(A22="", 0,G22*(1-$I$10)+C22*(H22-$I$9))</f>
        <v>2346691.1253884635</v>
      </c>
      <c r="J22" s="306">
        <f>IF(A22="", 0,I22/I21-1)</f>
        <v>1.9111272643803634E-2</v>
      </c>
      <c r="K22" s="119">
        <f t="shared" si="3"/>
        <v>0.86937149874212816</v>
      </c>
      <c r="L22" s="284">
        <f t="shared" si="4"/>
        <v>2040146.3807638199</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3188689.9363151919</v>
      </c>
      <c r="H23" s="306">
        <f t="shared" si="2"/>
        <v>0</v>
      </c>
      <c r="I23" s="284">
        <f t="shared" ref="I23:I50" si="9">IF(A23="", 0,G23*(1-$I$10)+C23*(H23-$I$9))</f>
        <v>2391517.4522363939</v>
      </c>
      <c r="J23" s="306">
        <f t="shared" ref="J23:J50" si="10">IF(A23="", 0,I23/I22-1)</f>
        <v>1.9101928823508807E-2</v>
      </c>
      <c r="K23" s="119">
        <f t="shared" si="3"/>
        <v>0.81060279602995633</v>
      </c>
      <c r="L23" s="284">
        <f t="shared" si="4"/>
        <v>1938570.7335372583</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3249570.8427327145</v>
      </c>
      <c r="H24" s="306">
        <f t="shared" si="2"/>
        <v>0</v>
      </c>
      <c r="I24" s="284">
        <f t="shared" si="9"/>
        <v>2437178.1320495359</v>
      </c>
      <c r="J24" s="306">
        <f t="shared" si="10"/>
        <v>1.9092764625423531E-2</v>
      </c>
      <c r="K24" s="119">
        <f t="shared" si="3"/>
        <v>0.75580680282513402</v>
      </c>
      <c r="L24" s="284">
        <f t="shared" si="4"/>
        <v>1842035.8118996921</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3311584.9261996653</v>
      </c>
      <c r="H25" s="306">
        <f t="shared" si="2"/>
        <v>0</v>
      </c>
      <c r="I25" s="284">
        <f t="shared" si="9"/>
        <v>2483688.694649749</v>
      </c>
      <c r="J25" s="306">
        <f t="shared" si="10"/>
        <v>1.9083776433321376E-2</v>
      </c>
      <c r="K25" s="119">
        <f t="shared" si="3"/>
        <v>0.70471496766912267</v>
      </c>
      <c r="L25" s="284">
        <f t="shared" si="4"/>
        <v>1750292.5981502633</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3374753.2785542049</v>
      </c>
      <c r="H26" s="306">
        <f t="shared" si="2"/>
        <v>0</v>
      </c>
      <c r="I26" s="284">
        <f t="shared" si="9"/>
        <v>2531064.9589156536</v>
      </c>
      <c r="J26" s="306">
        <f t="shared" si="10"/>
        <v>1.9074960709834832E-2</v>
      </c>
      <c r="K26" s="119">
        <f t="shared" si="3"/>
        <v>0.65707689293158289</v>
      </c>
      <c r="L26" s="284">
        <f t="shared" si="4"/>
        <v>1663104.2990123022</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3439097.3842171375</v>
      </c>
      <c r="H27" s="306">
        <f t="shared" si="2"/>
        <v>0</v>
      </c>
      <c r="I27" s="284">
        <f t="shared" si="9"/>
        <v>2579323.0381628531</v>
      </c>
      <c r="J27" s="306">
        <f t="shared" si="10"/>
        <v>1.9066313994514861E-2</v>
      </c>
      <c r="K27" s="119">
        <f t="shared" si="3"/>
        <v>0.61265910762851561</v>
      </c>
      <c r="L27" s="284">
        <f t="shared" si="4"/>
        <v>1580245.7508465252</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3504639.1274990486</v>
      </c>
      <c r="H28" s="306">
        <f t="shared" si="2"/>
        <v>0</v>
      </c>
      <c r="I28" s="284">
        <f t="shared" si="9"/>
        <v>2628479.3456242867</v>
      </c>
      <c r="J28" s="306">
        <f t="shared" si="10"/>
        <v>1.905783290194063E-2</v>
      </c>
      <c r="K28" s="119">
        <f t="shared" si="3"/>
        <v>0.5712439231967511</v>
      </c>
      <c r="L28" s="284">
        <f t="shared" si="4"/>
        <v>1501502.8534360465</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3571400.8000434651</v>
      </c>
      <c r="H29" s="306">
        <f t="shared" si="2"/>
        <v>0</v>
      </c>
      <c r="I29" s="284">
        <f t="shared" si="9"/>
        <v>2678550.6000325987</v>
      </c>
      <c r="J29" s="306">
        <f t="shared" si="10"/>
        <v>1.9049514119891198E-2</v>
      </c>
      <c r="K29" s="119">
        <f t="shared" si="3"/>
        <v>0.53262836661701729</v>
      </c>
      <c r="L29" s="284">
        <f t="shared" si="4"/>
        <v>1426672.0309963946</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3639405.1084085423</v>
      </c>
      <c r="H30" s="306">
        <f t="shared" si="2"/>
        <v>0</v>
      </c>
      <c r="I30" s="284">
        <f t="shared" si="9"/>
        <v>2729553.8313064068</v>
      </c>
      <c r="J30" s="306">
        <f t="shared" si="10"/>
        <v>1.9041354407561828E-2</v>
      </c>
      <c r="K30" s="119">
        <f t="shared" si="3"/>
        <v>0.49662318565689262</v>
      </c>
      <c r="L30" s="284">
        <f t="shared" si="4"/>
        <v>1355559.7191253642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3639405.1084085423</v>
      </c>
      <c r="H51" s="306">
        <f>F18</f>
        <v>0</v>
      </c>
      <c r="I51" s="284">
        <f>(G51*(1-$I$10)+C51*(H51-$I$9))/Equity_Cost</f>
        <v>37649018.362846993</v>
      </c>
      <c r="J51" s="422">
        <f>(G51*(1-$I$10)+C51*(H51-$I$9))/VLOOKUP(C15,B21:I50,8,FALSE)-1</f>
        <v>0</v>
      </c>
      <c r="K51" s="119">
        <f>1/(1+Equity_Cost)^C15</f>
        <v>0.49662318565689262</v>
      </c>
      <c r="L51" s="284">
        <f>I51*K51</f>
        <v>18697375.436211921</v>
      </c>
    </row>
    <row r="52" spans="1:21" ht="13.15">
      <c r="G52" s="111"/>
      <c r="H52" s="111"/>
      <c r="I52" s="111"/>
      <c r="J52" s="467" t="s">
        <v>423</v>
      </c>
      <c r="K52" s="467"/>
      <c r="L52" s="324">
        <f>SUM(L21:L51)</f>
        <v>35942530.234453946</v>
      </c>
    </row>
    <row r="53" spans="1:21">
      <c r="C53" s="111"/>
    </row>
    <row r="54" spans="1:21" ht="13.15">
      <c r="B54" s="115" t="s">
        <v>108</v>
      </c>
      <c r="C54" s="128"/>
      <c r="D54" s="128"/>
      <c r="E54" s="113"/>
      <c r="F54" s="113"/>
      <c r="G54" s="113"/>
      <c r="H54" s="113"/>
      <c r="I54" s="113"/>
      <c r="J54" s="113"/>
      <c r="K54" s="113"/>
      <c r="L54" s="113"/>
    </row>
    <row r="55" spans="1:21" ht="13.15">
      <c r="A55" s="125">
        <f>L52</f>
        <v>35942530.234453946</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31165252.758478589</v>
      </c>
      <c r="C56" s="118">
        <v>34068333.968314357</v>
      </c>
      <c r="D56" s="118">
        <v>37191865.238882296</v>
      </c>
      <c r="E56" s="118">
        <v>40548607.129530199</v>
      </c>
      <c r="F56" s="118">
        <v>48015223.863571234</v>
      </c>
      <c r="G56" s="302"/>
      <c r="H56" s="302"/>
      <c r="I56" s="302"/>
      <c r="J56" s="302"/>
      <c r="K56" s="302"/>
      <c r="L56" s="302"/>
    </row>
    <row r="57" spans="1:21" ht="13.15">
      <c r="A57" s="131">
        <v>6</v>
      </c>
      <c r="B57" s="118">
        <v>31165252.758478593</v>
      </c>
      <c r="C57" s="118">
        <v>34566534.741651699</v>
      </c>
      <c r="D57" s="118">
        <v>38289859.905761771</v>
      </c>
      <c r="E57" s="118">
        <v>42360172.956219137</v>
      </c>
      <c r="F57" s="118">
        <v>51648822.623471871</v>
      </c>
      <c r="G57" s="302"/>
      <c r="H57" s="302"/>
      <c r="I57" s="302"/>
      <c r="J57" s="302"/>
      <c r="K57" s="302"/>
      <c r="L57" s="302"/>
    </row>
    <row r="58" spans="1:21" ht="13.15">
      <c r="A58" s="131">
        <v>7</v>
      </c>
      <c r="B58" s="118">
        <v>31165252.758478597</v>
      </c>
      <c r="C58" s="118">
        <v>35040348.064545959</v>
      </c>
      <c r="D58" s="118">
        <v>39354582.006978244</v>
      </c>
      <c r="E58" s="118">
        <v>44150624.962084211</v>
      </c>
      <c r="F58" s="118">
        <v>55375590.582344338</v>
      </c>
      <c r="G58" s="302"/>
      <c r="H58" s="302"/>
      <c r="I58" s="302"/>
      <c r="J58" s="302"/>
      <c r="K58" s="302"/>
      <c r="L58" s="302"/>
    </row>
    <row r="59" spans="1:21" ht="13.15">
      <c r="A59" s="131">
        <v>8</v>
      </c>
      <c r="B59" s="118">
        <v>31165252.758478597</v>
      </c>
      <c r="C59" s="118">
        <v>35490967.728277557</v>
      </c>
      <c r="D59" s="118">
        <v>40387039.802097231</v>
      </c>
      <c r="E59" s="118">
        <v>45920209.228953168</v>
      </c>
      <c r="F59" s="118">
        <v>59197916.694008425</v>
      </c>
      <c r="G59" s="302"/>
      <c r="H59" s="302"/>
      <c r="I59" s="302"/>
      <c r="J59" s="302"/>
      <c r="K59" s="302"/>
      <c r="L59" s="302"/>
    </row>
    <row r="60" spans="1:21" ht="13.15">
      <c r="A60" s="131">
        <v>9</v>
      </c>
      <c r="B60" s="118">
        <v>31165252.758478589</v>
      </c>
      <c r="C60" s="118">
        <v>35919529.08679153</v>
      </c>
      <c r="D60" s="118">
        <v>41388210.997364148</v>
      </c>
      <c r="E60" s="118">
        <v>47669168.970567256</v>
      </c>
      <c r="F60" s="118">
        <v>63118251.167510018</v>
      </c>
      <c r="G60" s="302"/>
      <c r="H60" s="302"/>
      <c r="I60" s="302"/>
      <c r="J60" s="302"/>
      <c r="K60" s="302"/>
      <c r="L60" s="302"/>
    </row>
    <row r="61" spans="1:21" ht="13.15">
      <c r="A61" s="131">
        <v>10</v>
      </c>
      <c r="B61" s="118">
        <v>31165252.758478593</v>
      </c>
      <c r="C61" s="118">
        <v>36327111.917266361</v>
      </c>
      <c r="D61" s="118">
        <v>42359043.671562344</v>
      </c>
      <c r="E61" s="118">
        <v>49397744.566008687</v>
      </c>
      <c r="F61" s="118">
        <v>67139107.037768066</v>
      </c>
      <c r="G61" s="302"/>
      <c r="H61" s="302"/>
      <c r="I61" s="302"/>
      <c r="J61" s="302"/>
      <c r="K61" s="302"/>
      <c r="L61" s="302"/>
    </row>
    <row r="62" spans="1:21" ht="13.15">
      <c r="A62" s="131">
        <v>15</v>
      </c>
      <c r="B62" s="118">
        <v>31165252.758478589</v>
      </c>
      <c r="C62" s="284">
        <v>38084581.810077399</v>
      </c>
      <c r="D62" s="118">
        <v>46789348.928781286</v>
      </c>
      <c r="E62" s="118">
        <v>57743079.322976768</v>
      </c>
      <c r="F62" s="118">
        <v>88843767.857619256</v>
      </c>
      <c r="G62" s="302"/>
      <c r="H62" s="302"/>
      <c r="I62" s="302"/>
      <c r="J62" s="302"/>
      <c r="K62" s="302"/>
      <c r="L62" s="302"/>
      <c r="M62" s="282"/>
      <c r="N62" s="282"/>
      <c r="O62" s="282"/>
      <c r="P62" s="282"/>
      <c r="Q62" s="282"/>
      <c r="R62" s="282"/>
      <c r="S62" s="282"/>
      <c r="T62" s="282"/>
      <c r="U62" s="282"/>
    </row>
    <row r="63" spans="1:21" ht="13.15">
      <c r="A63" s="132">
        <v>20</v>
      </c>
      <c r="B63" s="118">
        <v>31165252.758478589</v>
      </c>
      <c r="C63" s="284">
        <v>39452002.819995746</v>
      </c>
      <c r="D63" s="118">
        <v>50587863.907092482</v>
      </c>
      <c r="E63" s="118">
        <v>65613294.098799534</v>
      </c>
      <c r="F63" s="118">
        <v>113477483.56345513</v>
      </c>
      <c r="G63" s="302"/>
      <c r="H63" s="302"/>
      <c r="I63" s="302"/>
      <c r="J63" s="302"/>
      <c r="K63" s="302"/>
      <c r="L63" s="302"/>
      <c r="M63" s="282"/>
      <c r="N63" s="282"/>
      <c r="O63" s="282"/>
      <c r="P63" s="282"/>
      <c r="Q63" s="282"/>
      <c r="R63" s="282"/>
      <c r="S63" s="282"/>
      <c r="T63" s="282"/>
      <c r="U63" s="282"/>
    </row>
    <row r="64" spans="1:21" ht="13.15">
      <c r="A64" s="132">
        <v>25</v>
      </c>
      <c r="B64" s="118">
        <v>31165252.758478593</v>
      </c>
      <c r="C64" s="284">
        <v>40515941.511642605</v>
      </c>
      <c r="D64" s="118">
        <v>53844686.000094697</v>
      </c>
      <c r="E64" s="118">
        <v>73035438.616832301</v>
      </c>
      <c r="F64" s="118">
        <v>141435531.58422607</v>
      </c>
      <c r="G64" s="302"/>
      <c r="H64" s="302"/>
      <c r="I64" s="302"/>
      <c r="J64" s="302"/>
      <c r="K64" s="302"/>
      <c r="L64" s="302"/>
      <c r="M64" s="282"/>
      <c r="N64" s="282"/>
      <c r="O64" s="282"/>
      <c r="P64" s="282"/>
      <c r="Q64" s="282"/>
      <c r="R64" s="282"/>
      <c r="S64" s="282"/>
      <c r="T64" s="282"/>
      <c r="U64" s="282"/>
    </row>
    <row r="65" spans="1:21" ht="13.15">
      <c r="A65" s="132">
        <v>30</v>
      </c>
      <c r="B65" s="118">
        <v>31165252.758478593</v>
      </c>
      <c r="C65" s="284">
        <v>41343752.062579527</v>
      </c>
      <c r="D65" s="118">
        <v>56637064.128397651</v>
      </c>
      <c r="E65" s="118">
        <v>80035022.594615802</v>
      </c>
      <c r="F65" s="118">
        <v>173166532.23657823</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19.533670750050515</v>
      </c>
      <c r="C69" s="119">
        <f>C11</f>
        <v>19.533670750050515</v>
      </c>
      <c r="D69" s="119">
        <f>C11</f>
        <v>19.533670750050515</v>
      </c>
      <c r="E69" s="119">
        <f>C11</f>
        <v>19.533670750050515</v>
      </c>
      <c r="F69" s="119">
        <f>C11</f>
        <v>19.533670750050515</v>
      </c>
      <c r="G69" s="303"/>
      <c r="H69" s="303"/>
      <c r="I69" s="303"/>
      <c r="J69" s="303"/>
      <c r="K69" s="303"/>
      <c r="L69" s="303"/>
    </row>
    <row r="70" spans="1:21" ht="13.15">
      <c r="A70" s="131">
        <f>A56</f>
        <v>5</v>
      </c>
      <c r="B70" s="119">
        <f t="shared" ref="B70:F74" si="11">(B56+FV_adjustments)/Common_Shares*scaling_factor*Exchange_Rate</f>
        <v>19.533670750050515</v>
      </c>
      <c r="C70" s="119">
        <f t="shared" si="11"/>
        <v>20.761843127272471</v>
      </c>
      <c r="D70" s="119">
        <f t="shared" si="11"/>
        <v>22.083278715399736</v>
      </c>
      <c r="E70" s="119">
        <f t="shared" si="11"/>
        <v>23.50337597399168</v>
      </c>
      <c r="F70" s="119">
        <f t="shared" si="11"/>
        <v>26.662189579681751</v>
      </c>
      <c r="G70" s="303"/>
      <c r="H70" s="303"/>
      <c r="I70" s="303"/>
      <c r="J70" s="303"/>
      <c r="K70" s="303"/>
      <c r="L70" s="303"/>
    </row>
    <row r="71" spans="1:21" ht="13.15">
      <c r="A71" s="131">
        <v>6</v>
      </c>
      <c r="B71" s="119">
        <f t="shared" si="11"/>
        <v>19.533670750050518</v>
      </c>
      <c r="C71" s="119">
        <f t="shared" si="11"/>
        <v>20.972611061028669</v>
      </c>
      <c r="D71" s="119">
        <f t="shared" si="11"/>
        <v>22.547794387792752</v>
      </c>
      <c r="E71" s="119">
        <f t="shared" si="11"/>
        <v>24.269773793081448</v>
      </c>
      <c r="F71" s="119">
        <f t="shared" si="11"/>
        <v>28.199413413344459</v>
      </c>
      <c r="G71" s="303"/>
      <c r="H71" s="303"/>
      <c r="I71" s="303"/>
      <c r="J71" s="303"/>
      <c r="K71" s="303"/>
      <c r="L71" s="303"/>
    </row>
    <row r="72" spans="1:21" ht="13.15">
      <c r="A72" s="131">
        <f t="shared" ref="A72" si="12">A58</f>
        <v>7</v>
      </c>
      <c r="B72" s="119">
        <f t="shared" si="11"/>
        <v>19.533670750050518</v>
      </c>
      <c r="C72" s="119">
        <f t="shared" si="11"/>
        <v>21.173061683342265</v>
      </c>
      <c r="D72" s="119">
        <f t="shared" si="11"/>
        <v>22.998233827689017</v>
      </c>
      <c r="E72" s="119">
        <f t="shared" si="11"/>
        <v>25.027239236657351</v>
      </c>
      <c r="F72" s="119">
        <f t="shared" si="11"/>
        <v>29.776053242742119</v>
      </c>
      <c r="G72" s="303"/>
      <c r="H72" s="303"/>
      <c r="I72" s="303"/>
      <c r="J72" s="303"/>
      <c r="K72" s="303"/>
      <c r="L72" s="303"/>
    </row>
    <row r="73" spans="1:21" ht="13.15">
      <c r="A73" s="131">
        <v>8</v>
      </c>
      <c r="B73" s="119">
        <f t="shared" si="11"/>
        <v>19.533670750050518</v>
      </c>
      <c r="C73" s="119">
        <f t="shared" si="11"/>
        <v>21.363700037430714</v>
      </c>
      <c r="D73" s="119">
        <f t="shared" si="11"/>
        <v>23.435023587588415</v>
      </c>
      <c r="E73" s="119">
        <f t="shared" si="11"/>
        <v>25.775876411660104</v>
      </c>
      <c r="F73" s="119">
        <f t="shared" si="11"/>
        <v>31.393119734432037</v>
      </c>
      <c r="G73" s="303"/>
      <c r="H73" s="303"/>
      <c r="I73" s="303"/>
      <c r="J73" s="303"/>
      <c r="K73" s="303"/>
      <c r="L73" s="303"/>
    </row>
    <row r="74" spans="1:21" ht="13.15">
      <c r="A74" s="131">
        <f t="shared" ref="A74" si="13">A60</f>
        <v>9</v>
      </c>
      <c r="B74" s="119">
        <f t="shared" si="11"/>
        <v>19.533670750050515</v>
      </c>
      <c r="C74" s="119">
        <f t="shared" si="11"/>
        <v>21.545006444116236</v>
      </c>
      <c r="D74" s="119">
        <f t="shared" si="11"/>
        <v>23.858577294157538</v>
      </c>
      <c r="E74" s="119">
        <f t="shared" si="11"/>
        <v>26.51578821166283</v>
      </c>
      <c r="F74" s="119">
        <f t="shared" si="11"/>
        <v>33.051649469498599</v>
      </c>
      <c r="G74" s="303"/>
      <c r="H74" s="303"/>
      <c r="I74" s="303"/>
      <c r="J74" s="303"/>
      <c r="K74" s="303"/>
      <c r="L74" s="303"/>
    </row>
    <row r="75" spans="1:21" ht="13.15">
      <c r="A75" s="131">
        <f t="shared" ref="A75:A79" si="14">A61</f>
        <v>10</v>
      </c>
      <c r="B75" s="119">
        <f t="shared" ref="B75:F79" si="15">(B61+FV_adjustments)/Common_Shares*scaling_factor*Exchange_Rate</f>
        <v>19.533670750050518</v>
      </c>
      <c r="C75" s="119">
        <f t="shared" si="15"/>
        <v>21.717437712012956</v>
      </c>
      <c r="D75" s="119">
        <f t="shared" si="15"/>
        <v>24.269296039921532</v>
      </c>
      <c r="E75" s="119">
        <f t="shared" si="15"/>
        <v>27.247076331012838</v>
      </c>
      <c r="F75" s="119">
        <f t="shared" si="15"/>
        <v>34.752705608028407</v>
      </c>
      <c r="G75" s="303"/>
      <c r="H75" s="303"/>
      <c r="I75" s="303"/>
      <c r="J75" s="303"/>
      <c r="K75" s="303"/>
      <c r="L75" s="303"/>
    </row>
    <row r="76" spans="1:21" ht="13.15">
      <c r="A76" s="131">
        <f t="shared" si="14"/>
        <v>15</v>
      </c>
      <c r="B76" s="119">
        <f t="shared" si="15"/>
        <v>19.533670750050515</v>
      </c>
      <c r="C76" s="119">
        <f t="shared" si="15"/>
        <v>22.460949801456657</v>
      </c>
      <c r="D76" s="119">
        <f t="shared" si="15"/>
        <v>26.143573108417776</v>
      </c>
      <c r="E76" s="119">
        <f t="shared" si="15"/>
        <v>30.777638821808043</v>
      </c>
      <c r="F76" s="119">
        <f t="shared" si="15"/>
        <v>43.935040840538463</v>
      </c>
      <c r="G76" s="303"/>
      <c r="H76" s="303"/>
      <c r="I76" s="303"/>
      <c r="J76" s="303"/>
      <c r="K76" s="303"/>
      <c r="L76" s="303"/>
    </row>
    <row r="77" spans="1:21" ht="13.15">
      <c r="A77" s="132">
        <f t="shared" si="14"/>
        <v>20</v>
      </c>
      <c r="B77" s="119">
        <f t="shared" si="15"/>
        <v>19.533670750050515</v>
      </c>
      <c r="C77" s="119">
        <f t="shared" si="15"/>
        <v>23.03944850370608</v>
      </c>
      <c r="D77" s="119">
        <f t="shared" si="15"/>
        <v>27.750566104349016</v>
      </c>
      <c r="E77" s="119">
        <f t="shared" si="15"/>
        <v>34.107197897772174</v>
      </c>
      <c r="F77" s="119">
        <f t="shared" si="15"/>
        <v>54.356536827541134</v>
      </c>
      <c r="G77" s="303"/>
      <c r="H77" s="303"/>
      <c r="I77" s="303"/>
      <c r="J77" s="303"/>
      <c r="K77" s="303"/>
      <c r="L77" s="303"/>
    </row>
    <row r="78" spans="1:21" ht="13.15">
      <c r="A78" s="132">
        <f t="shared" si="14"/>
        <v>25</v>
      </c>
      <c r="B78" s="119">
        <f t="shared" si="15"/>
        <v>19.533670750050518</v>
      </c>
      <c r="C78" s="119">
        <f t="shared" si="15"/>
        <v>23.489556515742112</v>
      </c>
      <c r="D78" s="119">
        <f t="shared" si="15"/>
        <v>29.128391470928339</v>
      </c>
      <c r="E78" s="119">
        <f t="shared" si="15"/>
        <v>37.247197166794649</v>
      </c>
      <c r="F78" s="119">
        <f t="shared" si="15"/>
        <v>66.184418935633587</v>
      </c>
      <c r="G78" s="303"/>
      <c r="H78" s="303"/>
      <c r="I78" s="303"/>
      <c r="J78" s="303"/>
      <c r="K78" s="303"/>
      <c r="L78" s="303"/>
    </row>
    <row r="79" spans="1:21" ht="13.15">
      <c r="A79" s="132">
        <f t="shared" si="14"/>
        <v>30</v>
      </c>
      <c r="B79" s="119">
        <f t="shared" si="15"/>
        <v>19.533670750050518</v>
      </c>
      <c r="C79" s="119">
        <f t="shared" si="15"/>
        <v>23.839768576220823</v>
      </c>
      <c r="D79" s="119">
        <f t="shared" si="15"/>
        <v>30.30972999922065</v>
      </c>
      <c r="E79" s="119">
        <f t="shared" si="15"/>
        <v>40.208428724641919</v>
      </c>
      <c r="F79" s="119">
        <f t="shared" si="15"/>
        <v>79.608479678679558</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34.752705608028407</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27.247076331012838</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24.269296039921532</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21.717437712012956</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19.533670750050518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2525681.4019960887</v>
      </c>
      <c r="D8" s="468"/>
      <c r="E8" s="468"/>
      <c r="F8" s="468"/>
      <c r="G8" s="468"/>
    </row>
    <row r="9" spans="2:7">
      <c r="B9" s="97" t="s">
        <v>54</v>
      </c>
      <c r="C9" s="455">
        <f>Normalized_FCF!C19</f>
        <v>2259480.8249896979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-6.379374063923593E-2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27.247076331012838</v>
      </c>
      <c r="F22" s="335">
        <f>1-F23-F24</f>
        <v>0.24999999999999994</v>
      </c>
      <c r="G22" s="335">
        <f>F22*(1-F$29-F$30)</f>
        <v>0.22499999999999992</v>
      </c>
    </row>
    <row r="23" spans="2:7">
      <c r="B23" s="309" t="s">
        <v>440</v>
      </c>
      <c r="C23" s="331">
        <v>0.04</v>
      </c>
      <c r="D23" s="332">
        <f>C18</f>
        <v>10</v>
      </c>
      <c r="E23" s="333">
        <f>DCF!E84</f>
        <v>24.269296039921532</v>
      </c>
      <c r="F23" s="334">
        <v>0.55000000000000004</v>
      </c>
      <c r="G23" s="335">
        <f t="shared" ref="G23:G24" si="0">F23*(1-F$29-F$30)</f>
        <v>0.495</v>
      </c>
    </row>
    <row r="24" spans="2:7">
      <c r="B24" s="309" t="s">
        <v>449</v>
      </c>
      <c r="C24" s="331">
        <v>0.02</v>
      </c>
      <c r="D24" s="332">
        <f>C18</f>
        <v>10</v>
      </c>
      <c r="E24" s="333">
        <f>DCF!E85</f>
        <v>21.717437712012956</v>
      </c>
      <c r="F24" s="334">
        <v>0.2</v>
      </c>
      <c r="G24" s="335">
        <f t="shared" si="0"/>
        <v>0.18</v>
      </c>
    </row>
    <row r="25" spans="2:7">
      <c r="B25" s="141" t="s">
        <v>454</v>
      </c>
      <c r="C25" s="449">
        <f>E23*F23+E24*F24+E22*F22</f>
        <v>24.503369447112643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34.752705608028407</v>
      </c>
      <c r="F29" s="334">
        <v>0.05</v>
      </c>
      <c r="G29" s="335">
        <f>F29</f>
        <v>0.05</v>
      </c>
    </row>
    <row r="30" spans="2:7">
      <c r="B30" s="322" t="s">
        <v>450</v>
      </c>
      <c r="C30" s="331">
        <v>0</v>
      </c>
      <c r="D30" s="332">
        <f>C18</f>
        <v>10</v>
      </c>
      <c r="E30" s="333">
        <f>DCF!E86</f>
        <v>19.533670750050518</v>
      </c>
      <c r="F30" s="334">
        <v>0.05</v>
      </c>
      <c r="G30" s="335">
        <f>F30</f>
        <v>0.05</v>
      </c>
    </row>
    <row r="31" spans="2:7">
      <c r="E31" s="336"/>
      <c r="F31" s="336"/>
    </row>
    <row r="32" spans="2:7" ht="13.15">
      <c r="B32" s="145" t="s">
        <v>459</v>
      </c>
    </row>
    <row r="33" spans="2:7">
      <c r="B33" s="97" t="s">
        <v>461</v>
      </c>
      <c r="C33" s="155">
        <f>Normalized_FCF!C88*(1-dividend_tax_rate)</f>
        <v>0.53478402950895843</v>
      </c>
      <c r="D33" t="str">
        <f>Market_currency</f>
        <v>HKD</v>
      </c>
      <c r="E33" s="97" t="s">
        <v>458</v>
      </c>
      <c r="F33" s="222">
        <f>Holding_Period</f>
        <v>3</v>
      </c>
    </row>
    <row r="34" spans="2:7">
      <c r="B34" s="97" t="s">
        <v>233</v>
      </c>
      <c r="C34" s="146">
        <f>Market_Price</f>
        <v>17.27</v>
      </c>
      <c r="D34" t="str">
        <f>Market_currency</f>
        <v>HKD</v>
      </c>
      <c r="E34" s="97" t="s">
        <v>457</v>
      </c>
      <c r="F34" s="337">
        <f>RATE(Holding_Period,$C$33,-C34,$C$36)</f>
        <v>0.15535076181866403</v>
      </c>
    </row>
    <row r="35" spans="2:7">
      <c r="B35" s="97" t="s">
        <v>437</v>
      </c>
      <c r="C35" s="327">
        <f>DCF!C11</f>
        <v>19.533670750050515</v>
      </c>
      <c r="D35" s="97" t="str">
        <f>Market_currency</f>
        <v>HKD</v>
      </c>
      <c r="E35" s="97" t="s">
        <v>457</v>
      </c>
      <c r="F35" s="337">
        <f>RATE(Holding_Period,$C$33,-C35,$C$36)</f>
        <v>0.10772227001109436</v>
      </c>
    </row>
    <row r="36" spans="2:7">
      <c r="B36" s="97" t="s">
        <v>438</v>
      </c>
      <c r="C36" s="328">
        <f>E22*G22+E23*G23+E24*G24+E30*G30+E29*G29</f>
        <v>24.767351320305323</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21.554737268768218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0.31706127805849627</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0.53478402950895843</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1.0287432082266046</v>
      </c>
      <c r="D62" s="119">
        <f>C36/(1+F62)^Holding_Period</f>
        <v>12.383675660152662</v>
      </c>
      <c r="E62" s="339">
        <f>C62+D62</f>
        <v>13.412418868379266</v>
      </c>
      <c r="F62" s="308">
        <f>Thesis!E22</f>
        <v>0.25992104989487319</v>
      </c>
      <c r="G62" s="448">
        <f>(1-E62/C36)</f>
        <v>0.45846373740484725</v>
      </c>
    </row>
    <row r="63" spans="2:7" ht="13.15">
      <c r="B63" s="309" t="s">
        <v>313</v>
      </c>
      <c r="C63" s="119">
        <f>PV(F63, Holding_Period, -C58, 0)</f>
        <v>1.1523586838566511</v>
      </c>
      <c r="D63" s="119">
        <f>C36/(1+F63)^Holding_Period</f>
        <v>14.860410792183195</v>
      </c>
      <c r="E63" s="339">
        <f>C63+D63</f>
        <v>16.012769476039846</v>
      </c>
      <c r="F63" s="308">
        <f>Thesis!E23</f>
        <v>0.1856311014966876</v>
      </c>
      <c r="G63" s="448">
        <f>(1-E63/C36)</f>
        <v>0.35347267178659114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1.2902216212953799</v>
      </c>
      <c r="D66" s="119">
        <f>C36/(1+F66)^Holding_Period</f>
        <v>17.752256466277732</v>
      </c>
      <c r="E66" s="339">
        <f>C66+D66</f>
        <v>19.042478087573112</v>
      </c>
      <c r="F66" s="308">
        <f>Thesis!E24</f>
        <v>0.1174</v>
      </c>
      <c r="G66" s="448">
        <f>(1-E66/C47)</f>
        <v>0.11655253088309492</v>
      </c>
    </row>
    <row r="67" spans="2:7" ht="13.15">
      <c r="B67" s="309" t="s">
        <v>314</v>
      </c>
      <c r="C67" s="119">
        <f>PV(F67, Holding_Period, -C58, 0)</f>
        <v>1.3970565505769663</v>
      </c>
      <c r="D67" s="119">
        <f>C36/(1+F67)^Holding_Period</f>
        <v>20.076484230495726</v>
      </c>
      <c r="E67" s="339">
        <f>C67+D67</f>
        <v>21.473540781072693</v>
      </c>
      <c r="F67" s="308">
        <f>Thesis!E25</f>
        <v>7.2499999999999995E-2</v>
      </c>
      <c r="G67" s="448">
        <f>(1-E67/C36)</f>
        <v>0.13299001966884627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17.27</v>
      </c>
    </row>
    <row r="9" spans="1:10">
      <c r="B9" s="358" t="s">
        <v>361</v>
      </c>
      <c r="C9" s="360">
        <f>Common_Shares</f>
        <v>2584811005</v>
      </c>
    </row>
    <row r="10" spans="1:10">
      <c r="B10" s="358" t="s">
        <v>367</v>
      </c>
      <c r="C10" s="364">
        <f>投资主题!C8*Common_Shares/1000000</f>
        <v>44639.686056350001</v>
      </c>
      <c r="D10" s="350" t="s">
        <v>532</v>
      </c>
      <c r="E10" s="367">
        <f>Scenarios!F34</f>
        <v>0.15535076181866403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1.0935255500000001</v>
      </c>
    </row>
    <row r="17" spans="1:6">
      <c r="B17" s="350" t="s">
        <v>538</v>
      </c>
      <c r="C17" s="432">
        <f>Terminal_Growth</f>
        <v>0</v>
      </c>
      <c r="D17" s="358" t="s">
        <v>339</v>
      </c>
      <c r="E17" s="351" t="str">
        <f>Reporting_currency</f>
        <v>CNY</v>
      </c>
    </row>
    <row r="18" spans="1:6">
      <c r="B18" s="350" t="str">
        <f>"预期股权价值 ("&amp;C7&amp;") :"</f>
        <v>预期股权价值 (HKD) :</v>
      </c>
      <c r="C18" s="366">
        <f>C125</f>
        <v>24.767351320305323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13.412418868379266</v>
      </c>
      <c r="D22" s="372" t="s">
        <v>443</v>
      </c>
      <c r="E22" s="373">
        <f>Thesis!E22</f>
        <v>0.25992104989487319</v>
      </c>
    </row>
    <row r="23" spans="1:6">
      <c r="B23" s="350" t="s">
        <v>341</v>
      </c>
      <c r="C23" s="374">
        <f>E141</f>
        <v>16.012769476039846</v>
      </c>
      <c r="D23" s="372" t="s">
        <v>444</v>
      </c>
      <c r="E23" s="375">
        <f>Thesis!E23</f>
        <v>0.1856311014966876</v>
      </c>
    </row>
    <row r="24" spans="1:6">
      <c r="B24" s="350" t="s">
        <v>343</v>
      </c>
      <c r="C24" s="374">
        <f>E144</f>
        <v>19.042478087573112</v>
      </c>
      <c r="D24" s="372" t="s">
        <v>446</v>
      </c>
      <c r="E24" s="375">
        <f>Thesis!E24</f>
        <v>0.1174</v>
      </c>
    </row>
    <row r="25" spans="1:6">
      <c r="B25" s="350" t="s">
        <v>342</v>
      </c>
      <c r="C25" s="374">
        <f>E145</f>
        <v>21.473540781072693</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24449.935199986721</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-82188.844800013278</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-753160.27499656589</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2525681.4019960887</v>
      </c>
      <c r="D60" s="350" t="str">
        <f>Reporting_currency</f>
        <v>CNY</v>
      </c>
    </row>
    <row r="61" spans="2:6">
      <c r="B61" s="379" t="s">
        <v>213</v>
      </c>
      <c r="C61" s="380">
        <f>Normalized_FCF!C19</f>
        <v>2259480.8249896979</v>
      </c>
      <c r="D61" s="350" t="str">
        <f>Reporting_currency</f>
        <v>CNY</v>
      </c>
    </row>
    <row r="62" spans="2:6">
      <c r="B62" s="384" t="s">
        <v>302</v>
      </c>
      <c r="C62" s="385">
        <f>Normalized_FCF!C124</f>
        <v>5.5349851895068199E-2</v>
      </c>
      <c r="F62" s="386"/>
    </row>
    <row r="63" spans="2:6">
      <c r="B63" s="384" t="s">
        <v>332</v>
      </c>
      <c r="C63" s="385">
        <f>Normalized_FCF!C92</f>
        <v>3.0966070035261056E-2</v>
      </c>
      <c r="E63" s="379" t="s">
        <v>373</v>
      </c>
      <c r="F63" s="387">
        <f>Normalized_FCF!C90</f>
        <v>0.61178463188741738</v>
      </c>
    </row>
    <row r="65" spans="1:6">
      <c r="B65" s="376" t="s">
        <v>376</v>
      </c>
      <c r="C65" s="388" t="s">
        <v>327</v>
      </c>
      <c r="D65" s="388" t="s">
        <v>374</v>
      </c>
    </row>
    <row r="66" spans="1:6">
      <c r="B66" s="379" t="s">
        <v>326</v>
      </c>
      <c r="C66" s="385">
        <f>Normalized_FCF!C119</f>
        <v>0.11088649350876995</v>
      </c>
      <c r="D66" s="385">
        <f>Normalized_FCF!G119</f>
        <v>0.13332891655833751</v>
      </c>
    </row>
    <row r="67" spans="1:6">
      <c r="B67" s="389" t="str">
        <f>Normalized_FCF!B116</f>
        <v>Pre-tax Profit/Sales</v>
      </c>
      <c r="C67" s="390">
        <f>Normalized_FCF!C116</f>
        <v>0.11515133932647489</v>
      </c>
      <c r="D67" s="390">
        <f>Normalized_FCF!G116</f>
        <v>0.12632227294767509</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-1777313</v>
      </c>
      <c r="D78" s="350" t="str">
        <f>Reporting_currency</f>
        <v>CNY</v>
      </c>
    </row>
    <row r="79" spans="1:6">
      <c r="B79" s="379" t="s">
        <v>234</v>
      </c>
      <c r="C79" s="394">
        <f>C78*scaling_factor*Exchange_Rate/Common_Shares</f>
        <v>-0.75190687910551901</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15115866.800002214</v>
      </c>
      <c r="D84" s="350" t="str">
        <f>Reporting_currency</f>
        <v>CNY</v>
      </c>
    </row>
    <row r="85" spans="1:6">
      <c r="B85" s="389" t="s">
        <v>484</v>
      </c>
      <c r="C85" s="397">
        <f>BS!C66</f>
        <v>19190856</v>
      </c>
      <c r="D85" s="398" t="str">
        <f>Reporting_currency</f>
        <v>CNY</v>
      </c>
    </row>
    <row r="86" spans="1:6">
      <c r="B86" s="379" t="s">
        <v>235</v>
      </c>
      <c r="C86" s="394">
        <f>C84*scaling_factor*Exchange_Rate/Common_Shares</f>
        <v>6.3948917442028472</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0.70596944043142529</v>
      </c>
      <c r="D90" s="350" t="str">
        <f>Market_currency</f>
        <v>HKD</v>
      </c>
    </row>
    <row r="92" spans="1:6">
      <c r="B92" s="379" t="s">
        <v>483</v>
      </c>
      <c r="C92" s="394">
        <f>DCF!F8</f>
        <v>6.3489543055287534</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5.4545509674515618</v>
      </c>
      <c r="D111" s="350" t="str">
        <f>Market_currency</f>
        <v>HKD</v>
      </c>
    </row>
    <row r="112" spans="1:6">
      <c r="A112" s="392"/>
      <c r="B112" s="379" t="s">
        <v>377</v>
      </c>
      <c r="C112" s="401">
        <f>DCF!C11</f>
        <v>19.533670750050515</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34.75 HKD</v>
      </c>
      <c r="F118" s="406">
        <f>DCF!F82</f>
        <v>0.05</v>
      </c>
    </row>
    <row r="119" spans="1:6">
      <c r="A119" s="392"/>
      <c r="B119" s="407" t="str">
        <f>DCF!B83</f>
        <v>Optimistic</v>
      </c>
      <c r="C119" s="408">
        <f>DCF!C83</f>
        <v>0.06</v>
      </c>
      <c r="D119" s="409">
        <f>DCF!D83</f>
        <v>10</v>
      </c>
      <c r="E119" s="405" t="str">
        <f>ROUND(DCF!E83,2)&amp;" "&amp;Market_currency</f>
        <v>27.25 HKD</v>
      </c>
      <c r="F119" s="410">
        <f>DCF!F83</f>
        <v>0.22499999999999992</v>
      </c>
    </row>
    <row r="120" spans="1:6">
      <c r="B120" s="407" t="str">
        <f>DCF!B84</f>
        <v>Base</v>
      </c>
      <c r="C120" s="408">
        <f>DCF!C84</f>
        <v>0.04</v>
      </c>
      <c r="D120" s="409">
        <f>DCF!D84</f>
        <v>10</v>
      </c>
      <c r="E120" s="405" t="str">
        <f>ROUND(DCF!E84,2)&amp;" "&amp;Market_currency</f>
        <v>24.27 HKD</v>
      </c>
      <c r="F120" s="410">
        <f>DCF!F84</f>
        <v>0.495</v>
      </c>
    </row>
    <row r="121" spans="1:6">
      <c r="B121" s="407" t="str">
        <f>DCF!B85</f>
        <v>Pessimistic</v>
      </c>
      <c r="C121" s="408">
        <f>DCF!C85</f>
        <v>0.02</v>
      </c>
      <c r="D121" s="409">
        <f>DCF!D85</f>
        <v>10</v>
      </c>
      <c r="E121" s="405" t="str">
        <f>ROUND(DCF!E85,2)&amp;" "&amp;Market_currency</f>
        <v>21.72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69" t="s">
        <v>522</v>
      </c>
      <c r="C124" s="469"/>
      <c r="D124" s="469"/>
      <c r="E124" s="469"/>
      <c r="F124" s="469"/>
    </row>
    <row r="125" spans="1:6">
      <c r="B125" s="379" t="s">
        <v>218</v>
      </c>
      <c r="C125" s="411">
        <f>Scenarios!C36</f>
        <v>24.767351320305323</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0.53478402950895843</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1.0287432082266046</v>
      </c>
      <c r="D140" s="416">
        <f>Scenarios!D62</f>
        <v>12.383675660152662</v>
      </c>
      <c r="E140" s="417">
        <f>Scenarios!E62</f>
        <v>13.412418868379266</v>
      </c>
      <c r="F140" s="418">
        <f>E22</f>
        <v>0.25992104989487319</v>
      </c>
    </row>
    <row r="141" spans="1:6">
      <c r="B141" s="415" t="s">
        <v>313</v>
      </c>
      <c r="C141" s="416">
        <f>Scenarios!C63</f>
        <v>1.1523586838566511</v>
      </c>
      <c r="D141" s="416">
        <f>Scenarios!D63</f>
        <v>14.860410792183195</v>
      </c>
      <c r="E141" s="417">
        <f>Scenarios!E63</f>
        <v>16.012769476039846</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1.2902216212953799</v>
      </c>
      <c r="D144" s="416">
        <f>Scenarios!D66</f>
        <v>17.752256466277732</v>
      </c>
      <c r="E144" s="417">
        <f>Scenarios!E66</f>
        <v>19.042478087573112</v>
      </c>
      <c r="F144" s="418">
        <f>E24</f>
        <v>0.1174</v>
      </c>
    </row>
    <row r="145" spans="1:6">
      <c r="B145" s="415" t="s">
        <v>314</v>
      </c>
      <c r="C145" s="416">
        <f>Scenarios!C67</f>
        <v>1.3970565505769663</v>
      </c>
      <c r="D145" s="416">
        <f>Scenarios!D67</f>
        <v>20.076484230495726</v>
      </c>
      <c r="E145" s="417">
        <f>Scenarios!E67</f>
        <v>21.473540781072693</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