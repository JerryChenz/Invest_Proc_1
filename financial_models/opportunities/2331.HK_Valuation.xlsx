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17BD156-5F41-4B61-B913-C8662C5EA568}" xr6:coauthVersionLast="47" xr6:coauthVersionMax="47" xr10:uidLastSave="{00000000-0000-0000-0000-000000000000}"/>
  <bookViews>
    <workbookView xWindow="2205" yWindow="2205" windowWidth="12690"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<sst xmlns="http://schemas.openxmlformats.org/spreadsheetml/2006/main" count="768" uniqueCount="559">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</sst>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20.72</v>
      </c>
      <c r="E8" s="32"/>
    </row>
    <row r="9" spans="1:9">
      <c r="B9" s="4" t="s">
        <v>346</v>
      </c>
      <c r="C9" s="48">
        <v>2584811005</v>
      </c>
    </row>
    <row r="10" spans="1:9">
      <c r="B10" s="4" t="s">
        <v>352</v>
      </c>
      <c r="C10" s="33">
        <f>Thesis!C8*Common_Shares/1000000</f>
        <v>53557.284023599997</v>
      </c>
      <c r="D10" s="1" t="s">
        <v>528</v>
      </c>
      <c r="E10" s="303">
        <f>Scenarios!F34</f>
        <v>0.12763763794088803</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1.1268191807746888</v>
      </c>
    </row>
    <row r="17" spans="1:6">
      <c r="B17" s="1" t="s">
        <v>532</v>
      </c>
      <c r="C17" s="456">
        <v>0.02</v>
      </c>
      <c r="D17" s="4" t="s">
        <v>274</v>
      </c>
      <c r="E17" s="224" t="s">
        <v>558</v>
      </c>
    </row>
    <row r="18" spans="1:6">
      <c r="B18" s="1" t="str">
        <f>"Expected Equity Value ("&amp;C7&amp;") :"</f>
        <v>Expected Equity Value (HKD) :</v>
      </c>
      <c r="C18" s="252">
        <f>C125</f>
        <v>27.945582678027421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13.827810561868979</v>
      </c>
      <c r="D22" s="38" t="s">
        <v>406</v>
      </c>
      <c r="E22" s="79">
        <v>0.29465259038036606</v>
      </c>
    </row>
    <row r="23" spans="1:6">
      <c r="B23" s="1" t="s">
        <v>313</v>
      </c>
      <c r="C23" s="256">
        <f>E141</f>
        <v>17.23379509303992</v>
      </c>
      <c r="D23" s="38" t="s">
        <v>407</v>
      </c>
      <c r="E23" s="443">
        <v>0.20075184365903009</v>
      </c>
    </row>
    <row r="24" spans="1:6">
      <c r="B24" s="1" t="s">
        <v>315</v>
      </c>
      <c r="C24" s="256">
        <f>E144</f>
        <v>21.282386833803379</v>
      </c>
      <c r="D24" s="38" t="s">
        <v>408</v>
      </c>
      <c r="E24" s="443">
        <v>0.1174</v>
      </c>
    </row>
    <row r="25" spans="1:6">
      <c r="B25" s="1" t="s">
        <v>314</v>
      </c>
      <c r="C25" s="256">
        <f>E145</f>
        <v>24.008545790578772</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3529289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26487.826972340405</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-80150.953027659591</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-862284.51174308511</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2533283.333731357</v>
      </c>
      <c r="D60" s="1" t="str">
        <f>Reporting_currency</f>
        <v>CNY</v>
      </c>
    </row>
    <row r="61" spans="2:6">
      <c r="B61" s="44" t="s">
        <v>213</v>
      </c>
      <c r="C61" s="285">
        <f>Normalized_FCF!C19</f>
        <v>2586853.5352292554</v>
      </c>
      <c r="D61" s="1" t="str">
        <f>Reporting_currency</f>
        <v>CNY</v>
      </c>
    </row>
    <row r="62" spans="2:6">
      <c r="B62" s="204" t="s">
        <v>302</v>
      </c>
      <c r="C62" s="89">
        <f>Normalized_FCF!C124</f>
        <v>5.4426138936893818E-2</v>
      </c>
      <c r="F62" s="257"/>
    </row>
    <row r="63" spans="2:6">
      <c r="B63" s="204" t="s">
        <v>332</v>
      </c>
      <c r="C63" s="89">
        <f>Normalized_FCF!C92</f>
        <v>2.5047442132227683E-2</v>
      </c>
      <c r="E63" s="44" t="s">
        <v>322</v>
      </c>
      <c r="F63" s="258">
        <f>Normalized_FCF!C90</f>
        <v>0.518573221897357</v>
      </c>
    </row>
    <row r="65" spans="1:6">
      <c r="B65" s="192" t="s">
        <v>325</v>
      </c>
      <c r="C65" s="264" t="s">
        <v>327</v>
      </c>
      <c r="D65" s="264" t="s">
        <v>328</v>
      </c>
    </row>
    <row r="66" spans="1:6">
      <c r="B66" s="44" t="s">
        <v>326</v>
      </c>
      <c r="C66" s="89">
        <f>Normalized_FCF!E119</f>
        <v>0.2</v>
      </c>
      <c r="D66" s="89">
        <f>Normalized_FCF!G119</f>
        <v>0.13360872139603319</v>
      </c>
    </row>
    <row r="67" spans="1:6">
      <c r="B67" s="229" t="str">
        <f>Normalized_FCF!B116</f>
        <v>Pre-tax Profit/Sales</v>
      </c>
      <c r="C67" s="263">
        <f>Normalized_FCF!E116</f>
        <v>0.13430424833028851</v>
      </c>
      <c r="D67" s="263">
        <f>Normalized_FCF!G116</f>
        <v>0.12658737360244571</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-1777313</v>
      </c>
      <c r="D78" s="1" t="str">
        <f>Reporting_currency</f>
        <v>CNY</v>
      </c>
    </row>
    <row r="79" spans="1:6">
      <c r="A79" s="191"/>
      <c r="B79" s="44" t="s">
        <v>234</v>
      </c>
      <c r="C79" s="201">
        <f>C78*scaling_factor*Exchange_Rate/Common_Shares</f>
        <v>-0.77479954037885423</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14776218.171276599</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6.4415255206273656</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0.72746348406665406</v>
      </c>
      <c r="D90" s="1" t="str">
        <f>Market_currency</f>
        <v>HKD</v>
      </c>
    </row>
    <row r="91" spans="1:6">
      <c r="A91" s="191"/>
    </row>
    <row r="92" spans="1:6">
      <c r="A92" s="191"/>
      <c r="B92" s="44" t="s">
        <v>469</v>
      </c>
      <c r="C92" s="216">
        <f>DCF!F8</f>
        <v>6.3941894643151649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5.6206209837873056</v>
      </c>
      <c r="D111" s="1" t="str">
        <f>Market_currency</f>
        <v>HKD</v>
      </c>
    </row>
    <row r="112" spans="2:6">
      <c r="B112" s="44" t="s">
        <v>323</v>
      </c>
      <c r="C112" s="216">
        <f>DCF!C11</f>
        <v>28.303975954751142</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36.23 HKD</v>
      </c>
      <c r="E118" s="208">
        <f>DCF!F90</f>
        <v>0.05</v>
      </c>
      <c r="F118" s="208">
        <f>RATE(Holding_Period,Scenarios!C$58,-DCF!E90,C$18)</f>
        <v>-6.7268389205393408E-2</v>
      </c>
    </row>
    <row r="119" spans="2:6">
      <c r="B119" s="205" t="str">
        <f>DCF!B91&amp;" ("&amp;DCF!D91&amp;"yrs)"</f>
        <v>Optimistic (10yrs)</v>
      </c>
      <c r="C119" s="198">
        <f>DCF!C91</f>
        <v>0.06</v>
      </c>
      <c r="D119" s="207" t="str">
        <f>ROUND(DCF!E91,2)&amp;" "&amp;Market_currency</f>
        <v>30.31 HKD</v>
      </c>
      <c r="E119" s="199">
        <f>DCF!F91</f>
        <v>0.22499999999999992</v>
      </c>
      <c r="F119" s="208">
        <f>RATE(Holding_Period,Scenarios!C$58,-DCF!E91,C$18)</f>
        <v>-9.1214752855495809E-3</v>
      </c>
    </row>
    <row r="120" spans="2:6">
      <c r="B120" s="205" t="str">
        <f>DCF!B92&amp;" ("&amp;DCF!D92&amp;"yrs)"</f>
        <v>Base (10yrs)</v>
      </c>
      <c r="C120" s="198">
        <f>DCF!C92</f>
        <v>0.04</v>
      </c>
      <c r="D120" s="207" t="str">
        <f>ROUND(DCF!E92,2)&amp;" "&amp;Market_currency</f>
        <v>27.79 HKD</v>
      </c>
      <c r="E120" s="199">
        <f>DCF!F92</f>
        <v>0.495</v>
      </c>
      <c r="F120" s="208">
        <f>RATE(Holding_Period,Scenarios!C$58,-DCF!E92,C$18)</f>
        <v>2.0517818268232981E-2</v>
      </c>
    </row>
    <row r="121" spans="2:6">
      <c r="B121" s="205" t="str">
        <f>DCF!B93&amp;" ("&amp;DCF!D93&amp;"yrs)"</f>
        <v>Pessimistic (10yrs)</v>
      </c>
      <c r="C121" s="198">
        <f>DCF!C93</f>
        <v>0.02</v>
      </c>
      <c r="D121" s="207" t="str">
        <f>ROUND(DCF!E93,2)&amp;" "&amp;Market_currency</f>
        <v>25.52 HKD</v>
      </c>
      <c r="E121" s="199">
        <f>DCF!F93</f>
        <v>0.18</v>
      </c>
      <c r="F121" s="208">
        <f>RATE(Holding_Period,Scenarios!C$58,-DCF!E93,C$18)</f>
        <v>5.0413888602511621E-2</v>
      </c>
    </row>
    <row r="122" spans="2:6">
      <c r="B122" s="205" t="str">
        <f>DCF!B94&amp;" ("&amp;DCF!D94&amp;"yrs)"</f>
        <v>Devil's advocate (10yrs)</v>
      </c>
      <c r="C122" s="198">
        <f>DCF!C94</f>
        <v>-0.05</v>
      </c>
      <c r="D122" s="207" t="str">
        <f>ROUND(DCF!E94,2)&amp;" "&amp;Market_currency</f>
        <v>19.29 HKD</v>
      </c>
      <c r="E122" s="199">
        <f>DCF!F94</f>
        <v>0.05</v>
      </c>
      <c r="F122" s="208">
        <f>RATE(Holding_Period,Scenarios!C$58,-DCF!E94,C$18)</f>
        <v>0.15549607360729931</v>
      </c>
    </row>
    <row r="124" spans="2:6">
      <c r="B124" s="461" t="s">
        <v>357</v>
      </c>
      <c r="C124" s="461"/>
      <c r="D124" s="461"/>
      <c r="E124" s="461"/>
      <c r="F124" s="461"/>
    </row>
    <row r="125" spans="2:6">
      <c r="B125" s="193" t="s">
        <v>218</v>
      </c>
      <c r="C125" s="197">
        <f>Scenarios!C36</f>
        <v>27.945582678027421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0.51898300097975758</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0.9496618623171692</v>
      </c>
      <c r="D140" s="333">
        <f>Scenarios!D62</f>
        <v>12.87814869955181</v>
      </c>
      <c r="E140" s="334">
        <f>Scenarios!E62</f>
        <v>13.827810561868979</v>
      </c>
      <c r="F140" s="335">
        <f>E22</f>
        <v>0.29465259038036606</v>
      </c>
    </row>
    <row r="141" spans="1:6">
      <c r="B141" s="336" t="s">
        <v>313</v>
      </c>
      <c r="C141" s="333">
        <f>Scenarios!C63</f>
        <v>1.0919422826269618</v>
      </c>
      <c r="D141" s="333">
        <f>Scenarios!D63</f>
        <v>16.141852810412956</v>
      </c>
      <c r="E141" s="334">
        <f>Scenarios!E63</f>
        <v>17.23379509303992</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1.252100010472784</v>
      </c>
      <c r="D144" s="333">
        <f>Scenarios!D66</f>
        <v>20.030286823330595</v>
      </c>
      <c r="E144" s="334">
        <f>Scenarios!E66</f>
        <v>21.282386833803379</v>
      </c>
      <c r="F144" s="335">
        <f>E24</f>
        <v>0.1174</v>
      </c>
    </row>
    <row r="145" spans="1:6">
      <c r="B145" s="336" t="s">
        <v>314</v>
      </c>
      <c r="C145" s="333">
        <f>Scenarios!C67</f>
        <v>1.3557783350834278</v>
      </c>
      <c r="D145" s="333">
        <f>Scenarios!D67</f>
        <v>22.652767455495344</v>
      </c>
      <c r="E145" s="334">
        <f>Scenarios!E67</f>
        <v>24.008545790578772</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0.51898300097975758</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0.51898300097975758</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11.843885038310189</v>
      </c>
      <c r="D47" s="134">
        <f>D46*H1/Common_Shares*Exchange_Rate</f>
        <v>5.6206209837873056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14776218.171276599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-2207318.9143617004</v>
      </c>
      <c r="D73" s="285">
        <f>(Normalized_FCF!C26+Normalized_FCF!C35-Normalized_FCF!C89)/12</f>
        <v>-2207318.9143617004</v>
      </c>
      <c r="F73" s="1" t="s">
        <v>278</v>
      </c>
    </row>
    <row r="74" spans="2:6" ht="15" customHeight="1">
      <c r="B74" s="227" t="s">
        <v>259</v>
      </c>
      <c r="C74" s="228">
        <f>-$C$66/C73</f>
        <v>8.6941927037079285</v>
      </c>
      <c r="D74" s="228">
        <f>-$C$66/D73</f>
        <v>8.6941927037079285</v>
      </c>
      <c r="F74" s="223" t="s">
        <v>257</v>
      </c>
    </row>
    <row r="75" spans="2:6" ht="15" customHeight="1">
      <c r="B75" s="77" t="s">
        <v>258</v>
      </c>
      <c r="C75" s="261"/>
      <c r="D75" s="262">
        <f>MAX(-D73*D76,G5)</f>
        <v>4414637.8287234008</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-2002710.3786402044</v>
      </c>
      <c r="D86" s="201">
        <f>C86*scaling_factor/Common_Shares</f>
        <v>-0.77479954037885423</v>
      </c>
      <c r="E86" s="214" t="str">
        <f>Market_currency</f>
        <v>HKD</v>
      </c>
    </row>
    <row r="87" spans="2:8" ht="15" customHeight="1">
      <c r="B87" s="212" t="s">
        <v>240</v>
      </c>
      <c r="C87" s="73">
        <f>DCF!F5*Exchange_Rate</f>
        <v>16650126.054705968</v>
      </c>
      <c r="D87" s="201">
        <f>C87*scaling_factor/Common_Shares</f>
        <v>6.4415255206273656</v>
      </c>
      <c r="E87" s="214" t="str">
        <f>Market_currency</f>
        <v>HKD</v>
      </c>
    </row>
    <row r="88" spans="2:8" ht="15" customHeight="1">
      <c r="B88" s="213" t="s">
        <v>159</v>
      </c>
      <c r="C88" s="73">
        <f>DCF!F6*Exchange_Rate</f>
        <v>1880355.6193511295</v>
      </c>
      <c r="D88" s="201">
        <f>C88*scaling_factor/Common_Shares</f>
        <v>0.72746348406665406</v>
      </c>
      <c r="E88" s="214" t="str">
        <f>Market_currency</f>
        <v>HKD</v>
      </c>
    </row>
    <row r="89" spans="2:8" ht="15" customHeight="1">
      <c r="B89" s="77" t="s">
        <v>244</v>
      </c>
      <c r="C89" s="162">
        <f>SUM(C86:C88)</f>
        <v>16527771.295416893</v>
      </c>
      <c r="D89" s="216">
        <f>SUM(D86:D88)</f>
        <v>6.3941894643151649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-80150.953027659591</v>
      </c>
      <c r="E10" s="237"/>
      <c r="G10" s="266">
        <f>G48</f>
        <v>-155613.66626864282</v>
      </c>
      <c r="H10" s="266">
        <f t="shared" ref="H10:Q10" si="6">H48</f>
        <v>-66298.793799585037</v>
      </c>
      <c r="I10" s="266">
        <f t="shared" si="6"/>
        <v>-17561.672688323786</v>
      </c>
      <c r="J10" s="266">
        <f t="shared" si="6"/>
        <v>-79080.087882151827</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3449138.0469723404</v>
      </c>
      <c r="E11" s="237"/>
      <c r="G11" s="267">
        <f t="shared" ref="G11:Q11" si="7">IF(G$4="","",SUM(G8:G10))</f>
        <v>3629974.333731357</v>
      </c>
      <c r="H11" s="267">
        <f t="shared" si="7"/>
        <v>3327455.2062004148</v>
      </c>
      <c r="I11" s="267">
        <f t="shared" si="7"/>
        <v>4240865.327311676</v>
      </c>
      <c r="J11" s="267">
        <f t="shared" si="7"/>
        <v>4800487.9121178482</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-862284.51174308511</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2586853.5352292554</v>
      </c>
      <c r="D14" s="58"/>
      <c r="E14" s="243"/>
      <c r="F14" s="58"/>
      <c r="G14" s="267">
        <f t="shared" ref="G14:Q14" si="8">IF(G$4="","",SUM(G11:G13))</f>
        <v>2533283.333731357</v>
      </c>
      <c r="H14" s="267">
        <f t="shared" si="8"/>
        <v>2258196.2062004148</v>
      </c>
      <c r="I14" s="267">
        <f t="shared" si="8"/>
        <v>2889536.327311676</v>
      </c>
      <c r="J14" s="267">
        <f t="shared" si="8"/>
        <v>3483131.9121178482</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2586853.5352292554</v>
      </c>
      <c r="D19" s="26"/>
      <c r="E19" s="234"/>
      <c r="F19" s="26"/>
      <c r="G19" s="271">
        <f t="shared" ref="G19:Q19" si="9">IF(G$4="","",G14+G17)</f>
        <v>2533283.333731357</v>
      </c>
      <c r="H19" s="271">
        <f t="shared" si="9"/>
        <v>2258196.2062004148</v>
      </c>
      <c r="I19" s="271">
        <f t="shared" si="9"/>
        <v>2889536.327311676</v>
      </c>
      <c r="J19" s="271">
        <f t="shared" si="9"/>
        <v>3483131.9121178482</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0.30212086895740642</v>
      </c>
      <c r="H41" s="6">
        <f t="shared" si="16"/>
        <v>0.32132874336148193</v>
      </c>
      <c r="I41" s="6">
        <f t="shared" si="16"/>
        <v>0.31864463870080495</v>
      </c>
      <c r="J41" s="6">
        <f t="shared" si="16"/>
        <v>0.27441981400986809</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26487.826972340405</v>
      </c>
      <c r="E46" s="237"/>
      <c r="G46" s="274">
        <f t="shared" ref="G46:Q46" si="17">IFERROR(IF(G$4="","",($C$46/$C$47)*G47),0)</f>
        <v>98807.333731357197</v>
      </c>
      <c r="H46" s="274">
        <f t="shared" si="17"/>
        <v>115147.20620041496</v>
      </c>
      <c r="I46" s="274">
        <f t="shared" si="17"/>
        <v>102999.32731167621</v>
      </c>
      <c r="J46" s="274">
        <f t="shared" si="17"/>
        <v>33377.912117848173</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-80150.953027659591</v>
      </c>
      <c r="E48" s="237"/>
      <c r="G48" s="267">
        <f>IF(G$4="","",(G45+G46))</f>
        <v>-155613.66626864282</v>
      </c>
      <c r="H48" s="267">
        <f t="shared" ref="H48:Q48" si="18">IF(H$4="","",(H45+H46))</f>
        <v>-66298.793799585037</v>
      </c>
      <c r="I48" s="267">
        <f t="shared" si="18"/>
        <v>-17561.672688323786</v>
      </c>
      <c r="J48" s="267">
        <f t="shared" si="18"/>
        <v>-79080.087882151827</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2.7950882575731462E-3</v>
      </c>
      <c r="D76" s="26"/>
      <c r="E76" s="234"/>
      <c r="F76" s="26"/>
      <c r="G76" s="6">
        <f t="shared" ref="G76:Q76" si="28">IF(G$4="","",ABS(G10/G$4))</f>
        <v>5.4266844606986782E-3</v>
      </c>
      <c r="H76" s="6">
        <f t="shared" si="28"/>
        <v>2.4022615511690489E-3</v>
      </c>
      <c r="I76" s="6">
        <f t="shared" si="28"/>
        <v>6.8059574546189489E-4</v>
      </c>
      <c r="J76" s="6">
        <f t="shared" si="28"/>
        <v>3.5034158879269591E-3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0.12028110570955081</v>
      </c>
      <c r="D77" s="26"/>
      <c r="E77" s="234"/>
      <c r="F77" s="26"/>
      <c r="G77" s="62">
        <f t="shared" ref="G77:Q77" si="29">IF(G$4="","",G11/G$4)</f>
        <v>0.12658737360244571</v>
      </c>
      <c r="H77" s="62">
        <f t="shared" si="29"/>
        <v>0.12056656308493152</v>
      </c>
      <c r="I77" s="62">
        <f t="shared" si="29"/>
        <v>0.16435307445196917</v>
      </c>
      <c r="J77" s="62">
        <f t="shared" si="29"/>
        <v>0.21267181248177125</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3.0070276427387702E-2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9.0210829282163105E-2</v>
      </c>
      <c r="D80" s="26"/>
      <c r="E80" s="234"/>
      <c r="F80" s="26"/>
      <c r="G80" s="62">
        <f t="shared" ref="G80:Q80" si="32">IF(G$4="","",ABS(G14/G$4))</f>
        <v>8.8342686290638961E-2</v>
      </c>
      <c r="H80" s="62">
        <f t="shared" si="32"/>
        <v>8.1823176716452173E-2</v>
      </c>
      <c r="I80" s="62">
        <f t="shared" si="32"/>
        <v>0.11198284842385496</v>
      </c>
      <c r="J80" s="62">
        <f t="shared" si="32"/>
        <v>0.1543101431405115</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9.0210829282163105E-2</v>
      </c>
      <c r="D85" s="72"/>
      <c r="E85" s="234"/>
      <c r="F85" s="72"/>
      <c r="G85" s="62">
        <f t="shared" ref="G85:Q85" si="35">IF(G$4="","",ABS(G19/G$4))</f>
        <v>8.8342686290638961E-2</v>
      </c>
      <c r="H85" s="62">
        <f t="shared" si="35"/>
        <v>8.1823176716452173E-2</v>
      </c>
      <c r="I85" s="62">
        <f t="shared" si="35"/>
        <v>0.11198284842385496</v>
      </c>
      <c r="J85" s="62">
        <f t="shared" si="35"/>
        <v>0.1543101431405115</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0.51898300097975758</v>
      </c>
      <c r="E88" s="237"/>
      <c r="G88" s="109">
        <f>Data!C65</f>
        <v>0.51898300097975758</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1341472.9723404031</v>
      </c>
      <c r="E89" s="237"/>
      <c r="G89" s="71">
        <f t="shared" ref="G89:Q89" si="36">IF(G$4="","",G88*Common_Shares/scaling_factor)</f>
        <v>1341472.9723404031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0.518573221897357</v>
      </c>
      <c r="E90" s="237"/>
      <c r="G90" s="152">
        <f t="shared" ref="G90:Q90" si="37">IF(G$4="","",G88/(G19*scaling_factor/Common_Shares))</f>
        <v>0.52953925622070197</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2.5047442132227683E-2</v>
      </c>
      <c r="E92" s="237"/>
      <c r="G92" s="22">
        <f t="shared" ref="G92:Q92" si="38">IF(G$4="","",(G88*(1-dividend_tax_rate))/Market_Price)</f>
        <v>2.5047442132227683E-2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-4.9817511126347136E-2</v>
      </c>
      <c r="D96" s="26"/>
      <c r="E96" s="234"/>
      <c r="F96" s="26"/>
      <c r="G96" s="6">
        <f t="shared" ref="G96:Q96" si="40">IF(H5="","",G11/H11-1)</f>
        <v>9.0916063112502554E-2</v>
      </c>
      <c r="H96" s="6">
        <f t="shared" si="40"/>
        <v>-0.21538295857423051</v>
      </c>
      <c r="I96" s="6">
        <f t="shared" si="40"/>
        <v>-0.11657618872313369</v>
      </c>
      <c r="J96" s="6">
        <f t="shared" si="40"/>
        <v>1.4642466009008208</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2.0794890685364766</v>
      </c>
      <c r="H113" s="251">
        <f>IF(H$4="","",Data!D$22/H19)</f>
        <v>2.0759648728167006</v>
      </c>
      <c r="I113" s="251">
        <f>IF(I$4="","",Data!E$22/I19)</f>
        <v>1.35440553662846</v>
      </c>
      <c r="J113" s="251">
        <f>IF(J$4="","",Data!F$22/J19)</f>
        <v>1.8734102424597527</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0.12028110570955081</v>
      </c>
      <c r="E116" s="22">
        <f>E119/E117/E118</f>
        <v>0.13430424833028851</v>
      </c>
      <c r="G116" s="22">
        <f t="shared" ref="G116:Q116" si="44">IF(G4="","",G77)</f>
        <v>0.12658737360244571</v>
      </c>
      <c r="H116" s="22">
        <f t="shared" si="44"/>
        <v>0.12056656308493152</v>
      </c>
      <c r="I116" s="22">
        <f t="shared" si="44"/>
        <v>0.16435307445196917</v>
      </c>
      <c r="J116" s="22">
        <f t="shared" si="44"/>
        <v>0.21267181248177125</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0.12695266743130929</v>
      </c>
      <c r="D119" s="100"/>
      <c r="E119" s="453">
        <v>0.2</v>
      </c>
      <c r="F119" s="100"/>
      <c r="G119" s="99">
        <f t="shared" ref="G119:Q119" si="47">IF(G$4="","",G11/G104)</f>
        <v>0.13360872139603319</v>
      </c>
      <c r="H119" s="99">
        <f t="shared" si="47"/>
        <v>0.13633400869052054</v>
      </c>
      <c r="I119" s="99">
        <f t="shared" si="47"/>
        <v>0.17429220271043364</v>
      </c>
      <c r="J119" s="99">
        <f t="shared" si="47"/>
        <v>0.22746700024397376</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1.1277095987724399</v>
      </c>
      <c r="D123" s="26"/>
      <c r="E123" s="234"/>
      <c r="F123" s="26"/>
      <c r="G123" s="159">
        <f t="shared" ref="G123:Q123" si="48">IF(G$4="","",G14*$C$3/Common_Shares*Exchange_Rate)</f>
        <v>1.104356274119678</v>
      </c>
      <c r="H123" s="159">
        <f t="shared" si="48"/>
        <v>0.98443514600374482</v>
      </c>
      <c r="I123" s="159">
        <f t="shared" si="48"/>
        <v>1.2596607453549764</v>
      </c>
      <c r="J123" s="159">
        <f t="shared" si="48"/>
        <v>1.5184320401571525</v>
      </c>
      <c r="K123" s="159">
        <f t="shared" si="48"/>
        <v>0.60973614233387907</v>
      </c>
      <c r="L123" s="159">
        <f t="shared" si="48"/>
        <v>0.60080637375337553</v>
      </c>
      <c r="M123" s="159">
        <f t="shared" si="48"/>
        <v>0.25852473449013874</v>
      </c>
      <c r="N123" s="159">
        <f t="shared" si="48"/>
        <v>0.1976890512652878</v>
      </c>
      <c r="O123" s="159">
        <f t="shared" si="48"/>
        <v>0.10088668052989877</v>
      </c>
      <c r="P123" s="159">
        <f t="shared" si="48"/>
        <v>5.2456505237843606E-3</v>
      </c>
      <c r="Q123" s="159" t="str">
        <f t="shared" si="48"/>
        <v/>
      </c>
    </row>
    <row r="124" spans="1:17" ht="15.75" customHeight="1">
      <c r="A124" s="10"/>
      <c r="B124" s="26" t="s">
        <v>226</v>
      </c>
      <c r="C124" s="74">
        <f>C19*Exchange_Rate*$C$3/(Market_Price*Common_Shares)</f>
        <v>5.4426138936893818E-2</v>
      </c>
      <c r="D124" s="26"/>
      <c r="E124" s="234"/>
      <c r="F124" s="26"/>
      <c r="G124" s="74">
        <f t="shared" ref="G124" si="49">IF(G$4="","",G123/Market_Price)</f>
        <v>5.3299047978748938E-2</v>
      </c>
      <c r="H124" s="74">
        <f t="shared" ref="H124" si="50">IF(H$4="","",H123/Market_Price)</f>
        <v>4.7511348745354481E-2</v>
      </c>
      <c r="I124" s="74">
        <f t="shared" ref="I124" si="51">IF(I$4="","",I123/Market_Price)</f>
        <v>6.0794437517132066E-2</v>
      </c>
      <c r="J124" s="74">
        <f t="shared" ref="J124" si="52">IF(J$4="","",J123/Market_Price)</f>
        <v>7.3283399621484197E-2</v>
      </c>
      <c r="K124" s="74">
        <f t="shared" ref="K124" si="53">IF(K$4="","",K123/Market_Price)</f>
        <v>2.9427419996808837E-2</v>
      </c>
      <c r="L124" s="74">
        <f t="shared" ref="L124" si="54">IF(L$4="","",L123/Market_Price)</f>
        <v>2.8996446609718899E-2</v>
      </c>
      <c r="M124" s="74">
        <f t="shared" ref="M124" si="55">IF(M$4="","",M123/Market_Price)</f>
        <v>1.2477062475392797E-2</v>
      </c>
      <c r="N124" s="74">
        <f t="shared" ref="N124" si="56">IF(N$4="","",N123/Market_Price)</f>
        <v>9.5409773776683297E-3</v>
      </c>
      <c r="O124" s="74">
        <f t="shared" ref="O124" si="57">IF(O$4="","",O123/Market_Price)</f>
        <v>4.8690482881225275E-3</v>
      </c>
      <c r="P124" s="74">
        <f t="shared" ref="P124" si="58">IF(P$4="","",P123/Market_Price)</f>
        <v>2.5316846157260432E-4</v>
      </c>
      <c r="Q124" s="74" t="str">
        <f t="shared" ref="Q124" si="59">IF(Q$4="","",Q123/Market_Price)</f>
        <v/>
      </c>
    </row>
    <row r="125" spans="1:17" ht="15.75" customHeight="1">
      <c r="B125" s="2" t="s">
        <v>306</v>
      </c>
      <c r="C125" s="151"/>
      <c r="G125" s="22">
        <f>IF(G$4="","",(Data!C47*$C$3)/(Market_Price*Common_Shares))</f>
        <v>5.6255989356599166E-2</v>
      </c>
      <c r="H125" s="22">
        <f>IF(H$4="","",(Data!D47*$C$3)/(Market_Price*Common_Shares))</f>
        <v>5.9505668707839375E-2</v>
      </c>
      <c r="I125" s="22">
        <f>IF(I$4="","",(Data!E47*$C$3)/(Market_Price*Common_Shares))</f>
        <v>7.5877092613757274E-2</v>
      </c>
      <c r="J125" s="22">
        <f>IF(J$4="","",(Data!F47*$C$3)/(Market_Price*Common_Shares))</f>
        <v>7.4889682573011054E-2</v>
      </c>
      <c r="K125" s="22">
        <f>IF(K$4="","",(Data!G47*$C$3)/(Market_Price*Common_Shares))</f>
        <v>3.1713408007238819E-2</v>
      </c>
      <c r="L125" s="22">
        <f>IF(L$4="","",(Data!H47*$C$3)/(Market_Price*Common_Shares))</f>
        <v>2.7991393277885471E-2</v>
      </c>
      <c r="M125" s="22">
        <f>IF(M$4="","",(Data!I47*$C$3)/(Market_Price*Common_Shares))</f>
        <v>1.3355102168452374E-2</v>
      </c>
      <c r="N125" s="22">
        <f>IF(N$4="","",(Data!J47*$C$3)/(Market_Price*Common_Shares))</f>
        <v>9.6187663245394812E-3</v>
      </c>
      <c r="O125" s="22">
        <f>IF(O$4="","",(Data!K47*$C$3)/(Market_Price*Common_Shares))</f>
        <v>1.3086343207604821E-2</v>
      </c>
      <c r="P125" s="22">
        <f>IF(P$4="","",(Data!L47*$C$3)/(Market_Price*Common_Shares))</f>
        <v>1.1502637059200721E-3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2586853.5352292554</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14776218.171276599</v>
      </c>
      <c r="G5" t="str">
        <f>Reporting_currency</f>
        <v>CNY</v>
      </c>
      <c r="H5" s="308" t="s">
        <v>395</v>
      </c>
      <c r="I5" s="305">
        <f>Normalized_FCF!C7</f>
        <v>-1427907</v>
      </c>
      <c r="J5" s="305"/>
    </row>
    <row r="6" spans="2:15" ht="13.25" customHeight="1">
      <c r="B6" s="136" t="s">
        <v>194</v>
      </c>
      <c r="C6" s="283">
        <f>(C4*(1+Terminal_Growth))/(Equity_Cost-Terminal_Growth)</f>
        <v>50258868.684454113</v>
      </c>
      <c r="D6" t="str">
        <f>Reporting_currency</f>
        <v>CNY</v>
      </c>
      <c r="E6" s="187" t="s">
        <v>433</v>
      </c>
      <c r="F6" s="284">
        <f>BS!H42</f>
        <v>1668728.8</v>
      </c>
      <c r="G6" t="str">
        <f>Reporting_currency</f>
        <v>CNY</v>
      </c>
      <c r="H6" s="308" t="s">
        <v>416</v>
      </c>
      <c r="I6" s="305">
        <f>I7+I8</f>
        <v>-80150.953027659591</v>
      </c>
      <c r="J6" s="305"/>
      <c r="N6" s="135"/>
    </row>
    <row r="7" spans="2:15" ht="12.75" customHeight="1">
      <c r="B7" s="318" t="s">
        <v>430</v>
      </c>
      <c r="C7" s="275">
        <f>F7</f>
        <v>14667633.9712766</v>
      </c>
      <c r="E7" s="140" t="s">
        <v>424</v>
      </c>
      <c r="F7" s="283">
        <f>SUM(F4:F6)</f>
        <v>14667633.9712766</v>
      </c>
      <c r="G7" t="str">
        <f>Reporting_currency</f>
        <v>CNY</v>
      </c>
      <c r="H7" s="312" t="s">
        <v>417</v>
      </c>
      <c r="I7" s="313">
        <f>Normalized_FCF!C9</f>
        <v>0</v>
      </c>
      <c r="J7" s="313"/>
      <c r="N7" s="304"/>
      <c r="O7" s="304"/>
    </row>
    <row r="8" spans="2:15" ht="13.15">
      <c r="B8" s="136" t="s">
        <v>426</v>
      </c>
      <c r="C8" s="283">
        <f>C6+C7</f>
        <v>64926502.655730709</v>
      </c>
      <c r="D8" t="str">
        <f>Reporting_currency</f>
        <v>CNY</v>
      </c>
      <c r="E8" s="140" t="s">
        <v>464</v>
      </c>
      <c r="F8" s="108">
        <f>FV_adjustments*scaling_factor/Common_Shares*Exchange_Rate</f>
        <v>6.3941894643151649</v>
      </c>
      <c r="G8" s="294" t="str">
        <f>Market_currency</f>
        <v>HKD</v>
      </c>
      <c r="H8" s="314" t="str">
        <f>Normalized_FCF!B10</f>
        <v>Net Interest Income</v>
      </c>
      <c r="I8" s="313">
        <f>Normalized_FCF!C10</f>
        <v>-80150.953027659591</v>
      </c>
      <c r="J8" s="313"/>
      <c r="N8" s="304"/>
      <c r="O8" s="304"/>
    </row>
    <row r="9" spans="2:15" ht="13.15" thickBot="1">
      <c r="B9" s="189" t="str">
        <f>"*"&amp;Thesis!E15</f>
        <v>*CNY/HKD</v>
      </c>
      <c r="C9" s="190">
        <f>Exchange_Rate</f>
        <v>1.1268191807746888</v>
      </c>
      <c r="D9" t="str">
        <f>Thesis!E15</f>
        <v>CNY/HKD</v>
      </c>
      <c r="F9" s="322"/>
      <c r="H9" s="308" t="str">
        <f>Normalized_FCF!B79</f>
        <v>NCI’s Share of Profits</v>
      </c>
      <c r="I9" s="144">
        <f>Normalized_FCF!C79</f>
        <v>0</v>
      </c>
      <c r="J9" s="306"/>
      <c r="N9" s="304"/>
      <c r="O9" s="304"/>
    </row>
    <row r="10" spans="2:15" ht="13.5" thickTop="1">
      <c r="B10" s="107" t="s">
        <v>427</v>
      </c>
      <c r="C10" s="283">
        <f>C8*Exchange_Rate</f>
        <v>73160428.533096135</v>
      </c>
      <c r="D10" t="str">
        <f>Market_currency</f>
        <v>HKD</v>
      </c>
      <c r="H10" s="308" t="s">
        <v>397</v>
      </c>
      <c r="I10" s="306">
        <f>Normalized_FCF!C41</f>
        <v>0.25</v>
      </c>
      <c r="N10" s="304"/>
      <c r="O10" s="304"/>
    </row>
    <row r="11" spans="2:15" ht="13.15">
      <c r="B11" s="136" t="s">
        <v>425</v>
      </c>
      <c r="C11" s="108">
        <f>(C10*scaling_factor)/Common_Shares</f>
        <v>28.303975954751142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0.12028110570955081</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27.947964577608197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0.12028110570955081</v>
      </c>
      <c r="F21" s="277">
        <f>C21*E21</f>
        <v>3591681.7047243407</v>
      </c>
      <c r="G21" s="299">
        <f t="shared" ref="G21:G50" si="2">IF(A21="",0%,IF(A21="I",$C$18,$F$18))</f>
        <v>0</v>
      </c>
      <c r="H21" s="277">
        <f>(F21*(1-$I$10)+C21*(G21-$I$9))</f>
        <v>2693761.2785432553</v>
      </c>
      <c r="I21" s="299">
        <f>H21/C4-1</f>
        <v>4.132732752669166E-2</v>
      </c>
      <c r="J21" s="299">
        <f>H21/C21</f>
        <v>9.0210829282163091E-2</v>
      </c>
      <c r="K21" s="119">
        <f t="shared" ref="K21:K50" si="3">IF($C$15&lt;B21,0,1/(1+Equity_Cost)^B21)</f>
        <v>0.93240093240093236</v>
      </c>
      <c r="L21" s="277">
        <f t="shared" ref="L21:L51" si="4">H21*K21</f>
        <v>2511665.5277792588</v>
      </c>
    </row>
    <row r="22" spans="1:21">
      <c r="A22" s="302" t="str">
        <f t="shared" si="0"/>
        <v>I</v>
      </c>
      <c r="B22" s="117">
        <v>2</v>
      </c>
      <c r="C22" s="277">
        <f t="shared" ref="C22:C50" si="5">IF(A22="",0,C21*(1+D22))</f>
        <v>31094794.887723837</v>
      </c>
      <c r="D22" s="299">
        <f t="shared" si="1"/>
        <v>4.1327327526691798E-2</v>
      </c>
      <c r="E22" s="299">
        <f t="shared" ref="E22:E50" si="6">IF($C$15&lt;B22,0,IF(B22&gt;=$F$15,$F$17,$C$17))</f>
        <v>0.12028110570955081</v>
      </c>
      <c r="F22" s="277">
        <f t="shared" ref="F22:F50" si="7">IF(A22="", 0,C22*E22)</f>
        <v>3740116.310907111</v>
      </c>
      <c r="G22" s="299">
        <f t="shared" si="2"/>
        <v>0</v>
      </c>
      <c r="H22" s="277">
        <f t="shared" ref="H22:H50" si="8">IF(A22="", 0,F22*(1-$I$10)+C22*(G22-$I$9))</f>
        <v>2805087.2331803334</v>
      </c>
      <c r="I22" s="299">
        <f t="shared" ref="I22:I50" si="9">IF(A22="", 0,H22/H21-1)</f>
        <v>4.1327327526692104E-2</v>
      </c>
      <c r="J22" s="299">
        <f>IF(A22="", 0,H22/C22)</f>
        <v>9.0210829282163119E-2</v>
      </c>
      <c r="K22" s="119">
        <f t="shared" si="3"/>
        <v>0.86937149874212816</v>
      </c>
      <c r="L22" s="277">
        <f t="shared" si="4"/>
        <v>2438662.8920123959</v>
      </c>
    </row>
    <row r="23" spans="1:21">
      <c r="A23" s="302" t="str">
        <f t="shared" si="0"/>
        <v>I</v>
      </c>
      <c r="B23" s="117">
        <v>3</v>
      </c>
      <c r="C23" s="277">
        <f t="shared" si="5"/>
        <v>32379859.660424106</v>
      </c>
      <c r="D23" s="299">
        <f t="shared" si="1"/>
        <v>4.1327327526691798E-2</v>
      </c>
      <c r="E23" s="299">
        <f t="shared" si="6"/>
        <v>0.12028110570955081</v>
      </c>
      <c r="F23" s="277">
        <f t="shared" si="7"/>
        <v>3894685.3226758917</v>
      </c>
      <c r="G23" s="299">
        <f t="shared" si="2"/>
        <v>0</v>
      </c>
      <c r="H23" s="277">
        <f t="shared" si="8"/>
        <v>2921013.9920069189</v>
      </c>
      <c r="I23" s="299">
        <f t="shared" si="9"/>
        <v>4.1327327526691882E-2</v>
      </c>
      <c r="J23" s="299">
        <f t="shared" ref="J23:J50" si="10">IF(A23="", 0,H23/C23)</f>
        <v>9.0210829282163105E-2</v>
      </c>
      <c r="K23" s="119">
        <f t="shared" si="3"/>
        <v>0.81060279602995633</v>
      </c>
      <c r="L23" s="277">
        <f t="shared" si="4"/>
        <v>2367782.1091634328</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0.12028110570955081</v>
      </c>
      <c r="F24" s="277">
        <f t="shared" si="7"/>
        <v>4055642.2586195176</v>
      </c>
      <c r="G24" s="299">
        <f t="shared" si="2"/>
        <v>0</v>
      </c>
      <c r="H24" s="277">
        <f t="shared" si="8"/>
        <v>3041731.6939646383</v>
      </c>
      <c r="I24" s="299">
        <f t="shared" si="9"/>
        <v>4.1327327526691882E-2</v>
      </c>
      <c r="J24" s="299">
        <f t="shared" si="10"/>
        <v>9.0210829282163105E-2</v>
      </c>
      <c r="K24" s="119">
        <f t="shared" si="3"/>
        <v>0.75580680282513402</v>
      </c>
      <c r="L24" s="277">
        <f t="shared" si="4"/>
        <v>2298961.5066672922</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0.13965917881389944</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420</v>
      </c>
      <c r="K52" s="468"/>
      <c r="L52" s="317">
        <f>SUM(L21:L51)</f>
        <v>49442214.032807484</v>
      </c>
    </row>
    <row r="53" spans="1:21">
      <c r="C53" s="111"/>
    </row>
    <row r="54" spans="1:21" ht="13.15">
      <c r="B54" s="115" t="s">
        <v>108</v>
      </c>
      <c r="C54" s="128"/>
      <c r="D54" s="128"/>
      <c r="E54" s="113"/>
      <c r="F54" s="113"/>
      <c r="G54" s="113"/>
      <c r="H54" s="113"/>
      <c r="I54" s="113"/>
      <c r="J54" s="113"/>
      <c r="K54" s="113"/>
      <c r="L54" s="113"/>
    </row>
    <row r="55" spans="1:21" ht="13.15">
      <c r="A55" s="125">
        <f>L52</f>
        <v>49442214.032807484</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39294812.543682583</v>
      </c>
      <c r="C56" s="118">
        <v>40705395.558071189</v>
      </c>
      <c r="D56" s="118">
        <v>41108419.276467927</v>
      </c>
      <c r="E56" s="118">
        <v>41511442.99486468</v>
      </c>
      <c r="F56" s="118">
        <v>42317490.431658171</v>
      </c>
      <c r="G56" s="295"/>
      <c r="H56" s="295"/>
      <c r="I56" s="295"/>
      <c r="J56" s="295"/>
      <c r="K56" s="295"/>
      <c r="L56" s="295"/>
    </row>
    <row r="57" spans="1:21" ht="13.15">
      <c r="A57" s="131">
        <v>2</v>
      </c>
      <c r="B57" s="118">
        <v>38323491.454918012</v>
      </c>
      <c r="C57" s="118">
        <v>41036856.34953817</v>
      </c>
      <c r="D57" s="118">
        <v>41829131.536333121</v>
      </c>
      <c r="E57" s="118">
        <v>42628974.756037571</v>
      </c>
      <c r="F57" s="118">
        <v>44251365.29417491</v>
      </c>
      <c r="G57" s="295"/>
      <c r="H57" s="295"/>
      <c r="I57" s="295"/>
      <c r="J57" s="295"/>
      <c r="K57" s="295"/>
      <c r="L57" s="295"/>
    </row>
    <row r="58" spans="1:21" ht="13.15">
      <c r="A58" s="131">
        <v>3</v>
      </c>
      <c r="B58" s="118">
        <v>36480460.173485279</v>
      </c>
      <c r="C58" s="118">
        <v>41758397.295987964</v>
      </c>
      <c r="D58" s="118">
        <v>43348183.08047989</v>
      </c>
      <c r="E58" s="118">
        <v>44975102.295471407</v>
      </c>
      <c r="F58" s="118">
        <v>48342034.562779143</v>
      </c>
      <c r="G58" s="295"/>
      <c r="H58" s="295"/>
      <c r="I58" s="295"/>
      <c r="J58" s="295"/>
      <c r="K58" s="295"/>
      <c r="L58" s="295"/>
    </row>
    <row r="59" spans="1:21" ht="13.15">
      <c r="A59" s="131">
        <v>4</v>
      </c>
      <c r="B59" s="118">
        <v>35698298.669500254</v>
      </c>
      <c r="C59" s="118">
        <v>42055262.370504439</v>
      </c>
      <c r="D59" s="118">
        <v>44012845.03320998</v>
      </c>
      <c r="E59" s="118">
        <v>46035840.871635236</v>
      </c>
      <c r="F59" s="118">
        <v>50283884.881963953</v>
      </c>
      <c r="G59" s="295"/>
      <c r="H59" s="295"/>
      <c r="I59" s="295"/>
      <c r="J59" s="295"/>
      <c r="K59" s="295"/>
      <c r="L59" s="295"/>
    </row>
    <row r="60" spans="1:21" ht="13.15">
      <c r="A60" s="131">
        <v>5</v>
      </c>
      <c r="B60" s="118">
        <v>33912256.03216134</v>
      </c>
      <c r="C60" s="118">
        <v>42456837.504753724</v>
      </c>
      <c r="D60" s="118">
        <v>45187586.490607738</v>
      </c>
      <c r="E60" s="118">
        <v>48055996.336854428</v>
      </c>
      <c r="F60" s="118">
        <v>54226398.376608416</v>
      </c>
      <c r="G60" s="295"/>
      <c r="H60" s="295"/>
      <c r="I60" s="295"/>
      <c r="J60" s="295"/>
      <c r="K60" s="295"/>
      <c r="L60" s="295"/>
    </row>
    <row r="61" spans="1:21" ht="13.15">
      <c r="A61" s="131">
        <v>6</v>
      </c>
      <c r="B61" s="118">
        <v>33282416.295958087</v>
      </c>
      <c r="C61" s="118">
        <v>42722717.737759948</v>
      </c>
      <c r="D61" s="118">
        <v>45800557.208616085</v>
      </c>
      <c r="E61" s="118">
        <v>49062827.968897879</v>
      </c>
      <c r="F61" s="118">
        <v>56176257.04389099</v>
      </c>
      <c r="G61" s="295"/>
      <c r="H61" s="295"/>
      <c r="I61" s="295"/>
      <c r="J61" s="295"/>
      <c r="K61" s="295"/>
      <c r="L61" s="295"/>
    </row>
    <row r="62" spans="1:21" ht="13.15">
      <c r="A62" s="131">
        <v>7</v>
      </c>
      <c r="B62" s="118">
        <v>31772313.603382725</v>
      </c>
      <c r="C62" s="118">
        <v>43091620.23165407</v>
      </c>
      <c r="D62" s="118">
        <v>46921125.569789425</v>
      </c>
      <c r="E62" s="118">
        <v>51047703.864218891</v>
      </c>
      <c r="F62" s="118">
        <v>60269857.004225925</v>
      </c>
      <c r="G62" s="295"/>
      <c r="H62" s="295"/>
      <c r="I62" s="295"/>
      <c r="J62" s="295"/>
      <c r="K62" s="295"/>
      <c r="L62" s="295"/>
    </row>
    <row r="63" spans="1:21" ht="13.15">
      <c r="A63" s="131">
        <v>8</v>
      </c>
      <c r="B63" s="118">
        <v>31265131.785715349</v>
      </c>
      <c r="C63" s="118">
        <v>43329749.618947558</v>
      </c>
      <c r="D63" s="118">
        <v>47486425.117314823</v>
      </c>
      <c r="E63" s="118">
        <v>52003368.113698125</v>
      </c>
      <c r="F63" s="118">
        <v>62227757.046682894</v>
      </c>
      <c r="G63" s="295"/>
      <c r="H63" s="295"/>
      <c r="I63" s="295"/>
      <c r="J63" s="295"/>
      <c r="K63" s="295"/>
      <c r="L63" s="295"/>
    </row>
    <row r="64" spans="1:21" ht="13.15">
      <c r="A64" s="131">
        <v>9</v>
      </c>
      <c r="B64" s="118">
        <v>29985441.543027855</v>
      </c>
      <c r="C64" s="118">
        <v>43668937.265510812</v>
      </c>
      <c r="D64" s="118">
        <v>48555906.572163939</v>
      </c>
      <c r="E64" s="118">
        <v>53953971.979359463</v>
      </c>
      <c r="F64" s="118">
        <v>66476523.673756048</v>
      </c>
      <c r="G64" s="295"/>
      <c r="H64" s="295"/>
      <c r="I64" s="295"/>
      <c r="J64" s="295"/>
      <c r="K64" s="295"/>
      <c r="L64" s="295"/>
    </row>
    <row r="65" spans="1:21" ht="13.15">
      <c r="A65" s="131">
        <v>10</v>
      </c>
      <c r="B65" s="118">
        <v>29577030.670568429</v>
      </c>
      <c r="C65" s="118">
        <v>43882212.259486943</v>
      </c>
      <c r="D65" s="118">
        <v>49077242.370178461</v>
      </c>
      <c r="E65" s="118">
        <v>54861069.182770804</v>
      </c>
      <c r="F65" s="118">
        <v>68442498.254670322</v>
      </c>
      <c r="G65" s="295"/>
      <c r="H65" s="295"/>
      <c r="I65" s="295"/>
      <c r="J65" s="295"/>
      <c r="K65" s="295"/>
      <c r="L65" s="295"/>
    </row>
    <row r="66" spans="1:21" ht="13.15">
      <c r="A66" s="131">
        <v>15</v>
      </c>
      <c r="B66" s="118">
        <v>26182029.272165455</v>
      </c>
      <c r="C66" s="277">
        <v>45109028.083893254</v>
      </c>
      <c r="D66" s="118">
        <v>52931218.72234638</v>
      </c>
      <c r="E66" s="118">
        <v>62194945.918744646</v>
      </c>
      <c r="F66" s="118">
        <v>86118504.641516343</v>
      </c>
      <c r="G66" s="295"/>
      <c r="H66" s="295"/>
      <c r="I66" s="295"/>
      <c r="J66" s="295"/>
      <c r="K66" s="295"/>
      <c r="L66" s="295"/>
      <c r="M66" s="275"/>
      <c r="N66" s="275"/>
      <c r="O66" s="275"/>
      <c r="P66" s="275"/>
      <c r="Q66" s="275"/>
      <c r="R66" s="275"/>
      <c r="S66" s="275"/>
      <c r="T66" s="275"/>
      <c r="U66" s="275"/>
    </row>
    <row r="67" spans="1:21" ht="13.15">
      <c r="A67" s="132">
        <v>20</v>
      </c>
      <c r="B67" s="118">
        <v>24405961.474599306</v>
      </c>
      <c r="C67" s="277">
        <v>45992874.977007627</v>
      </c>
      <c r="D67" s="118">
        <v>55810767.030143425</v>
      </c>
      <c r="E67" s="118">
        <v>68021547.669307202</v>
      </c>
      <c r="F67" s="118">
        <v>102116336.29172683</v>
      </c>
      <c r="G67" s="295"/>
      <c r="H67" s="295"/>
      <c r="I67" s="295"/>
      <c r="J67" s="295"/>
      <c r="K67" s="295"/>
      <c r="L67" s="295"/>
      <c r="M67" s="275"/>
      <c r="N67" s="275"/>
      <c r="O67" s="275"/>
      <c r="P67" s="275"/>
      <c r="Q67" s="275"/>
      <c r="R67" s="275"/>
      <c r="S67" s="275"/>
      <c r="T67" s="275"/>
      <c r="U67" s="275"/>
    </row>
    <row r="68" spans="1:21" ht="13.15">
      <c r="A68" s="132">
        <v>25</v>
      </c>
      <c r="B68" s="118">
        <v>22914009.612235297</v>
      </c>
      <c r="C68" s="277">
        <v>46782511.506783798</v>
      </c>
      <c r="D68" s="118">
        <v>58777335.139184937</v>
      </c>
      <c r="E68" s="118">
        <v>74522130.732999608</v>
      </c>
      <c r="F68" s="118">
        <v>122535068.23740232</v>
      </c>
      <c r="G68" s="295"/>
      <c r="H68" s="295"/>
      <c r="I68" s="295"/>
      <c r="J68" s="295"/>
      <c r="K68" s="295"/>
      <c r="L68" s="295"/>
      <c r="M68" s="275"/>
      <c r="N68" s="275"/>
      <c r="O68" s="275"/>
      <c r="P68" s="275"/>
      <c r="Q68" s="275"/>
      <c r="R68" s="275"/>
      <c r="S68" s="275"/>
      <c r="T68" s="275"/>
      <c r="U68" s="275"/>
    </row>
    <row r="69" spans="1:21" ht="13.15">
      <c r="A69" s="132">
        <v>30</v>
      </c>
      <c r="B69" s="118">
        <v>22144586.035527997</v>
      </c>
      <c r="C69" s="277">
        <v>47340430.372852124</v>
      </c>
      <c r="D69" s="118">
        <v>60942429.70041883</v>
      </c>
      <c r="E69" s="118">
        <v>79561643.892331004</v>
      </c>
      <c r="F69" s="118">
        <v>140552234.3112734</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28.303975954751142</v>
      </c>
      <c r="C73" s="119">
        <f>C11</f>
        <v>28.303975954751142</v>
      </c>
      <c r="D73" s="119">
        <f>C11</f>
        <v>28.303975954751142</v>
      </c>
      <c r="E73" s="119">
        <f>C11</f>
        <v>28.303975954751142</v>
      </c>
      <c r="F73" s="119">
        <f>C11</f>
        <v>28.303975954751142</v>
      </c>
      <c r="G73" s="296"/>
      <c r="H73" s="296"/>
      <c r="I73" s="296"/>
      <c r="J73" s="296"/>
      <c r="K73" s="296"/>
      <c r="L73" s="296"/>
    </row>
    <row r="74" spans="1:21" ht="13.15">
      <c r="A74" s="131">
        <v>1</v>
      </c>
      <c r="B74" s="119">
        <f t="shared" ref="B74:F87" si="11">(B56+FV_adjustments)/Common_Shares*scaling_factor*Exchange_Rate</f>
        <v>23.524319440362436</v>
      </c>
      <c r="C74" s="119">
        <f t="shared" si="11"/>
        <v>24.139247183092337</v>
      </c>
      <c r="D74" s="119">
        <f t="shared" si="11"/>
        <v>24.314940823872313</v>
      </c>
      <c r="E74" s="119">
        <f t="shared" si="11"/>
        <v>24.490634464652285</v>
      </c>
      <c r="F74" s="119">
        <f t="shared" si="11"/>
        <v>24.842021746212229</v>
      </c>
      <c r="G74" s="296"/>
      <c r="H74" s="296"/>
      <c r="I74" s="296"/>
      <c r="J74" s="296"/>
      <c r="K74" s="296"/>
      <c r="L74" s="296"/>
    </row>
    <row r="75" spans="1:21" ht="13.15">
      <c r="A75" s="131">
        <v>2</v>
      </c>
      <c r="B75" s="119">
        <f t="shared" si="11"/>
        <v>23.100882975803248</v>
      </c>
      <c r="C75" s="119">
        <f t="shared" si="11"/>
        <v>24.283743773665989</v>
      </c>
      <c r="D75" s="119">
        <f t="shared" si="11"/>
        <v>24.62912719829761</v>
      </c>
      <c r="E75" s="119">
        <f t="shared" si="11"/>
        <v>24.977809821449611</v>
      </c>
      <c r="F75" s="119">
        <f t="shared" si="11"/>
        <v>25.685072663314724</v>
      </c>
      <c r="G75" s="296"/>
      <c r="H75" s="296"/>
      <c r="I75" s="296"/>
      <c r="J75" s="296"/>
      <c r="K75" s="296"/>
      <c r="L75" s="296"/>
    </row>
    <row r="76" spans="1:21" ht="13.15">
      <c r="A76" s="131">
        <v>3</v>
      </c>
      <c r="B76" s="119">
        <f t="shared" si="11"/>
        <v>22.29743429244926</v>
      </c>
      <c r="C76" s="119">
        <f t="shared" si="11"/>
        <v>24.598291404653793</v>
      </c>
      <c r="D76" s="119">
        <f t="shared" si="11"/>
        <v>25.291340572203445</v>
      </c>
      <c r="E76" s="119">
        <f t="shared" si="11"/>
        <v>26.0005776396243</v>
      </c>
      <c r="F76" s="119">
        <f t="shared" si="11"/>
        <v>27.468353756265973</v>
      </c>
      <c r="G76" s="296"/>
      <c r="H76" s="296"/>
      <c r="I76" s="296"/>
      <c r="J76" s="296"/>
      <c r="K76" s="296"/>
      <c r="L76" s="296"/>
    </row>
    <row r="77" spans="1:21" ht="13.15">
      <c r="A77" s="131">
        <v>4</v>
      </c>
      <c r="B77" s="119">
        <f t="shared" si="11"/>
        <v>21.956459813677299</v>
      </c>
      <c r="C77" s="119">
        <f t="shared" si="11"/>
        <v>24.727706382932741</v>
      </c>
      <c r="D77" s="119">
        <f t="shared" si="11"/>
        <v>25.581092447918405</v>
      </c>
      <c r="E77" s="119">
        <f t="shared" si="11"/>
        <v>26.462994648487598</v>
      </c>
      <c r="F77" s="119">
        <f t="shared" si="11"/>
        <v>28.314881483677478</v>
      </c>
      <c r="G77" s="296"/>
      <c r="H77" s="296"/>
      <c r="I77" s="296"/>
      <c r="J77" s="296"/>
      <c r="K77" s="296"/>
      <c r="L77" s="296"/>
    </row>
    <row r="78" spans="1:21" ht="13.15">
      <c r="A78" s="131">
        <v>5</v>
      </c>
      <c r="B78" s="119">
        <f t="shared" si="11"/>
        <v>21.177854686439026</v>
      </c>
      <c r="C78" s="119">
        <f t="shared" si="11"/>
        <v>24.90276852980497</v>
      </c>
      <c r="D78" s="119">
        <f t="shared" si="11"/>
        <v>26.093207726012796</v>
      </c>
      <c r="E78" s="119">
        <f t="shared" si="11"/>
        <v>27.343658620419191</v>
      </c>
      <c r="F78" s="119">
        <f t="shared" si="11"/>
        <v>30.033575739325165</v>
      </c>
      <c r="G78" s="296"/>
      <c r="H78" s="296"/>
      <c r="I78" s="296"/>
      <c r="J78" s="296"/>
      <c r="K78" s="296"/>
      <c r="L78" s="296"/>
    </row>
    <row r="79" spans="1:21" ht="13.15">
      <c r="A79" s="131">
        <v>6</v>
      </c>
      <c r="B79" s="119">
        <f t="shared" si="11"/>
        <v>20.903283162952384</v>
      </c>
      <c r="C79" s="119">
        <f t="shared" si="11"/>
        <v>25.018676016178524</v>
      </c>
      <c r="D79" s="119">
        <f t="shared" si="11"/>
        <v>26.360425391431644</v>
      </c>
      <c r="E79" s="119">
        <f t="shared" si="11"/>
        <v>27.782575505484544</v>
      </c>
      <c r="F79" s="119">
        <f t="shared" si="11"/>
        <v>30.88359461569318</v>
      </c>
      <c r="G79" s="296"/>
      <c r="H79" s="296"/>
      <c r="I79" s="296"/>
      <c r="J79" s="296"/>
      <c r="K79" s="296"/>
      <c r="L79" s="296"/>
    </row>
    <row r="80" spans="1:21" ht="13.15">
      <c r="A80" s="131">
        <f t="shared" ref="A80" si="12">A62</f>
        <v>7</v>
      </c>
      <c r="B80" s="119">
        <f t="shared" si="11"/>
        <v>20.244970939876168</v>
      </c>
      <c r="C80" s="119">
        <f t="shared" si="11"/>
        <v>25.179494894290478</v>
      </c>
      <c r="D80" s="119">
        <f t="shared" si="11"/>
        <v>26.848924519722594</v>
      </c>
      <c r="E80" s="119">
        <f t="shared" si="11"/>
        <v>28.647859747148104</v>
      </c>
      <c r="F80" s="119">
        <f t="shared" si="11"/>
        <v>32.668153310623339</v>
      </c>
      <c r="G80" s="296"/>
      <c r="H80" s="296"/>
      <c r="I80" s="296"/>
      <c r="J80" s="296"/>
      <c r="K80" s="296"/>
      <c r="L80" s="296"/>
    </row>
    <row r="81" spans="1:12" ht="13.15">
      <c r="A81" s="131">
        <v>8</v>
      </c>
      <c r="B81" s="119">
        <f t="shared" si="11"/>
        <v>20.023870751435982</v>
      </c>
      <c r="C81" s="119">
        <f t="shared" si="11"/>
        <v>25.283304712721836</v>
      </c>
      <c r="D81" s="119">
        <f t="shared" si="11"/>
        <v>27.095360476472511</v>
      </c>
      <c r="E81" s="119">
        <f t="shared" si="11"/>
        <v>29.064470789352271</v>
      </c>
      <c r="F81" s="119">
        <f t="shared" si="11"/>
        <v>33.521677733729113</v>
      </c>
      <c r="G81" s="296"/>
      <c r="H81" s="296"/>
      <c r="I81" s="296"/>
      <c r="J81" s="296"/>
      <c r="K81" s="296"/>
      <c r="L81" s="296"/>
    </row>
    <row r="82" spans="1:12" ht="13.15">
      <c r="A82" s="131">
        <f t="shared" ref="A82" si="13">A64</f>
        <v>9</v>
      </c>
      <c r="B82" s="119">
        <f t="shared" si="11"/>
        <v>19.466004235036468</v>
      </c>
      <c r="C82" s="119">
        <f t="shared" si="11"/>
        <v>25.431169738555436</v>
      </c>
      <c r="D82" s="119">
        <f t="shared" si="11"/>
        <v>27.561588844610707</v>
      </c>
      <c r="E82" s="119">
        <f t="shared" si="11"/>
        <v>29.914814526541846</v>
      </c>
      <c r="F82" s="119">
        <f t="shared" si="11"/>
        <v>35.373879585531974</v>
      </c>
      <c r="G82" s="296"/>
      <c r="H82" s="296"/>
      <c r="I82" s="296"/>
      <c r="J82" s="296"/>
      <c r="K82" s="296"/>
      <c r="L82" s="296"/>
    </row>
    <row r="83" spans="1:12" ht="13.15">
      <c r="A83" s="131">
        <f t="shared" ref="A83:A87" si="14">A65</f>
        <v>10</v>
      </c>
      <c r="B83" s="119">
        <f t="shared" si="11"/>
        <v>19.287962125252044</v>
      </c>
      <c r="C83" s="119">
        <f t="shared" si="11"/>
        <v>25.524144564771756</v>
      </c>
      <c r="D83" s="119">
        <f t="shared" si="11"/>
        <v>27.78885930101579</v>
      </c>
      <c r="E83" s="119">
        <f t="shared" si="11"/>
        <v>30.310253313228298</v>
      </c>
      <c r="F83" s="119">
        <f t="shared" si="11"/>
        <v>36.230924012534359</v>
      </c>
      <c r="G83" s="296"/>
      <c r="H83" s="296"/>
      <c r="I83" s="296"/>
      <c r="J83" s="296"/>
      <c r="K83" s="296"/>
      <c r="L83" s="296"/>
    </row>
    <row r="84" spans="1:12" ht="13.15">
      <c r="A84" s="131">
        <f t="shared" si="14"/>
        <v>15</v>
      </c>
      <c r="B84" s="119">
        <f t="shared" si="11"/>
        <v>17.807949587748407</v>
      </c>
      <c r="C84" s="119">
        <f t="shared" si="11"/>
        <v>26.058961075357971</v>
      </c>
      <c r="D84" s="119">
        <f t="shared" si="11"/>
        <v>29.46895678879126</v>
      </c>
      <c r="E84" s="119">
        <f t="shared" si="11"/>
        <v>33.507374092870208</v>
      </c>
      <c r="F84" s="119">
        <f t="shared" si="11"/>
        <v>43.936579473481295</v>
      </c>
      <c r="G84" s="296"/>
      <c r="H84" s="296"/>
      <c r="I84" s="296"/>
      <c r="J84" s="296"/>
      <c r="K84" s="296"/>
      <c r="L84" s="296"/>
    </row>
    <row r="85" spans="1:12" ht="13.15">
      <c r="A85" s="132">
        <f t="shared" si="14"/>
        <v>20</v>
      </c>
      <c r="B85" s="119">
        <f t="shared" si="11"/>
        <v>17.03369287931498</v>
      </c>
      <c r="C85" s="119">
        <f t="shared" si="11"/>
        <v>26.444264151715537</v>
      </c>
      <c r="D85" s="119">
        <f t="shared" si="11"/>
        <v>30.724263369781696</v>
      </c>
      <c r="E85" s="119">
        <f t="shared" si="11"/>
        <v>36.04741535645546</v>
      </c>
      <c r="F85" s="119">
        <f t="shared" si="11"/>
        <v>50.910653600909264</v>
      </c>
      <c r="G85" s="296"/>
      <c r="H85" s="296"/>
      <c r="I85" s="296"/>
      <c r="J85" s="296"/>
      <c r="K85" s="296"/>
      <c r="L85" s="296"/>
    </row>
    <row r="86" spans="1:12" ht="13.15">
      <c r="A86" s="132">
        <f t="shared" si="14"/>
        <v>25</v>
      </c>
      <c r="B86" s="119">
        <f t="shared" si="11"/>
        <v>16.383293305786282</v>
      </c>
      <c r="C86" s="119">
        <f t="shared" si="11"/>
        <v>26.788497283604475</v>
      </c>
      <c r="D86" s="119">
        <f t="shared" si="11"/>
        <v>32.017505250861696</v>
      </c>
      <c r="E86" s="119">
        <f t="shared" si="11"/>
        <v>38.88127116572678</v>
      </c>
      <c r="F86" s="119">
        <f t="shared" si="11"/>
        <v>59.811969309863393</v>
      </c>
      <c r="G86" s="296"/>
      <c r="H86" s="296"/>
      <c r="I86" s="296"/>
      <c r="J86" s="296"/>
      <c r="K86" s="296"/>
      <c r="L86" s="296"/>
    </row>
    <row r="87" spans="1:12" ht="13.15">
      <c r="A87" s="132">
        <f t="shared" si="14"/>
        <v>30</v>
      </c>
      <c r="B87" s="119">
        <f t="shared" si="11"/>
        <v>16.047871782627745</v>
      </c>
      <c r="C87" s="119">
        <f t="shared" si="11"/>
        <v>27.031715715584909</v>
      </c>
      <c r="D87" s="119">
        <f t="shared" si="11"/>
        <v>32.961353785655945</v>
      </c>
      <c r="E87" s="119">
        <f t="shared" si="11"/>
        <v>41.078190042471142</v>
      </c>
      <c r="F87" s="119">
        <f t="shared" si="11"/>
        <v>67.66634948542324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36.230924012534359</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30.310253313228298</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27.78885930101579</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25.524144564771756</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19.287962125252044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2533283.333731357</v>
      </c>
      <c r="D8" s="469"/>
      <c r="E8" s="469"/>
      <c r="F8" s="469"/>
      <c r="G8" s="469"/>
    </row>
    <row r="9" spans="2:7">
      <c r="B9" s="97" t="s">
        <v>54</v>
      </c>
      <c r="C9" s="447">
        <f>Normalized_FCF!C19</f>
        <v>2586853.5352292554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-6.3672446652940806E-2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30.310253313228298</v>
      </c>
      <c r="F22" s="328">
        <f>1-F23-F24</f>
        <v>0.24999999999999994</v>
      </c>
      <c r="G22" s="328">
        <f>F22*(1-F$29-F$30)</f>
        <v>0.22499999999999992</v>
      </c>
    </row>
    <row r="23" spans="2:7">
      <c r="B23" s="302" t="s">
        <v>437</v>
      </c>
      <c r="C23" s="324">
        <v>0.04</v>
      </c>
      <c r="D23" s="325">
        <f>C18</f>
        <v>10</v>
      </c>
      <c r="E23" s="326">
        <f>DCF!E92</f>
        <v>27.78885930101579</v>
      </c>
      <c r="F23" s="327">
        <v>0.55000000000000004</v>
      </c>
      <c r="G23" s="328">
        <f t="shared" ref="G23:G24" si="0">F23*(1-F$29-F$30)</f>
        <v>0.495</v>
      </c>
    </row>
    <row r="24" spans="2:7">
      <c r="B24" s="302" t="s">
        <v>446</v>
      </c>
      <c r="C24" s="324">
        <v>0.02</v>
      </c>
      <c r="D24" s="325">
        <f>C18</f>
        <v>10</v>
      </c>
      <c r="E24" s="326">
        <f>DCF!E93</f>
        <v>25.524144564771756</v>
      </c>
      <c r="F24" s="327">
        <v>0.2</v>
      </c>
      <c r="G24" s="328">
        <f t="shared" si="0"/>
        <v>0.18</v>
      </c>
    </row>
    <row r="25" spans="2:7">
      <c r="B25" s="141" t="s">
        <v>451</v>
      </c>
      <c r="C25" s="441">
        <f>E23*F23+E24*F24+E22*F22</f>
        <v>27.966264856820111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36.230924012534359</v>
      </c>
      <c r="F29" s="327">
        <v>0.05</v>
      </c>
      <c r="G29" s="328">
        <f>F29</f>
        <v>0.05</v>
      </c>
    </row>
    <row r="30" spans="2:7">
      <c r="B30" s="315" t="s">
        <v>447</v>
      </c>
      <c r="C30" s="324">
        <v>-0.05</v>
      </c>
      <c r="D30" s="325">
        <f>C18</f>
        <v>10</v>
      </c>
      <c r="E30" s="326">
        <f>DCF!E94</f>
        <v>19.287962125252044</v>
      </c>
      <c r="F30" s="327">
        <v>0.05</v>
      </c>
      <c r="G30" s="328">
        <f>F30</f>
        <v>0.05</v>
      </c>
    </row>
    <row r="31" spans="2:7">
      <c r="E31" s="329"/>
      <c r="F31" s="329"/>
    </row>
    <row r="32" spans="2:7" ht="13.15">
      <c r="B32" s="145" t="s">
        <v>456</v>
      </c>
    </row>
    <row r="33" spans="2:7">
      <c r="B33" s="97" t="s">
        <v>458</v>
      </c>
      <c r="C33" s="155">
        <f>Normalized_FCF!C88*(1-dividend_tax_rate)</f>
        <v>0.51898300097975758</v>
      </c>
      <c r="D33" t="str">
        <f>Market_currency</f>
        <v>HKD</v>
      </c>
      <c r="E33" s="97" t="s">
        <v>455</v>
      </c>
      <c r="F33" s="219">
        <f>Holding_Period</f>
        <v>3</v>
      </c>
    </row>
    <row r="34" spans="2:7">
      <c r="B34" s="97" t="s">
        <v>233</v>
      </c>
      <c r="C34" s="146">
        <f>Market_Price</f>
        <v>20.72</v>
      </c>
      <c r="D34" t="str">
        <f>Market_currency</f>
        <v>HKD</v>
      </c>
      <c r="E34" s="97" t="s">
        <v>454</v>
      </c>
      <c r="F34" s="330">
        <f>RATE(Holding_Period,$C$33,-C34,$C$36)</f>
        <v>0.12763763794088803</v>
      </c>
    </row>
    <row r="35" spans="2:7">
      <c r="B35" s="97" t="s">
        <v>434</v>
      </c>
      <c r="C35" s="320">
        <f>DCF!C11</f>
        <v>28.303975954751142</v>
      </c>
      <c r="D35" s="97" t="str">
        <f>Market_currency</f>
        <v>HKD</v>
      </c>
      <c r="E35" s="97" t="s">
        <v>454</v>
      </c>
      <c r="F35" s="330">
        <f>RATE(Holding_Period,$C$33,-C35,$C$36)</f>
        <v>1.4174547115321822E-2</v>
      </c>
    </row>
    <row r="36" spans="2:7">
      <c r="B36" s="97" t="s">
        <v>435</v>
      </c>
      <c r="C36" s="321">
        <f>E22*G22+E23*G23+E24*G24+E30*G30+E29*G29</f>
        <v>27.945582678027421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27.947964577608197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0.22880859340044035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0.51898300097975758</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0.9496618623171692</v>
      </c>
      <c r="D62" s="119">
        <f>C36/(1+F62)^Holding_Period</f>
        <v>12.87814869955181</v>
      </c>
      <c r="E62" s="332">
        <f>C62+D62</f>
        <v>13.827810561868979</v>
      </c>
      <c r="F62" s="301">
        <f>Thesis!E22</f>
        <v>0.29465259038036606</v>
      </c>
      <c r="G62" s="440">
        <f>(1-E62/C36)</f>
        <v>0.50518796758740425</v>
      </c>
    </row>
    <row r="63" spans="2:7" ht="13.15">
      <c r="B63" s="302" t="s">
        <v>313</v>
      </c>
      <c r="C63" s="119">
        <f>PV(F63, Holding_Period, -C58, 0)</f>
        <v>1.0919422826269618</v>
      </c>
      <c r="D63" s="119">
        <f>C36/(1+F63)^Holding_Period</f>
        <v>16.141852810412956</v>
      </c>
      <c r="E63" s="332">
        <f>C63+D63</f>
        <v>17.23379509303992</v>
      </c>
      <c r="F63" s="301">
        <f>Thesis!E23</f>
        <v>0.20075184365903009</v>
      </c>
      <c r="G63" s="440">
        <f>(1-E63/C36)</f>
        <v>0.38330879367957438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1.252100010472784</v>
      </c>
      <c r="D66" s="119">
        <f>C36/(1+F66)^Holding_Period</f>
        <v>20.030286823330595</v>
      </c>
      <c r="E66" s="332">
        <f>C66+D66</f>
        <v>21.282386833803379</v>
      </c>
      <c r="F66" s="301">
        <f>Thesis!E24</f>
        <v>0.1174</v>
      </c>
      <c r="G66" s="440">
        <f>(1-E66/C36)</f>
        <v>0.23843467216244763</v>
      </c>
    </row>
    <row r="67" spans="2:7" ht="13.15">
      <c r="B67" s="302" t="s">
        <v>314</v>
      </c>
      <c r="C67" s="119">
        <f>PV(F67, Holding_Period, -C58, 0)</f>
        <v>1.3557783350834278</v>
      </c>
      <c r="D67" s="119">
        <f>C36/(1+F67)^Holding_Period</f>
        <v>22.652767455495344</v>
      </c>
      <c r="E67" s="332">
        <f>C67+D67</f>
        <v>24.008545790578772</v>
      </c>
      <c r="F67" s="301">
        <f>Thesis!E25</f>
        <v>7.2499999999999995E-2</v>
      </c>
      <c r="G67" s="440">
        <f>(1-E67/C36)</f>
        <v>0.1408822615298051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20.72</v>
      </c>
    </row>
    <row r="9" spans="1:10">
      <c r="B9" s="351" t="s">
        <v>361</v>
      </c>
      <c r="C9" s="353">
        <f>Common_Shares</f>
        <v>2584811005</v>
      </c>
    </row>
    <row r="10" spans="1:10">
      <c r="B10" s="351" t="s">
        <v>367</v>
      </c>
      <c r="C10" s="357">
        <f>投资主题!C8*Common_Shares/1000000</f>
        <v>53557.284023599997</v>
      </c>
      <c r="D10" s="343" t="s">
        <v>529</v>
      </c>
      <c r="E10" s="360">
        <f>Scenarios!F34</f>
        <v>0.12763763794088803</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1.1268191807746888</v>
      </c>
    </row>
    <row r="17" spans="1:6">
      <c r="B17" s="343" t="s">
        <v>535</v>
      </c>
      <c r="C17" s="424">
        <f>Terminal_Growth</f>
        <v>0.02</v>
      </c>
      <c r="D17" s="351" t="s">
        <v>339</v>
      </c>
      <c r="E17" s="344" t="str">
        <f>Reporting_currency</f>
        <v>CNY</v>
      </c>
    </row>
    <row r="18" spans="1:6">
      <c r="B18" s="343" t="str">
        <f>"预期股权价值 ("&amp;C7&amp;") :"</f>
        <v>预期股权价值 (HKD) :</v>
      </c>
      <c r="C18" s="359">
        <f>C125</f>
        <v>27.945582678027421</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13.827810561868979</v>
      </c>
      <c r="D22" s="365" t="s">
        <v>440</v>
      </c>
      <c r="E22" s="366">
        <f>Thesis!E22</f>
        <v>0.29465259038036606</v>
      </c>
    </row>
    <row r="23" spans="1:6">
      <c r="B23" s="343" t="s">
        <v>341</v>
      </c>
      <c r="C23" s="367">
        <f>E141</f>
        <v>17.23379509303992</v>
      </c>
      <c r="D23" s="365" t="s">
        <v>441</v>
      </c>
      <c r="E23" s="368">
        <f>Thesis!E23</f>
        <v>0.20075184365903009</v>
      </c>
    </row>
    <row r="24" spans="1:6">
      <c r="B24" s="343" t="s">
        <v>343</v>
      </c>
      <c r="C24" s="367">
        <f>E144</f>
        <v>21.282386833803379</v>
      </c>
      <c r="D24" s="365" t="s">
        <v>443</v>
      </c>
      <c r="E24" s="368">
        <f>Thesis!E24</f>
        <v>0.1174</v>
      </c>
    </row>
    <row r="25" spans="1:6">
      <c r="B25" s="343" t="s">
        <v>342</v>
      </c>
      <c r="C25" s="367">
        <f>E145</f>
        <v>24.008545790578772</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26487.826972340405</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-80150.953027659591</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-862284.51174308511</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2533283.333731357</v>
      </c>
      <c r="D60" s="343" t="str">
        <f>Reporting_currency</f>
        <v>CNY</v>
      </c>
    </row>
    <row r="61" spans="2:6">
      <c r="B61" s="372" t="s">
        <v>213</v>
      </c>
      <c r="C61" s="373">
        <f>Normalized_FCF!C19</f>
        <v>2586853.5352292554</v>
      </c>
      <c r="D61" s="343" t="str">
        <f>Reporting_currency</f>
        <v>CNY</v>
      </c>
    </row>
    <row r="62" spans="2:6">
      <c r="B62" s="377" t="s">
        <v>302</v>
      </c>
      <c r="C62" s="378">
        <f>Normalized_FCF!C124</f>
        <v>5.4426138936893818E-2</v>
      </c>
      <c r="F62" s="379"/>
    </row>
    <row r="63" spans="2:6">
      <c r="B63" s="377" t="s">
        <v>332</v>
      </c>
      <c r="C63" s="378">
        <f>Normalized_FCF!C92</f>
        <v>2.5047442132227683E-2</v>
      </c>
      <c r="E63" s="372" t="s">
        <v>373</v>
      </c>
      <c r="F63" s="380">
        <f>Normalized_FCF!C90</f>
        <v>0.518573221897357</v>
      </c>
    </row>
    <row r="65" spans="1:6">
      <c r="B65" s="369" t="s">
        <v>376</v>
      </c>
      <c r="C65" s="381" t="s">
        <v>327</v>
      </c>
      <c r="D65" s="381" t="s">
        <v>374</v>
      </c>
    </row>
    <row r="66" spans="1:6">
      <c r="B66" s="372" t="s">
        <v>326</v>
      </c>
      <c r="C66" s="378">
        <f>Normalized_FCF!E119</f>
        <v>0.2</v>
      </c>
      <c r="D66" s="378">
        <f>Normalized_FCF!G119</f>
        <v>0.13360872139603319</v>
      </c>
    </row>
    <row r="67" spans="1:6">
      <c r="B67" s="382" t="str">
        <f>Normalized_FCF!B116</f>
        <v>Pre-tax Profit/Sales</v>
      </c>
      <c r="C67" s="383">
        <f>Normalized_FCF!E116</f>
        <v>0.13430424833028851</v>
      </c>
      <c r="D67" s="383">
        <f>Normalized_FCF!G116</f>
        <v>0.12658737360244571</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-1777313</v>
      </c>
      <c r="D78" s="343" t="str">
        <f>Reporting_currency</f>
        <v>CNY</v>
      </c>
    </row>
    <row r="79" spans="1:6">
      <c r="B79" s="372" t="s">
        <v>234</v>
      </c>
      <c r="C79" s="387">
        <f>C78*scaling_factor*Exchange_Rate/Common_Shares</f>
        <v>-0.77479954037885423</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14776218.171276599</v>
      </c>
      <c r="D84" s="343" t="str">
        <f>Reporting_currency</f>
        <v>CNY</v>
      </c>
    </row>
    <row r="85" spans="1:6">
      <c r="B85" s="382" t="s">
        <v>481</v>
      </c>
      <c r="C85" s="390">
        <f>BS!C66</f>
        <v>19190856</v>
      </c>
      <c r="D85" s="391" t="str">
        <f>Reporting_currency</f>
        <v>CNY</v>
      </c>
    </row>
    <row r="86" spans="1:6">
      <c r="B86" s="372" t="s">
        <v>235</v>
      </c>
      <c r="C86" s="387">
        <f>C84*scaling_factor*Exchange_Rate/Common_Shares</f>
        <v>6.4415255206273656</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0.72746348406665406</v>
      </c>
      <c r="D90" s="343" t="str">
        <f>Market_currency</f>
        <v>HKD</v>
      </c>
    </row>
    <row r="92" spans="1:6">
      <c r="B92" s="372" t="s">
        <v>480</v>
      </c>
      <c r="C92" s="387">
        <f>DCF!F8</f>
        <v>6.3941894643151649</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5.6206209837873056</v>
      </c>
      <c r="D111" s="343" t="str">
        <f>Market_currency</f>
        <v>HKD</v>
      </c>
    </row>
    <row r="112" spans="1:6">
      <c r="A112" s="385"/>
      <c r="B112" s="372" t="s">
        <v>377</v>
      </c>
      <c r="C112" s="394">
        <f>DCF!C11</f>
        <v>28.303975954751142</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36.23 HKD</v>
      </c>
      <c r="F118" s="399">
        <f>DCF!F90</f>
        <v>0.05</v>
      </c>
    </row>
    <row r="119" spans="1:6">
      <c r="A119" s="385"/>
      <c r="B119" s="400" t="str">
        <f>DCF!B91</f>
        <v>Optimistic</v>
      </c>
      <c r="C119" s="401">
        <f>DCF!C91</f>
        <v>0.06</v>
      </c>
      <c r="D119" s="402">
        <f>DCF!D91</f>
        <v>10</v>
      </c>
      <c r="E119" s="398" t="str">
        <f>ROUND(DCF!E91,2)&amp;" "&amp;Market_currency</f>
        <v>30.31 HKD</v>
      </c>
      <c r="F119" s="403">
        <f>DCF!F91</f>
        <v>0.22499999999999992</v>
      </c>
    </row>
    <row r="120" spans="1:6">
      <c r="B120" s="400" t="str">
        <f>DCF!B92</f>
        <v>Base</v>
      </c>
      <c r="C120" s="401">
        <f>DCF!C92</f>
        <v>0.04</v>
      </c>
      <c r="D120" s="402">
        <f>DCF!D92</f>
        <v>10</v>
      </c>
      <c r="E120" s="398" t="str">
        <f>ROUND(DCF!E92,2)&amp;" "&amp;Market_currency</f>
        <v>27.79 HKD</v>
      </c>
      <c r="F120" s="403">
        <f>DCF!F92</f>
        <v>0.495</v>
      </c>
    </row>
    <row r="121" spans="1:6">
      <c r="B121" s="400" t="str">
        <f>DCF!B93</f>
        <v>Pessimistic</v>
      </c>
      <c r="C121" s="401">
        <f>DCF!C93</f>
        <v>0.02</v>
      </c>
      <c r="D121" s="402">
        <f>DCF!D93</f>
        <v>10</v>
      </c>
      <c r="E121" s="398" t="str">
        <f>ROUND(DCF!E93,2)&amp;" "&amp;Market_currency</f>
        <v>25.52 HKD</v>
      </c>
      <c r="F121" s="403">
        <f>DCF!F93</f>
        <v>0.18</v>
      </c>
    </row>
    <row r="122" spans="1:6">
      <c r="B122" s="400" t="str">
        <f>DCF!B94</f>
        <v>Devil's advocate</v>
      </c>
      <c r="C122" s="401">
        <f>DCF!C94</f>
        <v>-0.05</v>
      </c>
      <c r="D122" s="402">
        <f>DCF!D94</f>
        <v>10</v>
      </c>
      <c r="E122" s="398" t="str">
        <f>ROUND(DCF!E94,2)&amp;" "&amp;Market_currency</f>
        <v>19.29 HKD</v>
      </c>
      <c r="F122" s="403">
        <f>DCF!F94</f>
        <v>0.05</v>
      </c>
    </row>
    <row r="124" spans="1:6">
      <c r="B124" s="470" t="s">
        <v>519</v>
      </c>
      <c r="C124" s="470"/>
      <c r="D124" s="470"/>
      <c r="E124" s="470"/>
      <c r="F124" s="470"/>
    </row>
    <row r="125" spans="1:6">
      <c r="B125" s="372" t="s">
        <v>218</v>
      </c>
      <c r="C125" s="404">
        <f>Scenarios!C36</f>
        <v>27.945582678027421</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0.51898300097975758</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0.9496618623171692</v>
      </c>
      <c r="D140" s="409">
        <f>Scenarios!D62</f>
        <v>12.87814869955181</v>
      </c>
      <c r="E140" s="410">
        <f>Scenarios!E62</f>
        <v>13.827810561868979</v>
      </c>
      <c r="F140" s="411">
        <f>E22</f>
        <v>0.29465259038036606</v>
      </c>
    </row>
    <row r="141" spans="1:6">
      <c r="B141" s="408" t="s">
        <v>313</v>
      </c>
      <c r="C141" s="409">
        <f>Scenarios!C63</f>
        <v>1.0919422826269618</v>
      </c>
      <c r="D141" s="409">
        <f>Scenarios!D63</f>
        <v>16.141852810412956</v>
      </c>
      <c r="E141" s="410">
        <f>Scenarios!E63</f>
        <v>17.23379509303992</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1.252100010472784</v>
      </c>
      <c r="D144" s="409">
        <f>Scenarios!D66</f>
        <v>20.030286823330595</v>
      </c>
      <c r="E144" s="410">
        <f>Scenarios!E66</f>
        <v>21.282386833803379</v>
      </c>
      <c r="F144" s="411">
        <f>E24</f>
        <v>0.1174</v>
      </c>
    </row>
    <row r="145" spans="1:6">
      <c r="B145" s="408" t="s">
        <v>314</v>
      </c>
      <c r="C145" s="409">
        <f>Scenarios!C67</f>
        <v>1.3557783350834278</v>
      </c>
      <c r="D145" s="409">
        <f>Scenarios!D67</f>
        <v>22.652767455495344</v>
      </c>
      <c r="E145" s="410">
        <f>Scenarios!E67</f>
        <v>24.008545790578772</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2026-02-04T02:06:28Z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