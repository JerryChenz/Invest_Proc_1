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27F0505-D06A-4DFA-B6CE-B66164A99EC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G4" i="3" l="1"/>
  <c r="C4" i="3"/>
  <c r="C28" i="4" s="1"/>
  <c r="C19" i="3"/>
  <c r="C25" i="4"/>
  <c r="L6" i="4"/>
  <c r="K6" i="4"/>
  <c r="J6" i="4"/>
  <c r="I6" i="4"/>
  <c r="H6" i="4"/>
  <c r="G6" i="4"/>
  <c r="F6" i="4"/>
  <c r="E6" i="4"/>
  <c r="D6" i="4"/>
  <c r="C6" i="4"/>
  <c r="Q48" i="2"/>
  <c r="C64" i="9"/>
  <c r="M69" i="4"/>
  <c r="M70" i="4"/>
  <c r="M71" i="4"/>
  <c r="M72" i="4"/>
  <c r="C32" i="4"/>
  <c r="C30" i="4"/>
  <c r="C29"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2" i="4"/>
  <c r="C72" i="4"/>
  <c r="I4" i="9"/>
  <c r="I5" i="9"/>
  <c r="C81" i="9"/>
  <c r="C127" i="6" s="1"/>
  <c r="C9" i="2"/>
  <c r="C33" i="6" s="1"/>
  <c r="G41" i="3"/>
  <c r="G32" i="3"/>
  <c r="G27" i="3" s="1"/>
  <c r="C31" i="4" s="1"/>
  <c r="C80" i="4" s="1"/>
  <c r="L68" i="4"/>
  <c r="D68" i="4"/>
  <c r="K68" i="4"/>
  <c r="C68" i="4"/>
  <c r="J68" i="4"/>
  <c r="I68" i="4"/>
  <c r="E68" i="4"/>
  <c r="H68" i="4"/>
  <c r="G68" i="4"/>
  <c r="F68" i="4"/>
  <c r="J4" i="2"/>
  <c r="Q4" i="2"/>
  <c r="Q126" i="2" s="1"/>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F71" i="4" l="1"/>
  <c r="H69" i="4"/>
  <c r="E69" i="4"/>
  <c r="J69" i="4"/>
  <c r="K69" i="4"/>
  <c r="K43" i="4"/>
  <c r="K44" i="4" s="1"/>
  <c r="K58" i="4" s="1"/>
  <c r="O62" i="2" s="1"/>
  <c r="O63" i="2" s="1"/>
  <c r="F69" i="4"/>
  <c r="F70" i="4"/>
  <c r="C70" i="4"/>
  <c r="C69" i="4"/>
  <c r="I69" i="4"/>
  <c r="I70" i="4"/>
  <c r="L126" i="2"/>
  <c r="M126" i="2"/>
  <c r="I71" i="4"/>
  <c r="G70" i="4"/>
  <c r="N126" i="2"/>
  <c r="D70" i="4"/>
  <c r="K126" i="2"/>
  <c r="P126" i="2"/>
  <c r="G69" i="4"/>
  <c r="O126" i="2"/>
  <c r="D69" i="4"/>
  <c r="G113" i="2"/>
  <c r="G126" i="2"/>
  <c r="H113" i="2"/>
  <c r="H126" i="2"/>
  <c r="J113" i="2"/>
  <c r="J126" i="2"/>
  <c r="I113" i="2"/>
  <c r="I126" i="2"/>
  <c r="G105" i="2"/>
  <c r="G101" i="2" s="1"/>
  <c r="C76" i="4"/>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E58" i="4" s="1"/>
  <c r="C44" i="4"/>
  <c r="C58" i="4" s="1"/>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40" i="2" l="1"/>
  <c r="O73" i="2"/>
  <c r="O8" i="2"/>
  <c r="O74" i="2"/>
  <c r="O30" i="2"/>
  <c r="K70" i="4"/>
  <c r="K71" i="4"/>
  <c r="J71" i="4"/>
  <c r="E71" i="4"/>
  <c r="C71" i="4"/>
  <c r="H58" i="4"/>
  <c r="L62" i="2" s="1"/>
  <c r="H71" i="4"/>
  <c r="J70" i="4"/>
  <c r="D71" i="4"/>
  <c r="G71" i="4"/>
  <c r="P40" i="2"/>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O55" i="2" l="1"/>
  <c r="O120"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K48" i="2" l="1"/>
  <c r="K50" i="2" s="1"/>
  <c r="K12" i="2" s="1"/>
  <c r="K43" i="2" s="1"/>
  <c r="M48" i="2"/>
  <c r="M50" i="2" s="1"/>
  <c r="M12" i="2" s="1"/>
  <c r="O48" i="2"/>
  <c r="O50" i="2" s="1"/>
  <c r="O12" i="2" s="1"/>
  <c r="H48" i="2"/>
  <c r="H50" i="2" s="1"/>
  <c r="H12" i="2" s="1"/>
  <c r="H80" i="2" s="1"/>
  <c r="J48" i="2"/>
  <c r="J50" i="2" s="1"/>
  <c r="J12" i="2" s="1"/>
  <c r="J80" i="2" s="1"/>
  <c r="G48" i="2"/>
  <c r="G50" i="2" s="1"/>
  <c r="G12" i="2" s="1"/>
  <c r="G43" i="2" s="1"/>
  <c r="P48" i="2"/>
  <c r="P50" i="2" s="1"/>
  <c r="P12" i="2" s="1"/>
  <c r="N48" i="2"/>
  <c r="N50" i="2" s="1"/>
  <c r="N12" i="2" s="1"/>
  <c r="I48" i="2"/>
  <c r="I50" i="2" s="1"/>
  <c r="I12" i="2" s="1"/>
  <c r="I80" i="2" s="1"/>
  <c r="L48" i="2"/>
  <c r="L50" i="2" s="1"/>
  <c r="L12" i="2" s="1"/>
  <c r="C40" i="6"/>
  <c r="C87" i="3"/>
  <c r="D87" i="3" s="1"/>
  <c r="C31" i="3"/>
  <c r="O80" i="2" l="1"/>
  <c r="O43" i="2"/>
  <c r="O13" i="2"/>
  <c r="L80" i="2"/>
  <c r="L4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O124" i="2" l="1"/>
  <c r="O125" i="2" s="1"/>
  <c r="O84" i="2"/>
  <c r="O19" i="2"/>
  <c r="P84" i="2"/>
  <c r="P19" i="2"/>
  <c r="P124" i="2"/>
  <c r="P125" i="2" s="1"/>
  <c r="C47" i="2"/>
  <c r="O92" i="2" l="1"/>
  <c r="O87" i="2"/>
  <c r="O114"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K87" i="2"/>
  <c r="L84" i="2"/>
  <c r="N87" i="2"/>
  <c r="N92" i="2"/>
  <c r="C76" i="2"/>
  <c r="C50" i="3"/>
  <c r="C54" i="3"/>
  <c r="C120" i="2"/>
  <c r="L87" i="2" l="1"/>
  <c r="M92" i="2"/>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<sst xmlns="http://schemas.openxmlformats.org/spreadsheetml/2006/main" count="589" uniqueCount="416">
  <si>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</si>
  <si>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</si>
  <si>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</si>
  <si>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</si>
  <si>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</si>
  <si>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</si>
  <si>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</si>
  <si>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</si>
  <si>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</si>
  <si>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</si>
  <si>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</si>
  <si>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</si>
  <si>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</si>
  <si>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</si>
  <si>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</si>
  <si>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</si>
  <si>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</si>
  <si>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</si>
  <si>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</si>
  <si>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</si>
  <si>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</si>
  <si>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</si>
  <si>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</si>
  <si>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</si>
  <si>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</si>
  <si>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</si>
  <si>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</si>
  <si>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</si>
  <si>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</si>
  <si>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</si>
  <si>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</si>
  <si>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</si>
  <si>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</si>
  <si>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</si>
  <si>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</si>
  <si>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</si>
  <si>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</si>
  <si>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</si>
  <si>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</si>
  <si>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</si>
  <si>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</si>
  <si>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</si>
  <si>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</si>
  <si>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</si>
  <si>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</si>
  <si>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</si>
  <si>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</si>
  <si>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</si>
  <si>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</si>
  <si>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</si>
  <si>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</si>
  <si>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</si>
  <si>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</si>
  <si>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</si>
  <si>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</si>
  <si>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</si>
  <si>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</si>
  <si>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</si>
  <si>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</si>
  <si>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</si>
  <si>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</si>
  <si>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</si>
  <si>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</si>
  <si>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</si>
  <si>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</si>
  <si>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</si>
  <si>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</si>
  <si>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</si>
  <si>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</si>
  <si>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</si>
  <si>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</si>
  <si>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</si>
  <si>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</si>
  <si>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</si>
  <si>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</si>
  <si>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</si>
  <si>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</si>
  <si>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</si>
  <si>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</si>
  <si>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</si>
  <si>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</si>
  <si>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</si>
  <si>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</si>
  <si>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</si>
  <si>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</si>
  <si>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</si>
  <si>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</si>
  <si>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</si>
  <si>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</si>
  <si>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</si>
  <si>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</si>
  <si>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</si>
  <si>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</si>
  <si>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</si>
  <si>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</si>
  <si>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</si>
  <si>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</si>
  <si>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</si>
  <si>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</si>
  <si>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</si>
  <si>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</si>
  <si>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</si>
  <si>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</si>
  <si>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</si>
  <si>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</si>
  <si>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</si>
  <si>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</si>
  <si>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</si>
  <si>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</si>
  <si>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</si>
  <si>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</si>
  <si>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</si>
  <si>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</si>
  <si>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</si>
  <si>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</si>
  <si>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</si>
  <si>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</si>
  <si>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</si>
  <si>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</si>
  <si>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</si>
  <si>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</si>
  <si>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</si>
  <si>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</si>
  <si>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</si>
  <si>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</si>
  <si>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</si>
  <si>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</si>
  <si>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</si>
  <si>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</si>
  <si>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</si>
  <si>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</si>
  <si>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</si>
  <si>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</si>
  <si>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</si>
  <si>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</si>
  <si>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</si>
  <si>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</si>
  <si>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</si>
  <si>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</si>
  <si>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</si>
  <si>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</si>
  <si>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</si>
  <si>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</si>
  <si>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</si>
  <si>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</si>
  <si>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</si>
  <si>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</si>
  <si>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</si>
  <si>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</si>
  <si>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</si>
  <si>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</si>
  <si>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</si>
  <si>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</si>
  <si>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</si>
  <si>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</si>
  <si>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</si>
  <si>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</si>
  <si>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</si>
  <si>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</si>
  <si>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</si>
  <si>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</si>
  <si>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</si>
  <si>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</si>
  <si>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</si>
  <si>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</si>
  <si>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</si>
  <si>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</si>
  <si>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</si>
  <si>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</si>
  <si>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</si>
  <si>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</si>
  <si>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</si>
  <si>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</si>
  <si>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</si>
  <si>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</si>
  <si>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</si>
  <si>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</si>
  <si>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</si>
  <si>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</si>
  <si>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</si>
  <si>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</si>
  <si>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</si>
  <si>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</si>
  <si>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</si>
  <si>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</si>
  <si>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</si>
  <si>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</si>
  <si>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</si>
  <si>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</si>
  <si>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</si>
  <si>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</si>
  <si>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</si>
  <si>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</si>
  <si>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</si>
  <si>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</si>
  <si>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</si>
  <si>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</si>
  <si>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</si>
  <si>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</si>
  <si>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</si>
  <si>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</si>
  <si>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</si>
  <si>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</si>
  <si>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</si>
  <si>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</si>
  <si>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</si>
  <si>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</si>
  <si>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</si>
  <si>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</si>
  <si>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</si>
  <si>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</si>
  <si>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</si>
  <si>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</si>
  <si>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</si>
  <si>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</si>
  <si>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</si>
  <si>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</si>
  <si>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</si>
  <si>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</si>
  <si>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</si>
  <si>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</si>
  <si>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</si>
  <si>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</si>
  <si>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</si>
  <si>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</si>
  <si>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</si>
  <si>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</si>
  <si>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</si>
  <si>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</si>
  <si>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</si>
  <si>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</si>
  <si>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</si>
  <si>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</si>
  <si>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</si>
  <si>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</si>
  <si>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</si>
  <si>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</si>
  <si>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</si>
  <si>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</si>
  <si>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</si>
  <si>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</si>
  <si>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</si>
  <si>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</si>
  <si>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</si>
  <si>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</si>
  <si>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</si>
  <si>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</si>
  <si>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</si>
  <si>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</si>
  <si>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</si>
  <si>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</si>
  <si>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</si>
  <si>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</si>
  <si>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</si>
  <si>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</si>
  <si>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</si>
  <si>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</si>
  <si>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</si>
  <si>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</si>
  <si>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</si>
  <si>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</si>
  <si>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</si>
  <si>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</si>
  <si>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</si>
  <si>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</si>
  <si>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</si>
  <si>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</si>
  <si>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</si>
  <si>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</si>
  <si>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</si>
  <si>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</si>
  <si>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</si>
  <si>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</si>
  <si>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</si>
  <si>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</si>
  <si>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</si>
  <si>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</si>
  <si>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</si>
  <si>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</si>
  <si>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</si>
  <si>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</si>
  <si>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</si>
  <si>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</si>
  <si>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</si>
  <si>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</si>
  <si>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</si>
  <si>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</si>
  <si>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</si>
  <si>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</si>
  <si>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</si>
  <si>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</si>
  <si>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</si>
  <si>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</si>
  <si>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</si>
  <si>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</si>
  <si>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</si>
  <si>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</si>
  <si>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</si>
  <si>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</si>
  <si>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</si>
  <si>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</si>
  <si>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</si>
  <si>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</si>
  <si>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</si>
  <si>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</si>
  <si>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</si>
  <si>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</si>
  <si>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</si>
  <si>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</si>
  <si>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</si>
  <si>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</si>
  <si>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</si>
  <si>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</si>
  <si>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</si>
  <si>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</si>
  <si>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</si>
  <si>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</si>
  <si>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</si>
  <si>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</si>
  <si>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</si>
  <si>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</si>
  <si>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</si>
  <si>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</si>
  <si>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</si>
  <si>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</si>
  <si>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</si>
  <si>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</si>
  <si>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</si>
  <si>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</si>
  <si>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</si>
  <si>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</si>
  <si>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</si>
  <si>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</si>
  <si>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</si>
  <si>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</si>
  <si>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</si>
  <si>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</si>
  <si>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</si>
  <si>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</si>
  <si>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</si>
  <si>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</si>
  <si>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</si>
  <si>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</si>
  <si>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</si>
  <si>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</si>
  <si>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</si>
  <si>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</si>
  <si>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</si>
  <si>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</si>
  <si>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</si>
  <si>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</si>
  <si>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</si>
  <si>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</si>
  <si>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</si>
  <si>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</si>
  <si>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</si>
  <si>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</si>
  <si>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</si>
  <si>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</si>
  <si>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</si>
  <si>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</si>
  <si>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</si>
  <si>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</si>
  <si>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</si>
  <si>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</si>
  <si>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</si>
  <si>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</si>
  <si>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</si>
  <si>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</si>
  <si>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</si>
  <si>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</si>
  <si>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</si>
  <si>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</si>
  <si>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</si>
  <si>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</si>
  <si>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</si>
  <si>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</si>
  <si>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</si>
  <si>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</si>
  <si>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</si>
  <si>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</si>
  <si>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</si>
  <si>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</si>
  <si>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</si>
  <si>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</si>
  <si>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</si>
  <si>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</si>
  <si>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</si>
  <si>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</si>
  <si>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</si>
  <si>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</si>
  <si>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</si>
  <si>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</si>
  <si>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</si>
  <si>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</si>
  <si>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</si>
  <si>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</si>
  <si>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</si>
  <si>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</si>
  <si>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</si>
  <si>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</si>
  <si>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</si>
  <si>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</si>
  <si>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</si>
  <si>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</si>
  <si>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</si>
  <si>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</si>
  <si>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</si>
  <si>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</si>
  <si>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</si>
  <si>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</si>
  <si>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</si>
  <si>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</si>
  <si>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2331.HK</t>
    <phoneticPr fontId="2" type="noConversion"/>
  </si>
  <si>
    <t>李宁</t>
    <phoneticPr fontId="2" type="noConversion"/>
  </si>
  <si>
    <t>CNS_02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</si>
</sst>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topLeftCell="A11" zoomScaleNormal="100" workbookViewId="0">
      <selection activeCell="B27" sqref="B27"/>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2331.HK Stock Information</v>
      </c>
      <c r="C4" s="46"/>
      <c r="D4" s="5"/>
      <c r="E4" s="2"/>
      <c r="F4" s="2"/>
    </row>
    <row r="5" spans="1:10" ht="12.4" x14ac:dyDescent="0.4">
      <c r="B5" s="4" t="s">
        <v>327</v>
      </c>
      <c r="C5" s="333" t="s">
        <v>414</v>
      </c>
      <c r="D5" s="49" t="s">
        <v>413</v>
      </c>
    </row>
    <row r="6" spans="1:10" x14ac:dyDescent="0.35">
      <c r="B6" s="4" t="s">
        <v>96</v>
      </c>
      <c r="C6" s="50">
        <v>14.96</v>
      </c>
      <c r="D6" s="48" t="s">
        <v>41</v>
      </c>
      <c r="E6" s="48"/>
    </row>
    <row r="7" spans="1:10" x14ac:dyDescent="0.35">
      <c r="B7" s="4" t="s">
        <v>0</v>
      </c>
      <c r="C7" s="51">
        <v>2584797906</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38668.576673759999</v>
      </c>
      <c r="D10" s="32"/>
      <c r="E10" s="5"/>
    </row>
    <row r="11" spans="1:10" x14ac:dyDescent="0.35">
      <c r="D11" s="5"/>
      <c r="E11" s="5"/>
    </row>
    <row r="12" spans="1:10" ht="24.4" customHeight="1" x14ac:dyDescent="0.35">
      <c r="B12" s="338" t="s">
        <v>375</v>
      </c>
      <c r="C12" s="338"/>
      <c r="D12" s="338"/>
      <c r="E12" s="338"/>
      <c r="F12" s="338"/>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407</v>
      </c>
      <c r="D16" s="32"/>
      <c r="E16" s="5"/>
    </row>
    <row r="17" spans="1:6" x14ac:dyDescent="0.35">
      <c r="B17" s="4" t="s">
        <v>1</v>
      </c>
      <c r="C17" s="50">
        <v>1.06</v>
      </c>
      <c r="D17" s="32" t="str">
        <f>IF(C16=D6,D6,C16&amp;"/"&amp;D6)</f>
        <v>CNY/HKD</v>
      </c>
      <c r="E17" s="5"/>
    </row>
    <row r="18" spans="1:6" x14ac:dyDescent="0.35">
      <c r="B18" s="2" t="s">
        <v>57</v>
      </c>
      <c r="C18" s="48" t="s">
        <v>415</v>
      </c>
      <c r="E18" s="5"/>
    </row>
    <row r="19" spans="1:6" x14ac:dyDescent="0.35">
      <c r="B19" s="2" t="s">
        <v>280</v>
      </c>
      <c r="C19" s="249">
        <v>0.25</v>
      </c>
      <c r="E19" s="5"/>
    </row>
    <row r="20" spans="1:6" x14ac:dyDescent="0.35">
      <c r="B20" s="2" t="str">
        <f>"Target Buy Price ("&amp;Market_currency&amp;"):"</f>
        <v>Target Buy Price (HKD):</v>
      </c>
      <c r="C20" s="252">
        <f>C129</f>
        <v>13.36048258046131</v>
      </c>
      <c r="D20" s="1" t="s">
        <v>319</v>
      </c>
      <c r="E20" s="330">
        <v>3</v>
      </c>
    </row>
    <row r="21" spans="1:6" x14ac:dyDescent="0.35">
      <c r="B21" s="1" t="s">
        <v>374</v>
      </c>
      <c r="C21" s="280">
        <f ca="1">Scenarios!C87</f>
        <v>0.20236403420229543</v>
      </c>
      <c r="D21" s="5"/>
      <c r="E21" s="5"/>
    </row>
    <row r="22" spans="1:6" x14ac:dyDescent="0.35">
      <c r="D22" s="5"/>
      <c r="E22" s="5"/>
    </row>
    <row r="23" spans="1:6" ht="13.9" x14ac:dyDescent="0.45">
      <c r="A23" s="247" t="s">
        <v>368</v>
      </c>
      <c r="B23" s="36"/>
      <c r="C23" s="36"/>
      <c r="D23" s="36"/>
      <c r="E23" s="36"/>
      <c r="F23" s="36"/>
    </row>
    <row r="25" spans="1:6" ht="24.4" customHeight="1" x14ac:dyDescent="0.35">
      <c r="B25" s="338" t="s">
        <v>376</v>
      </c>
      <c r="C25" s="338"/>
      <c r="D25" s="338"/>
      <c r="E25" s="338"/>
      <c r="F25" s="338"/>
    </row>
    <row r="26" spans="1:6" ht="24.4" customHeight="1" x14ac:dyDescent="0.35">
      <c r="B26" s="341" t="s">
        <v>352</v>
      </c>
      <c r="C26" s="341"/>
      <c r="D26" s="341"/>
      <c r="E26" s="341"/>
      <c r="F26" s="341"/>
    </row>
    <row r="28" spans="1:6" x14ac:dyDescent="0.35">
      <c r="B28" s="234" t="s">
        <v>232</v>
      </c>
      <c r="C28" s="108">
        <f>Data!C3</f>
        <v>1000</v>
      </c>
    </row>
    <row r="29" spans="1:6" ht="24.4" customHeight="1" x14ac:dyDescent="0.35">
      <c r="B29" s="339" t="s">
        <v>233</v>
      </c>
      <c r="C29" s="339"/>
      <c r="D29" s="339"/>
      <c r="E29" s="339"/>
      <c r="F29" s="339"/>
    </row>
    <row r="30" spans="1:6" x14ac:dyDescent="0.35">
      <c r="B30" s="47" t="s">
        <v>234</v>
      </c>
      <c r="C30" s="188">
        <f>Normalized_FCF!C8</f>
        <v>3916333.2298004925</v>
      </c>
      <c r="D30" s="1" t="str">
        <f>Reporting_currency</f>
        <v>CNY</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0</v>
      </c>
      <c r="D33" s="1" t="str">
        <f>Reporting_currency</f>
        <v>CNY</v>
      </c>
    </row>
    <row r="34" spans="2:6" x14ac:dyDescent="0.35">
      <c r="B34" s="52" t="s">
        <v>237</v>
      </c>
      <c r="C34" s="188">
        <f>Normalized_FCF!C10</f>
        <v>0</v>
      </c>
      <c r="D34" s="1" t="str">
        <f>Reporting_currency</f>
        <v>CNY</v>
      </c>
    </row>
    <row r="36" spans="2:6" x14ac:dyDescent="0.35">
      <c r="B36" s="339" t="s">
        <v>238</v>
      </c>
      <c r="C36" s="339"/>
      <c r="D36" s="339"/>
      <c r="E36" s="339"/>
      <c r="F36" s="339"/>
    </row>
    <row r="37" spans="2:6" x14ac:dyDescent="0.35">
      <c r="B37" s="47" t="s">
        <v>239</v>
      </c>
      <c r="C37" s="188">
        <f>Normalized_FCF!C11</f>
        <v>0</v>
      </c>
      <c r="D37" s="1" t="str">
        <f>Reporting_currency</f>
        <v>CNY</v>
      </c>
    </row>
    <row r="39" spans="2:6" x14ac:dyDescent="0.35">
      <c r="B39" s="339" t="s">
        <v>242</v>
      </c>
      <c r="C39" s="339"/>
      <c r="D39" s="339"/>
      <c r="E39" s="339"/>
      <c r="F39" s="339"/>
    </row>
    <row r="40" spans="2:6" x14ac:dyDescent="0.35">
      <c r="B40" s="47" t="s">
        <v>353</v>
      </c>
      <c r="C40" s="322">
        <f>Normalized_FCF!C48</f>
        <v>93295.094561295133</v>
      </c>
      <c r="D40" s="1" t="str">
        <f>Reporting_currency</f>
        <v>CNY</v>
      </c>
      <c r="E40" s="321"/>
      <c r="F40" s="321"/>
    </row>
    <row r="41" spans="2:6" x14ac:dyDescent="0.35">
      <c r="B41" s="47" t="s">
        <v>354</v>
      </c>
      <c r="C41" s="322">
        <f>Normalized_FCF!C47</f>
        <v>-254421</v>
      </c>
      <c r="D41" s="1" t="str">
        <f>Reporting_currency</f>
        <v>CNY</v>
      </c>
      <c r="E41" s="321"/>
      <c r="F41" s="321"/>
    </row>
    <row r="42" spans="2:6" x14ac:dyDescent="0.35">
      <c r="B42" s="47" t="s">
        <v>240</v>
      </c>
      <c r="C42" s="188">
        <f>Normalized_FCF!C12</f>
        <v>-161125.90543870488</v>
      </c>
      <c r="D42" s="1" t="str">
        <f>Reporting_currency</f>
        <v>CNY</v>
      </c>
    </row>
    <row r="44" spans="2:6" x14ac:dyDescent="0.35">
      <c r="B44" s="1" t="s">
        <v>248</v>
      </c>
    </row>
    <row r="45" spans="2:6" x14ac:dyDescent="0.35">
      <c r="B45" s="47" t="s">
        <v>268</v>
      </c>
      <c r="C45" s="188">
        <f>Normalized_FCF!C15</f>
        <v>0</v>
      </c>
      <c r="D45" s="1" t="str">
        <f>Reporting_currency</f>
        <v>CNY</v>
      </c>
    </row>
    <row r="47" spans="2:6" x14ac:dyDescent="0.35">
      <c r="B47" s="339" t="s">
        <v>243</v>
      </c>
      <c r="C47" s="339"/>
      <c r="D47" s="339"/>
      <c r="E47" s="339"/>
      <c r="F47" s="339"/>
    </row>
    <row r="48" spans="2:6" x14ac:dyDescent="0.35">
      <c r="B48" s="47" t="s">
        <v>241</v>
      </c>
      <c r="C48" s="188">
        <f>Normalized_FCF!C14</f>
        <v>-938801.83109044691</v>
      </c>
      <c r="D48" s="1" t="str">
        <f>Reporting_currency</f>
        <v>CNY</v>
      </c>
    </row>
    <row r="50" spans="1:6" x14ac:dyDescent="0.35">
      <c r="B50" s="339" t="s">
        <v>351</v>
      </c>
      <c r="C50" s="340"/>
      <c r="D50" s="340"/>
      <c r="E50" s="340"/>
      <c r="F50" s="340"/>
    </row>
    <row r="51" spans="1:6" x14ac:dyDescent="0.35">
      <c r="B51" s="47" t="s">
        <v>244</v>
      </c>
      <c r="C51" s="1">
        <f>Normalized_FCF!C17</f>
        <v>0</v>
      </c>
      <c r="D51" s="1" t="str">
        <f>Reporting_currency</f>
        <v>CNY</v>
      </c>
    </row>
    <row r="53" spans="1:6" ht="24.4" customHeight="1" x14ac:dyDescent="0.35">
      <c r="B53" s="338" t="s">
        <v>356</v>
      </c>
      <c r="C53" s="338"/>
      <c r="D53" s="338"/>
      <c r="E53" s="338"/>
      <c r="F53" s="338"/>
    </row>
    <row r="54" spans="1:6" ht="24.4" customHeight="1" x14ac:dyDescent="0.35">
      <c r="B54" s="338" t="s">
        <v>377</v>
      </c>
      <c r="C54" s="338"/>
      <c r="D54" s="338"/>
      <c r="E54" s="338"/>
      <c r="F54" s="338"/>
    </row>
    <row r="56" spans="1:6" x14ac:dyDescent="0.35">
      <c r="B56" s="47" t="s">
        <v>273</v>
      </c>
      <c r="C56" s="188">
        <f>Normalized_FCF!G19</f>
        <v>2273287.3685612953</v>
      </c>
      <c r="D56" s="1" t="str">
        <f>Reporting_currency</f>
        <v>CNY</v>
      </c>
    </row>
    <row r="57" spans="1:6" x14ac:dyDescent="0.35">
      <c r="B57" s="47" t="s">
        <v>250</v>
      </c>
      <c r="C57" s="188">
        <f>Normalized_FCF!C19</f>
        <v>2816405.4932713406</v>
      </c>
      <c r="D57" s="1" t="str">
        <f>Reporting_currency</f>
        <v>CNY</v>
      </c>
    </row>
    <row r="58" spans="1:6" x14ac:dyDescent="0.35">
      <c r="B58" s="254" t="s">
        <v>406</v>
      </c>
      <c r="C58" s="92">
        <f>Normalized_FCF!C125</f>
        <v>7.7204543835549769E-2</v>
      </c>
    </row>
    <row r="59" spans="1:6" x14ac:dyDescent="0.35">
      <c r="B59" s="254" t="s">
        <v>320</v>
      </c>
      <c r="C59" s="92">
        <f>Normalized_FCF!C93</f>
        <v>3.687821612349914E-2</v>
      </c>
    </row>
    <row r="61" spans="1:6" ht="13.9" x14ac:dyDescent="0.45">
      <c r="A61" s="247" t="s">
        <v>369</v>
      </c>
      <c r="B61" s="36"/>
      <c r="C61" s="36"/>
      <c r="D61" s="36"/>
      <c r="E61" s="36"/>
      <c r="F61" s="36"/>
    </row>
    <row r="62" spans="1:6" x14ac:dyDescent="0.35">
      <c r="A62" s="233"/>
    </row>
    <row r="63" spans="1:6" ht="24.4" customHeight="1" x14ac:dyDescent="0.35">
      <c r="A63" s="17"/>
      <c r="B63" s="338" t="s">
        <v>378</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8" t="s">
        <v>379</v>
      </c>
      <c r="C73" s="338"/>
      <c r="D73" s="338"/>
      <c r="E73" s="338"/>
      <c r="F73" s="338"/>
    </row>
    <row r="74" spans="1:6" ht="24.4" customHeight="1" x14ac:dyDescent="0.35">
      <c r="B74" s="338" t="s">
        <v>380</v>
      </c>
      <c r="C74" s="338"/>
      <c r="D74" s="338"/>
      <c r="E74" s="338"/>
      <c r="F74" s="338"/>
    </row>
    <row r="76" spans="1:6" x14ac:dyDescent="0.35">
      <c r="B76" s="47" t="s">
        <v>253</v>
      </c>
      <c r="C76" s="263">
        <v>0</v>
      </c>
    </row>
    <row r="77" spans="1:6" x14ac:dyDescent="0.35">
      <c r="B77" s="47" t="s">
        <v>287</v>
      </c>
      <c r="C77" s="248">
        <f>Valuation_Model!C6*C28*Exchange_Rate/Common_Shares</f>
        <v>14.437249697247807</v>
      </c>
      <c r="D77" s="1" t="str">
        <f>Market_currency</f>
        <v>HKD</v>
      </c>
    </row>
    <row r="79" spans="1:6" ht="13.9" x14ac:dyDescent="0.45">
      <c r="A79" s="247" t="s">
        <v>371</v>
      </c>
      <c r="B79" s="36"/>
      <c r="C79" s="36"/>
      <c r="D79" s="36"/>
      <c r="E79" s="36"/>
      <c r="F79" s="36"/>
    </row>
    <row r="80" spans="1:6" x14ac:dyDescent="0.35">
      <c r="A80" s="233"/>
    </row>
    <row r="81" spans="2:6" x14ac:dyDescent="0.35">
      <c r="B81" s="338" t="s">
        <v>381</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1936137</v>
      </c>
      <c r="D86" s="1" t="str">
        <f>Reporting_currency</f>
        <v>CNY</v>
      </c>
    </row>
    <row r="87" spans="2:6" x14ac:dyDescent="0.35">
      <c r="B87" s="47" t="s">
        <v>288</v>
      </c>
      <c r="C87" s="248">
        <f>C86*C28*Exchange_Rate/Common_Shares</f>
        <v>0.79399059216043799</v>
      </c>
      <c r="D87" s="1" t="str">
        <f>Market_currency</f>
        <v>HKD</v>
      </c>
    </row>
    <row r="89" spans="2:6" x14ac:dyDescent="0.35">
      <c r="B89" s="1" t="s">
        <v>256</v>
      </c>
    </row>
    <row r="90" spans="2:6" x14ac:dyDescent="0.35">
      <c r="B90" s="47" t="s">
        <v>267</v>
      </c>
      <c r="C90" s="188">
        <f>BS!C66</f>
        <v>18164188</v>
      </c>
      <c r="D90" s="1" t="str">
        <f>Reporting_currency</f>
        <v>CNY</v>
      </c>
    </row>
    <row r="91" spans="2:6" x14ac:dyDescent="0.35">
      <c r="B91" s="47" t="s">
        <v>269</v>
      </c>
      <c r="C91" s="188">
        <f>Valuation_Model!C8</f>
        <v>14218830.600339578</v>
      </c>
      <c r="D91" s="1" t="str">
        <f>Reporting_currency</f>
        <v>CNY</v>
      </c>
    </row>
    <row r="92" spans="2:6" x14ac:dyDescent="0.35">
      <c r="B92" s="47" t="s">
        <v>289</v>
      </c>
      <c r="C92" s="248">
        <f>C91*C28*Exchange_Rate/Common_Shares</f>
        <v>5.8310014881140013</v>
      </c>
      <c r="D92" s="1" t="str">
        <f>Market_currency</f>
        <v>HKD</v>
      </c>
    </row>
    <row r="94" spans="2:6" x14ac:dyDescent="0.35">
      <c r="B94" s="1" t="s">
        <v>258</v>
      </c>
    </row>
    <row r="95" spans="2:6" x14ac:dyDescent="0.35">
      <c r="B95" s="47" t="s">
        <v>259</v>
      </c>
      <c r="C95" s="188">
        <f>Valuation_Model!C9</f>
        <v>735966</v>
      </c>
      <c r="D95" s="1" t="str">
        <f>Reporting_currency</f>
        <v>CNY</v>
      </c>
    </row>
    <row r="96" spans="2:6" x14ac:dyDescent="0.35">
      <c r="B96" s="47" t="s">
        <v>290</v>
      </c>
      <c r="C96" s="248">
        <f>C95*C28*Exchange_Rate/Common_Shares</f>
        <v>0.3018123614960867</v>
      </c>
      <c r="D96" s="1" t="str">
        <f>Market_currency</f>
        <v>HKD</v>
      </c>
    </row>
    <row r="98" spans="1:6" ht="24.4" customHeight="1" x14ac:dyDescent="0.35">
      <c r="B98" s="338" t="s">
        <v>382</v>
      </c>
      <c r="C98" s="338"/>
      <c r="D98" s="338"/>
      <c r="E98" s="338"/>
      <c r="F98" s="338"/>
    </row>
    <row r="100" spans="1:6" x14ac:dyDescent="0.35">
      <c r="B100" s="47" t="s">
        <v>286</v>
      </c>
      <c r="C100" s="248">
        <f>Valuation_Model!C12</f>
        <v>19.776072954697455</v>
      </c>
      <c r="D100" s="1" t="str">
        <f>Market_currency</f>
        <v>HKD</v>
      </c>
    </row>
    <row r="102" spans="1:6" ht="13.9" x14ac:dyDescent="0.45">
      <c r="A102" s="247" t="s">
        <v>372</v>
      </c>
      <c r="B102" s="36"/>
      <c r="C102" s="36"/>
      <c r="D102" s="36"/>
      <c r="E102" s="36"/>
      <c r="F102" s="36"/>
    </row>
    <row r="104" spans="1:6" ht="24.4" customHeight="1" x14ac:dyDescent="0.35">
      <c r="B104" s="339" t="s">
        <v>383</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0.08</v>
      </c>
      <c r="D107" s="257">
        <f>Valuation_Model!D74</f>
        <v>20</v>
      </c>
      <c r="E107" s="258" t="str">
        <f>ROUND(Valuation_Model!E74,2)&amp;" "&amp;Market_currency</f>
        <v>31.78 HKD</v>
      </c>
      <c r="F107" s="259">
        <f>Valuation_Model!F74</f>
        <v>0.1</v>
      </c>
    </row>
    <row r="108" spans="1:6" x14ac:dyDescent="0.35">
      <c r="B108" s="242" t="str">
        <f>Valuation_Model!B75</f>
        <v>Optimistic</v>
      </c>
      <c r="C108" s="243">
        <f>Valuation_Model!C75</f>
        <v>0.06</v>
      </c>
      <c r="D108" s="244">
        <f>Valuation_Model!D75</f>
        <v>15</v>
      </c>
      <c r="E108" s="245" t="str">
        <f>ROUND(Valuation_Model!E75,2)&amp;" "&amp;Market_currency</f>
        <v>25.13 HKD</v>
      </c>
      <c r="F108" s="246">
        <f>Valuation_Model!F75</f>
        <v>0.255</v>
      </c>
    </row>
    <row r="109" spans="1:6" x14ac:dyDescent="0.35">
      <c r="B109" s="242" t="str">
        <f>Valuation_Model!B76</f>
        <v>Base</v>
      </c>
      <c r="C109" s="243">
        <f>Valuation_Model!C76</f>
        <v>0.04</v>
      </c>
      <c r="D109" s="244">
        <f>Valuation_Model!D76</f>
        <v>15</v>
      </c>
      <c r="E109" s="245" t="str">
        <f>ROUND(Valuation_Model!E76,2)&amp;" "&amp;Market_currency</f>
        <v>23.05 HKD</v>
      </c>
      <c r="F109" s="246">
        <f>Valuation_Model!F76</f>
        <v>0.42499999999999999</v>
      </c>
    </row>
    <row r="110" spans="1:6" x14ac:dyDescent="0.35">
      <c r="B110" s="242" t="str">
        <f>Valuation_Model!B77</f>
        <v>Pessimistic</v>
      </c>
      <c r="C110" s="243">
        <f>Valuation_Model!C77</f>
        <v>0.02</v>
      </c>
      <c r="D110" s="244">
        <f>Valuation_Model!D77</f>
        <v>15</v>
      </c>
      <c r="E110" s="245" t="str">
        <f>ROUND(Valuation_Model!E77,2)&amp;" "&amp;Market_currency</f>
        <v>21.29 HKD</v>
      </c>
      <c r="F110" s="246">
        <f>Valuation_Model!F77</f>
        <v>0.17</v>
      </c>
    </row>
    <row r="111" spans="1:6" x14ac:dyDescent="0.35">
      <c r="B111" s="242" t="str">
        <f>Valuation_Model!B78</f>
        <v>Devil's advocate</v>
      </c>
      <c r="C111" s="243">
        <f>Valuation_Model!C78</f>
        <v>0</v>
      </c>
      <c r="D111" s="244">
        <f>Valuation_Model!D78</f>
        <v>20</v>
      </c>
      <c r="E111" s="245" t="str">
        <f>ROUND(Valuation_Model!E78,2)&amp;" "&amp;Market_currency</f>
        <v>19.78 HKD</v>
      </c>
      <c r="F111" s="246">
        <f>Valuation_Model!F78</f>
        <v>0.05</v>
      </c>
    </row>
    <row r="113" spans="1:6" x14ac:dyDescent="0.35">
      <c r="B113" s="235" t="s">
        <v>260</v>
      </c>
      <c r="C113" s="241">
        <f>Scenarios!C60</f>
        <v>23.991343483359721</v>
      </c>
      <c r="D113" s="236" t="str">
        <f>Market_currency</f>
        <v>HKD</v>
      </c>
    </row>
    <row r="115" spans="1:6" ht="24.4" customHeight="1" x14ac:dyDescent="0.35">
      <c r="B115" s="342" t="s">
        <v>386</v>
      </c>
      <c r="C115" s="342"/>
      <c r="D115" s="342"/>
      <c r="E115" s="342"/>
      <c r="F115" s="342"/>
    </row>
    <row r="117" spans="1:6" ht="13.9" x14ac:dyDescent="0.45">
      <c r="A117" s="247" t="s">
        <v>373</v>
      </c>
      <c r="B117" s="36"/>
      <c r="C117" s="36"/>
      <c r="D117" s="36"/>
      <c r="E117" s="36"/>
      <c r="F117" s="36"/>
    </row>
    <row r="119" spans="1:6" x14ac:dyDescent="0.35">
      <c r="B119" s="343" t="s">
        <v>384</v>
      </c>
      <c r="C119" s="343"/>
      <c r="D119" s="343"/>
      <c r="E119" s="343"/>
      <c r="F119" s="343"/>
    </row>
    <row r="120" spans="1:6" ht="24.4" customHeight="1" x14ac:dyDescent="0.35">
      <c r="B120" s="338" t="s">
        <v>385</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0.55169811320754714</v>
      </c>
      <c r="D124" s="236" t="str">
        <f>Market_currency</f>
        <v>HKD</v>
      </c>
    </row>
    <row r="126" spans="1:6" x14ac:dyDescent="0.35">
      <c r="B126" s="234" t="s">
        <v>265</v>
      </c>
    </row>
    <row r="127" spans="1:6" x14ac:dyDescent="0.35">
      <c r="B127" s="236" t="str">
        <f>"PV("&amp;C122&amp;" yrs of Dividends)"</f>
        <v>PV(3 yrs of Dividends)</v>
      </c>
      <c r="C127" s="240">
        <f>Scenarios!C81</f>
        <v>1.0769147169811319</v>
      </c>
    </row>
    <row r="128" spans="1:6" x14ac:dyDescent="0.35">
      <c r="B128" s="236" t="str">
        <f>"+ PV(Equity Value realized at year "&amp;C122&amp;")"</f>
        <v>+ PV(Equity Value realized at year 3)</v>
      </c>
      <c r="C128" s="240">
        <f>Scenarios!C82</f>
        <v>12.283567863480178</v>
      </c>
    </row>
    <row r="129" spans="1:6" x14ac:dyDescent="0.35">
      <c r="B129" s="80" t="s">
        <v>262</v>
      </c>
      <c r="C129" s="239">
        <f>Scenarios!C83</f>
        <v>13.36048258046131</v>
      </c>
      <c r="D129" s="47" t="str">
        <f>Reporting_currency</f>
        <v>CNY</v>
      </c>
    </row>
    <row r="130" spans="1:6" x14ac:dyDescent="0.35">
      <c r="B130" s="238" t="s">
        <v>264</v>
      </c>
      <c r="C130" s="92">
        <f>Scenarios!F83</f>
        <v>0.44311236301843304</v>
      </c>
    </row>
    <row r="132" spans="1:6" ht="13.9" x14ac:dyDescent="0.45">
      <c r="A132" s="247" t="s">
        <v>390</v>
      </c>
      <c r="B132" s="36"/>
      <c r="C132" s="36"/>
      <c r="D132" s="36"/>
      <c r="E132" s="36"/>
      <c r="F132" s="36"/>
    </row>
    <row r="134" spans="1:6" x14ac:dyDescent="0.35">
      <c r="B134" s="337" t="s">
        <v>392</v>
      </c>
      <c r="C134" s="338"/>
      <c r="D134" s="338"/>
      <c r="E134" s="338"/>
      <c r="F134" s="338"/>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9" t="s">
        <v>397</v>
      </c>
      <c r="C143" s="339"/>
      <c r="D143" s="339"/>
      <c r="E143" s="339"/>
      <c r="F143" s="339"/>
    </row>
    <row r="145" spans="2:6" x14ac:dyDescent="0.35">
      <c r="B145" s="1" t="s">
        <v>401</v>
      </c>
    </row>
    <row r="146" spans="2:6" ht="24.4" customHeight="1" x14ac:dyDescent="0.35">
      <c r="B146" s="336" t="s">
        <v>398</v>
      </c>
      <c r="C146" s="336"/>
      <c r="D146" s="336"/>
      <c r="E146" s="336"/>
      <c r="F146" s="336"/>
    </row>
    <row r="147" spans="2:6" ht="24.4" customHeight="1" x14ac:dyDescent="0.35">
      <c r="B147" s="336" t="s">
        <v>399</v>
      </c>
      <c r="C147" s="336"/>
      <c r="D147" s="336"/>
      <c r="E147" s="336"/>
      <c r="F147" s="336"/>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0" activePane="bottomRight" state="frozen"/>
      <selection pane="topRight" activeCell="C1" sqref="C1"/>
      <selection pane="bottomLeft" activeCell="A2" sqref="A2"/>
      <selection pane="bottomRight" activeCell="C26" sqref="C2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x14ac:dyDescent="0.35">
      <c r="B5" s="40" t="s">
        <v>44</v>
      </c>
      <c r="C5" s="181">
        <v>14519540</v>
      </c>
      <c r="D5" s="181">
        <v>14246436</v>
      </c>
      <c r="E5" s="181">
        <v>13318590</v>
      </c>
      <c r="F5" s="181">
        <v>10603183</v>
      </c>
      <c r="G5" s="181">
        <v>7362627</v>
      </c>
      <c r="H5" s="181">
        <v>7064168</v>
      </c>
      <c r="I5" s="181">
        <v>5458124</v>
      </c>
      <c r="J5" s="181">
        <v>4697429</v>
      </c>
      <c r="K5" s="181">
        <v>4310065</v>
      </c>
      <c r="L5" s="181">
        <v>3896836</v>
      </c>
      <c r="M5" s="181"/>
    </row>
    <row r="6" spans="2:13" x14ac:dyDescent="0.35">
      <c r="B6" s="40" t="s">
        <v>55</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x14ac:dyDescent="0.35">
      <c r="B7" s="69" t="s">
        <v>62</v>
      </c>
      <c r="C7" s="189">
        <v>9198907</v>
      </c>
      <c r="D7" s="189">
        <v>9080121</v>
      </c>
      <c r="E7" s="189">
        <v>7314303</v>
      </c>
      <c r="F7" s="189">
        <v>6138077</v>
      </c>
      <c r="G7" s="189">
        <v>4424718</v>
      </c>
      <c r="H7" s="189">
        <v>4445070</v>
      </c>
      <c r="I7" s="189">
        <v>3708446</v>
      </c>
      <c r="J7" s="189">
        <v>3273375</v>
      </c>
      <c r="K7" s="189">
        <v>2969341</v>
      </c>
      <c r="L7" s="189">
        <v>2720361</v>
      </c>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254421</v>
      </c>
      <c r="D12" s="181">
        <v>181446</v>
      </c>
      <c r="E12" s="181">
        <v>120561</v>
      </c>
      <c r="F12" s="181">
        <v>112458</v>
      </c>
      <c r="G12" s="181"/>
      <c r="H12" s="181"/>
      <c r="I12" s="181"/>
      <c r="J12" s="181"/>
      <c r="K12" s="181"/>
      <c r="L12" s="181"/>
      <c r="M12" s="181"/>
    </row>
    <row r="13" spans="2:13" x14ac:dyDescent="0.35">
      <c r="B13" s="40" t="s">
        <v>68</v>
      </c>
      <c r="C13" s="181">
        <v>429525</v>
      </c>
      <c r="D13" s="181">
        <v>500556</v>
      </c>
      <c r="E13" s="181">
        <v>447748</v>
      </c>
      <c r="F13" s="181">
        <v>145097</v>
      </c>
      <c r="G13" s="181"/>
      <c r="H13" s="181"/>
      <c r="I13" s="181"/>
      <c r="J13" s="181"/>
      <c r="K13" s="181"/>
      <c r="L13" s="181"/>
      <c r="M13" s="181"/>
    </row>
    <row r="14" spans="2:13" x14ac:dyDescent="0.35">
      <c r="B14" s="40" t="s">
        <v>51</v>
      </c>
      <c r="C14" s="181">
        <v>1096691</v>
      </c>
      <c r="D14" s="181">
        <v>1069207</v>
      </c>
      <c r="E14" s="181">
        <v>1351329</v>
      </c>
      <c r="F14" s="181">
        <v>1317349</v>
      </c>
      <c r="G14" s="181">
        <v>549381</v>
      </c>
      <c r="H14" s="181">
        <v>357403</v>
      </c>
      <c r="I14" s="181">
        <v>135058</v>
      </c>
      <c r="J14" s="181">
        <v>22369</v>
      </c>
      <c r="K14" s="181">
        <v>32435</v>
      </c>
      <c r="L14" s="181">
        <v>73768</v>
      </c>
      <c r="M14" s="181"/>
    </row>
    <row r="15" spans="2:13" x14ac:dyDescent="0.35">
      <c r="B15" s="43" t="s">
        <v>43</v>
      </c>
      <c r="C15" s="182">
        <v>3186.91</v>
      </c>
      <c r="D15" s="182">
        <v>3186.91</v>
      </c>
      <c r="E15" s="182">
        <v>4063.8339999999998</v>
      </c>
      <c r="F15" s="182">
        <v>1698.4839999999999</v>
      </c>
      <c r="G15" s="182">
        <v>1698.4839999999999</v>
      </c>
      <c r="H15" s="182"/>
      <c r="I15" s="182"/>
      <c r="J15" s="182"/>
      <c r="K15" s="182"/>
      <c r="L15" s="182"/>
      <c r="M15" s="182"/>
    </row>
    <row r="16" spans="2:13" x14ac:dyDescent="0.35">
      <c r="B16" s="28" t="s">
        <v>45</v>
      </c>
      <c r="C16" s="181">
        <v>0</v>
      </c>
      <c r="D16" s="181">
        <v>52</v>
      </c>
      <c r="E16" s="181">
        <v>-63</v>
      </c>
      <c r="F16" s="181">
        <v>7</v>
      </c>
      <c r="G16" s="181">
        <v>0</v>
      </c>
      <c r="H16" s="181">
        <v>4</v>
      </c>
      <c r="I16" s="181">
        <v>0</v>
      </c>
      <c r="J16" s="181">
        <v>0</v>
      </c>
      <c r="K16" s="181">
        <v>57615</v>
      </c>
      <c r="L16" s="181">
        <v>47296</v>
      </c>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v>-1815.2739999999999</v>
      </c>
      <c r="D20" s="181">
        <v>-1815.2739999999999</v>
      </c>
      <c r="E20" s="181">
        <v>-1830.425</v>
      </c>
      <c r="F20" s="181">
        <v>-1027.7539999999999</v>
      </c>
      <c r="G20" s="181">
        <v>-745.63400000000001</v>
      </c>
      <c r="H20" s="181">
        <v>-649.02099999999996</v>
      </c>
      <c r="I20" s="181"/>
      <c r="J20" s="181"/>
      <c r="K20" s="181"/>
      <c r="L20" s="181"/>
      <c r="M20" s="181"/>
    </row>
    <row r="21" spans="2:13" x14ac:dyDescent="0.35">
      <c r="B21" s="27" t="s">
        <v>53</v>
      </c>
      <c r="C21" s="181">
        <v>-31.047000000000001</v>
      </c>
      <c r="D21" s="181">
        <v>-31.047000000000001</v>
      </c>
      <c r="E21" s="181">
        <v>-1133.2159999999999</v>
      </c>
      <c r="F21" s="181">
        <v>826.13499999999999</v>
      </c>
      <c r="G21" s="181">
        <v>141.60300000000001</v>
      </c>
      <c r="H21" s="181"/>
      <c r="I21" s="181"/>
      <c r="J21" s="181"/>
      <c r="K21" s="181"/>
      <c r="L21" s="181"/>
      <c r="M21" s="181"/>
    </row>
    <row r="22" spans="2:13" x14ac:dyDescent="0.35">
      <c r="B22" s="27" t="s">
        <v>387</v>
      </c>
      <c r="C22" s="181"/>
      <c r="D22" s="181">
        <v>4687936</v>
      </c>
      <c r="E22" s="181">
        <v>3913604</v>
      </c>
      <c r="F22" s="181">
        <v>6525335</v>
      </c>
      <c r="G22" s="181">
        <v>2763336</v>
      </c>
      <c r="H22" s="181">
        <v>3503469</v>
      </c>
      <c r="I22" s="181">
        <v>1671869</v>
      </c>
      <c r="J22" s="181">
        <v>1159143</v>
      </c>
      <c r="K22" s="181">
        <v>995476</v>
      </c>
      <c r="L22" s="181">
        <v>687043</v>
      </c>
      <c r="M22" s="181"/>
    </row>
    <row r="23" spans="2:13" x14ac:dyDescent="0.35">
      <c r="B23" s="27" t="s">
        <v>389</v>
      </c>
      <c r="C23" s="181"/>
      <c r="D23" s="181">
        <v>-2449105</v>
      </c>
      <c r="E23" s="181">
        <v>-9481433</v>
      </c>
      <c r="F23" s="181">
        <v>-6538700</v>
      </c>
      <c r="G23" s="181">
        <v>-991555</v>
      </c>
      <c r="H23" s="181">
        <v>-573343</v>
      </c>
      <c r="I23" s="181">
        <v>-482937</v>
      </c>
      <c r="J23" s="181">
        <v>-342516</v>
      </c>
      <c r="K23" s="181">
        <v>-320306</v>
      </c>
      <c r="L23" s="181">
        <v>-362745</v>
      </c>
      <c r="M23" s="181"/>
    </row>
    <row r="24" spans="2:13" x14ac:dyDescent="0.35">
      <c r="B24" s="27" t="s">
        <v>388</v>
      </c>
      <c r="C24" s="181"/>
      <c r="D24" s="181">
        <v>-4216951</v>
      </c>
      <c r="E24" s="181">
        <v>-1887435</v>
      </c>
      <c r="F24" s="181">
        <v>7596150</v>
      </c>
      <c r="G24" s="181">
        <v>-513491</v>
      </c>
      <c r="H24" s="181">
        <v>-648624</v>
      </c>
      <c r="I24" s="181">
        <v>-65643</v>
      </c>
      <c r="J24" s="181">
        <v>-232493</v>
      </c>
      <c r="K24" s="181">
        <v>-509027</v>
      </c>
      <c r="L24" s="181">
        <v>636375</v>
      </c>
      <c r="M24" s="181"/>
    </row>
    <row r="25" spans="2:13" x14ac:dyDescent="0.35">
      <c r="B25" s="24" t="str">
        <f>"Dividend per share ("&amp;Market_currency&amp;")"</f>
        <v>Dividend per share (HKD)</v>
      </c>
      <c r="C25" s="39">
        <f>(0.2073+0.3775)/Exchange_Rate</f>
        <v>0.55169811320754714</v>
      </c>
      <c r="D25" s="39"/>
      <c r="E25" s="39"/>
      <c r="F25" s="39"/>
      <c r="G25" s="39"/>
      <c r="H25" s="39"/>
      <c r="I25" s="39"/>
      <c r="J25" s="39"/>
      <c r="K25" s="39"/>
      <c r="L25" s="39"/>
      <c r="M25" s="39"/>
    </row>
    <row r="27" spans="2:13" x14ac:dyDescent="0.35">
      <c r="B27" s="16" t="s">
        <v>28</v>
      </c>
      <c r="C27" s="97" t="s">
        <v>221</v>
      </c>
    </row>
    <row r="28" spans="2:13" x14ac:dyDescent="0.35">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x14ac:dyDescent="0.35">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x14ac:dyDescent="0.35">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x14ac:dyDescent="0.35">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x14ac:dyDescent="0.35">
      <c r="B32" s="26" t="s">
        <v>174</v>
      </c>
      <c r="C32" s="183">
        <f>BS!G28</f>
        <v>0</v>
      </c>
      <c r="D32" s="181">
        <v>0</v>
      </c>
      <c r="E32" s="181">
        <v>2498</v>
      </c>
      <c r="F32" s="181">
        <v>2561</v>
      </c>
      <c r="G32" s="182">
        <v>2554</v>
      </c>
      <c r="H32" s="182">
        <v>2554</v>
      </c>
      <c r="I32" s="182">
        <v>2550</v>
      </c>
      <c r="J32" s="182">
        <v>2550</v>
      </c>
      <c r="K32" s="182">
        <v>2550</v>
      </c>
      <c r="L32" s="182">
        <v>230637</v>
      </c>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x14ac:dyDescent="0.35">
      <c r="B37" s="40" t="s">
        <v>44</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x14ac:dyDescent="0.35">
      <c r="B38" s="31" t="s">
        <v>59</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x14ac:dyDescent="0.35">
      <c r="B39" s="40" t="s">
        <v>55</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x14ac:dyDescent="0.35">
      <c r="B40" s="69" t="s">
        <v>62</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x14ac:dyDescent="0.35">
      <c r="B41" s="69" t="s">
        <v>65</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154</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x14ac:dyDescent="0.35">
      <c r="B44" s="43" t="s">
        <v>170</v>
      </c>
      <c r="C44" s="187">
        <f t="shared" ref="C44:M44" si="18">IF(C$4="","",C47-C46-C45-C43)</f>
        <v>-2604515.09</v>
      </c>
      <c r="D44" s="187">
        <f t="shared" si="18"/>
        <v>-2262498.09</v>
      </c>
      <c r="E44" s="187">
        <f t="shared" si="18"/>
        <v>-3029066.1660000002</v>
      </c>
      <c r="F44" s="187">
        <f t="shared" si="18"/>
        <v>-3433937.5159999998</v>
      </c>
      <c r="G44" s="187">
        <f t="shared" si="18"/>
        <v>-1313488.5159999998</v>
      </c>
      <c r="H44" s="187">
        <f t="shared" si="18"/>
        <v>-1034725</v>
      </c>
      <c r="I44" s="187">
        <f t="shared" si="18"/>
        <v>-529397</v>
      </c>
      <c r="J44" s="187">
        <f t="shared" si="18"/>
        <v>-379673</v>
      </c>
      <c r="K44" s="187">
        <f t="shared" si="18"/>
        <v>-279323</v>
      </c>
      <c r="L44" s="187">
        <f t="shared" si="18"/>
        <v>-52381</v>
      </c>
      <c r="M44" s="187" t="str">
        <f t="shared" si="18"/>
        <v/>
      </c>
    </row>
    <row r="45" spans="2:13" x14ac:dyDescent="0.35">
      <c r="B45" s="40" t="s">
        <v>69</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x14ac:dyDescent="0.35">
      <c r="B46" s="40" t="s">
        <v>51</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x14ac:dyDescent="0.35">
      <c r="B47" s="43" t="s">
        <v>43</v>
      </c>
      <c r="C47" s="186">
        <f t="shared" ref="C47:M47" si="21">IF(C$4="","",C15)</f>
        <v>3186.91</v>
      </c>
      <c r="D47" s="186">
        <f t="shared" si="21"/>
        <v>3186.91</v>
      </c>
      <c r="E47" s="186">
        <f t="shared" si="21"/>
        <v>4063.8339999999998</v>
      </c>
      <c r="F47" s="186">
        <f t="shared" si="21"/>
        <v>1698.4839999999999</v>
      </c>
      <c r="G47" s="186">
        <f t="shared" si="21"/>
        <v>1698.4839999999999</v>
      </c>
      <c r="H47" s="186">
        <f t="shared" si="21"/>
        <v>0</v>
      </c>
      <c r="I47" s="186">
        <f t="shared" si="21"/>
        <v>0</v>
      </c>
      <c r="J47" s="186">
        <f t="shared" si="21"/>
        <v>0</v>
      </c>
      <c r="K47" s="186">
        <f t="shared" si="21"/>
        <v>0</v>
      </c>
      <c r="L47" s="186">
        <f t="shared" si="21"/>
        <v>0</v>
      </c>
      <c r="M47" s="186" t="str">
        <f t="shared" si="21"/>
        <v/>
      </c>
    </row>
    <row r="48" spans="2:13" x14ac:dyDescent="0.35">
      <c r="B48" s="28" t="s">
        <v>45</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x14ac:dyDescent="0.35">
      <c r="B50" s="16" t="s">
        <v>69</v>
      </c>
    </row>
    <row r="51" spans="2:13" x14ac:dyDescent="0.35">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x14ac:dyDescent="0.35">
      <c r="B52" s="40" t="s">
        <v>68</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162</v>
      </c>
      <c r="C58" s="188">
        <f>IF(C$4="","",C44-C55-C56-C57)</f>
        <v>-2604515.09</v>
      </c>
      <c r="D58" s="188">
        <f t="shared" ref="D58:M58" si="28">IF(D$4="","",D44-D55-D56-D57)</f>
        <v>-2262498.09</v>
      </c>
      <c r="E58" s="188">
        <f t="shared" si="28"/>
        <v>-3029066.1660000002</v>
      </c>
      <c r="F58" s="188">
        <f t="shared" si="28"/>
        <v>-3433937.5159999998</v>
      </c>
      <c r="G58" s="188">
        <f t="shared" si="28"/>
        <v>-1313488.5159999998</v>
      </c>
      <c r="H58" s="188">
        <f t="shared" si="28"/>
        <v>-1034725</v>
      </c>
      <c r="I58" s="188">
        <f t="shared" si="28"/>
        <v>-529397</v>
      </c>
      <c r="J58" s="188">
        <f t="shared" si="28"/>
        <v>-379673</v>
      </c>
      <c r="K58" s="188">
        <f t="shared" si="28"/>
        <v>-279323</v>
      </c>
      <c r="L58" s="188">
        <f t="shared" si="28"/>
        <v>-52381</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54</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x14ac:dyDescent="0.35">
      <c r="B63" s="27" t="s">
        <v>53</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x14ac:dyDescent="0.35">
      <c r="B64" s="27" t="s">
        <v>410</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x14ac:dyDescent="0.35">
      <c r="B65" s="24" t="s">
        <v>36</v>
      </c>
      <c r="C65" s="73">
        <f>IF(C$4="","",C25)</f>
        <v>0.55169811320754714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86</v>
      </c>
    </row>
    <row r="68" spans="2:13" x14ac:dyDescent="0.35">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x14ac:dyDescent="0.35">
      <c r="B69" s="31" t="s">
        <v>59</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x14ac:dyDescent="0.35">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x14ac:dyDescent="0.35">
      <c r="B71" s="43" t="s">
        <v>170</v>
      </c>
      <c r="C71" s="101">
        <f>IF(D$36="","",C44/D44-1)</f>
        <v>0.15116786242237223</v>
      </c>
      <c r="D71" s="101">
        <f t="shared" ref="D71:M71" si="37">IF(E$36="","",D44/E44-1)</f>
        <v>-0.25307075976233406</v>
      </c>
      <c r="E71" s="101">
        <f t="shared" si="37"/>
        <v>-0.11790294614085217</v>
      </c>
      <c r="F71" s="101">
        <f t="shared" si="37"/>
        <v>1.6143643238369969</v>
      </c>
      <c r="G71" s="101">
        <f t="shared" si="37"/>
        <v>0.2694083123535238</v>
      </c>
      <c r="H71" s="101">
        <f t="shared" si="37"/>
        <v>0.95453506536682298</v>
      </c>
      <c r="I71" s="101">
        <f t="shared" si="37"/>
        <v>0.39434987476064931</v>
      </c>
      <c r="J71" s="101">
        <f t="shared" si="37"/>
        <v>0.3592615001270929</v>
      </c>
      <c r="K71" s="101">
        <f t="shared" si="37"/>
        <v>4.332525152249862</v>
      </c>
      <c r="L71" s="101" t="str">
        <f t="shared" si="37"/>
        <v/>
      </c>
      <c r="M71" s="101" t="str">
        <f t="shared" si="37"/>
        <v/>
      </c>
    </row>
    <row r="72" spans="2:13" x14ac:dyDescent="0.35">
      <c r="B72" s="80" t="str">
        <f>B47</f>
        <v>Reported Net Income</v>
      </c>
      <c r="C72" s="101">
        <f>IF(D$36="","",C47/D47-1)</f>
        <v>0</v>
      </c>
      <c r="D72" s="101">
        <f t="shared" ref="D72:M72" si="38">IF(E$36="","",D47/E47-1)</f>
        <v>-0.21578735745603783</v>
      </c>
      <c r="E72" s="101">
        <f t="shared" si="38"/>
        <v>1.3926242460923977</v>
      </c>
      <c r="F72" s="101">
        <f t="shared" si="38"/>
        <v>0</v>
      </c>
      <c r="G72" s="101" t="e">
        <f t="shared" si="38"/>
        <v>#DIV/0!</v>
      </c>
      <c r="H72" s="101" t="e">
        <f t="shared" si="38"/>
        <v>#DIV/0!</v>
      </c>
      <c r="I72" s="101" t="e">
        <f t="shared" si="38"/>
        <v>#DIV/0!</v>
      </c>
      <c r="J72" s="101" t="e">
        <f t="shared" si="38"/>
        <v>#DIV/0!</v>
      </c>
      <c r="K72" s="101" t="e">
        <f t="shared" si="38"/>
        <v>#DIV/0!</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x14ac:dyDescent="0.35">
      <c r="B77" s="93" t="s">
        <v>87</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x14ac:dyDescent="0.35">
      <c r="B78" s="93" t="s">
        <v>88</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x14ac:dyDescent="0.35">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x14ac:dyDescent="0.35">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77" sqref="F77"/>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1004591+245432</f>
        <v>1250023</v>
      </c>
      <c r="D4" s="294">
        <v>0.6</v>
      </c>
      <c r="E4" s="25"/>
      <c r="F4" s="4" t="s">
        <v>79</v>
      </c>
      <c r="G4" s="19">
        <f>8264361+7498596</f>
        <v>15762957</v>
      </c>
      <c r="H4" s="294">
        <v>0.9</v>
      </c>
    </row>
    <row r="5" spans="2:8" ht="15" customHeight="1" x14ac:dyDescent="0.35">
      <c r="B5" s="1" t="s">
        <v>33</v>
      </c>
      <c r="C5" s="19">
        <v>0</v>
      </c>
      <c r="D5" s="294">
        <v>0.6</v>
      </c>
      <c r="E5" s="25"/>
      <c r="F5" s="1" t="s">
        <v>29</v>
      </c>
      <c r="G5" s="19">
        <v>23261</v>
      </c>
      <c r="H5" s="294">
        <v>0.7</v>
      </c>
    </row>
    <row r="6" spans="2:8" ht="15" customHeight="1" x14ac:dyDescent="0.35">
      <c r="B6" s="4" t="s">
        <v>10</v>
      </c>
      <c r="C6" s="19">
        <v>2598226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893775</v>
      </c>
      <c r="D11" s="294">
        <v>0.05</v>
      </c>
      <c r="H11" s="295"/>
    </row>
    <row r="12" spans="2:8" ht="15" customHeight="1" x14ac:dyDescent="0.35">
      <c r="B12" s="80" t="s">
        <v>73</v>
      </c>
      <c r="C12" s="81">
        <f>SUM(C4:C11)</f>
        <v>4742024</v>
      </c>
      <c r="D12" s="20">
        <f>C4*D4+C5*D5+C9*D9+C6*D6+C8*D8+C7*D7+C10*D10+C11*D11</f>
        <v>2093815.5499999998</v>
      </c>
      <c r="F12" s="80" t="s">
        <v>71</v>
      </c>
      <c r="G12" s="81">
        <f>SUM(G4:G9)</f>
        <v>15786218</v>
      </c>
      <c r="H12" s="20">
        <f>G4*H4+G5*H5+G6*H6+G7*H7+G8*H8+G9*H9</f>
        <v>14202944</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166519</v>
      </c>
      <c r="D15" s="294">
        <v>0.4</v>
      </c>
      <c r="F15" s="4" t="s">
        <v>80</v>
      </c>
      <c r="G15" s="19">
        <v>2377970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450316</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4610454+1576667+150864</f>
        <v>6337985</v>
      </c>
      <c r="D19" s="294">
        <v>0.1</v>
      </c>
      <c r="F19" s="4" t="s">
        <v>184</v>
      </c>
      <c r="G19" s="19">
        <v>1743938</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234736</v>
      </c>
      <c r="D21" s="294">
        <v>0.05</v>
      </c>
      <c r="F21" s="1" t="s">
        <v>182</v>
      </c>
      <c r="G21" s="19">
        <v>2913826</v>
      </c>
      <c r="H21" s="294">
        <v>0.1</v>
      </c>
    </row>
    <row r="22" spans="2:8" ht="15" customHeight="1" x14ac:dyDescent="0.35">
      <c r="B22" s="4" t="s">
        <v>20</v>
      </c>
      <c r="C22" s="19">
        <v>949424</v>
      </c>
      <c r="D22" s="294">
        <v>0.9</v>
      </c>
      <c r="H22" s="295"/>
    </row>
    <row r="23" spans="2:8" ht="15" customHeight="1" x14ac:dyDescent="0.35">
      <c r="B23" s="4" t="s">
        <v>21</v>
      </c>
      <c r="C23" s="19">
        <v>5450</v>
      </c>
      <c r="D23" s="294">
        <v>0</v>
      </c>
      <c r="H23" s="295"/>
    </row>
    <row r="24" spans="2:8" ht="15" customHeight="1" x14ac:dyDescent="0.35">
      <c r="B24" s="80" t="s">
        <v>75</v>
      </c>
      <c r="C24" s="81">
        <f>SUM(C15:C23)</f>
        <v>7694114</v>
      </c>
      <c r="D24" s="20">
        <f>C15*D15+C16*D16+C18*D18+C17*D17+C19*D19+C20*D20+C21*D21+C22*D22+C23*D23</f>
        <v>1566624.5</v>
      </c>
      <c r="F24" s="80" t="s">
        <v>72</v>
      </c>
      <c r="G24" s="81">
        <f>SUM(G15:G21)</f>
        <v>7486050</v>
      </c>
      <c r="H24" s="20">
        <f>G15*H15+G16*H16+G17*H17+G18*H18+G19*H19+G20*H20+G21*H21</f>
        <v>2638342</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26103689</v>
      </c>
      <c r="H27" s="209">
        <f>H32-G30</f>
        <v>10897009.050000001</v>
      </c>
    </row>
    <row r="28" spans="2:8" ht="15" customHeight="1" x14ac:dyDescent="0.35">
      <c r="B28" s="4" t="s">
        <v>6</v>
      </c>
      <c r="C28" s="19">
        <v>551610</v>
      </c>
      <c r="F28" s="210" t="s">
        <v>246</v>
      </c>
      <c r="G28" s="181">
        <v>0</v>
      </c>
      <c r="H28" s="209"/>
    </row>
    <row r="29" spans="2:8" ht="15" customHeight="1" x14ac:dyDescent="0.35">
      <c r="B29" s="4" t="s">
        <v>7</v>
      </c>
      <c r="C29" s="19">
        <v>0</v>
      </c>
      <c r="F29" s="211" t="s">
        <v>77</v>
      </c>
      <c r="G29" s="14">
        <f>G27-G28</f>
        <v>26103689</v>
      </c>
      <c r="H29" s="209">
        <f>H27-G28</f>
        <v>10897009.050000001</v>
      </c>
    </row>
    <row r="30" spans="2:8" ht="15" customHeight="1" x14ac:dyDescent="0.35">
      <c r="B30" s="2" t="s">
        <v>8</v>
      </c>
      <c r="C30" s="19">
        <v>0</v>
      </c>
      <c r="F30" s="208" t="s">
        <v>23</v>
      </c>
      <c r="G30" s="85">
        <f>C33+C42</f>
        <v>9604717</v>
      </c>
      <c r="H30" s="209"/>
    </row>
    <row r="31" spans="2:8" ht="15" customHeight="1" x14ac:dyDescent="0.35">
      <c r="B31" s="80" t="s">
        <v>205</v>
      </c>
      <c r="C31" s="81">
        <f>SUM(C27:C30)</f>
        <v>551610</v>
      </c>
      <c r="F31" s="211" t="s">
        <v>78</v>
      </c>
      <c r="G31" s="212">
        <f>C31+C40</f>
        <v>1936137</v>
      </c>
      <c r="H31" s="209"/>
    </row>
    <row r="32" spans="2:8" ht="15" customHeight="1" x14ac:dyDescent="0.35">
      <c r="B32" s="4" t="s">
        <v>9</v>
      </c>
      <c r="C32" s="21">
        <f>C33-C31</f>
        <v>7034336</v>
      </c>
      <c r="F32" s="213" t="s">
        <v>76</v>
      </c>
      <c r="G32" s="214">
        <f>G35+G40</f>
        <v>35708406</v>
      </c>
      <c r="H32" s="209">
        <f>H35+H40</f>
        <v>20501726.050000001</v>
      </c>
    </row>
    <row r="33" spans="2:8" ht="15" customHeight="1" x14ac:dyDescent="0.35">
      <c r="B33" s="83" t="s">
        <v>4</v>
      </c>
      <c r="C33" s="84">
        <v>7585946</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12436138</v>
      </c>
      <c r="H35" s="221">
        <f>D12+D24</f>
        <v>3660440.05</v>
      </c>
    </row>
    <row r="36" spans="2:8" ht="15" customHeight="1" x14ac:dyDescent="0.35">
      <c r="B36" s="4" t="s">
        <v>13</v>
      </c>
      <c r="C36" s="19">
        <v>0</v>
      </c>
      <c r="F36" s="211" t="s">
        <v>199</v>
      </c>
      <c r="G36" s="212">
        <f>C4+C15</f>
        <v>1416542</v>
      </c>
      <c r="H36" s="216"/>
    </row>
    <row r="37" spans="2:8" ht="15" customHeight="1" x14ac:dyDescent="0.35">
      <c r="B37" s="4" t="s">
        <v>14</v>
      </c>
      <c r="C37" s="19">
        <v>1384527</v>
      </c>
      <c r="F37" s="211" t="s">
        <v>200</v>
      </c>
      <c r="G37" s="212">
        <f>C6</f>
        <v>2598226</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6337985</v>
      </c>
      <c r="H39" s="209">
        <f>C7*D7+C17*D17+C19*D19+C20*D20</f>
        <v>633798.5</v>
      </c>
    </row>
    <row r="40" spans="2:8" ht="15" customHeight="1" x14ac:dyDescent="0.35">
      <c r="B40" s="80" t="s">
        <v>206</v>
      </c>
      <c r="C40" s="81">
        <f>SUM(C36:C39)</f>
        <v>1384527</v>
      </c>
      <c r="F40" s="220" t="s">
        <v>140</v>
      </c>
      <c r="G40" s="214">
        <f>G12+G24</f>
        <v>23272268</v>
      </c>
      <c r="H40" s="221">
        <f>H12+H24</f>
        <v>16841286</v>
      </c>
    </row>
    <row r="41" spans="2:8" ht="15" customHeight="1" x14ac:dyDescent="0.35">
      <c r="B41" s="4" t="s">
        <v>17</v>
      </c>
      <c r="C41" s="21">
        <f>C42-C40</f>
        <v>634244</v>
      </c>
      <c r="F41" s="211" t="s">
        <v>193</v>
      </c>
      <c r="G41" s="212">
        <f>C70</f>
        <v>18164188</v>
      </c>
      <c r="H41" s="221">
        <f>H40-H42</f>
        <v>16105320</v>
      </c>
    </row>
    <row r="42" spans="2:8" ht="15" customHeight="1" x14ac:dyDescent="0.35">
      <c r="B42" s="83" t="s">
        <v>22</v>
      </c>
      <c r="C42" s="84">
        <v>2018771</v>
      </c>
      <c r="F42" s="222" t="s">
        <v>194</v>
      </c>
      <c r="G42" s="223">
        <f>C82</f>
        <v>5108080</v>
      </c>
      <c r="H42" s="224">
        <f>D82</f>
        <v>735966</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26103689</v>
      </c>
      <c r="D46" s="188">
        <f>H29</f>
        <v>10897009.050000001</v>
      </c>
      <c r="F46" s="283"/>
    </row>
    <row r="47" spans="2:8" ht="15" customHeight="1" x14ac:dyDescent="0.35">
      <c r="B47" s="1" t="str">
        <f>"Equity per share ("&amp;Market_currency&amp;")"</f>
        <v>Equity per share (HKD)</v>
      </c>
      <c r="C47" s="148">
        <f>C46*H1/Common_Shares*Exchange_Rate</f>
        <v>10.704864111724486</v>
      </c>
      <c r="D47" s="148">
        <f>D46*H1/Common_Shares*Exchange_Rate</f>
        <v>4.4687553971579232</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0.4943749385949549</v>
      </c>
      <c r="D50" s="95">
        <f>G31/Normalized_FCF!G8</f>
        <v>0.54859123183168057</v>
      </c>
      <c r="F50" s="283"/>
    </row>
    <row r="51" spans="2:8" ht="15" customHeight="1" x14ac:dyDescent="0.35">
      <c r="B51" s="1" t="s">
        <v>178</v>
      </c>
      <c r="C51" s="202"/>
      <c r="D51" s="92">
        <f>G29/G32</f>
        <v>0.73102364188421065</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0.314915549328939</v>
      </c>
      <c r="D54" s="92">
        <f>Normalized_FCF!G8/G35</f>
        <v>0.28379300712166428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0.17749280099481338</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0</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18164188</v>
      </c>
      <c r="D66" s="188">
        <f>C66-D75</f>
        <v>14218830.600339578</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18164188</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-2214365.1773135848</v>
      </c>
      <c r="D73" s="188">
        <f>(Normalized_FCF!C25+Normalized_FCF!C35-Normalized_FCF!C91)/12</f>
        <v>-1972678.6998302105</v>
      </c>
      <c r="F73" s="1" t="s">
        <v>364</v>
      </c>
    </row>
    <row r="74" spans="2:6" ht="15" customHeight="1" x14ac:dyDescent="0.35">
      <c r="B74" s="288" t="s">
        <v>334</v>
      </c>
      <c r="C74" s="289">
        <f>-$C$66/C73</f>
        <v>8.2028873042685575</v>
      </c>
      <c r="D74" s="289">
        <f>-$C$66/D73</f>
        <v>9.2078796215336034</v>
      </c>
      <c r="F74" s="283" t="s">
        <v>331</v>
      </c>
    </row>
    <row r="75" spans="2:6" ht="15" customHeight="1" x14ac:dyDescent="0.35">
      <c r="B75" s="80" t="s">
        <v>332</v>
      </c>
      <c r="C75" s="293"/>
      <c r="D75" s="292">
        <f>MAX(-D73*D76,G5)</f>
        <v>3945357.3996604211</v>
      </c>
      <c r="F75" s="283" t="s">
        <v>365</v>
      </c>
    </row>
    <row r="76" spans="2:6" ht="15" customHeight="1" x14ac:dyDescent="0.35">
      <c r="B76" s="290" t="s">
        <v>335</v>
      </c>
      <c r="C76" s="291"/>
      <c r="D76" s="327">
        <f>IF(D74&lt;=3,1,IF(D74&gt;18,6,2))</f>
        <v>2</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450316</v>
      </c>
      <c r="D79" s="188">
        <f>G7*H7+G17*H17</f>
        <v>270189.59999999998</v>
      </c>
      <c r="F79" s="283"/>
    </row>
    <row r="80" spans="2:6" ht="15" customHeight="1" x14ac:dyDescent="0.35">
      <c r="B80" s="105" t="s">
        <v>184</v>
      </c>
      <c r="C80" s="20">
        <f>G19</f>
        <v>1743938</v>
      </c>
      <c r="D80" s="188">
        <f>G19*H19</f>
        <v>174393.80000000002</v>
      </c>
      <c r="F80" s="283"/>
    </row>
    <row r="81" spans="2:8" ht="15" customHeight="1" x14ac:dyDescent="0.35">
      <c r="B81" s="105" t="s">
        <v>182</v>
      </c>
      <c r="C81" s="20">
        <f>G9+G21</f>
        <v>2913826</v>
      </c>
      <c r="D81" s="188">
        <f>G9*H9+G21*H21</f>
        <v>291382.60000000003</v>
      </c>
      <c r="F81" s="283"/>
    </row>
    <row r="82" spans="2:8" ht="15" customHeight="1" x14ac:dyDescent="0.35">
      <c r="B82" s="80" t="s">
        <v>191</v>
      </c>
      <c r="C82" s="81">
        <f>SUM(C79:C81)</f>
        <v>5108080</v>
      </c>
      <c r="D82" s="81">
        <f>SUM(D79:D81)</f>
        <v>735966</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-2052305.2200000002</v>
      </c>
      <c r="D86" s="248">
        <f>C86*$H$1/Common_Shares</f>
        <v>-0.79399059216043799</v>
      </c>
      <c r="E86" s="269" t="str">
        <f>Market_currency</f>
        <v>HKD</v>
      </c>
    </row>
    <row r="87" spans="2:8" ht="15" customHeight="1" x14ac:dyDescent="0.35">
      <c r="B87" s="267" t="s">
        <v>298</v>
      </c>
      <c r="C87" s="188">
        <f>Valuation_Model!C8*Exchange_Rate</f>
        <v>15071960.436359953</v>
      </c>
      <c r="D87" s="248">
        <f>C87*$H$1/Common_Shares</f>
        <v>5.8310014881140004</v>
      </c>
      <c r="E87" s="269" t="str">
        <f>Market_currency</f>
        <v>HKD</v>
      </c>
    </row>
    <row r="88" spans="2:8" ht="15" customHeight="1" x14ac:dyDescent="0.35">
      <c r="B88" s="268" t="s">
        <v>191</v>
      </c>
      <c r="C88" s="188">
        <f>Valuation_Model!C9*Exchange_Rate</f>
        <v>780123.96000000008</v>
      </c>
      <c r="D88" s="248">
        <f>C88*$H$1/Common_Shares</f>
        <v>0.30181236149608676</v>
      </c>
      <c r="E88" s="269" t="str">
        <f>Market_currency</f>
        <v>HKD</v>
      </c>
    </row>
    <row r="89" spans="2:8" ht="15" customHeight="1" x14ac:dyDescent="0.35">
      <c r="B89" s="80" t="s">
        <v>302</v>
      </c>
      <c r="C89" s="187">
        <f>SUM(C86:C88)</f>
        <v>13799779.176359953</v>
      </c>
      <c r="D89" s="271">
        <f>SUM(D86:D88)</f>
        <v>5.3388232574496488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D100" activePane="bottomRight" state="frozen"/>
      <selection pane="topRight" activeCell="C1" sqref="C1"/>
      <selection pane="bottomLeft" activeCell="A2" sqref="A2"/>
      <selection pane="bottomRight" activeCell="G113" sqref="G113"/>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x14ac:dyDescent="0.35">
      <c r="A5" s="10"/>
      <c r="B5" s="2" t="s">
        <v>47</v>
      </c>
      <c r="C5" s="191">
        <f>C25</f>
        <v>-21019128.270199507</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x14ac:dyDescent="0.35">
      <c r="A6" s="10"/>
      <c r="B6" s="31" t="s">
        <v>49</v>
      </c>
      <c r="C6" s="184">
        <f>C4+C5</f>
        <v>5143321.2298004925</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x14ac:dyDescent="0.35">
      <c r="A7" s="10"/>
      <c r="B7" s="8" t="s">
        <v>46</v>
      </c>
      <c r="C7" s="191">
        <f>C35</f>
        <v>-1226988</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x14ac:dyDescent="0.35">
      <c r="A8" s="10"/>
      <c r="B8" s="29" t="s">
        <v>154</v>
      </c>
      <c r="C8" s="192">
        <f>C6+C7</f>
        <v>3916333.2298004925</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82</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69</v>
      </c>
      <c r="C12" s="191">
        <f>C50</f>
        <v>-161125.90543870488</v>
      </c>
      <c r="E12" s="302"/>
      <c r="G12" s="191">
        <f>G50</f>
        <v>-161125.90543870488</v>
      </c>
      <c r="H12" s="191">
        <f t="shared" ref="H12:Q12" si="6">H50</f>
        <v>-72722.597745827021</v>
      </c>
      <c r="I12" s="191">
        <f t="shared" si="6"/>
        <v>-23307.773762573124</v>
      </c>
      <c r="J12" s="191">
        <f t="shared" si="6"/>
        <v>-80942.166612978894</v>
      </c>
      <c r="K12" s="191">
        <f t="shared" si="6"/>
        <v>0</v>
      </c>
      <c r="L12" s="191">
        <f t="shared" si="6"/>
        <v>0</v>
      </c>
      <c r="M12" s="191">
        <f t="shared" si="6"/>
        <v>0</v>
      </c>
      <c r="N12" s="191">
        <f t="shared" si="6"/>
        <v>0</v>
      </c>
      <c r="O12" s="191">
        <f t="shared" si="6"/>
        <v>0</v>
      </c>
      <c r="P12" s="191">
        <f t="shared" si="6"/>
        <v>0</v>
      </c>
      <c r="Q12" s="191" t="str">
        <f t="shared" si="6"/>
        <v/>
      </c>
    </row>
    <row r="13" spans="1:17" ht="15.75" customHeight="1" x14ac:dyDescent="0.35">
      <c r="A13" s="10"/>
      <c r="B13" s="70" t="s">
        <v>166</v>
      </c>
      <c r="C13" s="184">
        <f>SUM(C8:C12)</f>
        <v>3755207.3243617876</v>
      </c>
      <c r="E13" s="302"/>
      <c r="G13" s="184">
        <f>IF(G$4="","",SUM(G8:G12))</f>
        <v>3369978.3685612953</v>
      </c>
      <c r="H13" s="184">
        <f t="shared" ref="H13:Q13" si="7">IF(H$4="","",SUM(H8:H12))</f>
        <v>2944874.6762541733</v>
      </c>
      <c r="I13" s="184">
        <f t="shared" si="7"/>
        <v>4035794.6512374268</v>
      </c>
      <c r="J13" s="184">
        <f t="shared" si="7"/>
        <v>4640431.5873870207</v>
      </c>
      <c r="K13" s="184">
        <f t="shared" si="7"/>
        <v>1865313.6340000001</v>
      </c>
      <c r="L13" s="184">
        <f t="shared" si="7"/>
        <v>1392777.0209999999</v>
      </c>
      <c r="M13" s="184">
        <f t="shared" si="7"/>
        <v>664455</v>
      </c>
      <c r="N13" s="184">
        <f t="shared" si="7"/>
        <v>402042</v>
      </c>
      <c r="O13" s="184">
        <f t="shared" si="7"/>
        <v>311758</v>
      </c>
      <c r="P13" s="184">
        <f t="shared" si="7"/>
        <v>126149</v>
      </c>
      <c r="Q13" s="184" t="str">
        <f t="shared" si="7"/>
        <v/>
      </c>
    </row>
    <row r="14" spans="1:17" ht="15.75" customHeight="1" x14ac:dyDescent="0.35">
      <c r="A14" s="10"/>
      <c r="B14" s="2" t="s">
        <v>64</v>
      </c>
      <c r="C14" s="191">
        <f>-SUM(C8+C11,C12)*C43</f>
        <v>-938801.83109044691</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x14ac:dyDescent="0.35">
      <c r="A15" s="10"/>
      <c r="B15" s="40" t="s">
        <v>245</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x14ac:dyDescent="0.35">
      <c r="A16" s="10"/>
      <c r="B16" s="41" t="s">
        <v>156</v>
      </c>
      <c r="C16" s="194">
        <f>SUM(C13:C15)</f>
        <v>2816405.4932713406</v>
      </c>
      <c r="D16" s="61"/>
      <c r="E16" s="310"/>
      <c r="F16" s="61"/>
      <c r="G16" s="184">
        <f>IF(G$4="","",SUM(G13:G15))</f>
        <v>2273287.3685612953</v>
      </c>
      <c r="H16" s="184">
        <f t="shared" ref="H16:Q16" si="8">IF(H$4="","",SUM(H13:H15))</f>
        <v>1875615.6762541733</v>
      </c>
      <c r="I16" s="184">
        <f t="shared" si="8"/>
        <v>2684465.6512374268</v>
      </c>
      <c r="J16" s="184">
        <f t="shared" si="8"/>
        <v>3323075.5873870207</v>
      </c>
      <c r="K16" s="184">
        <f t="shared" si="8"/>
        <v>1315932.6340000001</v>
      </c>
      <c r="L16" s="184">
        <f t="shared" si="8"/>
        <v>1035370.0209999999</v>
      </c>
      <c r="M16" s="184">
        <f t="shared" si="8"/>
        <v>529397</v>
      </c>
      <c r="N16" s="184">
        <f t="shared" si="8"/>
        <v>379673</v>
      </c>
      <c r="O16" s="184">
        <f t="shared" si="8"/>
        <v>221708</v>
      </c>
      <c r="P16" s="184">
        <f t="shared" si="8"/>
        <v>5085</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2816405.4932713406</v>
      </c>
      <c r="D19" s="27"/>
      <c r="E19" s="299"/>
      <c r="F19" s="27"/>
      <c r="G19" s="186">
        <f>IF(G$4="","",G16+G17)</f>
        <v>2273287.3685612953</v>
      </c>
      <c r="H19" s="186">
        <f t="shared" ref="H19:Q19" si="9">IF(H$4="","",H16+H17)</f>
        <v>1875615.6762541733</v>
      </c>
      <c r="I19" s="186">
        <f t="shared" si="9"/>
        <v>2684465.6512374268</v>
      </c>
      <c r="J19" s="186">
        <f t="shared" si="9"/>
        <v>3323075.5873870207</v>
      </c>
      <c r="K19" s="186">
        <f t="shared" si="9"/>
        <v>1315932.6340000001</v>
      </c>
      <c r="L19" s="186">
        <f t="shared" si="9"/>
        <v>1035370.0209999999</v>
      </c>
      <c r="M19" s="186">
        <f t="shared" si="9"/>
        <v>529397</v>
      </c>
      <c r="N19" s="186">
        <f t="shared" si="9"/>
        <v>379673</v>
      </c>
      <c r="O19" s="186">
        <f t="shared" si="9"/>
        <v>221708</v>
      </c>
      <c r="P19" s="186">
        <f t="shared" si="9"/>
        <v>5085</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x14ac:dyDescent="0.4">
      <c r="A24" s="10"/>
      <c r="B24" s="68" t="s">
        <v>63</v>
      </c>
      <c r="C24" s="191">
        <f>-C4*C29</f>
        <v>-7882695.8898119386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x14ac:dyDescent="0.35">
      <c r="A25" s="10"/>
      <c r="B25" s="70" t="s">
        <v>47</v>
      </c>
      <c r="C25" s="184">
        <f>C23+C24</f>
        <v>-21019128.270199507</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0.50211018583667277</v>
      </c>
      <c r="D28" s="26"/>
      <c r="E28" s="300" t="s">
        <v>346</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x14ac:dyDescent="0.4">
      <c r="A29" s="10"/>
      <c r="B29" s="68" t="str">
        <f>B24</f>
        <v>Selling Expenses</v>
      </c>
      <c r="C29" s="63">
        <f>AVERAGE(G29:J29)</f>
        <v>0.30129808333932717</v>
      </c>
      <c r="D29" s="26"/>
      <c r="E29" s="300" t="s">
        <v>346</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x14ac:dyDescent="0.35">
      <c r="A30" s="10"/>
      <c r="B30" s="70" t="s">
        <v>47</v>
      </c>
      <c r="C30" s="71">
        <f>ABS(C25/$C$4)</f>
        <v>0.80340826917600006</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-1226988</v>
      </c>
      <c r="E33" s="300" t="s">
        <v>346</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46</v>
      </c>
      <c r="C35" s="184">
        <f>C33+C34</f>
        <v>-1226988</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4.6898819623139645E-2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46</v>
      </c>
      <c r="C40" s="71">
        <f>ABS(C35/$C$4)</f>
        <v>4.6898819623139645E-2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0.32560507588568677</v>
      </c>
      <c r="H43" s="6">
        <f t="shared" si="18"/>
        <v>0.36329779792452166</v>
      </c>
      <c r="I43" s="6">
        <f t="shared" si="18"/>
        <v>0.33498784922552877</v>
      </c>
      <c r="J43" s="6">
        <f t="shared" si="18"/>
        <v>0.2839479052286471</v>
      </c>
      <c r="K43" s="6">
        <f t="shared" si="18"/>
        <v>0.29464251236747602</v>
      </c>
      <c r="L43" s="6">
        <f t="shared" si="18"/>
        <v>0.25673142124862081</v>
      </c>
      <c r="M43" s="6">
        <f t="shared" si="18"/>
        <v>0.20326131942719974</v>
      </c>
      <c r="N43" s="6">
        <f t="shared" si="18"/>
        <v>5.563846563294382E-2</v>
      </c>
      <c r="O43" s="6">
        <f t="shared" si="18"/>
        <v>0.10403903027348135</v>
      </c>
      <c r="P43" s="6">
        <f t="shared" si="18"/>
        <v>0.58476880514312435</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x14ac:dyDescent="0.35">
      <c r="A48" s="10"/>
      <c r="B48" s="2" t="s">
        <v>358</v>
      </c>
      <c r="C48" s="191">
        <f>BS!D75*C53</f>
        <v>93295.094561295133</v>
      </c>
      <c r="E48" s="302"/>
      <c r="G48" s="328">
        <f>IFERROR(IF(G$4="","",($C$48/$C$49)*G49),0)</f>
        <v>93295.094561295133</v>
      </c>
      <c r="H48" s="328">
        <f t="shared" ref="H48:Q48" si="19">IFERROR(IF(H$4="","",($C$48/$C$49)*H49),0)</f>
        <v>108723.40225417298</v>
      </c>
      <c r="I48" s="328">
        <f t="shared" si="19"/>
        <v>97253.226237426876</v>
      </c>
      <c r="J48" s="328">
        <f t="shared" si="19"/>
        <v>31515.833387021106</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355</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69</v>
      </c>
      <c r="C50" s="184">
        <f>C47+C48</f>
        <v>-161125.90543870488</v>
      </c>
      <c r="E50" s="302"/>
      <c r="G50" s="184">
        <f>IF(G$4="","",(G47+G48))</f>
        <v>-161125.90543870488</v>
      </c>
      <c r="H50" s="184">
        <f t="shared" ref="H50:Q50" si="20">IF(H$4="","",(H47+H48))</f>
        <v>-72722.597745827021</v>
      </c>
      <c r="I50" s="184">
        <f t="shared" si="20"/>
        <v>-23307.773762573124</v>
      </c>
      <c r="J50" s="184">
        <f t="shared" si="20"/>
        <v>-80942.166612978894</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2.3646804360316024E-2</v>
      </c>
      <c r="E53" s="299" t="s">
        <v>348</v>
      </c>
      <c r="G53" s="6">
        <f>IF(Normalized_FCF!G4="","",Normalized_FCF!G49/BS!$C$66)</f>
        <v>2.3646804360316024E-2</v>
      </c>
      <c r="H53" s="170"/>
      <c r="I53" s="170"/>
      <c r="J53" s="170"/>
      <c r="K53" s="170"/>
      <c r="L53" s="170"/>
      <c r="M53" s="170"/>
      <c r="N53" s="170"/>
      <c r="O53" s="170"/>
      <c r="P53" s="170"/>
      <c r="Q53" s="170"/>
    </row>
    <row r="54" spans="1:17" ht="15.75" customHeight="1" x14ac:dyDescent="0.35">
      <c r="A54" s="10"/>
      <c r="B54" s="8" t="s">
        <v>89</v>
      </c>
      <c r="C54" s="82">
        <f>G54</f>
        <v>0.13140650687425529</v>
      </c>
      <c r="E54" s="299" t="s">
        <v>349</v>
      </c>
      <c r="G54" s="23">
        <f>IFERROR(ABS(Normalized_FCF!G47/BS!$G$31),0)</f>
        <v>0.13140650687425529</v>
      </c>
      <c r="H54" s="170"/>
      <c r="I54" s="170"/>
      <c r="J54" s="170"/>
      <c r="K54" s="170"/>
      <c r="L54" s="170"/>
      <c r="M54" s="170"/>
      <c r="N54" s="170"/>
      <c r="O54" s="170"/>
      <c r="P54" s="170"/>
      <c r="Q54" s="170"/>
    </row>
    <row r="55" spans="1:17" ht="15.75" customHeight="1" x14ac:dyDescent="0.35">
      <c r="A55" s="10"/>
      <c r="B55" s="26" t="s">
        <v>92</v>
      </c>
      <c r="C55" s="42">
        <f>-C8/C47</f>
        <v>15.393120968003791</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162</v>
      </c>
      <c r="C62" s="297">
        <v>0</v>
      </c>
      <c r="E62" s="300" t="s">
        <v>350</v>
      </c>
      <c r="G62" s="191">
        <f>Data!C58</f>
        <v>-2604515.09</v>
      </c>
      <c r="H62" s="191">
        <f>Data!D58</f>
        <v>-2262498.09</v>
      </c>
      <c r="I62" s="191">
        <f>Data!E58</f>
        <v>-3029066.1660000002</v>
      </c>
      <c r="J62" s="191">
        <f>Data!F58</f>
        <v>-3433937.5159999998</v>
      </c>
      <c r="K62" s="191">
        <f>Data!G58</f>
        <v>-1313488.5159999998</v>
      </c>
      <c r="L62" s="191">
        <f>Data!H58</f>
        <v>-1034725</v>
      </c>
      <c r="M62" s="191">
        <f>Data!I58</f>
        <v>-529397</v>
      </c>
      <c r="N62" s="191">
        <f>Data!J58</f>
        <v>-379673</v>
      </c>
      <c r="O62" s="191">
        <f>Data!K58</f>
        <v>-279323</v>
      </c>
      <c r="P62" s="191">
        <f>Data!L58</f>
        <v>-52381</v>
      </c>
      <c r="Q62" s="191" t="str">
        <f>Data!M58</f>
        <v/>
      </c>
    </row>
    <row r="63" spans="1:17" ht="15.75" customHeight="1" x14ac:dyDescent="0.35">
      <c r="A63" s="10"/>
      <c r="B63" s="31" t="s">
        <v>197</v>
      </c>
      <c r="C63" s="184">
        <f>C61+C62</f>
        <v>0</v>
      </c>
      <c r="E63" s="302"/>
      <c r="G63" s="184">
        <f t="shared" ref="G63:Q63" si="23">IF(G4="","",G61+G62)</f>
        <v>-2604515.09</v>
      </c>
      <c r="H63" s="184">
        <f t="shared" si="23"/>
        <v>-2262498.09</v>
      </c>
      <c r="I63" s="184">
        <f t="shared" si="23"/>
        <v>-3029066.1660000002</v>
      </c>
      <c r="J63" s="184">
        <f t="shared" si="23"/>
        <v>-3433937.5159999998</v>
      </c>
      <c r="K63" s="184">
        <f t="shared" si="23"/>
        <v>-1313488.5159999998</v>
      </c>
      <c r="L63" s="184">
        <f t="shared" si="23"/>
        <v>-1034725</v>
      </c>
      <c r="M63" s="184">
        <f t="shared" si="23"/>
        <v>-529397</v>
      </c>
      <c r="N63" s="184">
        <f t="shared" si="23"/>
        <v>-379673</v>
      </c>
      <c r="O63" s="184">
        <f t="shared" si="23"/>
        <v>-279323</v>
      </c>
      <c r="P63" s="184">
        <f t="shared" si="23"/>
        <v>-52381</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0.80340826917600006</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x14ac:dyDescent="0.35">
      <c r="A74" s="10"/>
      <c r="B74" s="31" t="s">
        <v>49</v>
      </c>
      <c r="C74" s="78">
        <f>ABS(C6/C$4)</f>
        <v>0.19659173082399997</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x14ac:dyDescent="0.35">
      <c r="A75" s="10"/>
      <c r="B75" s="8" t="s">
        <v>46</v>
      </c>
      <c r="C75" s="77">
        <f>ABS(C7/C$4)</f>
        <v>4.6898819623139645E-2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x14ac:dyDescent="0.35">
      <c r="A76" s="10"/>
      <c r="B76" s="29" t="s">
        <v>154</v>
      </c>
      <c r="C76" s="78">
        <f>ABS(C8/C$4)</f>
        <v>0.14969291120086031</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82</v>
      </c>
      <c r="C78" s="88">
        <f>MAX(AVERAGE(G78:J78),C77)</f>
        <v>0</v>
      </c>
      <c r="D78" s="27"/>
      <c r="E78" s="300" t="s">
        <v>367</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69</v>
      </c>
      <c r="C80" s="77">
        <f>ABS(C12/C$4)</f>
        <v>6.1586704807095709E-3</v>
      </c>
      <c r="D80" s="27"/>
      <c r="E80" s="299"/>
      <c r="F80" s="27"/>
      <c r="G80" s="6">
        <f t="shared" ref="G80:Q80" si="31">IF(G$4="","",ABS(G12/G$4))</f>
        <v>5.6189116819003807E-3</v>
      </c>
      <c r="H80" s="6">
        <f t="shared" si="31"/>
        <v>2.6350207968191819E-3</v>
      </c>
      <c r="I80" s="6">
        <f t="shared" si="31"/>
        <v>9.0328364162843003E-4</v>
      </c>
      <c r="J80" s="6">
        <f t="shared" si="31"/>
        <v>3.5859099314322239E-3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35">
      <c r="A81" s="10"/>
      <c r="B81" s="70" t="s">
        <v>166</v>
      </c>
      <c r="C81" s="78">
        <f>C13/C4</f>
        <v>0.14353424072015075</v>
      </c>
      <c r="D81" s="27"/>
      <c r="E81" s="299"/>
      <c r="F81" s="27"/>
      <c r="G81" s="65">
        <f t="shared" ref="G81:Q81" si="32">IF(G$4="","",G13/G$4)</f>
        <v>0.11752058597469969</v>
      </c>
      <c r="H81" s="65">
        <f t="shared" si="32"/>
        <v>0.10670419177099839</v>
      </c>
      <c r="I81" s="65">
        <f t="shared" si="32"/>
        <v>0.15640564073468299</v>
      </c>
      <c r="J81" s="65">
        <f t="shared" si="32"/>
        <v>0.20558097727859317</v>
      </c>
      <c r="K81" s="65">
        <f t="shared" si="32"/>
        <v>0.12902520410395787</v>
      </c>
      <c r="L81" s="65">
        <f t="shared" si="32"/>
        <v>0.10041919077870137</v>
      </c>
      <c r="M81" s="65">
        <f t="shared" si="32"/>
        <v>6.3215816574378331E-2</v>
      </c>
      <c r="N81" s="65">
        <f t="shared" si="32"/>
        <v>4.5306061182486368E-2</v>
      </c>
      <c r="O81" s="65">
        <f t="shared" si="32"/>
        <v>3.8895396587498424E-2</v>
      </c>
      <c r="P81" s="65">
        <f t="shared" si="32"/>
        <v>1.7793792082510813E-2</v>
      </c>
      <c r="Q81" s="65" t="str">
        <f t="shared" si="32"/>
        <v/>
      </c>
    </row>
    <row r="82" spans="1:17" ht="15.75" customHeight="1" x14ac:dyDescent="0.35">
      <c r="A82" s="10"/>
      <c r="B82" s="2" t="s">
        <v>64</v>
      </c>
      <c r="C82" s="77">
        <f>ABS(C14/C$4)</f>
        <v>3.5883560180037688E-2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x14ac:dyDescent="0.35">
      <c r="A84" s="10"/>
      <c r="B84" s="41" t="s">
        <v>156</v>
      </c>
      <c r="C84" s="78">
        <f>ABS(C16/C$4)</f>
        <v>0.10765068054011306</v>
      </c>
      <c r="D84" s="27"/>
      <c r="E84" s="299"/>
      <c r="F84" s="27"/>
      <c r="G84" s="65">
        <f t="shared" ref="G84:Q84" si="35">IF(G$4="","",ABS(G16/G$4))</f>
        <v>7.9275898662892946E-2</v>
      </c>
      <c r="H84" s="65">
        <f t="shared" si="35"/>
        <v>6.7960805402519045E-2</v>
      </c>
      <c r="I84" s="65">
        <f t="shared" si="35"/>
        <v>0.10403541470656878</v>
      </c>
      <c r="J84" s="65">
        <f t="shared" si="35"/>
        <v>0.14721930793733343</v>
      </c>
      <c r="K84" s="65">
        <f t="shared" si="35"/>
        <v>9.1024090316014342E-2</v>
      </c>
      <c r="L84" s="65">
        <f t="shared" si="35"/>
        <v>7.4650154402100127E-2</v>
      </c>
      <c r="M84" s="65">
        <f t="shared" si="35"/>
        <v>5.0366486288802345E-2</v>
      </c>
      <c r="N84" s="65">
        <f t="shared" si="35"/>
        <v>4.2785301454420555E-2</v>
      </c>
      <c r="O84" s="65">
        <f t="shared" si="35"/>
        <v>2.766062326105858E-2</v>
      </c>
      <c r="P84" s="65">
        <f t="shared" si="35"/>
        <v>7.1725842249694793E-4</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0.10765068054011306</v>
      </c>
      <c r="D87" s="75"/>
      <c r="E87" s="299"/>
      <c r="F87" s="75"/>
      <c r="G87" s="65">
        <f t="shared" ref="G87:Q87" si="36">IF(G$4="","",ABS(G19/G$4))</f>
        <v>7.9275898662892946E-2</v>
      </c>
      <c r="H87" s="65">
        <f t="shared" si="36"/>
        <v>6.7960805402519045E-2</v>
      </c>
      <c r="I87" s="65">
        <f t="shared" si="36"/>
        <v>0.10403541470656878</v>
      </c>
      <c r="J87" s="65">
        <f t="shared" si="36"/>
        <v>0.14721930793733343</v>
      </c>
      <c r="K87" s="65">
        <f t="shared" si="36"/>
        <v>9.1024090316014342E-2</v>
      </c>
      <c r="L87" s="65">
        <f t="shared" si="36"/>
        <v>7.4650154402100127E-2</v>
      </c>
      <c r="M87" s="65">
        <f t="shared" si="36"/>
        <v>5.0366486288802345E-2</v>
      </c>
      <c r="N87" s="65">
        <f t="shared" si="36"/>
        <v>4.2785301454420555E-2</v>
      </c>
      <c r="O87" s="65">
        <f t="shared" si="36"/>
        <v>2.766062326105858E-2</v>
      </c>
      <c r="P87" s="65">
        <f t="shared" si="36"/>
        <v>7.1725842249694793E-4</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0.55169811320754714</v>
      </c>
      <c r="E90" s="302"/>
      <c r="G90" s="113">
        <f>Data!C65</f>
        <v>0.55169811320754714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(HKD)</v>
      </c>
      <c r="C91" s="74">
        <f>C90*Common_Shares/$C$3</f>
        <v>1426028.1277630189</v>
      </c>
      <c r="E91" s="302"/>
      <c r="G91" s="74">
        <f t="shared" ref="G91:Q91" si="37">IF(G$4="","",G90*Common_Shares/$C$3)</f>
        <v>1426028.1277630189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215</v>
      </c>
      <c r="C92" s="23">
        <f>C90/(C19*$C$3/Common_Shares)</f>
        <v>0.50632912454187973</v>
      </c>
      <c r="E92" s="302"/>
      <c r="G92" s="171">
        <f t="shared" ref="G92:Q92" si="38">IF(G$4="","",G90/(G19*$C$3/Common_Shares))</f>
        <v>0.62729778359060473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321</v>
      </c>
      <c r="C93" s="23">
        <f>C90/Market_Price</f>
        <v>3.687821612349914E-2</v>
      </c>
      <c r="E93" s="302"/>
      <c r="G93" s="23">
        <f t="shared" ref="G93:Q93" si="39">IF(G$4="","",G90/Market_Price)</f>
        <v>3.687821612349914E-2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x14ac:dyDescent="0.35">
      <c r="A97" s="10"/>
      <c r="B97" s="70" t="s">
        <v>166</v>
      </c>
      <c r="C97" s="77">
        <f>C13/G13-1</f>
        <v>0.11431199659745994</v>
      </c>
      <c r="D97" s="27"/>
      <c r="E97" s="299"/>
      <c r="F97" s="27"/>
      <c r="G97" s="6">
        <f t="shared" ref="G97:Q97" si="41">IF(H5="","",G13/H13-1)</f>
        <v>0.14435374643780974</v>
      </c>
      <c r="H97" s="6">
        <f t="shared" si="41"/>
        <v>-0.27031107111675357</v>
      </c>
      <c r="I97" s="6">
        <f t="shared" si="41"/>
        <v>-0.13029756494913847</v>
      </c>
      <c r="J97" s="6">
        <f t="shared" si="41"/>
        <v>1.4877487103528138</v>
      </c>
      <c r="K97" s="6">
        <f t="shared" si="41"/>
        <v>0.33927657182391169</v>
      </c>
      <c r="L97" s="6">
        <f t="shared" si="41"/>
        <v>1.0961194076348284</v>
      </c>
      <c r="M97" s="6">
        <f t="shared" si="41"/>
        <v>0.65270046413061311</v>
      </c>
      <c r="N97" s="6">
        <f t="shared" si="41"/>
        <v>0.28959641773426825</v>
      </c>
      <c r="O97" s="6">
        <f t="shared" si="41"/>
        <v>1.4713473749296466</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x14ac:dyDescent="0.35">
      <c r="A102" s="10"/>
      <c r="B102" s="93" t="s">
        <v>212</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213</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x14ac:dyDescent="0.35">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220</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1470.9972983234545</v>
      </c>
      <c r="I113" s="334">
        <f>IF(I$4="","",Data!E$22/Data!E15)</f>
        <v>963.0324466993485</v>
      </c>
      <c r="J113" s="334">
        <f>IF(J$4="","",Data!F$22/Data!F15)</f>
        <v>3841.858386655394</v>
      </c>
      <c r="K113" s="334">
        <f>IF(K$4="","",Data!G$22/Data!G15)</f>
        <v>1626.9426147081751</v>
      </c>
      <c r="L113" s="334" t="e">
        <f>IF(L$4="","",Data!H$22/Data!H15)</f>
        <v>#DIV/0!</v>
      </c>
      <c r="M113" s="334" t="e">
        <f>IF(M$4="","",Data!I$22/Data!I15)</f>
        <v>#DIV/0!</v>
      </c>
      <c r="N113" s="334" t="e">
        <f>IF(N$4="","",Data!J$22/Data!J15)</f>
        <v>#DIV/0!</v>
      </c>
      <c r="O113" s="334" t="e">
        <f>IF(O$4="","",Data!K$22/Data!K15)</f>
        <v>#DIV/0!</v>
      </c>
      <c r="P113" s="334" t="e">
        <f>IF(P$4="","",Data!L$22/Data!L15)</f>
        <v>#DIV/0!</v>
      </c>
      <c r="Q113" s="334" t="str">
        <f>IF(Q$4="","",Data!M$22/Data!M15)</f>
        <v/>
      </c>
    </row>
    <row r="114" spans="1:17" ht="15.75" customHeight="1" x14ac:dyDescent="0.35">
      <c r="A114" s="10"/>
      <c r="B114" s="2" t="s">
        <v>409</v>
      </c>
      <c r="C114" s="170"/>
      <c r="E114" s="302"/>
      <c r="G114" s="334">
        <f>IF(G$4="","",Data!C$22/G19)</f>
        <v>0</v>
      </c>
      <c r="H114" s="334">
        <f>IF(H$4="","",Data!D$22/H19)</f>
        <v>2.4994118247947061</v>
      </c>
      <c r="I114" s="334">
        <f>IF(I$4="","",Data!E$22/I19)</f>
        <v>1.4578707677619163</v>
      </c>
      <c r="J114" s="334">
        <f>IF(J$4="","",Data!F$22/J19)</f>
        <v>1.9636432661259322</v>
      </c>
      <c r="K114" s="334">
        <f>IF(K$4="","",Data!G$22/K19)</f>
        <v>2.0999068862669454</v>
      </c>
      <c r="L114" s="334">
        <f>IF(L$4="","",Data!H$22/L19)</f>
        <v>3.3837844721602193</v>
      </c>
      <c r="M114" s="334">
        <f>IF(M$4="","",Data!I$22/M19)</f>
        <v>3.1580628526417791</v>
      </c>
      <c r="N114" s="334">
        <f>IF(N$4="","",Data!J$22/N19)</f>
        <v>3.0530035056482814</v>
      </c>
      <c r="O114" s="334">
        <f>IF(O$4="","",Data!K$22/O19)</f>
        <v>4.4900319338950334</v>
      </c>
      <c r="P114" s="334">
        <f>IF(P$4="","",Data!L$22/P19)</f>
        <v>135.11170108161258</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0.14353424072015075</v>
      </c>
      <c r="E117" s="302"/>
      <c r="G117" s="23">
        <f t="shared" ref="G117:Q117" si="45">G81</f>
        <v>0.11752058597469969</v>
      </c>
      <c r="H117" s="23">
        <f t="shared" si="45"/>
        <v>0.10670419177099839</v>
      </c>
      <c r="I117" s="23">
        <f t="shared" si="45"/>
        <v>0.15640564073468299</v>
      </c>
      <c r="J117" s="23">
        <f t="shared" si="45"/>
        <v>0.20558097727859317</v>
      </c>
      <c r="K117" s="23">
        <f t="shared" si="45"/>
        <v>0.12902520410395787</v>
      </c>
      <c r="L117" s="23">
        <f t="shared" si="45"/>
        <v>0.10041919077870137</v>
      </c>
      <c r="M117" s="23">
        <f t="shared" si="45"/>
        <v>6.3215816574378331E-2</v>
      </c>
      <c r="N117" s="23">
        <f t="shared" si="45"/>
        <v>4.5306061182486368E-2</v>
      </c>
      <c r="O117" s="23">
        <f t="shared" si="45"/>
        <v>3.8895396587498424E-2</v>
      </c>
      <c r="P117" s="23">
        <f t="shared" si="45"/>
        <v>1.7793792082510813E-2</v>
      </c>
      <c r="Q117" s="23" t="str">
        <f t="shared" si="45"/>
        <v/>
      </c>
    </row>
    <row r="118" spans="1:17" ht="15.75" customHeight="1" x14ac:dyDescent="0.35">
      <c r="B118" s="7" t="s">
        <v>85</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x14ac:dyDescent="0.35">
      <c r="B119" s="7" t="s">
        <v>93</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x14ac:dyDescent="0.35">
      <c r="A120" s="10"/>
      <c r="B120" s="70" t="s">
        <v>224</v>
      </c>
      <c r="C120" s="102">
        <f>C8/C105</f>
        <v>0.15002987622939012</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1.1549799757798245</v>
      </c>
      <c r="D124" s="27"/>
      <c r="E124" s="299"/>
      <c r="F124" s="27"/>
      <c r="G124" s="178">
        <f t="shared" ref="G124:Q124" si="49">IF(G$4="","",G16*$C$3/Common_Shares*Exchange_Rate)</f>
        <v>0.93225261637726409</v>
      </c>
      <c r="H124" s="178">
        <f t="shared" si="49"/>
        <v>0.76917139719681582</v>
      </c>
      <c r="I124" s="178">
        <f t="shared" si="49"/>
        <v>1.100872754386885</v>
      </c>
      <c r="J124" s="178">
        <f t="shared" si="49"/>
        <v>1.362760359118862</v>
      </c>
      <c r="K124" s="178">
        <f t="shared" si="49"/>
        <v>0.53965092930557346</v>
      </c>
      <c r="L124" s="178">
        <f t="shared" si="49"/>
        <v>0.42459498273053775</v>
      </c>
      <c r="M124" s="178">
        <f t="shared" si="49"/>
        <v>0.21710046216665421</v>
      </c>
      <c r="N124" s="178">
        <f t="shared" si="49"/>
        <v>0.15570013387344489</v>
      </c>
      <c r="O124" s="178">
        <f t="shared" si="49"/>
        <v>9.0920253167366974E-2</v>
      </c>
      <c r="P124" s="178">
        <f t="shared" si="49"/>
        <v>2.0853080960365031E-3</v>
      </c>
      <c r="Q124" s="178" t="str">
        <f t="shared" si="49"/>
        <v/>
      </c>
    </row>
    <row r="125" spans="1:17" ht="15.75" customHeight="1" x14ac:dyDescent="0.35">
      <c r="A125" s="10"/>
      <c r="B125" s="27" t="s">
        <v>272</v>
      </c>
      <c r="C125" s="77">
        <f>C19*Exchange_Rate*$C$3/(Market_Price*Common_Shares)</f>
        <v>7.7204543835549769E-2</v>
      </c>
      <c r="D125" s="27"/>
      <c r="E125" s="299"/>
      <c r="F125" s="27"/>
      <c r="G125" s="77">
        <f t="shared" ref="G125" si="50">IF(G$4="","",G124/Market_Price)</f>
        <v>6.2316351362116579E-2</v>
      </c>
      <c r="H125" s="77">
        <f t="shared" ref="H125" si="51">IF(H$4="","",H124/Market_Price)</f>
        <v>5.1415200347380736E-2</v>
      </c>
      <c r="I125" s="77">
        <f t="shared" ref="I125" si="52">IF(I$4="","",I124/Market_Price)</f>
        <v>7.3587750961690165E-2</v>
      </c>
      <c r="J125" s="77">
        <f t="shared" ref="J125" si="53">IF(J$4="","",J124/Market_Price)</f>
        <v>9.1093606892972051E-2</v>
      </c>
      <c r="K125" s="77">
        <f t="shared" ref="K125" si="54">IF(K$4="","",K124/Market_Price)</f>
        <v>3.6072923081923357E-2</v>
      </c>
      <c r="L125" s="77">
        <f t="shared" ref="L125" si="55">IF(L$4="","",L124/Market_Price)</f>
        <v>2.8382017562201718E-2</v>
      </c>
      <c r="M125" s="77">
        <f t="shared" ref="M125" si="56">IF(M$4="","",M124/Market_Price)</f>
        <v>1.4512062979054425E-2</v>
      </c>
      <c r="N125" s="77">
        <f t="shared" ref="N125" si="57">IF(N$4="","",N124/Market_Price)</f>
        <v>1.0407762959454872E-2</v>
      </c>
      <c r="O125" s="77">
        <f t="shared" ref="O125" si="58">IF(O$4="","",O124/Market_Price)</f>
        <v>6.0775570299042092E-3</v>
      </c>
      <c r="P125" s="77">
        <f t="shared" ref="P125" si="59">IF(P$4="","",P124/Market_Price)</f>
        <v>1.3939225240885714E-4</v>
      </c>
      <c r="Q125" s="77" t="str">
        <f t="shared" ref="Q125" si="60">IF(Q$4="","",Q124/Market_Price)</f>
        <v/>
      </c>
    </row>
    <row r="126" spans="1:17" ht="15.75" customHeight="1" x14ac:dyDescent="0.35">
      <c r="B126" s="2" t="s">
        <v>411</v>
      </c>
      <c r="C126" s="170"/>
      <c r="G126" s="23">
        <f>IF(G$4="","",(Data!C47*$C$3)/(Market_Price*Common_Shares))</f>
        <v>8.2416015124823464E-5</v>
      </c>
      <c r="H126" s="23">
        <f>IF(H$4="","",(Data!D47*$C$3)/(Market_Price*Common_Shares))</f>
        <v>8.2416015124823464E-5</v>
      </c>
      <c r="I126" s="23">
        <f>IF(I$4="","",(Data!E47*$C$3)/(Market_Price*Common_Shares))</f>
        <v>1.0509396387371209E-4</v>
      </c>
      <c r="J126" s="23">
        <f>IF(J$4="","",(Data!F47*$C$3)/(Market_Price*Common_Shares))</f>
        <v>4.392414063568493E-5</v>
      </c>
      <c r="K126" s="23">
        <f>IF(K$4="","",(Data!G47*$C$3)/(Market_Price*Common_Shares))</f>
        <v>4.392414063568493E-5</v>
      </c>
      <c r="L126" s="23">
        <f>IF(L$4="","",(Data!H47*$C$3)/(Market_Price*Common_Shares))</f>
        <v>0</v>
      </c>
      <c r="M126" s="23">
        <f>IF(M$4="","",(Data!I47*$C$3)/(Market_Price*Common_Shares))</f>
        <v>0</v>
      </c>
      <c r="N126" s="23">
        <f>IF(N$4="","",(Data!J47*$C$3)/(Market_Price*Common_Shares))</f>
        <v>0</v>
      </c>
      <c r="O126" s="23">
        <f>IF(O$4="","",(Data!K47*$C$3)/(Market_Price*Common_Shares))</f>
        <v>0</v>
      </c>
      <c r="P126" s="23">
        <f>IF(P$4="","",(Data!L47*$C$3)/(Market_Price*Common_Shares))</f>
        <v>0</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14" sqref="E1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2816405.4932713406</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35205068.665891759</v>
      </c>
      <c r="D6" t="str">
        <f>Reporting_currency</f>
        <v>CNY</v>
      </c>
      <c r="E6" s="344" t="s">
        <v>251</v>
      </c>
      <c r="F6" s="344"/>
      <c r="H6" s="121"/>
    </row>
    <row r="7" spans="2:8" x14ac:dyDescent="0.35">
      <c r="B7" s="149" t="s">
        <v>226</v>
      </c>
      <c r="C7" s="226">
        <f>BS!G31</f>
        <v>1936137</v>
      </c>
      <c r="D7" t="str">
        <f>Reporting_currency</f>
        <v>CNY</v>
      </c>
      <c r="E7" s="344"/>
      <c r="F7" s="344"/>
      <c r="H7" s="121"/>
    </row>
    <row r="8" spans="2:8" x14ac:dyDescent="0.35">
      <c r="B8" s="149" t="s">
        <v>227</v>
      </c>
      <c r="C8" s="201">
        <f>BS!D66</f>
        <v>14218830.600339578</v>
      </c>
      <c r="D8" t="str">
        <f>Reporting_currency</f>
        <v>CNY</v>
      </c>
      <c r="E8" s="344"/>
      <c r="F8" s="344"/>
      <c r="H8" s="121"/>
    </row>
    <row r="9" spans="2:8" x14ac:dyDescent="0.35">
      <c r="B9" s="227" t="s">
        <v>192</v>
      </c>
      <c r="C9" s="229">
        <f>BS!H42</f>
        <v>735966</v>
      </c>
      <c r="D9" t="str">
        <f>Reporting_currency</f>
        <v>CNY</v>
      </c>
      <c r="E9" s="344"/>
      <c r="F9" s="344"/>
      <c r="H9" s="121"/>
    </row>
    <row r="10" spans="2:8" ht="13.15" x14ac:dyDescent="0.4">
      <c r="B10" s="150" t="s">
        <v>229</v>
      </c>
      <c r="C10" s="232">
        <f>C6-C7+C8+C9</f>
        <v>48223728.266231336</v>
      </c>
      <c r="D10" t="str">
        <f>Reporting_currency</f>
        <v>CNY</v>
      </c>
      <c r="H10" s="121"/>
    </row>
    <row r="11" spans="2:8" ht="13.15" thickBot="1" x14ac:dyDescent="0.4">
      <c r="B11" s="230" t="s">
        <v>168</v>
      </c>
      <c r="C11" s="231">
        <f>Exchange_Rate</f>
        <v>1.06</v>
      </c>
      <c r="D11" t="str">
        <f>Thesis!D17</f>
        <v>CNY/HKD</v>
      </c>
      <c r="H11" s="121"/>
    </row>
    <row r="12" spans="2:8" ht="13.5" thickTop="1" x14ac:dyDescent="0.4">
      <c r="B12" s="150" t="s">
        <v>104</v>
      </c>
      <c r="C12" s="112">
        <f>(C10*C3)/Common_Shares*C11</f>
        <v>19.776072954697455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4.9429467411718955E-2</v>
      </c>
      <c r="H16" s="121"/>
    </row>
    <row r="17" spans="2:8" ht="13.25" customHeight="1" x14ac:dyDescent="0.35">
      <c r="B17" s="119" t="s">
        <v>136</v>
      </c>
      <c r="C17" s="163">
        <f>Scenarios!C64</f>
        <v>15</v>
      </c>
      <c r="H17" s="121"/>
    </row>
    <row r="18" spans="2:8" ht="13.25" customHeight="1" x14ac:dyDescent="0.4">
      <c r="B18" s="154" t="s">
        <v>108</v>
      </c>
      <c r="C18" s="141">
        <f>(F52-C7+C8+C9)*Exchange_Rate/Common_Shares*C3</f>
        <v>23.990191457005579</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2955618.9168191827</v>
      </c>
      <c r="D21" s="139">
        <f>IF($C$17&lt;B21,0,Valuation_Model!$C$16)</f>
        <v>4.9429467411718955E-2</v>
      </c>
      <c r="E21" s="125">
        <f t="shared" ref="E21:E50" si="0">IF($C$17&lt;B21,0,1/(1+Equity_Cost)^B21)</f>
        <v>0.92592592592592582</v>
      </c>
      <c r="F21" s="126">
        <f t="shared" ref="F21:F51" si="1">C21*E21</f>
        <v>2736684.1822399837</v>
      </c>
      <c r="H21" s="121"/>
    </row>
    <row r="22" spans="2:8" x14ac:dyDescent="0.35">
      <c r="B22" s="123">
        <v>2</v>
      </c>
      <c r="C22" s="124">
        <f t="shared" ref="C22:C50" si="2">IF(ROW()-ROW($C$21)&lt;$C$17, $C$21*(1+D22)^(ROW()-ROW($C$21)), 0)</f>
        <v>3101713.5857495568</v>
      </c>
      <c r="D22" s="139">
        <f>IF($C$17&lt;B22,0,Valuation_Model!$C$16)</f>
        <v>4.9429467411718955E-2</v>
      </c>
      <c r="E22" s="125">
        <f t="shared" si="0"/>
        <v>0.85733882030178321</v>
      </c>
      <c r="F22" s="126">
        <f t="shared" si="1"/>
        <v>2659219.466520539</v>
      </c>
      <c r="H22" s="121"/>
    </row>
    <row r="23" spans="2:8" x14ac:dyDescent="0.35">
      <c r="B23" s="123">
        <v>3</v>
      </c>
      <c r="C23" s="124">
        <f t="shared" si="2"/>
        <v>3255029.6363568511</v>
      </c>
      <c r="D23" s="139">
        <f>IF($C$17&lt;B23,0,Valuation_Model!$C$16)</f>
        <v>4.9429467411718955E-2</v>
      </c>
      <c r="E23" s="125">
        <f t="shared" si="0"/>
        <v>0.79383224102016958</v>
      </c>
      <c r="F23" s="126">
        <f t="shared" si="1"/>
        <v>2583947.4708162267</v>
      </c>
      <c r="H23" s="121"/>
    </row>
    <row r="24" spans="2:8" x14ac:dyDescent="0.35">
      <c r="B24" s="123">
        <v>4</v>
      </c>
      <c r="C24" s="124">
        <f t="shared" si="2"/>
        <v>3415924.0176913314</v>
      </c>
      <c r="D24" s="139">
        <f>IF($C$17&lt;B24,0,Valuation_Model!$C$16)</f>
        <v>4.9429467411718955E-2</v>
      </c>
      <c r="E24" s="125">
        <f t="shared" si="0"/>
        <v>0.73502985279645328</v>
      </c>
      <c r="F24" s="126">
        <f t="shared" si="1"/>
        <v>2510806.1278875284</v>
      </c>
      <c r="H24" s="121"/>
    </row>
    <row r="25" spans="2:8" x14ac:dyDescent="0.35">
      <c r="B25" s="123">
        <v>5</v>
      </c>
      <c r="C25" s="124">
        <f t="shared" si="2"/>
        <v>3584771.3226047144</v>
      </c>
      <c r="D25" s="139">
        <f>IF($C$17&lt;B25,0,Valuation_Model!$C$16)</f>
        <v>4.9429467411718955E-2</v>
      </c>
      <c r="E25" s="125">
        <f t="shared" si="0"/>
        <v>0.68058319703375303</v>
      </c>
      <c r="F25" s="126">
        <f t="shared" si="1"/>
        <v>2439735.1273732316</v>
      </c>
      <c r="H25" s="121"/>
    </row>
    <row r="26" spans="2:8" x14ac:dyDescent="0.35">
      <c r="B26" s="123">
        <v>6</v>
      </c>
      <c r="C26" s="124">
        <f t="shared" si="2"/>
        <v>3761964.6598738697</v>
      </c>
      <c r="D26" s="139">
        <f>IF($C$17&lt;B26,0,Valuation_Model!$C$16)</f>
        <v>4.9429467411718955E-2</v>
      </c>
      <c r="E26" s="125">
        <f t="shared" si="0"/>
        <v>0.63016962688310452</v>
      </c>
      <c r="F26" s="126">
        <f t="shared" si="1"/>
        <v>2370675.8660601415</v>
      </c>
      <c r="H26" s="121"/>
    </row>
    <row r="27" spans="2:8" x14ac:dyDescent="0.35">
      <c r="B27" s="123">
        <v>7</v>
      </c>
      <c r="C27" s="124">
        <f t="shared" si="2"/>
        <v>3947916.5694331438</v>
      </c>
      <c r="D27" s="139">
        <f>IF($C$17&lt;B27,0,Valuation_Model!$C$16)</f>
        <v>4.9429467411718955E-2</v>
      </c>
      <c r="E27" s="125">
        <f t="shared" si="0"/>
        <v>0.58349039526213387</v>
      </c>
      <c r="F27" s="126">
        <f t="shared" si="1"/>
        <v>2303571.3995604725</v>
      </c>
      <c r="H27" s="121"/>
    </row>
    <row r="28" spans="2:8" x14ac:dyDescent="0.35">
      <c r="B28" s="123">
        <v>8</v>
      </c>
      <c r="C28" s="124">
        <f t="shared" si="2"/>
        <v>4143059.982846125</v>
      </c>
      <c r="D28" s="139">
        <f>IF($C$17&lt;B28,0,Valuation_Model!$C$16)</f>
        <v>4.9429467411718955E-2</v>
      </c>
      <c r="E28" s="125">
        <f t="shared" si="0"/>
        <v>0.54026888450197574</v>
      </c>
      <c r="F28" s="126">
        <f t="shared" si="1"/>
        <v>2238366.3953570509</v>
      </c>
      <c r="H28" s="121"/>
    </row>
    <row r="29" spans="2:8" x14ac:dyDescent="0.35">
      <c r="B29" s="123">
        <v>9</v>
      </c>
      <c r="C29" s="124">
        <f t="shared" si="2"/>
        <v>4347849.2312530158</v>
      </c>
      <c r="D29" s="139">
        <f>IF($C$17&lt;B29,0,Valuation_Model!$C$16)</f>
        <v>4.9429467411718955E-2</v>
      </c>
      <c r="E29" s="125">
        <f t="shared" si="0"/>
        <v>0.50024896713145905</v>
      </c>
      <c r="F29" s="126">
        <f t="shared" si="1"/>
        <v>2175007.0871776296</v>
      </c>
      <c r="H29" s="121"/>
    </row>
    <row r="30" spans="2:8" x14ac:dyDescent="0.35">
      <c r="B30" s="123">
        <v>10</v>
      </c>
      <c r="C30" s="124">
        <f t="shared" si="2"/>
        <v>4562761.1031403039</v>
      </c>
      <c r="D30" s="139">
        <f>IF($C$17&lt;B30,0,Valuation_Model!$C$16)</f>
        <v>4.9429467411718955E-2</v>
      </c>
      <c r="E30" s="125">
        <f t="shared" si="0"/>
        <v>0.46319348808468425</v>
      </c>
      <c r="F30" s="126">
        <f t="shared" si="1"/>
        <v>2113441.2306606793</v>
      </c>
      <c r="H30" s="121"/>
    </row>
    <row r="31" spans="2:8" x14ac:dyDescent="0.35">
      <c r="B31" s="123">
        <v>11</v>
      </c>
      <c r="C31" s="124">
        <f t="shared" si="2"/>
        <v>4788295.9543954376</v>
      </c>
      <c r="D31" s="139">
        <f>IF($C$17&lt;B31,0,Valuation_Model!$C$16)</f>
        <v>4.9429467411718955E-2</v>
      </c>
      <c r="E31" s="125">
        <f t="shared" si="0"/>
        <v>0.42888285933767062</v>
      </c>
      <c r="F31" s="126">
        <f t="shared" si="1"/>
        <v>2053618.0602761158</v>
      </c>
      <c r="H31" s="121"/>
    </row>
    <row r="32" spans="2:8" x14ac:dyDescent="0.35">
      <c r="B32" s="123">
        <v>12</v>
      </c>
      <c r="C32" s="124">
        <f t="shared" si="2"/>
        <v>5024978.8732308932</v>
      </c>
      <c r="D32" s="139">
        <f>IF($C$17&lt;B32,0,Valuation_Model!$C$16)</f>
        <v>4.9429467411718955E-2</v>
      </c>
      <c r="E32" s="125">
        <f t="shared" si="0"/>
        <v>0.39711375864599124</v>
      </c>
      <c r="F32" s="126">
        <f t="shared" si="1"/>
        <v>1995488.247465418</v>
      </c>
      <c r="H32" s="121"/>
    </row>
    <row r="33" spans="2:8" x14ac:dyDescent="0.35">
      <c r="B33" s="123">
        <v>13</v>
      </c>
      <c r="C33" s="124">
        <f t="shared" si="2"/>
        <v>5273360.9026898379</v>
      </c>
      <c r="D33" s="139">
        <f>IF($C$17&lt;B33,0,Valuation_Model!$C$16)</f>
        <v>4.9429467411718955E-2</v>
      </c>
      <c r="E33" s="125">
        <f t="shared" si="0"/>
        <v>0.36769792467221413</v>
      </c>
      <c r="F33" s="126">
        <f t="shared" si="1"/>
        <v>1939003.8599666471</v>
      </c>
      <c r="H33" s="121"/>
    </row>
    <row r="34" spans="2:8" x14ac:dyDescent="0.35">
      <c r="B34" s="123">
        <v>14</v>
      </c>
      <c r="C34" s="124">
        <f t="shared" si="2"/>
        <v>5534020.3235795787</v>
      </c>
      <c r="D34" s="139">
        <f>IF($C$17&lt;B34,0,Valuation_Model!$C$16)</f>
        <v>4.9429467411718955E-2</v>
      </c>
      <c r="E34" s="125">
        <f t="shared" si="0"/>
        <v>0.34046104136316119</v>
      </c>
      <c r="F34" s="126">
        <f t="shared" si="1"/>
        <v>1884118.3222908017</v>
      </c>
      <c r="H34" s="121"/>
    </row>
    <row r="35" spans="2:8" x14ac:dyDescent="0.35">
      <c r="B35" s="123">
        <v>15</v>
      </c>
      <c r="C35" s="124">
        <f t="shared" si="2"/>
        <v>5807564.0008197464</v>
      </c>
      <c r="D35" s="139">
        <f>IF($C$17&lt;B35,0,Valuation_Model!$C$16)</f>
        <v>4.9429467411718955E-2</v>
      </c>
      <c r="E35" s="125">
        <f t="shared" si="0"/>
        <v>0.31524170496588994</v>
      </c>
      <c r="F35" s="126">
        <f t="shared" si="1"/>
        <v>1830786.377316942</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36945236.460239783</v>
      </c>
      <c r="D51" s="140">
        <f>Terminal_Growth</f>
        <v>0</v>
      </c>
      <c r="E51" s="125">
        <f>1/(1+Equity_Cost)^C17</f>
        <v>0.31524170496588994</v>
      </c>
      <c r="F51" s="126">
        <f t="shared" si="1"/>
        <v>11646679.33209395</v>
      </c>
      <c r="H51" s="121"/>
    </row>
    <row r="52" spans="1:8" x14ac:dyDescent="0.35">
      <c r="C52" s="115"/>
      <c r="E52" s="128" t="s">
        <v>102</v>
      </c>
      <c r="F52" s="138">
        <f>SUM(F21:F51)</f>
        <v>45481148.553063363</v>
      </c>
      <c r="H52" s="121"/>
    </row>
    <row r="53" spans="1:8" x14ac:dyDescent="0.35">
      <c r="C53" s="115"/>
      <c r="H53" s="121"/>
    </row>
    <row r="54" spans="1:8" ht="13.15" x14ac:dyDescent="0.35">
      <c r="B54" s="120" t="s">
        <v>131</v>
      </c>
      <c r="C54" s="137"/>
      <c r="D54" s="137"/>
      <c r="E54" s="118"/>
      <c r="F54" s="118"/>
      <c r="H54" s="121"/>
    </row>
    <row r="55" spans="1:8" ht="13.15" x14ac:dyDescent="0.4">
      <c r="A55" s="134">
        <f>F52</f>
        <v>45481148.553063363</v>
      </c>
      <c r="B55" s="132">
        <f>C78</f>
        <v>0</v>
      </c>
      <c r="C55" s="132">
        <f>C77</f>
        <v>0.02</v>
      </c>
      <c r="D55" s="132">
        <f>C76</f>
        <v>0.04</v>
      </c>
      <c r="E55" s="132">
        <f>C75</f>
        <v>0.06</v>
      </c>
      <c r="F55" s="132">
        <f>C74</f>
        <v>0.08</v>
      </c>
      <c r="H55" s="121"/>
    </row>
    <row r="56" spans="1:8" ht="13.15" x14ac:dyDescent="0.4">
      <c r="A56" s="144">
        <v>5</v>
      </c>
      <c r="B56" s="124">
        <f t="dataTable" ref="B56:F61" dt2D="1" dtr="1" r1="C16" r2="C17"/>
        <v>35205068.665891752</v>
      </c>
      <c r="C56" s="124">
        <v>36340968.470146462</v>
      </c>
      <c r="D56" s="124">
        <v>37510887.977851793</v>
      </c>
      <c r="E56" s="124">
        <v>38716320.083494902</v>
      </c>
      <c r="F56" s="124">
        <v>39958803.905536152</v>
      </c>
      <c r="H56" s="121"/>
    </row>
    <row r="57" spans="1:8" ht="13.15" x14ac:dyDescent="0.4">
      <c r="A57" s="144">
        <v>10</v>
      </c>
      <c r="B57" s="124">
        <v>35205068.665891744</v>
      </c>
      <c r="C57" s="124">
        <v>37477914.258620426</v>
      </c>
      <c r="D57" s="124">
        <v>39978560.519387558</v>
      </c>
      <c r="E57" s="124">
        <v>42734270.196406573</v>
      </c>
      <c r="F57" s="124">
        <v>45775354.170617849</v>
      </c>
      <c r="H57" s="121"/>
    </row>
    <row r="58" spans="1:8" ht="13.15" x14ac:dyDescent="0.4">
      <c r="A58" s="144">
        <v>15</v>
      </c>
      <c r="B58" s="124">
        <v>35205068.665891744</v>
      </c>
      <c r="C58" s="124">
        <v>38885199.917383611</v>
      </c>
      <c r="D58" s="124">
        <v>43195484.615519248</v>
      </c>
      <c r="E58" s="124">
        <v>48261115.593823448</v>
      </c>
      <c r="F58" s="124">
        <v>54232036.738321215</v>
      </c>
      <c r="H58" s="121"/>
    </row>
    <row r="59" spans="1:8" ht="13.15" x14ac:dyDescent="0.4">
      <c r="A59" s="145">
        <v>20</v>
      </c>
      <c r="B59" s="124">
        <v>35205068.665891744</v>
      </c>
      <c r="C59" s="124">
        <v>40318998.320719153</v>
      </c>
      <c r="D59" s="124">
        <v>46657943.836927794</v>
      </c>
      <c r="E59" s="124">
        <v>54565743.918039709</v>
      </c>
      <c r="F59" s="124">
        <v>64485548.98913493</v>
      </c>
      <c r="H59" s="121"/>
    </row>
    <row r="60" spans="1:8" ht="13.15" x14ac:dyDescent="0.4">
      <c r="A60" s="145">
        <v>25</v>
      </c>
      <c r="B60" s="124">
        <v>35205068.665891737</v>
      </c>
      <c r="C60" s="124">
        <v>41652510.397308387</v>
      </c>
      <c r="D60" s="124">
        <v>50068583.960390151</v>
      </c>
      <c r="E60" s="124">
        <v>61172802.710238017</v>
      </c>
      <c r="F60" s="124">
        <v>75961953.330205008</v>
      </c>
      <c r="H60" s="121"/>
    </row>
    <row r="61" spans="1:8" ht="13.15" x14ac:dyDescent="0.4">
      <c r="A61" s="145">
        <v>30</v>
      </c>
      <c r="B61" s="124">
        <v>35205068.665891737</v>
      </c>
      <c r="C61" s="124">
        <v>42828853.551297322</v>
      </c>
      <c r="D61" s="124">
        <v>53262678.661871754</v>
      </c>
      <c r="E61" s="124">
        <v>67779021.874591023</v>
      </c>
      <c r="F61" s="124">
        <v>88270637.479689032</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0.04</v>
      </c>
      <c r="E64" s="133">
        <f>E55</f>
        <v>0.06</v>
      </c>
      <c r="F64" s="133">
        <f>F55</f>
        <v>0.08</v>
      </c>
      <c r="H64" s="121"/>
    </row>
    <row r="65" spans="1:8" ht="13.15" x14ac:dyDescent="0.4">
      <c r="A65" s="144">
        <v>0</v>
      </c>
      <c r="B65" s="125">
        <f>C12</f>
        <v>19.776072954697455</v>
      </c>
      <c r="C65" s="125">
        <f>C12</f>
        <v>19.776072954697455</v>
      </c>
      <c r="D65" s="125">
        <f>C12</f>
        <v>19.776072954697455</v>
      </c>
      <c r="E65" s="142">
        <f>C12</f>
        <v>19.776072954697455</v>
      </c>
      <c r="F65" s="125">
        <f>C12</f>
        <v>19.776072954697455</v>
      </c>
      <c r="H65" s="121"/>
    </row>
    <row r="66" spans="1:8" ht="13.15" x14ac:dyDescent="0.4">
      <c r="A66" s="144">
        <f t="shared" ref="A66:A71" si="3">A56</f>
        <v>5</v>
      </c>
      <c r="B66" s="125">
        <f t="shared" ref="B66:F71" si="4">(B56-$C$7+$C$8+$C$9)/Common_Shares*$C$3*Exchange_Rate</f>
        <v>19.776072954697451</v>
      </c>
      <c r="C66" s="125">
        <f t="shared" si="4"/>
        <v>20.241894205060998</v>
      </c>
      <c r="D66" s="125">
        <f t="shared" si="4"/>
        <v>20.721666598596684</v>
      </c>
      <c r="E66" s="125">
        <f t="shared" si="4"/>
        <v>21.2160023565357</v>
      </c>
      <c r="F66" s="125">
        <f t="shared" si="4"/>
        <v>21.725532656102466</v>
      </c>
      <c r="H66" s="121"/>
    </row>
    <row r="67" spans="1:8" ht="13.15" x14ac:dyDescent="0.4">
      <c r="A67" s="144">
        <f t="shared" si="3"/>
        <v>10</v>
      </c>
      <c r="B67" s="125">
        <f t="shared" si="4"/>
        <v>19.776072954697447</v>
      </c>
      <c r="C67" s="125">
        <f t="shared" si="4"/>
        <v>20.708144403184768</v>
      </c>
      <c r="D67" s="125">
        <f t="shared" si="4"/>
        <v>21.733634647609765</v>
      </c>
      <c r="E67" s="125">
        <f t="shared" si="4"/>
        <v>22.863723870778671</v>
      </c>
      <c r="F67" s="125">
        <f t="shared" si="4"/>
        <v>24.110842264515082</v>
      </c>
      <c r="H67" s="121"/>
    </row>
    <row r="68" spans="1:8" ht="13.15" x14ac:dyDescent="0.4">
      <c r="A68" s="144">
        <f t="shared" si="3"/>
        <v>15</v>
      </c>
      <c r="B68" s="125">
        <f t="shared" si="4"/>
        <v>19.776072954697447</v>
      </c>
      <c r="C68" s="125">
        <f t="shared" si="4"/>
        <v>21.285258302428609</v>
      </c>
      <c r="D68" s="125">
        <f t="shared" si="4"/>
        <v>23.052863332368528</v>
      </c>
      <c r="E68" s="125">
        <f t="shared" si="4"/>
        <v>25.130228384598826</v>
      </c>
      <c r="F68" s="125">
        <f t="shared" si="4"/>
        <v>27.578843960491987</v>
      </c>
      <c r="H68" s="121"/>
    </row>
    <row r="69" spans="1:8" ht="13.15" x14ac:dyDescent="0.4">
      <c r="A69" s="145">
        <f t="shared" si="3"/>
        <v>20</v>
      </c>
      <c r="B69" s="125">
        <f t="shared" si="4"/>
        <v>19.776072954697447</v>
      </c>
      <c r="C69" s="125">
        <f t="shared" si="4"/>
        <v>21.873244815419721</v>
      </c>
      <c r="D69" s="125">
        <f t="shared" si="4"/>
        <v>24.472783538189471</v>
      </c>
      <c r="E69" s="125">
        <f t="shared" si="4"/>
        <v>27.715693967094246</v>
      </c>
      <c r="F69" s="125">
        <f t="shared" si="4"/>
        <v>31.783707698826568</v>
      </c>
      <c r="H69" s="121"/>
    </row>
    <row r="70" spans="1:8" ht="13.15" x14ac:dyDescent="0.4">
      <c r="A70" s="145">
        <f t="shared" si="3"/>
        <v>25</v>
      </c>
      <c r="B70" s="125">
        <f t="shared" si="4"/>
        <v>19.776072954697444</v>
      </c>
      <c r="C70" s="125">
        <f t="shared" si="4"/>
        <v>22.420104899878716</v>
      </c>
      <c r="D70" s="125">
        <f t="shared" si="4"/>
        <v>25.871453245588292</v>
      </c>
      <c r="E70" s="125">
        <f t="shared" si="4"/>
        <v>30.425183286732462</v>
      </c>
      <c r="F70" s="125">
        <f t="shared" si="4"/>
        <v>36.490067361721721</v>
      </c>
    </row>
    <row r="71" spans="1:8" ht="13.15" x14ac:dyDescent="0.4">
      <c r="A71" s="145">
        <f t="shared" si="3"/>
        <v>30</v>
      </c>
      <c r="B71" s="125">
        <f t="shared" si="4"/>
        <v>19.776072954697444</v>
      </c>
      <c r="C71" s="125">
        <f t="shared" si="4"/>
        <v>22.902511567082303</v>
      </c>
      <c r="D71" s="125">
        <f t="shared" si="4"/>
        <v>27.181319821892497</v>
      </c>
      <c r="E71" s="125">
        <f t="shared" si="4"/>
        <v>33.134328283313941</v>
      </c>
      <c r="F71" s="125">
        <f t="shared" si="4"/>
        <v>41.537736724253726</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20</v>
      </c>
      <c r="E74" s="136">
        <f>INDEX(B$65:F$71, MATCH(D74, A$65:A$71, 0), MATCH(C74, B$64:F$64, 0))</f>
        <v>31.783707698826568</v>
      </c>
      <c r="F74" s="143">
        <f>Scenarios!C58</f>
        <v>0.1</v>
      </c>
    </row>
    <row r="75" spans="1:8" x14ac:dyDescent="0.35">
      <c r="B75" s="128" t="str">
        <f>Scenarios!B36</f>
        <v>Optimistic</v>
      </c>
      <c r="C75" s="143">
        <f>Scenarios!C38</f>
        <v>0.06</v>
      </c>
      <c r="D75" s="146">
        <f>Scenarios!C37</f>
        <v>15</v>
      </c>
      <c r="E75" s="136">
        <f>INDEX(B$65:F$71, MATCH(D75, A$65:A$71, 0), MATCH(C75, B$64:F$64, 0))</f>
        <v>25.130228384598826</v>
      </c>
      <c r="F75" s="143">
        <f>Scenarios!C40*(1-F$74-F$78)</f>
        <v>0.255</v>
      </c>
      <c r="H75" s="121"/>
    </row>
    <row r="76" spans="1:8" x14ac:dyDescent="0.35">
      <c r="B76" s="128" t="str">
        <f>Scenarios!B24</f>
        <v>Base</v>
      </c>
      <c r="C76" s="143">
        <f>Scenarios!C26</f>
        <v>0.04</v>
      </c>
      <c r="D76" s="146">
        <f>Scenarios!C25</f>
        <v>15</v>
      </c>
      <c r="E76" s="136">
        <f>INDEX(B$65:F$71, MATCH(D76, A$65:A$71, 0), MATCH(C76, B$64:F$64, 0))</f>
        <v>23.052863332368528</v>
      </c>
      <c r="F76" s="143">
        <f>Scenarios!C28*(1-F$74-F$78)</f>
        <v>0.42499999999999999</v>
      </c>
      <c r="H76" s="121"/>
    </row>
    <row r="77" spans="1:8" x14ac:dyDescent="0.35">
      <c r="B77" s="128" t="str">
        <f>Scenarios!B30</f>
        <v>Pessimistic</v>
      </c>
      <c r="C77" s="143">
        <f>Scenarios!C32</f>
        <v>0.02</v>
      </c>
      <c r="D77" s="146">
        <f>Scenarios!C31</f>
        <v>15</v>
      </c>
      <c r="E77" s="136">
        <f>INDEX(B$65:F$71, MATCH(D77, A$65:A$71, 0), MATCH(C77, B$64:F$64, 0))</f>
        <v>21.285258302428609</v>
      </c>
      <c r="F77" s="143">
        <f>Scenarios!C34*(1-F$74-F$78)</f>
        <v>0.17</v>
      </c>
      <c r="H77" s="121"/>
    </row>
    <row r="78" spans="1:8" x14ac:dyDescent="0.35">
      <c r="B78" s="128" t="str">
        <f>Scenarios!B48</f>
        <v>Devil's advocate</v>
      </c>
      <c r="C78" s="143">
        <f>Scenarios!C50</f>
        <v>0</v>
      </c>
      <c r="D78" s="146">
        <f>Scenarios!C49</f>
        <v>20</v>
      </c>
      <c r="E78" s="136">
        <f>INDEX(B$65:F$71, MATCH(D78, A$65:A$71, 0), MATCH(C78, B$64:F$64, 0))</f>
        <v>19.776072954697447</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5" zoomScale="75" zoomScaleNormal="100" workbookViewId="0">
      <selection activeCell="C66" sqref="C66"/>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-14.96</v>
      </c>
    </row>
    <row r="4" spans="2:9" x14ac:dyDescent="0.35">
      <c r="B4" s="153" t="s">
        <v>148</v>
      </c>
      <c r="C4" s="121">
        <v>3</v>
      </c>
      <c r="D4" s="121"/>
      <c r="E4" s="156" t="s">
        <v>152</v>
      </c>
      <c r="F4" s="156"/>
      <c r="H4" s="276">
        <v>1</v>
      </c>
      <c r="I4" s="264">
        <f t="shared" ref="I4:I13" si="0">IF(ROW()-3 &lt; $C$76, $C$77, IF(ROW()-3 = $C$76, $C$77 + $C$60, ""))</f>
        <v>0.55169811320754714</v>
      </c>
    </row>
    <row r="5" spans="2:9" x14ac:dyDescent="0.35">
      <c r="H5" s="276">
        <v>2</v>
      </c>
      <c r="I5" s="264">
        <f t="shared" si="0"/>
        <v>0.55169811320754714</v>
      </c>
    </row>
    <row r="6" spans="2:9" ht="13.15" x14ac:dyDescent="0.4">
      <c r="B6" s="160" t="s">
        <v>97</v>
      </c>
      <c r="C6" s="107">
        <f>Valuation_Model!C3</f>
        <v>1000</v>
      </c>
      <c r="E6" s="100" t="s">
        <v>285</v>
      </c>
      <c r="F6" s="100"/>
      <c r="H6" s="276">
        <v>3</v>
      </c>
      <c r="I6" s="264">
        <f t="shared" si="0"/>
        <v>24.543041596567267</v>
      </c>
    </row>
    <row r="7" spans="2:9" ht="12.75" customHeight="1" x14ac:dyDescent="0.35">
      <c r="B7" s="100" t="s">
        <v>279</v>
      </c>
      <c r="C7" s="115">
        <f>Normalized_FCF!G8</f>
        <v>3529289</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15-year scenarios (Base Case, Pessimistic Case, Optimistic Case) and two extreme 20-year scenarios (Success Scenario, Devil’s Advocate Scenario) for 李宁(2331.HK). Each scenario should include the Compound Growth Rate, the Probability Assessment, and the Business Narrative.</v>
      </c>
      <c r="F7" s="346"/>
      <c r="H7" s="276">
        <v>4</v>
      </c>
      <c r="I7" s="264" t="str">
        <f t="shared" si="0"/>
        <v/>
      </c>
    </row>
    <row r="8" spans="2:9" x14ac:dyDescent="0.35">
      <c r="B8" s="100" t="s">
        <v>67</v>
      </c>
      <c r="C8" s="115">
        <f>Normalized_FCF!G19</f>
        <v>2273287.3685612953</v>
      </c>
      <c r="D8" t="str">
        <f>Reporting_currency</f>
        <v>CNY</v>
      </c>
      <c r="E8" s="346"/>
      <c r="F8" s="346"/>
      <c r="H8" s="276">
        <v>5</v>
      </c>
      <c r="I8" s="264" t="str">
        <f t="shared" si="0"/>
        <v/>
      </c>
    </row>
    <row r="9" spans="2:9" x14ac:dyDescent="0.35">
      <c r="B9" s="100" t="s">
        <v>58</v>
      </c>
      <c r="C9" s="201">
        <f>Normalized_FCF!C19</f>
        <v>2816405.4932713406</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8.3043513409933434E-2</v>
      </c>
      <c r="D12" s="159"/>
      <c r="E12" s="346"/>
      <c r="F12" s="346"/>
      <c r="H12" s="276">
        <v>9</v>
      </c>
      <c r="I12" s="264" t="str">
        <f t="shared" si="0"/>
        <v/>
      </c>
    </row>
    <row r="13" spans="2:9" x14ac:dyDescent="0.35">
      <c r="B13" s="149" t="s">
        <v>154</v>
      </c>
      <c r="C13" s="159">
        <f ca="1">(Normalized_FCF!G8/OFFSET(Normalized_FCF!G8, 0, $C$4))^(1/$C$4) - 1</f>
        <v>-9.2379152048964186E-2</v>
      </c>
      <c r="E13" s="346"/>
      <c r="F13" s="346"/>
      <c r="H13" s="276">
        <v>10</v>
      </c>
      <c r="I13" s="264" t="str">
        <f t="shared" si="0"/>
        <v/>
      </c>
    </row>
    <row r="14" spans="2:9" x14ac:dyDescent="0.35">
      <c r="B14" s="100" t="s">
        <v>67</v>
      </c>
      <c r="C14" s="159">
        <f ca="1">(Normalized_FCF!G19/OFFSET(Normalized_FCF!G19, 0, $C$4))^(1/$C$4) - 1</f>
        <v>-0.11887395301890247</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15</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14.96</v>
      </c>
      <c r="D21" t="str">
        <f>Market_currency</f>
        <v>HKD</v>
      </c>
      <c r="E21" s="347"/>
      <c r="F21" s="347"/>
    </row>
    <row r="22" spans="2:6" x14ac:dyDescent="0.35">
      <c r="B22" s="100" t="s">
        <v>284</v>
      </c>
      <c r="C22" s="161">
        <f>Valuation_Model!C12</f>
        <v>19.776072954697455</v>
      </c>
      <c r="D22" t="str">
        <f>Market_currency</f>
        <v>HKD</v>
      </c>
      <c r="E22" s="347"/>
      <c r="F22" s="347"/>
    </row>
    <row r="24" spans="2:6" ht="13.15" x14ac:dyDescent="0.4">
      <c r="B24" s="160" t="s">
        <v>117</v>
      </c>
      <c r="E24" s="160" t="s">
        <v>151</v>
      </c>
      <c r="F24" s="160"/>
    </row>
    <row r="25" spans="2:6" x14ac:dyDescent="0.35">
      <c r="B25" s="153" t="s">
        <v>135</v>
      </c>
      <c r="C25" s="167">
        <f>C18</f>
        <v>15</v>
      </c>
      <c r="D25" s="164"/>
      <c r="E25" s="345"/>
      <c r="F25" s="345"/>
    </row>
    <row r="26" spans="2:6" x14ac:dyDescent="0.35">
      <c r="B26" s="119" t="s">
        <v>136</v>
      </c>
      <c r="C26" s="165">
        <v>0.04</v>
      </c>
      <c r="D26" s="165"/>
      <c r="E26" s="345"/>
      <c r="F26" s="345"/>
    </row>
    <row r="27" spans="2:6" x14ac:dyDescent="0.35">
      <c r="B27" s="100" t="s">
        <v>115</v>
      </c>
      <c r="C27" s="161">
        <f>Valuation_Model!E76</f>
        <v>23.052863332368528</v>
      </c>
      <c r="D27" s="161" t="str">
        <f>Market_currency</f>
        <v>HKD</v>
      </c>
      <c r="E27" s="345"/>
      <c r="F27" s="345"/>
    </row>
    <row r="28" spans="2:6" x14ac:dyDescent="0.35">
      <c r="B28" s="100" t="s">
        <v>149</v>
      </c>
      <c r="C28" s="166">
        <v>0.5</v>
      </c>
      <c r="D28" s="166"/>
      <c r="E28" s="345"/>
      <c r="F28" s="345"/>
    </row>
    <row r="30" spans="2:6" ht="13.15" x14ac:dyDescent="0.4">
      <c r="B30" s="160" t="s">
        <v>118</v>
      </c>
      <c r="E30" s="160" t="s">
        <v>151</v>
      </c>
      <c r="F30" s="160"/>
    </row>
    <row r="31" spans="2:6" x14ac:dyDescent="0.35">
      <c r="B31" s="153" t="s">
        <v>135</v>
      </c>
      <c r="C31" s="167">
        <f>C18</f>
        <v>15</v>
      </c>
      <c r="D31" s="164"/>
      <c r="E31" s="345"/>
      <c r="F31" s="345"/>
    </row>
    <row r="32" spans="2:6" x14ac:dyDescent="0.35">
      <c r="B32" s="119" t="s">
        <v>136</v>
      </c>
      <c r="C32" s="165">
        <v>0.02</v>
      </c>
      <c r="D32" s="165"/>
      <c r="E32" s="345"/>
      <c r="F32" s="345"/>
    </row>
    <row r="33" spans="2:6" x14ac:dyDescent="0.35">
      <c r="B33" s="100" t="s">
        <v>115</v>
      </c>
      <c r="C33" s="161">
        <f>Valuation_Model!E77</f>
        <v>21.285258302428609</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15</v>
      </c>
      <c r="D37" s="164"/>
      <c r="E37" s="345"/>
      <c r="F37" s="345"/>
    </row>
    <row r="38" spans="2:6" x14ac:dyDescent="0.35">
      <c r="B38" s="119" t="s">
        <v>136</v>
      </c>
      <c r="C38" s="165">
        <v>0.06</v>
      </c>
      <c r="D38" s="165"/>
      <c r="E38" s="345"/>
      <c r="F38" s="345"/>
    </row>
    <row r="39" spans="2:6" x14ac:dyDescent="0.35">
      <c r="B39" s="100" t="s">
        <v>115</v>
      </c>
      <c r="C39" s="161">
        <f>Valuation_Model!E75</f>
        <v>25.130228384598826</v>
      </c>
      <c r="D39" t="str">
        <f>Market_currency</f>
        <v>HKD</v>
      </c>
      <c r="E39" s="345"/>
      <c r="F39" s="345"/>
    </row>
    <row r="40" spans="2:6" x14ac:dyDescent="0.35">
      <c r="B40" s="100" t="s">
        <v>149</v>
      </c>
      <c r="C40" s="168">
        <f>1-C28-C34</f>
        <v>0.3</v>
      </c>
      <c r="D40" s="166"/>
      <c r="E40" s="345"/>
      <c r="F40" s="345"/>
    </row>
    <row r="42" spans="2:6" ht="13.15" x14ac:dyDescent="0.4">
      <c r="B42" s="100" t="s">
        <v>122</v>
      </c>
      <c r="C42" s="155">
        <f>C27*C28+C33*C34+C39*C40</f>
        <v>23.322551842049634</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20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20</v>
      </c>
      <c r="D49" s="164"/>
      <c r="E49" s="345"/>
      <c r="F49" s="345"/>
    </row>
    <row r="50" spans="2:6" x14ac:dyDescent="0.35">
      <c r="B50" s="119" t="s">
        <v>136</v>
      </c>
      <c r="C50" s="165">
        <v>0</v>
      </c>
      <c r="D50" s="165"/>
      <c r="E50" s="345"/>
      <c r="F50" s="345"/>
    </row>
    <row r="51" spans="2:6" x14ac:dyDescent="0.35">
      <c r="B51" s="100" t="s">
        <v>115</v>
      </c>
      <c r="C51" s="161">
        <f>Valuation_Model!E78</f>
        <v>19.776072954697447</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20</v>
      </c>
      <c r="D55" s="164"/>
      <c r="E55" s="345"/>
      <c r="F55" s="345"/>
    </row>
    <row r="56" spans="2:6" x14ac:dyDescent="0.35">
      <c r="B56" s="119" t="s">
        <v>136</v>
      </c>
      <c r="C56" s="165">
        <v>0.08</v>
      </c>
      <c r="D56" s="165"/>
      <c r="E56" s="345"/>
      <c r="F56" s="345"/>
    </row>
    <row r="57" spans="2:6" x14ac:dyDescent="0.35">
      <c r="B57" s="100" t="s">
        <v>115</v>
      </c>
      <c r="C57" s="161">
        <f>Valuation_Model!E74</f>
        <v>31.783707698826568</v>
      </c>
      <c r="D57" t="str">
        <f>Market_currency</f>
        <v>HKD</v>
      </c>
      <c r="E57" s="345"/>
      <c r="F57" s="345"/>
    </row>
    <row r="58" spans="2:6" x14ac:dyDescent="0.35">
      <c r="B58" s="100" t="s">
        <v>149</v>
      </c>
      <c r="C58" s="166">
        <v>0.1</v>
      </c>
      <c r="D58" s="166"/>
      <c r="E58" s="345"/>
      <c r="F58" s="345"/>
    </row>
    <row r="60" spans="2:6" ht="13.15" x14ac:dyDescent="0.4">
      <c r="B60" s="100" t="s">
        <v>122</v>
      </c>
      <c r="C60" s="155">
        <f>C51*C52+C57*C58+C42*(1-C52-C58)</f>
        <v>23.991343483359721</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15</v>
      </c>
      <c r="D64" s="151"/>
      <c r="E64" s="281" t="s">
        <v>412</v>
      </c>
    </row>
    <row r="65" spans="2:6" x14ac:dyDescent="0.35">
      <c r="B65" s="119" t="s">
        <v>136</v>
      </c>
      <c r="C65" s="152">
        <v>4.9429467411718955E-2</v>
      </c>
      <c r="D65" s="152"/>
      <c r="E65" s="281" t="s">
        <v>324</v>
      </c>
    </row>
    <row r="66" spans="2:6" x14ac:dyDescent="0.35">
      <c r="B66" s="100" t="s">
        <v>104</v>
      </c>
      <c r="C66" s="161">
        <f>Valuation_Model!C18</f>
        <v>23.990191457005579</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0.22253123344895756</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0.55169811320754714</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1.0769147169811319</v>
      </c>
      <c r="D81" s="117"/>
      <c r="E81" s="100"/>
      <c r="F81" s="100"/>
    </row>
    <row r="82" spans="2:8" x14ac:dyDescent="0.35">
      <c r="B82" s="100" t="s">
        <v>124</v>
      </c>
      <c r="C82" s="117">
        <f>C60/(1+C80)^C76</f>
        <v>12.283567863480178</v>
      </c>
      <c r="D82" s="117"/>
    </row>
    <row r="83" spans="2:8" ht="13.15" x14ac:dyDescent="0.4">
      <c r="B83" s="111" t="s">
        <v>103</v>
      </c>
      <c r="C83" s="112">
        <f>C81+C82</f>
        <v>13.36048258046131</v>
      </c>
      <c r="D83" t="str">
        <f>Market_currency</f>
        <v>HKD</v>
      </c>
      <c r="E83" s="147" t="s">
        <v>128</v>
      </c>
      <c r="F83" s="329">
        <f>(1-C83/C60)</f>
        <v>0.44311236301843304</v>
      </c>
    </row>
    <row r="84" spans="2:8" x14ac:dyDescent="0.35">
      <c r="E84" s="121"/>
    </row>
    <row r="85" spans="2:8" ht="13.15" x14ac:dyDescent="0.4">
      <c r="B85" s="109" t="s">
        <v>313</v>
      </c>
    </row>
    <row r="86" spans="2:8" x14ac:dyDescent="0.35">
      <c r="B86" s="149" t="s">
        <v>311</v>
      </c>
      <c r="C86" s="266">
        <f>Market_Price</f>
        <v>14.96</v>
      </c>
      <c r="D86" t="str">
        <f>Market_currency</f>
        <v>HKD</v>
      </c>
    </row>
    <row r="87" spans="2:8" ht="13.15" x14ac:dyDescent="0.4">
      <c r="B87" s="100" t="s">
        <v>309</v>
      </c>
      <c r="C87" s="265">
        <f ca="1">IRR(OFFSET($I$3, 0, 0, $C$76 + 1, 1))</f>
        <v>0.20236403420229543</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2025-04-24T13:37:58Z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