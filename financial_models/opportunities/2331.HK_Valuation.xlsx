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F3273A3-586D-4AD4-A77B-E0E4F020BFC0}"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G17" i="3"/>
  <c r="C19" i="3"/>
  <c r="C23" i="3"/>
  <c r="G4" i="3"/>
  <c r="C4" i="3"/>
  <c r="C28" i="4" s="1"/>
  <c r="C11" i="3"/>
  <c r="C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<sst xmlns="http://schemas.openxmlformats.org/spreadsheetml/2006/main" count="768" uniqueCount="559">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</sst>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21</v>
      </c>
      <c r="E8" s="32"/>
    </row>
    <row r="9" spans="1:9">
      <c r="B9" s="4" t="s">
        <v>346</v>
      </c>
      <c r="C9" s="48">
        <v>2584811005</v>
      </c>
    </row>
    <row r="10" spans="1:9">
      <c r="B10" s="4" t="s">
        <v>352</v>
      </c>
      <c r="C10" s="33">
        <f>Thesis!C8*Common_Shares/1000000</f>
        <v>54281.031105000002</v>
      </c>
      <c r="D10" s="1" t="s">
        <v>528</v>
      </c>
      <c r="E10" s="303">
        <f>Scenarios!F34</f>
        <v>0.12409635962466722</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1.1321619999999999</v>
      </c>
    </row>
    <row r="17" spans="1:6">
      <c r="B17" s="1" t="s">
        <v>532</v>
      </c>
      <c r="C17" s="456">
        <v>0.02</v>
      </c>
      <c r="D17" s="4" t="s">
        <v>274</v>
      </c>
      <c r="E17" s="224" t="s">
        <v>558</v>
      </c>
    </row>
    <row r="18" spans="1:6">
      <c r="B18" s="1" t="str">
        <f>"Expected Equity Value ("&amp;C7&amp;") :"</f>
        <v>Expected Equity Value (HKD) :</v>
      </c>
      <c r="C18" s="252">
        <f>C125</f>
        <v>28.078541238930207</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13.718484893999822</v>
      </c>
      <c r="D22" s="38" t="s">
        <v>406</v>
      </c>
      <c r="E22" s="79">
        <v>0.3</v>
      </c>
    </row>
    <row r="23" spans="1:6">
      <c r="B23" s="1" t="s">
        <v>313</v>
      </c>
      <c r="C23" s="256">
        <f>E141</f>
        <v>17.337224805319675</v>
      </c>
      <c r="D23" s="38" t="s">
        <v>407</v>
      </c>
      <c r="E23" s="443">
        <v>0.2</v>
      </c>
    </row>
    <row r="24" spans="1:6">
      <c r="B24" s="1" t="s">
        <v>315</v>
      </c>
      <c r="C24" s="256">
        <f>E144</f>
        <v>21.371777441928018</v>
      </c>
      <c r="D24" s="38" t="s">
        <v>408</v>
      </c>
      <c r="E24" s="443">
        <v>0.1174</v>
      </c>
    </row>
    <row r="25" spans="1:6">
      <c r="B25" s="1" t="s">
        <v>314</v>
      </c>
      <c r="C25" s="256">
        <f>E145</f>
        <v>24.109924278107666</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3529289</v>
      </c>
      <c r="D34" s="1" t="str">
        <f>Reporting_currency</f>
        <v>CNY</v>
      </c>
    </row>
    <row r="35" spans="2:6">
      <c r="B35" s="44"/>
      <c r="C35" s="73"/>
    </row>
    <row r="36" spans="2:6" ht="24.5" customHeight="1">
      <c r="B36" s="462" t="s">
        <v>198</v>
      </c>
      <c r="C36" s="462"/>
      <c r="D36" s="462"/>
      <c r="E36" s="462"/>
      <c r="F36" s="462"/>
    </row>
    <row r="37" spans="2:6">
      <c r="B37" s="44" t="s">
        <v>199</v>
      </c>
      <c r="C37" s="285">
        <f>Normalized_FCF!C15</f>
        <v>0</v>
      </c>
      <c r="D37" s="1" t="str">
        <f>Reporting_currency</f>
        <v>CNY</v>
      </c>
    </row>
    <row r="38" spans="2:6">
      <c r="B38" s="49" t="s">
        <v>200</v>
      </c>
      <c r="C38" s="285">
        <f>Normalized_FCF!C16</f>
        <v>0</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26481.496387506384</v>
      </c>
      <c r="D44" s="1" t="str">
        <f>Reporting_currency</f>
        <v>CNY</v>
      </c>
      <c r="E44" s="244"/>
      <c r="F44" s="244"/>
    </row>
    <row r="45" spans="2:6">
      <c r="B45" s="44" t="s">
        <v>268</v>
      </c>
      <c r="C45" s="286">
        <f>Normalized_FCF!C45</f>
        <v>-106638.78</v>
      </c>
      <c r="D45" s="1" t="str">
        <f>Reporting_currency</f>
        <v>CNY</v>
      </c>
      <c r="E45" s="244"/>
      <c r="F45" s="244"/>
    </row>
    <row r="46" spans="2:6">
      <c r="B46" s="44" t="s">
        <v>203</v>
      </c>
      <c r="C46" s="285">
        <f>Normalized_FCF!C10</f>
        <v>-80157.283612493615</v>
      </c>
      <c r="D46" s="1" t="str">
        <f>Reporting_currency</f>
        <v>CNY</v>
      </c>
    </row>
    <row r="48" spans="2:6">
      <c r="B48" s="1" t="s">
        <v>211</v>
      </c>
    </row>
    <row r="49" spans="2:6">
      <c r="B49" s="44" t="s">
        <v>223</v>
      </c>
      <c r="C49" s="285">
        <f>Normalized_FCF!C13</f>
        <v>0</v>
      </c>
      <c r="D49" s="1" t="str">
        <f>Reporting_currency</f>
        <v>CNY</v>
      </c>
    </row>
    <row r="51" spans="2:6">
      <c r="B51" s="462" t="s">
        <v>206</v>
      </c>
      <c r="C51" s="462"/>
      <c r="D51" s="462"/>
      <c r="E51" s="462"/>
      <c r="F51" s="462"/>
    </row>
    <row r="52" spans="2:6">
      <c r="B52" s="44" t="s">
        <v>204</v>
      </c>
      <c r="C52" s="285">
        <f>Normalized_FCF!C12</f>
        <v>-862282.92909687664</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2533259.7188002774</v>
      </c>
      <c r="D60" s="1" t="str">
        <f>Reporting_currency</f>
        <v>CNY</v>
      </c>
    </row>
    <row r="61" spans="2:6">
      <c r="B61" s="44" t="s">
        <v>213</v>
      </c>
      <c r="C61" s="285">
        <f>Normalized_FCF!C19</f>
        <v>2586848.7872906299</v>
      </c>
      <c r="D61" s="1" t="str">
        <f>Reporting_currency</f>
        <v>CNY</v>
      </c>
    </row>
    <row r="62" spans="2:6">
      <c r="B62" s="204" t="s">
        <v>302</v>
      </c>
      <c r="C62" s="89">
        <f>Normalized_FCF!C124</f>
        <v>5.3954979061677379E-2</v>
      </c>
      <c r="F62" s="257"/>
    </row>
    <row r="63" spans="2:6">
      <c r="B63" s="204" t="s">
        <v>332</v>
      </c>
      <c r="C63" s="89">
        <f>Normalized_FCF!C92</f>
        <v>2.45968501394845E-2</v>
      </c>
      <c r="E63" s="44" t="s">
        <v>322</v>
      </c>
      <c r="F63" s="258">
        <f>Normalized_FCF!C90</f>
        <v>0.51612695495230732</v>
      </c>
    </row>
    <row r="65" spans="1:6">
      <c r="B65" s="192" t="s">
        <v>325</v>
      </c>
      <c r="C65" s="264" t="s">
        <v>327</v>
      </c>
      <c r="D65" s="264" t="s">
        <v>328</v>
      </c>
    </row>
    <row r="66" spans="1:6">
      <c r="B66" s="44" t="s">
        <v>326</v>
      </c>
      <c r="C66" s="89">
        <f>Normalized_FCF!E119</f>
        <v>0.2</v>
      </c>
      <c r="D66" s="89">
        <f>Normalized_FCF!G119</f>
        <v>0.13360785219959892</v>
      </c>
    </row>
    <row r="67" spans="1:6">
      <c r="B67" s="229" t="str">
        <f>Normalized_FCF!B116</f>
        <v>Pre-tax Profit/Sales</v>
      </c>
      <c r="C67" s="263">
        <f>Normalized_FCF!E116</f>
        <v>0.13430424833028851</v>
      </c>
      <c r="D67" s="263">
        <f>Normalized_FCF!G116</f>
        <v>0.12658655008364686</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-1777313</v>
      </c>
      <c r="D78" s="1" t="str">
        <f>Reporting_currency</f>
        <v>CNY</v>
      </c>
    </row>
    <row r="79" spans="1:6">
      <c r="A79" s="191"/>
      <c r="B79" s="44" t="s">
        <v>234</v>
      </c>
      <c r="C79" s="201">
        <f>C78*scaling_factor*Exchange_Rate/Common_Shares</f>
        <v>-0.77847325657993316</v>
      </c>
      <c r="D79" s="1" t="str">
        <f>Market_currency</f>
        <v>HKD</v>
      </c>
    </row>
    <row r="80" spans="1:6">
      <c r="A80" s="191"/>
      <c r="B80" s="229" t="s">
        <v>309</v>
      </c>
      <c r="C80" s="337">
        <f>IF(BS!G31/BS!G27&gt;300%,"nm",BS!G31/BS!G27)</f>
        <v>6.5417684980282262E-2</v>
      </c>
    </row>
    <row r="81" spans="1:6">
      <c r="A81" s="191"/>
      <c r="B81" s="229" t="s">
        <v>311</v>
      </c>
      <c r="C81" s="338">
        <f>IF(BS!C50&gt;30,"nm",BS!C50)</f>
        <v>0.50358953318926281</v>
      </c>
    </row>
    <row r="82" spans="1:6">
      <c r="A82" s="191"/>
    </row>
    <row r="83" spans="1:6">
      <c r="A83" s="191"/>
      <c r="B83" s="1" t="s">
        <v>466</v>
      </c>
    </row>
    <row r="84" spans="1:6">
      <c r="A84" s="191"/>
      <c r="B84" s="1" t="s">
        <v>224</v>
      </c>
      <c r="C84" s="285">
        <f>DCF!F5</f>
        <v>14777273.268748935</v>
      </c>
      <c r="D84" s="1" t="str">
        <f>Reporting_currency</f>
        <v>CNY</v>
      </c>
    </row>
    <row r="85" spans="1:6">
      <c r="A85" s="191"/>
      <c r="B85" s="229" t="s">
        <v>222</v>
      </c>
      <c r="C85" s="291">
        <f>BS!C66</f>
        <v>19190856</v>
      </c>
      <c r="D85" s="339" t="str">
        <f>Reporting_currency</f>
        <v>CNY</v>
      </c>
    </row>
    <row r="86" spans="1:6">
      <c r="A86" s="191"/>
      <c r="B86" s="44" t="s">
        <v>235</v>
      </c>
      <c r="C86" s="201">
        <f>C84*scaling_factor*Exchange_Rate/Common_Shares</f>
        <v>6.4725301873640584</v>
      </c>
      <c r="D86" s="1" t="str">
        <f>Market_currency</f>
        <v>HKD</v>
      </c>
    </row>
    <row r="87" spans="1:6">
      <c r="A87" s="191"/>
    </row>
    <row r="88" spans="1:6">
      <c r="A88" s="191"/>
      <c r="B88" s="1" t="s">
        <v>216</v>
      </c>
    </row>
    <row r="89" spans="1:6">
      <c r="A89" s="191"/>
      <c r="B89" s="1" t="s">
        <v>217</v>
      </c>
      <c r="C89" s="285">
        <f>DCF!F6</f>
        <v>1668728.8</v>
      </c>
      <c r="D89" s="1" t="str">
        <f>Reporting_currency</f>
        <v>CNY</v>
      </c>
    </row>
    <row r="90" spans="1:6">
      <c r="A90" s="191"/>
      <c r="B90" s="44" t="s">
        <v>236</v>
      </c>
      <c r="C90" s="201">
        <f>C89*scaling_factor*Exchange_Rate/Common_Shares</f>
        <v>0.73091275610133044</v>
      </c>
      <c r="D90" s="1" t="str">
        <f>Market_currency</f>
        <v>HKD</v>
      </c>
    </row>
    <row r="91" spans="1:6">
      <c r="A91" s="191"/>
    </row>
    <row r="92" spans="1:6">
      <c r="A92" s="191"/>
      <c r="B92" s="44" t="s">
        <v>469</v>
      </c>
      <c r="C92" s="216">
        <f>DCF!F8</f>
        <v>6.424969686885456</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5.6472711885075704</v>
      </c>
      <c r="D111" s="1" t="str">
        <f>Market_currency</f>
        <v>HKD</v>
      </c>
    </row>
    <row r="112" spans="2:6">
      <c r="B112" s="44" t="s">
        <v>323</v>
      </c>
      <c r="C112" s="216">
        <f>DCF!C11</f>
        <v>28.43860114404983</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v>
      </c>
      <c r="D118" s="207" t="str">
        <f>ROUND(DCF!E90,2)&amp;" "&amp;Market_currency</f>
        <v>36.4 HKD</v>
      </c>
      <c r="E118" s="208">
        <f>DCF!F90</f>
        <v>0.05</v>
      </c>
      <c r="F118" s="208">
        <f>RATE(Holding_Period,Scenarios!C$58,-DCF!E90,C$18)</f>
        <v>-6.7414615268582542E-2</v>
      </c>
    </row>
    <row r="119" spans="2:6">
      <c r="B119" s="205" t="str">
        <f>DCF!B91&amp;" ("&amp;DCF!D91&amp;"yrs)"</f>
        <v>Optimistic (10yrs)</v>
      </c>
      <c r="C119" s="198">
        <f>DCF!C91</f>
        <v>0.06</v>
      </c>
      <c r="D119" s="207" t="str">
        <f>ROUND(DCF!E91,2)&amp;" "&amp;Market_currency</f>
        <v>30.45 HKD</v>
      </c>
      <c r="E119" s="199">
        <f>DCF!F91</f>
        <v>0.22499999999999992</v>
      </c>
      <c r="F119" s="208">
        <f>RATE(Holding_Period,Scenarios!C$58,-DCF!E91,C$18)</f>
        <v>-9.286912041447791E-3</v>
      </c>
    </row>
    <row r="120" spans="2:6">
      <c r="B120" s="205" t="str">
        <f>DCF!B92&amp;" ("&amp;DCF!D92&amp;"yrs)"</f>
        <v>Base (10yrs)</v>
      </c>
      <c r="C120" s="198">
        <f>DCF!C92</f>
        <v>0.04</v>
      </c>
      <c r="D120" s="207" t="str">
        <f>ROUND(DCF!E92,2)&amp;" "&amp;Market_currency</f>
        <v>27.92 HKD</v>
      </c>
      <c r="E120" s="199">
        <f>DCF!F92</f>
        <v>0.495</v>
      </c>
      <c r="F120" s="208">
        <f>RATE(Holding_Period,Scenarios!C$58,-DCF!E92,C$18)</f>
        <v>2.034195648074609E-2</v>
      </c>
    </row>
    <row r="121" spans="2:6">
      <c r="B121" s="205" t="str">
        <f>DCF!B93&amp;" ("&amp;DCF!D93&amp;"yrs)"</f>
        <v>Pessimistic (10yrs)</v>
      </c>
      <c r="C121" s="198">
        <f>DCF!C93</f>
        <v>0.02</v>
      </c>
      <c r="D121" s="207" t="str">
        <f>ROUND(DCF!E93,2)&amp;" "&amp;Market_currency</f>
        <v>25.65 HKD</v>
      </c>
      <c r="E121" s="199">
        <f>DCF!F93</f>
        <v>0.18</v>
      </c>
      <c r="F121" s="208">
        <f>RATE(Holding_Period,Scenarios!C$58,-DCF!E93,C$18)</f>
        <v>5.022706407746752E-2</v>
      </c>
    </row>
    <row r="122" spans="2:6">
      <c r="B122" s="205" t="str">
        <f>DCF!B94&amp;" ("&amp;DCF!D94&amp;"yrs)"</f>
        <v>Devil's advocate (10yrs)</v>
      </c>
      <c r="C122" s="198">
        <f>DCF!C94</f>
        <v>-0.05</v>
      </c>
      <c r="D122" s="207" t="str">
        <f>ROUND(DCF!E94,2)&amp;" "&amp;Market_currency</f>
        <v>19.38 HKD</v>
      </c>
      <c r="E122" s="199">
        <f>DCF!F94</f>
        <v>0.05</v>
      </c>
      <c r="F122" s="208">
        <f>RATE(Holding_Period,Scenarios!C$58,-DCF!E94,C$18)</f>
        <v>0.15526698725310373</v>
      </c>
    </row>
    <row r="124" spans="2:6">
      <c r="B124" s="462" t="s">
        <v>357</v>
      </c>
      <c r="C124" s="462"/>
      <c r="D124" s="462"/>
      <c r="E124" s="462"/>
      <c r="F124" s="462"/>
    </row>
    <row r="125" spans="2:6">
      <c r="B125" s="193" t="s">
        <v>218</v>
      </c>
      <c r="C125" s="197">
        <f>Scenarios!C36</f>
        <v>28.078541238930207</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0.51653385292917453</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0.93808378388138691</v>
      </c>
      <c r="D140" s="333">
        <f>Scenarios!D62</f>
        <v>12.780401110118435</v>
      </c>
      <c r="E140" s="334">
        <f>Scenarios!E62</f>
        <v>13.718484893999822</v>
      </c>
      <c r="F140" s="335">
        <f>E22</f>
        <v>0.3</v>
      </c>
    </row>
    <row r="141" spans="1:6">
      <c r="B141" s="336" t="s">
        <v>313</v>
      </c>
      <c r="C141" s="333">
        <f>Scenarios!C63</f>
        <v>1.0880689957535852</v>
      </c>
      <c r="D141" s="333">
        <f>Scenarios!D63</f>
        <v>16.249155809566091</v>
      </c>
      <c r="E141" s="334">
        <f>Scenarios!E63</f>
        <v>17.337224805319675</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1.2461911882300609</v>
      </c>
      <c r="D144" s="333">
        <f>Scenarios!D66</f>
        <v>20.125586253697957</v>
      </c>
      <c r="E144" s="334">
        <f>Scenarios!E66</f>
        <v>21.371777441928018</v>
      </c>
      <c r="F144" s="335">
        <f>E24</f>
        <v>0.1174</v>
      </c>
    </row>
    <row r="145" spans="1:6">
      <c r="B145" s="336" t="s">
        <v>314</v>
      </c>
      <c r="C145" s="333">
        <f>Scenarios!C67</f>
        <v>1.3493802413884055</v>
      </c>
      <c r="D145" s="333">
        <f>Scenarios!D67</f>
        <v>22.76054403671926</v>
      </c>
      <c r="E145" s="334">
        <f>Scenarios!E67</f>
        <v>24.109924278107666</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40</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51</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58</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46</v>
      </c>
      <c r="C8" s="287"/>
      <c r="D8" s="287"/>
      <c r="E8" s="287"/>
      <c r="F8" s="287"/>
      <c r="G8" s="287"/>
      <c r="H8" s="287"/>
      <c r="I8" s="287"/>
      <c r="J8" s="287"/>
      <c r="K8" s="287"/>
      <c r="L8" s="287"/>
      <c r="M8" s="287"/>
    </row>
    <row r="9" spans="2:13">
      <c r="B9" s="38" t="s">
        <v>134</v>
      </c>
      <c r="C9" s="287">
        <v>256299</v>
      </c>
      <c r="D9" s="287">
        <v>377972</v>
      </c>
      <c r="E9" s="287">
        <v>201155</v>
      </c>
      <c r="F9" s="287">
        <v>159222</v>
      </c>
      <c r="G9" s="287">
        <v>83487</v>
      </c>
      <c r="H9" s="287">
        <v>343469</v>
      </c>
      <c r="I9" s="287">
        <v>63633</v>
      </c>
      <c r="J9" s="287">
        <v>73806</v>
      </c>
      <c r="K9" s="287">
        <v>9716</v>
      </c>
      <c r="L9" s="287">
        <v>6948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254421</v>
      </c>
      <c r="D12" s="287">
        <v>181446</v>
      </c>
      <c r="E12" s="287">
        <v>120561</v>
      </c>
      <c r="F12" s="287">
        <v>112458</v>
      </c>
      <c r="G12" s="287"/>
      <c r="H12" s="287"/>
      <c r="I12" s="287"/>
      <c r="J12" s="287"/>
      <c r="K12" s="287"/>
      <c r="L12" s="287"/>
      <c r="M12" s="287"/>
    </row>
    <row r="13" spans="2:13">
      <c r="B13" s="38" t="s">
        <v>64</v>
      </c>
      <c r="C13" s="287">
        <v>429525</v>
      </c>
      <c r="D13" s="287">
        <v>500556</v>
      </c>
      <c r="E13" s="287">
        <v>447748</v>
      </c>
      <c r="F13" s="287">
        <v>145097</v>
      </c>
      <c r="G13" s="287"/>
      <c r="H13" s="287"/>
      <c r="I13" s="287"/>
      <c r="J13" s="287"/>
      <c r="K13" s="287"/>
      <c r="L13" s="287"/>
      <c r="M13" s="287"/>
    </row>
    <row r="14" spans="2:13">
      <c r="B14" s="38" t="s">
        <v>47</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39</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41</v>
      </c>
      <c r="C16" s="287">
        <v>0</v>
      </c>
      <c r="D16" s="287">
        <v>52</v>
      </c>
      <c r="E16" s="287">
        <v>-63</v>
      </c>
      <c r="F16" s="287">
        <v>7</v>
      </c>
      <c r="G16" s="287">
        <v>0</v>
      </c>
      <c r="H16" s="287">
        <v>4</v>
      </c>
      <c r="I16" s="287">
        <v>0</v>
      </c>
      <c r="J16" s="287">
        <v>0</v>
      </c>
      <c r="K16" s="287">
        <v>57615</v>
      </c>
      <c r="L16" s="287">
        <v>47296</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49</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286</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288</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287</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0.51653385292917453</v>
      </c>
      <c r="D25" s="37"/>
      <c r="E25" s="37"/>
      <c r="F25" s="37"/>
      <c r="G25" s="37"/>
      <c r="H25" s="37"/>
      <c r="I25" s="37"/>
      <c r="J25" s="37"/>
      <c r="K25" s="37"/>
      <c r="L25" s="37"/>
      <c r="M25" s="37"/>
    </row>
    <row r="27" spans="2:13">
      <c r="B27" s="16" t="s">
        <v>26</v>
      </c>
      <c r="C27" s="94" t="s">
        <v>547</v>
      </c>
    </row>
    <row r="28" spans="2:13">
      <c r="B28" s="25" t="s">
        <v>22</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30</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38</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28</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143</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40</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55</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51</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58</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61</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139</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65</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39</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41</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65</v>
      </c>
    </row>
    <row r="51" spans="2:13">
      <c r="B51" s="38" t="s">
        <v>37</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49</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305</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34</v>
      </c>
      <c r="C65" s="70">
        <f>IF(C$4="","",C25)</f>
        <v>0.51653385292917453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82</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83</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38</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28</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87">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11.900042883122126</v>
      </c>
      <c r="D47" s="134">
        <f>D46*H1/Common_Shares*Exchange_Rate</f>
        <v>5.6472711885075704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0.50358953318926281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0.28173774447369448</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14777273.268748935</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-2206791.3656255319</v>
      </c>
      <c r="D73" s="285">
        <f>(Normalized_FCF!C26+Normalized_FCF!C35-Normalized_FCF!C89)/12</f>
        <v>-2206791.3656255319</v>
      </c>
      <c r="F73" s="1" t="s">
        <v>278</v>
      </c>
    </row>
    <row r="74" spans="2:6" ht="15" customHeight="1">
      <c r="B74" s="227" t="s">
        <v>259</v>
      </c>
      <c r="C74" s="228">
        <f>-$C$66/C73</f>
        <v>8.6962711105950898</v>
      </c>
      <c r="D74" s="228">
        <f>-$C$66/D73</f>
        <v>8.6962711105950898</v>
      </c>
      <c r="F74" s="223" t="s">
        <v>257</v>
      </c>
    </row>
    <row r="75" spans="2:6" ht="15" customHeight="1">
      <c r="B75" s="77" t="s">
        <v>258</v>
      </c>
      <c r="C75" s="261"/>
      <c r="D75" s="262">
        <f>MAX(-D73*D76,G5)</f>
        <v>4413582.7312510638</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-2012206.2407059998</v>
      </c>
      <c r="D86" s="201">
        <f>C86*scaling_factor/Common_Shares</f>
        <v>-0.77847325657993316</v>
      </c>
      <c r="E86" s="214" t="str">
        <f>Market_currency</f>
        <v>HKD</v>
      </c>
    </row>
    <row r="87" spans="2:8" ht="15" customHeight="1">
      <c r="B87" s="212" t="s">
        <v>240</v>
      </c>
      <c r="C87" s="73">
        <f>DCF!F5*Exchange_Rate</f>
        <v>16730267.25849333</v>
      </c>
      <c r="D87" s="201">
        <f>C87*scaling_factor/Common_Shares</f>
        <v>6.4725301873640584</v>
      </c>
      <c r="E87" s="214" t="str">
        <f>Market_currency</f>
        <v>HKD</v>
      </c>
    </row>
    <row r="88" spans="2:8" ht="15" customHeight="1">
      <c r="B88" s="213" t="s">
        <v>159</v>
      </c>
      <c r="C88" s="73">
        <f>DCF!F6*Exchange_Rate</f>
        <v>1889271.3356655999</v>
      </c>
      <c r="D88" s="201">
        <f>C88*scaling_factor/Common_Shares</f>
        <v>0.73091275610133044</v>
      </c>
      <c r="E88" s="214" t="str">
        <f>Market_currency</f>
        <v>HKD</v>
      </c>
    </row>
    <row r="89" spans="2:8" ht="15" customHeight="1">
      <c r="B89" s="77" t="s">
        <v>244</v>
      </c>
      <c r="C89" s="162">
        <f>SUM(C86:C88)</f>
        <v>16607332.35345293</v>
      </c>
      <c r="D89" s="216">
        <f>SUM(D86:D88)</f>
        <v>6.424969686885456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43</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45</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42</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127</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415</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65</v>
      </c>
      <c r="C10" s="266">
        <f>C48</f>
        <v>-80157.283612493615</v>
      </c>
      <c r="E10" s="237"/>
      <c r="G10" s="266">
        <f>G48</f>
        <v>-155637.28119972275</v>
      </c>
      <c r="H10" s="266">
        <f t="shared" ref="H10:Q10" si="6">H48</f>
        <v>-66326.313956599552</v>
      </c>
      <c r="I10" s="266">
        <f t="shared" si="6"/>
        <v>-17586.289504949571</v>
      </c>
      <c r="J10" s="266">
        <f t="shared" si="6"/>
        <v>-79088.065195823699</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3449131.7163875066</v>
      </c>
      <c r="E11" s="237"/>
      <c r="G11" s="267">
        <f t="shared" ref="G11:Q11" si="7">IF(G$4="","",SUM(G8:G10))</f>
        <v>3629950.7188002774</v>
      </c>
      <c r="H11" s="267">
        <f t="shared" si="7"/>
        <v>3327427.6860434003</v>
      </c>
      <c r="I11" s="267">
        <f t="shared" si="7"/>
        <v>4240840.7104950501</v>
      </c>
      <c r="J11" s="267">
        <f t="shared" si="7"/>
        <v>4800479.934804176</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60</v>
      </c>
      <c r="C12" s="266">
        <f>-C11*C41</f>
        <v>-862282.92909687664</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208</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129</v>
      </c>
      <c r="C14" s="269">
        <f>SUM(C11:C13)</f>
        <v>2586848.7872906299</v>
      </c>
      <c r="D14" s="58"/>
      <c r="E14" s="243"/>
      <c r="F14" s="58"/>
      <c r="G14" s="267">
        <f t="shared" ref="G14:Q14" si="8">IF(G$4="","",SUM(G11:G13))</f>
        <v>2533259.7188002774</v>
      </c>
      <c r="H14" s="267">
        <f t="shared" si="8"/>
        <v>2258168.6860434003</v>
      </c>
      <c r="I14" s="267">
        <f t="shared" si="8"/>
        <v>2889511.7104950501</v>
      </c>
      <c r="J14" s="267">
        <f t="shared" si="8"/>
        <v>3483123.934804176</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2586848.7872906299</v>
      </c>
      <c r="D19" s="26"/>
      <c r="E19" s="234"/>
      <c r="F19" s="26"/>
      <c r="G19" s="271">
        <f t="shared" ref="G19:Q19" si="9">IF(G$4="","",G14+G17)</f>
        <v>2533259.7188002774</v>
      </c>
      <c r="H19" s="271">
        <f t="shared" si="9"/>
        <v>2258168.6860434003</v>
      </c>
      <c r="I19" s="271">
        <f t="shared" si="9"/>
        <v>2889511.7104950501</v>
      </c>
      <c r="J19" s="271">
        <f t="shared" si="9"/>
        <v>3483123.934804176</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59</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0.30212283442857968</v>
      </c>
      <c r="H41" s="6">
        <f t="shared" si="16"/>
        <v>0.32133140097520185</v>
      </c>
      <c r="I41" s="6">
        <f t="shared" si="16"/>
        <v>0.31864648833798193</v>
      </c>
      <c r="J41" s="6">
        <f t="shared" si="16"/>
        <v>0.27442027003363323</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26481.496387506384</v>
      </c>
      <c r="E46" s="237"/>
      <c r="G46" s="274">
        <f t="shared" ref="G46:Q46" si="17">IFERROR(IF(G$4="","",($C$46/$C$47)*G47),0)</f>
        <v>98783.718800277245</v>
      </c>
      <c r="H46" s="274">
        <f t="shared" si="17"/>
        <v>115119.68604340045</v>
      </c>
      <c r="I46" s="274">
        <f t="shared" si="17"/>
        <v>102974.71049505043</v>
      </c>
      <c r="J46" s="274">
        <f t="shared" si="17"/>
        <v>33369.934804176308</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-80157.283612493615</v>
      </c>
      <c r="E48" s="237"/>
      <c r="G48" s="267">
        <f>IF(G$4="","",(G45+G46))</f>
        <v>-155637.28119972275</v>
      </c>
      <c r="H48" s="267">
        <f t="shared" ref="H48:Q48" si="18">IF(H$4="","",(H45+H46))</f>
        <v>-66326.313956599552</v>
      </c>
      <c r="I48" s="267">
        <f t="shared" si="18"/>
        <v>-17586.289504949571</v>
      </c>
      <c r="J48" s="267">
        <f t="shared" si="18"/>
        <v>-79088.065195823699</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135</v>
      </c>
      <c r="C60" s="279">
        <v>0</v>
      </c>
      <c r="E60" s="235" t="s">
        <v>264</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164</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2.795309022800068E-3</v>
      </c>
      <c r="D76" s="26"/>
      <c r="E76" s="234"/>
      <c r="F76" s="26"/>
      <c r="G76" s="6">
        <f t="shared" ref="G76:Q76" si="28">IF(G$4="","",ABS(G10/G$4))</f>
        <v>5.4275079794975393E-3</v>
      </c>
      <c r="H76" s="6">
        <f t="shared" si="28"/>
        <v>2.4032587128259859E-3</v>
      </c>
      <c r="I76" s="6">
        <f t="shared" si="28"/>
        <v>6.8154976054688528E-4</v>
      </c>
      <c r="J76" s="6">
        <f t="shared" si="28"/>
        <v>3.5037692998693263E-3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0.12028088494432389</v>
      </c>
      <c r="D77" s="26"/>
      <c r="E77" s="234"/>
      <c r="F77" s="26"/>
      <c r="G77" s="62">
        <f t="shared" ref="G77:Q77" si="29">IF(G$4="","",G11/G$4)</f>
        <v>0.12658655008364686</v>
      </c>
      <c r="H77" s="62">
        <f t="shared" si="29"/>
        <v>0.12056556592327458</v>
      </c>
      <c r="I77" s="62">
        <f t="shared" si="29"/>
        <v>0.16435212043688419</v>
      </c>
      <c r="J77" s="62">
        <f t="shared" si="29"/>
        <v>0.21267145906982887</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3.0070221236080972E-2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9.0210663708242919E-2</v>
      </c>
      <c r="D80" s="26"/>
      <c r="E80" s="234"/>
      <c r="F80" s="26"/>
      <c r="G80" s="62">
        <f t="shared" ref="G80:Q80" si="32">IF(G$4="","",ABS(G14/G$4))</f>
        <v>8.8341862771840113E-2</v>
      </c>
      <c r="H80" s="62">
        <f t="shared" si="32"/>
        <v>8.1822179554795232E-2</v>
      </c>
      <c r="I80" s="62">
        <f t="shared" si="32"/>
        <v>0.11198189440876997</v>
      </c>
      <c r="J80" s="62">
        <f t="shared" si="32"/>
        <v>0.15430978972856912</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9.0210663708242919E-2</v>
      </c>
      <c r="D85" s="72"/>
      <c r="E85" s="234"/>
      <c r="F85" s="72"/>
      <c r="G85" s="62">
        <f t="shared" ref="G85:Q85" si="35">IF(G$4="","",ABS(G19/G$4))</f>
        <v>8.8341862771840113E-2</v>
      </c>
      <c r="H85" s="62">
        <f t="shared" si="35"/>
        <v>8.1822179554795232E-2</v>
      </c>
      <c r="I85" s="62">
        <f t="shared" si="35"/>
        <v>0.11198189440876997</v>
      </c>
      <c r="J85" s="62">
        <f t="shared" si="35"/>
        <v>0.15430978972856912</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0.51653385292917453</v>
      </c>
      <c r="E88" s="237"/>
      <c r="G88" s="109">
        <f>Data!C65</f>
        <v>0.51653385292917453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1335142.3875063818</v>
      </c>
      <c r="E89" s="237"/>
      <c r="G89" s="71">
        <f t="shared" ref="G89:Q89" si="36">IF(G$4="","",G88*Common_Shares/scaling_factor)</f>
        <v>1335142.3875063818</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0.51612695495230732</v>
      </c>
      <c r="E90" s="237"/>
      <c r="G90" s="152">
        <f t="shared" ref="G90:Q90" si="37">IF(G$4="","",G88/(G19*scaling_factor/Common_Shares))</f>
        <v>0.527045204878831</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2.45968501394845E-2</v>
      </c>
      <c r="E92" s="237"/>
      <c r="G92" s="22">
        <f t="shared" ref="G92:Q92" si="38">IF(G$4="","",(G88*(1-dividend_tax_rate))/Market_Price)</f>
        <v>2.45968501394845E-2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-4.9813073625564974E-2</v>
      </c>
      <c r="D96" s="26"/>
      <c r="E96" s="234"/>
      <c r="F96" s="26"/>
      <c r="G96" s="6">
        <f t="shared" ref="G96:Q96" si="40">IF(H5="","",G11/H11-1)</f>
        <v>9.0917988699133367E-2</v>
      </c>
      <c r="H96" s="6">
        <f t="shared" si="40"/>
        <v>-0.21538489342247036</v>
      </c>
      <c r="I96" s="6">
        <f t="shared" si="40"/>
        <v>-0.11657984866297644</v>
      </c>
      <c r="J96" s="6">
        <f t="shared" si="40"/>
        <v>1.4642425058862178</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179</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28</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304</v>
      </c>
      <c r="C113" s="151"/>
      <c r="E113" s="459">
        <f>(Normalized_FCF!E117/Normalized_FCF!C117)^(1/DCF!C15)-1</f>
        <v>3.5022003763090392E-2</v>
      </c>
      <c r="G113" s="251">
        <f>IF(G$4="","",Data!C$22/G19)</f>
        <v>2.0795084534383363</v>
      </c>
      <c r="H113" s="251">
        <f>IF(H$4="","",Data!D$22/H19)</f>
        <v>2.0759901724675238</v>
      </c>
      <c r="I113" s="251">
        <f>IF(I$4="","",Data!E$22/I19)</f>
        <v>1.3544170753090652</v>
      </c>
      <c r="J113" s="251">
        <f>IF(J$4="","",Data!F$22/J19)</f>
        <v>1.8734145330854728</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0.12028088494432389</v>
      </c>
      <c r="E116" s="22">
        <f>E119/E117/E118</f>
        <v>0.13430424833028851</v>
      </c>
      <c r="G116" s="22">
        <f t="shared" ref="G116:Q116" si="44">IF(G4="","",G77)</f>
        <v>0.12658655008364686</v>
      </c>
      <c r="H116" s="22">
        <f t="shared" si="44"/>
        <v>0.12056556592327458</v>
      </c>
      <c r="I116" s="22">
        <f t="shared" si="44"/>
        <v>0.16435212043688419</v>
      </c>
      <c r="J116" s="22">
        <f t="shared" si="44"/>
        <v>0.21267145906982887</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62">
        <f>C11/C104</f>
        <v>0.12695243442102669</v>
      </c>
      <c r="D119" s="100"/>
      <c r="E119" s="453">
        <v>0.2</v>
      </c>
      <c r="F119" s="100"/>
      <c r="G119" s="99">
        <f t="shared" ref="G119:Q119" si="47">IF(G$4="","",G11/G104)</f>
        <v>0.13360785219959892</v>
      </c>
      <c r="H119" s="99">
        <f t="shared" si="47"/>
        <v>0.13633288112212574</v>
      </c>
      <c r="I119" s="99">
        <f t="shared" si="47"/>
        <v>0.17429119100200569</v>
      </c>
      <c r="J119" s="99">
        <f t="shared" si="47"/>
        <v>0.22746662224581102</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1.1330545602952251</v>
      </c>
      <c r="D123" s="26"/>
      <c r="E123" s="234"/>
      <c r="F123" s="26"/>
      <c r="G123" s="159">
        <f t="shared" ref="G123:Q123" si="48">IF(G$4="","",G14*$C$3/Common_Shares*Exchange_Rate)</f>
        <v>1.1095822418770456</v>
      </c>
      <c r="H123" s="159">
        <f t="shared" si="48"/>
        <v>0.98909079657383614</v>
      </c>
      <c r="I123" s="159">
        <f t="shared" si="48"/>
        <v>1.2656226512690418</v>
      </c>
      <c r="J123" s="159">
        <f t="shared" si="48"/>
        <v>1.5256281997591405</v>
      </c>
      <c r="K123" s="159">
        <f t="shared" si="48"/>
        <v>0.61262720954254046</v>
      </c>
      <c r="L123" s="159">
        <f t="shared" si="48"/>
        <v>0.60365510041613268</v>
      </c>
      <c r="M123" s="159">
        <f t="shared" si="48"/>
        <v>0.25975053091357442</v>
      </c>
      <c r="N123" s="159">
        <f t="shared" si="48"/>
        <v>0.19862639496847853</v>
      </c>
      <c r="O123" s="159">
        <f t="shared" si="48"/>
        <v>0.10136503526995777</v>
      </c>
      <c r="P123" s="159">
        <f t="shared" si="48"/>
        <v>5.2705228040453959E-3</v>
      </c>
      <c r="Q123" s="159" t="str">
        <f t="shared" si="48"/>
        <v/>
      </c>
    </row>
    <row r="124" spans="1:17" ht="15.75" customHeight="1">
      <c r="A124" s="10"/>
      <c r="B124" s="26" t="s">
        <v>226</v>
      </c>
      <c r="C124" s="74">
        <f>C19*Exchange_Rate*$C$3/(Market_Price*Common_Shares)</f>
        <v>5.3954979061677379E-2</v>
      </c>
      <c r="D124" s="26"/>
      <c r="E124" s="234"/>
      <c r="F124" s="26"/>
      <c r="G124" s="74">
        <f t="shared" ref="G124" si="49">IF(G$4="","",G123/Market_Price)</f>
        <v>5.2837249613192645E-2</v>
      </c>
      <c r="H124" s="74">
        <f t="shared" ref="H124" si="50">IF(H$4="","",H123/Market_Price)</f>
        <v>4.7099561741611243E-2</v>
      </c>
      <c r="I124" s="74">
        <f t="shared" ref="I124" si="51">IF(I$4="","",I123/Market_Price)</f>
        <v>6.0267745298525799E-2</v>
      </c>
      <c r="J124" s="74">
        <f t="shared" ref="J124" si="52">IF(J$4="","",J123/Market_Price)</f>
        <v>7.264896189329241E-2</v>
      </c>
      <c r="K124" s="74">
        <f t="shared" ref="K124" si="53">IF(K$4="","",K123/Market_Price)</f>
        <v>2.91727242639305E-2</v>
      </c>
      <c r="L124" s="74">
        <f t="shared" ref="L124" si="54">IF(L$4="","",L123/Market_Price)</f>
        <v>2.8745480972196796E-2</v>
      </c>
      <c r="M124" s="74">
        <f t="shared" ref="M124" si="55">IF(M$4="","",M123/Market_Price)</f>
        <v>1.2369072900646401E-2</v>
      </c>
      <c r="N124" s="74">
        <f t="shared" ref="N124" si="56">IF(N$4="","",N123/Market_Price)</f>
        <v>9.4583997604037393E-3</v>
      </c>
      <c r="O124" s="74">
        <f t="shared" ref="O124" si="57">IF(O$4="","",O123/Market_Price)</f>
        <v>4.8269064414265608E-3</v>
      </c>
      <c r="P124" s="74">
        <f t="shared" ref="P124" si="58">IF(P$4="","",P123/Market_Price)</f>
        <v>2.5097727638311409E-4</v>
      </c>
      <c r="Q124" s="74" t="str">
        <f t="shared" ref="Q124" si="59">IF(Q$4="","",Q123/Market_Price)</f>
        <v/>
      </c>
    </row>
    <row r="125" spans="1:17" ht="15.75" customHeight="1">
      <c r="B125" s="2" t="s">
        <v>306</v>
      </c>
      <c r="C125" s="151"/>
      <c r="G125" s="22">
        <f>IF(G$4="","",(Data!C47*$C$3)/(Market_Price*Common_Shares))</f>
        <v>5.5505909498511176E-2</v>
      </c>
      <c r="H125" s="22">
        <f>IF(H$4="","",(Data!D47*$C$3)/(Market_Price*Common_Shares))</f>
        <v>5.8712259791734847E-2</v>
      </c>
      <c r="I125" s="22">
        <f>IF(I$4="","",(Data!E47*$C$3)/(Market_Price*Common_Shares))</f>
        <v>7.486539804557385E-2</v>
      </c>
      <c r="J125" s="22">
        <f>IF(J$4="","",(Data!F47*$C$3)/(Market_Price*Common_Shares))</f>
        <v>7.3891153472037563E-2</v>
      </c>
      <c r="K125" s="22">
        <f>IF(K$4="","",(Data!G47*$C$3)/(Market_Price*Common_Shares))</f>
        <v>3.1290562567142306E-2</v>
      </c>
      <c r="L125" s="22">
        <f>IF(L$4="","",(Data!H47*$C$3)/(Market_Price*Common_Shares))</f>
        <v>2.7618174700846997E-2</v>
      </c>
      <c r="M125" s="22">
        <f>IF(M$4="","",(Data!I47*$C$3)/(Market_Price*Common_Shares))</f>
        <v>1.3177034139539676E-2</v>
      </c>
      <c r="N125" s="22">
        <f>IF(N$4="","",(Data!J47*$C$3)/(Market_Price*Common_Shares))</f>
        <v>9.4905161068789545E-3</v>
      </c>
      <c r="O125" s="22">
        <f>IF(O$4="","",(Data!K47*$C$3)/(Market_Price*Common_Shares))</f>
        <v>1.2911858631503422E-2</v>
      </c>
      <c r="P125" s="22">
        <f>IF(P$4="","",(Data!L47*$C$3)/(Market_Price*Common_Shares))</f>
        <v>1.1349268565078044E-3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2586848.7872906299</v>
      </c>
      <c r="D4" t="str">
        <f>Reporting_currency</f>
        <v>CNY</v>
      </c>
      <c r="E4" s="135" t="s">
        <v>431</v>
      </c>
      <c r="F4" s="275">
        <f>-BS!G31</f>
        <v>-1777313</v>
      </c>
      <c r="G4" t="str">
        <f>Reporting_currency</f>
        <v>CNY</v>
      </c>
      <c r="H4" s="308" t="s">
        <v>394</v>
      </c>
      <c r="I4" s="305">
        <f>Normalized_FCF!C4</f>
        <v>28675643</v>
      </c>
      <c r="J4" s="305"/>
    </row>
    <row r="5" spans="2:15">
      <c r="B5" s="187" t="s">
        <v>105</v>
      </c>
      <c r="C5" s="188">
        <f>Equity_Cost</f>
        <v>7.2499999999999995E-2</v>
      </c>
      <c r="E5" s="135" t="s">
        <v>432</v>
      </c>
      <c r="F5" s="275">
        <f>BS!D66</f>
        <v>14777273.268748935</v>
      </c>
      <c r="G5" t="str">
        <f>Reporting_currency</f>
        <v>CNY</v>
      </c>
      <c r="H5" s="308" t="s">
        <v>395</v>
      </c>
      <c r="I5" s="305">
        <f>Normalized_FCF!C7</f>
        <v>-1427907</v>
      </c>
      <c r="J5" s="305"/>
    </row>
    <row r="6" spans="2:15" ht="13.25" customHeight="1">
      <c r="B6" s="136" t="s">
        <v>194</v>
      </c>
      <c r="C6" s="283">
        <f>(C4*(1+Terminal_Growth))/(Equity_Cost-Terminal_Growth)</f>
        <v>50258776.43878939</v>
      </c>
      <c r="D6" t="str">
        <f>Reporting_currency</f>
        <v>CNY</v>
      </c>
      <c r="E6" s="187" t="s">
        <v>433</v>
      </c>
      <c r="F6" s="284">
        <f>BS!H42</f>
        <v>1668728.8</v>
      </c>
      <c r="G6" t="str">
        <f>Reporting_currency</f>
        <v>CNY</v>
      </c>
      <c r="H6" s="308" t="s">
        <v>416</v>
      </c>
      <c r="I6" s="305">
        <f>I7+I8</f>
        <v>-80157.283612493615</v>
      </c>
      <c r="J6" s="305"/>
      <c r="N6" s="135"/>
    </row>
    <row r="7" spans="2:15" ht="12.75" customHeight="1">
      <c r="B7" s="318" t="s">
        <v>430</v>
      </c>
      <c r="C7" s="275">
        <f>F7</f>
        <v>14668689.068748936</v>
      </c>
      <c r="E7" s="140" t="s">
        <v>424</v>
      </c>
      <c r="F7" s="283">
        <f>SUM(F4:F6)</f>
        <v>14668689.068748936</v>
      </c>
      <c r="G7" t="str">
        <f>Reporting_currency</f>
        <v>CNY</v>
      </c>
      <c r="H7" s="312" t="s">
        <v>417</v>
      </c>
      <c r="I7" s="313">
        <f>Normalized_FCF!C9</f>
        <v>0</v>
      </c>
      <c r="J7" s="313"/>
      <c r="N7" s="304"/>
      <c r="O7" s="304"/>
    </row>
    <row r="8" spans="2:15" ht="13.15">
      <c r="B8" s="136" t="s">
        <v>426</v>
      </c>
      <c r="C8" s="283">
        <f>C6+C7</f>
        <v>64927465.507538326</v>
      </c>
      <c r="D8" t="str">
        <f>Reporting_currency</f>
        <v>CNY</v>
      </c>
      <c r="E8" s="140" t="s">
        <v>464</v>
      </c>
      <c r="F8" s="108">
        <f>FV_adjustments*scaling_factor/Common_Shares*Exchange_Rate</f>
        <v>6.424969686885456</v>
      </c>
      <c r="G8" s="294" t="str">
        <f>Market_currency</f>
        <v>HKD</v>
      </c>
      <c r="H8" s="314" t="str">
        <f>Normalized_FCF!B10</f>
        <v>Net Interest Income</v>
      </c>
      <c r="I8" s="313">
        <f>Normalized_FCF!C10</f>
        <v>-80157.283612493615</v>
      </c>
      <c r="J8" s="313"/>
      <c r="N8" s="304"/>
      <c r="O8" s="304"/>
    </row>
    <row r="9" spans="2:15" ht="13.15" thickBot="1">
      <c r="B9" s="189" t="str">
        <f>"*"&amp;Thesis!E15</f>
        <v>*CNY/HKD</v>
      </c>
      <c r="C9" s="190">
        <f>Exchange_Rate</f>
        <v>1.1321619999999999</v>
      </c>
      <c r="D9" t="str">
        <f>Thesis!E15</f>
        <v>CNY/HKD</v>
      </c>
      <c r="F9" s="322"/>
      <c r="H9" s="308" t="str">
        <f>Normalized_FCF!B79</f>
        <v>NCI’s Share of Profits</v>
      </c>
      <c r="I9" s="144">
        <f>Normalized_FCF!C79</f>
        <v>0</v>
      </c>
      <c r="J9" s="306"/>
      <c r="N9" s="304"/>
      <c r="O9" s="304"/>
    </row>
    <row r="10" spans="2:15" ht="13.5" thickTop="1">
      <c r="B10" s="107" t="s">
        <v>427</v>
      </c>
      <c r="C10" s="283">
        <f>C8*Exchange_Rate</f>
        <v>73508409.203945592</v>
      </c>
      <c r="D10" t="str">
        <f>Market_currency</f>
        <v>HKD</v>
      </c>
      <c r="H10" s="308" t="s">
        <v>397</v>
      </c>
      <c r="I10" s="306">
        <f>Normalized_FCF!C41</f>
        <v>0.25</v>
      </c>
      <c r="N10" s="304"/>
      <c r="O10" s="304"/>
    </row>
    <row r="11" spans="2:15" ht="13.15">
      <c r="B11" s="136" t="s">
        <v>425</v>
      </c>
      <c r="C11" s="108">
        <f>(C10*scaling_factor)/Common_Shares</f>
        <v>28.43860114404983</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4.1327327526691798E-2</v>
      </c>
      <c r="E16" s="308" t="s">
        <v>400</v>
      </c>
      <c r="F16" s="311">
        <f>Scenarios!C41</f>
        <v>2.0663663763345899E-2</v>
      </c>
    </row>
    <row r="17" spans="1:21" ht="13.25" customHeight="1">
      <c r="B17" s="308" t="s">
        <v>549</v>
      </c>
      <c r="C17" s="306">
        <f>Normalized_FCF!C77</f>
        <v>0.12028088494432389</v>
      </c>
      <c r="E17" s="308" t="s">
        <v>550</v>
      </c>
      <c r="F17" s="311">
        <f>Scenarios!C40</f>
        <v>0.13430424833028851</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28.080934409809768</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29860730.690299489</v>
      </c>
      <c r="D21" s="299">
        <f t="shared" ref="D21:D50" si="1">IF(A21="",0,IF(A21="I",$C$16,$F$16))</f>
        <v>4.1327327526691798E-2</v>
      </c>
      <c r="E21" s="299">
        <f>$C$17</f>
        <v>0.12028088494432389</v>
      </c>
      <c r="F21" s="277">
        <f>C21*E21</f>
        <v>3591675.112513354</v>
      </c>
      <c r="G21" s="299">
        <f t="shared" ref="G21:G50" si="2">IF(A21="",0%,IF(A21="I",$C$18,$F$18))</f>
        <v>0</v>
      </c>
      <c r="H21" s="277">
        <f>(F21*(1-$I$10)+C21*(G21-$I$9))</f>
        <v>2693756.3343850155</v>
      </c>
      <c r="I21" s="299">
        <f>H21/C4-1</f>
        <v>4.1327327526691882E-2</v>
      </c>
      <c r="J21" s="299">
        <f>H21/C21</f>
        <v>9.0210663708242919E-2</v>
      </c>
      <c r="K21" s="119">
        <f t="shared" ref="K21:K50" si="3">IF($C$15&lt;B21,0,1/(1+Equity_Cost)^B21)</f>
        <v>0.93240093240093236</v>
      </c>
      <c r="L21" s="277">
        <f t="shared" ref="L21:L51" si="4">H21*K21</f>
        <v>2511660.9178415062</v>
      </c>
    </row>
    <row r="22" spans="1:21">
      <c r="A22" s="302" t="str">
        <f t="shared" si="0"/>
        <v>I</v>
      </c>
      <c r="B22" s="117">
        <v>2</v>
      </c>
      <c r="C22" s="277">
        <f t="shared" ref="C22:C50" si="5">IF(A22="",0,C21*(1+D22))</f>
        <v>31094794.887723837</v>
      </c>
      <c r="D22" s="299">
        <f t="shared" si="1"/>
        <v>4.1327327526691798E-2</v>
      </c>
      <c r="E22" s="299">
        <f t="shared" ref="E22:E50" si="6">IF($C$15&lt;B22,0,IF(B22&gt;=$F$15,$F$17,$C$17))</f>
        <v>0.12028088494432389</v>
      </c>
      <c r="F22" s="277">
        <f t="shared" ref="F22:F50" si="7">IF(A22="", 0,C22*E22)</f>
        <v>3740109.4462576616</v>
      </c>
      <c r="G22" s="299">
        <f t="shared" si="2"/>
        <v>0</v>
      </c>
      <c r="H22" s="277">
        <f t="shared" ref="H22:H50" si="8">IF(A22="", 0,F22*(1-$I$10)+C22*(G22-$I$9))</f>
        <v>2805082.0846932461</v>
      </c>
      <c r="I22" s="299">
        <f t="shared" ref="I22:I50" si="9">IF(A22="", 0,H22/H21-1)</f>
        <v>4.1327327526691882E-2</v>
      </c>
      <c r="J22" s="299">
        <f>IF(A22="", 0,H22/C22)</f>
        <v>9.0210663708242919E-2</v>
      </c>
      <c r="K22" s="119">
        <f t="shared" si="3"/>
        <v>0.86937149874212816</v>
      </c>
      <c r="L22" s="277">
        <f t="shared" si="4"/>
        <v>2438658.4160644608</v>
      </c>
    </row>
    <row r="23" spans="1:21">
      <c r="A23" s="302" t="str">
        <f t="shared" si="0"/>
        <v>I</v>
      </c>
      <c r="B23" s="117">
        <v>3</v>
      </c>
      <c r="C23" s="277">
        <f t="shared" si="5"/>
        <v>32379859.660424106</v>
      </c>
      <c r="D23" s="299">
        <f t="shared" si="1"/>
        <v>4.1327327526691798E-2</v>
      </c>
      <c r="E23" s="299">
        <f t="shared" si="6"/>
        <v>0.12028088494432389</v>
      </c>
      <c r="F23" s="277">
        <f t="shared" si="7"/>
        <v>3894678.1743288264</v>
      </c>
      <c r="G23" s="299">
        <f t="shared" si="2"/>
        <v>0</v>
      </c>
      <c r="H23" s="277">
        <f t="shared" si="8"/>
        <v>2921008.6307466198</v>
      </c>
      <c r="I23" s="299">
        <f t="shared" si="9"/>
        <v>4.1327327526691882E-2</v>
      </c>
      <c r="J23" s="299">
        <f t="shared" ref="J23:J50" si="10">IF(A23="", 0,H23/C23)</f>
        <v>9.0210663708242919E-2</v>
      </c>
      <c r="K23" s="119">
        <f t="shared" si="3"/>
        <v>0.81060279602995633</v>
      </c>
      <c r="L23" s="277">
        <f t="shared" si="4"/>
        <v>2367777.7633108441</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0.12028088494432389</v>
      </c>
      <c r="F24" s="277">
        <f t="shared" si="7"/>
        <v>4055634.8148503718</v>
      </c>
      <c r="G24" s="299">
        <f t="shared" si="2"/>
        <v>0</v>
      </c>
      <c r="H24" s="277">
        <f t="shared" si="8"/>
        <v>3041726.111137779</v>
      </c>
      <c r="I24" s="299">
        <f t="shared" si="9"/>
        <v>4.1327327526691882E-2</v>
      </c>
      <c r="J24" s="299">
        <f t="shared" si="10"/>
        <v>9.0210663708242919E-2</v>
      </c>
      <c r="K24" s="119">
        <f t="shared" si="3"/>
        <v>0.75580680282513402</v>
      </c>
      <c r="L24" s="277">
        <f t="shared" si="4"/>
        <v>2298957.2871287731</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0.13966127056037547</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0" t="s">
        <v>420</v>
      </c>
      <c r="K52" s="460"/>
      <c r="L52" s="317">
        <f>SUM(L21:L51)</f>
        <v>49442196.381530687</v>
      </c>
    </row>
    <row r="53" spans="1:21">
      <c r="C53" s="111"/>
    </row>
    <row r="54" spans="1:21" ht="13.15">
      <c r="B54" s="115" t="s">
        <v>108</v>
      </c>
      <c r="C54" s="128"/>
      <c r="D54" s="128"/>
      <c r="E54" s="113"/>
      <c r="F54" s="113"/>
      <c r="G54" s="113"/>
      <c r="H54" s="113"/>
      <c r="I54" s="113"/>
      <c r="J54" s="113"/>
      <c r="K54" s="113"/>
      <c r="L54" s="113"/>
    </row>
    <row r="55" spans="1:21" ht="13.15">
      <c r="A55" s="125">
        <f>L52</f>
        <v>49442196.381530687</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39294808.22737474</v>
      </c>
      <c r="C56" s="118">
        <v>40705391.086818963</v>
      </c>
      <c r="D56" s="118">
        <v>41108414.760945879</v>
      </c>
      <c r="E56" s="118">
        <v>41511438.435072802</v>
      </c>
      <c r="F56" s="118">
        <v>42317485.783326656</v>
      </c>
      <c r="G56" s="295"/>
      <c r="H56" s="295"/>
      <c r="I56" s="295"/>
      <c r="J56" s="295"/>
      <c r="K56" s="295"/>
      <c r="L56" s="295"/>
    </row>
    <row r="57" spans="1:21" ht="13.15">
      <c r="A57" s="131">
        <v>2</v>
      </c>
      <c r="B57" s="118">
        <v>38323487.138610169</v>
      </c>
      <c r="C57" s="118">
        <v>41036851.878285944</v>
      </c>
      <c r="D57" s="118">
        <v>41829127.020811073</v>
      </c>
      <c r="E57" s="118">
        <v>42628970.1962457</v>
      </c>
      <c r="F57" s="118">
        <v>44251360.645843394</v>
      </c>
      <c r="G57" s="295"/>
      <c r="H57" s="295"/>
      <c r="I57" s="295"/>
      <c r="J57" s="295"/>
      <c r="K57" s="295"/>
      <c r="L57" s="295"/>
    </row>
    <row r="58" spans="1:21" ht="13.15">
      <c r="A58" s="131">
        <v>3</v>
      </c>
      <c r="B58" s="118">
        <v>36480455.967851996</v>
      </c>
      <c r="C58" s="118">
        <v>41758392.780465916</v>
      </c>
      <c r="D58" s="118">
        <v>43348178.476418197</v>
      </c>
      <c r="E58" s="118">
        <v>44975097.602870062</v>
      </c>
      <c r="F58" s="118">
        <v>48342029.693098508</v>
      </c>
      <c r="G58" s="295"/>
      <c r="H58" s="295"/>
      <c r="I58" s="295"/>
      <c r="J58" s="295"/>
      <c r="K58" s="295"/>
      <c r="L58" s="295"/>
    </row>
    <row r="59" spans="1:21" ht="13.15">
      <c r="A59" s="131">
        <v>4</v>
      </c>
      <c r="B59" s="118">
        <v>35698294.463866971</v>
      </c>
      <c r="C59" s="118">
        <v>42055257.854982384</v>
      </c>
      <c r="D59" s="118">
        <v>44012840.429148279</v>
      </c>
      <c r="E59" s="118">
        <v>46035836.17903389</v>
      </c>
      <c r="F59" s="118">
        <v>50283880.012283318</v>
      </c>
      <c r="G59" s="295"/>
      <c r="H59" s="295"/>
      <c r="I59" s="295"/>
      <c r="J59" s="295"/>
      <c r="K59" s="295"/>
      <c r="L59" s="295"/>
    </row>
    <row r="60" spans="1:21" ht="13.15">
      <c r="A60" s="131">
        <v>5</v>
      </c>
      <c r="B60" s="118">
        <v>33912248.101258479</v>
      </c>
      <c r="C60" s="118">
        <v>42456828.694749169</v>
      </c>
      <c r="D60" s="118">
        <v>45187577.422001369</v>
      </c>
      <c r="E60" s="118">
        <v>48055987.006344058</v>
      </c>
      <c r="F60" s="118">
        <v>54226388.512383536</v>
      </c>
      <c r="G60" s="295"/>
      <c r="H60" s="295"/>
      <c r="I60" s="295"/>
      <c r="J60" s="295"/>
      <c r="K60" s="295"/>
      <c r="L60" s="295"/>
    </row>
    <row r="61" spans="1:21" ht="13.15">
      <c r="A61" s="131">
        <v>6</v>
      </c>
      <c r="B61" s="118">
        <v>33282408.36505523</v>
      </c>
      <c r="C61" s="118">
        <v>42722708.927755386</v>
      </c>
      <c r="D61" s="118">
        <v>45800548.140009716</v>
      </c>
      <c r="E61" s="118">
        <v>49062818.638387516</v>
      </c>
      <c r="F61" s="118">
        <v>56176247.179666102</v>
      </c>
      <c r="G61" s="295"/>
      <c r="H61" s="295"/>
      <c r="I61" s="295"/>
      <c r="J61" s="295"/>
      <c r="K61" s="295"/>
      <c r="L61" s="295"/>
    </row>
    <row r="62" spans="1:21" ht="13.15">
      <c r="A62" s="131">
        <v>7</v>
      </c>
      <c r="B62" s="118">
        <v>31772302.372707289</v>
      </c>
      <c r="C62" s="118">
        <v>43091607.337386429</v>
      </c>
      <c r="D62" s="118">
        <v>46921112.171927609</v>
      </c>
      <c r="E62" s="118">
        <v>51047689.949854389</v>
      </c>
      <c r="F62" s="118">
        <v>60269842.017391548</v>
      </c>
      <c r="G62" s="295"/>
      <c r="H62" s="295"/>
      <c r="I62" s="295"/>
      <c r="J62" s="295"/>
      <c r="K62" s="295"/>
      <c r="L62" s="295"/>
    </row>
    <row r="63" spans="1:21" ht="13.15">
      <c r="A63" s="131">
        <v>8</v>
      </c>
      <c r="B63" s="118">
        <v>31265120.555039912</v>
      </c>
      <c r="C63" s="118">
        <v>43329736.724679917</v>
      </c>
      <c r="D63" s="118">
        <v>47486411.719453007</v>
      </c>
      <c r="E63" s="118">
        <v>52003354.199333616</v>
      </c>
      <c r="F63" s="118">
        <v>62227742.059848517</v>
      </c>
      <c r="G63" s="295"/>
      <c r="H63" s="295"/>
      <c r="I63" s="295"/>
      <c r="J63" s="295"/>
      <c r="K63" s="295"/>
      <c r="L63" s="295"/>
    </row>
    <row r="64" spans="1:21" ht="13.15">
      <c r="A64" s="131">
        <v>9</v>
      </c>
      <c r="B64" s="118">
        <v>29985427.38947694</v>
      </c>
      <c r="C64" s="118">
        <v>43668920.486909047</v>
      </c>
      <c r="D64" s="118">
        <v>48555888.976236239</v>
      </c>
      <c r="E64" s="118">
        <v>53953953.534565687</v>
      </c>
      <c r="F64" s="118">
        <v>66476503.432963222</v>
      </c>
      <c r="G64" s="295"/>
      <c r="H64" s="295"/>
      <c r="I64" s="295"/>
      <c r="J64" s="295"/>
      <c r="K64" s="295"/>
      <c r="L64" s="295"/>
    </row>
    <row r="65" spans="1:21" ht="13.15">
      <c r="A65" s="131">
        <v>10</v>
      </c>
      <c r="B65" s="118">
        <v>29577016.517017514</v>
      </c>
      <c r="C65" s="118">
        <v>43882195.480885178</v>
      </c>
      <c r="D65" s="118">
        <v>49077224.774250761</v>
      </c>
      <c r="E65" s="118">
        <v>54861050.737977028</v>
      </c>
      <c r="F65" s="118">
        <v>68442478.013877496</v>
      </c>
      <c r="G65" s="295"/>
      <c r="H65" s="295"/>
      <c r="I65" s="295"/>
      <c r="J65" s="295"/>
      <c r="K65" s="295"/>
      <c r="L65" s="295"/>
    </row>
    <row r="66" spans="1:21" ht="13.15">
      <c r="A66" s="131">
        <v>15</v>
      </c>
      <c r="B66" s="118">
        <v>26182008.204905566</v>
      </c>
      <c r="C66" s="277">
        <v>45109000.756367475</v>
      </c>
      <c r="D66" s="118">
        <v>52931189.280202657</v>
      </c>
      <c r="E66" s="118">
        <v>62194914.197021842</v>
      </c>
      <c r="F66" s="118">
        <v>86118467.816641212</v>
      </c>
      <c r="G66" s="295"/>
      <c r="H66" s="295"/>
      <c r="I66" s="295"/>
      <c r="J66" s="295"/>
      <c r="K66" s="295"/>
      <c r="L66" s="295"/>
      <c r="M66" s="275"/>
      <c r="N66" s="275"/>
      <c r="O66" s="275"/>
      <c r="P66" s="275"/>
      <c r="Q66" s="275"/>
      <c r="R66" s="275"/>
      <c r="S66" s="275"/>
      <c r="T66" s="275"/>
      <c r="U66" s="275"/>
    </row>
    <row r="67" spans="1:21" ht="13.15">
      <c r="A67" s="132">
        <v>20</v>
      </c>
      <c r="B67" s="118">
        <v>24405937.014160492</v>
      </c>
      <c r="C67" s="277">
        <v>45992841.449417032</v>
      </c>
      <c r="D67" s="118">
        <v>55810730.276729733</v>
      </c>
      <c r="E67" s="118">
        <v>68021507.352199078</v>
      </c>
      <c r="F67" s="118">
        <v>102116287.68996069</v>
      </c>
      <c r="G67" s="295"/>
      <c r="H67" s="295"/>
      <c r="I67" s="295"/>
      <c r="J67" s="295"/>
      <c r="K67" s="295"/>
      <c r="L67" s="295"/>
      <c r="M67" s="275"/>
      <c r="N67" s="275"/>
      <c r="O67" s="275"/>
      <c r="P67" s="275"/>
      <c r="Q67" s="275"/>
      <c r="R67" s="275"/>
      <c r="S67" s="275"/>
      <c r="T67" s="275"/>
      <c r="U67" s="275"/>
    </row>
    <row r="68" spans="1:21" ht="13.15">
      <c r="A68" s="132">
        <v>25</v>
      </c>
      <c r="B68" s="118">
        <v>22913981.381785493</v>
      </c>
      <c r="C68" s="277">
        <v>46782469.771473467</v>
      </c>
      <c r="D68" s="118">
        <v>58777288.228902496</v>
      </c>
      <c r="E68" s="118">
        <v>74522077.894849956</v>
      </c>
      <c r="F68" s="118">
        <v>122535000.81352362</v>
      </c>
      <c r="G68" s="295"/>
      <c r="H68" s="295"/>
      <c r="I68" s="295"/>
      <c r="J68" s="295"/>
      <c r="K68" s="295"/>
      <c r="L68" s="295"/>
      <c r="M68" s="275"/>
      <c r="N68" s="275"/>
      <c r="O68" s="275"/>
      <c r="P68" s="275"/>
      <c r="Q68" s="275"/>
      <c r="R68" s="275"/>
      <c r="S68" s="275"/>
      <c r="T68" s="275"/>
      <c r="U68" s="275"/>
    </row>
    <row r="69" spans="1:21" ht="13.15">
      <c r="A69" s="132">
        <v>30</v>
      </c>
      <c r="B69" s="118">
        <v>22144555.95479466</v>
      </c>
      <c r="C69" s="277">
        <v>47340383.813505307</v>
      </c>
      <c r="D69" s="118">
        <v>60942376.52150096</v>
      </c>
      <c r="E69" s="118">
        <v>79561582.948151991</v>
      </c>
      <c r="F69" s="118">
        <v>140552153.52120638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28.43860114404983</v>
      </c>
      <c r="C73" s="119">
        <f>C11</f>
        <v>28.43860114404983</v>
      </c>
      <c r="D73" s="119">
        <f>C11</f>
        <v>28.43860114404983</v>
      </c>
      <c r="E73" s="119">
        <f>C11</f>
        <v>28.43860114404983</v>
      </c>
      <c r="F73" s="119">
        <f>C11</f>
        <v>28.43860114404983</v>
      </c>
      <c r="G73" s="296"/>
      <c r="H73" s="296"/>
      <c r="I73" s="296"/>
      <c r="J73" s="296"/>
      <c r="K73" s="296"/>
      <c r="L73" s="296"/>
    </row>
    <row r="74" spans="1:21" ht="13.15">
      <c r="A74" s="131">
        <v>1</v>
      </c>
      <c r="B74" s="119">
        <f t="shared" ref="B74:F87" si="11">(B56+FV_adjustments)/Common_Shares*scaling_factor*Exchange_Rate</f>
        <v>23.636320376070966</v>
      </c>
      <c r="C74" s="119">
        <f t="shared" si="11"/>
        <v>24.254163734144289</v>
      </c>
      <c r="D74" s="119">
        <f t="shared" si="11"/>
        <v>24.430690407879524</v>
      </c>
      <c r="E74" s="119">
        <f t="shared" si="11"/>
        <v>24.607217081614763</v>
      </c>
      <c r="F74" s="119">
        <f t="shared" si="11"/>
        <v>24.960270429085238</v>
      </c>
      <c r="G74" s="296"/>
      <c r="H74" s="296"/>
      <c r="I74" s="296"/>
      <c r="J74" s="296"/>
      <c r="K74" s="296"/>
      <c r="L74" s="296"/>
    </row>
    <row r="75" spans="1:21" ht="13.15">
      <c r="A75" s="131">
        <v>2</v>
      </c>
      <c r="B75" s="119">
        <f t="shared" si="11"/>
        <v>23.210876185230454</v>
      </c>
      <c r="C75" s="119">
        <f t="shared" si="11"/>
        <v>24.399345456081768</v>
      </c>
      <c r="D75" s="119">
        <f t="shared" si="11"/>
        <v>24.746366498694336</v>
      </c>
      <c r="E75" s="119">
        <f t="shared" si="11"/>
        <v>25.096702382994867</v>
      </c>
      <c r="F75" s="119">
        <f t="shared" si="11"/>
        <v>25.807318676659794</v>
      </c>
      <c r="G75" s="296"/>
      <c r="H75" s="296"/>
      <c r="I75" s="296"/>
      <c r="J75" s="296"/>
      <c r="K75" s="296"/>
      <c r="L75" s="296"/>
    </row>
    <row r="76" spans="1:21" ht="13.15">
      <c r="A76" s="131">
        <v>3</v>
      </c>
      <c r="B76" s="119">
        <f t="shared" si="11"/>
        <v>22.403617994085486</v>
      </c>
      <c r="C76" s="119">
        <f t="shared" si="11"/>
        <v>24.715384496968582</v>
      </c>
      <c r="D76" s="119">
        <f t="shared" si="11"/>
        <v>25.4117197221046</v>
      </c>
      <c r="E76" s="119">
        <f t="shared" si="11"/>
        <v>26.124319602126384</v>
      </c>
      <c r="F76" s="119">
        <f t="shared" si="11"/>
        <v>27.599055109582654</v>
      </c>
      <c r="G76" s="296"/>
      <c r="H76" s="296"/>
      <c r="I76" s="296"/>
      <c r="J76" s="296"/>
      <c r="K76" s="296"/>
      <c r="L76" s="296"/>
    </row>
    <row r="77" spans="1:21" ht="13.15">
      <c r="A77" s="131">
        <v>4</v>
      </c>
      <c r="B77" s="119">
        <f t="shared" si="11"/>
        <v>22.061026782982722</v>
      </c>
      <c r="C77" s="119">
        <f t="shared" si="11"/>
        <v>24.845413097065286</v>
      </c>
      <c r="D77" s="119">
        <f t="shared" si="11"/>
        <v>25.702845457901592</v>
      </c>
      <c r="E77" s="119">
        <f t="shared" si="11"/>
        <v>26.588929163732146</v>
      </c>
      <c r="F77" s="119">
        <f t="shared" si="11"/>
        <v>28.449596652781054</v>
      </c>
      <c r="G77" s="296"/>
      <c r="H77" s="296"/>
      <c r="I77" s="296"/>
      <c r="J77" s="296"/>
      <c r="K77" s="296"/>
      <c r="L77" s="296"/>
    </row>
    <row r="78" spans="1:21" ht="13.15">
      <c r="A78" s="131">
        <v>5</v>
      </c>
      <c r="B78" s="119">
        <f t="shared" si="11"/>
        <v>21.278728263643373</v>
      </c>
      <c r="C78" s="119">
        <f t="shared" si="11"/>
        <v>25.021303421043559</v>
      </c>
      <c r="D78" s="119">
        <f t="shared" si="11"/>
        <v>26.217386977854051</v>
      </c>
      <c r="E78" s="119">
        <f t="shared" si="11"/>
        <v>27.47376677720754</v>
      </c>
      <c r="F78" s="119">
        <f t="shared" si="11"/>
        <v>30.176437918876047</v>
      </c>
      <c r="G78" s="296"/>
      <c r="H78" s="296"/>
      <c r="I78" s="296"/>
      <c r="J78" s="296"/>
      <c r="K78" s="296"/>
      <c r="L78" s="296"/>
    </row>
    <row r="79" spans="1:21" ht="13.15">
      <c r="A79" s="131">
        <v>6</v>
      </c>
      <c r="B79" s="119">
        <f t="shared" si="11"/>
        <v>21.002854857796688</v>
      </c>
      <c r="C79" s="119">
        <f t="shared" si="11"/>
        <v>25.137760483389119</v>
      </c>
      <c r="D79" s="119">
        <f t="shared" si="11"/>
        <v>26.485871657275233</v>
      </c>
      <c r="E79" s="119">
        <f t="shared" si="11"/>
        <v>27.914764789051574</v>
      </c>
      <c r="F79" s="119">
        <f t="shared" si="11"/>
        <v>31.030487164332566</v>
      </c>
      <c r="G79" s="296"/>
      <c r="H79" s="296"/>
      <c r="I79" s="296"/>
      <c r="J79" s="296"/>
      <c r="K79" s="296"/>
      <c r="L79" s="296"/>
    </row>
    <row r="80" spans="1:21" ht="13.15">
      <c r="A80" s="131">
        <f t="shared" ref="A80" si="12">A62</f>
        <v>7</v>
      </c>
      <c r="B80" s="119">
        <f t="shared" si="11"/>
        <v>20.341419798443624</v>
      </c>
      <c r="C80" s="119">
        <f t="shared" si="11"/>
        <v>25.299340096148743</v>
      </c>
      <c r="D80" s="119">
        <f t="shared" si="11"/>
        <v>26.976685110580004</v>
      </c>
      <c r="E80" s="119">
        <f t="shared" si="11"/>
        <v>28.784149772861234</v>
      </c>
      <c r="F80" s="119">
        <f t="shared" si="11"/>
        <v>32.823505110210938</v>
      </c>
      <c r="G80" s="296"/>
      <c r="H80" s="296"/>
      <c r="I80" s="296"/>
      <c r="J80" s="296"/>
      <c r="K80" s="296"/>
      <c r="L80" s="296"/>
    </row>
    <row r="81" spans="1:12" ht="13.15">
      <c r="A81" s="131">
        <v>8</v>
      </c>
      <c r="B81" s="119">
        <f t="shared" si="11"/>
        <v>20.119271262267016</v>
      </c>
      <c r="C81" s="119">
        <f t="shared" si="11"/>
        <v>25.403642129394289</v>
      </c>
      <c r="D81" s="119">
        <f t="shared" si="11"/>
        <v>27.224289544748466</v>
      </c>
      <c r="E81" s="119">
        <f t="shared" si="11"/>
        <v>29.202736178569801</v>
      </c>
      <c r="F81" s="119">
        <f t="shared" si="11"/>
        <v>33.681076523973999</v>
      </c>
      <c r="G81" s="296"/>
      <c r="H81" s="296"/>
      <c r="I81" s="296"/>
      <c r="J81" s="296"/>
      <c r="K81" s="296"/>
      <c r="L81" s="296"/>
    </row>
    <row r="82" spans="1:12" ht="13.15">
      <c r="A82" s="131">
        <f t="shared" ref="A82" si="13">A64</f>
        <v>9</v>
      </c>
      <c r="B82" s="119">
        <f t="shared" si="11"/>
        <v>19.558758338533895</v>
      </c>
      <c r="C82" s="119">
        <f t="shared" si="11"/>
        <v>25.552206556685118</v>
      </c>
      <c r="D82" s="119">
        <f t="shared" si="11"/>
        <v>27.692726698432832</v>
      </c>
      <c r="E82" s="119">
        <f t="shared" si="11"/>
        <v>30.057109840823308</v>
      </c>
      <c r="F82" s="119">
        <f t="shared" si="11"/>
        <v>35.542058299586756</v>
      </c>
      <c r="G82" s="296"/>
      <c r="H82" s="296"/>
      <c r="I82" s="296"/>
      <c r="J82" s="296"/>
      <c r="K82" s="296"/>
      <c r="L82" s="296"/>
    </row>
    <row r="83" spans="1:12" ht="13.15">
      <c r="A83" s="131">
        <f t="shared" ref="A83:A87" si="14">A65</f>
        <v>10</v>
      </c>
      <c r="B83" s="119">
        <f t="shared" si="11"/>
        <v>19.379872041125306</v>
      </c>
      <c r="C83" s="119">
        <f t="shared" si="11"/>
        <v>25.645622223541583</v>
      </c>
      <c r="D83" s="119">
        <f t="shared" si="11"/>
        <v>27.921074758933184</v>
      </c>
      <c r="E83" s="119">
        <f t="shared" si="11"/>
        <v>30.45442360265039</v>
      </c>
      <c r="F83" s="119">
        <f t="shared" si="11"/>
        <v>36.403166407363891</v>
      </c>
      <c r="G83" s="296"/>
      <c r="H83" s="296"/>
      <c r="I83" s="296"/>
      <c r="J83" s="296"/>
      <c r="K83" s="296"/>
      <c r="L83" s="296"/>
    </row>
    <row r="84" spans="1:12" ht="13.15">
      <c r="A84" s="131">
        <f t="shared" si="14"/>
        <v>15</v>
      </c>
      <c r="B84" s="119">
        <f t="shared" si="11"/>
        <v>17.892838987945748</v>
      </c>
      <c r="C84" s="119">
        <f t="shared" si="11"/>
        <v>26.182969949009266</v>
      </c>
      <c r="D84" s="119">
        <f t="shared" si="11"/>
        <v>29.609133249301426</v>
      </c>
      <c r="E84" s="119">
        <f t="shared" si="11"/>
        <v>33.666697732347963</v>
      </c>
      <c r="F84" s="119">
        <f t="shared" si="11"/>
        <v>44.145351011331314</v>
      </c>
      <c r="G84" s="296"/>
      <c r="H84" s="296"/>
      <c r="I84" s="296"/>
      <c r="J84" s="296"/>
      <c r="K84" s="296"/>
      <c r="L84" s="296"/>
    </row>
    <row r="85" spans="1:12" ht="13.15">
      <c r="A85" s="132">
        <f t="shared" si="14"/>
        <v>20</v>
      </c>
      <c r="B85" s="119">
        <f t="shared" si="11"/>
        <v>17.114909650920065</v>
      </c>
      <c r="C85" s="119">
        <f t="shared" si="11"/>
        <v>26.570097226318413</v>
      </c>
      <c r="D85" s="119">
        <f t="shared" si="11"/>
        <v>30.870388670840484</v>
      </c>
      <c r="E85" s="119">
        <f t="shared" si="11"/>
        <v>36.218778850461192</v>
      </c>
      <c r="F85" s="119">
        <f t="shared" si="11"/>
        <v>51.152487590516969</v>
      </c>
      <c r="G85" s="296"/>
      <c r="H85" s="296"/>
      <c r="I85" s="296"/>
      <c r="J85" s="296"/>
      <c r="K85" s="296"/>
      <c r="L85" s="296"/>
    </row>
    <row r="86" spans="1:12" ht="13.15">
      <c r="A86" s="132">
        <f t="shared" si="14"/>
        <v>25</v>
      </c>
      <c r="B86" s="119">
        <f t="shared" si="11"/>
        <v>16.461424553017935</v>
      </c>
      <c r="C86" s="119">
        <f t="shared" si="11"/>
        <v>26.915958946431314</v>
      </c>
      <c r="D86" s="119">
        <f t="shared" si="11"/>
        <v>32.169758016510627</v>
      </c>
      <c r="E86" s="119">
        <f t="shared" si="11"/>
        <v>39.066065918054242</v>
      </c>
      <c r="F86" s="119">
        <f t="shared" si="11"/>
        <v>60.096000691738553</v>
      </c>
      <c r="G86" s="296"/>
      <c r="H86" s="296"/>
      <c r="I86" s="296"/>
      <c r="J86" s="296"/>
      <c r="K86" s="296"/>
      <c r="L86" s="296"/>
    </row>
    <row r="87" spans="1:12" ht="13.15">
      <c r="A87" s="132">
        <f t="shared" si="14"/>
        <v>30</v>
      </c>
      <c r="B87" s="119">
        <f t="shared" si="11"/>
        <v>16.124411816462832</v>
      </c>
      <c r="C87" s="119">
        <f t="shared" si="11"/>
        <v>27.160328486963682</v>
      </c>
      <c r="D87" s="119">
        <f t="shared" si="11"/>
        <v>33.118079068526903</v>
      </c>
      <c r="E87" s="119">
        <f t="shared" si="11"/>
        <v>41.273397947018786</v>
      </c>
      <c r="F87" s="119">
        <f t="shared" si="11"/>
        <v>67.987616598811641</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36.403166407363891</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30.45442360265039</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27.921074758933184</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25.645622223541583</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19.379872041125306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3529289</v>
      </c>
      <c r="D7" s="469"/>
      <c r="E7" s="469"/>
      <c r="F7" s="469"/>
      <c r="G7" s="469"/>
    </row>
    <row r="8" spans="2:7">
      <c r="B8" s="97" t="s">
        <v>63</v>
      </c>
      <c r="C8" s="447">
        <f>Normalized_FCF!G19</f>
        <v>2533259.7188002774</v>
      </c>
      <c r="D8" s="469"/>
      <c r="E8" s="469"/>
      <c r="F8" s="469"/>
      <c r="G8" s="469"/>
    </row>
    <row r="9" spans="2:7">
      <c r="B9" s="97" t="s">
        <v>54</v>
      </c>
      <c r="C9" s="447">
        <f>Normalized_FCF!C19</f>
        <v>2586848.7872906299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5.4188460915165049E-2</v>
      </c>
      <c r="D12" s="469"/>
      <c r="E12" s="469"/>
      <c r="F12" s="469"/>
      <c r="G12" s="469"/>
    </row>
    <row r="13" spans="2:7">
      <c r="B13" s="135" t="s">
        <v>127</v>
      </c>
      <c r="C13" s="249">
        <f ca="1">(Normalized_FCF!G8/OFFSET(Normalized_FCF!G8, 0, $C$4))^(1/$C$4) - 1</f>
        <v>-6.733313165064081E-2</v>
      </c>
      <c r="D13" s="469"/>
      <c r="E13" s="469"/>
      <c r="F13" s="469"/>
      <c r="G13" s="469"/>
    </row>
    <row r="14" spans="2:7">
      <c r="B14" s="97" t="s">
        <v>63</v>
      </c>
      <c r="C14" s="249">
        <f ca="1">(Normalized_FCF!G19/OFFSET(Normalized_FCF!G19, 0, $C$4))^(1/$C$4) - 1</f>
        <v>-6.3672822390810957E-2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0.06</v>
      </c>
      <c r="D22" s="325">
        <f>C18</f>
        <v>10</v>
      </c>
      <c r="E22" s="326">
        <f>DCF!E91</f>
        <v>30.45442360265039</v>
      </c>
      <c r="F22" s="328">
        <f>1-F23-F24</f>
        <v>0.24999999999999994</v>
      </c>
      <c r="G22" s="328">
        <f>F22*(1-F$29-F$30)</f>
        <v>0.22499999999999992</v>
      </c>
    </row>
    <row r="23" spans="2:7">
      <c r="B23" s="302" t="s">
        <v>437</v>
      </c>
      <c r="C23" s="324">
        <v>0.04</v>
      </c>
      <c r="D23" s="325">
        <f>C18</f>
        <v>10</v>
      </c>
      <c r="E23" s="326">
        <f>DCF!E92</f>
        <v>27.921074758933184</v>
      </c>
      <c r="F23" s="327">
        <v>0.55000000000000004</v>
      </c>
      <c r="G23" s="328">
        <f t="shared" ref="G23:G24" si="0">F23*(1-F$29-F$30)</f>
        <v>0.495</v>
      </c>
    </row>
    <row r="24" spans="2:7">
      <c r="B24" s="302" t="s">
        <v>446</v>
      </c>
      <c r="C24" s="324">
        <v>0.02</v>
      </c>
      <c r="D24" s="325">
        <f>C18</f>
        <v>10</v>
      </c>
      <c r="E24" s="326">
        <f>DCF!E93</f>
        <v>25.645622223541583</v>
      </c>
      <c r="F24" s="327">
        <v>0.2</v>
      </c>
      <c r="G24" s="328">
        <f t="shared" si="0"/>
        <v>0.18</v>
      </c>
    </row>
    <row r="25" spans="2:7">
      <c r="B25" s="141" t="s">
        <v>451</v>
      </c>
      <c r="C25" s="441">
        <f>E23*F23+E24*F24+E22*F22</f>
        <v>28.099321462784165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v>
      </c>
      <c r="D29" s="325">
        <f>C18</f>
        <v>10</v>
      </c>
      <c r="E29" s="326">
        <f>DCF!E90</f>
        <v>36.403166407363891</v>
      </c>
      <c r="F29" s="327">
        <v>0.05</v>
      </c>
      <c r="G29" s="328">
        <f>F29</f>
        <v>0.05</v>
      </c>
    </row>
    <row r="30" spans="2:7">
      <c r="B30" s="315" t="s">
        <v>447</v>
      </c>
      <c r="C30" s="324">
        <v>-0.05</v>
      </c>
      <c r="D30" s="325">
        <f>C18</f>
        <v>10</v>
      </c>
      <c r="E30" s="326">
        <f>DCF!E94</f>
        <v>19.379872041125306</v>
      </c>
      <c r="F30" s="327">
        <v>0.05</v>
      </c>
      <c r="G30" s="328">
        <f>F30</f>
        <v>0.05</v>
      </c>
    </row>
    <row r="31" spans="2:7">
      <c r="E31" s="329"/>
      <c r="F31" s="329"/>
    </row>
    <row r="32" spans="2:7" ht="13.15">
      <c r="B32" s="145" t="s">
        <v>456</v>
      </c>
    </row>
    <row r="33" spans="2:7">
      <c r="B33" s="97" t="s">
        <v>458</v>
      </c>
      <c r="C33" s="155">
        <f>Normalized_FCF!C88*(1-dividend_tax_rate)</f>
        <v>0.51653385292917453</v>
      </c>
      <c r="D33" t="str">
        <f>Market_currency</f>
        <v>HKD</v>
      </c>
      <c r="E33" s="97" t="s">
        <v>455</v>
      </c>
      <c r="F33" s="219">
        <f>Holding_Period</f>
        <v>3</v>
      </c>
    </row>
    <row r="34" spans="2:7">
      <c r="B34" s="97" t="s">
        <v>233</v>
      </c>
      <c r="C34" s="146">
        <f>Market_Price</f>
        <v>21</v>
      </c>
      <c r="D34" t="str">
        <f>Market_currency</f>
        <v>HKD</v>
      </c>
      <c r="E34" s="97" t="s">
        <v>454</v>
      </c>
      <c r="F34" s="330">
        <f>RATE(Holding_Period,$C$33,-C34,$C$36)</f>
        <v>0.12409635962466722</v>
      </c>
    </row>
    <row r="35" spans="2:7">
      <c r="B35" s="97" t="s">
        <v>434</v>
      </c>
      <c r="C35" s="320">
        <f>DCF!C11</f>
        <v>28.43860114404983</v>
      </c>
      <c r="D35" s="97" t="str">
        <f>Market_currency</f>
        <v>HKD</v>
      </c>
      <c r="E35" s="97" t="s">
        <v>454</v>
      </c>
      <c r="F35" s="330">
        <f>RATE(Holding_Period,$C$33,-C35,$C$36)</f>
        <v>1.4001347940588497E-2</v>
      </c>
    </row>
    <row r="36" spans="2:7">
      <c r="B36" s="97" t="s">
        <v>435</v>
      </c>
      <c r="C36" s="321">
        <f>E22*G22+E23*G23+E24*G24+E30*G30+E29*G29</f>
        <v>28.078541238930207</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0.13430424833028851</v>
      </c>
      <c r="E40" s="97" t="s">
        <v>401</v>
      </c>
    </row>
    <row r="41" spans="2:7">
      <c r="B41" s="97" t="s">
        <v>400</v>
      </c>
      <c r="C41" s="455">
        <f>DCF!C16*0.5</f>
        <v>2.0663663763345899E-2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4.1327327526691798E-2</v>
      </c>
      <c r="D46" s="138"/>
      <c r="E46" s="221" t="s">
        <v>252</v>
      </c>
    </row>
    <row r="47" spans="2:7">
      <c r="B47" s="97" t="s">
        <v>96</v>
      </c>
      <c r="C47" s="146">
        <f>DCF!I18</f>
        <v>28.080934409809768</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0.22882134909406882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0.51653385292917453</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0.93808378388138691</v>
      </c>
      <c r="D62" s="119">
        <f>C36/(1+F62)^Holding_Period</f>
        <v>12.780401110118435</v>
      </c>
      <c r="E62" s="332">
        <f>C62+D62</f>
        <v>13.718484893999822</v>
      </c>
      <c r="F62" s="301">
        <f>Thesis!E22</f>
        <v>0.3</v>
      </c>
      <c r="G62" s="440">
        <f>(1-E62/C36)</f>
        <v>0.51142458658146106</v>
      </c>
    </row>
    <row r="63" spans="2:7" ht="13.15">
      <c r="B63" s="302" t="s">
        <v>313</v>
      </c>
      <c r="C63" s="119">
        <f>PV(F63, Holding_Period, -C58, 0)</f>
        <v>1.0880689957535852</v>
      </c>
      <c r="D63" s="119">
        <f>C36/(1+F63)^Holding_Period</f>
        <v>16.249155809566091</v>
      </c>
      <c r="E63" s="332">
        <f>C63+D63</f>
        <v>17.337224805319675</v>
      </c>
      <c r="F63" s="301">
        <f>Thesis!E23</f>
        <v>0.2</v>
      </c>
      <c r="G63" s="440">
        <f>(1-E63/C36)</f>
        <v>0.38254538731940824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1.2461911882300609</v>
      </c>
      <c r="D66" s="119">
        <f>C36/(1+F66)^Holding_Period</f>
        <v>20.125586253697957</v>
      </c>
      <c r="E66" s="332">
        <f>C66+D66</f>
        <v>21.371777441928018</v>
      </c>
      <c r="F66" s="301">
        <f>Thesis!E24</f>
        <v>0.1174</v>
      </c>
      <c r="G66" s="440">
        <f>(1-E66/C36)</f>
        <v>0.23885727324407535</v>
      </c>
    </row>
    <row r="67" spans="2:7" ht="13.15">
      <c r="B67" s="302" t="s">
        <v>314</v>
      </c>
      <c r="C67" s="119">
        <f>PV(F67, Holding_Period, -C58, 0)</f>
        <v>1.3493802413884055</v>
      </c>
      <c r="D67" s="119">
        <f>C36/(1+F67)^Holding_Period</f>
        <v>22.76054403671926</v>
      </c>
      <c r="E67" s="332">
        <f>C67+D67</f>
        <v>24.109924278107666</v>
      </c>
      <c r="F67" s="301">
        <f>Thesis!E25</f>
        <v>7.2499999999999995E-2</v>
      </c>
      <c r="G67" s="440">
        <f>(1-E67/C36)</f>
        <v>0.14133985548081651</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李宁</v>
      </c>
      <c r="D4" s="349"/>
      <c r="E4" s="434" t="s">
        <v>540</v>
      </c>
      <c r="F4" s="437" t="str">
        <f>Thesis!F4</f>
        <v>INT</v>
      </c>
    </row>
    <row r="5" spans="1:10">
      <c r="B5" s="343" t="s">
        <v>364</v>
      </c>
      <c r="C5" s="355" t="str">
        <f>Thesis!C5</f>
        <v>2331.HK</v>
      </c>
      <c r="E5" s="438" t="s">
        <v>541</v>
      </c>
      <c r="F5" s="439" t="str">
        <f>Thesis!F5</f>
        <v>Y</v>
      </c>
    </row>
    <row r="6" spans="1:10">
      <c r="B6" s="350" t="s">
        <v>336</v>
      </c>
      <c r="C6" s="352" t="str">
        <f>Thesis!C6</f>
        <v>CNS_02</v>
      </c>
      <c r="E6" s="354"/>
    </row>
    <row r="7" spans="1:10">
      <c r="B7" s="343" t="s">
        <v>366</v>
      </c>
      <c r="C7" s="352" t="str">
        <f>Market_currency</f>
        <v>HKD</v>
      </c>
      <c r="D7" s="354"/>
      <c r="E7" s="354"/>
    </row>
    <row r="8" spans="1:10">
      <c r="B8" s="351" t="s">
        <v>365</v>
      </c>
      <c r="C8" s="356">
        <f>Market_Price</f>
        <v>21</v>
      </c>
    </row>
    <row r="9" spans="1:10">
      <c r="B9" s="351" t="s">
        <v>361</v>
      </c>
      <c r="C9" s="353">
        <f>Common_Shares</f>
        <v>2584811005</v>
      </c>
    </row>
    <row r="10" spans="1:10">
      <c r="B10" s="351" t="s">
        <v>367</v>
      </c>
      <c r="C10" s="357">
        <f>投资主题!C8*Common_Shares/1000000</f>
        <v>54281.031105000002</v>
      </c>
      <c r="D10" s="343" t="s">
        <v>529</v>
      </c>
      <c r="E10" s="360">
        <f>Scenarios!F34</f>
        <v>0.12409635962466722</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1.1321619999999999</v>
      </c>
    </row>
    <row r="17" spans="1:6">
      <c r="B17" s="343" t="s">
        <v>535</v>
      </c>
      <c r="C17" s="424">
        <f>Terminal_Growth</f>
        <v>0.02</v>
      </c>
      <c r="D17" s="351" t="s">
        <v>339</v>
      </c>
      <c r="E17" s="344" t="str">
        <f>Reporting_currency</f>
        <v>CNY</v>
      </c>
    </row>
    <row r="18" spans="1:6">
      <c r="B18" s="343" t="str">
        <f>"预期股权价值 ("&amp;C7&amp;") :"</f>
        <v>预期股权价值 (HKD) :</v>
      </c>
      <c r="C18" s="359">
        <f>C125</f>
        <v>28.078541238930207</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13.718484893999822</v>
      </c>
      <c r="D22" s="365" t="s">
        <v>440</v>
      </c>
      <c r="E22" s="366">
        <f>Thesis!E22</f>
        <v>0.3</v>
      </c>
    </row>
    <row r="23" spans="1:6">
      <c r="B23" s="343" t="s">
        <v>341</v>
      </c>
      <c r="C23" s="367">
        <f>E141</f>
        <v>17.337224805319675</v>
      </c>
      <c r="D23" s="365" t="s">
        <v>441</v>
      </c>
      <c r="E23" s="368">
        <f>Thesis!E23</f>
        <v>0.2</v>
      </c>
    </row>
    <row r="24" spans="1:6">
      <c r="B24" s="343" t="s">
        <v>343</v>
      </c>
      <c r="C24" s="367">
        <f>E144</f>
        <v>21.371777441928018</v>
      </c>
      <c r="D24" s="365" t="s">
        <v>443</v>
      </c>
      <c r="E24" s="368">
        <f>Thesis!E24</f>
        <v>0.1174</v>
      </c>
    </row>
    <row r="25" spans="1:6">
      <c r="B25" s="343" t="s">
        <v>342</v>
      </c>
      <c r="C25" s="367">
        <f>E145</f>
        <v>24.109924278107666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3529289</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26481.496387506384</v>
      </c>
      <c r="D44" s="343" t="str">
        <f>Reporting_currency</f>
        <v>CNY</v>
      </c>
      <c r="E44" s="371"/>
      <c r="F44" s="371"/>
    </row>
    <row r="45" spans="2:6">
      <c r="B45" s="372" t="s">
        <v>268</v>
      </c>
      <c r="C45" s="376">
        <f>Normalized_FCF!C45</f>
        <v>-106638.78</v>
      </c>
      <c r="D45" s="343" t="str">
        <f>Reporting_currency</f>
        <v>CNY</v>
      </c>
      <c r="E45" s="371"/>
      <c r="F45" s="371"/>
    </row>
    <row r="46" spans="2:6">
      <c r="B46" s="372" t="s">
        <v>203</v>
      </c>
      <c r="C46" s="373">
        <f>Normalized_FCF!C10</f>
        <v>-80157.283612493615</v>
      </c>
      <c r="D46" s="343" t="str">
        <f>Reporting_currency</f>
        <v>CNY</v>
      </c>
    </row>
    <row r="48" spans="2:6">
      <c r="B48" s="343" t="s">
        <v>505</v>
      </c>
    </row>
    <row r="49" spans="2:6">
      <c r="B49" s="372" t="s">
        <v>223</v>
      </c>
      <c r="C49" s="373">
        <f>Normalized_FCF!C13</f>
        <v>0</v>
      </c>
      <c r="D49" s="343" t="str">
        <f>Reporting_currency</f>
        <v>CNY</v>
      </c>
    </row>
    <row r="51" spans="2:6">
      <c r="B51" s="470" t="s">
        <v>506</v>
      </c>
      <c r="C51" s="470"/>
      <c r="D51" s="470"/>
      <c r="E51" s="470"/>
      <c r="F51" s="470"/>
    </row>
    <row r="52" spans="2:6">
      <c r="B52" s="372" t="s">
        <v>496</v>
      </c>
      <c r="C52" s="373">
        <f>Normalized_FCF!C12</f>
        <v>-862282.92909687664</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2533259.7188002774</v>
      </c>
      <c r="D60" s="343" t="str">
        <f>Reporting_currency</f>
        <v>CNY</v>
      </c>
    </row>
    <row r="61" spans="2:6">
      <c r="B61" s="372" t="s">
        <v>213</v>
      </c>
      <c r="C61" s="373">
        <f>Normalized_FCF!C19</f>
        <v>2586848.7872906299</v>
      </c>
      <c r="D61" s="343" t="str">
        <f>Reporting_currency</f>
        <v>CNY</v>
      </c>
    </row>
    <row r="62" spans="2:6">
      <c r="B62" s="377" t="s">
        <v>302</v>
      </c>
      <c r="C62" s="378">
        <f>Normalized_FCF!C124</f>
        <v>5.3954979061677379E-2</v>
      </c>
      <c r="F62" s="379"/>
    </row>
    <row r="63" spans="2:6">
      <c r="B63" s="377" t="s">
        <v>332</v>
      </c>
      <c r="C63" s="378">
        <f>Normalized_FCF!C92</f>
        <v>2.45968501394845E-2</v>
      </c>
      <c r="E63" s="372" t="s">
        <v>373</v>
      </c>
      <c r="F63" s="380">
        <f>Normalized_FCF!C90</f>
        <v>0.51612695495230732</v>
      </c>
    </row>
    <row r="65" spans="1:6">
      <c r="B65" s="369" t="s">
        <v>376</v>
      </c>
      <c r="C65" s="381" t="s">
        <v>327</v>
      </c>
      <c r="D65" s="381" t="s">
        <v>374</v>
      </c>
    </row>
    <row r="66" spans="1:6">
      <c r="B66" s="372" t="s">
        <v>326</v>
      </c>
      <c r="C66" s="378">
        <f>Normalized_FCF!E119</f>
        <v>0.2</v>
      </c>
      <c r="D66" s="378">
        <f>Normalized_FCF!G119</f>
        <v>0.13360785219959892</v>
      </c>
    </row>
    <row r="67" spans="1:6">
      <c r="B67" s="382" t="str">
        <f>Normalized_FCF!B116</f>
        <v>Pre-tax Profit/Sales</v>
      </c>
      <c r="C67" s="383">
        <f>Normalized_FCF!E116</f>
        <v>0.13430424833028851</v>
      </c>
      <c r="D67" s="383">
        <f>Normalized_FCF!G116</f>
        <v>0.12658655008364686</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-1777313</v>
      </c>
      <c r="D78" s="343" t="str">
        <f>Reporting_currency</f>
        <v>CNY</v>
      </c>
    </row>
    <row r="79" spans="1:6">
      <c r="B79" s="372" t="s">
        <v>234</v>
      </c>
      <c r="C79" s="387">
        <f>C78*scaling_factor*Exchange_Rate/Common_Shares</f>
        <v>-0.77847325657993316</v>
      </c>
      <c r="D79" s="343" t="str">
        <f>Market_currency</f>
        <v>HKD</v>
      </c>
    </row>
    <row r="80" spans="1:6">
      <c r="B80" s="382" t="s">
        <v>309</v>
      </c>
      <c r="C80" s="388">
        <f>IF(BS!G31/BS!G27&gt;300%,"nm",BS!G31/BS!G27)</f>
        <v>6.5417684980282262E-2</v>
      </c>
    </row>
    <row r="81" spans="1:6">
      <c r="B81" s="382" t="s">
        <v>311</v>
      </c>
      <c r="C81" s="389">
        <f>IF(BS!C50&gt;30,"nm",BS!C50)</f>
        <v>0.50358953318926281</v>
      </c>
    </row>
    <row r="83" spans="1:6">
      <c r="B83" s="343" t="s">
        <v>512</v>
      </c>
    </row>
    <row r="84" spans="1:6">
      <c r="B84" s="343" t="s">
        <v>224</v>
      </c>
      <c r="C84" s="373">
        <f>DCF!F5</f>
        <v>14777273.268748935</v>
      </c>
      <c r="D84" s="343" t="str">
        <f>Reporting_currency</f>
        <v>CNY</v>
      </c>
    </row>
    <row r="85" spans="1:6">
      <c r="B85" s="382" t="s">
        <v>481</v>
      </c>
      <c r="C85" s="390">
        <f>BS!C66</f>
        <v>19190856</v>
      </c>
      <c r="D85" s="391" t="str">
        <f>Reporting_currency</f>
        <v>CNY</v>
      </c>
    </row>
    <row r="86" spans="1:6">
      <c r="B86" s="372" t="s">
        <v>235</v>
      </c>
      <c r="C86" s="387">
        <f>C84*scaling_factor*Exchange_Rate/Common_Shares</f>
        <v>6.4725301873640584</v>
      </c>
      <c r="D86" s="343" t="str">
        <f>Market_currency</f>
        <v>HKD</v>
      </c>
    </row>
    <row r="88" spans="1:6">
      <c r="B88" s="343" t="s">
        <v>513</v>
      </c>
    </row>
    <row r="89" spans="1:6">
      <c r="B89" s="343" t="s">
        <v>217</v>
      </c>
      <c r="C89" s="373">
        <f>DCF!F6</f>
        <v>1668728.8</v>
      </c>
      <c r="D89" s="343" t="str">
        <f>Reporting_currency</f>
        <v>CNY</v>
      </c>
    </row>
    <row r="90" spans="1:6">
      <c r="B90" s="372" t="s">
        <v>236</v>
      </c>
      <c r="C90" s="387">
        <f>C89*scaling_factor*Exchange_Rate/Common_Shares</f>
        <v>0.73091275610133044</v>
      </c>
      <c r="D90" s="343" t="str">
        <f>Market_currency</f>
        <v>HKD</v>
      </c>
    </row>
    <row r="92" spans="1:6">
      <c r="B92" s="372" t="s">
        <v>480</v>
      </c>
      <c r="C92" s="387">
        <f>DCF!F8</f>
        <v>6.424969686885456</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5.6472711885075704</v>
      </c>
      <c r="D111" s="343" t="str">
        <f>Market_currency</f>
        <v>HKD</v>
      </c>
    </row>
    <row r="112" spans="1:6">
      <c r="A112" s="385"/>
      <c r="B112" s="372" t="s">
        <v>377</v>
      </c>
      <c r="C112" s="394">
        <f>DCF!C11</f>
        <v>28.43860114404983</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v>
      </c>
      <c r="D118" s="397">
        <f>DCF!D90</f>
        <v>10</v>
      </c>
      <c r="E118" s="398" t="str">
        <f>ROUND(DCF!E90,2)&amp;" "&amp;Market_currency</f>
        <v>36.4 HKD</v>
      </c>
      <c r="F118" s="399">
        <f>DCF!F90</f>
        <v>0.05</v>
      </c>
    </row>
    <row r="119" spans="1:6">
      <c r="A119" s="385"/>
      <c r="B119" s="400" t="str">
        <f>DCF!B91</f>
        <v>Optimistic</v>
      </c>
      <c r="C119" s="401">
        <f>DCF!C91</f>
        <v>0.06</v>
      </c>
      <c r="D119" s="402">
        <f>DCF!D91</f>
        <v>10</v>
      </c>
      <c r="E119" s="398" t="str">
        <f>ROUND(DCF!E91,2)&amp;" "&amp;Market_currency</f>
        <v>30.45 HKD</v>
      </c>
      <c r="F119" s="403">
        <f>DCF!F91</f>
        <v>0.22499999999999992</v>
      </c>
    </row>
    <row r="120" spans="1:6">
      <c r="B120" s="400" t="str">
        <f>DCF!B92</f>
        <v>Base</v>
      </c>
      <c r="C120" s="401">
        <f>DCF!C92</f>
        <v>0.04</v>
      </c>
      <c r="D120" s="402">
        <f>DCF!D92</f>
        <v>10</v>
      </c>
      <c r="E120" s="398" t="str">
        <f>ROUND(DCF!E92,2)&amp;" "&amp;Market_currency</f>
        <v>27.92 HKD</v>
      </c>
      <c r="F120" s="403">
        <f>DCF!F92</f>
        <v>0.495</v>
      </c>
    </row>
    <row r="121" spans="1:6">
      <c r="B121" s="400" t="str">
        <f>DCF!B93</f>
        <v>Pessimistic</v>
      </c>
      <c r="C121" s="401">
        <f>DCF!C93</f>
        <v>0.02</v>
      </c>
      <c r="D121" s="402">
        <f>DCF!D93</f>
        <v>10</v>
      </c>
      <c r="E121" s="398" t="str">
        <f>ROUND(DCF!E93,2)&amp;" "&amp;Market_currency</f>
        <v>25.65 HKD</v>
      </c>
      <c r="F121" s="403">
        <f>DCF!F93</f>
        <v>0.18</v>
      </c>
    </row>
    <row r="122" spans="1:6">
      <c r="B122" s="400" t="str">
        <f>DCF!B94</f>
        <v>Devil's advocate</v>
      </c>
      <c r="C122" s="401">
        <f>DCF!C94</f>
        <v>-0.05</v>
      </c>
      <c r="D122" s="402">
        <f>DCF!D94</f>
        <v>10</v>
      </c>
      <c r="E122" s="398" t="str">
        <f>ROUND(DCF!E94,2)&amp;" "&amp;Market_currency</f>
        <v>19.38 HKD</v>
      </c>
      <c r="F122" s="403">
        <f>DCF!F94</f>
        <v>0.05</v>
      </c>
    </row>
    <row r="124" spans="1:6">
      <c r="B124" s="470" t="s">
        <v>519</v>
      </c>
      <c r="C124" s="470"/>
      <c r="D124" s="470"/>
      <c r="E124" s="470"/>
      <c r="F124" s="470"/>
    </row>
    <row r="125" spans="1:6">
      <c r="B125" s="372" t="s">
        <v>218</v>
      </c>
      <c r="C125" s="404">
        <f>Scenarios!C36</f>
        <v>28.078541238930207</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0.51653385292917453</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0.93808378388138691</v>
      </c>
      <c r="D140" s="409">
        <f>Scenarios!D62</f>
        <v>12.780401110118435</v>
      </c>
      <c r="E140" s="410">
        <f>Scenarios!E62</f>
        <v>13.718484893999822</v>
      </c>
      <c r="F140" s="411">
        <f>E22</f>
        <v>0.3</v>
      </c>
    </row>
    <row r="141" spans="1:6">
      <c r="B141" s="408" t="s">
        <v>313</v>
      </c>
      <c r="C141" s="409">
        <f>Scenarios!C63</f>
        <v>1.0880689957535852</v>
      </c>
      <c r="D141" s="409">
        <f>Scenarios!D63</f>
        <v>16.249155809566091</v>
      </c>
      <c r="E141" s="410">
        <f>Scenarios!E63</f>
        <v>17.337224805319675</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1.2461911882300609</v>
      </c>
      <c r="D144" s="409">
        <f>Scenarios!D66</f>
        <v>20.125586253697957</v>
      </c>
      <c r="E144" s="410">
        <f>Scenarios!E66</f>
        <v>21.371777441928018</v>
      </c>
      <c r="F144" s="411">
        <f>E24</f>
        <v>0.1174</v>
      </c>
    </row>
    <row r="145" spans="1:6">
      <c r="B145" s="408" t="s">
        <v>314</v>
      </c>
      <c r="C145" s="409">
        <f>Scenarios!C67</f>
        <v>1.3493802413884055</v>
      </c>
      <c r="D145" s="409">
        <f>Scenarios!D67</f>
        <v>22.76054403671926</v>
      </c>
      <c r="E145" s="410">
        <f>Scenarios!E67</f>
        <v>24.109924278107666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