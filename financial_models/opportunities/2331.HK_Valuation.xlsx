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1F25C1B-6A4E-4977-B1AD-E532B6B4AAD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Q126" i="2"/>
  <c r="Q92" i="2"/>
  <c r="Q48" i="2"/>
  <c r="Q91" i="2"/>
  <c r="K70" i="4"/>
  <c r="D69" i="4"/>
  <c r="N126" i="2"/>
  <c r="N91" i="2"/>
  <c r="J69" i="4"/>
  <c r="I69" i="4"/>
  <c r="P126" i="2"/>
  <c r="P91" i="2"/>
  <c r="J91" i="2"/>
  <c r="K126" i="2"/>
  <c r="K91" i="2"/>
  <c r="J71" i="4"/>
  <c r="O126" i="2"/>
  <c r="O91" i="2"/>
  <c r="I70" i="4"/>
  <c r="G69" i="4"/>
  <c r="L126" i="2"/>
  <c r="L91" i="2"/>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76" i="2"/>
  <c r="O55" i="2"/>
  <c r="O120" i="2"/>
  <c r="E58" i="4"/>
  <c r="I62" i="2" s="1"/>
  <c r="E71" i="4"/>
  <c r="C58" i="4"/>
  <c r="G62" i="2" s="1"/>
  <c r="G63" i="2" s="1"/>
  <c r="C71" i="4"/>
  <c r="H58" i="4"/>
  <c r="G71" i="4"/>
  <c r="H71" i="4"/>
  <c r="O63" i="2"/>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J48" i="2"/>
  <c r="J50" i="2" s="1"/>
  <c r="J12" i="2" s="1"/>
  <c r="J80" i="2" s="1"/>
  <c r="M48" i="2"/>
  <c r="M50" i="2" s="1"/>
  <c r="M12" i="2" s="1"/>
  <c r="O48" i="2"/>
  <c r="O50" i="2" s="1"/>
  <c r="O12" i="2" s="1"/>
  <c r="I48" i="2"/>
  <c r="I50" i="2" s="1"/>
  <c r="I12" i="2" s="1"/>
  <c r="I80" i="2" s="1"/>
  <c r="P48" i="2"/>
  <c r="P50" i="2" s="1"/>
  <c r="P12" i="2" s="1"/>
  <c r="K48" i="2"/>
  <c r="K50" i="2" s="1"/>
  <c r="K12" i="2" s="1"/>
  <c r="K43" i="2" s="1"/>
  <c r="N48" i="2"/>
  <c r="N50" i="2" s="1"/>
  <c r="N12" i="2" s="1"/>
  <c r="L48" i="2"/>
  <c r="L50" i="2" s="1"/>
  <c r="L12" i="2" s="1"/>
  <c r="H48" i="2"/>
  <c r="H50" i="2" s="1"/>
  <c r="H12" i="2" s="1"/>
  <c r="H80" i="2" s="1"/>
  <c r="C40" i="6"/>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37" i="8" l="1"/>
  <c r="F37" i="8" s="1"/>
  <c r="C39" i="8"/>
  <c r="F39" i="8" s="1"/>
  <c r="C38" i="8"/>
  <c r="F38" i="8" s="1"/>
  <c r="C40" i="8"/>
  <c r="F40"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<sst xmlns="http://schemas.openxmlformats.org/spreadsheetml/2006/main" count="606" uniqueCount="429">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</sst>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420</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421</v>
      </c>
      <c r="D5" s="49" t="s">
        <v>422</v>
      </c>
    </row>
    <row r="6" spans="1:10">
      <c r="B6" s="4" t="s">
        <v>95</v>
      </c>
      <c r="C6" s="50">
        <v>14.62</v>
      </c>
      <c r="D6" s="48" t="s">
        <v>405</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14.221973350893821</v>
      </c>
      <c r="D20" s="1" t="s">
        <v>315</v>
      </c>
      <c r="E20" s="330">
        <v>3</v>
      </c>
    </row>
    <row r="21" spans="1:6">
      <c r="B21" s="1" t="s">
        <v>408</v>
      </c>
      <c r="C21" s="280">
        <f ca="1">Scenarios!C87</f>
        <v>0.23821680012512947</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96061.560615225826</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-158359.43938477419</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-806616.12112934003</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2532352.8346152259</v>
      </c>
      <c r="D56" s="1" t="str">
        <f>Reporting_currency</f>
        <v>CNY</v>
      </c>
    </row>
    <row r="57" spans="1:6">
      <c r="B57" s="47" t="s">
        <v>249</v>
      </c>
      <c r="C57" s="188">
        <f>Normalized_FCF!C19</f>
        <v>2419848.3633880201</v>
      </c>
      <c r="D57" s="1" t="str">
        <f>Reporting_currency</f>
        <v>CNY</v>
      </c>
    </row>
    <row r="58" spans="1:6">
      <c r="B58" s="254" t="s">
        <v>398</v>
      </c>
      <c r="C58" s="92">
        <f>Normalized_FCF!C125</f>
        <v>6.8306347295356576E-2</v>
      </c>
    </row>
    <row r="59" spans="1:6">
      <c r="B59" s="254" t="s">
        <v>316</v>
      </c>
      <c r="C59" s="92">
        <f>Normalized_FCF!C93</f>
        <v>3.7498432682696467E-2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12.482984968226415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0.79901763872801979</v>
      </c>
      <c r="D87" s="1" t="str">
        <f>Market_currency</f>
        <v>HKD</v>
      </c>
    </row>
    <row r="88" spans="2:6">
      <c r="B88" s="337" t="s">
        <v>414</v>
      </c>
      <c r="C88" s="338">
        <f>BS!G30/BS!G27</f>
        <v>0.36794481423679237</v>
      </c>
    </row>
    <row r="89" spans="2:6">
      <c r="B89" s="337" t="s">
        <v>415</v>
      </c>
      <c r="C89" s="338">
        <f>BS!G31/BS!G27</f>
        <v>7.4171010848313429E-2</v>
      </c>
    </row>
    <row r="90" spans="2:6">
      <c r="B90" s="337" t="s">
        <v>417</v>
      </c>
      <c r="C90" s="339">
        <f>BS!C50</f>
        <v>0.60402076709908736</v>
      </c>
    </row>
    <row r="92" spans="2:6">
      <c r="B92" s="1" t="s">
        <v>255</v>
      </c>
    </row>
    <row r="93" spans="2:6">
      <c r="B93" s="47" t="s">
        <v>265</v>
      </c>
      <c r="C93" s="188">
        <f>BS!C66</f>
        <v>18164188</v>
      </c>
      <c r="D93" s="1" t="str">
        <f>Reporting_currency</f>
        <v>CNY</v>
      </c>
    </row>
    <row r="94" spans="2:6">
      <c r="B94" s="47" t="s">
        <v>267</v>
      </c>
      <c r="C94" s="188">
        <f>Valuation_Model!C8</f>
        <v>14101839.483409911</v>
      </c>
      <c r="D94" s="1" t="str">
        <f>Reporting_currency</f>
        <v>CNY</v>
      </c>
    </row>
    <row r="95" spans="2:6">
      <c r="B95" s="47" t="s">
        <v>286</v>
      </c>
      <c r="C95" s="248">
        <f>C94*scaling_factor*Exchange_Rate/Common_Shares</f>
        <v>5.8196390471106874</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0.23175327635353246</v>
      </c>
      <c r="D99" s="1" t="str">
        <f>Market_currency</f>
        <v>HKD</v>
      </c>
    </row>
    <row r="101" spans="1:6" ht="24.4" customHeight="1">
      <c r="B101" s="342" t="s">
        <v>374</v>
      </c>
      <c r="C101" s="342"/>
      <c r="D101" s="342"/>
      <c r="E101" s="342"/>
      <c r="F101" s="342"/>
    </row>
    <row r="103" spans="1:6">
      <c r="B103" s="47" t="s">
        <v>283</v>
      </c>
      <c r="C103" s="248">
        <f>Valuation_Model!C12</f>
        <v>17.735359652962615</v>
      </c>
      <c r="D103" s="1" t="str">
        <f>Market_currency</f>
        <v>HKD</v>
      </c>
    </row>
    <row r="104" spans="1:6">
      <c r="B104" s="337" t="s">
        <v>416</v>
      </c>
      <c r="C104" s="248">
        <f>BS!D47</f>
        <v>4.4970487317420522</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46.94 HKD</v>
      </c>
      <c r="F111" s="259">
        <f>Valuation_Model!F74</f>
        <v>0.1</v>
      </c>
    </row>
    <row r="112" spans="1:6">
      <c r="B112" s="242" t="str">
        <f>Valuation_Model!B75</f>
        <v>Optimistic</v>
      </c>
      <c r="C112" s="243">
        <f>Valuation_Model!C75</f>
        <v>0.08</v>
      </c>
      <c r="D112" s="244">
        <f>Valuation_Model!D75</f>
        <v>20</v>
      </c>
      <c r="E112" s="245" t="str">
        <f>ROUND(Valuation_Model!E75,2)&amp;" "&amp;Market_currency</f>
        <v>28.12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23.12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19.55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25.687175936271849</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0.54822708582102231</v>
      </c>
      <c r="D128" s="236" t="str">
        <f>Market_currency</f>
        <v>HKD</v>
      </c>
    </row>
    <row r="130" spans="1:6">
      <c r="B130" s="234" t="s">
        <v>409</v>
      </c>
      <c r="C130" s="338">
        <f>C19</f>
        <v>0.25</v>
      </c>
      <c r="D130" s="1" t="s">
        <v>419</v>
      </c>
    </row>
    <row r="131" spans="1:6">
      <c r="B131" s="236" t="str">
        <f>"PV("&amp;C126&amp;" yrs of Dividends)"</f>
        <v>PV(3 yrs of Dividends)</v>
      </c>
      <c r="C131" s="240">
        <f>Scenarios!C81</f>
        <v>1.0701392715226354</v>
      </c>
    </row>
    <row r="132" spans="1:6">
      <c r="B132" s="236" t="str">
        <f>"+ PV(Equity Value realized at year "&amp;C126&amp;")"</f>
        <v>+ PV(Equity Value realized at year 3)</v>
      </c>
      <c r="C132" s="240">
        <f>Scenarios!C82</f>
        <v>13.151834079371186</v>
      </c>
    </row>
    <row r="133" spans="1:6">
      <c r="B133" s="80" t="s">
        <v>261</v>
      </c>
      <c r="C133" s="239">
        <f>Scenarios!C83</f>
        <v>14.221973350893821</v>
      </c>
      <c r="D133" s="47" t="str">
        <f>Reporting_currency</f>
        <v>CNY</v>
      </c>
    </row>
    <row r="134" spans="1:6">
      <c r="B134" s="238" t="s">
        <v>263</v>
      </c>
      <c r="C134" s="92">
        <f>Scenarios!F83</f>
        <v>0.4463395514486459</v>
      </c>
    </row>
    <row r="136" spans="1:6">
      <c r="B136" s="234" t="s">
        <v>410</v>
      </c>
      <c r="C136" s="92">
        <f>Scenarios!C90</f>
        <v>0.08</v>
      </c>
      <c r="D136" s="1" t="s">
        <v>418</v>
      </c>
    </row>
    <row r="137" spans="1:6">
      <c r="B137" s="236" t="str">
        <f>"PV("&amp;C126&amp;" yrs of Dividends)"</f>
        <v>PV(3 yrs of Dividends)</v>
      </c>
      <c r="C137" s="240">
        <f>Scenarios!C91</f>
        <v>1.4128343711970417</v>
      </c>
    </row>
    <row r="138" spans="1:6">
      <c r="B138" s="236" t="str">
        <f>"+ PV(Equity Value realized at year "&amp;C126&amp;")"</f>
        <v>+ PV(Equity Value realized at year 3)</v>
      </c>
      <c r="C138" s="240">
        <f>Scenarios!C92</f>
        <v>20.391308438970054</v>
      </c>
    </row>
    <row r="139" spans="1:6">
      <c r="B139" s="80" t="s">
        <v>411</v>
      </c>
      <c r="C139" s="239">
        <f>Scenarios!C93</f>
        <v>21.804142810167097</v>
      </c>
      <c r="D139" s="101" t="str">
        <f>Reporting_currency</f>
        <v>CNY</v>
      </c>
    </row>
    <row r="140" spans="1:6">
      <c r="B140" s="238" t="s">
        <v>263</v>
      </c>
      <c r="C140" s="92">
        <f>Scenarios!F93</f>
        <v>0.15116621366779659</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0.54822708582102231</v>
      </c>
      <c r="D25" s="39"/>
      <c r="E25" s="39"/>
      <c r="F25" s="39"/>
      <c r="G25" s="39"/>
      <c r="H25" s="39"/>
      <c r="I25" s="39"/>
      <c r="J25" s="39"/>
      <c r="K25" s="39"/>
      <c r="L25" s="39"/>
      <c r="M25" s="39"/>
    </row>
    <row r="27" spans="2:13">
      <c r="B27" s="16" t="s">
        <v>28</v>
      </c>
      <c r="C27" s="97" t="s">
        <v>426</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10.772640544997891</v>
      </c>
      <c r="D47" s="148">
        <f>D46*H1/Common_Shares*Exchange_Rate</f>
        <v>4.4970487317420522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14101839.483409911</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-2213617.5186202219</v>
      </c>
      <c r="D73" s="188">
        <f>(Normalized_FCF!C25+Normalized_FCF!C35-Normalized_FCF!C91)/12</f>
        <v>-2031174.2582950441</v>
      </c>
      <c r="F73" s="1" t="s">
        <v>359</v>
      </c>
    </row>
    <row r="74" spans="2:6" ht="15" customHeight="1">
      <c r="B74" s="288" t="s">
        <v>329</v>
      </c>
      <c r="C74" s="289">
        <f>-$C$66/C73</f>
        <v>8.2056578642013935</v>
      </c>
      <c r="D74" s="289">
        <f>-$C$66/D73</f>
        <v>8.9427029344330666</v>
      </c>
      <c r="F74" s="283" t="s">
        <v>327</v>
      </c>
    </row>
    <row r="75" spans="2:6" ht="15" customHeight="1">
      <c r="B75" s="80" t="s">
        <v>328</v>
      </c>
      <c r="C75" s="293"/>
      <c r="D75" s="292">
        <f>MAX(-D73*D76,G5)</f>
        <v>4062348.5165900881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-2065299.1194412501</v>
      </c>
      <c r="D86" s="248">
        <f>C86*scaling_factor/Common_Shares</f>
        <v>-0.79901763872801979</v>
      </c>
      <c r="E86" s="269" t="str">
        <f>Market_currency</f>
        <v>HKD</v>
      </c>
    </row>
    <row r="87" spans="2:8" ht="15" customHeight="1">
      <c r="B87" s="267" t="s">
        <v>294</v>
      </c>
      <c r="C87" s="188">
        <f>Valuation_Model!C8*Exchange_Rate</f>
        <v>15042590.822647542</v>
      </c>
      <c r="D87" s="248">
        <f>C87*scaling_factor/Common_Shares</f>
        <v>5.8196390471106874</v>
      </c>
      <c r="E87" s="269" t="str">
        <f>Market_currency</f>
        <v>HKD</v>
      </c>
    </row>
    <row r="88" spans="2:8" ht="15" customHeight="1">
      <c r="B88" s="268" t="s">
        <v>190</v>
      </c>
      <c r="C88" s="188">
        <f>Valuation_Model!C9*Exchange_Rate</f>
        <v>599035.38342724997</v>
      </c>
      <c r="D88" s="248">
        <f>C88*scaling_factor/Common_Shares</f>
        <v>0.23175327635353241</v>
      </c>
      <c r="E88" s="269" t="str">
        <f>Market_currency</f>
        <v>HKD</v>
      </c>
    </row>
    <row r="89" spans="2:8" ht="15" customHeight="1">
      <c r="B89" s="80" t="s">
        <v>298</v>
      </c>
      <c r="C89" s="187">
        <f>SUM(C86:C88)</f>
        <v>13576327.086633541</v>
      </c>
      <c r="D89" s="271">
        <f>SUM(D86:D88)</f>
        <v>5.2523746847361998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3226464.4845173601</v>
      </c>
      <c r="E13" s="302"/>
      <c r="G13" s="184">
        <f>IF(G$4="","",SUM(G8:G12))</f>
        <v>3629043.8346152259</v>
      </c>
      <c r="H13" s="184">
        <f t="shared" ref="H13:Q13" si="7">IF(H$4="","",SUM(H8:H12))</f>
        <v>3326070.6357026137</v>
      </c>
      <c r="I13" s="184">
        <f t="shared" si="7"/>
        <v>4239833.4872020744</v>
      </c>
      <c r="J13" s="184">
        <f t="shared" si="7"/>
        <v>4800588.1218728535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-806616.12112934003</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2419848.3633880201</v>
      </c>
      <c r="D16" s="61"/>
      <c r="E16" s="310"/>
      <c r="F16" s="61"/>
      <c r="G16" s="184">
        <f>IF(G$4="","",SUM(G13:G15))</f>
        <v>2532352.8346152259</v>
      </c>
      <c r="H16" s="184">
        <f t="shared" ref="H16:Q16" si="8">IF(H$4="","",SUM(H13:H15))</f>
        <v>2256811.6357026137</v>
      </c>
      <c r="I16" s="184">
        <f t="shared" si="8"/>
        <v>2888504.4872020744</v>
      </c>
      <c r="J16" s="184">
        <f t="shared" si="8"/>
        <v>3483232.1218728535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2419848.3633880201</v>
      </c>
      <c r="D19" s="27"/>
      <c r="E19" s="299"/>
      <c r="F19" s="27"/>
      <c r="G19" s="186">
        <f>IF(G$4="","",G16+G17)</f>
        <v>2532352.8346152259</v>
      </c>
      <c r="H19" s="186">
        <f t="shared" ref="H19:Q19" si="9">IF(H$4="","",H16+H17)</f>
        <v>2256811.6357026137</v>
      </c>
      <c r="I19" s="186">
        <f t="shared" si="9"/>
        <v>2888504.4872020744</v>
      </c>
      <c r="J19" s="186">
        <f t="shared" si="9"/>
        <v>3483232.1218728535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0.30234957121477529</v>
      </c>
      <c r="H43" s="6">
        <f t="shared" si="18"/>
        <v>0.32163804631795034</v>
      </c>
      <c r="I43" s="6">
        <f t="shared" si="18"/>
        <v>0.31885984511248722</v>
      </c>
      <c r="J43" s="6">
        <f t="shared" si="18"/>
        <v>0.27447284730868882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428</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0.12332425083199339</v>
      </c>
      <c r="D81" s="27"/>
      <c r="E81" s="299"/>
      <c r="F81" s="27"/>
      <c r="G81" s="65">
        <f t="shared" ref="G81:Q81" si="32">IF(G$4="","",G13/G$4)</f>
        <v>0.12655492449167491</v>
      </c>
      <c r="H81" s="65">
        <f t="shared" si="32"/>
        <v>0.1205163947442856</v>
      </c>
      <c r="I81" s="65">
        <f t="shared" si="32"/>
        <v>0.16431308589273252</v>
      </c>
      <c r="J81" s="65">
        <f t="shared" si="32"/>
        <v>0.21267625198679979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3.0831062707998347E-2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9.249318812399504E-2</v>
      </c>
      <c r="D84" s="27"/>
      <c r="E84" s="299"/>
      <c r="F84" s="27"/>
      <c r="G84" s="65">
        <f t="shared" ref="G84:Q84" si="35">IF(G$4="","",ABS(G16/G$4))</f>
        <v>8.8310237179868148E-2</v>
      </c>
      <c r="H84" s="65">
        <f t="shared" si="35"/>
        <v>8.1773008375806255E-2</v>
      </c>
      <c r="I84" s="65">
        <f t="shared" si="35"/>
        <v>0.11194285986461831</v>
      </c>
      <c r="J84" s="65">
        <f t="shared" si="35"/>
        <v>0.15431458264554004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9.249318812399504E-2</v>
      </c>
      <c r="D87" s="75"/>
      <c r="E87" s="299"/>
      <c r="F87" s="75"/>
      <c r="G87" s="65">
        <f t="shared" ref="G87:Q87" si="36">IF(G$4="","",ABS(G19/G$4))</f>
        <v>8.8310237179868148E-2</v>
      </c>
      <c r="H87" s="65">
        <f t="shared" si="36"/>
        <v>8.1773008375806255E-2</v>
      </c>
      <c r="I87" s="65">
        <f t="shared" si="36"/>
        <v>0.11194285986461831</v>
      </c>
      <c r="J87" s="65">
        <f t="shared" si="36"/>
        <v>0.15431458264554004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1417056.2234426609</v>
      </c>
      <c r="E91" s="302"/>
      <c r="G91" s="74">
        <f t="shared" ref="G91:Q91" si="37">IF(G$4="","",G90*Common_Shares/scaling_factor)</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0.58559711628320632</v>
      </c>
      <c r="E92" s="302"/>
      <c r="G92" s="171">
        <f t="shared" ref="G92:Q92" si="38">IF(G$4="","",G90/(G19*scaling_factor/Common_Shares))</f>
        <v>0.5595808783328462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-0.11093262259824699</v>
      </c>
      <c r="D97" s="27"/>
      <c r="E97" s="299"/>
      <c r="F97" s="27"/>
      <c r="G97" s="6">
        <f t="shared" ref="G97:Q97" si="41">IF(H5="","",G13/H13-1)</f>
        <v>9.1090428345220964E-2</v>
      </c>
      <c r="H97" s="6">
        <f t="shared" si="41"/>
        <v>-0.21551857030651111</v>
      </c>
      <c r="I97" s="6">
        <f t="shared" si="41"/>
        <v>-0.11680957008492787</v>
      </c>
      <c r="J97" s="6">
        <f t="shared" si="41"/>
        <v>1.4633551724680181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2.0772384924985126</v>
      </c>
      <c r="I114" s="334">
        <f>IF(I$4="","",Data!E$22/I19)</f>
        <v>1.3548893613770632</v>
      </c>
      <c r="J114" s="334">
        <f>IF(J$4="","",Data!F$22/J19)</f>
        <v>1.8733563459708444</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0.12332425083199339</v>
      </c>
      <c r="E117" s="302"/>
      <c r="G117" s="23">
        <f t="shared" ref="G117:Q117" si="45">G81</f>
        <v>0.12655492449167491</v>
      </c>
      <c r="H117" s="23">
        <f t="shared" si="45"/>
        <v>0.1205163947442856</v>
      </c>
      <c r="I117" s="23">
        <f t="shared" si="45"/>
        <v>0.16431308589273252</v>
      </c>
      <c r="J117" s="23">
        <f t="shared" si="45"/>
        <v>0.21267625198679979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0.99863879745811324</v>
      </c>
      <c r="D124" s="27"/>
      <c r="E124" s="299"/>
      <c r="F124" s="27"/>
      <c r="G124" s="178">
        <f t="shared" ref="G124:Q124" si="49">IF(G$4="","",G16*$C$3/Common_Shares*Exchange_Rate)</f>
        <v>1.0450678760544658</v>
      </c>
      <c r="H124" s="178">
        <f t="shared" si="49"/>
        <v>0.93135573784965753</v>
      </c>
      <c r="I124" s="178">
        <f t="shared" si="49"/>
        <v>1.192046861776564</v>
      </c>
      <c r="J124" s="178">
        <f t="shared" si="49"/>
        <v>1.437482939048444</v>
      </c>
      <c r="K124" s="178">
        <f t="shared" si="49"/>
        <v>0.57752161729686979</v>
      </c>
      <c r="L124" s="178">
        <f t="shared" si="49"/>
        <v>0.56902827576017323</v>
      </c>
      <c r="M124" s="178">
        <f t="shared" si="49"/>
        <v>0.24473548632915829</v>
      </c>
      <c r="N124" s="178">
        <f t="shared" si="49"/>
        <v>0.18714466992405168</v>
      </c>
      <c r="O124" s="178">
        <f t="shared" si="49"/>
        <v>9.5505564960017428E-2</v>
      </c>
      <c r="P124" s="178">
        <f t="shared" si="49"/>
        <v>4.9658568824490525E-3</v>
      </c>
      <c r="Q124" s="178" t="str">
        <f t="shared" si="49"/>
        <v/>
      </c>
    </row>
    <row r="125" spans="1:17" ht="15.75" customHeight="1">
      <c r="A125" s="10"/>
      <c r="B125" s="27" t="s">
        <v>270</v>
      </c>
      <c r="C125" s="77">
        <f>C19*Exchange_Rate*$C$3/(Market_Price*Common_Shares)</f>
        <v>6.8306347295356576E-2</v>
      </c>
      <c r="D125" s="27"/>
      <c r="E125" s="299"/>
      <c r="F125" s="27"/>
      <c r="G125" s="77">
        <f t="shared" ref="G125" si="50">IF(G$4="","",G124/Market_Price)</f>
        <v>7.1482070865558536E-2</v>
      </c>
      <c r="H125" s="77">
        <f t="shared" ref="H125" si="51">IF(H$4="","",H124/Market_Price)</f>
        <v>6.3704222835133897E-2</v>
      </c>
      <c r="I125" s="77">
        <f t="shared" ref="I125" si="52">IF(I$4="","",I124/Market_Price)</f>
        <v>8.1535353062692481E-2</v>
      </c>
      <c r="J125" s="77">
        <f t="shared" ref="J125" si="53">IF(J$4="","",J124/Market_Price)</f>
        <v>9.8323046446542009E-2</v>
      </c>
      <c r="K125" s="77">
        <f t="shared" ref="K125" si="54">IF(K$4="","",K124/Market_Price)</f>
        <v>3.9502162605805052E-2</v>
      </c>
      <c r="L125" s="77">
        <f t="shared" ref="L125" si="55">IF(L$4="","",L124/Market_Price)</f>
        <v>3.8921222692214312E-2</v>
      </c>
      <c r="M125" s="77">
        <f t="shared" ref="M125" si="56">IF(M$4="","",M124/Market_Price)</f>
        <v>1.6739773346727653E-2</v>
      </c>
      <c r="N125" s="77">
        <f t="shared" ref="N125" si="57">IF(N$4="","",N124/Market_Price)</f>
        <v>1.2800593018060991E-2</v>
      </c>
      <c r="O125" s="77">
        <f t="shared" ref="O125" si="58">IF(O$4="","",O124/Market_Price)</f>
        <v>6.5325283830381282E-3</v>
      </c>
      <c r="P125" s="77">
        <f t="shared" ref="P125" si="59">IF(P$4="","",P124/Market_Price)</f>
        <v>3.3966189346436749E-4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2419848.3633880201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30248104.542350251</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14101839.483409911</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42975379.225760162</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17.735359652962615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25.689822736436984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2581248.0764709967</v>
      </c>
      <c r="D21" s="139">
        <f>IF($C$17&lt;B21,0,Valuation_Model!$C$16)</f>
        <v>6.6698275613022898E-2</v>
      </c>
      <c r="E21" s="125">
        <f t="shared" ref="E21:E50" si="0">IF($C$17&lt;B21,0,1/(1+Equity_Cost)^B21)</f>
        <v>0.92592592592592582</v>
      </c>
      <c r="F21" s="126">
        <f t="shared" ref="F21:F51" si="1">C21*E21</f>
        <v>2390044.5152509226</v>
      </c>
      <c r="H21" s="121"/>
    </row>
    <row r="22" spans="2:8">
      <c r="B22" s="123">
        <v>2</v>
      </c>
      <c r="C22" s="124">
        <f t="shared" ref="C22:C50" si="2">IF(ROW()-ROW($C$21)&lt;$C$17, $C$21*(1+D22)^(ROW()-ROW($C$21)), 0)</f>
        <v>2753412.8721010447</v>
      </c>
      <c r="D22" s="139">
        <f>IF($C$17&lt;B22,0,Valuation_Model!$C$16)</f>
        <v>6.6698275613022898E-2</v>
      </c>
      <c r="E22" s="125">
        <f t="shared" si="0"/>
        <v>0.85733882030178321</v>
      </c>
      <c r="F22" s="126">
        <f t="shared" si="1"/>
        <v>2360607.7435708544</v>
      </c>
      <c r="H22" s="121"/>
    </row>
    <row r="23" spans="2:8">
      <c r="B23" s="123">
        <v>3</v>
      </c>
      <c r="C23" s="124">
        <f t="shared" si="2"/>
        <v>2937060.7627208857</v>
      </c>
      <c r="D23" s="139">
        <f>IF($C$17&lt;B23,0,Valuation_Model!$C$16)</f>
        <v>6.6698275613022898E-2</v>
      </c>
      <c r="E23" s="125">
        <f t="shared" si="0"/>
        <v>0.79383224102016958</v>
      </c>
      <c r="F23" s="126">
        <f t="shared" si="1"/>
        <v>2331533.5272831293</v>
      </c>
      <c r="H23" s="121"/>
    </row>
    <row r="24" spans="2:8">
      <c r="B24" s="123">
        <v>4</v>
      </c>
      <c r="C24" s="124">
        <f t="shared" si="2"/>
        <v>3132957.6509650387</v>
      </c>
      <c r="D24" s="139">
        <f>IF($C$17&lt;B24,0,Valuation_Model!$C$16)</f>
        <v>6.6698275613022898E-2</v>
      </c>
      <c r="E24" s="125">
        <f t="shared" si="0"/>
        <v>0.73502985279645328</v>
      </c>
      <c r="F24" s="126">
        <f t="shared" si="1"/>
        <v>2302817.4010063545</v>
      </c>
      <c r="H24" s="121"/>
    </row>
    <row r="25" spans="2:8">
      <c r="B25" s="123">
        <v>5</v>
      </c>
      <c r="C25" s="124">
        <f t="shared" si="2"/>
        <v>3341920.5238530342</v>
      </c>
      <c r="D25" s="139">
        <f>IF($C$17&lt;B25,0,Valuation_Model!$C$16)</f>
        <v>6.6698275613022898E-2</v>
      </c>
      <c r="E25" s="125">
        <f t="shared" si="0"/>
        <v>0.68058319703375303</v>
      </c>
      <c r="F25" s="126">
        <f t="shared" si="1"/>
        <v>2274454.9543566126</v>
      </c>
      <c r="H25" s="121"/>
    </row>
    <row r="26" spans="2:8">
      <c r="B26" s="123">
        <v>6</v>
      </c>
      <c r="C26" s="124">
        <f t="shared" si="2"/>
        <v>3564820.8600298022</v>
      </c>
      <c r="D26" s="139">
        <f>IF($C$17&lt;B26,0,Valuation_Model!$C$16)</f>
        <v>6.6698275613022898E-2</v>
      </c>
      <c r="E26" s="125">
        <f t="shared" si="0"/>
        <v>0.63016962688310452</v>
      </c>
      <c r="F26" s="126">
        <f t="shared" si="1"/>
        <v>2246441.831270088</v>
      </c>
      <c r="H26" s="121"/>
    </row>
    <row r="27" spans="2:8">
      <c r="B27" s="123">
        <v>7</v>
      </c>
      <c r="C27" s="124">
        <f t="shared" si="2"/>
        <v>3802588.2642631242</v>
      </c>
      <c r="D27" s="139">
        <f>IF($C$17&lt;B27,0,Valuation_Model!$C$16)</f>
        <v>6.6698275613022898E-2</v>
      </c>
      <c r="E27" s="125">
        <f t="shared" si="0"/>
        <v>0.58349039526213387</v>
      </c>
      <c r="F27" s="126">
        <f t="shared" si="1"/>
        <v>2218773.7293340419</v>
      </c>
      <c r="H27" s="121"/>
    </row>
    <row r="28" spans="2:8">
      <c r="B28" s="123">
        <v>8</v>
      </c>
      <c r="C28" s="124">
        <f t="shared" si="2"/>
        <v>4056214.3443557923</v>
      </c>
      <c r="D28" s="139">
        <f>IF($C$17&lt;B28,0,Valuation_Model!$C$16)</f>
        <v>6.6698275613022898E-2</v>
      </c>
      <c r="E28" s="125">
        <f t="shared" si="0"/>
        <v>0.54026888450197574</v>
      </c>
      <c r="F28" s="126">
        <f t="shared" si="1"/>
        <v>2191446.399126017</v>
      </c>
      <c r="H28" s="121"/>
    </row>
    <row r="29" spans="2:8">
      <c r="B29" s="123">
        <v>9</v>
      </c>
      <c r="C29" s="124">
        <f t="shared" si="2"/>
        <v>4326756.8466411326</v>
      </c>
      <c r="D29" s="139">
        <f>IF($C$17&lt;B29,0,Valuation_Model!$C$16)</f>
        <v>6.6698275613022898E-2</v>
      </c>
      <c r="E29" s="125">
        <f t="shared" si="0"/>
        <v>0.50024896713145905</v>
      </c>
      <c r="F29" s="126">
        <f t="shared" si="1"/>
        <v>2164455.6435611956</v>
      </c>
      <c r="H29" s="121"/>
    </row>
    <row r="30" spans="2:8">
      <c r="B30" s="123">
        <v>10</v>
      </c>
      <c r="C30" s="124">
        <f t="shared" si="2"/>
        <v>4615344.0673089372</v>
      </c>
      <c r="D30" s="139">
        <f>IF($C$17&lt;B30,0,Valuation_Model!$C$16)</f>
        <v>6.6698275613022898E-2</v>
      </c>
      <c r="E30" s="125">
        <f t="shared" si="0"/>
        <v>0.46319348808468425</v>
      </c>
      <c r="F30" s="126">
        <f t="shared" si="1"/>
        <v>2137797.3172477805</v>
      </c>
      <c r="H30" s="121"/>
    </row>
    <row r="31" spans="2:8">
      <c r="B31" s="123">
        <v>11</v>
      </c>
      <c r="C31" s="124">
        <f t="shared" si="2"/>
        <v>4923179.5579592399</v>
      </c>
      <c r="D31" s="139">
        <f>IF($C$17&lt;B31,0,Valuation_Model!$C$16)</f>
        <v>6.6698275613022898E-2</v>
      </c>
      <c r="E31" s="125">
        <f t="shared" si="0"/>
        <v>0.42888285933767062</v>
      </c>
      <c r="F31" s="126">
        <f t="shared" si="1"/>
        <v>2111467.325850328</v>
      </c>
      <c r="H31" s="121"/>
    </row>
    <row r="32" spans="2:8">
      <c r="B32" s="123">
        <v>12</v>
      </c>
      <c r="C32" s="124">
        <f t="shared" si="2"/>
        <v>5251547.1450084066</v>
      </c>
      <c r="D32" s="139">
        <f>IF($C$17&lt;B32,0,Valuation_Model!$C$16)</f>
        <v>6.6698275613022898E-2</v>
      </c>
      <c r="E32" s="125">
        <f t="shared" si="0"/>
        <v>0.39711375864599124</v>
      </c>
      <c r="F32" s="126">
        <f t="shared" si="1"/>
        <v>2085461.6254609127</v>
      </c>
      <c r="H32" s="121"/>
    </row>
    <row r="33" spans="2:8">
      <c r="B33" s="123">
        <v>13</v>
      </c>
      <c r="C33" s="124">
        <f t="shared" si="2"/>
        <v>5601816.2838809611</v>
      </c>
      <c r="D33" s="139">
        <f>IF($C$17&lt;B33,0,Valuation_Model!$C$16)</f>
        <v>6.6698275613022898E-2</v>
      </c>
      <c r="E33" s="125">
        <f t="shared" si="0"/>
        <v>0.36769792467221413</v>
      </c>
      <c r="F33" s="126">
        <f t="shared" si="1"/>
        <v>2059776.2219780441</v>
      </c>
      <c r="H33" s="121"/>
    </row>
    <row r="34" spans="2:8">
      <c r="B34" s="123">
        <v>14</v>
      </c>
      <c r="C34" s="124">
        <f t="shared" si="2"/>
        <v>5975447.770316774</v>
      </c>
      <c r="D34" s="139">
        <f>IF($C$17&lt;B34,0,Valuation_Model!$C$16)</f>
        <v>6.6698275613022898E-2</v>
      </c>
      <c r="E34" s="125">
        <f t="shared" si="0"/>
        <v>0.34046104136316119</v>
      </c>
      <c r="F34" s="126">
        <f t="shared" si="1"/>
        <v>2034407.1704932286</v>
      </c>
      <c r="H34" s="121"/>
    </row>
    <row r="35" spans="2:8">
      <c r="B35" s="123">
        <v>15</v>
      </c>
      <c r="C35" s="124">
        <f t="shared" si="2"/>
        <v>6373999.8326125862</v>
      </c>
      <c r="D35" s="139">
        <f>IF($C$17&lt;B35,0,Valuation_Model!$C$16)</f>
        <v>6.6698275613022898E-2</v>
      </c>
      <c r="E35" s="125">
        <f t="shared" si="0"/>
        <v>0.31524170496588994</v>
      </c>
      <c r="F35" s="126">
        <f t="shared" si="1"/>
        <v>2009350.5746850888</v>
      </c>
      <c r="H35" s="121"/>
    </row>
    <row r="36" spans="2:8">
      <c r="B36" s="123">
        <v>16</v>
      </c>
      <c r="C36" s="124">
        <f t="shared" si="2"/>
        <v>6799134.6302055428</v>
      </c>
      <c r="D36" s="139">
        <f>IF($C$17&lt;B36,0,Valuation_Model!$C$16)</f>
        <v>6.6698275613022898E-2</v>
      </c>
      <c r="E36" s="125">
        <f t="shared" si="0"/>
        <v>0.29189046756100923</v>
      </c>
      <c r="F36" s="126">
        <f t="shared" si="1"/>
        <v>1984602.5862209455</v>
      </c>
      <c r="H36" s="121"/>
    </row>
    <row r="37" spans="2:8">
      <c r="B37" s="123">
        <v>17</v>
      </c>
      <c r="C37" s="124">
        <f t="shared" si="2"/>
        <v>7252625.1857010415</v>
      </c>
      <c r="D37" s="139">
        <f>IF($C$17&lt;B37,0,Valuation_Model!$C$16)</f>
        <v>6.6698275613022898E-2</v>
      </c>
      <c r="E37" s="125">
        <f t="shared" si="0"/>
        <v>0.27026895144537894</v>
      </c>
      <c r="F37" s="126">
        <f t="shared" si="1"/>
        <v>1960159.4041657671</v>
      </c>
      <c r="H37" s="121"/>
    </row>
    <row r="38" spans="2:8">
      <c r="B38" s="123">
        <v>18</v>
      </c>
      <c r="C38" s="124">
        <f t="shared" si="2"/>
        <v>7736362.7792548817</v>
      </c>
      <c r="D38" s="139">
        <f>IF($C$17&lt;B38,0,Valuation_Model!$C$16)</f>
        <v>6.6698275613022898E-2</v>
      </c>
      <c r="E38" s="125">
        <f t="shared" si="0"/>
        <v>0.25024902911609154</v>
      </c>
      <c r="F38" s="126">
        <f t="shared" si="1"/>
        <v>1936017.2743984016</v>
      </c>
      <c r="H38" s="121"/>
    </row>
    <row r="39" spans="2:8">
      <c r="B39" s="123">
        <v>19</v>
      </c>
      <c r="C39" s="124">
        <f t="shared" si="2"/>
        <v>8252364.8361479575</v>
      </c>
      <c r="D39" s="139">
        <f>IF($C$17&lt;B39,0,Valuation_Model!$C$16)</f>
        <v>6.6698275613022898E-2</v>
      </c>
      <c r="E39" s="125">
        <f t="shared" si="0"/>
        <v>0.23171206399638106</v>
      </c>
      <c r="F39" s="126">
        <f t="shared" si="1"/>
        <v>1912172.4890350001</v>
      </c>
      <c r="H39" s="121"/>
    </row>
    <row r="40" spans="2:8">
      <c r="B40" s="123">
        <v>20</v>
      </c>
      <c r="C40" s="124">
        <f t="shared" si="2"/>
        <v>8802783.3404485714</v>
      </c>
      <c r="D40" s="139">
        <f>IF($C$17&lt;B40,0,Valuation_Model!$C$16)</f>
        <v>6.6698275613022898E-2</v>
      </c>
      <c r="E40" s="125">
        <f t="shared" si="0"/>
        <v>0.21454820740405653</v>
      </c>
      <c r="F40" s="126">
        <f t="shared" si="1"/>
        <v>1888621.3858595337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32265600.955887459</v>
      </c>
      <c r="D51" s="140">
        <f>Terminal_Growth</f>
        <v>0</v>
      </c>
      <c r="E51" s="125">
        <f>1/(1+Equity_Cost)^C17</f>
        <v>0.21454820740405653</v>
      </c>
      <c r="F51" s="126">
        <f t="shared" si="1"/>
        <v>6922526.8459002674</v>
      </c>
      <c r="H51" s="121"/>
    </row>
    <row r="52" spans="1:8">
      <c r="C52" s="115"/>
      <c r="E52" s="128" t="s">
        <v>101</v>
      </c>
      <c r="F52" s="138">
        <f>SUM(F21:F51)</f>
        <v>49522935.966054514</v>
      </c>
      <c r="H52" s="121"/>
    </row>
    <row r="53" spans="1:8">
      <c r="C53" s="115"/>
      <c r="H53" s="121"/>
    </row>
    <row r="54" spans="1:8" ht="13.15">
      <c r="B54" s="120" t="s">
        <v>130</v>
      </c>
      <c r="C54" s="137"/>
      <c r="D54" s="137"/>
      <c r="E54" s="118"/>
      <c r="F54" s="118"/>
      <c r="H54" s="121"/>
    </row>
    <row r="55" spans="1:8" ht="13.15">
      <c r="A55" s="134">
        <f>F52</f>
        <v>49522935.966054514</v>
      </c>
      <c r="B55" s="132">
        <f>C78</f>
        <v>0</v>
      </c>
      <c r="C55" s="132">
        <f>C77</f>
        <v>0.02</v>
      </c>
      <c r="D55" s="132">
        <f>C76</f>
        <v>0.05</v>
      </c>
      <c r="E55" s="132">
        <f>C75</f>
        <v>0.08</v>
      </c>
      <c r="F55" s="132">
        <f>C74</f>
        <v>0.1</v>
      </c>
      <c r="H55" s="121"/>
    </row>
    <row r="56" spans="1:8" ht="13.15">
      <c r="A56" s="144">
        <v>5</v>
      </c>
      <c r="B56" s="124">
        <f t="dataTable" ref="B56:F61" dt2D="1" dtr="1" r1="C16" r2="C17"/>
        <v>30248104.542350248</v>
      </c>
      <c r="C56" s="124">
        <v>31224066.735601693</v>
      </c>
      <c r="D56" s="124">
        <v>32743214.900839329</v>
      </c>
      <c r="E56" s="124">
        <v>34332501.646075539</v>
      </c>
      <c r="F56" s="124">
        <v>35433238.047641315</v>
      </c>
      <c r="H56" s="121"/>
    </row>
    <row r="57" spans="1:8" ht="13.15">
      <c r="A57" s="144">
        <v>10</v>
      </c>
      <c r="B57" s="124">
        <v>30248104.54235024</v>
      </c>
      <c r="C57" s="124">
        <v>32200927.635806788</v>
      </c>
      <c r="D57" s="124">
        <v>35504368.714482665</v>
      </c>
      <c r="E57" s="124">
        <v>39330066.68887531</v>
      </c>
      <c r="F57" s="124">
        <v>42217072.399663359</v>
      </c>
      <c r="H57" s="121"/>
    </row>
    <row r="58" spans="1:8" ht="13.15">
      <c r="A58" s="144">
        <v>15</v>
      </c>
      <c r="B58" s="124">
        <v>30248104.54235024</v>
      </c>
      <c r="C58" s="124">
        <v>33410063.85795711</v>
      </c>
      <c r="D58" s="124">
        <v>39201004.212553442</v>
      </c>
      <c r="E58" s="124">
        <v>46596026.622570626</v>
      </c>
      <c r="F58" s="124">
        <v>52658149.316603415</v>
      </c>
      <c r="H58" s="121"/>
    </row>
    <row r="59" spans="1:8" ht="13.15">
      <c r="A59" s="145">
        <v>20</v>
      </c>
      <c r="B59" s="124">
        <v>30248104.542350236</v>
      </c>
      <c r="C59" s="124">
        <v>34641979.762122542</v>
      </c>
      <c r="D59" s="124">
        <v>43295529.820614971</v>
      </c>
      <c r="E59" s="124">
        <v>55405818.003246665</v>
      </c>
      <c r="F59" s="124">
        <v>66147900.076084591</v>
      </c>
      <c r="H59" s="121"/>
    </row>
    <row r="60" spans="1:8" ht="13.15">
      <c r="A60" s="145">
        <v>25</v>
      </c>
      <c r="B60" s="124">
        <v>30248104.542350233</v>
      </c>
      <c r="C60" s="124">
        <v>35787729.912021764</v>
      </c>
      <c r="D60" s="124">
        <v>47453442.063712202</v>
      </c>
      <c r="E60" s="124">
        <v>65266315.125790089</v>
      </c>
      <c r="F60" s="124">
        <v>82325914.31989944</v>
      </c>
      <c r="H60" s="121"/>
    </row>
    <row r="61" spans="1:8" ht="13.15">
      <c r="A61" s="145">
        <v>30</v>
      </c>
      <c r="B61" s="124">
        <v>30248104.542350236</v>
      </c>
      <c r="C61" s="124">
        <v>36798440.927450314</v>
      </c>
      <c r="D61" s="124">
        <v>51474333.987646006</v>
      </c>
      <c r="E61" s="124">
        <v>75841904.921275347</v>
      </c>
      <c r="F61" s="124">
        <v>101005840.77312404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17.735359652962615</v>
      </c>
      <c r="C65" s="125">
        <f>C12</f>
        <v>17.735359652962615</v>
      </c>
      <c r="D65" s="125">
        <f>C12</f>
        <v>17.735359652962615</v>
      </c>
      <c r="E65" s="142">
        <f>C12</f>
        <v>17.735359652962615</v>
      </c>
      <c r="F65" s="125">
        <f>C12</f>
        <v>17.735359652962615</v>
      </c>
      <c r="H65" s="121"/>
    </row>
    <row r="66" spans="1:8" ht="13.15">
      <c r="A66" s="144">
        <f t="shared" ref="A66:A71" si="3">A56</f>
        <v>5</v>
      </c>
      <c r="B66" s="125">
        <f t="shared" ref="B66:F71" si="4">(B56-$C$7+$C$8+$C$9)/Common_Shares*$C$3*Exchange_Rate</f>
        <v>17.735359652962615</v>
      </c>
      <c r="C66" s="125">
        <f t="shared" si="4"/>
        <v>18.138126093116174</v>
      </c>
      <c r="D66" s="125">
        <f t="shared" si="4"/>
        <v>18.765058061187737</v>
      </c>
      <c r="E66" s="125">
        <f t="shared" si="4"/>
        <v>19.42093527568257</v>
      </c>
      <c r="F66" s="125">
        <f t="shared" si="4"/>
        <v>19.875194349519322</v>
      </c>
      <c r="H66" s="121"/>
    </row>
    <row r="67" spans="1:8" ht="13.15">
      <c r="A67" s="144">
        <f t="shared" si="3"/>
        <v>10</v>
      </c>
      <c r="B67" s="125">
        <f t="shared" si="4"/>
        <v>17.735359652962611</v>
      </c>
      <c r="C67" s="125">
        <f t="shared" si="4"/>
        <v>18.541263417513978</v>
      </c>
      <c r="D67" s="125">
        <f t="shared" si="4"/>
        <v>19.904549016808218</v>
      </c>
      <c r="E67" s="125">
        <f t="shared" si="4"/>
        <v>21.483362996390127</v>
      </c>
      <c r="F67" s="125">
        <f t="shared" si="4"/>
        <v>22.674791333345713</v>
      </c>
      <c r="H67" s="121"/>
    </row>
    <row r="68" spans="1:8" ht="13.15">
      <c r="A68" s="144">
        <f t="shared" si="3"/>
        <v>15</v>
      </c>
      <c r="B68" s="125">
        <f t="shared" si="4"/>
        <v>17.735359652962611</v>
      </c>
      <c r="C68" s="125">
        <f t="shared" si="4"/>
        <v>19.04025763596189</v>
      </c>
      <c r="D68" s="125">
        <f t="shared" si="4"/>
        <v>21.430100652310607</v>
      </c>
      <c r="E68" s="125">
        <f t="shared" si="4"/>
        <v>24.481926708210949</v>
      </c>
      <c r="F68" s="125">
        <f t="shared" si="4"/>
        <v>26.983683020220703</v>
      </c>
      <c r="H68" s="121"/>
    </row>
    <row r="69" spans="1:8" ht="13.15">
      <c r="A69" s="145">
        <f t="shared" si="3"/>
        <v>20</v>
      </c>
      <c r="B69" s="125">
        <f t="shared" si="4"/>
        <v>17.735359652962607</v>
      </c>
      <c r="C69" s="125">
        <f t="shared" si="4"/>
        <v>19.548652722083251</v>
      </c>
      <c r="D69" s="125">
        <f t="shared" si="4"/>
        <v>23.119856172227191</v>
      </c>
      <c r="E69" s="125">
        <f t="shared" si="4"/>
        <v>28.117608845722</v>
      </c>
      <c r="F69" s="125">
        <f t="shared" si="4"/>
        <v>32.550721302568569</v>
      </c>
      <c r="H69" s="121"/>
    </row>
    <row r="70" spans="1:8" ht="13.15">
      <c r="A70" s="145">
        <f t="shared" si="3"/>
        <v>25</v>
      </c>
      <c r="B70" s="125">
        <f t="shared" si="4"/>
        <v>17.735359652962607</v>
      </c>
      <c r="C70" s="125">
        <f t="shared" si="4"/>
        <v>20.021488363024332</v>
      </c>
      <c r="D70" s="125">
        <f t="shared" si="4"/>
        <v>24.835770501904211</v>
      </c>
      <c r="E70" s="125">
        <f t="shared" si="4"/>
        <v>32.186903078278412</v>
      </c>
      <c r="F70" s="125">
        <f t="shared" si="4"/>
        <v>39.227169684269455</v>
      </c>
    </row>
    <row r="71" spans="1:8" ht="13.15">
      <c r="A71" s="145">
        <f t="shared" si="3"/>
        <v>30</v>
      </c>
      <c r="B71" s="125">
        <f t="shared" si="4"/>
        <v>17.735359652962607</v>
      </c>
      <c r="C71" s="125">
        <f t="shared" si="4"/>
        <v>20.438595173639555</v>
      </c>
      <c r="D71" s="125">
        <f t="shared" si="4"/>
        <v>26.495138393041124</v>
      </c>
      <c r="E71" s="125">
        <f t="shared" si="4"/>
        <v>36.551306416753306</v>
      </c>
      <c r="F71" s="125">
        <f t="shared" si="4"/>
        <v>46.936123506374294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46.936123506374294</v>
      </c>
      <c r="F74" s="143">
        <f>Scenarios!C58</f>
        <v>0.1</v>
      </c>
    </row>
    <row r="75" spans="1:8">
      <c r="B75" s="128" t="str">
        <f>Scenarios!B36</f>
        <v>Optimistic</v>
      </c>
      <c r="C75" s="143">
        <f>Scenarios!C38</f>
        <v>0.08</v>
      </c>
      <c r="D75" s="146">
        <f>Scenarios!C37</f>
        <v>20</v>
      </c>
      <c r="E75" s="136">
        <f>INDEX(B$65:F$71, MATCH(D75, A$65:A$71, 0), MATCH(C75, B$64:F$64, 0))</f>
        <v>28.117608845722</v>
      </c>
      <c r="F75" s="143">
        <f>Scenarios!C40*(1-F$74-F$78)</f>
        <v>0.21249999999999994</v>
      </c>
      <c r="H75" s="121"/>
    </row>
    <row r="76" spans="1:8">
      <c r="B76" s="128" t="str">
        <f>Scenarios!B24</f>
        <v>Base</v>
      </c>
      <c r="C76" s="143">
        <f>Scenarios!C26</f>
        <v>0.05</v>
      </c>
      <c r="D76" s="146">
        <f>Scenarios!C25</f>
        <v>20</v>
      </c>
      <c r="E76" s="136">
        <f>INDEX(B$65:F$71, MATCH(D76, A$65:A$71, 0), MATCH(C76, B$64:F$64, 0))</f>
        <v>23.119856172227191</v>
      </c>
      <c r="F76" s="143">
        <f>Scenarios!C28*(1-F$74-F$78)</f>
        <v>0.46750000000000003</v>
      </c>
      <c r="H76" s="121"/>
    </row>
    <row r="77" spans="1:8">
      <c r="B77" s="128" t="str">
        <f>Scenarios!B30</f>
        <v>Pessimistic</v>
      </c>
      <c r="C77" s="143">
        <f>Scenarios!C32</f>
        <v>0.02</v>
      </c>
      <c r="D77" s="146">
        <f>Scenarios!C31</f>
        <v>20</v>
      </c>
      <c r="E77" s="136">
        <f>INDEX(B$65:F$71, MATCH(D77, A$65:A$71, 0), MATCH(C77, B$64:F$64, 0))</f>
        <v>19.548652722083251</v>
      </c>
      <c r="F77" s="143">
        <f>Scenarios!C34*(1-F$74-F$78)</f>
        <v>0.17</v>
      </c>
      <c r="H77" s="121"/>
    </row>
    <row r="78" spans="1:8">
      <c r="B78" s="128" t="str">
        <f>Scenarios!B48</f>
        <v>Devil's advocate</v>
      </c>
      <c r="C78" s="143">
        <f>Scenarios!C50</f>
        <v>0</v>
      </c>
      <c r="D78" s="146">
        <f>Scenarios!C49</f>
        <v>30</v>
      </c>
      <c r="E78" s="136">
        <f>INDEX(B$65:F$71, MATCH(D78, A$65:A$71, 0), MATCH(C78, B$64:F$64, 0))</f>
        <v>17.735359652962607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0.54822708582102231</v>
      </c>
    </row>
    <row r="5" spans="2:9">
      <c r="H5" s="276">
        <v>2</v>
      </c>
      <c r="I5" s="264">
        <f t="shared" si="0"/>
        <v>0.54822708582102231</v>
      </c>
    </row>
    <row r="6" spans="2:9" ht="13.15">
      <c r="B6" s="160" t="s">
        <v>96</v>
      </c>
      <c r="C6" s="107">
        <f>Valuation_Model!C3</f>
        <v>1000</v>
      </c>
      <c r="E6" s="100" t="s">
        <v>282</v>
      </c>
      <c r="F6" s="100"/>
      <c r="H6" s="276">
        <v>3</v>
      </c>
      <c r="I6" s="264">
        <f t="shared" si="0"/>
        <v>26.235403022092871</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2532352.8346152259</v>
      </c>
      <c r="D8" t="str">
        <f>Reporting_currency</f>
        <v>CNY</v>
      </c>
      <c r="E8" s="350"/>
      <c r="F8" s="350"/>
      <c r="H8" s="276">
        <v>5</v>
      </c>
      <c r="I8" s="264" t="str">
        <f t="shared" si="0"/>
        <v/>
      </c>
    </row>
    <row r="9" spans="2:9">
      <c r="B9" s="100" t="s">
        <v>57</v>
      </c>
      <c r="C9" s="201">
        <f>Normalized_FCF!C19</f>
        <v>2419848.3633880201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-0.10081869990840897</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17.735359652962615</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23.119856172227191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19.548652722083251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28.117608845722</v>
      </c>
      <c r="D39" t="str">
        <f>Market_currency</f>
        <v>HKD</v>
      </c>
      <c r="E39" s="349"/>
      <c r="F39" s="349"/>
    </row>
    <row r="40" spans="2:6">
      <c r="B40" s="100" t="s">
        <v>148</v>
      </c>
      <c r="C40" s="168">
        <f>1-C28-C34</f>
        <v>0.24999999999999994</v>
      </c>
      <c r="D40" s="166"/>
      <c r="E40" s="349"/>
      <c r="F40" s="349"/>
    </row>
    <row r="42" spans="2:6" ht="13.15">
      <c r="B42" s="100" t="s">
        <v>121</v>
      </c>
      <c r="C42" s="155">
        <f>C27*C28+C33*C34+C39*C40</f>
        <v>23.655053650572103</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17.735359652962607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46.936123506374294</v>
      </c>
      <c r="D57" t="str">
        <f>Market_currency</f>
        <v>HKD</v>
      </c>
      <c r="E57" s="349"/>
      <c r="F57" s="349"/>
    </row>
    <row r="58" spans="2:6">
      <c r="B58" s="100" t="s">
        <v>148</v>
      </c>
      <c r="C58" s="166">
        <v>0.1</v>
      </c>
      <c r="D58" s="166"/>
      <c r="E58" s="349"/>
      <c r="F58" s="349"/>
    </row>
    <row r="60" spans="2:6" ht="13.15">
      <c r="B60" s="100" t="s">
        <v>121</v>
      </c>
      <c r="C60" s="155">
        <f>C51*C52+C57*C58+C42*(1-C52-C58)</f>
        <v>25.687175936271849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25.689822736436984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0.2044745867652788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0.54822708582102231</v>
      </c>
      <c r="D77" t="str">
        <f>Market_currency</f>
        <v>HKD</v>
      </c>
    </row>
    <row r="79" spans="2:6" ht="13.15">
      <c r="B79" s="109" t="s">
        <v>308</v>
      </c>
    </row>
    <row r="80" spans="2:6">
      <c r="B80" s="149" t="s">
        <v>306</v>
      </c>
      <c r="C80" s="168">
        <f>Thesis!C127</f>
        <v>0.25</v>
      </c>
    </row>
    <row r="81" spans="2:8">
      <c r="B81" s="100" t="s">
        <v>122</v>
      </c>
      <c r="C81" s="117">
        <f>PV(C80, C76, -C77, 0)</f>
        <v>1.0701392715226354</v>
      </c>
      <c r="D81" s="117"/>
      <c r="E81" s="100"/>
      <c r="F81" s="100"/>
    </row>
    <row r="82" spans="2:8">
      <c r="B82" s="100" t="s">
        <v>123</v>
      </c>
      <c r="C82" s="117">
        <f>C60/(1+C80)^C76</f>
        <v>13.151834079371186</v>
      </c>
      <c r="D82" s="117"/>
    </row>
    <row r="83" spans="2:8" ht="13.15">
      <c r="B83" s="111" t="s">
        <v>102</v>
      </c>
      <c r="C83" s="112">
        <f>C81+C82</f>
        <v>14.221973350893821</v>
      </c>
      <c r="D83" t="str">
        <f>Market_currency</f>
        <v>HKD</v>
      </c>
      <c r="E83" s="147" t="s">
        <v>127</v>
      </c>
      <c r="F83" s="329">
        <f>(1-C83/C60)</f>
        <v>0.4463395514486459</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0.23821680012512947</v>
      </c>
    </row>
    <row r="88" spans="2:8">
      <c r="B88" s="100"/>
    </row>
    <row r="89" spans="2:8" ht="13.15">
      <c r="B89" s="109" t="s">
        <v>406</v>
      </c>
    </row>
    <row r="90" spans="2:8">
      <c r="B90" s="149" t="s">
        <v>413</v>
      </c>
      <c r="C90" s="135">
        <f>MAX(Thesis!C67,(Thesis!E19+Thesis!C67)/2)</f>
        <v>0.08</v>
      </c>
    </row>
    <row r="91" spans="2:8">
      <c r="B91" s="100" t="s">
        <v>122</v>
      </c>
      <c r="C91" s="117">
        <f>PV(C90, C76, -C77, 0)</f>
        <v>1.4128343711970417</v>
      </c>
      <c r="D91" s="117"/>
    </row>
    <row r="92" spans="2:8">
      <c r="B92" s="100" t="s">
        <v>123</v>
      </c>
      <c r="C92" s="117">
        <f>C60/(1+C90)^C76</f>
        <v>20.391308438970054</v>
      </c>
      <c r="D92" s="117"/>
    </row>
    <row r="93" spans="2:8" ht="13.15">
      <c r="B93" s="111" t="s">
        <v>407</v>
      </c>
      <c r="C93" s="112">
        <f>C91+C92</f>
        <v>21.804142810167097</v>
      </c>
      <c r="D93" t="s">
        <v>405</v>
      </c>
      <c r="E93" s="147" t="s">
        <v>127</v>
      </c>
      <c r="F93" s="329">
        <f>(1-C93/C60)</f>
        <v>0.15116621366779659</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