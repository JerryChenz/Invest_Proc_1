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19FD08-7C16-40EA-8A9C-920B27BFA96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<sst xmlns="http://schemas.openxmlformats.org/spreadsheetml/2006/main" count="682" uniqueCount="463">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</sst>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2584797906</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15.26</v>
      </c>
      <c r="D12" s="50"/>
      <c r="E12" s="48"/>
    </row>
    <row r="13" spans="1:10">
      <c r="B13" s="1" t="s">
        <v>418</v>
      </c>
      <c r="C13" s="48" t="s">
        <v>397</v>
      </c>
      <c r="D13" s="48"/>
      <c r="E13" s="5"/>
    </row>
    <row r="14" spans="1:10">
      <c r="B14" s="4" t="s">
        <v>422</v>
      </c>
      <c r="C14" s="35">
        <f>Thesis!C12*Common_Shares/1000000</f>
        <v>39444.016045559998</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1.0843026499999999</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(HKD) :</v>
      </c>
      <c r="C26" s="307">
        <f>C127</f>
        <v>25.400172894023672</v>
      </c>
      <c r="D26" s="1" t="s">
        <v>400</v>
      </c>
      <c r="E26" s="304">
        <f ca="1">Scenarios!C87</f>
        <v>0.21531075188549287</v>
      </c>
    </row>
    <row r="27" spans="2:6">
      <c r="D27" s="5"/>
      <c r="E27" s="5"/>
    </row>
    <row r="28" spans="2:6">
      <c r="B28" s="45" t="s">
        <v>435</v>
      </c>
      <c r="C28" s="312" t="str">
        <f>C140&amp;" ("&amp;Market_currency&amp;")"</f>
        <v>2331.HK (HKD)</v>
      </c>
      <c r="D28" s="312" t="str">
        <f>IF(D11="","",D140&amp;" ("&amp;D13&amp;")")</f>
        <v/>
      </c>
      <c r="E28" s="308" t="s">
        <v>431</v>
      </c>
      <c r="F28" s="306">
        <v>3</v>
      </c>
    </row>
    <row r="29" spans="2:6">
      <c r="B29" s="1" t="s">
        <v>427</v>
      </c>
      <c r="C29" s="313">
        <f>C144</f>
        <v>10.828404277954453</v>
      </c>
      <c r="D29" s="313" t="str">
        <f>D144</f>
        <v/>
      </c>
      <c r="E29" s="309" t="s">
        <v>426</v>
      </c>
      <c r="F29" s="305">
        <v>0.3674</v>
      </c>
    </row>
    <row r="30" spans="2:6">
      <c r="B30" s="1" t="s">
        <v>428</v>
      </c>
      <c r="C30" s="314">
        <f>C152</f>
        <v>15.183712939128043</v>
      </c>
      <c r="D30" s="314" t="str">
        <f>D152</f>
        <v/>
      </c>
      <c r="E30" s="310" t="s">
        <v>439</v>
      </c>
      <c r="F30" s="315">
        <v>0.21740000000000001</v>
      </c>
    </row>
    <row r="31" spans="2:6">
      <c r="B31" s="1" t="s">
        <v>429</v>
      </c>
      <c r="C31" s="314">
        <f>C160</f>
        <v>21.848686504894168</v>
      </c>
      <c r="D31" s="314" t="str">
        <f>D160</f>
        <v/>
      </c>
      <c r="E31" s="310" t="s">
        <v>438</v>
      </c>
      <c r="F31" s="315">
        <v>7.4999999999999997E-2</v>
      </c>
    </row>
    <row r="32" spans="2:6">
      <c r="B32" s="1" t="s">
        <v>430</v>
      </c>
      <c r="C32" s="314">
        <f>C168</f>
        <v>19.507033940360998</v>
      </c>
      <c r="D32" s="314" t="str">
        <f>D168</f>
        <v/>
      </c>
      <c r="E32" s="310" t="s">
        <v>440</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v>
      </c>
    </row>
    <row r="40" spans="1:6" ht="24.5" customHeight="1">
      <c r="B40" s="350" t="s">
        <v>232</v>
      </c>
      <c r="C40" s="350"/>
      <c r="D40" s="350"/>
      <c r="E40" s="350"/>
      <c r="F40" s="350"/>
    </row>
    <row r="41" spans="1:6">
      <c r="B41" s="47" t="s">
        <v>233</v>
      </c>
      <c r="C41" s="341">
        <f>Normalized_FCF!C8</f>
        <v>3205414.6239021346</v>
      </c>
      <c r="D41" s="1" t="str">
        <f>Reporting_currency</f>
        <v>CNY</v>
      </c>
    </row>
    <row r="42" spans="1:6">
      <c r="B42" s="47"/>
      <c r="C42" s="76"/>
    </row>
    <row r="43" spans="1:6" ht="24.5" customHeight="1">
      <c r="B43" s="350" t="s">
        <v>234</v>
      </c>
      <c r="C43" s="350"/>
      <c r="D43" s="350"/>
      <c r="E43" s="350"/>
      <c r="F43" s="350"/>
    </row>
    <row r="44" spans="1:6">
      <c r="B44" s="47" t="s">
        <v>235</v>
      </c>
      <c r="C44" s="341">
        <f>Normalized_FCF!C9</f>
        <v>0</v>
      </c>
      <c r="D44" s="1" t="str">
        <f>Reporting_currency</f>
        <v>CNY</v>
      </c>
    </row>
    <row r="45" spans="1:6">
      <c r="B45" s="52" t="s">
        <v>236</v>
      </c>
      <c r="C45" s="341">
        <f>Normalized_FCF!C10</f>
        <v>0</v>
      </c>
      <c r="D45" s="1" t="str">
        <f>Reporting_currency</f>
        <v>CNY</v>
      </c>
    </row>
    <row r="47" spans="1:6">
      <c r="B47" s="350" t="s">
        <v>237</v>
      </c>
      <c r="C47" s="350"/>
      <c r="D47" s="350"/>
      <c r="E47" s="350"/>
      <c r="F47" s="350"/>
    </row>
    <row r="48" spans="1:6">
      <c r="B48" s="47" t="s">
        <v>238</v>
      </c>
      <c r="C48" s="341">
        <f>Normalized_FCF!C11</f>
        <v>179409.3</v>
      </c>
      <c r="D48" s="1" t="str">
        <f>Reporting_currency</f>
        <v>CNY</v>
      </c>
    </row>
    <row r="50" spans="2:6">
      <c r="B50" s="350" t="s">
        <v>241</v>
      </c>
      <c r="C50" s="350"/>
      <c r="D50" s="350"/>
      <c r="E50" s="350"/>
      <c r="F50" s="350"/>
    </row>
    <row r="51" spans="2:6">
      <c r="B51" s="47" t="s">
        <v>341</v>
      </c>
      <c r="C51" s="346">
        <f>Normalized_FCF!C48</f>
        <v>95970.954361448268</v>
      </c>
      <c r="D51" s="1" t="str">
        <f>Reporting_currency</f>
        <v>CNY</v>
      </c>
      <c r="E51" s="288"/>
      <c r="F51" s="288"/>
    </row>
    <row r="52" spans="2:6">
      <c r="B52" s="47" t="s">
        <v>342</v>
      </c>
      <c r="C52" s="346">
        <f>Normalized_FCF!C47</f>
        <v>-254421</v>
      </c>
      <c r="D52" s="1" t="str">
        <f>Reporting_currency</f>
        <v>CNY</v>
      </c>
      <c r="E52" s="288"/>
      <c r="F52" s="288"/>
    </row>
    <row r="53" spans="2:6">
      <c r="B53" s="47" t="s">
        <v>239</v>
      </c>
      <c r="C53" s="341">
        <f>Normalized_FCF!C12</f>
        <v>-158450.04563855173</v>
      </c>
      <c r="D53" s="1" t="str">
        <f>Reporting_currency</f>
        <v>CNY</v>
      </c>
    </row>
    <row r="55" spans="2:6">
      <c r="B55" s="1" t="s">
        <v>247</v>
      </c>
    </row>
    <row r="56" spans="2:6">
      <c r="B56" s="47" t="s">
        <v>266</v>
      </c>
      <c r="C56" s="341">
        <f>Normalized_FCF!C15</f>
        <v>0</v>
      </c>
      <c r="D56" s="1" t="str">
        <f>Reporting_currency</f>
        <v>CNY</v>
      </c>
    </row>
    <row r="58" spans="2:6">
      <c r="B58" s="350" t="s">
        <v>242</v>
      </c>
      <c r="C58" s="350"/>
      <c r="D58" s="350"/>
      <c r="E58" s="350"/>
      <c r="F58" s="350"/>
    </row>
    <row r="59" spans="2:6">
      <c r="B59" s="47" t="s">
        <v>240</v>
      </c>
      <c r="C59" s="341">
        <f>Normalized_FCF!C14</f>
        <v>-806593.46956589562</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2532262.2283614483</v>
      </c>
      <c r="D67" s="1" t="str">
        <f>Reporting_currency</f>
        <v>CNY</v>
      </c>
    </row>
    <row r="68" spans="1:6">
      <c r="B68" s="47" t="s">
        <v>249</v>
      </c>
      <c r="C68" s="341">
        <f>Normalized_FCF!C19</f>
        <v>2419780.4086976871</v>
      </c>
      <c r="D68" s="1" t="str">
        <f>Reporting_currency</f>
        <v>CNY</v>
      </c>
    </row>
    <row r="69" spans="1:6">
      <c r="B69" s="227" t="s">
        <v>391</v>
      </c>
      <c r="C69" s="92">
        <f>Normalized_FCF!C125</f>
        <v>6.6518944382802758E-2</v>
      </c>
      <c r="F69" s="317"/>
    </row>
    <row r="70" spans="1:6">
      <c r="B70" s="227" t="s">
        <v>309</v>
      </c>
      <c r="C70" s="92">
        <f>Normalized_FCF!C93</f>
        <v>3.5342910518037292E-2</v>
      </c>
      <c r="E70" s="47" t="s">
        <v>450</v>
      </c>
      <c r="F70" s="318">
        <f>Normalized_FCF!C92</f>
        <v>0.57611274335448204</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13.534387883754267</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1936137</v>
      </c>
      <c r="D96" s="1" t="str">
        <f>Reporting_currency</f>
        <v>CNY</v>
      </c>
    </row>
    <row r="97" spans="2:6">
      <c r="B97" s="47" t="s">
        <v>282</v>
      </c>
      <c r="C97" s="223">
        <f>C96*scaling_factor*Exchange_Rate/Common_Shares</f>
        <v>0.81219443693833204</v>
      </c>
      <c r="D97" s="1" t="str">
        <f>Market_currency</f>
        <v>HKD</v>
      </c>
    </row>
    <row r="98" spans="2:6">
      <c r="B98" s="298" t="s">
        <v>405</v>
      </c>
      <c r="C98" s="299">
        <f>BS!G30/BS!G27</f>
        <v>0.36794481423679237</v>
      </c>
    </row>
    <row r="99" spans="2:6">
      <c r="B99" s="298" t="s">
        <v>406</v>
      </c>
      <c r="C99" s="299">
        <f>BS!G31/BS!G27</f>
        <v>7.4171010848313429E-2</v>
      </c>
    </row>
    <row r="100" spans="2:6">
      <c r="B100" s="298" t="s">
        <v>408</v>
      </c>
      <c r="C100" s="300">
        <f>BS!C50</f>
        <v>0.60402076709908736</v>
      </c>
    </row>
    <row r="102" spans="2:6">
      <c r="B102" s="1" t="s">
        <v>255</v>
      </c>
    </row>
    <row r="103" spans="2:6">
      <c r="B103" s="47" t="s">
        <v>265</v>
      </c>
      <c r="C103" s="341">
        <f>BS!C66</f>
        <v>18164188</v>
      </c>
      <c r="D103" s="1" t="str">
        <f>Reporting_currency</f>
        <v>CNY</v>
      </c>
    </row>
    <row r="104" spans="2:6">
      <c r="B104" s="47" t="s">
        <v>267</v>
      </c>
      <c r="C104" s="341">
        <f>DCF!C8</f>
        <v>14105671.132388648</v>
      </c>
      <c r="D104" s="1" t="str">
        <f>Reporting_currency</f>
        <v>CNY</v>
      </c>
    </row>
    <row r="105" spans="2:6">
      <c r="B105" s="47" t="s">
        <v>283</v>
      </c>
      <c r="C105" s="223">
        <f>C104*scaling_factor*Exchange_Rate/Common_Shares</f>
        <v>5.9172195061649475</v>
      </c>
      <c r="D105" s="1" t="str">
        <f>Market_currency</f>
        <v>HKD</v>
      </c>
    </row>
    <row r="107" spans="2:6">
      <c r="B107" s="1" t="s">
        <v>257</v>
      </c>
    </row>
    <row r="108" spans="2:6">
      <c r="B108" s="47" t="s">
        <v>258</v>
      </c>
      <c r="C108" s="341">
        <f>DCF!C9</f>
        <v>561572.19999999995</v>
      </c>
      <c r="D108" s="1" t="str">
        <f>Reporting_currency</f>
        <v>CNY</v>
      </c>
    </row>
    <row r="109" spans="2:6">
      <c r="B109" s="47" t="s">
        <v>284</v>
      </c>
      <c r="C109" s="223">
        <f>C108*scaling_factor*Exchange_Rate/Common_Shares</f>
        <v>0.23557517715906487</v>
      </c>
      <c r="D109" s="1" t="str">
        <f>Market_currency</f>
        <v>HKD</v>
      </c>
    </row>
    <row r="111" spans="2:6" ht="24.5" customHeight="1">
      <c r="B111" s="349" t="s">
        <v>367</v>
      </c>
      <c r="C111" s="349"/>
      <c r="D111" s="349"/>
      <c r="E111" s="349"/>
      <c r="F111" s="349"/>
    </row>
    <row r="113" spans="1:6">
      <c r="B113" s="47" t="s">
        <v>451</v>
      </c>
      <c r="C113" s="223">
        <f>IF(valuation_method="DCF",DCF!C12,DDM!C7)</f>
        <v>18.874988130139947</v>
      </c>
      <c r="D113" s="1" t="str">
        <f>Market_currency</f>
        <v>HKD</v>
      </c>
    </row>
    <row r="114" spans="1:6">
      <c r="B114" s="298" t="s">
        <v>407</v>
      </c>
      <c r="C114" s="223">
        <f>BS!D47</f>
        <v>4.571210678622772</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0.1</v>
      </c>
      <c r="D121" s="230">
        <f>DCF!D74</f>
        <v>30</v>
      </c>
      <c r="E121" s="231" t="str">
        <f>ROUND(IF(valuation_method="DCF",DCF!E74,DDM!E69),2)&amp;" "&amp;Market_currency</f>
        <v>51.4 HKD</v>
      </c>
      <c r="F121" s="232">
        <f>DCF!F74</f>
        <v>0.05</v>
      </c>
    </row>
    <row r="122" spans="1:6">
      <c r="B122" s="218" t="str">
        <f>DCF!B75</f>
        <v>Optimistic</v>
      </c>
      <c r="C122" s="219">
        <f>DCF!C75</f>
        <v>0.06</v>
      </c>
      <c r="D122" s="220">
        <f>DCF!D75</f>
        <v>20</v>
      </c>
      <c r="E122" s="231" t="str">
        <f>ROUND(IF(valuation_method="DCF",DCF!E75,DDM!E70),2)&amp;" "&amp;Market_currency</f>
        <v>26.29 HKD</v>
      </c>
      <c r="F122" s="221">
        <f>DCF!F75</f>
        <v>0.22499999999999992</v>
      </c>
    </row>
    <row r="123" spans="1:6">
      <c r="B123" s="218" t="str">
        <f>DCF!B76</f>
        <v>Base</v>
      </c>
      <c r="C123" s="219">
        <f>DCF!C76</f>
        <v>0.05</v>
      </c>
      <c r="D123" s="220">
        <f>DCF!D76</f>
        <v>20</v>
      </c>
      <c r="E123" s="231" t="str">
        <f>ROUND(IF(valuation_method="DCF",DCF!E76,DDM!E71),2)&amp;" "&amp;Market_currency</f>
        <v>24.69 HKD</v>
      </c>
      <c r="F123" s="221">
        <f>DCF!F76</f>
        <v>0.495</v>
      </c>
    </row>
    <row r="124" spans="1:6">
      <c r="B124" s="218" t="str">
        <f>DCF!B77</f>
        <v>Pessimistic</v>
      </c>
      <c r="C124" s="219">
        <f>DCF!C77</f>
        <v>0.02</v>
      </c>
      <c r="D124" s="220">
        <f>DCF!D77</f>
        <v>20</v>
      </c>
      <c r="E124" s="231" t="str">
        <f>ROUND(IF(valuation_method="DCF",DCF!E77,DDM!E72),2)&amp;" "&amp;Market_currency</f>
        <v>20.83 HKD</v>
      </c>
      <c r="F124" s="221">
        <f>DCF!F77</f>
        <v>0.18</v>
      </c>
    </row>
    <row r="125" spans="1:6">
      <c r="B125" s="218" t="str">
        <f>DCF!B78</f>
        <v>Devil's advocate</v>
      </c>
      <c r="C125" s="219">
        <f>DCF!C78</f>
        <v>0</v>
      </c>
      <c r="D125" s="220">
        <f>DCF!D78</f>
        <v>30</v>
      </c>
      <c r="E125" s="231" t="str">
        <f>ROUND(IF(valuation_method="DCF",DCF!E78,DDM!E73),2)&amp;" "&amp;Market_currency</f>
        <v>18.87 HKD</v>
      </c>
      <c r="F125" s="221">
        <f>DCF!F78</f>
        <v>0.05</v>
      </c>
    </row>
    <row r="127" spans="1:6">
      <c r="B127" s="211" t="s">
        <v>259</v>
      </c>
      <c r="C127" s="217">
        <f>Scenarios!C60</f>
        <v>25.400172894023672</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0.53933281450524906</v>
      </c>
      <c r="D138" s="212" t="str">
        <f>Market_currency</f>
        <v>HKD</v>
      </c>
    </row>
    <row r="140" spans="1:6">
      <c r="B140" s="210" t="s">
        <v>410</v>
      </c>
      <c r="C140" s="241" t="str">
        <f>C11</f>
        <v>2331.HK</v>
      </c>
      <c r="D140" s="241" t="str">
        <f>IF(D11="","",D11)</f>
        <v/>
      </c>
    </row>
    <row r="141" spans="1:6">
      <c r="B141" s="1" t="s">
        <v>409</v>
      </c>
      <c r="C141" s="299">
        <f>F29</f>
        <v>0.3674</v>
      </c>
    </row>
    <row r="142" spans="1:6">
      <c r="B142" s="212" t="str">
        <f>"PV("&amp;C136&amp;" yrs of Dividends)"</f>
        <v>PV(3 yrs of Dividends)</v>
      </c>
      <c r="C142" s="216">
        <f>Scenarios!C81</f>
        <v>0.89381433307810265</v>
      </c>
    </row>
    <row r="143" spans="1:6">
      <c r="B143" s="212" t="str">
        <f>"+ PV(Equity Value realized at year "&amp;C136&amp;")"</f>
        <v>+ PV(Equity Value realized at year 3)</v>
      </c>
      <c r="C143" s="216">
        <f>Scenarios!C82</f>
        <v>9.9345899448763504</v>
      </c>
    </row>
    <row r="144" spans="1:6">
      <c r="B144" s="80" t="s">
        <v>261</v>
      </c>
      <c r="C144" s="215">
        <f>Scenarios!C83</f>
        <v>10.828404277954453</v>
      </c>
      <c r="D144" s="303" t="str">
        <f>IF($D$11="","",C144*$E$25)</f>
        <v/>
      </c>
    </row>
    <row r="145" spans="2:4">
      <c r="B145" s="259" t="s">
        <v>418</v>
      </c>
      <c r="C145" s="301" t="str">
        <f>Market_currency</f>
        <v>HKD</v>
      </c>
      <c r="D145" s="301" t="str">
        <f>IF($D$11="","",D$13)</f>
        <v/>
      </c>
    </row>
    <row r="146" spans="2:4">
      <c r="B146" s="214" t="s">
        <v>263</v>
      </c>
      <c r="C146" s="92">
        <f>Scenarios!F83</f>
        <v>0.573687772790624</v>
      </c>
    </row>
    <row r="148" spans="2:4">
      <c r="B148" s="210" t="s">
        <v>413</v>
      </c>
    </row>
    <row r="149" spans="2:4">
      <c r="B149" s="1" t="s">
        <v>412</v>
      </c>
      <c r="C149" s="299">
        <f>Scenarios!C90</f>
        <v>0.21740000000000001</v>
      </c>
    </row>
    <row r="150" spans="2:4">
      <c r="B150" s="212" t="str">
        <f>"PV("&amp;C136&amp;" yrs of Dividends)"</f>
        <v>PV(3 yrs of Dividends)</v>
      </c>
      <c r="C150" s="216">
        <f>Scenarios!C91</f>
        <v>1.1058484471989578</v>
      </c>
    </row>
    <row r="151" spans="2:4">
      <c r="B151" s="212" t="str">
        <f>"+ PV(Equity Value realized at year "&amp;C136&amp;")"</f>
        <v>+ PV(Equity Value realized at year 3)</v>
      </c>
      <c r="C151" s="216">
        <f>Scenarios!C92</f>
        <v>14.077864491929084</v>
      </c>
    </row>
    <row r="152" spans="2:4">
      <c r="B152" s="80" t="s">
        <v>261</v>
      </c>
      <c r="C152" s="215">
        <f>Scenarios!C93</f>
        <v>15.183712939128043</v>
      </c>
      <c r="D152" s="303" t="str">
        <f>IF($D$11="","",C152*$E$25)</f>
        <v/>
      </c>
    </row>
    <row r="153" spans="2:4">
      <c r="B153" s="259" t="s">
        <v>418</v>
      </c>
      <c r="C153" s="301" t="str">
        <f>Market_currency</f>
        <v>HKD</v>
      </c>
      <c r="D153" s="301" t="str">
        <f>IF($D$11="","",D$13)</f>
        <v/>
      </c>
    </row>
    <row r="154" spans="2:4">
      <c r="B154" s="214" t="s">
        <v>263</v>
      </c>
      <c r="C154" s="92">
        <f>Scenarios!F93</f>
        <v>0.40222009501751965</v>
      </c>
    </row>
    <row r="156" spans="2:4">
      <c r="B156" s="210" t="s">
        <v>401</v>
      </c>
    </row>
    <row r="157" spans="2:4">
      <c r="B157" s="1" t="s">
        <v>411</v>
      </c>
      <c r="C157" s="92">
        <f>Scenarios!C96</f>
        <v>7.4999999999999997E-2</v>
      </c>
    </row>
    <row r="158" spans="2:4">
      <c r="B158" s="212" t="str">
        <f>"PV("&amp;C136&amp;" yrs of Dividends)"</f>
        <v>PV(3 yrs of Dividends)</v>
      </c>
      <c r="C158" s="216">
        <f>Scenarios!C97</f>
        <v>1.4025488664784891</v>
      </c>
    </row>
    <row r="159" spans="2:4">
      <c r="B159" s="212" t="str">
        <f>"+ PV(Equity Value realized at year "&amp;C136&amp;")"</f>
        <v>+ PV(Equity Value realized at year 3)</v>
      </c>
      <c r="C159" s="216">
        <f>Scenarios!C98</f>
        <v>20.446137638415678</v>
      </c>
    </row>
    <row r="160" spans="2:4">
      <c r="B160" s="80" t="s">
        <v>402</v>
      </c>
      <c r="C160" s="215">
        <f>Scenarios!C99</f>
        <v>21.848686504894168</v>
      </c>
      <c r="D160" s="303" t="str">
        <f>IF($D$11="","",C160*$E$25)</f>
        <v/>
      </c>
    </row>
    <row r="161" spans="1:6">
      <c r="B161" s="259" t="s">
        <v>418</v>
      </c>
      <c r="C161" s="301" t="str">
        <f>Market_currency</f>
        <v>HKD</v>
      </c>
      <c r="D161" s="301" t="str">
        <f>IF($D$11="","",D$13)</f>
        <v/>
      </c>
    </row>
    <row r="162" spans="1:6">
      <c r="B162" s="214" t="s">
        <v>263</v>
      </c>
      <c r="C162" s="92">
        <f>Scenarios!F99</f>
        <v>0.13982134704150473</v>
      </c>
    </row>
    <row r="164" spans="1:6">
      <c r="B164" s="210" t="s">
        <v>434</v>
      </c>
    </row>
    <row r="165" spans="1:6">
      <c r="B165" s="1" t="s">
        <v>425</v>
      </c>
      <c r="C165" s="92">
        <f>F32</f>
        <v>0.1174</v>
      </c>
    </row>
    <row r="166" spans="1:6">
      <c r="B166" s="212" t="str">
        <f>"PV("&amp;C136&amp;" yrs of Dividends)"</f>
        <v>PV(3 yrs of Dividends)</v>
      </c>
      <c r="C166" s="216">
        <f>Scenarios!C103</f>
        <v>1.3011960341966535</v>
      </c>
    </row>
    <row r="167" spans="1:6">
      <c r="B167" s="212" t="str">
        <f>"+ PV(Equity Value realized at year "&amp;C136&amp;")"</f>
        <v>+ PV(Equity Value realized at year 3)</v>
      </c>
      <c r="C167" s="216">
        <f>Scenarios!C104</f>
        <v>18.205837906164344</v>
      </c>
    </row>
    <row r="168" spans="1:6">
      <c r="B168" s="80" t="s">
        <v>402</v>
      </c>
      <c r="C168" s="215">
        <f>Scenarios!C105</f>
        <v>19.507033940360998</v>
      </c>
      <c r="D168" s="303" t="str">
        <f>IF($D$11="","",C168*$E$25)</f>
        <v/>
      </c>
    </row>
    <row r="169" spans="1:6">
      <c r="B169" s="259" t="s">
        <v>418</v>
      </c>
      <c r="C169" s="301" t="str">
        <f>Market_currency</f>
        <v>HKD</v>
      </c>
      <c r="D169" s="301" t="str">
        <f>IF($D$11="","",D$13)</f>
        <v/>
      </c>
    </row>
    <row r="170" spans="1:6">
      <c r="B170" s="214" t="s">
        <v>263</v>
      </c>
      <c r="C170" s="92">
        <f>Scenarios!F105</f>
        <v>0.23043604347880098</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7">
        <v>28675643</v>
      </c>
      <c r="D4" s="337">
        <v>27598491</v>
      </c>
      <c r="E4" s="337">
        <v>25803383</v>
      </c>
      <c r="F4" s="337">
        <v>22572281</v>
      </c>
      <c r="G4" s="337">
        <v>14456971</v>
      </c>
      <c r="H4" s="337">
        <v>13869630</v>
      </c>
      <c r="I4" s="337">
        <v>10510898</v>
      </c>
      <c r="J4" s="337">
        <v>8873912</v>
      </c>
      <c r="K4" s="337">
        <v>8015293</v>
      </c>
      <c r="L4" s="337">
        <v>7089495</v>
      </c>
      <c r="M4" s="337"/>
    </row>
    <row r="5" spans="2:13">
      <c r="B5" s="40" t="s">
        <v>43</v>
      </c>
      <c r="C5" s="337">
        <v>14519540</v>
      </c>
      <c r="D5" s="337">
        <v>14246436</v>
      </c>
      <c r="E5" s="337">
        <v>13318590</v>
      </c>
      <c r="F5" s="337">
        <v>10603183</v>
      </c>
      <c r="G5" s="337">
        <v>7362627</v>
      </c>
      <c r="H5" s="337">
        <v>7064168</v>
      </c>
      <c r="I5" s="337">
        <v>5458124</v>
      </c>
      <c r="J5" s="337">
        <v>4697429</v>
      </c>
      <c r="K5" s="337">
        <v>4310065</v>
      </c>
      <c r="L5" s="337">
        <v>3896836</v>
      </c>
      <c r="M5" s="337"/>
    </row>
    <row r="6" spans="2:13">
      <c r="B6" s="40" t="s">
        <v>54</v>
      </c>
      <c r="C6" s="337">
        <f>1427907+C7</f>
        <v>10626814</v>
      </c>
      <c r="D6" s="337">
        <f>1256152+D7</f>
        <v>10336273</v>
      </c>
      <c r="E6" s="337">
        <f>1113218+E7</f>
        <v>8427521</v>
      </c>
      <c r="F6" s="337">
        <f>1110675+F7</f>
        <v>7248752</v>
      </c>
      <c r="G6" s="337">
        <f>805058+G7</f>
        <v>5229776</v>
      </c>
      <c r="H6" s="337">
        <f>968264+H7</f>
        <v>5413334</v>
      </c>
      <c r="I6" s="337">
        <f>679873+I7</f>
        <v>4388319</v>
      </c>
      <c r="J6" s="337">
        <f>501066+J7</f>
        <v>3774441</v>
      </c>
      <c r="K6" s="337">
        <f>424129+K7</f>
        <v>3393470</v>
      </c>
      <c r="L6" s="337">
        <f>346149+L7</f>
        <v>3066510</v>
      </c>
      <c r="M6" s="337"/>
    </row>
    <row r="7" spans="2:13">
      <c r="B7" s="69" t="s">
        <v>61</v>
      </c>
      <c r="C7" s="338">
        <v>9198907</v>
      </c>
      <c r="D7" s="338">
        <v>9080121</v>
      </c>
      <c r="E7" s="338">
        <v>7314303</v>
      </c>
      <c r="F7" s="338">
        <v>6138077</v>
      </c>
      <c r="G7" s="338">
        <v>4424718</v>
      </c>
      <c r="H7" s="338">
        <v>4445070</v>
      </c>
      <c r="I7" s="338">
        <v>3708446</v>
      </c>
      <c r="J7" s="338">
        <v>3273375</v>
      </c>
      <c r="K7" s="338">
        <v>2969341</v>
      </c>
      <c r="L7" s="338">
        <v>2720361</v>
      </c>
      <c r="M7" s="338"/>
    </row>
    <row r="8" spans="2:13">
      <c r="B8" s="40" t="s">
        <v>49</v>
      </c>
      <c r="C8" s="337"/>
      <c r="D8" s="337"/>
      <c r="E8" s="337"/>
      <c r="F8" s="337"/>
      <c r="G8" s="337"/>
      <c r="H8" s="337"/>
      <c r="I8" s="337"/>
      <c r="J8" s="337"/>
      <c r="K8" s="337"/>
      <c r="L8" s="337"/>
      <c r="M8" s="337"/>
    </row>
    <row r="9" spans="2:13">
      <c r="B9" s="40" t="s">
        <v>160</v>
      </c>
      <c r="C9" s="337">
        <v>256299</v>
      </c>
      <c r="D9" s="337">
        <v>377972</v>
      </c>
      <c r="E9" s="337">
        <v>201155</v>
      </c>
      <c r="F9" s="337">
        <v>159222</v>
      </c>
      <c r="G9" s="337">
        <v>83487</v>
      </c>
      <c r="H9" s="337">
        <v>343469</v>
      </c>
      <c r="I9" s="337">
        <v>63633</v>
      </c>
      <c r="J9" s="337">
        <v>73806</v>
      </c>
      <c r="K9" s="337">
        <v>9716</v>
      </c>
      <c r="L9" s="337">
        <v>6948</v>
      </c>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254421</v>
      </c>
      <c r="D12" s="337">
        <v>181446</v>
      </c>
      <c r="E12" s="337">
        <v>120561</v>
      </c>
      <c r="F12" s="337">
        <v>112458</v>
      </c>
      <c r="G12" s="337"/>
      <c r="H12" s="337"/>
      <c r="I12" s="337"/>
      <c r="J12" s="337"/>
      <c r="K12" s="337"/>
      <c r="L12" s="337"/>
      <c r="M12" s="337"/>
    </row>
    <row r="13" spans="2:13">
      <c r="B13" s="40" t="s">
        <v>67</v>
      </c>
      <c r="C13" s="337">
        <v>429525</v>
      </c>
      <c r="D13" s="337">
        <v>500556</v>
      </c>
      <c r="E13" s="337">
        <v>447748</v>
      </c>
      <c r="F13" s="337">
        <v>145097</v>
      </c>
      <c r="G13" s="337"/>
      <c r="H13" s="337"/>
      <c r="I13" s="337"/>
      <c r="J13" s="337"/>
      <c r="K13" s="337"/>
      <c r="L13" s="337"/>
      <c r="M13" s="337"/>
    </row>
    <row r="14" spans="2:13">
      <c r="B14" s="40" t="s">
        <v>50</v>
      </c>
      <c r="C14" s="337">
        <v>1096691</v>
      </c>
      <c r="D14" s="337">
        <v>1069207</v>
      </c>
      <c r="E14" s="337">
        <v>1351329</v>
      </c>
      <c r="F14" s="337">
        <v>1317349</v>
      </c>
      <c r="G14" s="337">
        <v>549381</v>
      </c>
      <c r="H14" s="337">
        <v>357403</v>
      </c>
      <c r="I14" s="337">
        <v>135058</v>
      </c>
      <c r="J14" s="337">
        <v>22369</v>
      </c>
      <c r="K14" s="337">
        <v>32435</v>
      </c>
      <c r="L14" s="337">
        <v>73768</v>
      </c>
      <c r="M14" s="337"/>
    </row>
    <row r="15" spans="2:13">
      <c r="B15" s="43" t="s">
        <v>42</v>
      </c>
      <c r="C15" s="339">
        <v>3012918</v>
      </c>
      <c r="D15" s="339">
        <v>3186962</v>
      </c>
      <c r="E15" s="339">
        <v>4063771</v>
      </c>
      <c r="F15" s="339">
        <v>4010888</v>
      </c>
      <c r="G15" s="339">
        <v>1698484</v>
      </c>
      <c r="H15" s="339">
        <v>1499143</v>
      </c>
      <c r="I15" s="339">
        <v>715263</v>
      </c>
      <c r="J15" s="339">
        <v>515155</v>
      </c>
      <c r="K15" s="339">
        <v>700869</v>
      </c>
      <c r="L15" s="339">
        <v>61605</v>
      </c>
      <c r="M15" s="339"/>
    </row>
    <row r="16" spans="2:13">
      <c r="B16" s="28" t="s">
        <v>44</v>
      </c>
      <c r="C16" s="337">
        <v>0</v>
      </c>
      <c r="D16" s="337">
        <v>52</v>
      </c>
      <c r="E16" s="337">
        <v>-63</v>
      </c>
      <c r="F16" s="337">
        <v>7</v>
      </c>
      <c r="G16" s="337">
        <v>0</v>
      </c>
      <c r="H16" s="337">
        <v>4</v>
      </c>
      <c r="I16" s="337">
        <v>0</v>
      </c>
      <c r="J16" s="337">
        <v>0</v>
      </c>
      <c r="K16" s="337">
        <v>57615</v>
      </c>
      <c r="L16" s="337">
        <v>47296</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v>-1815.2739999999999</v>
      </c>
      <c r="D20" s="337">
        <v>-1815.2739999999999</v>
      </c>
      <c r="E20" s="337">
        <v>-1830.425</v>
      </c>
      <c r="F20" s="337">
        <v>-1027.7539999999999</v>
      </c>
      <c r="G20" s="337">
        <v>-745.63400000000001</v>
      </c>
      <c r="H20" s="337">
        <v>-649.02099999999996</v>
      </c>
      <c r="I20" s="337"/>
      <c r="J20" s="337"/>
      <c r="K20" s="337"/>
      <c r="L20" s="337"/>
      <c r="M20" s="337"/>
    </row>
    <row r="21" spans="2:13">
      <c r="B21" s="27" t="s">
        <v>52</v>
      </c>
      <c r="C21" s="337">
        <v>-31.047000000000001</v>
      </c>
      <c r="D21" s="337">
        <v>-31.047000000000001</v>
      </c>
      <c r="E21" s="337">
        <v>-1133.2159999999999</v>
      </c>
      <c r="F21" s="337">
        <v>826.13499999999999</v>
      </c>
      <c r="G21" s="337">
        <v>141.60300000000001</v>
      </c>
      <c r="H21" s="337"/>
      <c r="I21" s="337"/>
      <c r="J21" s="337"/>
      <c r="K21" s="337"/>
      <c r="L21" s="337"/>
      <c r="M21" s="337"/>
    </row>
    <row r="22" spans="2:13">
      <c r="B22" s="27" t="s">
        <v>372</v>
      </c>
      <c r="C22" s="337"/>
      <c r="D22" s="337">
        <v>4687936</v>
      </c>
      <c r="E22" s="337">
        <v>3913604</v>
      </c>
      <c r="F22" s="337">
        <v>6525335</v>
      </c>
      <c r="G22" s="337">
        <v>2763336</v>
      </c>
      <c r="H22" s="337">
        <v>3503469</v>
      </c>
      <c r="I22" s="337">
        <v>1671869</v>
      </c>
      <c r="J22" s="337">
        <v>1159143</v>
      </c>
      <c r="K22" s="337">
        <v>995476</v>
      </c>
      <c r="L22" s="337">
        <v>687043</v>
      </c>
      <c r="M22" s="337"/>
    </row>
    <row r="23" spans="2:13">
      <c r="B23" s="27" t="s">
        <v>374</v>
      </c>
      <c r="C23" s="337"/>
      <c r="D23" s="337">
        <v>-2449105</v>
      </c>
      <c r="E23" s="337">
        <v>-9481433</v>
      </c>
      <c r="F23" s="337">
        <v>-6538700</v>
      </c>
      <c r="G23" s="337">
        <v>-991555</v>
      </c>
      <c r="H23" s="337">
        <v>-573343</v>
      </c>
      <c r="I23" s="337">
        <v>-482937</v>
      </c>
      <c r="J23" s="337">
        <v>-342516</v>
      </c>
      <c r="K23" s="337">
        <v>-320306</v>
      </c>
      <c r="L23" s="337">
        <v>-362745</v>
      </c>
      <c r="M23" s="337"/>
    </row>
    <row r="24" spans="2:13">
      <c r="B24" s="27" t="s">
        <v>373</v>
      </c>
      <c r="C24" s="337"/>
      <c r="D24" s="337">
        <v>-4216951</v>
      </c>
      <c r="E24" s="337">
        <v>-1887435</v>
      </c>
      <c r="F24" s="337">
        <v>7596150</v>
      </c>
      <c r="G24" s="337">
        <v>-513491</v>
      </c>
      <c r="H24" s="337">
        <v>-648624</v>
      </c>
      <c r="I24" s="337">
        <v>-65643</v>
      </c>
      <c r="J24" s="337">
        <v>-232493</v>
      </c>
      <c r="K24" s="337">
        <v>-509027</v>
      </c>
      <c r="L24" s="337">
        <v>636375</v>
      </c>
      <c r="M24" s="337"/>
    </row>
    <row r="25" spans="2:13">
      <c r="B25" s="24" t="str">
        <f>"Dividend per share ("&amp;Market_currency&amp;")"</f>
        <v>Dividend per share (HKD)</v>
      </c>
      <c r="C25" s="39">
        <f>(0.2073+0.3775)/Exchange_Rate</f>
        <v>0.53933281450524906</v>
      </c>
      <c r="D25" s="39"/>
      <c r="E25" s="39"/>
      <c r="F25" s="39"/>
      <c r="G25" s="39"/>
      <c r="H25" s="39"/>
      <c r="I25" s="39"/>
      <c r="J25" s="39"/>
      <c r="K25" s="39"/>
      <c r="L25" s="39"/>
      <c r="M25" s="39"/>
    </row>
    <row r="27" spans="2:13">
      <c r="B27" s="16" t="s">
        <v>28</v>
      </c>
      <c r="C27" s="97" t="s">
        <v>460</v>
      </c>
    </row>
    <row r="28" spans="2:13">
      <c r="B28" s="26" t="s">
        <v>24</v>
      </c>
      <c r="C28" s="326">
        <f>BS!C4</f>
        <v>1250023</v>
      </c>
      <c r="D28" s="337">
        <v>1205532</v>
      </c>
      <c r="E28" s="337">
        <v>1020346</v>
      </c>
      <c r="F28" s="337">
        <v>902857</v>
      </c>
      <c r="G28" s="337">
        <v>658796</v>
      </c>
      <c r="H28" s="337">
        <v>686606</v>
      </c>
      <c r="I28" s="337">
        <v>928895</v>
      </c>
      <c r="J28" s="337">
        <v>1138034</v>
      </c>
      <c r="K28" s="337">
        <v>1370254</v>
      </c>
      <c r="L28" s="337">
        <v>1439513</v>
      </c>
      <c r="M28" s="337"/>
    </row>
    <row r="29" spans="2:13">
      <c r="B29" s="26" t="s">
        <v>32</v>
      </c>
      <c r="C29" s="326">
        <f>BS!C6</f>
        <v>2598226</v>
      </c>
      <c r="D29" s="337">
        <v>2493206</v>
      </c>
      <c r="E29" s="337">
        <v>2428040</v>
      </c>
      <c r="F29" s="337">
        <v>1772803</v>
      </c>
      <c r="G29" s="337">
        <v>1345539</v>
      </c>
      <c r="H29" s="337">
        <v>1407257</v>
      </c>
      <c r="I29" s="337">
        <v>1239741</v>
      </c>
      <c r="J29" s="337">
        <v>1102538</v>
      </c>
      <c r="K29" s="337">
        <v>965422</v>
      </c>
      <c r="L29" s="337">
        <v>959652</v>
      </c>
      <c r="M29" s="337"/>
    </row>
    <row r="30" spans="2:13">
      <c r="B30" s="29" t="s">
        <v>40</v>
      </c>
      <c r="C30" s="327">
        <f>BS!C33+BS!C42</f>
        <v>9604717</v>
      </c>
      <c r="D30" s="339">
        <v>9801162</v>
      </c>
      <c r="E30" s="339">
        <v>9314591</v>
      </c>
      <c r="F30" s="339">
        <v>9170709</v>
      </c>
      <c r="G30" s="339">
        <v>5904448</v>
      </c>
      <c r="H30" s="339">
        <v>5423281</v>
      </c>
      <c r="I30" s="339">
        <v>2907715</v>
      </c>
      <c r="J30" s="339">
        <v>2247752</v>
      </c>
      <c r="K30" s="339">
        <v>2783345</v>
      </c>
      <c r="L30" s="339">
        <v>3486918</v>
      </c>
      <c r="M30" s="339"/>
    </row>
    <row r="31" spans="2:13">
      <c r="B31" s="29" t="s">
        <v>30</v>
      </c>
      <c r="C31" s="327">
        <f>BS!G27</f>
        <v>26103689</v>
      </c>
      <c r="D31" s="339">
        <v>24406641</v>
      </c>
      <c r="E31" s="339">
        <v>24331928</v>
      </c>
      <c r="F31" s="339">
        <v>21104107</v>
      </c>
      <c r="G31" s="339">
        <v>8689417</v>
      </c>
      <c r="H31" s="339">
        <v>7124193</v>
      </c>
      <c r="I31" s="339">
        <v>5819590</v>
      </c>
      <c r="J31" s="339">
        <v>5073597</v>
      </c>
      <c r="K31" s="339">
        <v>3997149</v>
      </c>
      <c r="L31" s="339">
        <v>3410540</v>
      </c>
      <c r="M31" s="339"/>
    </row>
    <row r="32" spans="2:13">
      <c r="B32" s="26" t="s">
        <v>173</v>
      </c>
      <c r="C32" s="326">
        <f>BS!G28</f>
        <v>0</v>
      </c>
      <c r="D32" s="337">
        <v>0</v>
      </c>
      <c r="E32" s="337">
        <v>2498</v>
      </c>
      <c r="F32" s="337">
        <v>2561</v>
      </c>
      <c r="G32" s="339">
        <v>2554</v>
      </c>
      <c r="H32" s="339">
        <v>2554</v>
      </c>
      <c r="I32" s="339">
        <v>2550</v>
      </c>
      <c r="J32" s="339">
        <v>2550</v>
      </c>
      <c r="K32" s="339">
        <v>2550</v>
      </c>
      <c r="L32" s="339">
        <v>230637</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28675643</v>
      </c>
      <c r="D36" s="326">
        <f t="shared" si="1"/>
        <v>27598491</v>
      </c>
      <c r="E36" s="326">
        <f t="shared" si="1"/>
        <v>25803383</v>
      </c>
      <c r="F36" s="326">
        <f t="shared" si="1"/>
        <v>22572281</v>
      </c>
      <c r="G36" s="326">
        <f t="shared" si="1"/>
        <v>14456971</v>
      </c>
      <c r="H36" s="326">
        <f t="shared" si="1"/>
        <v>13869630</v>
      </c>
      <c r="I36" s="326">
        <f t="shared" si="1"/>
        <v>10510898</v>
      </c>
      <c r="J36" s="326">
        <f t="shared" si="1"/>
        <v>8873912</v>
      </c>
      <c r="K36" s="326">
        <f t="shared" si="1"/>
        <v>8015293</v>
      </c>
      <c r="L36" s="326">
        <f t="shared" si="1"/>
        <v>7089495</v>
      </c>
      <c r="M36" s="326" t="str">
        <f t="shared" si="1"/>
        <v/>
      </c>
    </row>
    <row r="37" spans="2:13">
      <c r="B37" s="40" t="s">
        <v>43</v>
      </c>
      <c r="C37" s="326">
        <f t="shared" ref="C37:M37" si="2">IF(C$4="","",-C5)</f>
        <v>-14519540</v>
      </c>
      <c r="D37" s="326">
        <f t="shared" si="2"/>
        <v>-14246436</v>
      </c>
      <c r="E37" s="326">
        <f t="shared" si="2"/>
        <v>-13318590</v>
      </c>
      <c r="F37" s="326">
        <f t="shared" si="2"/>
        <v>-10603183</v>
      </c>
      <c r="G37" s="326">
        <f t="shared" si="2"/>
        <v>-7362627</v>
      </c>
      <c r="H37" s="326">
        <f t="shared" si="2"/>
        <v>-7064168</v>
      </c>
      <c r="I37" s="326">
        <f t="shared" si="2"/>
        <v>-5458124</v>
      </c>
      <c r="J37" s="326">
        <f t="shared" si="2"/>
        <v>-4697429</v>
      </c>
      <c r="K37" s="326">
        <f t="shared" si="2"/>
        <v>-4310065</v>
      </c>
      <c r="L37" s="326">
        <f t="shared" si="2"/>
        <v>-3896836</v>
      </c>
      <c r="M37" s="326" t="str">
        <f t="shared" si="2"/>
        <v/>
      </c>
    </row>
    <row r="38" spans="2:13">
      <c r="B38" s="31" t="s">
        <v>58</v>
      </c>
      <c r="C38" s="322">
        <f>IF(C36="","",C36+C37)</f>
        <v>14156103</v>
      </c>
      <c r="D38" s="322">
        <f t="shared" ref="D38" si="3">IF(D36="","",D36+D37)</f>
        <v>13352055</v>
      </c>
      <c r="E38" s="322">
        <f t="shared" ref="E38" si="4">IF(E36="","",E36+E37)</f>
        <v>12484793</v>
      </c>
      <c r="F38" s="322">
        <f t="shared" ref="F38" si="5">IF(F36="","",F36+F37)</f>
        <v>11969098</v>
      </c>
      <c r="G38" s="322">
        <f t="shared" ref="G38" si="6">IF(G36="","",G36+G37)</f>
        <v>7094344</v>
      </c>
      <c r="H38" s="322">
        <f t="shared" ref="H38" si="7">IF(H36="","",H36+H37)</f>
        <v>6805462</v>
      </c>
      <c r="I38" s="322">
        <f t="shared" ref="I38" si="8">IF(I36="","",I36+I37)</f>
        <v>5052774</v>
      </c>
      <c r="J38" s="322">
        <f t="shared" ref="J38" si="9">IF(J36="","",J36+J37)</f>
        <v>4176483</v>
      </c>
      <c r="K38" s="322">
        <f t="shared" ref="K38" si="10">IF(K36="","",K36+K37)</f>
        <v>3705228</v>
      </c>
      <c r="L38" s="322">
        <f t="shared" ref="L38" si="11">IF(L36="","",L36+L37)</f>
        <v>3192659</v>
      </c>
      <c r="M38" s="322" t="str">
        <f t="shared" ref="M38" si="12">IF(M36="","",M36+M37)</f>
        <v/>
      </c>
    </row>
    <row r="39" spans="2:13">
      <c r="B39" s="40" t="s">
        <v>54</v>
      </c>
      <c r="C39" s="326">
        <f t="shared" ref="C39:M39" si="13">IF(C$4="","",-C6)</f>
        <v>-10626814</v>
      </c>
      <c r="D39" s="326">
        <f t="shared" si="13"/>
        <v>-10336273</v>
      </c>
      <c r="E39" s="326">
        <f t="shared" si="13"/>
        <v>-8427521</v>
      </c>
      <c r="F39" s="326">
        <f t="shared" si="13"/>
        <v>-7248752</v>
      </c>
      <c r="G39" s="326">
        <f t="shared" si="13"/>
        <v>-5229776</v>
      </c>
      <c r="H39" s="326">
        <f t="shared" si="13"/>
        <v>-5413334</v>
      </c>
      <c r="I39" s="326">
        <f t="shared" si="13"/>
        <v>-4388319</v>
      </c>
      <c r="J39" s="326">
        <f t="shared" si="13"/>
        <v>-3774441</v>
      </c>
      <c r="K39" s="326">
        <f t="shared" si="13"/>
        <v>-3393470</v>
      </c>
      <c r="L39" s="326">
        <f t="shared" si="13"/>
        <v>-3066510</v>
      </c>
      <c r="M39" s="326" t="str">
        <f t="shared" si="13"/>
        <v/>
      </c>
    </row>
    <row r="40" spans="2:13">
      <c r="B40" s="69" t="s">
        <v>61</v>
      </c>
      <c r="C40" s="336">
        <f t="shared" ref="C40:M40" si="14">IF(C$4="","",-C7)</f>
        <v>-9198907</v>
      </c>
      <c r="D40" s="336">
        <f t="shared" si="14"/>
        <v>-9080121</v>
      </c>
      <c r="E40" s="336">
        <f t="shared" si="14"/>
        <v>-7314303</v>
      </c>
      <c r="F40" s="336">
        <f t="shared" si="14"/>
        <v>-6138077</v>
      </c>
      <c r="G40" s="336">
        <f t="shared" si="14"/>
        <v>-4424718</v>
      </c>
      <c r="H40" s="336">
        <f t="shared" si="14"/>
        <v>-4445070</v>
      </c>
      <c r="I40" s="336">
        <f t="shared" si="14"/>
        <v>-3708446</v>
      </c>
      <c r="J40" s="336">
        <f t="shared" si="14"/>
        <v>-3273375</v>
      </c>
      <c r="K40" s="336">
        <f t="shared" si="14"/>
        <v>-2969341</v>
      </c>
      <c r="L40" s="336">
        <f t="shared" si="14"/>
        <v>-2720361</v>
      </c>
      <c r="M40" s="336" t="str">
        <f t="shared" si="14"/>
        <v/>
      </c>
    </row>
    <row r="41" spans="2:13">
      <c r="B41" s="69" t="s">
        <v>64</v>
      </c>
      <c r="C41" s="336">
        <f>IF(C$4="","",C39-C40)</f>
        <v>-1427907</v>
      </c>
      <c r="D41" s="336">
        <f t="shared" ref="D41:M41" si="15">IF(D$4="","",D39-D40)</f>
        <v>-1256152</v>
      </c>
      <c r="E41" s="336">
        <f t="shared" si="15"/>
        <v>-1113218</v>
      </c>
      <c r="F41" s="336">
        <f t="shared" si="15"/>
        <v>-1110675</v>
      </c>
      <c r="G41" s="336">
        <f t="shared" si="15"/>
        <v>-805058</v>
      </c>
      <c r="H41" s="336">
        <f t="shared" si="15"/>
        <v>-968264</v>
      </c>
      <c r="I41" s="336">
        <f t="shared" si="15"/>
        <v>-679873</v>
      </c>
      <c r="J41" s="336">
        <f t="shared" si="15"/>
        <v>-501066</v>
      </c>
      <c r="K41" s="336">
        <f t="shared" si="15"/>
        <v>-424129</v>
      </c>
      <c r="L41" s="336">
        <f t="shared" si="15"/>
        <v>-346149</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3529289</v>
      </c>
      <c r="D43" s="327">
        <f t="shared" ref="D43:M43" si="17">IF(D$4="","",D38+D39+D42)</f>
        <v>3015782</v>
      </c>
      <c r="E43" s="327">
        <f t="shared" si="17"/>
        <v>4057272</v>
      </c>
      <c r="F43" s="327">
        <f t="shared" si="17"/>
        <v>4720346</v>
      </c>
      <c r="G43" s="327">
        <f t="shared" si="17"/>
        <v>1864568</v>
      </c>
      <c r="H43" s="327">
        <f t="shared" si="17"/>
        <v>1392128</v>
      </c>
      <c r="I43" s="327">
        <f t="shared" si="17"/>
        <v>664455</v>
      </c>
      <c r="J43" s="327">
        <f t="shared" si="17"/>
        <v>402042</v>
      </c>
      <c r="K43" s="327">
        <f t="shared" si="17"/>
        <v>311758</v>
      </c>
      <c r="L43" s="327">
        <f t="shared" si="17"/>
        <v>126149</v>
      </c>
      <c r="M43" s="327" t="str">
        <f t="shared" si="17"/>
        <v/>
      </c>
    </row>
    <row r="44" spans="2:13">
      <c r="B44" s="43" t="s">
        <v>169</v>
      </c>
      <c r="C44" s="340">
        <f t="shared" ref="C44:M44" si="18">IF(C$4="","",C47-C46-C45-C43)</f>
        <v>405216</v>
      </c>
      <c r="D44" s="340">
        <f t="shared" si="18"/>
        <v>921277</v>
      </c>
      <c r="E44" s="340">
        <f t="shared" si="18"/>
        <v>1030641</v>
      </c>
      <c r="F44" s="340">
        <f t="shared" si="18"/>
        <v>575252</v>
      </c>
      <c r="G44" s="340">
        <f t="shared" si="18"/>
        <v>383297</v>
      </c>
      <c r="H44" s="340">
        <f t="shared" si="18"/>
        <v>464418</v>
      </c>
      <c r="I44" s="340">
        <f t="shared" si="18"/>
        <v>185866</v>
      </c>
      <c r="J44" s="340">
        <f t="shared" si="18"/>
        <v>135482</v>
      </c>
      <c r="K44" s="340">
        <f t="shared" si="18"/>
        <v>421546</v>
      </c>
      <c r="L44" s="340">
        <f t="shared" si="18"/>
        <v>9224</v>
      </c>
      <c r="M44" s="340" t="str">
        <f t="shared" si="18"/>
        <v/>
      </c>
    </row>
    <row r="45" spans="2:13">
      <c r="B45" s="40" t="s">
        <v>68</v>
      </c>
      <c r="C45" s="341">
        <f t="shared" ref="C45:M45" si="19">IF(C$4="","",C51+C52)</f>
        <v>175104</v>
      </c>
      <c r="D45" s="341">
        <f t="shared" si="19"/>
        <v>319110</v>
      </c>
      <c r="E45" s="341">
        <f t="shared" si="19"/>
        <v>327187</v>
      </c>
      <c r="F45" s="341">
        <f t="shared" si="19"/>
        <v>32639</v>
      </c>
      <c r="G45" s="341">
        <f t="shared" si="19"/>
        <v>0</v>
      </c>
      <c r="H45" s="341">
        <f t="shared" si="19"/>
        <v>0</v>
      </c>
      <c r="I45" s="341">
        <f t="shared" si="19"/>
        <v>0</v>
      </c>
      <c r="J45" s="341">
        <f t="shared" si="19"/>
        <v>0</v>
      </c>
      <c r="K45" s="341">
        <f t="shared" si="19"/>
        <v>0</v>
      </c>
      <c r="L45" s="341">
        <f t="shared" si="19"/>
        <v>0</v>
      </c>
      <c r="M45" s="341" t="str">
        <f t="shared" si="19"/>
        <v/>
      </c>
    </row>
    <row r="46" spans="2:13">
      <c r="B46" s="40" t="s">
        <v>50</v>
      </c>
      <c r="C46" s="326">
        <f t="shared" ref="C46:M46" si="20">IF(C$4="","",-C14)</f>
        <v>-1096691</v>
      </c>
      <c r="D46" s="326">
        <f t="shared" si="20"/>
        <v>-1069207</v>
      </c>
      <c r="E46" s="326">
        <f t="shared" si="20"/>
        <v>-1351329</v>
      </c>
      <c r="F46" s="326">
        <f t="shared" si="20"/>
        <v>-1317349</v>
      </c>
      <c r="G46" s="326">
        <f t="shared" si="20"/>
        <v>-549381</v>
      </c>
      <c r="H46" s="326">
        <f t="shared" si="20"/>
        <v>-357403</v>
      </c>
      <c r="I46" s="326">
        <f t="shared" si="20"/>
        <v>-135058</v>
      </c>
      <c r="J46" s="326">
        <f t="shared" si="20"/>
        <v>-22369</v>
      </c>
      <c r="K46" s="326">
        <f t="shared" si="20"/>
        <v>-32435</v>
      </c>
      <c r="L46" s="326">
        <f t="shared" si="20"/>
        <v>-73768</v>
      </c>
      <c r="M46" s="326" t="str">
        <f t="shared" si="20"/>
        <v/>
      </c>
    </row>
    <row r="47" spans="2:13">
      <c r="B47" s="43" t="s">
        <v>42</v>
      </c>
      <c r="C47" s="327">
        <f t="shared" ref="C47:M47" si="21">IF(C$4="","",C15)</f>
        <v>3012918</v>
      </c>
      <c r="D47" s="327">
        <f t="shared" si="21"/>
        <v>3186962</v>
      </c>
      <c r="E47" s="327">
        <f t="shared" si="21"/>
        <v>4063771</v>
      </c>
      <c r="F47" s="327">
        <f t="shared" si="21"/>
        <v>4010888</v>
      </c>
      <c r="G47" s="327">
        <f t="shared" si="21"/>
        <v>1698484</v>
      </c>
      <c r="H47" s="327">
        <f t="shared" si="21"/>
        <v>1499143</v>
      </c>
      <c r="I47" s="327">
        <f t="shared" si="21"/>
        <v>715263</v>
      </c>
      <c r="J47" s="327">
        <f t="shared" si="21"/>
        <v>515155</v>
      </c>
      <c r="K47" s="327">
        <f t="shared" si="21"/>
        <v>700869</v>
      </c>
      <c r="L47" s="327">
        <f t="shared" si="21"/>
        <v>61605</v>
      </c>
      <c r="M47" s="327" t="str">
        <f t="shared" si="21"/>
        <v/>
      </c>
    </row>
    <row r="48" spans="2:13">
      <c r="B48" s="28" t="s">
        <v>44</v>
      </c>
      <c r="C48" s="326">
        <f t="shared" ref="C48:M48" si="22">IF(C$4="","",MIN(-C16,0))</f>
        <v>0</v>
      </c>
      <c r="D48" s="326">
        <f t="shared" si="22"/>
        <v>-52</v>
      </c>
      <c r="E48" s="326">
        <f t="shared" si="22"/>
        <v>0</v>
      </c>
      <c r="F48" s="326">
        <f t="shared" si="22"/>
        <v>-7</v>
      </c>
      <c r="G48" s="326">
        <f t="shared" si="22"/>
        <v>0</v>
      </c>
      <c r="H48" s="326">
        <f t="shared" si="22"/>
        <v>-4</v>
      </c>
      <c r="I48" s="326">
        <f t="shared" si="22"/>
        <v>0</v>
      </c>
      <c r="J48" s="326">
        <f t="shared" si="22"/>
        <v>0</v>
      </c>
      <c r="K48" s="326">
        <f t="shared" si="22"/>
        <v>-57615</v>
      </c>
      <c r="L48" s="326">
        <f t="shared" si="22"/>
        <v>-47296</v>
      </c>
      <c r="M48" s="326" t="str">
        <f t="shared" si="22"/>
        <v/>
      </c>
    </row>
    <row r="50" spans="2:13">
      <c r="B50" s="16" t="s">
        <v>68</v>
      </c>
    </row>
    <row r="51" spans="2:13">
      <c r="B51" s="40" t="s">
        <v>39</v>
      </c>
      <c r="C51" s="326">
        <f t="shared" ref="C51:M51" si="23">IF(C$4="","",-C12)</f>
        <v>-254421</v>
      </c>
      <c r="D51" s="326">
        <f t="shared" si="23"/>
        <v>-181446</v>
      </c>
      <c r="E51" s="326">
        <f t="shared" si="23"/>
        <v>-120561</v>
      </c>
      <c r="F51" s="326">
        <f t="shared" si="23"/>
        <v>-112458</v>
      </c>
      <c r="G51" s="326">
        <f t="shared" si="23"/>
        <v>0</v>
      </c>
      <c r="H51" s="326">
        <f t="shared" si="23"/>
        <v>0</v>
      </c>
      <c r="I51" s="326">
        <f t="shared" si="23"/>
        <v>0</v>
      </c>
      <c r="J51" s="326">
        <f t="shared" si="23"/>
        <v>0</v>
      </c>
      <c r="K51" s="326">
        <f t="shared" si="23"/>
        <v>0</v>
      </c>
      <c r="L51" s="326">
        <f t="shared" si="23"/>
        <v>0</v>
      </c>
      <c r="M51" s="326" t="str">
        <f t="shared" si="23"/>
        <v/>
      </c>
    </row>
    <row r="52" spans="2:13">
      <c r="B52" s="40" t="s">
        <v>67</v>
      </c>
      <c r="C52" s="326">
        <f t="shared" ref="C52:M52" si="24">IF(C$4="","",C13)</f>
        <v>429525</v>
      </c>
      <c r="D52" s="326">
        <f t="shared" si="24"/>
        <v>500556</v>
      </c>
      <c r="E52" s="326">
        <f t="shared" si="24"/>
        <v>447748</v>
      </c>
      <c r="F52" s="326">
        <f t="shared" si="24"/>
        <v>145097</v>
      </c>
      <c r="G52" s="326">
        <f t="shared" si="24"/>
        <v>0</v>
      </c>
      <c r="H52" s="326">
        <f t="shared" si="24"/>
        <v>0</v>
      </c>
      <c r="I52" s="326">
        <f t="shared" si="24"/>
        <v>0</v>
      </c>
      <c r="J52" s="326">
        <f t="shared" si="24"/>
        <v>0</v>
      </c>
      <c r="K52" s="326">
        <f t="shared" si="24"/>
        <v>0</v>
      </c>
      <c r="L52" s="326">
        <f t="shared" si="24"/>
        <v>0</v>
      </c>
      <c r="M52" s="326" t="str">
        <f t="shared" si="24"/>
        <v/>
      </c>
    </row>
    <row r="54" spans="2:13">
      <c r="B54" s="174" t="s">
        <v>169</v>
      </c>
    </row>
    <row r="55" spans="2:13">
      <c r="B55" s="40" t="s">
        <v>160</v>
      </c>
      <c r="C55" s="341">
        <f t="shared" ref="C55:M55" si="25">IF(C$4="","",C9)</f>
        <v>256299</v>
      </c>
      <c r="D55" s="341">
        <f t="shared" si="25"/>
        <v>377972</v>
      </c>
      <c r="E55" s="341">
        <f t="shared" si="25"/>
        <v>201155</v>
      </c>
      <c r="F55" s="341">
        <f t="shared" si="25"/>
        <v>159222</v>
      </c>
      <c r="G55" s="341">
        <f t="shared" si="25"/>
        <v>83487</v>
      </c>
      <c r="H55" s="341">
        <f t="shared" si="25"/>
        <v>343469</v>
      </c>
      <c r="I55" s="341">
        <f t="shared" si="25"/>
        <v>63633</v>
      </c>
      <c r="J55" s="341">
        <f t="shared" si="25"/>
        <v>73806</v>
      </c>
      <c r="K55" s="341">
        <f t="shared" si="25"/>
        <v>9716</v>
      </c>
      <c r="L55" s="341">
        <f t="shared" si="25"/>
        <v>6948</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148917</v>
      </c>
      <c r="D58" s="341">
        <f t="shared" ref="D58:M58" si="28">IF(D$4="","",D44-D55-D56-D57)</f>
        <v>543305</v>
      </c>
      <c r="E58" s="341">
        <f t="shared" si="28"/>
        <v>829486</v>
      </c>
      <c r="F58" s="341">
        <f t="shared" si="28"/>
        <v>416030</v>
      </c>
      <c r="G58" s="341">
        <f t="shared" si="28"/>
        <v>299810</v>
      </c>
      <c r="H58" s="341">
        <f t="shared" si="28"/>
        <v>120949</v>
      </c>
      <c r="I58" s="341">
        <f t="shared" si="28"/>
        <v>122233</v>
      </c>
      <c r="J58" s="341">
        <f t="shared" si="28"/>
        <v>61676</v>
      </c>
      <c r="K58" s="341">
        <f t="shared" si="28"/>
        <v>411830</v>
      </c>
      <c r="L58" s="341">
        <f t="shared" si="28"/>
        <v>2276</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1815.2739999999999</v>
      </c>
      <c r="D62" s="326">
        <f t="shared" ref="D62:M62" si="30">IF(D$4="","",IF(D20=0,D61,-D20))</f>
        <v>1815.2739999999999</v>
      </c>
      <c r="E62" s="326">
        <f t="shared" si="30"/>
        <v>1830.425</v>
      </c>
      <c r="F62" s="326">
        <f t="shared" si="30"/>
        <v>1027.7539999999999</v>
      </c>
      <c r="G62" s="326">
        <f t="shared" si="30"/>
        <v>745.63400000000001</v>
      </c>
      <c r="H62" s="326">
        <f t="shared" si="30"/>
        <v>649.02099999999996</v>
      </c>
      <c r="I62" s="326">
        <f t="shared" si="30"/>
        <v>0</v>
      </c>
      <c r="J62" s="326">
        <f t="shared" si="30"/>
        <v>0</v>
      </c>
      <c r="K62" s="326">
        <f t="shared" si="30"/>
        <v>0</v>
      </c>
      <c r="L62" s="326">
        <f t="shared" si="30"/>
        <v>0</v>
      </c>
      <c r="M62" s="326" t="str">
        <f t="shared" si="30"/>
        <v/>
      </c>
    </row>
    <row r="63" spans="2:13">
      <c r="B63" s="27" t="s">
        <v>52</v>
      </c>
      <c r="C63" s="326">
        <f>IF(C$4="","",-C21)</f>
        <v>31.047000000000001</v>
      </c>
      <c r="D63" s="326">
        <f t="shared" ref="D63:M63" si="31">IF(D$4="","",-D21)</f>
        <v>31.047000000000001</v>
      </c>
      <c r="E63" s="326">
        <f t="shared" si="31"/>
        <v>1133.2159999999999</v>
      </c>
      <c r="F63" s="326">
        <f t="shared" si="31"/>
        <v>-826.13499999999999</v>
      </c>
      <c r="G63" s="326">
        <f t="shared" si="31"/>
        <v>-141.60300000000001</v>
      </c>
      <c r="H63" s="326">
        <f t="shared" si="31"/>
        <v>0</v>
      </c>
      <c r="I63" s="326">
        <f t="shared" si="31"/>
        <v>0</v>
      </c>
      <c r="J63" s="326">
        <f t="shared" si="31"/>
        <v>0</v>
      </c>
      <c r="K63" s="326">
        <f t="shared" si="31"/>
        <v>0</v>
      </c>
      <c r="L63" s="326">
        <f t="shared" si="31"/>
        <v>0</v>
      </c>
      <c r="M63" s="326" t="str">
        <f t="shared" si="31"/>
        <v/>
      </c>
    </row>
    <row r="64" spans="2:13">
      <c r="B64" s="27" t="s">
        <v>394</v>
      </c>
      <c r="C64" s="326">
        <f>IF(C$4="","",C22+C23+C24)</f>
        <v>0</v>
      </c>
      <c r="D64" s="326">
        <f t="shared" ref="D64:M64" si="32">IF(D$4="","",D22+D23+D24)</f>
        <v>-1978120</v>
      </c>
      <c r="E64" s="326">
        <f t="shared" si="32"/>
        <v>-7455264</v>
      </c>
      <c r="F64" s="326">
        <f t="shared" si="32"/>
        <v>7582785</v>
      </c>
      <c r="G64" s="326">
        <f t="shared" si="32"/>
        <v>1258290</v>
      </c>
      <c r="H64" s="326">
        <f t="shared" si="32"/>
        <v>2281502</v>
      </c>
      <c r="I64" s="326">
        <f t="shared" si="32"/>
        <v>1123289</v>
      </c>
      <c r="J64" s="326">
        <f t="shared" si="32"/>
        <v>584134</v>
      </c>
      <c r="K64" s="326">
        <f t="shared" si="32"/>
        <v>166143</v>
      </c>
      <c r="L64" s="326">
        <f t="shared" si="32"/>
        <v>960673</v>
      </c>
      <c r="M64" s="326" t="str">
        <f t="shared" si="32"/>
        <v/>
      </c>
    </row>
    <row r="65" spans="2:13">
      <c r="B65" s="24" t="s">
        <v>36</v>
      </c>
      <c r="C65" s="73">
        <f>IF(C$4="","",C25)</f>
        <v>0.53933281450524906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35708406</v>
      </c>
      <c r="D76" s="341">
        <f t="shared" ref="D76:M76" si="39">IF(D$4="","",D79+D80)</f>
        <v>34207803</v>
      </c>
      <c r="E76" s="341">
        <f t="shared" si="39"/>
        <v>33646519</v>
      </c>
      <c r="F76" s="341">
        <f t="shared" si="39"/>
        <v>30274816</v>
      </c>
      <c r="G76" s="341">
        <f t="shared" si="39"/>
        <v>14593865</v>
      </c>
      <c r="H76" s="341">
        <f t="shared" si="39"/>
        <v>12547474</v>
      </c>
      <c r="I76" s="341">
        <f t="shared" si="39"/>
        <v>8727305</v>
      </c>
      <c r="J76" s="341">
        <f t="shared" si="39"/>
        <v>7321349</v>
      </c>
      <c r="K76" s="341">
        <f t="shared" si="39"/>
        <v>6780494</v>
      </c>
      <c r="L76" s="341">
        <f t="shared" si="39"/>
        <v>6897458</v>
      </c>
      <c r="M76" s="341" t="str">
        <f t="shared" si="39"/>
        <v/>
      </c>
    </row>
    <row r="77" spans="2:13">
      <c r="B77" s="93" t="s">
        <v>86</v>
      </c>
      <c r="C77" s="336">
        <f t="shared" ref="C77:H78" si="40">IF(C$4="","",C28)</f>
        <v>1250023</v>
      </c>
      <c r="D77" s="336">
        <f t="shared" si="40"/>
        <v>1205532</v>
      </c>
      <c r="E77" s="336">
        <f t="shared" si="40"/>
        <v>1020346</v>
      </c>
      <c r="F77" s="336">
        <f t="shared" si="40"/>
        <v>902857</v>
      </c>
      <c r="G77" s="336">
        <f t="shared" si="40"/>
        <v>658796</v>
      </c>
      <c r="H77" s="336">
        <f t="shared" si="40"/>
        <v>686606</v>
      </c>
      <c r="I77" s="342"/>
      <c r="J77" s="342"/>
      <c r="K77" s="342"/>
      <c r="L77" s="342"/>
      <c r="M77" s="342"/>
    </row>
    <row r="78" spans="2:13">
      <c r="B78" s="93" t="s">
        <v>87</v>
      </c>
      <c r="C78" s="336">
        <f t="shared" si="40"/>
        <v>2598226</v>
      </c>
      <c r="D78" s="336">
        <f t="shared" si="40"/>
        <v>2493206</v>
      </c>
      <c r="E78" s="336">
        <f t="shared" si="40"/>
        <v>2428040</v>
      </c>
      <c r="F78" s="336">
        <f t="shared" si="40"/>
        <v>1772803</v>
      </c>
      <c r="G78" s="336">
        <f t="shared" si="40"/>
        <v>1345539</v>
      </c>
      <c r="H78" s="336">
        <f t="shared" si="40"/>
        <v>1407257</v>
      </c>
      <c r="I78" s="342"/>
      <c r="J78" s="342"/>
      <c r="K78" s="342"/>
      <c r="L78" s="342"/>
      <c r="M78" s="342"/>
    </row>
    <row r="79" spans="2:13">
      <c r="B79" s="26" t="s">
        <v>40</v>
      </c>
      <c r="C79" s="326">
        <f t="shared" ref="C79:M79" si="41">IF(C$4="","",C30)</f>
        <v>9604717</v>
      </c>
      <c r="D79" s="326">
        <f t="shared" si="41"/>
        <v>9801162</v>
      </c>
      <c r="E79" s="326">
        <f t="shared" si="41"/>
        <v>9314591</v>
      </c>
      <c r="F79" s="326">
        <f t="shared" si="41"/>
        <v>9170709</v>
      </c>
      <c r="G79" s="326">
        <f t="shared" si="41"/>
        <v>5904448</v>
      </c>
      <c r="H79" s="326">
        <f t="shared" si="41"/>
        <v>5423281</v>
      </c>
      <c r="I79" s="326">
        <f t="shared" si="41"/>
        <v>2907715</v>
      </c>
      <c r="J79" s="326">
        <f t="shared" si="41"/>
        <v>2247752</v>
      </c>
      <c r="K79" s="326">
        <f t="shared" si="41"/>
        <v>2783345</v>
      </c>
      <c r="L79" s="326">
        <f t="shared" si="41"/>
        <v>3486918</v>
      </c>
      <c r="M79" s="326" t="str">
        <f t="shared" si="41"/>
        <v/>
      </c>
    </row>
    <row r="80" spans="2:13">
      <c r="B80" s="26" t="s">
        <v>30</v>
      </c>
      <c r="C80" s="326">
        <f t="shared" ref="C80:M80" si="42">IF(C$4="","",C31)</f>
        <v>26103689</v>
      </c>
      <c r="D80" s="326">
        <f t="shared" si="42"/>
        <v>24406641</v>
      </c>
      <c r="E80" s="326">
        <f t="shared" si="42"/>
        <v>24331928</v>
      </c>
      <c r="F80" s="326">
        <f t="shared" si="42"/>
        <v>21104107</v>
      </c>
      <c r="G80" s="326">
        <f t="shared" si="42"/>
        <v>8689417</v>
      </c>
      <c r="H80" s="326">
        <f t="shared" si="42"/>
        <v>7124193</v>
      </c>
      <c r="I80" s="326">
        <f t="shared" si="42"/>
        <v>5819590</v>
      </c>
      <c r="J80" s="326">
        <f t="shared" si="42"/>
        <v>5073597</v>
      </c>
      <c r="K80" s="326">
        <f t="shared" si="42"/>
        <v>3997149</v>
      </c>
      <c r="L80" s="326">
        <f t="shared" si="42"/>
        <v>3410540</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1004591+245432</f>
        <v>1250023</v>
      </c>
      <c r="D4" s="263">
        <v>0.6</v>
      </c>
      <c r="E4" s="25"/>
      <c r="F4" s="4" t="s">
        <v>78</v>
      </c>
      <c r="G4" s="19">
        <f>8264361+7498596</f>
        <v>15762957</v>
      </c>
      <c r="H4" s="263">
        <v>0.9</v>
      </c>
    </row>
    <row r="5" spans="2:8" ht="15" customHeight="1">
      <c r="B5" s="1" t="s">
        <v>33</v>
      </c>
      <c r="C5" s="19">
        <v>0</v>
      </c>
      <c r="D5" s="263">
        <v>0.6</v>
      </c>
      <c r="E5" s="25"/>
      <c r="F5" s="1" t="s">
        <v>29</v>
      </c>
      <c r="G5" s="19">
        <v>23261</v>
      </c>
      <c r="H5" s="263">
        <v>0.7</v>
      </c>
    </row>
    <row r="6" spans="2:8" ht="15" customHeight="1">
      <c r="B6" s="4" t="s">
        <v>10</v>
      </c>
      <c r="C6" s="19">
        <v>2598226</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0</v>
      </c>
      <c r="D10" s="263">
        <v>0.9</v>
      </c>
      <c r="H10" s="264"/>
    </row>
    <row r="11" spans="2:8" ht="15" customHeight="1">
      <c r="B11" s="4" t="s">
        <v>12</v>
      </c>
      <c r="C11" s="19">
        <v>893775</v>
      </c>
      <c r="D11" s="263">
        <v>0.05</v>
      </c>
      <c r="H11" s="264"/>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166519</v>
      </c>
      <c r="D15" s="263">
        <v>0.4</v>
      </c>
      <c r="F15" s="4" t="s">
        <v>79</v>
      </c>
      <c r="G15" s="19">
        <v>2377970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450316</v>
      </c>
      <c r="H17" s="263">
        <v>0.6</v>
      </c>
    </row>
    <row r="18" spans="2:8" ht="15" customHeight="1">
      <c r="B18" s="4" t="s">
        <v>174</v>
      </c>
      <c r="C18" s="19">
        <v>0</v>
      </c>
      <c r="D18" s="263">
        <v>0.6</v>
      </c>
      <c r="F18" s="4" t="s">
        <v>182</v>
      </c>
      <c r="G18" s="19">
        <v>1743938</v>
      </c>
      <c r="H18" s="263">
        <v>0.1</v>
      </c>
    </row>
    <row r="19" spans="2:8" ht="15" customHeight="1">
      <c r="B19" s="4" t="s">
        <v>26</v>
      </c>
      <c r="C19" s="19">
        <f>4610454+1576667+150864</f>
        <v>6337985</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234736</v>
      </c>
      <c r="D21" s="263">
        <v>0.05</v>
      </c>
      <c r="F21" s="1" t="s">
        <v>181</v>
      </c>
      <c r="G21" s="19">
        <v>2913826</v>
      </c>
      <c r="H21" s="263">
        <v>0.1</v>
      </c>
    </row>
    <row r="22" spans="2:8" ht="15" customHeight="1">
      <c r="B22" s="4" t="s">
        <v>20</v>
      </c>
      <c r="C22" s="19">
        <v>949424</v>
      </c>
      <c r="D22" s="263">
        <v>0.9</v>
      </c>
      <c r="H22" s="264"/>
    </row>
    <row r="23" spans="2:8" ht="15" customHeight="1">
      <c r="B23" s="4" t="s">
        <v>21</v>
      </c>
      <c r="C23" s="19">
        <v>5450</v>
      </c>
      <c r="D23" s="263">
        <v>0</v>
      </c>
      <c r="H23" s="264"/>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182" t="s">
        <v>137</v>
      </c>
      <c r="F26" s="184" t="s">
        <v>197</v>
      </c>
      <c r="G26" s="185" t="s">
        <v>137</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245</v>
      </c>
      <c r="G28" s="12">
        <v>0</v>
      </c>
      <c r="H28" s="188"/>
    </row>
    <row r="29" spans="2:8" ht="15" customHeight="1">
      <c r="B29" s="4" t="s">
        <v>7</v>
      </c>
      <c r="C29" s="19">
        <v>0</v>
      </c>
      <c r="F29" s="190" t="s">
        <v>76</v>
      </c>
      <c r="G29" s="14">
        <f>G27-G28</f>
        <v>26103689</v>
      </c>
      <c r="H29" s="188">
        <f>H27-G28</f>
        <v>10897009.050000001</v>
      </c>
    </row>
    <row r="30" spans="2:8" ht="15" customHeight="1">
      <c r="B30" s="2" t="s">
        <v>8</v>
      </c>
      <c r="C30" s="19">
        <v>0</v>
      </c>
      <c r="F30" s="187" t="s">
        <v>23</v>
      </c>
      <c r="G30" s="85">
        <f>C33+C42</f>
        <v>9604717</v>
      </c>
      <c r="H30" s="188"/>
    </row>
    <row r="31" spans="2:8" ht="15" customHeight="1">
      <c r="B31" s="80" t="s">
        <v>204</v>
      </c>
      <c r="C31" s="81">
        <f>SUM(C27:C30)</f>
        <v>551610</v>
      </c>
      <c r="F31" s="190" t="s">
        <v>77</v>
      </c>
      <c r="G31" s="191">
        <f>C31+C40</f>
        <v>1936137</v>
      </c>
      <c r="H31" s="188"/>
    </row>
    <row r="32" spans="2:8" ht="15" customHeight="1">
      <c r="B32" s="4" t="s">
        <v>9</v>
      </c>
      <c r="C32" s="21">
        <f>C33-C31</f>
        <v>7034336</v>
      </c>
      <c r="F32" s="192" t="s">
        <v>75</v>
      </c>
      <c r="G32" s="193">
        <f>G35+G40</f>
        <v>35708406</v>
      </c>
      <c r="H32" s="188">
        <f>H35+H40</f>
        <v>20501726.050000001</v>
      </c>
    </row>
    <row r="33" spans="2:8" ht="15" customHeight="1">
      <c r="B33" s="83" t="s">
        <v>4</v>
      </c>
      <c r="C33" s="84">
        <v>7585946</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12436138</v>
      </c>
      <c r="H35" s="200">
        <f>D12+D24</f>
        <v>3660440.05</v>
      </c>
    </row>
    <row r="36" spans="2:8" ht="15" customHeight="1">
      <c r="B36" s="4" t="s">
        <v>13</v>
      </c>
      <c r="C36" s="19">
        <v>0</v>
      </c>
      <c r="F36" s="190" t="s">
        <v>198</v>
      </c>
      <c r="G36" s="191">
        <f>C4+C15</f>
        <v>1416542</v>
      </c>
      <c r="H36" s="195"/>
    </row>
    <row r="37" spans="2:8" ht="15" customHeight="1">
      <c r="B37" s="4" t="s">
        <v>14</v>
      </c>
      <c r="C37" s="19">
        <v>1384527</v>
      </c>
      <c r="F37" s="190" t="s">
        <v>199</v>
      </c>
      <c r="G37" s="191">
        <f>C6</f>
        <v>2598226</v>
      </c>
      <c r="H37" s="195"/>
    </row>
    <row r="38" spans="2:8" ht="15" customHeight="1">
      <c r="B38" s="4" t="s">
        <v>15</v>
      </c>
      <c r="C38" s="19">
        <v>0</v>
      </c>
      <c r="F38" s="190" t="s">
        <v>200</v>
      </c>
      <c r="G38" s="191">
        <f>C7+C17</f>
        <v>0</v>
      </c>
      <c r="H38" s="195"/>
    </row>
    <row r="39" spans="2:8" ht="15" customHeight="1">
      <c r="B39" s="2" t="s">
        <v>16</v>
      </c>
      <c r="C39" s="19">
        <v>0</v>
      </c>
      <c r="F39" s="190" t="s">
        <v>80</v>
      </c>
      <c r="G39" s="191">
        <f>C7+C17+C19+C20</f>
        <v>6337985</v>
      </c>
      <c r="H39" s="188">
        <f>C7*D7+C17*D17+C19*D19+C20*D20</f>
        <v>633798.5</v>
      </c>
    </row>
    <row r="40" spans="2:8" ht="15" customHeight="1">
      <c r="B40" s="80" t="s">
        <v>205</v>
      </c>
      <c r="C40" s="81">
        <f>SUM(C36:C39)</f>
        <v>1384527</v>
      </c>
      <c r="F40" s="199" t="s">
        <v>139</v>
      </c>
      <c r="G40" s="193">
        <f>G12+G24</f>
        <v>23272268</v>
      </c>
      <c r="H40" s="200">
        <f>H12+H24</f>
        <v>16841286</v>
      </c>
    </row>
    <row r="41" spans="2:8" ht="15" customHeight="1">
      <c r="B41" s="4" t="s">
        <v>17</v>
      </c>
      <c r="C41" s="21">
        <f>C42-C40</f>
        <v>634244</v>
      </c>
      <c r="F41" s="190" t="s">
        <v>192</v>
      </c>
      <c r="G41" s="191">
        <f>C70</f>
        <v>19908126</v>
      </c>
      <c r="H41" s="200">
        <f>H40-H42</f>
        <v>16279713.800000001</v>
      </c>
    </row>
    <row r="42" spans="2:8" ht="15" customHeight="1">
      <c r="B42" s="83" t="s">
        <v>22</v>
      </c>
      <c r="C42" s="84">
        <v>2018771</v>
      </c>
      <c r="F42" s="201" t="s">
        <v>193</v>
      </c>
      <c r="G42" s="202">
        <f>C82</f>
        <v>3364142</v>
      </c>
      <c r="H42" s="203">
        <f>D82</f>
        <v>561572.19999999995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26103689</v>
      </c>
      <c r="D46" s="76">
        <f>H29</f>
        <v>10897009.050000001</v>
      </c>
      <c r="F46" s="253"/>
    </row>
    <row r="47" spans="2:8" ht="15" customHeight="1">
      <c r="B47" s="1" t="str">
        <f>"Equity per share ("&amp;Market_currency&amp;")"</f>
        <v>Equity per share (HKD)</v>
      </c>
      <c r="C47" s="147">
        <f>C46*H1/Common_Shares*Exchange_Rate</f>
        <v>10.950294834181843</v>
      </c>
      <c r="D47" s="147">
        <f>D46*H1/Common_Shares*Exchange_Rate</f>
        <v>4.571210678622772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0.60402076709908736</v>
      </c>
      <c r="D50" s="95">
        <f>G31/Normalized_FCF!G8</f>
        <v>0.54859123183168057</v>
      </c>
      <c r="F50" s="253"/>
    </row>
    <row r="51" spans="2:8" ht="15" customHeight="1">
      <c r="B51" s="1" t="s">
        <v>177</v>
      </c>
      <c r="C51" s="181"/>
      <c r="D51" s="92">
        <f>G29/G32</f>
        <v>0.73102364188421065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0.25775000437452</v>
      </c>
      <c r="D54" s="92">
        <f>Normalized_FCF!G8/G35</f>
        <v>0.28379300712166428</v>
      </c>
      <c r="F54" s="253"/>
    </row>
    <row r="55" spans="2:8" ht="15" customHeight="1">
      <c r="B55" s="1" t="s">
        <v>142</v>
      </c>
      <c r="C55" s="92">
        <f>Normalized_FCF!C11/G40</f>
        <v>7.709145494543118E-3</v>
      </c>
      <c r="D55" s="92">
        <f>Normalized_FCF!G11/G40</f>
        <v>1.1013064992204455E-2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0.17749280099481338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18164188</v>
      </c>
      <c r="D66" s="76">
        <f>C66-D75</f>
        <v>14105671.132388648</v>
      </c>
      <c r="F66" s="5" t="s">
        <v>227</v>
      </c>
    </row>
    <row r="67" spans="2:6" ht="15" customHeight="1">
      <c r="B67" s="105" t="s">
        <v>178</v>
      </c>
      <c r="C67" s="20">
        <f>G6+G16</f>
        <v>0</v>
      </c>
      <c r="F67" s="253"/>
    </row>
    <row r="68" spans="2:6" ht="15" customHeight="1">
      <c r="B68" s="105" t="s">
        <v>182</v>
      </c>
      <c r="C68" s="20">
        <f>G18</f>
        <v>1743938</v>
      </c>
      <c r="F68" s="253"/>
    </row>
    <row r="69" spans="2:6" ht="15" customHeight="1">
      <c r="B69" s="105" t="s">
        <v>180</v>
      </c>
      <c r="C69" s="20">
        <f>G8+G20</f>
        <v>0</v>
      </c>
      <c r="F69" s="253"/>
    </row>
    <row r="70" spans="2:6" ht="15" customHeight="1">
      <c r="B70" s="80" t="s">
        <v>189</v>
      </c>
      <c r="C70" s="81">
        <f>SUM(C66:C69)</f>
        <v>19908126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-2211701.6941308542</v>
      </c>
      <c r="D73" s="76">
        <f>(Normalized_FCF!C25+Normalized_FCF!C35-Normalized_FCF!C91)/12</f>
        <v>-2029258.4338056764</v>
      </c>
      <c r="F73" s="1" t="s">
        <v>352</v>
      </c>
    </row>
    <row r="74" spans="2:6" ht="15" customHeight="1">
      <c r="B74" s="257" t="s">
        <v>322</v>
      </c>
      <c r="C74" s="258">
        <f>-$C$66/C73</f>
        <v>8.212765784916618</v>
      </c>
      <c r="D74" s="258">
        <f>-$C$66/D73</f>
        <v>8.9511457473333422</v>
      </c>
      <c r="F74" s="253" t="s">
        <v>320</v>
      </c>
    </row>
    <row r="75" spans="2:6" ht="15" customHeight="1">
      <c r="B75" s="80" t="s">
        <v>321</v>
      </c>
      <c r="C75" s="262"/>
      <c r="D75" s="261">
        <f>MAX(-D73*D76,G5)</f>
        <v>4058516.8676113528</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450316</v>
      </c>
      <c r="D79" s="76">
        <f>G7*H7+G17*H17</f>
        <v>270189.59999999998</v>
      </c>
      <c r="F79" s="253"/>
    </row>
    <row r="80" spans="2:6" ht="15" customHeight="1">
      <c r="B80" s="105" t="s">
        <v>183</v>
      </c>
      <c r="C80" s="20">
        <f>G19</f>
        <v>0</v>
      </c>
      <c r="D80" s="76">
        <f>G19*H19</f>
        <v>0</v>
      </c>
      <c r="F80" s="253"/>
    </row>
    <row r="81" spans="2:8" ht="15" customHeight="1">
      <c r="B81" s="105" t="s">
        <v>181</v>
      </c>
      <c r="C81" s="20">
        <f>G9+G21</f>
        <v>2913826</v>
      </c>
      <c r="D81" s="76">
        <f>G9*H9+G21*H21</f>
        <v>291382.60000000003</v>
      </c>
      <c r="F81" s="253"/>
    </row>
    <row r="82" spans="2:8" ht="15" customHeight="1">
      <c r="B82" s="80" t="s">
        <v>190</v>
      </c>
      <c r="C82" s="81">
        <f>SUM(C79:C81)</f>
        <v>3364142</v>
      </c>
      <c r="D82" s="81">
        <f>SUM(D79:D81)</f>
        <v>561572.19999999995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-2099358.4798630499</v>
      </c>
      <c r="D86" s="223">
        <f>C86*scaling_factor/Common_Shares</f>
        <v>-0.81219443693833215</v>
      </c>
      <c r="E86" s="240" t="str">
        <f>Market_currency</f>
        <v>HKD</v>
      </c>
    </row>
    <row r="87" spans="2:8" ht="15" customHeight="1">
      <c r="B87" s="238" t="s">
        <v>288</v>
      </c>
      <c r="C87" s="76">
        <f>DCF!C8*Exchange_Rate</f>
        <v>15294816.58887751</v>
      </c>
      <c r="D87" s="223">
        <f>C87*scaling_factor/Common_Shares</f>
        <v>5.9172195061649475</v>
      </c>
      <c r="E87" s="240" t="str">
        <f>Market_currency</f>
        <v>HKD</v>
      </c>
    </row>
    <row r="88" spans="2:8" ht="15" customHeight="1">
      <c r="B88" s="239" t="s">
        <v>190</v>
      </c>
      <c r="C88" s="76">
        <f>DCF!C9*Exchange_Rate</f>
        <v>608914.22462632996</v>
      </c>
      <c r="D88" s="223">
        <f>C88*scaling_factor/Common_Shares</f>
        <v>0.23557517715906492</v>
      </c>
      <c r="E88" s="240" t="str">
        <f>Market_currency</f>
        <v>HKD</v>
      </c>
    </row>
    <row r="89" spans="2:8" ht="15" customHeight="1">
      <c r="B89" s="80" t="s">
        <v>292</v>
      </c>
      <c r="C89" s="180">
        <f>SUM(C86:C88)</f>
        <v>13804372.333640791</v>
      </c>
      <c r="D89" s="242">
        <f>SUM(D86:D88)</f>
        <v>5.3406002463856801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AVERAGE(G4:J4)</f>
        <v>26162449.5</v>
      </c>
      <c r="D4" s="57"/>
      <c r="E4" s="268"/>
      <c r="F4" s="57"/>
      <c r="G4" s="326">
        <f>Data!C36</f>
        <v>28675643</v>
      </c>
      <c r="H4" s="326">
        <f>Data!D36</f>
        <v>27598491</v>
      </c>
      <c r="I4" s="326">
        <f>Data!E36</f>
        <v>25803383</v>
      </c>
      <c r="J4" s="326">
        <f>Data!F36</f>
        <v>22572281</v>
      </c>
      <c r="K4" s="326">
        <f>Data!G36</f>
        <v>14456971</v>
      </c>
      <c r="L4" s="326">
        <f>Data!H36</f>
        <v>13869630</v>
      </c>
      <c r="M4" s="326">
        <f>Data!I36</f>
        <v>10510898</v>
      </c>
      <c r="N4" s="326">
        <f>Data!J36</f>
        <v>8873912</v>
      </c>
      <c r="O4" s="326">
        <f>Data!K36</f>
        <v>8015293</v>
      </c>
      <c r="P4" s="326">
        <f>Data!L36</f>
        <v>7089495</v>
      </c>
      <c r="Q4" s="326" t="str">
        <f>Data!M36</f>
        <v/>
      </c>
    </row>
    <row r="5" spans="1:17" ht="15.75" customHeight="1">
      <c r="A5" s="10"/>
      <c r="B5" s="2" t="s">
        <v>46</v>
      </c>
      <c r="C5" s="321">
        <f>C25</f>
        <v>-21529127.876097865</v>
      </c>
      <c r="E5" s="270"/>
      <c r="G5" s="326">
        <f t="shared" ref="G5:Q5" si="1">G25</f>
        <v>-23718447</v>
      </c>
      <c r="H5" s="326">
        <f t="shared" si="1"/>
        <v>-23326557</v>
      </c>
      <c r="I5" s="326">
        <f t="shared" si="1"/>
        <v>-20632893</v>
      </c>
      <c r="J5" s="326">
        <f t="shared" si="1"/>
        <v>-16741260</v>
      </c>
      <c r="K5" s="326">
        <f t="shared" si="1"/>
        <v>-11787345</v>
      </c>
      <c r="L5" s="326">
        <f t="shared" si="1"/>
        <v>-11509238</v>
      </c>
      <c r="M5" s="326">
        <f t="shared" si="1"/>
        <v>-9166570</v>
      </c>
      <c r="N5" s="326">
        <f t="shared" si="1"/>
        <v>-7970804</v>
      </c>
      <c r="O5" s="326">
        <f t="shared" si="1"/>
        <v>-7279406</v>
      </c>
      <c r="P5" s="326">
        <f t="shared" si="1"/>
        <v>-6617197</v>
      </c>
      <c r="Q5" s="326" t="str">
        <f t="shared" si="1"/>
        <v/>
      </c>
    </row>
    <row r="6" spans="1:17" ht="15.75" customHeight="1">
      <c r="A6" s="10"/>
      <c r="B6" s="31" t="s">
        <v>48</v>
      </c>
      <c r="C6" s="322">
        <f>C4+C5</f>
        <v>4633321.6239021346</v>
      </c>
      <c r="E6" s="270"/>
      <c r="G6" s="322">
        <f>IF(G4="","",G4+G5)</f>
        <v>4957196</v>
      </c>
      <c r="H6" s="322">
        <f t="shared" ref="H6:Q6" si="2">IF(H4="","",H4+H5)</f>
        <v>4271934</v>
      </c>
      <c r="I6" s="322">
        <f t="shared" si="2"/>
        <v>5170490</v>
      </c>
      <c r="J6" s="322">
        <f t="shared" si="2"/>
        <v>5831021</v>
      </c>
      <c r="K6" s="322">
        <f t="shared" si="2"/>
        <v>2669626</v>
      </c>
      <c r="L6" s="322">
        <f t="shared" si="2"/>
        <v>2360392</v>
      </c>
      <c r="M6" s="322">
        <f t="shared" si="2"/>
        <v>1344328</v>
      </c>
      <c r="N6" s="322">
        <f t="shared" si="2"/>
        <v>903108</v>
      </c>
      <c r="O6" s="322">
        <f t="shared" si="2"/>
        <v>735887</v>
      </c>
      <c r="P6" s="322">
        <f t="shared" si="2"/>
        <v>472298</v>
      </c>
      <c r="Q6" s="322" t="str">
        <f t="shared" si="2"/>
        <v/>
      </c>
    </row>
    <row r="7" spans="1:17" ht="15.75" customHeight="1">
      <c r="A7" s="10"/>
      <c r="B7" s="8" t="s">
        <v>45</v>
      </c>
      <c r="C7" s="321">
        <f>C35</f>
        <v>-1427907</v>
      </c>
      <c r="E7" s="270"/>
      <c r="G7" s="321">
        <f t="shared" ref="G7:Q7" si="3">G35</f>
        <v>-1427907</v>
      </c>
      <c r="H7" s="321">
        <f t="shared" si="3"/>
        <v>-1256152</v>
      </c>
      <c r="I7" s="321">
        <f t="shared" si="3"/>
        <v>-1113218</v>
      </c>
      <c r="J7" s="321">
        <f t="shared" si="3"/>
        <v>-1110675</v>
      </c>
      <c r="K7" s="321">
        <f t="shared" si="3"/>
        <v>-805058</v>
      </c>
      <c r="L7" s="321">
        <f t="shared" si="3"/>
        <v>-968264</v>
      </c>
      <c r="M7" s="321">
        <f t="shared" si="3"/>
        <v>-679873</v>
      </c>
      <c r="N7" s="321">
        <f t="shared" si="3"/>
        <v>-501066</v>
      </c>
      <c r="O7" s="321">
        <f t="shared" si="3"/>
        <v>-424129</v>
      </c>
      <c r="P7" s="321">
        <f t="shared" si="3"/>
        <v>-346149</v>
      </c>
      <c r="Q7" s="321" t="str">
        <f t="shared" si="3"/>
        <v/>
      </c>
    </row>
    <row r="8" spans="1:17" ht="15.75" customHeight="1">
      <c r="A8" s="10"/>
      <c r="B8" s="29" t="s">
        <v>153</v>
      </c>
      <c r="C8" s="323">
        <f>C6+C7</f>
        <v>3205414.6239021346</v>
      </c>
      <c r="D8" s="59"/>
      <c r="E8" s="276"/>
      <c r="F8" s="59"/>
      <c r="G8" s="322">
        <f>IF(G$4="","",G6+G7)</f>
        <v>3529289</v>
      </c>
      <c r="H8" s="322">
        <f t="shared" ref="H8:Q8" si="4">IF(H$4="","",H6+H7)</f>
        <v>3015782</v>
      </c>
      <c r="I8" s="322">
        <f t="shared" si="4"/>
        <v>4057272</v>
      </c>
      <c r="J8" s="322">
        <f t="shared" si="4"/>
        <v>4720346</v>
      </c>
      <c r="K8" s="322">
        <f t="shared" si="4"/>
        <v>1864568</v>
      </c>
      <c r="L8" s="322">
        <f t="shared" si="4"/>
        <v>1392128</v>
      </c>
      <c r="M8" s="322">
        <f t="shared" si="4"/>
        <v>664455</v>
      </c>
      <c r="N8" s="322">
        <f t="shared" si="4"/>
        <v>402042</v>
      </c>
      <c r="O8" s="322">
        <f t="shared" si="4"/>
        <v>311758</v>
      </c>
      <c r="P8" s="322">
        <f t="shared" si="4"/>
        <v>126149</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1815.2739999999999</v>
      </c>
      <c r="H10" s="321">
        <f>Data!D62</f>
        <v>1815.2739999999999</v>
      </c>
      <c r="I10" s="321">
        <f>Data!E62</f>
        <v>1830.425</v>
      </c>
      <c r="J10" s="321">
        <f>Data!F62</f>
        <v>1027.7539999999999</v>
      </c>
      <c r="K10" s="321">
        <f>Data!G62</f>
        <v>745.63400000000001</v>
      </c>
      <c r="L10" s="321">
        <f>Data!H62</f>
        <v>649.02099999999996</v>
      </c>
      <c r="M10" s="321">
        <f>Data!I62</f>
        <v>0</v>
      </c>
      <c r="N10" s="321">
        <f>Data!J62</f>
        <v>0</v>
      </c>
      <c r="O10" s="321">
        <f>Data!K62</f>
        <v>0</v>
      </c>
      <c r="P10" s="321">
        <f>Data!L62</f>
        <v>0</v>
      </c>
      <c r="Q10" s="321" t="str">
        <f>Data!M62</f>
        <v/>
      </c>
    </row>
    <row r="11" spans="1:17" ht="15.75" customHeight="1">
      <c r="A11" s="10"/>
      <c r="B11" s="31" t="s">
        <v>195</v>
      </c>
      <c r="C11" s="324">
        <f>C63</f>
        <v>179409.3</v>
      </c>
      <c r="D11" s="168"/>
      <c r="E11" s="269"/>
      <c r="F11" s="168"/>
      <c r="G11" s="327">
        <f>G61</f>
        <v>256299</v>
      </c>
      <c r="H11" s="327">
        <f t="shared" ref="H11:Q11" si="5">H61</f>
        <v>377972</v>
      </c>
      <c r="I11" s="327">
        <f t="shared" si="5"/>
        <v>201155</v>
      </c>
      <c r="J11" s="327">
        <f t="shared" si="5"/>
        <v>159222</v>
      </c>
      <c r="K11" s="327">
        <f t="shared" si="5"/>
        <v>83487</v>
      </c>
      <c r="L11" s="327">
        <f t="shared" si="5"/>
        <v>343469</v>
      </c>
      <c r="M11" s="327">
        <f t="shared" si="5"/>
        <v>63633</v>
      </c>
      <c r="N11" s="327">
        <f t="shared" si="5"/>
        <v>73806</v>
      </c>
      <c r="O11" s="327">
        <f t="shared" si="5"/>
        <v>9716</v>
      </c>
      <c r="P11" s="327">
        <f t="shared" si="5"/>
        <v>6948</v>
      </c>
      <c r="Q11" s="327" t="str">
        <f t="shared" si="5"/>
        <v/>
      </c>
    </row>
    <row r="12" spans="1:17" ht="15.75" customHeight="1">
      <c r="A12" s="10"/>
      <c r="B12" s="2" t="s">
        <v>68</v>
      </c>
      <c r="C12" s="321">
        <f>C50</f>
        <v>-158450.04563855173</v>
      </c>
      <c r="E12" s="270"/>
      <c r="G12" s="321">
        <f>G50</f>
        <v>-158450.04563855173</v>
      </c>
      <c r="H12" s="321">
        <f t="shared" ref="H12:Q12" si="6">H50</f>
        <v>-69604.228202435013</v>
      </c>
      <c r="I12" s="321">
        <f t="shared" si="6"/>
        <v>-20518.388106792991</v>
      </c>
      <c r="J12" s="321">
        <f t="shared" si="6"/>
        <v>-80038.239648488307</v>
      </c>
      <c r="K12" s="321">
        <f t="shared" si="6"/>
        <v>0</v>
      </c>
      <c r="L12" s="321">
        <f t="shared" si="6"/>
        <v>0</v>
      </c>
      <c r="M12" s="321">
        <f t="shared" si="6"/>
        <v>0</v>
      </c>
      <c r="N12" s="321">
        <f t="shared" si="6"/>
        <v>0</v>
      </c>
      <c r="O12" s="321">
        <f t="shared" si="6"/>
        <v>0</v>
      </c>
      <c r="P12" s="321">
        <f t="shared" si="6"/>
        <v>0</v>
      </c>
      <c r="Q12" s="321" t="str">
        <f t="shared" si="6"/>
        <v/>
      </c>
    </row>
    <row r="13" spans="1:17" ht="15.75" customHeight="1">
      <c r="A13" s="10"/>
      <c r="B13" s="70" t="s">
        <v>165</v>
      </c>
      <c r="C13" s="322">
        <f>SUM(C8:C12)</f>
        <v>3226373.8782635825</v>
      </c>
      <c r="E13" s="270"/>
      <c r="G13" s="322">
        <f>IF(G$4="","",SUM(G8:G12))</f>
        <v>3628953.2283614483</v>
      </c>
      <c r="H13" s="322">
        <f t="shared" ref="H13:Q13" si="7">IF(H$4="","",SUM(H8:H12))</f>
        <v>3325965.045797565</v>
      </c>
      <c r="I13" s="322">
        <f t="shared" si="7"/>
        <v>4239739.0368932066</v>
      </c>
      <c r="J13" s="322">
        <f t="shared" si="7"/>
        <v>4800557.5143515114</v>
      </c>
      <c r="K13" s="322">
        <f t="shared" si="7"/>
        <v>1948800.6340000001</v>
      </c>
      <c r="L13" s="322">
        <f t="shared" si="7"/>
        <v>1736246.0209999999</v>
      </c>
      <c r="M13" s="322">
        <f t="shared" si="7"/>
        <v>728088</v>
      </c>
      <c r="N13" s="322">
        <f t="shared" si="7"/>
        <v>475848</v>
      </c>
      <c r="O13" s="322">
        <f t="shared" si="7"/>
        <v>321474</v>
      </c>
      <c r="P13" s="322">
        <f t="shared" si="7"/>
        <v>133097</v>
      </c>
      <c r="Q13" s="322" t="str">
        <f t="shared" si="7"/>
        <v/>
      </c>
    </row>
    <row r="14" spans="1:17" ht="15.75" customHeight="1">
      <c r="A14" s="10"/>
      <c r="B14" s="2" t="s">
        <v>63</v>
      </c>
      <c r="C14" s="321">
        <f>-SUM(C8+C11,C12)*C43</f>
        <v>-806593.46956589562</v>
      </c>
      <c r="E14" s="270"/>
      <c r="G14" s="321">
        <f>Data!C46</f>
        <v>-1096691</v>
      </c>
      <c r="H14" s="321">
        <f>Data!D46</f>
        <v>-1069207</v>
      </c>
      <c r="I14" s="321">
        <f>Data!E46</f>
        <v>-1351329</v>
      </c>
      <c r="J14" s="321">
        <f>Data!F46</f>
        <v>-1317349</v>
      </c>
      <c r="K14" s="321">
        <f>Data!G46</f>
        <v>-549381</v>
      </c>
      <c r="L14" s="321">
        <f>Data!H46</f>
        <v>-357403</v>
      </c>
      <c r="M14" s="321">
        <f>Data!I46</f>
        <v>-135058</v>
      </c>
      <c r="N14" s="321">
        <f>Data!J46</f>
        <v>-22369</v>
      </c>
      <c r="O14" s="321">
        <f>Data!K46</f>
        <v>-32435</v>
      </c>
      <c r="P14" s="321">
        <f>Data!L46</f>
        <v>-73768</v>
      </c>
      <c r="Q14" s="321" t="str">
        <f>Data!M46</f>
        <v/>
      </c>
    </row>
    <row r="15" spans="1:17" ht="15.75" customHeight="1">
      <c r="A15" s="10"/>
      <c r="B15" s="40" t="s">
        <v>244</v>
      </c>
      <c r="C15" s="321">
        <f>-C4*C83</f>
        <v>0</v>
      </c>
      <c r="D15" s="60"/>
      <c r="E15" s="277"/>
      <c r="F15" s="60"/>
      <c r="G15" s="326">
        <f>Data!C48</f>
        <v>0</v>
      </c>
      <c r="H15" s="326">
        <f>Data!D48</f>
        <v>-52</v>
      </c>
      <c r="I15" s="326">
        <f>Data!E48</f>
        <v>0</v>
      </c>
      <c r="J15" s="326">
        <f>Data!F48</f>
        <v>-7</v>
      </c>
      <c r="K15" s="326">
        <f>Data!G48</f>
        <v>0</v>
      </c>
      <c r="L15" s="326">
        <f>Data!H48</f>
        <v>-4</v>
      </c>
      <c r="M15" s="326">
        <f>Data!I48</f>
        <v>0</v>
      </c>
      <c r="N15" s="326">
        <f>Data!J48</f>
        <v>0</v>
      </c>
      <c r="O15" s="326">
        <f>Data!K48</f>
        <v>-57615</v>
      </c>
      <c r="P15" s="326">
        <f>Data!L48</f>
        <v>-47296</v>
      </c>
      <c r="Q15" s="326" t="str">
        <f>Data!M48</f>
        <v/>
      </c>
    </row>
    <row r="16" spans="1:17" ht="15.75" customHeight="1">
      <c r="A16" s="10"/>
      <c r="B16" s="41" t="s">
        <v>155</v>
      </c>
      <c r="C16" s="325">
        <f>SUM(C13:C15)</f>
        <v>2419780.4086976871</v>
      </c>
      <c r="D16" s="61"/>
      <c r="E16" s="278"/>
      <c r="F16" s="61"/>
      <c r="G16" s="322">
        <f>IF(G$4="","",SUM(G13:G15))</f>
        <v>2532262.2283614483</v>
      </c>
      <c r="H16" s="322">
        <f t="shared" ref="H16:Q16" si="8">IF(H$4="","",SUM(H13:H15))</f>
        <v>2256706.045797565</v>
      </c>
      <c r="I16" s="322">
        <f t="shared" si="8"/>
        <v>2888410.0368932066</v>
      </c>
      <c r="J16" s="322">
        <f t="shared" si="8"/>
        <v>3483201.5143515114</v>
      </c>
      <c r="K16" s="322">
        <f t="shared" si="8"/>
        <v>1399419.6340000001</v>
      </c>
      <c r="L16" s="322">
        <f t="shared" si="8"/>
        <v>1378839.0209999999</v>
      </c>
      <c r="M16" s="322">
        <f t="shared" si="8"/>
        <v>593030</v>
      </c>
      <c r="N16" s="322">
        <f t="shared" si="8"/>
        <v>453479</v>
      </c>
      <c r="O16" s="322">
        <f t="shared" si="8"/>
        <v>231424</v>
      </c>
      <c r="P16" s="322">
        <f t="shared" si="8"/>
        <v>12033</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2419780.4086976871</v>
      </c>
      <c r="D19" s="27"/>
      <c r="E19" s="267"/>
      <c r="F19" s="27"/>
      <c r="G19" s="327">
        <f>IF(G$4="","",G16+G17)</f>
        <v>2532262.2283614483</v>
      </c>
      <c r="H19" s="327">
        <f t="shared" ref="H19:Q19" si="9">IF(H$4="","",H16+H17)</f>
        <v>2256706.045797565</v>
      </c>
      <c r="I19" s="327">
        <f t="shared" si="9"/>
        <v>2888410.0368932066</v>
      </c>
      <c r="J19" s="327">
        <f t="shared" si="9"/>
        <v>3483201.5143515114</v>
      </c>
      <c r="K19" s="327">
        <f t="shared" si="9"/>
        <v>1399419.6340000001</v>
      </c>
      <c r="L19" s="327">
        <f t="shared" si="9"/>
        <v>1378839.0209999999</v>
      </c>
      <c r="M19" s="327">
        <f t="shared" si="9"/>
        <v>593030</v>
      </c>
      <c r="N19" s="327">
        <f t="shared" si="9"/>
        <v>453479</v>
      </c>
      <c r="O19" s="327">
        <f t="shared" si="9"/>
        <v>231424</v>
      </c>
      <c r="P19" s="327">
        <f t="shared" si="9"/>
        <v>12033</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-13136432.380387567</v>
      </c>
      <c r="D23" s="58"/>
      <c r="E23" s="269"/>
      <c r="F23" s="58"/>
      <c r="G23" s="326">
        <f>Data!C37</f>
        <v>-14519540</v>
      </c>
      <c r="H23" s="326">
        <f>Data!D37</f>
        <v>-14246436</v>
      </c>
      <c r="I23" s="326">
        <f>Data!E37</f>
        <v>-13318590</v>
      </c>
      <c r="J23" s="326">
        <f>Data!F37</f>
        <v>-10603183</v>
      </c>
      <c r="K23" s="326">
        <f>Data!G37</f>
        <v>-7362627</v>
      </c>
      <c r="L23" s="326">
        <f>Data!H37</f>
        <v>-7064168</v>
      </c>
      <c r="M23" s="326">
        <f>Data!I37</f>
        <v>-5458124</v>
      </c>
      <c r="N23" s="326">
        <f>Data!J37</f>
        <v>-4697429</v>
      </c>
      <c r="O23" s="326">
        <f>Data!K37</f>
        <v>-4310065</v>
      </c>
      <c r="P23" s="326">
        <f>Data!L37</f>
        <v>-3896836</v>
      </c>
      <c r="Q23" s="326" t="str">
        <f>Data!M37</f>
        <v/>
      </c>
    </row>
    <row r="24" spans="1:17" ht="15.75" customHeight="1">
      <c r="A24" s="10"/>
      <c r="B24" s="68" t="s">
        <v>62</v>
      </c>
      <c r="C24" s="321">
        <f>-C4*C29</f>
        <v>-8392695.4957102966</v>
      </c>
      <c r="D24" s="27"/>
      <c r="E24" s="267"/>
      <c r="F24" s="27"/>
      <c r="G24" s="326">
        <f>Data!C40</f>
        <v>-9198907</v>
      </c>
      <c r="H24" s="326">
        <f>Data!D40</f>
        <v>-9080121</v>
      </c>
      <c r="I24" s="326">
        <f>Data!E40</f>
        <v>-7314303</v>
      </c>
      <c r="J24" s="326">
        <f>Data!F40</f>
        <v>-6138077</v>
      </c>
      <c r="K24" s="326">
        <f>Data!G40</f>
        <v>-4424718</v>
      </c>
      <c r="L24" s="326">
        <f>Data!H40</f>
        <v>-4445070</v>
      </c>
      <c r="M24" s="326">
        <f>Data!I40</f>
        <v>-3708446</v>
      </c>
      <c r="N24" s="326">
        <f>Data!J40</f>
        <v>-3273375</v>
      </c>
      <c r="O24" s="326">
        <f>Data!K40</f>
        <v>-2969341</v>
      </c>
      <c r="P24" s="326">
        <f>Data!L40</f>
        <v>-2720361</v>
      </c>
      <c r="Q24" s="326" t="str">
        <f>Data!M40</f>
        <v/>
      </c>
    </row>
    <row r="25" spans="1:17" ht="15.75" customHeight="1">
      <c r="A25" s="10"/>
      <c r="B25" s="70" t="s">
        <v>46</v>
      </c>
      <c r="C25" s="322">
        <f>C23+C24</f>
        <v>-21529127.876097865</v>
      </c>
      <c r="D25" s="9"/>
      <c r="E25" s="275"/>
      <c r="F25" s="9"/>
      <c r="G25" s="322">
        <f t="shared" ref="G25:Q25" si="10">IF(G$4="","",G23+G24)</f>
        <v>-23718447</v>
      </c>
      <c r="H25" s="322">
        <f t="shared" si="10"/>
        <v>-23326557</v>
      </c>
      <c r="I25" s="322">
        <f t="shared" si="10"/>
        <v>-20632893</v>
      </c>
      <c r="J25" s="322">
        <f t="shared" si="10"/>
        <v>-16741260</v>
      </c>
      <c r="K25" s="322">
        <f t="shared" si="10"/>
        <v>-11787345</v>
      </c>
      <c r="L25" s="322">
        <f t="shared" si="10"/>
        <v>-11509238</v>
      </c>
      <c r="M25" s="322">
        <f t="shared" si="10"/>
        <v>-9166570</v>
      </c>
      <c r="N25" s="322">
        <f t="shared" si="10"/>
        <v>-7970804</v>
      </c>
      <c r="O25" s="322">
        <f t="shared" si="10"/>
        <v>-7279406</v>
      </c>
      <c r="P25" s="322">
        <f t="shared" si="10"/>
        <v>-6617197</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0.50211018583667277</v>
      </c>
      <c r="D28" s="26"/>
      <c r="E28" s="268"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8"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70"/>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70"/>
    </row>
    <row r="32" spans="1:17" ht="15.75" customHeight="1">
      <c r="A32" s="10"/>
      <c r="B32" s="64" t="s">
        <v>45</v>
      </c>
      <c r="E32" s="270"/>
    </row>
    <row r="33" spans="1:17" ht="15.75" customHeight="1">
      <c r="A33" s="10"/>
      <c r="B33" s="8" t="s">
        <v>175</v>
      </c>
      <c r="C33" s="331">
        <f>G33</f>
        <v>-1427907</v>
      </c>
      <c r="E33" s="268" t="s">
        <v>334</v>
      </c>
      <c r="G33" s="321">
        <f>Data!C41</f>
        <v>-1427907</v>
      </c>
      <c r="H33" s="321">
        <f>Data!D41</f>
        <v>-1256152</v>
      </c>
      <c r="I33" s="321">
        <f>Data!E41</f>
        <v>-1113218</v>
      </c>
      <c r="J33" s="321">
        <f>Data!F41</f>
        <v>-1110675</v>
      </c>
      <c r="K33" s="321">
        <f>Data!G41</f>
        <v>-805058</v>
      </c>
      <c r="L33" s="321">
        <f>Data!H41</f>
        <v>-968264</v>
      </c>
      <c r="M33" s="321">
        <f>Data!I41</f>
        <v>-679873</v>
      </c>
      <c r="N33" s="321">
        <f>Data!J41</f>
        <v>-501066</v>
      </c>
      <c r="O33" s="321">
        <f>Data!K41</f>
        <v>-424129</v>
      </c>
      <c r="P33" s="321">
        <f>Data!L41</f>
        <v>-346149</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-1427907</v>
      </c>
      <c r="D35" s="58"/>
      <c r="E35" s="269"/>
      <c r="F35" s="58"/>
      <c r="G35" s="322">
        <f t="shared" ref="G35:Q35" si="14">IF(G4="","",G33+G34)</f>
        <v>-1427907</v>
      </c>
      <c r="H35" s="322">
        <f t="shared" si="14"/>
        <v>-1256152</v>
      </c>
      <c r="I35" s="322">
        <f t="shared" si="14"/>
        <v>-1113218</v>
      </c>
      <c r="J35" s="322">
        <f t="shared" si="14"/>
        <v>-1110675</v>
      </c>
      <c r="K35" s="322">
        <f t="shared" si="14"/>
        <v>-805058</v>
      </c>
      <c r="L35" s="322">
        <f t="shared" si="14"/>
        <v>-968264</v>
      </c>
      <c r="M35" s="322">
        <f t="shared" si="14"/>
        <v>-679873</v>
      </c>
      <c r="N35" s="322">
        <f t="shared" si="14"/>
        <v>-501066</v>
      </c>
      <c r="O35" s="322">
        <f t="shared" si="14"/>
        <v>-424129</v>
      </c>
      <c r="P35" s="322">
        <f t="shared" si="14"/>
        <v>-346149</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5.4578490442953362E-2</v>
      </c>
      <c r="D38" s="27"/>
      <c r="E38" s="267"/>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70"/>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0.3023571239360458</v>
      </c>
      <c r="H43" s="6">
        <f t="shared" si="18"/>
        <v>0.32164826298479821</v>
      </c>
      <c r="I43" s="6">
        <f t="shared" si="18"/>
        <v>0.31886695154483735</v>
      </c>
      <c r="J43" s="6">
        <f t="shared" si="18"/>
        <v>0.27447459767465199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-254421</v>
      </c>
      <c r="E47" s="270"/>
      <c r="G47" s="321">
        <f>Data!C51</f>
        <v>-254421</v>
      </c>
      <c r="H47" s="321">
        <f>Data!D51</f>
        <v>-181446</v>
      </c>
      <c r="I47" s="321">
        <f>Data!E51</f>
        <v>-120561</v>
      </c>
      <c r="J47" s="321">
        <f>Data!F51</f>
        <v>-112458</v>
      </c>
      <c r="K47" s="321">
        <f>Data!G51</f>
        <v>0</v>
      </c>
      <c r="L47" s="321">
        <f>Data!H51</f>
        <v>0</v>
      </c>
      <c r="M47" s="321">
        <f>Data!I51</f>
        <v>0</v>
      </c>
      <c r="N47" s="321">
        <f>Data!J51</f>
        <v>0</v>
      </c>
      <c r="O47" s="321">
        <f>Data!K51</f>
        <v>0</v>
      </c>
      <c r="P47" s="321">
        <f>Data!L51</f>
        <v>0</v>
      </c>
      <c r="Q47" s="321" t="str">
        <f>Data!M51</f>
        <v/>
      </c>
    </row>
    <row r="48" spans="1:17" ht="15.75" customHeight="1">
      <c r="A48" s="10"/>
      <c r="B48" s="2" t="s">
        <v>346</v>
      </c>
      <c r="C48" s="321">
        <f>BS!D75*C53</f>
        <v>95970.954361448268</v>
      </c>
      <c r="E48" s="270"/>
      <c r="G48" s="330">
        <f>IFERROR(IF(G$4="","",($C$48/$C$49)*G49),0)</f>
        <v>95970.954361448268</v>
      </c>
      <c r="H48" s="330">
        <f t="shared" ref="H48:Q48" si="19">IFERROR(IF(H$4="","",($C$48/$C$49)*H49),0)</f>
        <v>111841.77179756499</v>
      </c>
      <c r="I48" s="330">
        <f t="shared" si="19"/>
        <v>100042.61189320701</v>
      </c>
      <c r="J48" s="330">
        <f t="shared" si="19"/>
        <v>32419.76035151169</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429525</v>
      </c>
      <c r="D49" s="290"/>
      <c r="E49" s="291"/>
      <c r="F49" s="290"/>
      <c r="G49" s="332">
        <f>Data!C52</f>
        <v>429525</v>
      </c>
      <c r="H49" s="332">
        <f>Data!D52</f>
        <v>500556</v>
      </c>
      <c r="I49" s="332">
        <f>Data!E52</f>
        <v>447748</v>
      </c>
      <c r="J49" s="332">
        <f>Data!F52</f>
        <v>145097</v>
      </c>
      <c r="K49" s="332">
        <f>Data!G52</f>
        <v>0</v>
      </c>
      <c r="L49" s="332">
        <f>Data!H52</f>
        <v>0</v>
      </c>
      <c r="M49" s="332">
        <f>Data!I52</f>
        <v>0</v>
      </c>
      <c r="N49" s="332">
        <f>Data!J52</f>
        <v>0</v>
      </c>
      <c r="O49" s="332">
        <f>Data!K52</f>
        <v>0</v>
      </c>
      <c r="P49" s="332">
        <f>Data!L52</f>
        <v>0</v>
      </c>
      <c r="Q49" s="332" t="str">
        <f>Data!M52</f>
        <v/>
      </c>
    </row>
    <row r="50" spans="1:17" ht="15.75" customHeight="1">
      <c r="A50" s="10"/>
      <c r="B50" s="70" t="s">
        <v>68</v>
      </c>
      <c r="C50" s="322">
        <f>C47+C48</f>
        <v>-158450.04563855173</v>
      </c>
      <c r="E50" s="270"/>
      <c r="G50" s="322">
        <f>IF(G$4="","",(G47+G48))</f>
        <v>-158450.04563855173</v>
      </c>
      <c r="H50" s="322">
        <f t="shared" ref="H50:Q50" si="20">IF(H$4="","",(H47+H48))</f>
        <v>-69604.228202435013</v>
      </c>
      <c r="I50" s="322">
        <f t="shared" si="20"/>
        <v>-20518.388106792991</v>
      </c>
      <c r="J50" s="322">
        <f t="shared" si="20"/>
        <v>-80038.239648488307</v>
      </c>
      <c r="K50" s="322">
        <f t="shared" si="20"/>
        <v>0</v>
      </c>
      <c r="L50" s="322">
        <f t="shared" si="20"/>
        <v>0</v>
      </c>
      <c r="M50" s="322">
        <f t="shared" si="20"/>
        <v>0</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2.3646804360316024E-2</v>
      </c>
      <c r="E53" s="267" t="s">
        <v>336</v>
      </c>
      <c r="G53" s="6">
        <f>IF(Normalized_FCF!G4="","",Normalized_FCF!G49/BS!$C$66)</f>
        <v>2.3646804360316024E-2</v>
      </c>
      <c r="H53" s="169"/>
      <c r="I53" s="169"/>
      <c r="J53" s="169"/>
      <c r="K53" s="169"/>
      <c r="L53" s="169"/>
      <c r="M53" s="169"/>
      <c r="N53" s="169"/>
      <c r="O53" s="169"/>
      <c r="P53" s="169"/>
      <c r="Q53" s="169"/>
    </row>
    <row r="54" spans="1:17" ht="15.75" customHeight="1">
      <c r="A54" s="10"/>
      <c r="B54" s="8" t="s">
        <v>88</v>
      </c>
      <c r="C54" s="82">
        <f>G54</f>
        <v>0.13140650687425529</v>
      </c>
      <c r="E54" s="267" t="s">
        <v>337</v>
      </c>
      <c r="G54" s="23">
        <f>IFERROR(ABS(Normalized_FCF!G47/BS!$G$31),0)</f>
        <v>0.13140650687425529</v>
      </c>
      <c r="H54" s="169"/>
      <c r="I54" s="169"/>
      <c r="J54" s="169"/>
      <c r="K54" s="169"/>
      <c r="L54" s="169"/>
      <c r="M54" s="169"/>
      <c r="N54" s="169"/>
      <c r="O54" s="169"/>
      <c r="P54" s="169"/>
      <c r="Q54" s="169"/>
    </row>
    <row r="55" spans="1:17" ht="15.75" customHeight="1">
      <c r="A55" s="10"/>
      <c r="B55" s="26" t="s">
        <v>91</v>
      </c>
      <c r="C55" s="42">
        <f>-C8/C47</f>
        <v>12.598860250931073</v>
      </c>
      <c r="E55" s="270"/>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179409.3</v>
      </c>
      <c r="E59" s="270"/>
      <c r="G59" s="321">
        <f>Data!C55</f>
        <v>256299</v>
      </c>
      <c r="H59" s="321">
        <f>Data!D55</f>
        <v>377972</v>
      </c>
      <c r="I59" s="321">
        <f>Data!E55</f>
        <v>201155</v>
      </c>
      <c r="J59" s="321">
        <f>Data!F55</f>
        <v>159222</v>
      </c>
      <c r="K59" s="321">
        <f>Data!G55</f>
        <v>83487</v>
      </c>
      <c r="L59" s="321">
        <f>Data!H55</f>
        <v>343469</v>
      </c>
      <c r="M59" s="321">
        <f>Data!I55</f>
        <v>63633</v>
      </c>
      <c r="N59" s="321">
        <f>Data!J55</f>
        <v>73806</v>
      </c>
      <c r="O59" s="321">
        <f>Data!K55</f>
        <v>9716</v>
      </c>
      <c r="P59" s="321">
        <f>Data!L55</f>
        <v>6948</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179409.3</v>
      </c>
      <c r="E61" s="270"/>
      <c r="G61" s="322">
        <f t="shared" ref="G61:Q61" si="22">IF(G4="","",SUM(G58:G60))</f>
        <v>256299</v>
      </c>
      <c r="H61" s="322">
        <f t="shared" si="22"/>
        <v>377972</v>
      </c>
      <c r="I61" s="322">
        <f t="shared" si="22"/>
        <v>201155</v>
      </c>
      <c r="J61" s="322">
        <f t="shared" si="22"/>
        <v>159222</v>
      </c>
      <c r="K61" s="322">
        <f t="shared" si="22"/>
        <v>83487</v>
      </c>
      <c r="L61" s="322">
        <f t="shared" si="22"/>
        <v>343469</v>
      </c>
      <c r="M61" s="322">
        <f t="shared" si="22"/>
        <v>63633</v>
      </c>
      <c r="N61" s="322">
        <f t="shared" si="22"/>
        <v>73806</v>
      </c>
      <c r="O61" s="322">
        <f t="shared" si="22"/>
        <v>9716</v>
      </c>
      <c r="P61" s="322">
        <f t="shared" si="22"/>
        <v>6948</v>
      </c>
      <c r="Q61" s="322" t="str">
        <f t="shared" si="22"/>
        <v/>
      </c>
    </row>
    <row r="62" spans="1:17" ht="15.75" customHeight="1">
      <c r="A62" s="10"/>
      <c r="B62" s="40" t="s">
        <v>161</v>
      </c>
      <c r="C62" s="333">
        <v>0</v>
      </c>
      <c r="E62" s="268" t="s">
        <v>338</v>
      </c>
      <c r="G62" s="321">
        <f>Data!C58</f>
        <v>148917</v>
      </c>
      <c r="H62" s="321">
        <f>Data!D58</f>
        <v>543305</v>
      </c>
      <c r="I62" s="321">
        <f>Data!E58</f>
        <v>829486</v>
      </c>
      <c r="J62" s="321">
        <f>Data!F58</f>
        <v>416030</v>
      </c>
      <c r="K62" s="321">
        <f>Data!G58</f>
        <v>299810</v>
      </c>
      <c r="L62" s="321">
        <f>Data!H58</f>
        <v>120949</v>
      </c>
      <c r="M62" s="321">
        <f>Data!I58</f>
        <v>122233</v>
      </c>
      <c r="N62" s="321">
        <f>Data!J58</f>
        <v>61676</v>
      </c>
      <c r="O62" s="321">
        <f>Data!K58</f>
        <v>411830</v>
      </c>
      <c r="P62" s="321">
        <f>Data!L58</f>
        <v>2276</v>
      </c>
      <c r="Q62" s="321" t="str">
        <f>Data!M58</f>
        <v/>
      </c>
    </row>
    <row r="63" spans="1:17" ht="15.75" customHeight="1">
      <c r="A63" s="10"/>
      <c r="B63" s="31" t="s">
        <v>196</v>
      </c>
      <c r="C63" s="322">
        <f>C61+C62</f>
        <v>179409.3</v>
      </c>
      <c r="E63" s="270"/>
      <c r="G63" s="322">
        <f t="shared" ref="G63:Q63" si="23">IF(G4="","",G61+G62)</f>
        <v>405216</v>
      </c>
      <c r="H63" s="322">
        <f t="shared" si="23"/>
        <v>921277</v>
      </c>
      <c r="I63" s="322">
        <f t="shared" si="23"/>
        <v>1030641</v>
      </c>
      <c r="J63" s="322">
        <f t="shared" si="23"/>
        <v>575252</v>
      </c>
      <c r="K63" s="322">
        <f t="shared" si="23"/>
        <v>383297</v>
      </c>
      <c r="L63" s="322">
        <f t="shared" si="23"/>
        <v>464418</v>
      </c>
      <c r="M63" s="322">
        <f t="shared" si="23"/>
        <v>185866</v>
      </c>
      <c r="N63" s="322">
        <f t="shared" si="23"/>
        <v>135482</v>
      </c>
      <c r="O63" s="322">
        <f t="shared" si="23"/>
        <v>421546</v>
      </c>
      <c r="P63" s="322">
        <f t="shared" si="23"/>
        <v>9224</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G67*0.7</f>
        <v>0.10287596233352332</v>
      </c>
      <c r="E67" s="270"/>
      <c r="G67" s="23">
        <f>IFERROR(G59/BS!$C$68,0)</f>
        <v>0.1469656604764619</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9.0118627941173368E-3</v>
      </c>
      <c r="D69" s="9"/>
      <c r="E69" s="275"/>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0.82290184166806957</v>
      </c>
      <c r="D73" s="27"/>
      <c r="E73" s="267"/>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7"/>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7"/>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67"/>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462</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67"/>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6.0563918389427464E-3</v>
      </c>
      <c r="D80" s="27"/>
      <c r="E80" s="267"/>
      <c r="F80" s="27"/>
      <c r="G80" s="6">
        <f t="shared" ref="G80:Q80" si="31">IF(G$4="","",ABS(G12/G$4))</f>
        <v>5.5255969548285884E-3</v>
      </c>
      <c r="H80" s="6">
        <f t="shared" si="31"/>
        <v>2.5220302154358733E-3</v>
      </c>
      <c r="I80" s="6">
        <f t="shared" si="31"/>
        <v>7.9518209324695873E-4</v>
      </c>
      <c r="J80" s="6">
        <f t="shared" si="31"/>
        <v>3.5458640466370372E-3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0.1233207876144618</v>
      </c>
      <c r="D81" s="27"/>
      <c r="E81" s="267"/>
      <c r="F81" s="27"/>
      <c r="G81" s="65">
        <f t="shared" ref="G81:Q81" si="32">IF(G$4="","",G13/G$4)</f>
        <v>0.12655176479779193</v>
      </c>
      <c r="H81" s="65">
        <f t="shared" si="32"/>
        <v>0.12051256881390961</v>
      </c>
      <c r="I81" s="65">
        <f t="shared" si="32"/>
        <v>0.16430942550801214</v>
      </c>
      <c r="J81" s="65">
        <f t="shared" si="32"/>
        <v>0.21267489600858289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3.0830196903615451E-2</v>
      </c>
      <c r="D82" s="27"/>
      <c r="E82" s="267"/>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9.2490590710846365E-2</v>
      </c>
      <c r="D84" s="27"/>
      <c r="E84" s="267"/>
      <c r="F84" s="27"/>
      <c r="G84" s="65">
        <f t="shared" ref="G84:Q84" si="35">IF(G$4="","",ABS(G16/G$4))</f>
        <v>8.8307077485985166E-2</v>
      </c>
      <c r="H84" s="65">
        <f t="shared" si="35"/>
        <v>8.1769182445430258E-2</v>
      </c>
      <c r="I84" s="65">
        <f t="shared" si="35"/>
        <v>0.11193919947989792</v>
      </c>
      <c r="J84" s="65">
        <f t="shared" si="35"/>
        <v>0.15431322666732314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9.2490590710846365E-2</v>
      </c>
      <c r="D87" s="75"/>
      <c r="E87" s="267"/>
      <c r="F87" s="75"/>
      <c r="G87" s="65">
        <f t="shared" ref="G87:Q87" si="36">IF(G$4="","",ABS(G19/G$4))</f>
        <v>8.8307077485985166E-2</v>
      </c>
      <c r="H87" s="65">
        <f t="shared" si="36"/>
        <v>8.1769182445430258E-2</v>
      </c>
      <c r="I87" s="65">
        <f t="shared" si="36"/>
        <v>0.11193919947989792</v>
      </c>
      <c r="J87" s="65">
        <f t="shared" si="36"/>
        <v>0.15431322666732314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0.53933281450524906</v>
      </c>
      <c r="E90" s="270"/>
      <c r="G90" s="112">
        <f>Data!C65</f>
        <v>0.53933281450524906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1394066.3295702541</v>
      </c>
      <c r="E91" s="270"/>
      <c r="G91" s="74">
        <f t="shared" ref="G91:Q91" si="37">IF(G$4="","",G90*Common_Shares/scaling_factor)</f>
        <v>1394066.3295702541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0.57611274335448204</v>
      </c>
      <c r="E92" s="270"/>
      <c r="G92" s="170">
        <f t="shared" ref="G92:Q92" si="38">IF(G$4="","",G90/(G19*scaling_factor/Common_Shares))</f>
        <v>0.55052210389455325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3.5342910518037292E-2</v>
      </c>
      <c r="E93" s="270"/>
      <c r="G93" s="23">
        <f t="shared" ref="G93:Q93" si="39">IF(G$4="","",G90/Market_Price)</f>
        <v>3.5342910518037292E-2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-8.7642097511117734E-2</v>
      </c>
      <c r="D96" s="27"/>
      <c r="E96" s="267"/>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-0.11093539231963023</v>
      </c>
      <c r="D97" s="27"/>
      <c r="E97" s="267"/>
      <c r="F97" s="27"/>
      <c r="G97" s="6">
        <f t="shared" ref="G97:Q97" si="41">IF(H5="","",G13/H13-1)</f>
        <v>9.1097825260285203E-2</v>
      </c>
      <c r="H97" s="6">
        <f t="shared" si="41"/>
        <v>-0.21552599892214974</v>
      </c>
      <c r="I97" s="6">
        <f t="shared" si="41"/>
        <v>-0.11682361387853579</v>
      </c>
      <c r="J97" s="6">
        <f t="shared" si="41"/>
        <v>1.4633394666432107</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35708406</v>
      </c>
      <c r="D101" s="26"/>
      <c r="E101" s="271"/>
      <c r="F101" s="26"/>
      <c r="G101" s="326">
        <f t="shared" ref="G101:Q101" si="42">IF(G$4="","",G105+G104)</f>
        <v>35708406</v>
      </c>
      <c r="H101" s="326">
        <f t="shared" si="42"/>
        <v>34207803</v>
      </c>
      <c r="I101" s="326">
        <f t="shared" si="42"/>
        <v>33646519</v>
      </c>
      <c r="J101" s="326">
        <f t="shared" si="42"/>
        <v>30274816</v>
      </c>
      <c r="K101" s="326">
        <f t="shared" si="42"/>
        <v>14593865</v>
      </c>
      <c r="L101" s="326">
        <f t="shared" si="42"/>
        <v>12547474</v>
      </c>
      <c r="M101" s="326">
        <f t="shared" si="42"/>
        <v>8727305</v>
      </c>
      <c r="N101" s="326">
        <f t="shared" si="42"/>
        <v>7321349</v>
      </c>
      <c r="O101" s="326">
        <f t="shared" si="42"/>
        <v>6780494</v>
      </c>
      <c r="P101" s="326">
        <f t="shared" si="42"/>
        <v>6897458</v>
      </c>
      <c r="Q101" s="326" t="str">
        <f t="shared" si="42"/>
        <v/>
      </c>
    </row>
    <row r="102" spans="1:17" ht="15.75" customHeight="1">
      <c r="A102" s="10"/>
      <c r="B102" s="93" t="s">
        <v>211</v>
      </c>
      <c r="C102" s="335">
        <f>BS!C4</f>
        <v>1250023</v>
      </c>
      <c r="D102" s="89"/>
      <c r="E102" s="272"/>
      <c r="F102" s="89"/>
      <c r="G102" s="336">
        <f>IF(G$4="","",Data!D77)</f>
        <v>1205532</v>
      </c>
      <c r="H102" s="336">
        <f>IF(H$4="","",Data!E77)</f>
        <v>1020346</v>
      </c>
      <c r="I102" s="336">
        <f>IF(I$4="","",Data!F77)</f>
        <v>902857</v>
      </c>
      <c r="J102" s="336">
        <f>IF(J$4="","",Data!G77)</f>
        <v>658796</v>
      </c>
      <c r="K102" s="336">
        <f>IF(K$4="","",Data!H77)</f>
        <v>686606</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2598226</v>
      </c>
      <c r="D103" s="89"/>
      <c r="E103" s="272"/>
      <c r="F103" s="89"/>
      <c r="G103" s="336">
        <f>IF(G$4="","",Data!D78)</f>
        <v>2493206</v>
      </c>
      <c r="H103" s="336">
        <f>IF(H$4="","",Data!E78)</f>
        <v>2428040</v>
      </c>
      <c r="I103" s="336">
        <f>IF(I$4="","",Data!F78)</f>
        <v>1772803</v>
      </c>
      <c r="J103" s="336">
        <f>IF(J$4="","",Data!G78)</f>
        <v>1345539</v>
      </c>
      <c r="K103" s="336">
        <f>IF(K$4="","",Data!H78)</f>
        <v>1407257</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9604717</v>
      </c>
      <c r="D104" s="26"/>
      <c r="E104" s="271"/>
      <c r="F104" s="26"/>
      <c r="G104" s="326">
        <f>Data!C79</f>
        <v>9604717</v>
      </c>
      <c r="H104" s="326">
        <f>Data!D79</f>
        <v>9801162</v>
      </c>
      <c r="I104" s="326">
        <f>Data!E79</f>
        <v>9314591</v>
      </c>
      <c r="J104" s="326">
        <f>Data!F79</f>
        <v>9170709</v>
      </c>
      <c r="K104" s="326">
        <f>Data!G79</f>
        <v>5904448</v>
      </c>
      <c r="L104" s="326">
        <f>Data!H79</f>
        <v>5423281</v>
      </c>
      <c r="M104" s="326">
        <f>Data!I79</f>
        <v>2907715</v>
      </c>
      <c r="N104" s="326">
        <f>Data!J79</f>
        <v>2247752</v>
      </c>
      <c r="O104" s="326">
        <f>Data!K79</f>
        <v>2783345</v>
      </c>
      <c r="P104" s="326">
        <f>Data!L79</f>
        <v>3486918</v>
      </c>
      <c r="Q104" s="326" t="str">
        <f>Data!M79</f>
        <v/>
      </c>
    </row>
    <row r="105" spans="1:17" ht="15.75" customHeight="1">
      <c r="A105" s="10"/>
      <c r="B105" s="26" t="s">
        <v>30</v>
      </c>
      <c r="C105" s="334">
        <f>BS!G27</f>
        <v>26103689</v>
      </c>
      <c r="D105" s="26"/>
      <c r="E105" s="271"/>
      <c r="F105" s="26"/>
      <c r="G105" s="326">
        <f>Data!C80</f>
        <v>26103689</v>
      </c>
      <c r="H105" s="326">
        <f>Data!D80</f>
        <v>24406641</v>
      </c>
      <c r="I105" s="326">
        <f>Data!E80</f>
        <v>24331928</v>
      </c>
      <c r="J105" s="326">
        <f>Data!F80</f>
        <v>21104107</v>
      </c>
      <c r="K105" s="326">
        <f>Data!G80</f>
        <v>8689417</v>
      </c>
      <c r="L105" s="326">
        <f>Data!H80</f>
        <v>7124193</v>
      </c>
      <c r="M105" s="326">
        <f>Data!I80</f>
        <v>5819590</v>
      </c>
      <c r="N105" s="326">
        <f>Data!J80</f>
        <v>5073597</v>
      </c>
      <c r="O105" s="326">
        <f>Data!K80</f>
        <v>3997149</v>
      </c>
      <c r="P105" s="326">
        <f>Data!L80</f>
        <v>3410540</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71"/>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71"/>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v>
      </c>
      <c r="H113" s="297">
        <f>IF(H$4="","",Data!D$22/Data!D15)</f>
        <v>1.4709732968262565</v>
      </c>
      <c r="I113" s="297">
        <f>IF(I$4="","",Data!E$22/Data!E15)</f>
        <v>0.96304737643927274</v>
      </c>
      <c r="J113" s="297">
        <f>IF(J$4="","",Data!F$22/Data!F15)</f>
        <v>1.6269053137360105</v>
      </c>
      <c r="K113" s="297">
        <f>IF(K$4="","",Data!G$22/Data!G15)</f>
        <v>1.6269426147081751</v>
      </c>
      <c r="L113" s="297">
        <f>IF(L$4="","",Data!H$22/Data!H15)</f>
        <v>2.3369811952562229</v>
      </c>
      <c r="M113" s="297">
        <f>IF(M$4="","",Data!I$22/Data!I15)</f>
        <v>2.3374185439481701</v>
      </c>
      <c r="N113" s="297">
        <f>IF(N$4="","",Data!J$22/Data!J15)</f>
        <v>2.250085896477759</v>
      </c>
      <c r="O113" s="297">
        <f>IF(O$4="","",Data!K$22/Data!K15)</f>
        <v>1.4203453141742608</v>
      </c>
      <c r="P113" s="297">
        <f>IF(P$4="","",Data!L$22/Data!L15)</f>
        <v>11.152390228065904</v>
      </c>
      <c r="Q113" s="297" t="str">
        <f>IF(Q$4="","",Data!M$22/Data!M15)</f>
        <v/>
      </c>
    </row>
    <row r="114" spans="1:17" ht="15.75" customHeight="1">
      <c r="A114" s="10"/>
      <c r="B114" s="2" t="s">
        <v>393</v>
      </c>
      <c r="C114" s="169"/>
      <c r="E114" s="270"/>
      <c r="G114" s="297">
        <f>IF(G$4="","",Data!C$22/G19)</f>
        <v>0</v>
      </c>
      <c r="H114" s="297">
        <f>IF(H$4="","",Data!D$22/H19)</f>
        <v>2.0773356852257598</v>
      </c>
      <c r="I114" s="297">
        <f>IF(I$4="","",Data!E$22/I19)</f>
        <v>1.354933665931136</v>
      </c>
      <c r="J114" s="297">
        <f>IF(J$4="","",Data!F$22/J19)</f>
        <v>1.8733728074916909</v>
      </c>
      <c r="K114" s="297">
        <f>IF(K$4="","",Data!G$22/K19)</f>
        <v>1.9746300057985322</v>
      </c>
      <c r="L114" s="297">
        <f>IF(L$4="","",Data!H$22/L19)</f>
        <v>2.5408832696503736</v>
      </c>
      <c r="M114" s="297">
        <f>IF(M$4="","",Data!I$22/M19)</f>
        <v>2.8191980169637287</v>
      </c>
      <c r="N114" s="297">
        <f>IF(N$4="","",Data!J$22/N19)</f>
        <v>2.5561117493864103</v>
      </c>
      <c r="O114" s="297">
        <f>IF(O$4="","",Data!K$22/O19)</f>
        <v>4.3015244745575218</v>
      </c>
      <c r="P114" s="297">
        <f>IF(P$4="","",Data!L$22/P19)</f>
        <v>57.096567771960444</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0.1233207876144618</v>
      </c>
      <c r="E117" s="270"/>
      <c r="G117" s="23">
        <f t="shared" ref="G117:Q117" si="45">G81</f>
        <v>0.12655176479779193</v>
      </c>
      <c r="H117" s="23">
        <f t="shared" si="45"/>
        <v>0.12051256881390961</v>
      </c>
      <c r="I117" s="23">
        <f t="shared" si="45"/>
        <v>0.16430942550801214</v>
      </c>
      <c r="J117" s="23">
        <f t="shared" si="45"/>
        <v>0.21267489600858289</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70"/>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274"/>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273"/>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1.0150790912815699</v>
      </c>
      <c r="D124" s="27"/>
      <c r="E124" s="267"/>
      <c r="F124" s="27"/>
      <c r="G124" s="177">
        <f t="shared" ref="G124:Q124" si="49">IF(G$4="","",G16*$C$3/Common_Shares*Exchange_Rate)</f>
        <v>1.0622643411825881</v>
      </c>
      <c r="H124" s="177">
        <f t="shared" si="49"/>
        <v>0.94667066235596087</v>
      </c>
      <c r="I124" s="177">
        <f t="shared" si="49"/>
        <v>1.2116655812897046</v>
      </c>
      <c r="J124" s="177">
        <f t="shared" si="49"/>
        <v>1.4611759873869832</v>
      </c>
      <c r="K124" s="177">
        <f t="shared" si="49"/>
        <v>0.5870456696386035</v>
      </c>
      <c r="L124" s="177">
        <f t="shared" si="49"/>
        <v>0.57841226229843035</v>
      </c>
      <c r="M124" s="177">
        <f t="shared" si="49"/>
        <v>0.24877147998180865</v>
      </c>
      <c r="N124" s="177">
        <f t="shared" si="49"/>
        <v>0.19023091912832504</v>
      </c>
      <c r="O124" s="177">
        <f t="shared" si="49"/>
        <v>9.7080570937912225E-2</v>
      </c>
      <c r="P124" s="177">
        <f t="shared" si="49"/>
        <v>5.0477500609094035E-3</v>
      </c>
      <c r="Q124" s="177" t="str">
        <f t="shared" si="49"/>
        <v/>
      </c>
    </row>
    <row r="125" spans="1:17" ht="15.75" customHeight="1">
      <c r="A125" s="10"/>
      <c r="B125" s="27" t="s">
        <v>270</v>
      </c>
      <c r="C125" s="77">
        <f>C19*Exchange_Rate*$C$3/(Market_Price*Common_Shares)</f>
        <v>6.6518944382802758E-2</v>
      </c>
      <c r="D125" s="27"/>
      <c r="E125" s="267"/>
      <c r="F125" s="27"/>
      <c r="G125" s="77">
        <f t="shared" ref="G125" si="50">IF(G$4="","",G124/Market_Price)</f>
        <v>6.9611031532279696E-2</v>
      </c>
      <c r="H125" s="77">
        <f t="shared" ref="H125" si="51">IF(H$4="","",H124/Market_Price)</f>
        <v>6.2036085344427318E-2</v>
      </c>
      <c r="I125" s="77">
        <f t="shared" ref="I125" si="52">IF(I$4="","",I124/Market_Price)</f>
        <v>7.9401414239168064E-2</v>
      </c>
      <c r="J125" s="77">
        <f t="shared" ref="J125" si="53">IF(J$4="","",J124/Market_Price)</f>
        <v>9.5752030628242668E-2</v>
      </c>
      <c r="K125" s="77">
        <f t="shared" ref="K125" si="54">IF(K$4="","",K124/Market_Price)</f>
        <v>3.846957206019682E-2</v>
      </c>
      <c r="L125" s="77">
        <f t="shared" ref="L125" si="55">IF(L$4="","",L124/Market_Price)</f>
        <v>3.7903817974995438E-2</v>
      </c>
      <c r="M125" s="77">
        <f t="shared" ref="M125" si="56">IF(M$4="","",M124/Market_Price)</f>
        <v>1.6302193969974354E-2</v>
      </c>
      <c r="N125" s="77">
        <f t="shared" ref="N125" si="57">IF(N$4="","",N124/Market_Price)</f>
        <v>1.2465984215486569E-2</v>
      </c>
      <c r="O125" s="77">
        <f t="shared" ref="O125" si="58">IF(O$4="","",O124/Market_Price)</f>
        <v>6.3617674271239993E-3</v>
      </c>
      <c r="P125" s="77">
        <f t="shared" ref="P125" si="59">IF(P$4="","",P124/Market_Price)</f>
        <v>3.3078309704517715E-4</v>
      </c>
      <c r="Q125" s="77" t="str">
        <f t="shared" ref="Q125" si="60">IF(Q$4="","",Q124/Market_Price)</f>
        <v/>
      </c>
    </row>
    <row r="126" spans="1:17" ht="15.75" customHeight="1">
      <c r="B126" s="2" t="s">
        <v>395</v>
      </c>
      <c r="C126" s="169"/>
      <c r="G126" s="23">
        <f>IF(G$4="","",(Data!C47*$C$3)/(Market_Price*Common_Shares))</f>
        <v>7.6384666219583591E-2</v>
      </c>
      <c r="H126" s="23">
        <f>IF(H$4="","",(Data!D47*$C$3)/(Market_Price*Common_Shares))</f>
        <v>8.0797097240780061E-2</v>
      </c>
      <c r="I126" s="23">
        <f>IF(I$4="","",(Data!E47*$C$3)/(Market_Price*Common_Shares))</f>
        <v>0.10302629923145053</v>
      </c>
      <c r="J126" s="23">
        <f>IF(J$4="","",(Data!F47*$C$3)/(Market_Price*Common_Shares))</f>
        <v>0.10168558889559332</v>
      </c>
      <c r="K126" s="23">
        <f>IF(K$4="","",(Data!G47*$C$3)/(Market_Price*Common_Shares))</f>
        <v>4.3060625420042374E-2</v>
      </c>
      <c r="L126" s="23">
        <f>IF(L$4="","",(Data!H47*$C$3)/(Market_Price*Common_Shares))</f>
        <v>3.8006855039010426E-2</v>
      </c>
      <c r="M126" s="23">
        <f>IF(M$4="","",(Data!I47*$C$3)/(Market_Price*Common_Shares))</f>
        <v>1.8133625114994174E-2</v>
      </c>
      <c r="N126" s="23">
        <f>IF(N$4="","",(Data!J47*$C$3)/(Market_Price*Common_Shares))</f>
        <v>1.3060409452348052E-2</v>
      </c>
      <c r="O126" s="23">
        <f>IF(O$4="","",(Data!K47*$C$3)/(Market_Price*Common_Shares))</f>
        <v>1.7768702841781069E-2</v>
      </c>
      <c r="P126" s="23">
        <f>IF(P$4="","",(Data!L47*$C$3)/(Market_Price*Common_Shares))</f>
        <v>1.5618338641999042E-3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2419780.4086976871</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32263738.78263583</v>
      </c>
      <c r="D6" t="str">
        <f>Reporting_currency</f>
        <v>CNY</v>
      </c>
      <c r="E6" s="355" t="s">
        <v>250</v>
      </c>
      <c r="F6" s="355"/>
      <c r="H6" s="120"/>
    </row>
    <row r="7" spans="2:8">
      <c r="B7" s="148" t="s">
        <v>225</v>
      </c>
      <c r="C7" s="343">
        <f>BS!G31</f>
        <v>1936137</v>
      </c>
      <c r="D7" t="str">
        <f>Reporting_currency</f>
        <v>CNY</v>
      </c>
      <c r="E7" s="355"/>
      <c r="F7" s="355"/>
      <c r="H7" s="120"/>
    </row>
    <row r="8" spans="2:8">
      <c r="B8" s="148" t="s">
        <v>226</v>
      </c>
      <c r="C8" s="343">
        <f>BS!D66</f>
        <v>14105671.132388648</v>
      </c>
      <c r="D8" t="str">
        <f>Reporting_currency</f>
        <v>CNY</v>
      </c>
      <c r="E8" s="355"/>
      <c r="F8" s="355"/>
      <c r="H8" s="120"/>
    </row>
    <row r="9" spans="2:8">
      <c r="B9" s="205" t="s">
        <v>191</v>
      </c>
      <c r="C9" s="345">
        <f>BS!H42</f>
        <v>561572.19999999995</v>
      </c>
      <c r="D9" t="str">
        <f>Reporting_currency</f>
        <v>CNY</v>
      </c>
      <c r="E9" s="355"/>
      <c r="F9" s="355"/>
      <c r="H9" s="120"/>
    </row>
    <row r="10" spans="2:8" ht="13.15">
      <c r="B10" s="149" t="s">
        <v>228</v>
      </c>
      <c r="C10" s="344">
        <f>C6-C7+C8+C9</f>
        <v>44994845.115024477</v>
      </c>
      <c r="D10" t="str">
        <f>Reporting_currency</f>
        <v>CNY</v>
      </c>
      <c r="H10" s="120"/>
    </row>
    <row r="11" spans="2:8" ht="13.15" thickBot="1">
      <c r="B11" s="207" t="s">
        <v>167</v>
      </c>
      <c r="C11" s="208">
        <f>Exchange_Rate</f>
        <v>1.0843026499999999</v>
      </c>
      <c r="D11" t="str">
        <f>Thesis!C15</f>
        <v>CNY/HKD</v>
      </c>
      <c r="H11" s="120"/>
    </row>
    <row r="12" spans="2:8" ht="13.5" thickTop="1">
      <c r="B12" s="149" t="s">
        <v>103</v>
      </c>
      <c r="C12" s="111">
        <f>(C10*scaling_factor)/Common_Shares*Exchange_Rate</f>
        <v>18.874988130139947</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5.4247061515052201E-2</v>
      </c>
      <c r="H16" s="120"/>
    </row>
    <row r="17" spans="2:8" ht="13.25" customHeight="1">
      <c r="B17" s="118" t="s">
        <v>135</v>
      </c>
      <c r="C17" s="162">
        <f>Scenarios!C64</f>
        <v>20</v>
      </c>
      <c r="H17" s="120"/>
    </row>
    <row r="18" spans="2:8" ht="13.25" customHeight="1">
      <c r="B18" s="153" t="s">
        <v>107</v>
      </c>
      <c r="C18" s="140">
        <f>(F52-C7+C8+C9)*Exchange_Rate/Common_Shares*scaling_factor</f>
        <v>25.348164730248307</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2551046.3853812283</v>
      </c>
      <c r="D21" s="138">
        <f>IF($C$17&lt;B21,0,DCF!$C$16)</f>
        <v>5.4247061515052201E-2</v>
      </c>
      <c r="E21" s="124">
        <f t="shared" ref="E21:E50" si="0">IF($C$17&lt;B21,0,1/(1+Equity_Cost)^B21)</f>
        <v>0.93023255813953487</v>
      </c>
      <c r="F21" s="125">
        <f t="shared" ref="F21:F51" si="1">C21*E21</f>
        <v>2373066.4050057936</v>
      </c>
      <c r="H21" s="120"/>
    </row>
    <row r="22" spans="2:8">
      <c r="B22" s="122">
        <v>2</v>
      </c>
      <c r="C22" s="123">
        <f t="shared" ref="C22:C50" si="2">IF(ROW()-ROW($C$21)&lt;$C$17, $C$21*(1+D22)^(ROW()-ROW($C$21)), 0)</f>
        <v>2689433.1555767553</v>
      </c>
      <c r="D22" s="138">
        <f>IF($C$17&lt;B22,0,DCF!$C$16)</f>
        <v>5.4247061515052201E-2</v>
      </c>
      <c r="E22" s="124">
        <f t="shared" si="0"/>
        <v>0.86533261222282321</v>
      </c>
      <c r="F22" s="125">
        <f t="shared" si="1"/>
        <v>2327254.2179139042</v>
      </c>
      <c r="H22" s="120"/>
    </row>
    <row r="23" spans="2:8">
      <c r="B23" s="122">
        <v>3</v>
      </c>
      <c r="C23" s="123">
        <f t="shared" si="2"/>
        <v>2835327.0014079479</v>
      </c>
      <c r="D23" s="138">
        <f>IF($C$17&lt;B23,0,DCF!$C$16)</f>
        <v>5.4247061515052201E-2</v>
      </c>
      <c r="E23" s="124">
        <f t="shared" si="0"/>
        <v>0.80496056950960304</v>
      </c>
      <c r="F23" s="125">
        <f t="shared" si="1"/>
        <v>2282326.4377992968</v>
      </c>
      <c r="H23" s="120"/>
    </row>
    <row r="24" spans="2:8">
      <c r="B24" s="122">
        <v>4</v>
      </c>
      <c r="C24" s="123">
        <f t="shared" si="2"/>
        <v>2989135.1596686128</v>
      </c>
      <c r="D24" s="138">
        <f>IF($C$17&lt;B24,0,DCF!$C$16)</f>
        <v>5.4247061515052201E-2</v>
      </c>
      <c r="E24" s="124">
        <f t="shared" si="0"/>
        <v>0.7488005297763749</v>
      </c>
      <c r="F24" s="125">
        <f t="shared" si="1"/>
        <v>2238265.9911330463</v>
      </c>
      <c r="H24" s="120"/>
    </row>
    <row r="25" spans="2:8">
      <c r="B25" s="122">
        <v>5</v>
      </c>
      <c r="C25" s="123">
        <f t="shared" si="2"/>
        <v>3151286.9585519615</v>
      </c>
      <c r="D25" s="138">
        <f>IF($C$17&lt;B25,0,DCF!$C$16)</f>
        <v>5.4247061515052201E-2</v>
      </c>
      <c r="E25" s="124">
        <f t="shared" si="0"/>
        <v>0.69655863235011617</v>
      </c>
      <c r="F25" s="125">
        <f t="shared" si="1"/>
        <v>2195056.1339917113</v>
      </c>
      <c r="H25" s="120"/>
    </row>
    <row r="26" spans="2:8">
      <c r="B26" s="122">
        <v>6</v>
      </c>
      <c r="C26" s="123">
        <f t="shared" si="2"/>
        <v>3322235.016044111</v>
      </c>
      <c r="D26" s="138">
        <f>IF($C$17&lt;B26,0,DCF!$C$16)</f>
        <v>5.4247061515052201E-2</v>
      </c>
      <c r="E26" s="124">
        <f t="shared" si="0"/>
        <v>0.64796151846522443</v>
      </c>
      <c r="F26" s="125">
        <f t="shared" si="1"/>
        <v>2152680.4456942813</v>
      </c>
      <c r="H26" s="120"/>
    </row>
    <row r="27" spans="2:8">
      <c r="B27" s="122">
        <v>7</v>
      </c>
      <c r="C27" s="123">
        <f t="shared" si="2"/>
        <v>3502456.5033269161</v>
      </c>
      <c r="D27" s="138">
        <f>IF($C$17&lt;B27,0,DCF!$C$16)</f>
        <v>5.4247061515052201E-2</v>
      </c>
      <c r="E27" s="124">
        <f t="shared" si="0"/>
        <v>0.60275490089788319</v>
      </c>
      <c r="F27" s="125">
        <f t="shared" si="1"/>
        <v>2111122.8225619621</v>
      </c>
      <c r="H27" s="120"/>
    </row>
    <row r="28" spans="2:8">
      <c r="B28" s="122">
        <v>8</v>
      </c>
      <c r="C28" s="123">
        <f t="shared" si="2"/>
        <v>3692454.4767166851</v>
      </c>
      <c r="D28" s="138">
        <f>IF($C$17&lt;B28,0,DCF!$C$16)</f>
        <v>5.4247061515052201E-2</v>
      </c>
      <c r="E28" s="124">
        <f t="shared" si="0"/>
        <v>0.56070223339337966</v>
      </c>
      <c r="F28" s="125">
        <f t="shared" si="1"/>
        <v>2070367.4717984283</v>
      </c>
      <c r="H28" s="120"/>
    </row>
    <row r="29" spans="2:8">
      <c r="B29" s="122">
        <v>9</v>
      </c>
      <c r="C29" s="123">
        <f t="shared" si="2"/>
        <v>3892759.2818566649</v>
      </c>
      <c r="D29" s="138">
        <f>IF($C$17&lt;B29,0,DCF!$C$16)</f>
        <v>5.4247061515052201E-2</v>
      </c>
      <c r="E29" s="124">
        <f t="shared" si="0"/>
        <v>0.52158347292407414</v>
      </c>
      <c r="F29" s="125">
        <f t="shared" si="1"/>
        <v>2030398.905488224</v>
      </c>
      <c r="H29" s="120"/>
    </row>
    <row r="30" spans="2:8">
      <c r="B30" s="122">
        <v>10</v>
      </c>
      <c r="C30" s="123">
        <f t="shared" si="2"/>
        <v>4103930.0340828332</v>
      </c>
      <c r="D30" s="138">
        <f>IF($C$17&lt;B30,0,DCF!$C$16)</f>
        <v>5.4247061515052201E-2</v>
      </c>
      <c r="E30" s="124">
        <f t="shared" si="0"/>
        <v>0.48519392830146441</v>
      </c>
      <c r="F30" s="125">
        <f t="shared" si="1"/>
        <v>1991201.9347110125</v>
      </c>
      <c r="H30" s="120"/>
    </row>
    <row r="31" spans="2:8">
      <c r="B31" s="122">
        <v>11</v>
      </c>
      <c r="C31" s="123">
        <f t="shared" si="2"/>
        <v>4326556.1790951947</v>
      </c>
      <c r="D31" s="138">
        <f>IF($C$17&lt;B31,0,DCF!$C$16)</f>
        <v>5.4247061515052201E-2</v>
      </c>
      <c r="E31" s="124">
        <f t="shared" si="0"/>
        <v>0.45134318911764126</v>
      </c>
      <c r="F31" s="125">
        <f t="shared" si="1"/>
        <v>1952761.6637694619</v>
      </c>
      <c r="H31" s="120"/>
    </row>
    <row r="32" spans="2:8">
      <c r="B32" s="122">
        <v>12</v>
      </c>
      <c r="C32" s="123">
        <f t="shared" si="2"/>
        <v>4561259.1382908998</v>
      </c>
      <c r="D32" s="138">
        <f>IF($C$17&lt;B32,0,DCF!$C$16)</f>
        <v>5.4247061515052201E-2</v>
      </c>
      <c r="E32" s="124">
        <f t="shared" si="0"/>
        <v>0.41985412941175931</v>
      </c>
      <c r="F32" s="125">
        <f t="shared" si="1"/>
        <v>1915063.4845285572</v>
      </c>
      <c r="H32" s="120"/>
    </row>
    <row r="33" spans="2:8">
      <c r="B33" s="122">
        <v>13</v>
      </c>
      <c r="C33" s="123">
        <f t="shared" si="2"/>
        <v>4808694.0433518598</v>
      </c>
      <c r="D33" s="138">
        <f>IF($C$17&lt;B33,0,DCF!$C$16)</f>
        <v>5.4247061515052201E-2</v>
      </c>
      <c r="E33" s="124">
        <f t="shared" si="0"/>
        <v>0.39056198084814819</v>
      </c>
      <c r="F33" s="125">
        <f t="shared" si="1"/>
        <v>1878093.0708641934</v>
      </c>
      <c r="H33" s="120"/>
    </row>
    <row r="34" spans="2:8">
      <c r="B34" s="122">
        <v>14</v>
      </c>
      <c r="C34" s="123">
        <f t="shared" si="2"/>
        <v>5069551.5649286332</v>
      </c>
      <c r="D34" s="138">
        <f>IF($C$17&lt;B34,0,DCF!$C$16)</f>
        <v>5.4247061515052201E-2</v>
      </c>
      <c r="E34" s="124">
        <f t="shared" si="0"/>
        <v>0.36331347055641694</v>
      </c>
      <c r="F34" s="125">
        <f t="shared" si="1"/>
        <v>1841836.3732189364</v>
      </c>
      <c r="H34" s="120"/>
    </row>
    <row r="35" spans="2:8">
      <c r="B35" s="122">
        <v>15</v>
      </c>
      <c r="C35" s="123">
        <f t="shared" si="2"/>
        <v>5344559.840525046</v>
      </c>
      <c r="D35" s="138">
        <f>IF($C$17&lt;B35,0,DCF!$C$16)</f>
        <v>5.4247061515052201E-2</v>
      </c>
      <c r="E35" s="124">
        <f t="shared" si="0"/>
        <v>0.33796601912224833</v>
      </c>
      <c r="F35" s="125">
        <f t="shared" si="1"/>
        <v>1806279.6132628883</v>
      </c>
      <c r="H35" s="120"/>
    </row>
    <row r="36" spans="2:8">
      <c r="B36" s="122">
        <v>16</v>
      </c>
      <c r="C36" s="123">
        <f t="shared" si="2"/>
        <v>5634486.5069648847</v>
      </c>
      <c r="D36" s="138">
        <f>IF($C$17&lt;B36,0,DCF!$C$16)</f>
        <v>5.4247061515052201E-2</v>
      </c>
      <c r="E36" s="124">
        <f t="shared" si="0"/>
        <v>0.31438699453232405</v>
      </c>
      <c r="F36" s="125">
        <f t="shared" si="1"/>
        <v>1771409.2786576229</v>
      </c>
      <c r="H36" s="120"/>
    </row>
    <row r="37" spans="2:8">
      <c r="B37" s="122">
        <v>17</v>
      </c>
      <c r="C37" s="123">
        <f t="shared" si="2"/>
        <v>5940140.8431139393</v>
      </c>
      <c r="D37" s="138">
        <f>IF($C$17&lt;B37,0,DCF!$C$16)</f>
        <v>5.4247061515052201E-2</v>
      </c>
      <c r="E37" s="124">
        <f t="shared" si="0"/>
        <v>0.29245301816960378</v>
      </c>
      <c r="F37" s="125">
        <f t="shared" si="1"/>
        <v>1737212.1179212064</v>
      </c>
      <c r="H37" s="120"/>
    </row>
    <row r="38" spans="2:8">
      <c r="B38" s="122">
        <v>18</v>
      </c>
      <c r="C38" s="123">
        <f t="shared" si="2"/>
        <v>6262376.0288384138</v>
      </c>
      <c r="D38" s="138">
        <f>IF($C$17&lt;B38,0,DCF!$C$16)</f>
        <v>5.4247061515052201E-2</v>
      </c>
      <c r="E38" s="124">
        <f t="shared" si="0"/>
        <v>0.27204931922753844</v>
      </c>
      <c r="F38" s="125">
        <f t="shared" si="1"/>
        <v>1703675.1353923462</v>
      </c>
      <c r="H38" s="120"/>
    </row>
    <row r="39" spans="2:8">
      <c r="B39" s="122">
        <v>19</v>
      </c>
      <c r="C39" s="123">
        <f t="shared" si="2"/>
        <v>6602091.5265051993</v>
      </c>
      <c r="D39" s="138">
        <f>IF($C$17&lt;B39,0,DCF!$C$16)</f>
        <v>5.4247061515052201E-2</v>
      </c>
      <c r="E39" s="124">
        <f t="shared" si="0"/>
        <v>0.25306913416515198</v>
      </c>
      <c r="F39" s="125">
        <f t="shared" si="1"/>
        <v>1670785.5862917572</v>
      </c>
      <c r="H39" s="120"/>
    </row>
    <row r="40" spans="2:8">
      <c r="B40" s="122">
        <v>20</v>
      </c>
      <c r="C40" s="123">
        <f t="shared" si="2"/>
        <v>6960235.5916715302</v>
      </c>
      <c r="D40" s="138">
        <f>IF($C$17&lt;B40,0,DCF!$C$16)</f>
        <v>5.4247061515052201E-2</v>
      </c>
      <c r="E40" s="124">
        <f t="shared" si="0"/>
        <v>0.23541314806060654</v>
      </c>
      <c r="F40" s="125">
        <f t="shared" si="1"/>
        <v>1638530.9718788732</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34013951.805083044</v>
      </c>
      <c r="D51" s="139">
        <f>Terminal_Growth</f>
        <v>0</v>
      </c>
      <c r="E51" s="124">
        <f>1/(1+Equity_Cost)^C17</f>
        <v>0.23541314806060654</v>
      </c>
      <c r="F51" s="125">
        <f t="shared" si="1"/>
        <v>8007331.4724163497</v>
      </c>
      <c r="H51" s="120"/>
    </row>
    <row r="52" spans="1:8">
      <c r="C52" s="114"/>
      <c r="E52" s="127" t="s">
        <v>101</v>
      </c>
      <c r="F52" s="137">
        <f>SUM(F21:F51)</f>
        <v>47694719.534299843</v>
      </c>
      <c r="H52" s="120"/>
    </row>
    <row r="53" spans="1:8">
      <c r="C53" s="114"/>
      <c r="H53" s="120"/>
    </row>
    <row r="54" spans="1:8" ht="13.15">
      <c r="B54" s="119" t="s">
        <v>130</v>
      </c>
      <c r="C54" s="136"/>
      <c r="D54" s="136"/>
      <c r="E54" s="117"/>
      <c r="F54" s="117"/>
      <c r="H54" s="120"/>
    </row>
    <row r="55" spans="1:8" ht="13.15">
      <c r="A55" s="133">
        <f>F52</f>
        <v>47694719.534299843</v>
      </c>
      <c r="B55" s="131">
        <f>C78</f>
        <v>0</v>
      </c>
      <c r="C55" s="131">
        <f>C77</f>
        <v>0.02</v>
      </c>
      <c r="D55" s="131">
        <f>C76</f>
        <v>0.05</v>
      </c>
      <c r="E55" s="131">
        <f>C75</f>
        <v>0.06</v>
      </c>
      <c r="F55" s="131">
        <f>C74</f>
        <v>0.1</v>
      </c>
      <c r="H55" s="120"/>
    </row>
    <row r="56" spans="1:8" ht="13.15">
      <c r="A56" s="143">
        <v>5</v>
      </c>
      <c r="B56" s="123">
        <f t="dataTable" ref="B56:F61" dt2D="1" dtr="1" r1="C16" r2="C17"/>
        <v>32263738.78263583</v>
      </c>
      <c r="C56" s="123">
        <v>33286838.178268205</v>
      </c>
      <c r="D56" s="123">
        <v>34877779.291963756</v>
      </c>
      <c r="E56" s="123">
        <v>35423761.840512753</v>
      </c>
      <c r="F56" s="123">
        <v>37690590.547008529</v>
      </c>
      <c r="H56" s="120"/>
    </row>
    <row r="57" spans="1:8" ht="13.15">
      <c r="A57" s="143">
        <v>10</v>
      </c>
      <c r="B57" s="123">
        <v>32263738.782635834</v>
      </c>
      <c r="C57" s="123">
        <v>34301372.510419421</v>
      </c>
      <c r="D57" s="123">
        <v>37745825.796718702</v>
      </c>
      <c r="E57" s="123">
        <v>39009792.670420364</v>
      </c>
      <c r="F57" s="123">
        <v>44738772.420491077</v>
      </c>
      <c r="H57" s="120"/>
    </row>
    <row r="58" spans="1:8" ht="13.15">
      <c r="A58" s="143">
        <v>15</v>
      </c>
      <c r="B58" s="123">
        <v>32263738.782635838</v>
      </c>
      <c r="C58" s="123">
        <v>35585891.783385649</v>
      </c>
      <c r="D58" s="123">
        <v>41673523.224307865</v>
      </c>
      <c r="E58" s="123">
        <v>44055530.364233106</v>
      </c>
      <c r="F58" s="123">
        <v>55835523.272481643</v>
      </c>
      <c r="H58" s="120"/>
    </row>
    <row r="59" spans="1:8" ht="13.15">
      <c r="A59" s="144">
        <v>20</v>
      </c>
      <c r="B59" s="123">
        <v>32263738.782635838</v>
      </c>
      <c r="C59" s="123">
        <v>36925024.081793919</v>
      </c>
      <c r="D59" s="123">
        <v>46125116.411397852</v>
      </c>
      <c r="E59" s="123">
        <v>49945173.948488213</v>
      </c>
      <c r="F59" s="123">
        <v>70506040.968500018</v>
      </c>
      <c r="H59" s="120"/>
    </row>
    <row r="60" spans="1:8" ht="13.15">
      <c r="A60" s="144">
        <v>25</v>
      </c>
      <c r="B60" s="123">
        <v>32263738.782635838</v>
      </c>
      <c r="C60" s="123">
        <v>38199568.960346408</v>
      </c>
      <c r="D60" s="123">
        <v>50751197.085426763</v>
      </c>
      <c r="E60" s="123">
        <v>56261510.419604659</v>
      </c>
      <c r="F60" s="123">
        <v>88511409.822469607</v>
      </c>
      <c r="H60" s="120"/>
    </row>
    <row r="61" spans="1:8" ht="13.15">
      <c r="A61" s="144">
        <v>30</v>
      </c>
      <c r="B61" s="123">
        <v>32263738.782635838</v>
      </c>
      <c r="C61" s="123">
        <v>39350197.673847817</v>
      </c>
      <c r="D61" s="123">
        <v>55329519.422807246</v>
      </c>
      <c r="E61" s="123">
        <v>62724859.191552728</v>
      </c>
      <c r="F61" s="123">
        <v>109788206.91663672</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0.05</v>
      </c>
      <c r="E64" s="132">
        <f>E55</f>
        <v>0.06</v>
      </c>
      <c r="F64" s="132">
        <f>F55</f>
        <v>0.1</v>
      </c>
      <c r="H64" s="120"/>
    </row>
    <row r="65" spans="1:8" ht="13.15">
      <c r="A65" s="143">
        <v>0</v>
      </c>
      <c r="B65" s="124">
        <f>C12</f>
        <v>18.874988130139947</v>
      </c>
      <c r="C65" s="124">
        <f>C12</f>
        <v>18.874988130139947</v>
      </c>
      <c r="D65" s="124">
        <f>C12</f>
        <v>18.874988130139947</v>
      </c>
      <c r="E65" s="141">
        <f>C12</f>
        <v>18.874988130139947</v>
      </c>
      <c r="F65" s="124">
        <f>C12</f>
        <v>18.874988130139947</v>
      </c>
      <c r="H65" s="120"/>
    </row>
    <row r="66" spans="1:8" ht="13.15">
      <c r="A66" s="143">
        <f t="shared" ref="A66:A71" si="3">A56</f>
        <v>5</v>
      </c>
      <c r="B66" s="124">
        <f t="shared" ref="B66:F71" si="4">(B56-$C$7+$C$8+$C$9)/Common_Shares*$C$3*Exchange_Rate</f>
        <v>18.87498813013995</v>
      </c>
      <c r="C66" s="124">
        <f t="shared" si="4"/>
        <v>19.304170381998976</v>
      </c>
      <c r="D66" s="124">
        <f t="shared" si="4"/>
        <v>19.971557825160286</v>
      </c>
      <c r="E66" s="124">
        <f t="shared" si="4"/>
        <v>20.200593264592985</v>
      </c>
      <c r="F66" s="124">
        <f t="shared" si="4"/>
        <v>21.151510304506992</v>
      </c>
      <c r="H66" s="120"/>
    </row>
    <row r="67" spans="1:8" ht="13.15">
      <c r="A67" s="143">
        <f t="shared" si="3"/>
        <v>10</v>
      </c>
      <c r="B67" s="124">
        <f t="shared" si="4"/>
        <v>18.874988130139954</v>
      </c>
      <c r="C67" s="124">
        <f t="shared" si="4"/>
        <v>19.729759656237405</v>
      </c>
      <c r="D67" s="124">
        <f t="shared" si="4"/>
        <v>21.174681062845632</v>
      </c>
      <c r="E67" s="124">
        <f t="shared" si="4"/>
        <v>21.704905351361798</v>
      </c>
      <c r="F67" s="124">
        <f t="shared" si="4"/>
        <v>24.108167869633895</v>
      </c>
      <c r="H67" s="120"/>
    </row>
    <row r="68" spans="1:8" ht="13.15">
      <c r="A68" s="143">
        <f t="shared" si="3"/>
        <v>15</v>
      </c>
      <c r="B68" s="124">
        <f t="shared" si="4"/>
        <v>18.874988130139954</v>
      </c>
      <c r="C68" s="124">
        <f t="shared" si="4"/>
        <v>20.268605516650815</v>
      </c>
      <c r="D68" s="124">
        <f t="shared" si="4"/>
        <v>22.82231963421993</v>
      </c>
      <c r="E68" s="124">
        <f t="shared" si="4"/>
        <v>23.821553132569825</v>
      </c>
      <c r="F68" s="124">
        <f t="shared" si="4"/>
        <v>28.763168683149384</v>
      </c>
      <c r="H68" s="120"/>
    </row>
    <row r="69" spans="1:8" ht="13.15">
      <c r="A69" s="144">
        <f t="shared" si="3"/>
        <v>20</v>
      </c>
      <c r="B69" s="124">
        <f t="shared" si="4"/>
        <v>18.874988130139954</v>
      </c>
      <c r="C69" s="124">
        <f t="shared" si="4"/>
        <v>20.830361117154109</v>
      </c>
      <c r="D69" s="124">
        <f t="shared" si="4"/>
        <v>24.68972840853035</v>
      </c>
      <c r="E69" s="124">
        <f t="shared" si="4"/>
        <v>26.292212881689604</v>
      </c>
      <c r="F69" s="124">
        <f t="shared" si="4"/>
        <v>34.917336936589862</v>
      </c>
      <c r="H69" s="120"/>
    </row>
    <row r="70" spans="1:8" ht="13.15">
      <c r="A70" s="144">
        <f t="shared" si="3"/>
        <v>25</v>
      </c>
      <c r="B70" s="124">
        <f t="shared" si="4"/>
        <v>18.874988130139954</v>
      </c>
      <c r="C70" s="124">
        <f t="shared" si="4"/>
        <v>21.365022796564482</v>
      </c>
      <c r="D70" s="124">
        <f t="shared" si="4"/>
        <v>26.630333328675061</v>
      </c>
      <c r="E70" s="124">
        <f t="shared" si="4"/>
        <v>28.941866983476555</v>
      </c>
      <c r="F70" s="124">
        <f t="shared" si="4"/>
        <v>42.470449354882994</v>
      </c>
    </row>
    <row r="71" spans="1:8" ht="13.15">
      <c r="A71" s="144">
        <f t="shared" si="3"/>
        <v>30</v>
      </c>
      <c r="B71" s="124">
        <f t="shared" si="4"/>
        <v>18.874988130139954</v>
      </c>
      <c r="C71" s="124">
        <f t="shared" si="4"/>
        <v>21.847702606974263</v>
      </c>
      <c r="D71" s="124">
        <f t="shared" si="4"/>
        <v>28.550903997450529</v>
      </c>
      <c r="E71" s="124">
        <f t="shared" si="4"/>
        <v>31.653191603877083</v>
      </c>
      <c r="F71" s="124">
        <f t="shared" si="4"/>
        <v>51.395900516525067</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51.395900516525067</v>
      </c>
      <c r="F74" s="142">
        <f>Scenarios!C58</f>
        <v>0.05</v>
      </c>
    </row>
    <row r="75" spans="1:8">
      <c r="B75" s="127" t="str">
        <f>Scenarios!B36</f>
        <v>Optimistic</v>
      </c>
      <c r="C75" s="142">
        <f>Scenarios!C38</f>
        <v>0.06</v>
      </c>
      <c r="D75" s="145">
        <f>Scenarios!C37</f>
        <v>20</v>
      </c>
      <c r="E75" s="135">
        <f>INDEX(B$65:F$71, MATCH(D75, A$65:A$71, 0), MATCH(C75, B$64:F$64, 0))</f>
        <v>26.292212881689604</v>
      </c>
      <c r="F75" s="142">
        <f>Scenarios!C40*(1-F$74-F$78)</f>
        <v>0.22499999999999992</v>
      </c>
      <c r="H75" s="120"/>
    </row>
    <row r="76" spans="1:8">
      <c r="B76" s="127" t="str">
        <f>Scenarios!B24</f>
        <v>Base</v>
      </c>
      <c r="C76" s="142">
        <f>Scenarios!C26</f>
        <v>0.05</v>
      </c>
      <c r="D76" s="145">
        <f>Scenarios!C25</f>
        <v>20</v>
      </c>
      <c r="E76" s="135">
        <f>INDEX(B$65:F$71, MATCH(D76, A$65:A$71, 0), MATCH(C76, B$64:F$64, 0))</f>
        <v>24.68972840853035</v>
      </c>
      <c r="F76" s="142">
        <f>Scenarios!C28*(1-F$74-F$78)</f>
        <v>0.495</v>
      </c>
      <c r="H76" s="120"/>
    </row>
    <row r="77" spans="1:8">
      <c r="B77" s="127" t="str">
        <f>Scenarios!B30</f>
        <v>Pessimistic</v>
      </c>
      <c r="C77" s="142">
        <f>Scenarios!C32</f>
        <v>0.02</v>
      </c>
      <c r="D77" s="145">
        <f>Scenarios!C31</f>
        <v>20</v>
      </c>
      <c r="E77" s="135">
        <f>INDEX(B$65:F$71, MATCH(D77, A$65:A$71, 0), MATCH(C77, B$64:F$64, 0))</f>
        <v>20.830361117154109</v>
      </c>
      <c r="F77" s="142">
        <f>Scenarios!C34*(1-F$74-F$78)</f>
        <v>0.18</v>
      </c>
      <c r="H77" s="120"/>
    </row>
    <row r="78" spans="1:8">
      <c r="B78" s="127" t="str">
        <f>Scenarios!B48</f>
        <v>Devil's advocate</v>
      </c>
      <c r="C78" s="142">
        <f>Scenarios!C50</f>
        <v>0</v>
      </c>
      <c r="D78" s="145">
        <f>Scenarios!C49</f>
        <v>30</v>
      </c>
      <c r="E78" s="135">
        <f>INDEX(B$65:F$71, MATCH(D78, A$65:A$71, 0), MATCH(C78, B$64:F$64, 0))</f>
        <v>18.874988130139954</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v>
      </c>
      <c r="E3" s="109" t="s">
        <v>125</v>
      </c>
      <c r="H3" s="120"/>
    </row>
    <row r="4" spans="2:8">
      <c r="B4" s="100" t="s">
        <v>442</v>
      </c>
      <c r="C4" s="343">
        <f>Normalized_FCF!C91</f>
        <v>1394066.3295702541</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18587551.060936723</v>
      </c>
      <c r="D6" t="str">
        <f>Reporting_currency</f>
        <v>CNY</v>
      </c>
      <c r="E6" s="355"/>
      <c r="F6" s="355"/>
      <c r="H6" s="120"/>
    </row>
    <row r="7" spans="2:8" ht="13.15">
      <c r="B7" s="149" t="s">
        <v>446</v>
      </c>
      <c r="C7" s="111">
        <f>(C6*scaling_factor)/Common_Shares*Exchange_Rate</f>
        <v>7.7973333333333317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5.4247061515052201E-2</v>
      </c>
      <c r="H11" s="120"/>
    </row>
    <row r="12" spans="2:8" ht="13.25" customHeight="1">
      <c r="B12" s="118" t="s">
        <v>135</v>
      </c>
      <c r="C12" s="162">
        <f>Scenarios!C64</f>
        <v>20</v>
      </c>
      <c r="H12" s="120"/>
    </row>
    <row r="13" spans="2:8" ht="13.25" customHeight="1">
      <c r="B13" s="153" t="s">
        <v>107</v>
      </c>
      <c r="C13" s="140">
        <f>F47/Common_Shares*scaling_factor</f>
        <v>10.630438708823409</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1469690.3315065145</v>
      </c>
      <c r="D16" s="138">
        <f>IF($C$12&lt;B16,0,DDM!$C$11)</f>
        <v>5.4247061515052201E-2</v>
      </c>
      <c r="E16" s="124">
        <f t="shared" ref="E16:E45" si="0">IF($C$12&lt;B16,0,1/(1+Equity_Cost)^B16)</f>
        <v>0.93023255813953487</v>
      </c>
      <c r="F16" s="125">
        <f t="shared" ref="F16:F46" si="1">C16*E16</f>
        <v>1367153.7967502461</v>
      </c>
      <c r="H16" s="120"/>
    </row>
    <row r="17" spans="2:8">
      <c r="B17" s="122">
        <v>2</v>
      </c>
      <c r="C17" s="123">
        <f t="shared" ref="C17:C45" si="2">IF(ROW()-ROW($C$16)&lt;$C$12, $C$16*(1+D17)^(ROW()-ROW($C$16)), 0)</f>
        <v>1549416.7133278258</v>
      </c>
      <c r="D17" s="138">
        <f>IF($C$12&lt;B17,0,DDM!$C$11)</f>
        <v>5.4247061515052201E-2</v>
      </c>
      <c r="E17" s="124">
        <f t="shared" si="0"/>
        <v>0.86533261222282321</v>
      </c>
      <c r="F17" s="125">
        <f t="shared" si="1"/>
        <v>1340760.8119656686</v>
      </c>
      <c r="H17" s="120"/>
    </row>
    <row r="18" spans="2:8">
      <c r="B18" s="122">
        <v>3</v>
      </c>
      <c r="C18" s="123">
        <f t="shared" si="2"/>
        <v>1633468.0170881699</v>
      </c>
      <c r="D18" s="138">
        <f>IF($C$12&lt;B18,0,DDM!$C$11)</f>
        <v>5.4247061515052201E-2</v>
      </c>
      <c r="E18" s="124">
        <f t="shared" si="0"/>
        <v>0.80496056950960304</v>
      </c>
      <c r="F18" s="125">
        <f t="shared" si="1"/>
        <v>1314877.3453110151</v>
      </c>
      <c r="H18" s="120"/>
    </row>
    <row r="19" spans="2:8">
      <c r="B19" s="122">
        <v>4</v>
      </c>
      <c r="C19" s="123">
        <f t="shared" si="2"/>
        <v>1722078.857094022</v>
      </c>
      <c r="D19" s="138">
        <f>IF($C$12&lt;B19,0,DDM!$C$11)</f>
        <v>5.4247061515052201E-2</v>
      </c>
      <c r="E19" s="124">
        <f t="shared" si="0"/>
        <v>0.7488005297763749</v>
      </c>
      <c r="F19" s="125">
        <f t="shared" si="1"/>
        <v>1289493.5605086978</v>
      </c>
      <c r="H19" s="120"/>
    </row>
    <row r="20" spans="2:8">
      <c r="B20" s="122">
        <v>5</v>
      </c>
      <c r="C20" s="123">
        <f t="shared" si="2"/>
        <v>1815496.574788572</v>
      </c>
      <c r="D20" s="138">
        <f>IF($C$12&lt;B20,0,DDM!$C$11)</f>
        <v>5.4247061515052201E-2</v>
      </c>
      <c r="E20" s="124">
        <f t="shared" si="0"/>
        <v>0.69655863235011617</v>
      </c>
      <c r="F20" s="125">
        <f t="shared" si="1"/>
        <v>1264599.8111710481</v>
      </c>
      <c r="H20" s="120"/>
    </row>
    <row r="21" spans="2:8">
      <c r="B21" s="122">
        <v>6</v>
      </c>
      <c r="C21" s="123">
        <f t="shared" si="2"/>
        <v>1913981.9291614941</v>
      </c>
      <c r="D21" s="138">
        <f>IF($C$12&lt;B21,0,DDM!$C$11)</f>
        <v>5.4247061515052201E-2</v>
      </c>
      <c r="E21" s="124">
        <f t="shared" si="0"/>
        <v>0.64796151846522443</v>
      </c>
      <c r="F21" s="125">
        <f t="shared" si="1"/>
        <v>1240186.6371344815</v>
      </c>
      <c r="H21" s="120"/>
    </row>
    <row r="22" spans="2:8">
      <c r="B22" s="122">
        <v>7</v>
      </c>
      <c r="C22" s="123">
        <f t="shared" si="2"/>
        <v>2017809.8246114159</v>
      </c>
      <c r="D22" s="138">
        <f>IF($C$12&lt;B22,0,DDM!$C$11)</f>
        <v>5.4247061515052201E-2</v>
      </c>
      <c r="E22" s="124">
        <f t="shared" si="0"/>
        <v>0.60275490089788319</v>
      </c>
      <c r="F22" s="125">
        <f t="shared" si="1"/>
        <v>1216244.7608644289</v>
      </c>
      <c r="H22" s="120"/>
    </row>
    <row r="23" spans="2:8">
      <c r="B23" s="122">
        <v>8</v>
      </c>
      <c r="C23" s="123">
        <f t="shared" si="2"/>
        <v>2127270.0782927875</v>
      </c>
      <c r="D23" s="138">
        <f>IF($C$12&lt;B23,0,DDM!$C$11)</f>
        <v>5.4247061515052201E-2</v>
      </c>
      <c r="E23" s="124">
        <f t="shared" si="0"/>
        <v>0.56070223339337966</v>
      </c>
      <c r="F23" s="125">
        <f t="shared" si="1"/>
        <v>1192765.0839296756</v>
      </c>
      <c r="H23" s="120"/>
    </row>
    <row r="24" spans="2:8">
      <c r="B24" s="122">
        <v>9</v>
      </c>
      <c r="C24" s="123">
        <f t="shared" si="2"/>
        <v>2242668.2290890664</v>
      </c>
      <c r="D24" s="138">
        <f>IF($C$12&lt;B24,0,DDM!$C$11)</f>
        <v>5.4247061515052201E-2</v>
      </c>
      <c r="E24" s="124">
        <f t="shared" si="0"/>
        <v>0.52158347292407414</v>
      </c>
      <c r="F24" s="125">
        <f t="shared" si="1"/>
        <v>1169738.6835447585</v>
      </c>
      <c r="H24" s="120"/>
    </row>
    <row r="25" spans="2:8">
      <c r="B25" s="122">
        <v>10</v>
      </c>
      <c r="C25" s="123">
        <f t="shared" si="2"/>
        <v>2364326.3904703138</v>
      </c>
      <c r="D25" s="138">
        <f>IF($C$12&lt;B25,0,DDM!$C$11)</f>
        <v>5.4247061515052201E-2</v>
      </c>
      <c r="E25" s="124">
        <f t="shared" si="0"/>
        <v>0.48519392830146441</v>
      </c>
      <c r="F25" s="125">
        <f t="shared" si="1"/>
        <v>1147156.8091791135</v>
      </c>
      <c r="H25" s="120"/>
    </row>
    <row r="26" spans="2:8">
      <c r="B26" s="122">
        <v>11</v>
      </c>
      <c r="C26" s="123">
        <f t="shared" si="2"/>
        <v>2492584.1496158177</v>
      </c>
      <c r="D26" s="138">
        <f>IF($C$12&lt;B26,0,DDM!$C$11)</f>
        <v>5.4247061515052201E-2</v>
      </c>
      <c r="E26" s="124">
        <f t="shared" si="0"/>
        <v>0.45134318911764126</v>
      </c>
      <c r="F26" s="125">
        <f t="shared" si="1"/>
        <v>1125010.8792316869</v>
      </c>
      <c r="H26" s="120"/>
    </row>
    <row r="27" spans="2:8">
      <c r="B27" s="122">
        <v>12</v>
      </c>
      <c r="C27" s="123">
        <f t="shared" si="2"/>
        <v>2627799.5153114707</v>
      </c>
      <c r="D27" s="138">
        <f>IF($C$12&lt;B27,0,DDM!$C$11)</f>
        <v>5.4247061515052201E-2</v>
      </c>
      <c r="E27" s="124">
        <f t="shared" si="0"/>
        <v>0.41985412941175931</v>
      </c>
      <c r="F27" s="125">
        <f t="shared" si="1"/>
        <v>1103292.4777697406</v>
      </c>
      <c r="H27" s="120"/>
    </row>
    <row r="28" spans="2:8">
      <c r="B28" s="122">
        <v>13</v>
      </c>
      <c r="C28" s="123">
        <f t="shared" si="2"/>
        <v>2770349.9172677961</v>
      </c>
      <c r="D28" s="138">
        <f>IF($C$12&lt;B28,0,DDM!$C$11)</f>
        <v>5.4247061515052201E-2</v>
      </c>
      <c r="E28" s="124">
        <f t="shared" si="0"/>
        <v>0.39056198084814819</v>
      </c>
      <c r="F28" s="125">
        <f t="shared" si="1"/>
        <v>1081993.351330614</v>
      </c>
      <c r="H28" s="120"/>
    </row>
    <row r="29" spans="2:8">
      <c r="B29" s="122">
        <v>14</v>
      </c>
      <c r="C29" s="123">
        <f t="shared" si="2"/>
        <v>2920633.2596480418</v>
      </c>
      <c r="D29" s="138">
        <f>IF($C$12&lt;B29,0,DDM!$C$11)</f>
        <v>5.4247061515052201E-2</v>
      </c>
      <c r="E29" s="124">
        <f t="shared" si="0"/>
        <v>0.36331347055641694</v>
      </c>
      <c r="F29" s="125">
        <f t="shared" si="1"/>
        <v>1061105.4057852309</v>
      </c>
      <c r="H29" s="120"/>
    </row>
    <row r="30" spans="2:8">
      <c r="B30" s="122">
        <v>15</v>
      </c>
      <c r="C30" s="123">
        <f t="shared" si="2"/>
        <v>3079069.0317470767</v>
      </c>
      <c r="D30" s="138">
        <f>IF($C$12&lt;B30,0,DDM!$C$11)</f>
        <v>5.4247061515052201E-2</v>
      </c>
      <c r="E30" s="124">
        <f t="shared" si="0"/>
        <v>0.33796601912224833</v>
      </c>
      <c r="F30" s="125">
        <f t="shared" si="1"/>
        <v>1040620.7032621552</v>
      </c>
      <c r="H30" s="120"/>
    </row>
    <row r="31" spans="2:8">
      <c r="B31" s="122">
        <v>16</v>
      </c>
      <c r="C31" s="123">
        <f t="shared" si="2"/>
        <v>3246099.478921352</v>
      </c>
      <c r="D31" s="138">
        <f>IF($C$12&lt;B31,0,DDM!$C$11)</f>
        <v>5.4247061515052201E-2</v>
      </c>
      <c r="E31" s="124">
        <f t="shared" si="0"/>
        <v>0.31438699453232405</v>
      </c>
      <c r="F31" s="125">
        <f t="shared" si="1"/>
        <v>1020531.459131027</v>
      </c>
      <c r="H31" s="120"/>
    </row>
    <row r="32" spans="2:8">
      <c r="B32" s="122">
        <v>17</v>
      </c>
      <c r="C32" s="123">
        <f t="shared" si="2"/>
        <v>3422190.8370383768</v>
      </c>
      <c r="D32" s="138">
        <f>IF($C$12&lt;B32,0,DDM!$C$11)</f>
        <v>5.4247061515052201E-2</v>
      </c>
      <c r="E32" s="124">
        <f t="shared" si="0"/>
        <v>0.29245301816960378</v>
      </c>
      <c r="F32" s="125">
        <f t="shared" si="1"/>
        <v>1000830.0390442359</v>
      </c>
      <c r="H32" s="120"/>
    </row>
    <row r="33" spans="2:8">
      <c r="B33" s="122">
        <v>18</v>
      </c>
      <c r="C33" s="123">
        <f t="shared" si="2"/>
        <v>3607834.6338914451</v>
      </c>
      <c r="D33" s="138">
        <f>IF($C$12&lt;B33,0,DDM!$C$11)</f>
        <v>5.4247061515052201E-2</v>
      </c>
      <c r="E33" s="124">
        <f t="shared" si="0"/>
        <v>0.27204931922753844</v>
      </c>
      <c r="F33" s="125">
        <f t="shared" si="1"/>
        <v>981508.95603570307</v>
      </c>
      <c r="H33" s="120"/>
    </row>
    <row r="34" spans="2:8">
      <c r="B34" s="122">
        <v>19</v>
      </c>
      <c r="C34" s="123">
        <f t="shared" si="2"/>
        <v>3803549.0612122896</v>
      </c>
      <c r="D34" s="138">
        <f>IF($C$12&lt;B34,0,DDM!$C$11)</f>
        <v>5.4247061515052201E-2</v>
      </c>
      <c r="E34" s="124">
        <f t="shared" si="0"/>
        <v>0.25306913416515198</v>
      </c>
      <c r="F34" s="125">
        <f t="shared" si="1"/>
        <v>962560.86767567077</v>
      </c>
      <c r="H34" s="120"/>
    </row>
    <row r="35" spans="2:8">
      <c r="B35" s="122">
        <v>20</v>
      </c>
      <c r="C35" s="123">
        <f t="shared" si="2"/>
        <v>4009880.4211113914</v>
      </c>
      <c r="D35" s="138">
        <f>IF($C$12&lt;B35,0,DDM!$C$11)</f>
        <v>5.4247061515052201E-2</v>
      </c>
      <c r="E35" s="124">
        <f t="shared" si="0"/>
        <v>0.23541314806060654</v>
      </c>
      <c r="F35" s="125">
        <f t="shared" si="1"/>
        <v>943978.5732804233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19595871.086753529</v>
      </c>
      <c r="D46" s="139">
        <f>Terminal_Growth</f>
        <v>0</v>
      </c>
      <c r="E46" s="124">
        <f>1/(1+Equity_Cost)^C12</f>
        <v>0.23541314806060654</v>
      </c>
      <c r="F46" s="125">
        <f t="shared" si="1"/>
        <v>4613125.7015224667</v>
      </c>
      <c r="H46" s="120"/>
    </row>
    <row r="47" spans="2:8">
      <c r="C47" s="114"/>
      <c r="E47" s="127" t="s">
        <v>101</v>
      </c>
      <c r="F47" s="137">
        <f>SUM(F16:F46)</f>
        <v>27477535.71442809</v>
      </c>
      <c r="H47" s="120"/>
    </row>
    <row r="48" spans="2:8">
      <c r="C48" s="114"/>
      <c r="H48" s="120"/>
    </row>
    <row r="49" spans="1:8" ht="13.15">
      <c r="B49" s="119" t="s">
        <v>130</v>
      </c>
      <c r="C49" s="136"/>
      <c r="D49" s="136"/>
      <c r="E49" s="117"/>
      <c r="F49" s="117"/>
      <c r="H49" s="120"/>
    </row>
    <row r="50" spans="1:8" ht="13.15">
      <c r="A50" s="133">
        <f>F47</f>
        <v>27477535.71442809</v>
      </c>
      <c r="B50" s="131">
        <f>C73</f>
        <v>0</v>
      </c>
      <c r="C50" s="131">
        <f>C72</f>
        <v>0.02</v>
      </c>
      <c r="D50" s="131">
        <f>C71</f>
        <v>0.05</v>
      </c>
      <c r="E50" s="131">
        <f>C70</f>
        <v>0.06</v>
      </c>
      <c r="F50" s="131">
        <f>C69</f>
        <v>0.1</v>
      </c>
      <c r="H50" s="120"/>
    </row>
    <row r="51" spans="1:8" ht="13.15">
      <c r="A51" s="143">
        <v>5</v>
      </c>
      <c r="B51" s="123">
        <f t="dataTable" ref="B51:F56" dt2D="1" dtr="1" r1="C11" r2="C12"/>
        <v>18587551.060936727</v>
      </c>
      <c r="C51" s="123">
        <v>19176971.660478801</v>
      </c>
      <c r="D51" s="123">
        <v>20093533.110005379</v>
      </c>
      <c r="E51" s="123">
        <v>20408080.613873616</v>
      </c>
      <c r="F51" s="123">
        <v>21714029.518687587</v>
      </c>
      <c r="H51" s="120"/>
    </row>
    <row r="52" spans="1:8" ht="13.15">
      <c r="A52" s="143">
        <v>10</v>
      </c>
      <c r="B52" s="123">
        <v>18587551.060936727</v>
      </c>
      <c r="C52" s="123">
        <v>19761457.817801747</v>
      </c>
      <c r="D52" s="123">
        <v>21745851.249927979</v>
      </c>
      <c r="E52" s="123">
        <v>22474038.673045438</v>
      </c>
      <c r="F52" s="123">
        <v>25774576.913480949</v>
      </c>
      <c r="H52" s="120"/>
    </row>
    <row r="53" spans="1:8" ht="13.15">
      <c r="A53" s="143">
        <v>15</v>
      </c>
      <c r="B53" s="123">
        <v>18587551.060936727</v>
      </c>
      <c r="C53" s="123">
        <v>20501485.740042023</v>
      </c>
      <c r="D53" s="123">
        <v>24008647.790002715</v>
      </c>
      <c r="E53" s="123">
        <v>25380952.458075013</v>
      </c>
      <c r="F53" s="123">
        <v>32167556.489142422</v>
      </c>
      <c r="H53" s="120"/>
    </row>
    <row r="54" spans="1:8" ht="13.15">
      <c r="A54" s="144">
        <v>20</v>
      </c>
      <c r="B54" s="123">
        <v>18587551.060936727</v>
      </c>
      <c r="C54" s="123">
        <v>21272976.922192603</v>
      </c>
      <c r="D54" s="123">
        <v>26573267.353315249</v>
      </c>
      <c r="E54" s="123">
        <v>28774051.180780347</v>
      </c>
      <c r="F54" s="123">
        <v>40619428.685426034</v>
      </c>
      <c r="H54" s="120"/>
    </row>
    <row r="55" spans="1:8" ht="13.15">
      <c r="A55" s="144">
        <v>25</v>
      </c>
      <c r="B55" s="123">
        <v>18587551.060936727</v>
      </c>
      <c r="C55" s="123">
        <v>22007258.468703881</v>
      </c>
      <c r="D55" s="123">
        <v>29238411.381409194</v>
      </c>
      <c r="E55" s="123">
        <v>32412973.113105204</v>
      </c>
      <c r="F55" s="123">
        <v>50992551.13099581</v>
      </c>
      <c r="H55" s="120"/>
    </row>
    <row r="56" spans="1:8" ht="13.15">
      <c r="A56" s="144">
        <v>30</v>
      </c>
      <c r="B56" s="123">
        <v>18587551.060936727</v>
      </c>
      <c r="C56" s="123">
        <v>22670150.333421614</v>
      </c>
      <c r="D56" s="123">
        <v>31876041.223158568</v>
      </c>
      <c r="E56" s="123">
        <v>36136590.705369033</v>
      </c>
      <c r="F56" s="123">
        <v>63250385.074713081</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7.7973333333333317</v>
      </c>
      <c r="C60" s="124">
        <f>C7</f>
        <v>7.7973333333333317</v>
      </c>
      <c r="D60" s="124">
        <f>C7</f>
        <v>7.7973333333333317</v>
      </c>
      <c r="E60" s="141">
        <f>C7</f>
        <v>7.7973333333333317</v>
      </c>
      <c r="F60" s="124">
        <f>C7</f>
        <v>7.7973333333333317</v>
      </c>
      <c r="H60" s="120"/>
    </row>
    <row r="61" spans="1:8" ht="13.15">
      <c r="A61" s="143">
        <f t="shared" ref="A61:A66" si="3">A51</f>
        <v>5</v>
      </c>
      <c r="B61" s="124">
        <f t="shared" ref="B61:F66" si="4">B51/Common_Shares*$C$3*Exchange_Rate</f>
        <v>7.7973333333333343</v>
      </c>
      <c r="C61" s="124">
        <f t="shared" si="4"/>
        <v>8.0445906978508912</v>
      </c>
      <c r="D61" s="124">
        <f t="shared" si="4"/>
        <v>8.4290811086108857</v>
      </c>
      <c r="E61" s="124">
        <f t="shared" si="4"/>
        <v>8.5610313439478567</v>
      </c>
      <c r="F61" s="124">
        <f t="shared" si="4"/>
        <v>9.108866768515238</v>
      </c>
      <c r="H61" s="120"/>
    </row>
    <row r="62" spans="1:8" ht="13.15">
      <c r="A62" s="143">
        <f t="shared" si="3"/>
        <v>10</v>
      </c>
      <c r="B62" s="124">
        <f t="shared" si="4"/>
        <v>7.7973333333333343</v>
      </c>
      <c r="C62" s="124">
        <f t="shared" si="4"/>
        <v>8.2897781021746351</v>
      </c>
      <c r="D62" s="124">
        <f t="shared" si="4"/>
        <v>9.1222157376673128</v>
      </c>
      <c r="E62" s="124">
        <f t="shared" si="4"/>
        <v>9.4276847071175425</v>
      </c>
      <c r="F62" s="124">
        <f t="shared" si="4"/>
        <v>10.812234869520283</v>
      </c>
      <c r="H62" s="120"/>
    </row>
    <row r="63" spans="1:8" ht="13.15">
      <c r="A63" s="143">
        <f t="shared" si="3"/>
        <v>15</v>
      </c>
      <c r="B63" s="124">
        <f t="shared" si="4"/>
        <v>7.7973333333333343</v>
      </c>
      <c r="C63" s="124">
        <f t="shared" si="4"/>
        <v>8.6002140690626092</v>
      </c>
      <c r="D63" s="124">
        <f t="shared" si="4"/>
        <v>10.07144131507842</v>
      </c>
      <c r="E63" s="124">
        <f t="shared" si="4"/>
        <v>10.647112467064474</v>
      </c>
      <c r="F63" s="124">
        <f t="shared" si="4"/>
        <v>13.494040158512036</v>
      </c>
      <c r="H63" s="120"/>
    </row>
    <row r="64" spans="1:8" ht="13.15">
      <c r="A64" s="144">
        <f t="shared" si="3"/>
        <v>20</v>
      </c>
      <c r="B64" s="124">
        <f t="shared" si="4"/>
        <v>7.7973333333333343</v>
      </c>
      <c r="C64" s="124">
        <f t="shared" si="4"/>
        <v>8.9238486291633059</v>
      </c>
      <c r="D64" s="124">
        <f t="shared" si="4"/>
        <v>11.147279307010631</v>
      </c>
      <c r="E64" s="124">
        <f t="shared" si="4"/>
        <v>12.070491033025371</v>
      </c>
      <c r="F64" s="124">
        <f t="shared" si="4"/>
        <v>17.039534914066685</v>
      </c>
      <c r="H64" s="120"/>
    </row>
    <row r="65" spans="1:8" ht="13.15">
      <c r="A65" s="144">
        <f t="shared" si="3"/>
        <v>25</v>
      </c>
      <c r="B65" s="124">
        <f t="shared" si="4"/>
        <v>7.7973333333333343</v>
      </c>
      <c r="C65" s="124">
        <f t="shared" si="4"/>
        <v>9.2318740360549345</v>
      </c>
      <c r="D65" s="124">
        <f t="shared" si="4"/>
        <v>12.265286531322403</v>
      </c>
      <c r="E65" s="124">
        <f t="shared" si="4"/>
        <v>13.596990526546302</v>
      </c>
      <c r="F65" s="124">
        <f t="shared" si="4"/>
        <v>21.390979230234358</v>
      </c>
    </row>
    <row r="66" spans="1:8" ht="13.15">
      <c r="A66" s="144">
        <f t="shared" si="3"/>
        <v>30</v>
      </c>
      <c r="B66" s="124">
        <f t="shared" si="4"/>
        <v>7.7973333333333343</v>
      </c>
      <c r="C66" s="124">
        <f t="shared" si="4"/>
        <v>9.5099520257919288</v>
      </c>
      <c r="D66" s="124">
        <f t="shared" si="4"/>
        <v>13.371751768116789</v>
      </c>
      <c r="E66" s="124">
        <f t="shared" si="4"/>
        <v>15.159019191729804</v>
      </c>
      <c r="F66" s="124">
        <f t="shared" si="4"/>
        <v>26.53304538464441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26.53304538464441</v>
      </c>
      <c r="F69" s="142">
        <f>Scenarios!C58</f>
        <v>0.05</v>
      </c>
    </row>
    <row r="70" spans="1:8">
      <c r="B70" s="127" t="str">
        <f>Scenarios!B36</f>
        <v>Optimistic</v>
      </c>
      <c r="C70" s="142">
        <f>Scenarios!C38</f>
        <v>0.06</v>
      </c>
      <c r="D70" s="145">
        <f>Scenarios!C37</f>
        <v>20</v>
      </c>
      <c r="E70" s="135">
        <f>INDEX(B$60:F$66, MATCH(D70, A$60:A$66, 0), MATCH(C70, B$59:F$59, 0))</f>
        <v>12.070491033025371</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11.147279307010631</v>
      </c>
      <c r="F71" s="142">
        <f>Scenarios!C28*(1-F$69-F$73)</f>
        <v>0.495</v>
      </c>
      <c r="H71" s="120"/>
    </row>
    <row r="72" spans="1:8">
      <c r="B72" s="127" t="str">
        <f>Scenarios!B30</f>
        <v>Pessimistic</v>
      </c>
      <c r="C72" s="142">
        <f>Scenarios!C32</f>
        <v>0.02</v>
      </c>
      <c r="D72" s="145">
        <f>Scenarios!C31</f>
        <v>20</v>
      </c>
      <c r="E72" s="135">
        <f>INDEX(B$60:F$66, MATCH(D72, A$60:A$66, 0), MATCH(C72, B$59:F$59, 0))</f>
        <v>8.9238486291633059</v>
      </c>
      <c r="F72" s="142">
        <f>Scenarios!C34*(1-F$69-F$73)</f>
        <v>0.18</v>
      </c>
      <c r="H72" s="120"/>
    </row>
    <row r="73" spans="1:8">
      <c r="B73" s="127" t="str">
        <f>Scenarios!B48</f>
        <v>Devil's advocate</v>
      </c>
      <c r="C73" s="142">
        <f>Scenarios!C50</f>
        <v>0</v>
      </c>
      <c r="D73" s="145">
        <f>Scenarios!C49</f>
        <v>30</v>
      </c>
      <c r="E73" s="135">
        <f>INDEX(B$60:F$66, MATCH(D73, A$60:A$66, 0), MATCH(C73, B$59:F$59, 0))</f>
        <v>7.7973333333333343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-15.26</v>
      </c>
    </row>
    <row r="4" spans="2:9">
      <c r="B4" s="152" t="s">
        <v>147</v>
      </c>
      <c r="C4" s="120">
        <v>3</v>
      </c>
      <c r="D4" s="120"/>
      <c r="E4" s="155" t="s">
        <v>151</v>
      </c>
      <c r="F4" s="155"/>
      <c r="H4" s="247">
        <v>1</v>
      </c>
      <c r="I4" s="124">
        <f t="shared" ref="I4:I13" si="0">IF(ROW()-3 &lt; $C$76, $C$77, IF(ROW()-3 = $C$76, $C$77 + $C$60, ""))</f>
        <v>0.53933281450524906</v>
      </c>
    </row>
    <row r="5" spans="2:9">
      <c r="H5" s="247">
        <v>2</v>
      </c>
      <c r="I5" s="124">
        <f t="shared" si="0"/>
        <v>0.53933281450524906</v>
      </c>
    </row>
    <row r="6" spans="2:9" ht="13.15">
      <c r="B6" s="159" t="s">
        <v>96</v>
      </c>
      <c r="C6" s="107">
        <f>DCF!C3</f>
        <v>1000</v>
      </c>
      <c r="E6" s="100" t="s">
        <v>280</v>
      </c>
      <c r="F6" s="100"/>
      <c r="H6" s="247">
        <v>3</v>
      </c>
      <c r="I6" s="124">
        <f t="shared" si="0"/>
        <v>25.939505708528923</v>
      </c>
    </row>
    <row r="7" spans="2:9" ht="12.75" customHeight="1">
      <c r="B7" s="100" t="s">
        <v>276</v>
      </c>
      <c r="C7" s="343">
        <f>Normalized_FCF!G8</f>
        <v>3529289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7"/>
      <c r="H7" s="247">
        <v>4</v>
      </c>
      <c r="I7" s="124" t="str">
        <f t="shared" si="0"/>
        <v/>
      </c>
    </row>
    <row r="8" spans="2:9">
      <c r="B8" s="100" t="s">
        <v>66</v>
      </c>
      <c r="C8" s="343">
        <f>Normalized_FCF!G19</f>
        <v>2532262.2283614483</v>
      </c>
      <c r="D8" t="str">
        <f>Reporting_currency</f>
        <v>CNY</v>
      </c>
      <c r="E8" s="357"/>
      <c r="F8" s="357"/>
      <c r="H8" s="247">
        <v>5</v>
      </c>
      <c r="I8" s="124" t="str">
        <f t="shared" si="0"/>
        <v/>
      </c>
    </row>
    <row r="9" spans="2:9">
      <c r="B9" s="100" t="s">
        <v>57</v>
      </c>
      <c r="C9" s="343">
        <f>Normalized_FCF!C19</f>
        <v>2419780.4086976871</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8.3043513409933434E-2</v>
      </c>
      <c r="D12" s="158"/>
      <c r="E12" s="357"/>
      <c r="F12" s="357"/>
      <c r="H12" s="247">
        <v>9</v>
      </c>
      <c r="I12" s="124" t="str">
        <f t="shared" si="0"/>
        <v/>
      </c>
    </row>
    <row r="13" spans="2:9">
      <c r="B13" s="148" t="s">
        <v>153</v>
      </c>
      <c r="C13" s="158">
        <f ca="1">(Normalized_FCF!G8/OFFSET(Normalized_FCF!G8, 0, $C$4))^(1/$C$4) - 1</f>
        <v>-9.2379152048964186E-2</v>
      </c>
      <c r="E13" s="357"/>
      <c r="F13" s="357"/>
      <c r="H13" s="247">
        <v>10</v>
      </c>
      <c r="I13" s="124" t="str">
        <f t="shared" si="0"/>
        <v/>
      </c>
    </row>
    <row r="14" spans="2:9">
      <c r="B14" s="100" t="s">
        <v>66</v>
      </c>
      <c r="C14" s="158">
        <f ca="1">(Normalized_FCF!G19/OFFSET(Normalized_FCF!G19, 0, $C$4))^(1/$C$4) - 1</f>
        <v>-0.10082679039737563</v>
      </c>
      <c r="E14" s="357"/>
      <c r="F14" s="357"/>
    </row>
    <row r="16" spans="2:9" ht="13.9">
      <c r="B16" s="36" t="s">
        <v>163</v>
      </c>
      <c r="C16" s="37"/>
      <c r="D16" s="37"/>
      <c r="E16" s="37"/>
      <c r="F16" s="37"/>
    </row>
    <row r="17" spans="2:6" ht="13.15">
      <c r="B17" s="109" t="s">
        <v>152</v>
      </c>
      <c r="E17" s="159" t="s">
        <v>330</v>
      </c>
    </row>
    <row r="18" spans="2:6">
      <c r="B18" s="152" t="s">
        <v>134</v>
      </c>
      <c r="C18" s="150">
        <v>20</v>
      </c>
      <c r="E18" s="357" t="s">
        <v>331</v>
      </c>
      <c r="F18" s="358"/>
    </row>
    <row r="19" spans="2:6">
      <c r="E19" s="358"/>
      <c r="F19" s="358"/>
    </row>
    <row r="20" spans="2:6" ht="13.15">
      <c r="B20" s="159" t="s">
        <v>304</v>
      </c>
      <c r="E20" s="358"/>
      <c r="F20" s="358"/>
    </row>
    <row r="21" spans="2:6">
      <c r="B21" s="100" t="s">
        <v>278</v>
      </c>
      <c r="C21" s="160">
        <f>Market_Price</f>
        <v>15.26</v>
      </c>
      <c r="D21" t="str">
        <f>Market_currency</f>
        <v>HKD</v>
      </c>
      <c r="E21" s="358"/>
      <c r="F21" s="358"/>
    </row>
    <row r="22" spans="2:6">
      <c r="B22" s="100" t="s">
        <v>279</v>
      </c>
      <c r="C22" s="160">
        <f>IF(valuation_method="DCF",DCF!C12,DDM!C7)</f>
        <v>18.874988130139947</v>
      </c>
      <c r="D22" t="str">
        <f>Market_currency</f>
        <v>HKD</v>
      </c>
      <c r="E22" s="358"/>
      <c r="F22" s="358"/>
    </row>
    <row r="24" spans="2:6" ht="13.15">
      <c r="B24" s="159" t="s">
        <v>116</v>
      </c>
      <c r="E24" s="159" t="s">
        <v>150</v>
      </c>
      <c r="F24" s="159"/>
    </row>
    <row r="25" spans="2:6">
      <c r="B25" s="152" t="s">
        <v>134</v>
      </c>
      <c r="C25" s="166">
        <f>C18</f>
        <v>20</v>
      </c>
      <c r="D25" s="163"/>
      <c r="E25" s="356"/>
      <c r="F25" s="356"/>
    </row>
    <row r="26" spans="2:6">
      <c r="B26" s="118" t="s">
        <v>135</v>
      </c>
      <c r="C26" s="164">
        <v>0.05</v>
      </c>
      <c r="D26" s="164"/>
      <c r="E26" s="356"/>
      <c r="F26" s="356"/>
    </row>
    <row r="27" spans="2:6">
      <c r="B27" s="100" t="s">
        <v>114</v>
      </c>
      <c r="C27" s="160">
        <f>IF(valuation_method="DCF",DCF!E76,DDM!E71)</f>
        <v>24.68972840853035</v>
      </c>
      <c r="D27" s="160" t="str">
        <f>Market_currency</f>
        <v>HKD</v>
      </c>
      <c r="E27" s="356"/>
      <c r="F27" s="356"/>
    </row>
    <row r="28" spans="2:6">
      <c r="B28" s="100" t="s">
        <v>148</v>
      </c>
      <c r="C28" s="165">
        <v>0.55000000000000004</v>
      </c>
      <c r="D28" s="165"/>
      <c r="E28" s="356"/>
      <c r="F28" s="356"/>
    </row>
    <row r="30" spans="2:6" ht="13.15">
      <c r="B30" s="159" t="s">
        <v>117</v>
      </c>
      <c r="E30" s="159" t="s">
        <v>150</v>
      </c>
      <c r="F30" s="159"/>
    </row>
    <row r="31" spans="2:6">
      <c r="B31" s="152" t="s">
        <v>134</v>
      </c>
      <c r="C31" s="166">
        <f>C18</f>
        <v>20</v>
      </c>
      <c r="D31" s="163"/>
      <c r="E31" s="356"/>
      <c r="F31" s="356"/>
    </row>
    <row r="32" spans="2:6">
      <c r="B32" s="118" t="s">
        <v>135</v>
      </c>
      <c r="C32" s="164">
        <v>0.02</v>
      </c>
      <c r="D32" s="164"/>
      <c r="E32" s="356"/>
      <c r="F32" s="356"/>
    </row>
    <row r="33" spans="2:6">
      <c r="B33" s="100" t="s">
        <v>114</v>
      </c>
      <c r="C33" s="160">
        <f>IF(valuation_method="DCF",DCF!E77,DDM!E72)</f>
        <v>20.830361117154109</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20</v>
      </c>
      <c r="D37" s="163"/>
      <c r="E37" s="356"/>
      <c r="F37" s="356"/>
    </row>
    <row r="38" spans="2:6">
      <c r="B38" s="118" t="s">
        <v>135</v>
      </c>
      <c r="C38" s="164">
        <v>0.06</v>
      </c>
      <c r="D38" s="164"/>
      <c r="E38" s="356"/>
      <c r="F38" s="356"/>
    </row>
    <row r="39" spans="2:6">
      <c r="B39" s="100" t="s">
        <v>114</v>
      </c>
      <c r="C39" s="160">
        <f>IF(valuation_method="DCF",DCF!E75,DDM!E70)</f>
        <v>26.292212881689604</v>
      </c>
      <c r="D39" t="str">
        <f>Market_currency</f>
        <v>HKD</v>
      </c>
      <c r="E39" s="356"/>
      <c r="F39" s="356"/>
    </row>
    <row r="40" spans="2:6">
      <c r="B40" s="100" t="s">
        <v>148</v>
      </c>
      <c r="C40" s="167">
        <f>1-C28-C34</f>
        <v>0.24999999999999994</v>
      </c>
      <c r="D40" s="165"/>
      <c r="E40" s="356"/>
      <c r="F40" s="356"/>
    </row>
    <row r="42" spans="2:6" ht="13.15">
      <c r="B42" s="100" t="s">
        <v>121</v>
      </c>
      <c r="C42" s="154">
        <f>C27*C28+C33*C34+C39*C40</f>
        <v>24.318476068544914</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18.874988130139954</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0.1</v>
      </c>
      <c r="D56" s="164"/>
      <c r="E56" s="356"/>
      <c r="F56" s="356"/>
    </row>
    <row r="57" spans="2:6">
      <c r="B57" s="100" t="s">
        <v>114</v>
      </c>
      <c r="C57" s="160">
        <f>IF(valuation_method="DCF",DCF!E74,DDM!E69)</f>
        <v>51.395900516525067</v>
      </c>
      <c r="D57" t="str">
        <f>Market_currency</f>
        <v>HKD</v>
      </c>
      <c r="E57" s="356"/>
      <c r="F57" s="356"/>
    </row>
    <row r="58" spans="2:6">
      <c r="B58" s="100" t="s">
        <v>148</v>
      </c>
      <c r="C58" s="165">
        <v>0.05</v>
      </c>
      <c r="D58" s="165"/>
      <c r="E58" s="356"/>
      <c r="F58" s="356"/>
    </row>
    <row r="60" spans="2:6" ht="13.15">
      <c r="B60" s="100" t="s">
        <v>121</v>
      </c>
      <c r="C60" s="154">
        <f>C51*C52+C57*C58+C42*(1-C52-C58)</f>
        <v>25.400172894023672</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20</v>
      </c>
      <c r="D64" s="150"/>
      <c r="E64" s="251" t="s">
        <v>396</v>
      </c>
    </row>
    <row r="65" spans="2:6">
      <c r="B65" s="118" t="s">
        <v>135</v>
      </c>
      <c r="C65" s="151">
        <v>5.4247061515052201E-2</v>
      </c>
      <c r="D65" s="151"/>
      <c r="E65" s="251" t="s">
        <v>313</v>
      </c>
    </row>
    <row r="66" spans="2:6">
      <c r="B66" s="100" t="s">
        <v>103</v>
      </c>
      <c r="C66" s="160">
        <f>IF(valuation_method="DCF",DCF!C18,DDM!C13)</f>
        <v>25.348164730248307</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0.2102584210220968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0.53933281450524906</v>
      </c>
      <c r="D77" t="str">
        <f>Market_currency</f>
        <v>HKD</v>
      </c>
    </row>
    <row r="79" spans="2:6" ht="13.15">
      <c r="B79" s="109" t="s">
        <v>302</v>
      </c>
    </row>
    <row r="80" spans="2:6">
      <c r="B80" s="148" t="s">
        <v>300</v>
      </c>
      <c r="C80" s="167">
        <f>Thesis!F29</f>
        <v>0.3674</v>
      </c>
    </row>
    <row r="81" spans="2:8">
      <c r="B81" s="100" t="s">
        <v>122</v>
      </c>
      <c r="C81" s="116">
        <f>PV(C80, C76, -C77, 0)</f>
        <v>0.89381433307810265</v>
      </c>
      <c r="D81" s="116"/>
      <c r="E81" s="100"/>
      <c r="F81" s="100"/>
    </row>
    <row r="82" spans="2:8">
      <c r="B82" s="100" t="s">
        <v>123</v>
      </c>
      <c r="C82" s="116">
        <f>C60/(1+C80)^C76</f>
        <v>9.9345899448763504</v>
      </c>
      <c r="D82" s="116"/>
    </row>
    <row r="83" spans="2:8" ht="13.15">
      <c r="B83" s="110" t="s">
        <v>102</v>
      </c>
      <c r="C83" s="111">
        <f>C81+C82</f>
        <v>10.828404277954453</v>
      </c>
      <c r="D83" t="str">
        <f>Market_currency</f>
        <v>HKD</v>
      </c>
      <c r="E83" s="146" t="s">
        <v>127</v>
      </c>
      <c r="F83" s="293">
        <f>(1-C83/C60)</f>
        <v>0.573687772790624</v>
      </c>
    </row>
    <row r="84" spans="2:8">
      <c r="E84" s="120"/>
    </row>
    <row r="85" spans="2:8" ht="13.15">
      <c r="B85" s="109" t="s">
        <v>303</v>
      </c>
    </row>
    <row r="86" spans="2:8">
      <c r="B86" s="148" t="s">
        <v>301</v>
      </c>
      <c r="C86" s="116">
        <f>Market_Price</f>
        <v>15.26</v>
      </c>
      <c r="D86" t="str">
        <f>Market_currency</f>
        <v>HKD</v>
      </c>
    </row>
    <row r="87" spans="2:8" ht="13.15">
      <c r="B87" s="100" t="s">
        <v>299</v>
      </c>
      <c r="C87" s="237">
        <f ca="1">IRR(OFFSET($I$3, 0, 0, $C$76 + 1, 1))</f>
        <v>0.21531075188549287</v>
      </c>
    </row>
    <row r="88" spans="2:8">
      <c r="B88" s="100"/>
    </row>
    <row r="89" spans="2:8" ht="13.15">
      <c r="B89" s="109" t="s">
        <v>414</v>
      </c>
    </row>
    <row r="90" spans="2:8">
      <c r="B90" s="148" t="s">
        <v>415</v>
      </c>
      <c r="C90" s="167">
        <f>Thesis!F30</f>
        <v>0.21740000000000001</v>
      </c>
    </row>
    <row r="91" spans="2:8">
      <c r="B91" s="100" t="s">
        <v>122</v>
      </c>
      <c r="C91" s="116">
        <f>PV(C90, C76, -C77, 0)</f>
        <v>1.1058484471989578</v>
      </c>
      <c r="D91" s="116"/>
      <c r="E91" s="100"/>
      <c r="F91" s="100"/>
    </row>
    <row r="92" spans="2:8">
      <c r="B92" s="100" t="s">
        <v>123</v>
      </c>
      <c r="C92" s="116">
        <f>C60/(1+C90)^C76</f>
        <v>14.077864491929084</v>
      </c>
      <c r="D92" s="116"/>
    </row>
    <row r="93" spans="2:8" ht="13.15">
      <c r="B93" s="110" t="s">
        <v>102</v>
      </c>
      <c r="C93" s="111">
        <f>C91+C92</f>
        <v>15.183712939128043</v>
      </c>
      <c r="D93" t="str">
        <f>Market_currency</f>
        <v>HKD</v>
      </c>
      <c r="E93" s="146" t="s">
        <v>127</v>
      </c>
      <c r="F93" s="293">
        <f>(1-C93/C60)</f>
        <v>0.40222009501751965</v>
      </c>
    </row>
    <row r="95" spans="2:8" ht="13.15">
      <c r="B95" s="109" t="s">
        <v>398</v>
      </c>
      <c r="G95" s="2"/>
      <c r="H95" s="283"/>
    </row>
    <row r="96" spans="2:8">
      <c r="B96" s="148" t="s">
        <v>404</v>
      </c>
      <c r="C96" s="134">
        <f>Thesis!F31</f>
        <v>7.4999999999999997E-2</v>
      </c>
      <c r="G96" s="2"/>
      <c r="H96" s="283"/>
    </row>
    <row r="97" spans="2:8">
      <c r="B97" s="100" t="s">
        <v>122</v>
      </c>
      <c r="C97" s="116">
        <f>PV(C96, C76, -C77, 0)</f>
        <v>1.4025488664784891</v>
      </c>
      <c r="D97" s="116"/>
      <c r="G97" s="2"/>
      <c r="H97" s="283"/>
    </row>
    <row r="98" spans="2:8">
      <c r="B98" s="100" t="s">
        <v>123</v>
      </c>
      <c r="C98" s="116">
        <f>C60/(1+C96)^C76</f>
        <v>20.446137638415678</v>
      </c>
      <c r="D98" s="116"/>
      <c r="G98" s="2"/>
      <c r="H98" s="283"/>
    </row>
    <row r="99" spans="2:8" ht="13.15">
      <c r="B99" s="110" t="s">
        <v>399</v>
      </c>
      <c r="C99" s="111">
        <f>C97+C98</f>
        <v>21.848686504894168</v>
      </c>
      <c r="D99" t="s">
        <v>397</v>
      </c>
      <c r="E99" s="146" t="s">
        <v>127</v>
      </c>
      <c r="F99" s="293">
        <f>(1-C99/C60)</f>
        <v>0.13982134704150473</v>
      </c>
    </row>
    <row r="100" spans="2:8">
      <c r="B100" s="100"/>
    </row>
    <row r="101" spans="2:8" ht="13.15">
      <c r="B101" s="109" t="s">
        <v>424</v>
      </c>
    </row>
    <row r="102" spans="2:8">
      <c r="B102" s="148" t="s">
        <v>423</v>
      </c>
      <c r="C102" s="134">
        <f>Thesis!F32</f>
        <v>0.1174</v>
      </c>
    </row>
    <row r="103" spans="2:8">
      <c r="B103" s="100" t="s">
        <v>122</v>
      </c>
      <c r="C103" s="116">
        <f>PV(C102, C76, -C77, 0)</f>
        <v>1.3011960341966535</v>
      </c>
      <c r="D103" s="116"/>
    </row>
    <row r="104" spans="2:8">
      <c r="B104" s="100" t="s">
        <v>123</v>
      </c>
      <c r="C104" s="116">
        <f>C60/(1+C102)^C76</f>
        <v>18.205837906164344</v>
      </c>
      <c r="D104" s="116"/>
    </row>
    <row r="105" spans="2:8" ht="13.15">
      <c r="B105" s="110" t="s">
        <v>399</v>
      </c>
      <c r="C105" s="111">
        <f>C103+C104</f>
        <v>19.507033940360998</v>
      </c>
      <c r="D105" t="s">
        <v>397</v>
      </c>
      <c r="E105" s="146" t="s">
        <v>127</v>
      </c>
      <c r="F105" s="293">
        <f>(1-C105/C66)</f>
        <v>0.23043604347880098</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