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83FF75E-56E8-4F82-946F-847A58FDD031}"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I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O118" i="2"/>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l="1"/>
  <c r="K124" i="2"/>
  <c r="K125" i="2" s="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<sst xmlns="http://schemas.openxmlformats.org/spreadsheetml/2006/main" count="685" uniqueCount="466">
  <si>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</si>
  <si>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</si>
  <si>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</si>
  <si>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</si>
  <si>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</si>
  <si>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</si>
  <si>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</si>
  <si>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</si>
  <si>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</si>
  <si>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</si>
  <si>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</si>
  <si>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</si>
  <si>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</si>
  <si>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</si>
  <si>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</si>
  <si>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</si>
  <si>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</si>
  <si>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</si>
  <si>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</si>
  <si>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</si>
  <si>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</si>
  <si>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</si>
  <si>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</si>
  <si>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</si>
  <si>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</si>
  <si>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</si>
  <si>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</si>
  <si>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</si>
  <si>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</si>
  <si>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</si>
  <si>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</si>
  <si>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</si>
  <si>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</si>
  <si>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</si>
  <si>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</si>
  <si>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</si>
  <si>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</si>
  <si>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</si>
  <si>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</si>
  <si>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</si>
  <si>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</si>
  <si>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</si>
  <si>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</si>
  <si>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</si>
  <si>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</si>
  <si>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</si>
  <si>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</si>
  <si>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</si>
  <si>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</si>
  <si>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</si>
  <si>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</si>
  <si>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</si>
  <si>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</si>
  <si>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</si>
  <si>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</si>
  <si>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</si>
  <si>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</si>
  <si>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</si>
  <si>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</si>
  <si>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</si>
  <si>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</si>
  <si>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</si>
  <si>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</si>
  <si>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</si>
  <si>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</si>
  <si>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</si>
  <si>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</si>
  <si>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</si>
  <si>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</si>
  <si>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</si>
  <si>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</si>
  <si>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</si>
  <si>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</si>
  <si>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</si>
  <si>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</si>
  <si>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</si>
  <si>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</si>
  <si>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</si>
  <si>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</si>
  <si>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</si>
  <si>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</si>
  <si>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</si>
  <si>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</si>
  <si>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</si>
  <si>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</si>
  <si>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</si>
  <si>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</si>
  <si>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</si>
  <si>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</si>
  <si>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</si>
  <si>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</si>
  <si>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</si>
  <si>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</si>
  <si>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</si>
  <si>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</si>
  <si>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</si>
  <si>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</si>
  <si>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</si>
  <si>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</si>
  <si>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</si>
  <si>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</si>
  <si>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</si>
  <si>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</si>
  <si>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</si>
  <si>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</si>
  <si>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</si>
  <si>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</si>
  <si>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</si>
  <si>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</si>
  <si>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</si>
  <si>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</si>
  <si>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</si>
  <si>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</si>
  <si>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</si>
  <si>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</si>
  <si>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</si>
  <si>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</si>
  <si>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</si>
  <si>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</si>
  <si>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</si>
  <si>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</si>
  <si>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</si>
  <si>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</si>
  <si>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</si>
  <si>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</si>
  <si>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</si>
  <si>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</si>
  <si>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</si>
  <si>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</si>
  <si>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</si>
  <si>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</si>
  <si>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</si>
  <si>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</si>
  <si>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</si>
  <si>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</si>
  <si>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</si>
  <si>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</si>
  <si>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</si>
  <si>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</si>
  <si>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</si>
  <si>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</si>
  <si>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</si>
  <si>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</si>
  <si>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</si>
  <si>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</si>
  <si>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</si>
  <si>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</si>
  <si>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</si>
  <si>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</si>
  <si>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</si>
  <si>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</si>
  <si>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</si>
  <si>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</si>
  <si>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</si>
  <si>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</si>
  <si>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</si>
  <si>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</si>
  <si>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</si>
  <si>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</si>
  <si>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</si>
  <si>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</si>
  <si>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</si>
  <si>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</si>
  <si>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</si>
  <si>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</si>
  <si>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</si>
  <si>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</si>
  <si>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</si>
  <si>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</si>
  <si>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</si>
  <si>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</si>
  <si>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</si>
  <si>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</si>
  <si>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</si>
  <si>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</si>
  <si>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</si>
  <si>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</si>
  <si>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</si>
  <si>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</si>
  <si>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</si>
  <si>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</si>
  <si>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</si>
  <si>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</si>
  <si>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</si>
  <si>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</si>
  <si>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</si>
  <si>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</si>
  <si>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</si>
  <si>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</si>
  <si>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</si>
  <si>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</si>
  <si>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</si>
  <si>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</si>
  <si>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</si>
  <si>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</si>
  <si>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</si>
  <si>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</si>
  <si>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</si>
  <si>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</si>
  <si>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</si>
  <si>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</si>
  <si>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</si>
  <si>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</si>
  <si>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</si>
  <si>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</si>
  <si>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</si>
  <si>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</si>
  <si>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</si>
  <si>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</si>
  <si>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</si>
  <si>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</si>
  <si>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</si>
  <si>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</si>
  <si>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</si>
  <si>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</si>
  <si>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</si>
  <si>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</si>
  <si>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</si>
  <si>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</si>
  <si>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</si>
  <si>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</si>
  <si>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</si>
  <si>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</si>
  <si>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</si>
  <si>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</si>
  <si>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</si>
  <si>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</si>
  <si>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</si>
  <si>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</si>
  <si>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</si>
  <si>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</si>
  <si>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</si>
  <si>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</si>
  <si>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</si>
  <si>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</si>
  <si>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</si>
  <si>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</si>
  <si>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</si>
  <si>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</si>
  <si>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</si>
  <si>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</si>
  <si>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</si>
  <si>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</si>
  <si>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</si>
  <si>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</si>
  <si>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</si>
  <si>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</si>
  <si>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</si>
  <si>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</si>
  <si>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</si>
  <si>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</si>
  <si>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</si>
  <si>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</si>
  <si>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</si>
  <si>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</si>
  <si>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</si>
  <si>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</si>
  <si>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</si>
  <si>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</si>
  <si>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</si>
  <si>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</si>
  <si>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</si>
  <si>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</si>
  <si>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</si>
  <si>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</si>
  <si>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</si>
  <si>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</si>
  <si>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</si>
  <si>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</si>
  <si>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</si>
  <si>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</si>
  <si>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</si>
  <si>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</si>
  <si>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</si>
  <si>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</si>
  <si>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</si>
  <si>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</si>
  <si>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</si>
  <si>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</si>
  <si>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</si>
  <si>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</si>
  <si>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</si>
  <si>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</si>
  <si>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</si>
  <si>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</si>
  <si>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</si>
  <si>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</si>
  <si>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</si>
  <si>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</si>
  <si>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</si>
  <si>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</si>
  <si>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</si>
  <si>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</si>
  <si>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</si>
  <si>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</si>
  <si>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</si>
  <si>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</si>
  <si>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</si>
  <si>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</si>
  <si>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</si>
  <si>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</si>
  <si>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</si>
  <si>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</si>
  <si>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</si>
  <si>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</si>
  <si>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</si>
  <si>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</si>
  <si>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</si>
  <si>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</si>
  <si>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</si>
  <si>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</si>
  <si>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</si>
  <si>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</si>
  <si>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</si>
  <si>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</si>
  <si>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</si>
  <si>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</si>
  <si>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</si>
  <si>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</si>
  <si>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</si>
  <si>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</si>
  <si>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</si>
  <si>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</si>
  <si>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</si>
  <si>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</si>
  <si>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</si>
  <si>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</si>
  <si>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</si>
  <si>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</si>
  <si>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</si>
  <si>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</si>
  <si>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</si>
  <si>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</si>
  <si>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</si>
  <si>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</si>
  <si>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</si>
  <si>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</si>
  <si>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</si>
  <si>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</si>
  <si>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</si>
  <si>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</si>
  <si>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</si>
  <si>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</si>
  <si>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</si>
  <si>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</si>
  <si>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</si>
  <si>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</si>
  <si>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</si>
  <si>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</si>
  <si>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</si>
  <si>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</si>
  <si>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</si>
  <si>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</si>
  <si>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</si>
  <si>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</si>
  <si>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</si>
  <si>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</si>
  <si>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</si>
  <si>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</si>
  <si>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</si>
  <si>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</si>
  <si>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</si>
  <si>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</si>
  <si>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</si>
  <si>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</si>
  <si>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</si>
  <si>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</si>
  <si>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</si>
  <si>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</si>
  <si>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</si>
  <si>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</si>
  <si>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</si>
  <si>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</si>
  <si>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</si>
  <si>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</si>
  <si>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</si>
  <si>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</si>
  <si>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</si>
  <si>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</si>
  <si>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</si>
  <si>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</si>
  <si>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</si>
  <si>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</si>
  <si>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</si>
  <si>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</si>
  <si>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</si>
  <si>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</si>
  <si>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</si>
  <si>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</si>
  <si>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</si>
  <si>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</si>
  <si>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</si>
  <si>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</si>
  <si>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</si>
  <si>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</si>
  <si>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</si>
  <si>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</si>
  <si>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</si>
  <si>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</si>
  <si>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</si>
  <si>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</si>
  <si>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</si>
  <si>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</si>
  <si>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</si>
  <si>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</si>
  <si>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</si>
  <si>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</si>
  <si>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</si>
  <si>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</si>
  <si>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</si>
  <si>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</si>
  <si>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</si>
  <si>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</si>
  <si>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</si>
  <si>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</si>
  <si>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</si>
  <si>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</si>
  <si>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</si>
  <si>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</si>
  <si>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</si>
  <si>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</si>
  <si>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</si>
  <si>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</si>
  <si>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</si>
  <si>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</si>
  <si>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</si>
  <si>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</si>
  <si>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</si>
  <si>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</si>
  <si>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</si>
  <si>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</si>
  <si>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</si>
  <si>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</si>
  <si>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</si>
  <si>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</si>
  <si>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</si>
  <si>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</si>
  <si>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</si>
  <si>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</si>
  <si>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</si>
  <si>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</si>
  <si>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</si>
  <si>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</si>
  <si>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</si>
  <si>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</si>
  <si>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</si>
  <si>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</si>
  <si>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</si>
  <si>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</si>
  <si>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</si>
  <si>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</si>
  <si>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</si>
  <si>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</si>
  <si>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</si>
  <si>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</si>
  <si>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</si>
  <si>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</si>
  <si>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李宁</t>
  </si>
  <si>
    <t>2331.HK</t>
  </si>
  <si>
    <t/>
  </si>
  <si>
    <t>CNS_02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</si>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</sst>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45778</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2584797906</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14.88</v>
      </c>
      <c r="D12" s="50"/>
      <c r="E12" s="48"/>
    </row>
    <row r="13" spans="1:10">
      <c r="B13" s="1" t="s">
        <v>416</v>
      </c>
      <c r="C13" s="48" t="s">
        <v>396</v>
      </c>
      <c r="D13" s="48"/>
      <c r="E13" s="5"/>
    </row>
    <row r="14" spans="1:10">
      <c r="B14" s="4" t="s">
        <v>420</v>
      </c>
      <c r="C14" s="35">
        <f>Thesis!C12*Common_Shares/1000000</f>
        <v>38461.792841279996</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1.08936492</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25.519053919683184</v>
      </c>
      <c r="D26" s="1" t="s">
        <v>399</v>
      </c>
      <c r="E26" s="301">
        <f ca="1">Scenarios!C87</f>
        <v>0.22753818318669206</v>
      </c>
    </row>
    <row r="27" spans="2:6">
      <c r="D27" s="5"/>
      <c r="E27" s="5"/>
    </row>
    <row r="28" spans="2:6">
      <c r="B28" s="45" t="s">
        <v>433</v>
      </c>
      <c r="C28" s="309" t="str">
        <f>C145&amp;" ("&amp;Market_currency&amp;")"</f>
        <v>2331.HK (HKD)</v>
      </c>
      <c r="D28" s="309" t="str">
        <f>IF(D11="","",D145&amp;" ("&amp;D13&amp;")")</f>
        <v/>
      </c>
      <c r="E28" s="305" t="s">
        <v>429</v>
      </c>
      <c r="F28" s="303">
        <v>3</v>
      </c>
    </row>
    <row r="29" spans="2:6">
      <c r="B29" s="1" t="s">
        <v>425</v>
      </c>
      <c r="C29" s="310">
        <f>C149</f>
        <v>10.870747824564807</v>
      </c>
      <c r="D29" s="310" t="str">
        <f>D149</f>
        <v/>
      </c>
      <c r="E29" s="306" t="s">
        <v>424</v>
      </c>
      <c r="F29" s="302">
        <v>0.3674</v>
      </c>
    </row>
    <row r="30" spans="2:6">
      <c r="B30" s="1" t="s">
        <v>426</v>
      </c>
      <c r="C30" s="311">
        <f>C157</f>
        <v>15.244463030077325</v>
      </c>
      <c r="D30" s="311" t="str">
        <f>D157</f>
        <v/>
      </c>
      <c r="E30" s="307" t="s">
        <v>437</v>
      </c>
      <c r="F30" s="312">
        <v>0.21740000000000001</v>
      </c>
    </row>
    <row r="31" spans="2:6">
      <c r="B31" s="1" t="s">
        <v>427</v>
      </c>
      <c r="C31" s="311">
        <f>C165</f>
        <v>21.93786340973876</v>
      </c>
      <c r="D31" s="311" t="str">
        <f>D165</f>
        <v/>
      </c>
      <c r="E31" s="307" t="s">
        <v>436</v>
      </c>
      <c r="F31" s="312">
        <v>7.4999999999999997E-2</v>
      </c>
    </row>
    <row r="32" spans="2:6">
      <c r="B32" s="1" t="s">
        <v>428</v>
      </c>
      <c r="C32" s="311">
        <f>C173</f>
        <v>19.586196503554973</v>
      </c>
      <c r="D32" s="311" t="str">
        <f>D173</f>
        <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3205414.6239021346</v>
      </c>
      <c r="D41" s="1" t="str">
        <f>Reporting_currency</f>
        <v>CNY</v>
      </c>
    </row>
    <row r="42" spans="1:6">
      <c r="B42" s="47"/>
      <c r="C42" s="76"/>
    </row>
    <row r="43" spans="1:6" ht="24.5" customHeight="1">
      <c r="B43" s="357" t="s">
        <v>233</v>
      </c>
      <c r="C43" s="357"/>
      <c r="D43" s="357"/>
      <c r="E43" s="357"/>
      <c r="F43" s="357"/>
    </row>
    <row r="44" spans="1:6">
      <c r="B44" s="47" t="s">
        <v>234</v>
      </c>
      <c r="C44" s="349">
        <f>Normalized_FCF!C9</f>
        <v>0</v>
      </c>
      <c r="D44" s="1" t="str">
        <f>Reporting_currency</f>
        <v>CNY</v>
      </c>
    </row>
    <row r="45" spans="1:6">
      <c r="B45" s="52" t="s">
        <v>235</v>
      </c>
      <c r="C45" s="349">
        <f>Normalized_FCF!C10</f>
        <v>0</v>
      </c>
      <c r="D45" s="1" t="str">
        <f>Reporting_currency</f>
        <v>CNY</v>
      </c>
    </row>
    <row r="47" spans="1:6">
      <c r="B47" s="357" t="s">
        <v>236</v>
      </c>
      <c r="C47" s="357"/>
      <c r="D47" s="357"/>
      <c r="E47" s="357"/>
      <c r="F47" s="357"/>
    </row>
    <row r="48" spans="1:6">
      <c r="B48" s="47" t="s">
        <v>237</v>
      </c>
      <c r="C48" s="349">
        <f>Normalized_FCF!C11</f>
        <v>179409.3</v>
      </c>
      <c r="D48" s="1" t="str">
        <f>Reporting_currency</f>
        <v>CNY</v>
      </c>
    </row>
    <row r="50" spans="2:6">
      <c r="B50" s="357" t="s">
        <v>240</v>
      </c>
      <c r="C50" s="357"/>
      <c r="D50" s="357"/>
      <c r="E50" s="357"/>
      <c r="F50" s="357"/>
    </row>
    <row r="51" spans="2:6">
      <c r="B51" s="47" t="s">
        <v>340</v>
      </c>
      <c r="C51" s="350">
        <f>Normalized_FCF!C48</f>
        <v>95945.422847688853</v>
      </c>
      <c r="D51" s="1" t="str">
        <f>Reporting_currency</f>
        <v>CNY</v>
      </c>
      <c r="E51" s="286"/>
      <c r="F51" s="286"/>
    </row>
    <row r="52" spans="2:6">
      <c r="B52" s="47" t="s">
        <v>341</v>
      </c>
      <c r="C52" s="350">
        <f>Normalized_FCF!C47</f>
        <v>-254421</v>
      </c>
      <c r="D52" s="1" t="str">
        <f>Reporting_currency</f>
        <v>CNY</v>
      </c>
      <c r="E52" s="286"/>
      <c r="F52" s="286"/>
    </row>
    <row r="53" spans="2:6">
      <c r="B53" s="47" t="s">
        <v>238</v>
      </c>
      <c r="C53" s="349">
        <f>Normalized_FCF!C12</f>
        <v>-158475.57715231116</v>
      </c>
      <c r="D53" s="1" t="str">
        <f>Reporting_currency</f>
        <v>CNY</v>
      </c>
    </row>
    <row r="55" spans="2:6">
      <c r="B55" s="1" t="s">
        <v>246</v>
      </c>
    </row>
    <row r="56" spans="2:6">
      <c r="B56" s="47" t="s">
        <v>265</v>
      </c>
      <c r="C56" s="349">
        <f>Normalized_FCF!C15</f>
        <v>0</v>
      </c>
      <c r="D56" s="1" t="str">
        <f>Reporting_currency</f>
        <v>CNY</v>
      </c>
    </row>
    <row r="58" spans="2:6">
      <c r="B58" s="357" t="s">
        <v>241</v>
      </c>
      <c r="C58" s="357"/>
      <c r="D58" s="357"/>
      <c r="E58" s="357"/>
      <c r="F58" s="357"/>
    </row>
    <row r="59" spans="2:6">
      <c r="B59" s="47" t="s">
        <v>239</v>
      </c>
      <c r="C59" s="349">
        <f>Normalized_FCF!C14</f>
        <v>-806587.08668745577</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2532236.6968476889</v>
      </c>
      <c r="D67" s="1" t="str">
        <f>Reporting_currency</f>
        <v>CNY</v>
      </c>
    </row>
    <row r="68" spans="1:6">
      <c r="B68" s="47" t="s">
        <v>248</v>
      </c>
      <c r="C68" s="349">
        <f>Normalized_FCF!C19</f>
        <v>2419761.2600623672</v>
      </c>
      <c r="D68" s="1" t="str">
        <f>Reporting_currency</f>
        <v>CNY</v>
      </c>
    </row>
    <row r="69" spans="1:6">
      <c r="B69" s="227" t="s">
        <v>390</v>
      </c>
      <c r="C69" s="92">
        <f>Normalized_FCF!C125</f>
        <v>6.8535625532717984E-2</v>
      </c>
      <c r="F69" s="314"/>
    </row>
    <row r="70" spans="1:6">
      <c r="B70" s="227" t="s">
        <v>308</v>
      </c>
      <c r="C70" s="92">
        <f>Normalized_FCF!C93</f>
        <v>3.6077052369941569E-2</v>
      </c>
      <c r="E70" s="47" t="s">
        <v>448</v>
      </c>
      <c r="F70" s="315">
        <f>Normalized_FCF!C92</f>
        <v>0.57344008992892903</v>
      </c>
    </row>
    <row r="72" spans="1:6">
      <c r="B72" s="210" t="s">
        <v>451</v>
      </c>
      <c r="C72" s="323" t="s">
        <v>453</v>
      </c>
      <c r="D72" s="323" t="s">
        <v>454</v>
      </c>
    </row>
    <row r="73" spans="1:6">
      <c r="B73" s="47" t="s">
        <v>452</v>
      </c>
      <c r="C73" s="92">
        <f>Normalized_FCF!C120</f>
        <v>0.12359740980479131</v>
      </c>
      <c r="D73" s="92">
        <f>Normalized_FCF!G120</f>
        <v>0.13901972617156483</v>
      </c>
    </row>
    <row r="74" spans="1:6">
      <c r="B74" s="259" t="str">
        <f>Normalized_FCF!B117</f>
        <v>Pre-tax Profit/Sales</v>
      </c>
      <c r="C74" s="322">
        <f>Normalized_FCF!C117</f>
        <v>0.12331981173054239</v>
      </c>
      <c r="D74" s="322">
        <f>Normalized_FCF!G117</f>
        <v>0.12655087444238614</v>
      </c>
    </row>
    <row r="75" spans="1:6">
      <c r="B75" s="259" t="str">
        <f>Normalized_FCF!B118</f>
        <v>Sales/Total Assets</v>
      </c>
      <c r="C75" s="324">
        <f>Normalized_FCF!C118</f>
        <v>0.73266920679685343</v>
      </c>
      <c r="D75" s="324">
        <f>Normalized_FCF!G118</f>
        <v>0.80305021176246283</v>
      </c>
    </row>
    <row r="76" spans="1:6">
      <c r="B76" s="259" t="str">
        <f>Normalized_FCF!B119</f>
        <v>Total Assets/Equity</v>
      </c>
      <c r="C76" s="324">
        <f>Normalized_FCF!C119</f>
        <v>1.3679448142367923</v>
      </c>
      <c r="D76" s="324">
        <f>Normalized_FCF!G119</f>
        <v>1.3679448142367923</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13.597468105691251</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1936137</v>
      </c>
      <c r="D102" s="1" t="str">
        <f>Reporting_currency</f>
        <v>CNY</v>
      </c>
    </row>
    <row r="103" spans="2:6">
      <c r="B103" s="47" t="s">
        <v>281</v>
      </c>
      <c r="C103" s="223">
        <f>C102*scaling_factor*Exchange_Rate/Common_Shares</f>
        <v>0.81598631878264916</v>
      </c>
      <c r="D103" s="1" t="str">
        <f>Market_currency</f>
        <v>HKD</v>
      </c>
    </row>
    <row r="104" spans="2:6">
      <c r="B104" s="296" t="s">
        <v>404</v>
      </c>
      <c r="C104" s="325">
        <f>IF(BS!G31/BS!G27&gt;300%,"nm",BS!G31/BS!G27)</f>
        <v>7.4171010848313429E-2</v>
      </c>
    </row>
    <row r="105" spans="2:6">
      <c r="B105" s="296" t="s">
        <v>406</v>
      </c>
      <c r="C105" s="326">
        <f>IF(BS!C50&gt;30,"nm",BS!C50)</f>
        <v>0.60402076709908736</v>
      </c>
    </row>
    <row r="107" spans="2:6">
      <c r="B107" s="1" t="s">
        <v>254</v>
      </c>
    </row>
    <row r="108" spans="2:6">
      <c r="B108" s="47" t="s">
        <v>264</v>
      </c>
      <c r="C108" s="349">
        <f>BS!C66</f>
        <v>18164188</v>
      </c>
      <c r="D108" s="1" t="str">
        <f>Reporting_currency</f>
        <v>CNY</v>
      </c>
    </row>
    <row r="109" spans="2:6">
      <c r="B109" s="47" t="s">
        <v>266</v>
      </c>
      <c r="C109" s="349">
        <f>DCF!C8</f>
        <v>14106750.834887572</v>
      </c>
      <c r="D109" s="1" t="str">
        <f>Reporting_currency</f>
        <v>CNY</v>
      </c>
    </row>
    <row r="110" spans="2:6">
      <c r="B110" s="47" t="s">
        <v>282</v>
      </c>
      <c r="C110" s="223">
        <f>C109*scaling_factor*Exchange_Rate/Common_Shares</f>
        <v>5.9453001950502324</v>
      </c>
      <c r="D110" s="1" t="str">
        <f>Market_currency</f>
        <v>HKD</v>
      </c>
    </row>
    <row r="112" spans="2:6">
      <c r="B112" s="1" t="s">
        <v>256</v>
      </c>
    </row>
    <row r="113" spans="1:6">
      <c r="B113" s="47" t="s">
        <v>257</v>
      </c>
      <c r="C113" s="349">
        <f>DCF!C9</f>
        <v>561572.19999999995</v>
      </c>
      <c r="D113" s="1" t="str">
        <f>Reporting_currency</f>
        <v>CNY</v>
      </c>
    </row>
    <row r="114" spans="1:6">
      <c r="B114" s="47" t="s">
        <v>283</v>
      </c>
      <c r="C114" s="223">
        <f>C113*scaling_factor*Exchange_Rate/Common_Shares</f>
        <v>0.23667500399438346</v>
      </c>
      <c r="D114" s="1" t="str">
        <f>Market_currency</f>
        <v>HKD</v>
      </c>
    </row>
    <row r="116" spans="1:6" ht="24.5" customHeight="1">
      <c r="B116" s="356" t="s">
        <v>366</v>
      </c>
      <c r="C116" s="356"/>
      <c r="D116" s="356"/>
      <c r="E116" s="356"/>
      <c r="F116" s="356"/>
    </row>
    <row r="118" spans="1:6">
      <c r="B118" s="47" t="s">
        <v>449</v>
      </c>
      <c r="C118" s="223">
        <f>IF(valuation_method="DCF",DCF!C12,DDM!C7)</f>
        <v>18.963456985953222</v>
      </c>
      <c r="D118" s="1" t="str">
        <f>Market_currency</f>
        <v>HKD</v>
      </c>
    </row>
    <row r="119" spans="1:6">
      <c r="B119" s="296" t="s">
        <v>405</v>
      </c>
      <c r="C119" s="223">
        <f>BS!D47</f>
        <v>4.5925522318155751</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30</v>
      </c>
      <c r="E126" s="231" t="str">
        <f>ROUND(IF(valuation_method="DCF",DCF!E74,DDM!E69),2)&amp;" "&amp;Market_currency</f>
        <v>51.64 HKD</v>
      </c>
      <c r="F126" s="232">
        <f>DCF!F74</f>
        <v>0.05</v>
      </c>
    </row>
    <row r="127" spans="1:6">
      <c r="B127" s="218" t="str">
        <f>DCF!B75</f>
        <v>Optimistic</v>
      </c>
      <c r="C127" s="219">
        <f>DCF!C75</f>
        <v>0.06</v>
      </c>
      <c r="D127" s="220">
        <f>DCF!D75</f>
        <v>20</v>
      </c>
      <c r="E127" s="231" t="str">
        <f>ROUND(IF(valuation_method="DCF",DCF!E75,DDM!E70),2)&amp;" "&amp;Market_currency</f>
        <v>26.42 HKD</v>
      </c>
      <c r="F127" s="221">
        <f>DCF!F75</f>
        <v>0.22499999999999992</v>
      </c>
    </row>
    <row r="128" spans="1:6">
      <c r="B128" s="218" t="str">
        <f>DCF!B76</f>
        <v>Base</v>
      </c>
      <c r="C128" s="219">
        <f>DCF!C76</f>
        <v>0.05</v>
      </c>
      <c r="D128" s="220">
        <f>DCF!D76</f>
        <v>20</v>
      </c>
      <c r="E128" s="231" t="str">
        <f>ROUND(IF(valuation_method="DCF",DCF!E76,DDM!E71),2)&amp;" "&amp;Market_currency</f>
        <v>24.81 HKD</v>
      </c>
      <c r="F128" s="221">
        <f>DCF!F76</f>
        <v>0.495</v>
      </c>
    </row>
    <row r="129" spans="1:6">
      <c r="B129" s="218" t="str">
        <f>DCF!B77</f>
        <v>Pessimistic</v>
      </c>
      <c r="C129" s="219">
        <f>DCF!C77</f>
        <v>0.02</v>
      </c>
      <c r="D129" s="220">
        <f>DCF!D77</f>
        <v>20</v>
      </c>
      <c r="E129" s="231" t="str">
        <f>ROUND(IF(valuation_method="DCF",DCF!E77,DDM!E72),2)&amp;" "&amp;Market_currency</f>
        <v>20.93 HKD</v>
      </c>
      <c r="F129" s="221">
        <f>DCF!F77</f>
        <v>0.18</v>
      </c>
    </row>
    <row r="130" spans="1:6">
      <c r="B130" s="218" t="str">
        <f>DCF!B78</f>
        <v>Devil's advocate</v>
      </c>
      <c r="C130" s="219">
        <f>DCF!C78</f>
        <v>0</v>
      </c>
      <c r="D130" s="220">
        <f>DCF!D78</f>
        <v>30</v>
      </c>
      <c r="E130" s="231" t="str">
        <f>ROUND(IF(valuation_method="DCF",DCF!E78,DDM!E73),2)&amp;" "&amp;Market_currency</f>
        <v>18.96 HKD</v>
      </c>
      <c r="F130" s="221">
        <f>DCF!F78</f>
        <v>0.05</v>
      </c>
    </row>
    <row r="132" spans="1:6">
      <c r="B132" s="211" t="s">
        <v>258</v>
      </c>
      <c r="C132" s="217">
        <f>Scenarios!C60</f>
        <v>25.519053919683184</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0.53682653926473056</v>
      </c>
      <c r="D143" s="212" t="str">
        <f>Market_currency</f>
        <v>HKD</v>
      </c>
    </row>
    <row r="145" spans="2:4">
      <c r="B145" s="210" t="s">
        <v>408</v>
      </c>
      <c r="C145" s="241" t="str">
        <f>C11</f>
        <v>2331.HK</v>
      </c>
      <c r="D145" s="241" t="str">
        <f>IF(D11="","",D11)</f>
        <v/>
      </c>
    </row>
    <row r="146" spans="2:4">
      <c r="B146" s="1" t="s">
        <v>407</v>
      </c>
      <c r="C146" s="297">
        <f>F29</f>
        <v>0.3674</v>
      </c>
    </row>
    <row r="147" spans="2:4">
      <c r="B147" s="212" t="str">
        <f>"PV("&amp;C141&amp;" yrs of Dividends)"</f>
        <v>PV(3 yrs of Dividends)</v>
      </c>
      <c r="C147" s="216">
        <f>Scenarios!C81</f>
        <v>0.88966078507885993</v>
      </c>
    </row>
    <row r="148" spans="2:4">
      <c r="B148" s="212" t="str">
        <f>"+ PV(Equity Value realized at year "&amp;C141&amp;")"</f>
        <v>+ PV(Equity Value realized at year 3)</v>
      </c>
      <c r="C148" s="216">
        <f>Scenarios!C82</f>
        <v>9.9810870394859474</v>
      </c>
    </row>
    <row r="149" spans="2:4">
      <c r="B149" s="80" t="s">
        <v>260</v>
      </c>
      <c r="C149" s="215">
        <f>Scenarios!C83</f>
        <v>10.870747824564807</v>
      </c>
      <c r="D149" s="300" t="str">
        <f>IF($D$11="","",C149*$E$25)</f>
        <v/>
      </c>
    </row>
    <row r="150" spans="2:4">
      <c r="B150" s="259" t="s">
        <v>416</v>
      </c>
      <c r="C150" s="298" t="str">
        <f>Market_currency</f>
        <v>HKD</v>
      </c>
      <c r="D150" s="298" t="str">
        <f>IF($D$11="","",D$13)</f>
        <v/>
      </c>
    </row>
    <row r="151" spans="2:4">
      <c r="B151" s="214" t="s">
        <v>262</v>
      </c>
      <c r="C151" s="92">
        <f>Scenarios!F83</f>
        <v>0.57401446547436241</v>
      </c>
    </row>
    <row r="153" spans="2:4">
      <c r="B153" s="210" t="s">
        <v>411</v>
      </c>
    </row>
    <row r="154" spans="2:4">
      <c r="B154" s="1" t="s">
        <v>410</v>
      </c>
      <c r="C154" s="297">
        <f>Scenarios!C90</f>
        <v>0.21740000000000001</v>
      </c>
    </row>
    <row r="155" spans="2:4">
      <c r="B155" s="212" t="str">
        <f>"PV("&amp;C141&amp;" yrs of Dividends)"</f>
        <v>PV(3 yrs of Dividends)</v>
      </c>
      <c r="C155" s="216">
        <f>Scenarios!C91</f>
        <v>1.1007095783809664</v>
      </c>
    </row>
    <row r="156" spans="2:4">
      <c r="B156" s="212" t="str">
        <f>"+ PV(Equity Value realized at year "&amp;C141&amp;")"</f>
        <v>+ PV(Equity Value realized at year 3)</v>
      </c>
      <c r="C156" s="216">
        <f>Scenarios!C92</f>
        <v>14.143753451696359</v>
      </c>
    </row>
    <row r="157" spans="2:4">
      <c r="B157" s="80" t="s">
        <v>260</v>
      </c>
      <c r="C157" s="215">
        <f>Scenarios!C93</f>
        <v>15.244463030077325</v>
      </c>
      <c r="D157" s="300" t="str">
        <f>IF($D$11="","",C157*$E$25)</f>
        <v/>
      </c>
    </row>
    <row r="158" spans="2:4">
      <c r="B158" s="259" t="s">
        <v>416</v>
      </c>
      <c r="C158" s="298" t="str">
        <f>Market_currency</f>
        <v>HKD</v>
      </c>
      <c r="D158" s="298" t="str">
        <f>IF($D$11="","",D$13)</f>
        <v/>
      </c>
    </row>
    <row r="159" spans="2:4">
      <c r="B159" s="214" t="s">
        <v>262</v>
      </c>
      <c r="C159" s="92">
        <f>Scenarios!F93</f>
        <v>0.40262428701092756</v>
      </c>
    </row>
    <row r="161" spans="2:4">
      <c r="B161" s="210" t="s">
        <v>400</v>
      </c>
    </row>
    <row r="162" spans="2:4">
      <c r="B162" s="1" t="s">
        <v>409</v>
      </c>
      <c r="C162" s="92">
        <f>Scenarios!C96</f>
        <v>7.4999999999999997E-2</v>
      </c>
    </row>
    <row r="163" spans="2:4">
      <c r="B163" s="212" t="str">
        <f>"PV("&amp;C141&amp;" yrs of Dividends)"</f>
        <v>PV(3 yrs of Dividends)</v>
      </c>
      <c r="C163" s="216">
        <f>Scenarios!C97</f>
        <v>1.3960312332043172</v>
      </c>
    </row>
    <row r="164" spans="2:4">
      <c r="B164" s="212" t="str">
        <f>"+ PV(Equity Value realized at year "&amp;C141&amp;")"</f>
        <v>+ PV(Equity Value realized at year 3)</v>
      </c>
      <c r="C164" s="216">
        <f>Scenarios!C98</f>
        <v>20.541832176534442</v>
      </c>
    </row>
    <row r="165" spans="2:4">
      <c r="B165" s="80" t="s">
        <v>401</v>
      </c>
      <c r="C165" s="215">
        <f>Scenarios!C99</f>
        <v>21.93786340973876</v>
      </c>
      <c r="D165" s="300" t="str">
        <f>IF($D$11="","",C165*$E$25)</f>
        <v/>
      </c>
    </row>
    <row r="166" spans="2:4">
      <c r="B166" s="259" t="s">
        <v>416</v>
      </c>
      <c r="C166" s="298" t="str">
        <f>Market_currency</f>
        <v>HKD</v>
      </c>
      <c r="D166" s="298" t="str">
        <f>IF($D$11="","",D$13)</f>
        <v/>
      </c>
    </row>
    <row r="167" spans="2:4">
      <c r="B167" s="214" t="s">
        <v>262</v>
      </c>
      <c r="C167" s="92">
        <f>Scenarios!F99</f>
        <v>0.1403339842149165</v>
      </c>
    </row>
    <row r="169" spans="2:4">
      <c r="B169" s="210" t="s">
        <v>432</v>
      </c>
    </row>
    <row r="170" spans="2:4">
      <c r="B170" s="1" t="s">
        <v>423</v>
      </c>
      <c r="C170" s="92">
        <f>F32</f>
        <v>0.1174</v>
      </c>
    </row>
    <row r="171" spans="2:4">
      <c r="B171" s="212" t="str">
        <f>"PV("&amp;C141&amp;" yrs of Dividends)"</f>
        <v>PV(3 yrs of Dividends)</v>
      </c>
      <c r="C171" s="216">
        <f>Scenarios!C103</f>
        <v>1.2951493867169159</v>
      </c>
    </row>
    <row r="172" spans="2:4">
      <c r="B172" s="212" t="str">
        <f>"+ PV(Equity Value realized at year "&amp;C141&amp;")"</f>
        <v>+ PV(Equity Value realized at year 3)</v>
      </c>
      <c r="C172" s="216">
        <f>Scenarios!C104</f>
        <v>18.291047116838058</v>
      </c>
    </row>
    <row r="173" spans="2:4">
      <c r="B173" s="80" t="s">
        <v>401</v>
      </c>
      <c r="C173" s="215">
        <f>Scenarios!C105</f>
        <v>19.586196503554973</v>
      </c>
      <c r="D173" s="300" t="str">
        <f>IF($D$11="","",C173*$E$25)</f>
        <v/>
      </c>
    </row>
    <row r="174" spans="2:4">
      <c r="B174" s="259" t="s">
        <v>416</v>
      </c>
      <c r="C174" s="298" t="str">
        <f>Market_currency</f>
        <v>HKD</v>
      </c>
      <c r="D174" s="298" t="str">
        <f>IF($D$11="","",D$13)</f>
        <v/>
      </c>
    </row>
    <row r="175" spans="2:4">
      <c r="B175" s="214" t="s">
        <v>262</v>
      </c>
      <c r="C175" s="92">
        <f>Scenarios!F105</f>
        <v>0.23091264235090159</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159</v>
      </c>
      <c r="C9" s="351">
        <v>256299</v>
      </c>
      <c r="D9" s="351">
        <v>377972</v>
      </c>
      <c r="E9" s="351">
        <v>201155</v>
      </c>
      <c r="F9" s="351">
        <v>159222</v>
      </c>
      <c r="G9" s="351">
        <v>83487</v>
      </c>
      <c r="H9" s="351">
        <v>343469</v>
      </c>
      <c r="I9" s="351">
        <v>63633</v>
      </c>
      <c r="J9" s="351">
        <v>73806</v>
      </c>
      <c r="K9" s="351">
        <v>9716</v>
      </c>
      <c r="L9" s="351">
        <v>6948</v>
      </c>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371</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373</v>
      </c>
      <c r="C23" s="351"/>
      <c r="D23" s="351">
        <v>-2449105</v>
      </c>
      <c r="E23" s="351">
        <v>-9481433</v>
      </c>
      <c r="F23" s="351">
        <v>-6538700</v>
      </c>
      <c r="G23" s="351">
        <v>-991555</v>
      </c>
      <c r="H23" s="351">
        <v>-573343</v>
      </c>
      <c r="I23" s="351">
        <v>-482937</v>
      </c>
      <c r="J23" s="351">
        <v>-342516</v>
      </c>
      <c r="K23" s="351">
        <v>-320306</v>
      </c>
      <c r="L23" s="351">
        <v>-362745</v>
      </c>
      <c r="M23" s="351"/>
    </row>
    <row r="24" spans="2:13">
      <c r="B24" s="27" t="s">
        <v>372</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0.53682653926473056</v>
      </c>
      <c r="D25" s="39"/>
      <c r="E25" s="39"/>
      <c r="F25" s="39"/>
      <c r="G25" s="39"/>
      <c r="H25" s="39"/>
      <c r="I25" s="39"/>
      <c r="J25" s="39"/>
      <c r="K25" s="39"/>
      <c r="L25" s="39"/>
      <c r="M25" s="39"/>
    </row>
    <row r="27" spans="2:13">
      <c r="B27" s="16" t="s">
        <v>28</v>
      </c>
      <c r="C27" s="97" t="s">
        <v>463</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172</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168</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393</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0.53682653926473056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168</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166519</v>
      </c>
      <c r="D15" s="261">
        <v>0.4</v>
      </c>
      <c r="F15" s="4" t="s">
        <v>78</v>
      </c>
      <c r="G15" s="19">
        <v>2377970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450316</v>
      </c>
      <c r="H17" s="261">
        <v>0.6</v>
      </c>
    </row>
    <row r="18" spans="2:8" ht="15" customHeight="1">
      <c r="B18" s="4" t="s">
        <v>173</v>
      </c>
      <c r="C18" s="19">
        <v>0</v>
      </c>
      <c r="D18" s="261">
        <v>0.6</v>
      </c>
      <c r="F18" s="4" t="s">
        <v>181</v>
      </c>
      <c r="G18" s="19">
        <v>1743938</v>
      </c>
      <c r="H18" s="261">
        <v>0.1</v>
      </c>
    </row>
    <row r="19" spans="2:8" ht="15" customHeight="1">
      <c r="B19" s="4" t="s">
        <v>26</v>
      </c>
      <c r="C19" s="19">
        <f>4610454+1576667+150864</f>
        <v>6337985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234736</v>
      </c>
      <c r="D21" s="261">
        <v>0.05</v>
      </c>
      <c r="F21" s="1" t="s">
        <v>180</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200</v>
      </c>
      <c r="C26" s="182" t="s">
        <v>136</v>
      </c>
      <c r="F26" s="184" t="s">
        <v>196</v>
      </c>
      <c r="G26" s="185" t="s">
        <v>136</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244</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203</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12436138</v>
      </c>
      <c r="H35" s="200">
        <f>D12+D24</f>
        <v>3660440.05</v>
      </c>
    </row>
    <row r="36" spans="2:8" ht="15" customHeight="1">
      <c r="B36" s="4" t="s">
        <v>13</v>
      </c>
      <c r="C36" s="19">
        <v>0</v>
      </c>
      <c r="F36" s="190" t="s">
        <v>197</v>
      </c>
      <c r="G36" s="191">
        <f>C4+C15</f>
        <v>1416542</v>
      </c>
      <c r="H36" s="195"/>
    </row>
    <row r="37" spans="2:8" ht="15" customHeight="1">
      <c r="B37" s="4" t="s">
        <v>14</v>
      </c>
      <c r="C37" s="19">
        <v>1384527</v>
      </c>
      <c r="F37" s="190" t="s">
        <v>198</v>
      </c>
      <c r="G37" s="191">
        <f>C6</f>
        <v>2598226</v>
      </c>
      <c r="H37" s="195"/>
    </row>
    <row r="38" spans="2:8" ht="15" customHeight="1">
      <c r="B38" s="4" t="s">
        <v>15</v>
      </c>
      <c r="C38" s="19">
        <v>0</v>
      </c>
      <c r="F38" s="190" t="s">
        <v>199</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204</v>
      </c>
      <c r="C40" s="81">
        <f>SUM(C36:C39)</f>
        <v>1384527</v>
      </c>
      <c r="F40" s="199" t="s">
        <v>138</v>
      </c>
      <c r="G40" s="193">
        <f>G12+G24</f>
        <v>23272268</v>
      </c>
      <c r="H40" s="200">
        <f>H12+H24</f>
        <v>16841286</v>
      </c>
    </row>
    <row r="41" spans="2:8" ht="15" customHeight="1">
      <c r="B41" s="4" t="s">
        <v>17</v>
      </c>
      <c r="C41" s="21">
        <f>C42-C40</f>
        <v>634244</v>
      </c>
      <c r="F41" s="190" t="s">
        <v>191</v>
      </c>
      <c r="G41" s="191">
        <f>C70</f>
        <v>19908126</v>
      </c>
      <c r="H41" s="200">
        <f>H40-H42</f>
        <v>16279713.800000001</v>
      </c>
    </row>
    <row r="42" spans="2:8" ht="15" customHeight="1">
      <c r="B42" s="83" t="s">
        <v>22</v>
      </c>
      <c r="C42" s="84">
        <v>2018771</v>
      </c>
      <c r="F42" s="201" t="s">
        <v>192</v>
      </c>
      <c r="G42" s="202">
        <f>C82</f>
        <v>3364142</v>
      </c>
      <c r="H42" s="203">
        <f>D82</f>
        <v>561572.19999999995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26103689</v>
      </c>
      <c r="D46" s="76">
        <f>H29</f>
        <v>10897009.050000001</v>
      </c>
      <c r="F46" s="253"/>
    </row>
    <row r="47" spans="2:8" ht="15" customHeight="1">
      <c r="B47" s="1" t="str">
        <f>"Equity per share ("&amp;Market_currency&amp;")"</f>
        <v>Equity per share (HKD)</v>
      </c>
      <c r="C47" s="147">
        <f>C46*H1/Common_Shares*Exchange_Rate</f>
        <v>11.001418336490202</v>
      </c>
      <c r="D47" s="147">
        <f>D46*H1/Common_Shares*Exchange_Rate</f>
        <v>4.5925522318155751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176</v>
      </c>
      <c r="C51" s="181"/>
      <c r="D51" s="92">
        <f>G29/G32</f>
        <v>0.73102364188421065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0.25775000437452</v>
      </c>
      <c r="D54" s="92">
        <f>Normalized_FCF!G8/G35</f>
        <v>0.28379300712166428</v>
      </c>
      <c r="F54" s="253"/>
    </row>
    <row r="55" spans="2:8" ht="15" customHeight="1">
      <c r="B55" s="1" t="s">
        <v>141</v>
      </c>
      <c r="C55" s="92">
        <f>Normalized_FCF!C11/G40</f>
        <v>7.709145494543118E-3</v>
      </c>
      <c r="D55" s="92">
        <f>Normalized_FCF!G11/G40</f>
        <v>1.1013064992204455E-2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18164188</v>
      </c>
      <c r="D66" s="76">
        <f>C66-D75</f>
        <v>14106750.834887572</v>
      </c>
      <c r="F66" s="5" t="s">
        <v>226</v>
      </c>
    </row>
    <row r="67" spans="2:6" ht="15" customHeight="1">
      <c r="B67" s="105" t="s">
        <v>177</v>
      </c>
      <c r="C67" s="20">
        <f>G6+G16</f>
        <v>0</v>
      </c>
      <c r="F67" s="253"/>
    </row>
    <row r="68" spans="2:6" ht="15" customHeight="1">
      <c r="B68" s="105" t="s">
        <v>181</v>
      </c>
      <c r="C68" s="20">
        <f>G18</f>
        <v>1743938</v>
      </c>
      <c r="F68" s="253"/>
    </row>
    <row r="69" spans="2:6" ht="15" customHeight="1">
      <c r="B69" s="105" t="s">
        <v>179</v>
      </c>
      <c r="C69" s="20">
        <f>G8+G20</f>
        <v>0</v>
      </c>
      <c r="F69" s="253"/>
    </row>
    <row r="70" spans="2:6" ht="15" customHeight="1">
      <c r="B70" s="80" t="s">
        <v>188</v>
      </c>
      <c r="C70" s="81">
        <f>SUM(C66:C69)</f>
        <v>19908126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-2211161.8428813918</v>
      </c>
      <c r="D73" s="349">
        <f>(Normalized_FCF!C25+Normalized_FCF!C35-Normalized_FCF!C91)/12</f>
        <v>-2028718.582556214</v>
      </c>
      <c r="F73" s="1" t="s">
        <v>351</v>
      </c>
    </row>
    <row r="74" spans="2:6" ht="15" customHeight="1">
      <c r="B74" s="257" t="s">
        <v>321</v>
      </c>
      <c r="C74" s="258">
        <f>-$C$66/C73</f>
        <v>8.2147709171437349</v>
      </c>
      <c r="D74" s="258">
        <f>-$C$66/D73</f>
        <v>8.9535276879619587</v>
      </c>
      <c r="F74" s="253" t="s">
        <v>319</v>
      </c>
    </row>
    <row r="75" spans="2:6" ht="15" customHeight="1">
      <c r="B75" s="80" t="s">
        <v>320</v>
      </c>
      <c r="C75" s="320"/>
      <c r="D75" s="321">
        <f>MAX(-D73*D76,G5)</f>
        <v>4057437.1651124279</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450316</v>
      </c>
      <c r="D79" s="76">
        <f>G7*H7+G17*H17</f>
        <v>270189.59999999998</v>
      </c>
      <c r="F79" s="253"/>
    </row>
    <row r="80" spans="2:6" ht="15" customHeight="1">
      <c r="B80" s="105" t="s">
        <v>182</v>
      </c>
      <c r="C80" s="20">
        <f>G19</f>
        <v>0</v>
      </c>
      <c r="D80" s="76">
        <f>G19*H19</f>
        <v>0</v>
      </c>
      <c r="F80" s="253"/>
    </row>
    <row r="81" spans="2:8" ht="15" customHeight="1">
      <c r="B81" s="105" t="s">
        <v>180</v>
      </c>
      <c r="C81" s="20">
        <f>G9+G21</f>
        <v>2913826</v>
      </c>
      <c r="D81" s="76">
        <f>G9*H9+G21*H21</f>
        <v>291382.60000000003</v>
      </c>
      <c r="F81" s="253"/>
    </row>
    <row r="82" spans="2:8" ht="15" customHeight="1">
      <c r="B82" s="80" t="s">
        <v>189</v>
      </c>
      <c r="C82" s="81">
        <f>SUM(C79:C81)</f>
        <v>3364142</v>
      </c>
      <c r="D82" s="81">
        <f>SUM(D79:D81)</f>
        <v>561572.19999999995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-2109159.7281140401</v>
      </c>
      <c r="D86" s="223">
        <f>C86*scaling_factor/Common_Shares</f>
        <v>-0.81598631878264916</v>
      </c>
      <c r="E86" s="240" t="str">
        <f>Market_currency</f>
        <v>HKD</v>
      </c>
    </row>
    <row r="87" spans="2:8" ht="15" customHeight="1">
      <c r="B87" s="238" t="s">
        <v>287</v>
      </c>
      <c r="C87" s="76">
        <f>DCF!C8*Exchange_Rate</f>
        <v>15367399.494707232</v>
      </c>
      <c r="D87" s="223">
        <f>C87*scaling_factor/Common_Shares</f>
        <v>5.9453001950502324</v>
      </c>
      <c r="E87" s="240" t="str">
        <f>Market_currency</f>
        <v>HKD</v>
      </c>
    </row>
    <row r="88" spans="2:8" ht="15" customHeight="1">
      <c r="B88" s="239" t="s">
        <v>189</v>
      </c>
      <c r="C88" s="76">
        <f>DCF!C9*Exchange_Rate</f>
        <v>611757.05472722393</v>
      </c>
      <c r="D88" s="223">
        <f>C88*scaling_factor/Common_Shares</f>
        <v>0.23667500399438346</v>
      </c>
      <c r="E88" s="240" t="str">
        <f>Market_currency</f>
        <v>HKD</v>
      </c>
    </row>
    <row r="89" spans="2:8" ht="15" customHeight="1">
      <c r="B89" s="80" t="s">
        <v>291</v>
      </c>
      <c r="C89" s="180">
        <f>SUM(C86:C88)</f>
        <v>13869996.821320416</v>
      </c>
      <c r="D89" s="242">
        <f>SUM(D86:D88)</f>
        <v>5.3659888802619671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152</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194</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-158475.57715231116</v>
      </c>
      <c r="E12" s="268"/>
      <c r="G12" s="328">
        <f>G50</f>
        <v>-158475.57715231116</v>
      </c>
      <c r="H12" s="328">
        <f t="shared" ref="H12:Q12" si="6">H50</f>
        <v>-69633.981889417977</v>
      </c>
      <c r="I12" s="328">
        <f t="shared" si="6"/>
        <v>-20545.002818911613</v>
      </c>
      <c r="J12" s="328">
        <f t="shared" si="6"/>
        <v>-80046.86439920585</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3226348.3467498231</v>
      </c>
      <c r="E13" s="268"/>
      <c r="G13" s="329">
        <f>IF(G$4="","",SUM(G8:G12))</f>
        <v>3628927.6968476889</v>
      </c>
      <c r="H13" s="329">
        <f t="shared" ref="H13:Q13" si="7">IF(H$4="","",SUM(H8:H12))</f>
        <v>3325935.2921105823</v>
      </c>
      <c r="I13" s="329">
        <f t="shared" si="7"/>
        <v>4239712.4221810885</v>
      </c>
      <c r="J13" s="329">
        <f t="shared" si="7"/>
        <v>4800548.8896007938</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-806587.08668745577</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243</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154</v>
      </c>
      <c r="C16" s="332">
        <f>SUM(C13:C15)</f>
        <v>2419761.2600623672</v>
      </c>
      <c r="D16" s="61"/>
      <c r="E16" s="276"/>
      <c r="F16" s="61"/>
      <c r="G16" s="329">
        <f>IF(G$4="","",SUM(G13:G15))</f>
        <v>2532236.6968476889</v>
      </c>
      <c r="H16" s="329">
        <f t="shared" ref="H16:Q16" si="8">IF(H$4="","",SUM(H13:H15))</f>
        <v>2256676.2921105823</v>
      </c>
      <c r="I16" s="329">
        <f t="shared" si="8"/>
        <v>2888383.4221810885</v>
      </c>
      <c r="J16" s="329">
        <f t="shared" si="8"/>
        <v>3483192.8896007938</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2419761.2600623672</v>
      </c>
      <c r="D19" s="27"/>
      <c r="E19" s="265"/>
      <c r="F19" s="27"/>
      <c r="G19" s="334">
        <f>IF(G$4="","",G16+G17)</f>
        <v>2532236.6968476889</v>
      </c>
      <c r="H19" s="334">
        <f t="shared" ref="H19:Q19" si="9">IF(H$4="","",H16+H17)</f>
        <v>2256676.2921105823</v>
      </c>
      <c r="I19" s="334">
        <f t="shared" si="9"/>
        <v>2888383.4221810885</v>
      </c>
      <c r="J19" s="334">
        <f t="shared" si="9"/>
        <v>3483192.8896007938</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0.50211018583667277</v>
      </c>
      <c r="D28" s="26"/>
      <c r="E28" s="266" t="s">
        <v>333</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333</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-1427907</v>
      </c>
      <c r="E33" s="266" t="s">
        <v>333</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0.30235925225029969</v>
      </c>
      <c r="H43" s="6">
        <f t="shared" si="18"/>
        <v>0.32165114200892586</v>
      </c>
      <c r="I43" s="6">
        <f t="shared" si="18"/>
        <v>0.31886895409047805</v>
      </c>
      <c r="J43" s="6">
        <f t="shared" si="18"/>
        <v>0.27447509090614663</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95945.422847688853</v>
      </c>
      <c r="E48" s="268"/>
      <c r="G48" s="337">
        <f>IFERROR(IF(G$4="","",($C$48/$C$49)*G49),0)</f>
        <v>95945.422847688853</v>
      </c>
      <c r="H48" s="337">
        <f t="shared" ref="H48:Q48" si="19">IFERROR(IF(H$4="","",($C$48/$C$49)*H49),0)</f>
        <v>111812.01811058202</v>
      </c>
      <c r="I48" s="337">
        <f t="shared" si="19"/>
        <v>100015.99718108839</v>
      </c>
      <c r="J48" s="337">
        <f t="shared" si="19"/>
        <v>32411.135600794154</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-158475.57715231116</v>
      </c>
      <c r="E50" s="268"/>
      <c r="G50" s="329">
        <f>IF(G$4="","",(G47+G48))</f>
        <v>-158475.57715231116</v>
      </c>
      <c r="H50" s="329">
        <f t="shared" ref="H50:Q50" si="20">IF(H$4="","",(H47+H48))</f>
        <v>-69633.981889417977</v>
      </c>
      <c r="I50" s="329">
        <f t="shared" si="20"/>
        <v>-20545.002818911613</v>
      </c>
      <c r="J50" s="329">
        <f t="shared" si="20"/>
        <v>-80046.86439920585</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2.3646804360316024E-2</v>
      </c>
      <c r="E53" s="265" t="s">
        <v>335</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336</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160</v>
      </c>
      <c r="C62" s="343">
        <v>0</v>
      </c>
      <c r="E62" s="266" t="s">
        <v>337</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195</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152</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153</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6.0573677228621566E-3</v>
      </c>
      <c r="D80" s="27"/>
      <c r="E80" s="265"/>
      <c r="F80" s="27"/>
      <c r="G80" s="6">
        <f t="shared" ref="G80:Q80" si="31">IF(G$4="","",ABS(G12/G$4))</f>
        <v>5.5264873102343738E-3</v>
      </c>
      <c r="H80" s="6">
        <f t="shared" si="31"/>
        <v>2.5231083065163952E-3</v>
      </c>
      <c r="I80" s="6">
        <f t="shared" si="31"/>
        <v>7.9621353598912259E-4</v>
      </c>
      <c r="J80" s="6">
        <f t="shared" si="31"/>
        <v>3.5462461414159183E-3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0.12331981173054239</v>
      </c>
      <c r="D81" s="27"/>
      <c r="E81" s="265"/>
      <c r="F81" s="27"/>
      <c r="G81" s="65">
        <f t="shared" ref="G81:Q81" si="32">IF(G$4="","",G13/G$4)</f>
        <v>0.12655087444238614</v>
      </c>
      <c r="H81" s="65">
        <f t="shared" si="32"/>
        <v>0.1205114907228291</v>
      </c>
      <c r="I81" s="65">
        <f t="shared" si="32"/>
        <v>0.16430839406526998</v>
      </c>
      <c r="J81" s="65">
        <f t="shared" si="32"/>
        <v>0.21267451391380401</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3.0829952932635598E-2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154</v>
      </c>
      <c r="C84" s="78">
        <f>ABS(C16/C$4)</f>
        <v>9.248985879790679E-2</v>
      </c>
      <c r="D84" s="27"/>
      <c r="E84" s="265"/>
      <c r="F84" s="27"/>
      <c r="G84" s="65">
        <f t="shared" ref="G84:Q84" si="35">IF(G$4="","",ABS(G16/G$4))</f>
        <v>8.8306187130579389E-2</v>
      </c>
      <c r="H84" s="65">
        <f t="shared" si="35"/>
        <v>8.1768104354349752E-2</v>
      </c>
      <c r="I84" s="65">
        <f t="shared" si="35"/>
        <v>0.11193816803715577</v>
      </c>
      <c r="J84" s="65">
        <f t="shared" si="35"/>
        <v>0.15431284457254427</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9.248985879790679E-2</v>
      </c>
      <c r="D87" s="75"/>
      <c r="E87" s="265"/>
      <c r="F87" s="75"/>
      <c r="G87" s="65">
        <f t="shared" ref="G87:Q87" si="36">IF(G$4="","",ABS(G19/G$4))</f>
        <v>8.8306187130579389E-2</v>
      </c>
      <c r="H87" s="65">
        <f t="shared" si="36"/>
        <v>8.1768104354349752E-2</v>
      </c>
      <c r="I87" s="65">
        <f t="shared" si="36"/>
        <v>0.11193816803715577</v>
      </c>
      <c r="J87" s="65">
        <f t="shared" si="36"/>
        <v>0.15431284457254427</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0.53682653926473056</v>
      </c>
      <c r="E90" s="268"/>
      <c r="G90" s="112">
        <f>Data!C65</f>
        <v>0.53682653926473056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1387588.1145767025</v>
      </c>
      <c r="E91" s="268"/>
      <c r="G91" s="74">
        <f t="shared" ref="G91:Q91" si="37">IF(G$4="","",G90*Common_Shares/scaling_factor)</f>
        <v>1387588.1145767025</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0.57344008992892903</v>
      </c>
      <c r="E92" s="268"/>
      <c r="G92" s="170">
        <f t="shared" ref="G92:Q92" si="38">IF(G$4="","",G90/(G19*scaling_factor/Common_Shares))</f>
        <v>0.54796935701313876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3.6077052369941569E-2</v>
      </c>
      <c r="E93" s="268"/>
      <c r="G93" s="23">
        <f t="shared" ref="G93:Q93" si="39">IF(G$4="","",G90/Market_Price)</f>
        <v>3.6077052369941569E-2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-8.7642097511117734E-2</v>
      </c>
      <c r="D96" s="27"/>
      <c r="E96" s="26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164</v>
      </c>
      <c r="C97" s="77">
        <f>C13/G13-1</f>
        <v>-0.11093617281148127</v>
      </c>
      <c r="D97" s="27"/>
      <c r="E97" s="265"/>
      <c r="F97" s="27"/>
      <c r="G97" s="6">
        <f t="shared" ref="G97:Q97" si="41">IF(H5="","",G13/H13-1)</f>
        <v>9.1099909687308633E-2</v>
      </c>
      <c r="H97" s="6">
        <f t="shared" si="41"/>
        <v>-0.21552809225688474</v>
      </c>
      <c r="I97" s="6">
        <f t="shared" si="41"/>
        <v>-0.11682757124599219</v>
      </c>
      <c r="J97" s="6">
        <f t="shared" si="41"/>
        <v>1.463335040972074</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35708406</v>
      </c>
      <c r="D101" s="26"/>
      <c r="E101" s="269"/>
      <c r="F101" s="26"/>
      <c r="G101" s="333">
        <f t="shared" ref="G101:Q101" si="42">IF(G$4="","",G105+G104)</f>
        <v>35708406</v>
      </c>
      <c r="H101" s="333">
        <f t="shared" si="42"/>
        <v>34207803</v>
      </c>
      <c r="I101" s="333">
        <f t="shared" si="42"/>
        <v>33646519</v>
      </c>
      <c r="J101" s="333">
        <f t="shared" si="42"/>
        <v>30274816</v>
      </c>
      <c r="K101" s="333">
        <f t="shared" si="42"/>
        <v>14593865</v>
      </c>
      <c r="L101" s="333">
        <f t="shared" si="42"/>
        <v>12547474</v>
      </c>
      <c r="M101" s="333">
        <f t="shared" si="42"/>
        <v>8727305</v>
      </c>
      <c r="N101" s="333">
        <f t="shared" si="42"/>
        <v>7321349</v>
      </c>
      <c r="O101" s="333">
        <f t="shared" si="42"/>
        <v>6780494</v>
      </c>
      <c r="P101" s="333">
        <f t="shared" si="42"/>
        <v>6897458</v>
      </c>
      <c r="Q101" s="333" t="str">
        <f t="shared" si="42"/>
        <v/>
      </c>
    </row>
    <row r="102" spans="1:17" ht="15.75" customHeight="1">
      <c r="A102" s="10"/>
      <c r="B102" s="93" t="s">
        <v>210</v>
      </c>
      <c r="C102" s="345">
        <f>BS!C4</f>
        <v>1250023</v>
      </c>
      <c r="D102" s="89"/>
      <c r="E102" s="270"/>
      <c r="F102" s="89"/>
      <c r="G102" s="346">
        <f>IF(G$4="","",Data!D77)</f>
        <v>1205532</v>
      </c>
      <c r="H102" s="346">
        <f>IF(H$4="","",Data!E77)</f>
        <v>1020346</v>
      </c>
      <c r="I102" s="346">
        <f>IF(I$4="","",Data!F77)</f>
        <v>902857</v>
      </c>
      <c r="J102" s="346">
        <f>IF(J$4="","",Data!G77)</f>
        <v>658796</v>
      </c>
      <c r="K102" s="346">
        <f>IF(K$4="","",Data!H77)</f>
        <v>686606</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2598226</v>
      </c>
      <c r="D103" s="89"/>
      <c r="E103" s="270"/>
      <c r="F103" s="89"/>
      <c r="G103" s="346">
        <f>IF(G$4="","",Data!D78)</f>
        <v>2493206</v>
      </c>
      <c r="H103" s="346">
        <f>IF(H$4="","",Data!E78)</f>
        <v>2428040</v>
      </c>
      <c r="I103" s="346">
        <f>IF(I$4="","",Data!F78)</f>
        <v>1772803</v>
      </c>
      <c r="J103" s="346">
        <f>IF(J$4="","",Data!G78)</f>
        <v>1345539</v>
      </c>
      <c r="K103" s="346">
        <f>IF(K$4="","",Data!H78)</f>
        <v>1407257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9604717</v>
      </c>
      <c r="D104" s="26"/>
      <c r="E104" s="269"/>
      <c r="F104" s="26"/>
      <c r="G104" s="333">
        <f>Data!C79</f>
        <v>9604717</v>
      </c>
      <c r="H104" s="333">
        <f>Data!D79</f>
        <v>9801162</v>
      </c>
      <c r="I104" s="333">
        <f>Data!E79</f>
        <v>9314591</v>
      </c>
      <c r="J104" s="333">
        <f>Data!F79</f>
        <v>9170709</v>
      </c>
      <c r="K104" s="333">
        <f>Data!G79</f>
        <v>5904448</v>
      </c>
      <c r="L104" s="333">
        <f>Data!H79</f>
        <v>5423281</v>
      </c>
      <c r="M104" s="333">
        <f>Data!I79</f>
        <v>2907715</v>
      </c>
      <c r="N104" s="333">
        <f>Data!J79</f>
        <v>2247752</v>
      </c>
      <c r="O104" s="333">
        <f>Data!K79</f>
        <v>2783345</v>
      </c>
      <c r="P104" s="333">
        <f>Data!L79</f>
        <v>3486918</v>
      </c>
      <c r="Q104" s="333" t="str">
        <f>Data!M79</f>
        <v/>
      </c>
    </row>
    <row r="105" spans="1:17" ht="15.75" customHeight="1">
      <c r="A105" s="10"/>
      <c r="B105" s="26" t="s">
        <v>30</v>
      </c>
      <c r="C105" s="344">
        <f>BS!G27</f>
        <v>26103689</v>
      </c>
      <c r="D105" s="26"/>
      <c r="E105" s="269"/>
      <c r="F105" s="26"/>
      <c r="G105" s="333">
        <f>Data!C80</f>
        <v>26103689</v>
      </c>
      <c r="H105" s="333">
        <f>Data!D80</f>
        <v>24406641</v>
      </c>
      <c r="I105" s="333">
        <f>Data!E80</f>
        <v>24331928</v>
      </c>
      <c r="J105" s="333">
        <f>Data!F80</f>
        <v>21104107</v>
      </c>
      <c r="K105" s="333">
        <f>Data!G80</f>
        <v>8689417</v>
      </c>
      <c r="L105" s="333">
        <f>Data!H80</f>
        <v>7124193</v>
      </c>
      <c r="M105" s="333">
        <f>Data!I80</f>
        <v>5819590</v>
      </c>
      <c r="N105" s="333">
        <f>Data!J80</f>
        <v>5073597</v>
      </c>
      <c r="O105" s="333">
        <f>Data!K80</f>
        <v>3997149</v>
      </c>
      <c r="P105" s="333">
        <f>Data!L80</f>
        <v>3410540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4.7779279994405725E-2</v>
      </c>
      <c r="D108" s="26"/>
      <c r="E108" s="26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9.9311266706888432E-2</v>
      </c>
      <c r="D109" s="26"/>
      <c r="E109" s="26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1.4709732968262565</v>
      </c>
      <c r="I113" s="295">
        <f>IF(I$4="","",Data!E$22/Data!E15)</f>
        <v>0.96304737643927274</v>
      </c>
      <c r="J113" s="295">
        <f>IF(J$4="","",Data!F$22/Data!F15)</f>
        <v>1.6269053137360105</v>
      </c>
      <c r="K113" s="295">
        <f>IF(K$4="","",Data!G$22/Data!G15)</f>
        <v>1.6269426147081751</v>
      </c>
      <c r="L113" s="295">
        <f>IF(L$4="","",Data!H$22/Data!H15)</f>
        <v>2.3369811952562229</v>
      </c>
      <c r="M113" s="295">
        <f>IF(M$4="","",Data!I$22/Data!I15)</f>
        <v>2.3374185439481701</v>
      </c>
      <c r="N113" s="295">
        <f>IF(N$4="","",Data!J$22/Data!J15)</f>
        <v>2.250085896477759</v>
      </c>
      <c r="O113" s="295">
        <f>IF(O$4="","",Data!K$22/Data!K15)</f>
        <v>1.4203453141742608</v>
      </c>
      <c r="P113" s="295">
        <f>IF(P$4="","",Data!L$22/Data!L15)</f>
        <v>11.152390228065904</v>
      </c>
      <c r="Q113" s="295" t="str">
        <f>IF(Q$4="","",Data!M$22/Data!M15)</f>
        <v/>
      </c>
    </row>
    <row r="114" spans="1:17" ht="15.75" customHeight="1">
      <c r="A114" s="10"/>
      <c r="B114" s="2" t="s">
        <v>392</v>
      </c>
      <c r="C114" s="169"/>
      <c r="E114" s="268"/>
      <c r="G114" s="295">
        <f>IF(G$4="","",Data!C$22/G19)</f>
        <v>0</v>
      </c>
      <c r="H114" s="295">
        <f>IF(H$4="","",Data!D$22/H19)</f>
        <v>2.0773630743537232</v>
      </c>
      <c r="I114" s="295">
        <f>IF(I$4="","",Data!E$22/I19)</f>
        <v>1.3549461508281135</v>
      </c>
      <c r="J114" s="295">
        <f>IF(J$4="","",Data!F$22/J19)</f>
        <v>1.873377446159137</v>
      </c>
      <c r="K114" s="295">
        <f>IF(K$4="","",Data!G$22/K19)</f>
        <v>1.9746300057985322</v>
      </c>
      <c r="L114" s="295">
        <f>IF(L$4="","",Data!H$22/L19)</f>
        <v>2.5408832696503736</v>
      </c>
      <c r="M114" s="295">
        <f>IF(M$4="","",Data!I$22/M19)</f>
        <v>2.8191980169637287</v>
      </c>
      <c r="N114" s="295">
        <f>IF(N$4="","",Data!J$22/N19)</f>
        <v>2.5561117493864103</v>
      </c>
      <c r="O114" s="295">
        <f>IF(O$4="","",Data!K$22/O19)</f>
        <v>4.3015244745575218</v>
      </c>
      <c r="P114" s="295">
        <f>IF(P$4="","",Data!L$22/P19)</f>
        <v>57.096567771960444</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0.12331981173054239</v>
      </c>
      <c r="E117" s="268"/>
      <c r="G117" s="23">
        <f t="shared" ref="G117:Q117" si="45">IF(G4="","",IF(valuation_method="DDM",G13/(G4+G12),G81))</f>
        <v>0.12655087444238614</v>
      </c>
      <c r="H117" s="23">
        <f t="shared" si="45"/>
        <v>0.1205114907228291</v>
      </c>
      <c r="I117" s="23">
        <f t="shared" si="45"/>
        <v>0.16430839406526998</v>
      </c>
      <c r="J117" s="23">
        <f t="shared" si="45"/>
        <v>0.21267451391380401</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83</v>
      </c>
      <c r="C118" s="42">
        <f>IF(valuation_method="DDM",(C4+C12)/C101,C4/C101)</f>
        <v>0.73266920679685343</v>
      </c>
      <c r="E118" s="268"/>
      <c r="G118" s="42">
        <f t="shared" ref="G118:Q118" si="46">IF(G4="","",IF(valuation_method="DDM",(G4+G12)/G101,G4/G101))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91</v>
      </c>
      <c r="C119" s="15">
        <f>C101/C105</f>
        <v>1.3679448142367923</v>
      </c>
      <c r="D119" s="11"/>
      <c r="E119" s="27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222</v>
      </c>
      <c r="C120" s="102">
        <f>C13/C105</f>
        <v>0.12359740980479131</v>
      </c>
      <c r="D120" s="103"/>
      <c r="E120" s="271"/>
      <c r="F120" s="103"/>
      <c r="G120" s="102">
        <f>IF(G$4="","",G13/G105)</f>
        <v>0.13901972617156483</v>
      </c>
      <c r="H120" s="102">
        <f t="shared" ref="H120:Q120" si="48">IF(H$4="","",H13/H105)</f>
        <v>0.13627173407887561</v>
      </c>
      <c r="I120" s="102">
        <f t="shared" si="48"/>
        <v>0.17424482031103694</v>
      </c>
      <c r="J120" s="102">
        <f t="shared" si="48"/>
        <v>0.22746988960967615</v>
      </c>
      <c r="K120" s="102">
        <f t="shared" si="48"/>
        <v>0.22427288666201659</v>
      </c>
      <c r="L120" s="102">
        <f t="shared" si="48"/>
        <v>0.24371125557659654</v>
      </c>
      <c r="M120" s="102">
        <f t="shared" si="48"/>
        <v>0.12510984450794643</v>
      </c>
      <c r="N120" s="102">
        <f t="shared" si="48"/>
        <v>9.3789081001112232E-2</v>
      </c>
      <c r="O120" s="102">
        <f t="shared" si="48"/>
        <v>8.0425823505703695E-2</v>
      </c>
      <c r="P120" s="102">
        <f t="shared" si="48"/>
        <v>3.902519835568561E-2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1.0198101079268438</v>
      </c>
      <c r="D124" s="27"/>
      <c r="E124" s="265"/>
      <c r="F124" s="27"/>
      <c r="G124" s="177">
        <f t="shared" ref="G124:Q124" si="49">IF(G$4="","",G16*$C$3/Common_Shares*Exchange_Rate)</f>
        <v>1.0672129609356571</v>
      </c>
      <c r="H124" s="177">
        <f t="shared" si="49"/>
        <v>0.95107783193203388</v>
      </c>
      <c r="I124" s="177">
        <f t="shared" si="49"/>
        <v>1.2173112521987735</v>
      </c>
      <c r="J124" s="177">
        <f t="shared" si="49"/>
        <v>1.4679941262396463</v>
      </c>
      <c r="K124" s="177">
        <f t="shared" si="49"/>
        <v>0.58978640229478707</v>
      </c>
      <c r="L124" s="177">
        <f t="shared" si="49"/>
        <v>0.5811126882755</v>
      </c>
      <c r="M124" s="177">
        <f t="shared" si="49"/>
        <v>0.24993291622838384</v>
      </c>
      <c r="N124" s="177">
        <f t="shared" si="49"/>
        <v>0.19111904780252478</v>
      </c>
      <c r="O124" s="177">
        <f t="shared" si="49"/>
        <v>9.7533809765505131E-2</v>
      </c>
      <c r="P124" s="177">
        <f t="shared" si="49"/>
        <v>5.0713164274592227E-3</v>
      </c>
      <c r="Q124" s="177" t="str">
        <f t="shared" si="49"/>
        <v/>
      </c>
    </row>
    <row r="125" spans="1:17" ht="15.75" customHeight="1">
      <c r="A125" s="10"/>
      <c r="B125" s="27" t="s">
        <v>269</v>
      </c>
      <c r="C125" s="77">
        <f>C19*Exchange_Rate*$C$3/(Market_Price*Common_Shares)</f>
        <v>6.8535625532717984E-2</v>
      </c>
      <c r="D125" s="27"/>
      <c r="E125" s="265"/>
      <c r="F125" s="27"/>
      <c r="G125" s="77">
        <f t="shared" ref="G125" si="50">IF(G$4="","",G124/Market_Price)</f>
        <v>7.1721301138148993E-2</v>
      </c>
      <c r="H125" s="77">
        <f t="shared" ref="H125" si="51">IF(H$4="","",H124/Market_Price)</f>
        <v>6.3916520963174323E-2</v>
      </c>
      <c r="I125" s="77">
        <f t="shared" ref="I125" si="52">IF(I$4="","",I124/Market_Price)</f>
        <v>8.1808551895078852E-2</v>
      </c>
      <c r="J125" s="77">
        <f t="shared" ref="J125" si="53">IF(J$4="","",J124/Market_Price)</f>
        <v>9.8655519236535372E-2</v>
      </c>
      <c r="K125" s="77">
        <f t="shared" ref="K125" si="54">IF(K$4="","",K124/Market_Price)</f>
        <v>3.9636182949918483E-2</v>
      </c>
      <c r="L125" s="77">
        <f t="shared" ref="L125" si="55">IF(L$4="","",L124/Market_Price)</f>
        <v>3.9053272061525535E-2</v>
      </c>
      <c r="M125" s="77">
        <f t="shared" ref="M125" si="56">IF(M$4="","",M124/Market_Price)</f>
        <v>1.6796566950832245E-2</v>
      </c>
      <c r="N125" s="77">
        <f t="shared" ref="N125" si="57">IF(N$4="","",N124/Market_Price)</f>
        <v>1.2844022029739569E-2</v>
      </c>
      <c r="O125" s="77">
        <f t="shared" ref="O125" si="58">IF(O$4="","",O124/Market_Price)</f>
        <v>6.5546915164990003E-3</v>
      </c>
      <c r="P125" s="77">
        <f t="shared" ref="P125" si="59">IF(P$4="","",P124/Market_Price)</f>
        <v>3.4081427603892625E-4</v>
      </c>
      <c r="Q125" s="77" t="str">
        <f t="shared" ref="Q125" si="60">IF(Q$4="","",Q124/Market_Price)</f>
        <v/>
      </c>
    </row>
    <row r="126" spans="1:17" ht="15.75" customHeight="1">
      <c r="B126" s="2" t="s">
        <v>394</v>
      </c>
      <c r="C126" s="169"/>
      <c r="G126" s="23">
        <f>IF(G$4="","",(Data!C47*$C$3)/(Market_Price*Common_Shares))</f>
        <v>7.8335349899922427E-2</v>
      </c>
      <c r="H126" s="23">
        <f>IF(H$4="","",(Data!D47*$C$3)/(Market_Price*Common_Shares))</f>
        <v>8.2860463971391379E-2</v>
      </c>
      <c r="I126" s="23">
        <f>IF(I$4="","",(Data!E47*$C$3)/(Market_Price*Common_Shares))</f>
        <v>0.10565734719569456</v>
      </c>
      <c r="J126" s="23">
        <f>IF(J$4="","",(Data!F47*$C$3)/(Market_Price*Common_Shares))</f>
        <v>0.10428239828943238</v>
      </c>
      <c r="K126" s="23">
        <f>IF(K$4="","",(Data!G47*$C$3)/(Market_Price*Common_Shares))</f>
        <v>4.4160291929425173E-2</v>
      </c>
      <c r="L126" s="23">
        <f>IF(L$4="","",(Data!H47*$C$3)/(Market_Price*Common_Shares))</f>
        <v>3.8977460208017407E-2</v>
      </c>
      <c r="M126" s="23">
        <f>IF(M$4="","",(Data!I47*$C$3)/(Market_Price*Common_Shares))</f>
        <v>1.8596715003683543E-2</v>
      </c>
      <c r="N126" s="23">
        <f>IF(N$4="","",(Data!J47*$C$3)/(Market_Price*Common_Shares))</f>
        <v>1.3393941414168768E-2</v>
      </c>
      <c r="O126" s="23">
        <f>IF(O$4="","",(Data!K47*$C$3)/(Market_Price*Common_Shares))</f>
        <v>1.8222473478869562E-2</v>
      </c>
      <c r="P126" s="23">
        <f>IF(P$4="","",(Data!L47*$C$3)/(Market_Price*Common_Shares))</f>
        <v>1.6017194064308158E-3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2419761.2600623672</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32263483.467498232</v>
      </c>
      <c r="D6" t="str">
        <f>Reporting_currency</f>
        <v>CNY</v>
      </c>
      <c r="E6" s="364" t="s">
        <v>249</v>
      </c>
      <c r="F6" s="364"/>
      <c r="H6" s="120"/>
    </row>
    <row r="7" spans="2:8">
      <c r="B7" s="148" t="s">
        <v>224</v>
      </c>
      <c r="C7" s="338">
        <f>BS!G31</f>
        <v>1936137</v>
      </c>
      <c r="D7" t="str">
        <f>Reporting_currency</f>
        <v>CNY</v>
      </c>
      <c r="E7" s="364"/>
      <c r="F7" s="364"/>
      <c r="H7" s="120"/>
    </row>
    <row r="8" spans="2:8">
      <c r="B8" s="148" t="s">
        <v>225</v>
      </c>
      <c r="C8" s="338">
        <f>BS!D66</f>
        <v>14106750.834887572</v>
      </c>
      <c r="D8" t="str">
        <f>Reporting_currency</f>
        <v>CNY</v>
      </c>
      <c r="E8" s="364"/>
      <c r="F8" s="364"/>
      <c r="H8" s="120"/>
    </row>
    <row r="9" spans="2:8">
      <c r="B9" s="205" t="s">
        <v>190</v>
      </c>
      <c r="C9" s="348">
        <f>BS!H42</f>
        <v>561572.19999999995</v>
      </c>
      <c r="D9" t="str">
        <f>Reporting_currency</f>
        <v>CNY</v>
      </c>
      <c r="E9" s="364"/>
      <c r="F9" s="364"/>
      <c r="H9" s="120"/>
    </row>
    <row r="10" spans="2:8" ht="13.15">
      <c r="B10" s="149" t="s">
        <v>227</v>
      </c>
      <c r="C10" s="347">
        <f>C6-C7+C8+C9</f>
        <v>44995669.50238581</v>
      </c>
      <c r="D10" t="str">
        <f>Reporting_currency</f>
        <v>CNY</v>
      </c>
      <c r="H10" s="120"/>
    </row>
    <row r="11" spans="2:8" ht="13.15" thickBot="1">
      <c r="B11" s="207" t="s">
        <v>166</v>
      </c>
      <c r="C11" s="208">
        <f>Exchange_Rate</f>
        <v>1.08936492</v>
      </c>
      <c r="D11" t="str">
        <f>Thesis!C15</f>
        <v>CNY/HKD</v>
      </c>
      <c r="H11" s="120"/>
    </row>
    <row r="12" spans="2:8" ht="13.5" thickTop="1">
      <c r="B12" s="149" t="s">
        <v>102</v>
      </c>
      <c r="C12" s="111">
        <f>(C10*scaling_factor)/Common_Shares*Exchange_Rate</f>
        <v>18.963456985953222</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5.4247061515052201E-2</v>
      </c>
      <c r="H16" s="120"/>
    </row>
    <row r="17" spans="2:17" ht="13.25" customHeight="1">
      <c r="B17" s="118" t="s">
        <v>134</v>
      </c>
      <c r="C17" s="162">
        <f>Scenarios!C64</f>
        <v>20</v>
      </c>
      <c r="H17" s="120"/>
    </row>
    <row r="18" spans="2:17" ht="13.25" customHeight="1">
      <c r="B18" s="153" t="s">
        <v>106</v>
      </c>
      <c r="C18" s="140">
        <f>(F52-C7+C8+C9)*Exchange_Rate/Common_Shares*scaling_factor</f>
        <v>25.466803359536321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2551026.1979887104</v>
      </c>
      <c r="D21" s="138">
        <f>IF($C$17&lt;B21,0,DCF!$C$16)</f>
        <v>5.4247061515052201E-2</v>
      </c>
      <c r="E21" s="124">
        <f t="shared" ref="E21:E50" si="0">IF($C$17&lt;B21,0,1/(1+Equity_Cost)^B21)</f>
        <v>0.93023255813953487</v>
      </c>
      <c r="F21" s="125">
        <f t="shared" ref="F21:F51" si="1">C21*E21</f>
        <v>2373047.6260360098</v>
      </c>
      <c r="H21" s="120"/>
    </row>
    <row r="22" spans="2:17">
      <c r="B22" s="122">
        <v>2</v>
      </c>
      <c r="C22" s="123">
        <f t="shared" ref="C22:C50" si="2">IF(ROW()-ROW($C$21)&lt;$C$17, $C$21*(1+D22)^(ROW()-ROW($C$21)), 0)</f>
        <v>2689411.8730775132</v>
      </c>
      <c r="D22" s="138">
        <f>IF($C$17&lt;B22,0,DCF!$C$16)</f>
        <v>5.4247061515052201E-2</v>
      </c>
      <c r="E22" s="124">
        <f t="shared" si="0"/>
        <v>0.86533261222282321</v>
      </c>
      <c r="F22" s="125">
        <f t="shared" si="1"/>
        <v>2327235.8014732404</v>
      </c>
      <c r="H22" s="120"/>
    </row>
    <row r="23" spans="2:17">
      <c r="B23" s="122">
        <v>3</v>
      </c>
      <c r="C23" s="123">
        <f t="shared" si="2"/>
        <v>2835304.5643956605</v>
      </c>
      <c r="D23" s="138">
        <f>IF($C$17&lt;B23,0,DCF!$C$16)</f>
        <v>5.4247061515052201E-2</v>
      </c>
      <c r="E23" s="124">
        <f t="shared" si="0"/>
        <v>0.80496056950960304</v>
      </c>
      <c r="F23" s="125">
        <f t="shared" si="1"/>
        <v>2282308.3768891077</v>
      </c>
      <c r="G23" s="338"/>
      <c r="H23" s="339"/>
      <c r="I23" s="338"/>
      <c r="J23" s="338"/>
      <c r="K23" s="338"/>
      <c r="L23" s="338"/>
      <c r="M23" s="338"/>
      <c r="N23" s="338"/>
      <c r="O23" s="338"/>
      <c r="P23" s="338"/>
      <c r="Q23" s="338"/>
    </row>
    <row r="24" spans="2:17">
      <c r="B24" s="122">
        <v>4</v>
      </c>
      <c r="C24" s="123">
        <f t="shared" si="2"/>
        <v>2989111.50551434</v>
      </c>
      <c r="D24" s="138">
        <f>IF($C$17&lt;B24,0,DCF!$C$16)</f>
        <v>5.4247061515052201E-2</v>
      </c>
      <c r="E24" s="124">
        <f t="shared" si="0"/>
        <v>0.7488005297763749</v>
      </c>
      <c r="F24" s="125">
        <f t="shared" si="1"/>
        <v>2238248.2788897953</v>
      </c>
      <c r="G24" s="338"/>
      <c r="H24" s="339"/>
      <c r="I24" s="338"/>
      <c r="J24" s="338"/>
      <c r="K24" s="338"/>
      <c r="L24" s="338"/>
      <c r="M24" s="338"/>
      <c r="N24" s="338"/>
      <c r="O24" s="338"/>
      <c r="P24" s="338"/>
      <c r="Q24" s="338"/>
    </row>
    <row r="25" spans="2:17">
      <c r="B25" s="122">
        <v>5</v>
      </c>
      <c r="C25" s="123">
        <f t="shared" si="2"/>
        <v>3151262.0212293263</v>
      </c>
      <c r="D25" s="138">
        <f>IF($C$17&lt;B25,0,DCF!$C$16)</f>
        <v>5.4247061515052201E-2</v>
      </c>
      <c r="E25" s="124">
        <f t="shared" si="0"/>
        <v>0.69655863235011617</v>
      </c>
      <c r="F25" s="125">
        <f t="shared" si="1"/>
        <v>2195038.7636843622</v>
      </c>
      <c r="G25" s="338"/>
      <c r="H25" s="339"/>
      <c r="I25" s="338"/>
      <c r="J25" s="338"/>
      <c r="K25" s="338"/>
      <c r="L25" s="338"/>
      <c r="M25" s="338"/>
      <c r="N25" s="338"/>
      <c r="O25" s="338"/>
      <c r="P25" s="338"/>
      <c r="Q25" s="338"/>
    </row>
    <row r="26" spans="2:17">
      <c r="B26" s="122">
        <v>6</v>
      </c>
      <c r="C26" s="123">
        <f t="shared" si="2"/>
        <v>3322208.725945001</v>
      </c>
      <c r="D26" s="138">
        <f>IF($C$17&lt;B26,0,DCF!$C$16)</f>
        <v>5.4247061515052201E-2</v>
      </c>
      <c r="E26" s="124">
        <f t="shared" si="0"/>
        <v>0.64796151846522443</v>
      </c>
      <c r="F26" s="125">
        <f t="shared" si="1"/>
        <v>2152663.4107217416</v>
      </c>
      <c r="H26" s="120"/>
    </row>
    <row r="27" spans="2:17">
      <c r="B27" s="122">
        <v>7</v>
      </c>
      <c r="C27" s="123">
        <f t="shared" si="2"/>
        <v>3502428.7870671824</v>
      </c>
      <c r="D27" s="138">
        <f>IF($C$17&lt;B27,0,DCF!$C$16)</f>
        <v>5.4247061515052201E-2</v>
      </c>
      <c r="E27" s="124">
        <f t="shared" si="0"/>
        <v>0.60275490089788319</v>
      </c>
      <c r="F27" s="125">
        <f t="shared" si="1"/>
        <v>2111106.1164505729</v>
      </c>
      <c r="H27" s="120"/>
    </row>
    <row r="28" spans="2:17">
      <c r="B28" s="122">
        <v>8</v>
      </c>
      <c r="C28" s="123">
        <f t="shared" si="2"/>
        <v>3692425.2569313049</v>
      </c>
      <c r="D28" s="138">
        <f>IF($C$17&lt;B28,0,DCF!$C$16)</f>
        <v>5.4247061515052201E-2</v>
      </c>
      <c r="E28" s="124">
        <f t="shared" si="0"/>
        <v>0.56070223339337966</v>
      </c>
      <c r="F28" s="125">
        <f t="shared" si="1"/>
        <v>2070351.0881995063</v>
      </c>
      <c r="H28" s="120"/>
    </row>
    <row r="29" spans="2:17">
      <c r="B29" s="122">
        <v>9</v>
      </c>
      <c r="C29" s="123">
        <f t="shared" si="2"/>
        <v>3892728.4769837894</v>
      </c>
      <c r="D29" s="138">
        <f>IF($C$17&lt;B29,0,DCF!$C$16)</f>
        <v>5.4247061515052201E-2</v>
      </c>
      <c r="E29" s="124">
        <f t="shared" si="0"/>
        <v>0.52158347292407414</v>
      </c>
      <c r="F29" s="125">
        <f t="shared" si="1"/>
        <v>2030382.8381756467</v>
      </c>
      <c r="H29" s="120"/>
    </row>
    <row r="30" spans="2:17">
      <c r="B30" s="122">
        <v>10</v>
      </c>
      <c r="C30" s="123">
        <f t="shared" si="2"/>
        <v>4103897.5581361242</v>
      </c>
      <c r="D30" s="138">
        <f>IF($C$17&lt;B30,0,DCF!$C$16)</f>
        <v>5.4247061515052201E-2</v>
      </c>
      <c r="E30" s="124">
        <f t="shared" si="0"/>
        <v>0.48519392830146441</v>
      </c>
      <c r="F30" s="125">
        <f t="shared" si="1"/>
        <v>1991186.1775788534</v>
      </c>
      <c r="H30" s="120"/>
    </row>
    <row r="31" spans="2:17">
      <c r="B31" s="122">
        <v>11</v>
      </c>
      <c r="C31" s="123">
        <f t="shared" si="2"/>
        <v>4326521.9414238064</v>
      </c>
      <c r="D31" s="138">
        <f>IF($C$17&lt;B31,0,DCF!$C$16)</f>
        <v>5.4247061515052201E-2</v>
      </c>
      <c r="E31" s="124">
        <f t="shared" si="0"/>
        <v>0.45134318911764126</v>
      </c>
      <c r="F31" s="125">
        <f t="shared" si="1"/>
        <v>1952746.2108296694</v>
      </c>
      <c r="H31" s="120"/>
    </row>
    <row r="32" spans="2:17">
      <c r="B32" s="122">
        <v>12</v>
      </c>
      <c r="C32" s="123">
        <f t="shared" si="2"/>
        <v>4561223.0433264459</v>
      </c>
      <c r="D32" s="138">
        <f>IF($C$17&lt;B32,0,DCF!$C$16)</f>
        <v>5.4247061515052201E-2</v>
      </c>
      <c r="E32" s="124">
        <f t="shared" si="0"/>
        <v>0.41985412941175931</v>
      </c>
      <c r="F32" s="125">
        <f t="shared" si="1"/>
        <v>1915048.3299086802</v>
      </c>
      <c r="H32" s="120"/>
    </row>
    <row r="33" spans="2:17">
      <c r="B33" s="122">
        <v>13</v>
      </c>
      <c r="C33" s="341">
        <f t="shared" si="2"/>
        <v>4808655.9903416494</v>
      </c>
      <c r="D33" s="138">
        <f>IF($C$17&lt;B33,0,DCF!$C$16)</f>
        <v>5.4247061515052201E-2</v>
      </c>
      <c r="E33" s="124">
        <f t="shared" si="0"/>
        <v>0.39056198084814819</v>
      </c>
      <c r="F33" s="125">
        <f t="shared" si="1"/>
        <v>1878078.2088051483</v>
      </c>
      <c r="G33" s="338"/>
      <c r="H33" s="339"/>
      <c r="I33" s="338"/>
      <c r="J33" s="338"/>
      <c r="K33" s="338"/>
      <c r="L33" s="338"/>
      <c r="M33" s="338"/>
      <c r="N33" s="338"/>
      <c r="O33" s="338"/>
      <c r="P33" s="338"/>
      <c r="Q33" s="338"/>
    </row>
    <row r="34" spans="2:17">
      <c r="B34" s="122">
        <v>14</v>
      </c>
      <c r="C34" s="341">
        <f t="shared" si="2"/>
        <v>5069511.4476544363</v>
      </c>
      <c r="D34" s="138">
        <f>IF($C$17&lt;B34,0,DCF!$C$16)</f>
        <v>5.4247061515052201E-2</v>
      </c>
      <c r="E34" s="124">
        <f t="shared" si="0"/>
        <v>0.36331347055641694</v>
      </c>
      <c r="F34" s="125">
        <f t="shared" si="1"/>
        <v>1841821.7980728187</v>
      </c>
      <c r="G34" s="338"/>
      <c r="H34" s="339"/>
      <c r="I34" s="338"/>
      <c r="J34" s="338"/>
      <c r="K34" s="338"/>
      <c r="L34" s="338"/>
      <c r="M34" s="338"/>
      <c r="N34" s="338"/>
      <c r="O34" s="338"/>
      <c r="P34" s="338"/>
      <c r="Q34" s="338"/>
    </row>
    <row r="35" spans="2:17">
      <c r="B35" s="122">
        <v>15</v>
      </c>
      <c r="C35" s="341">
        <f t="shared" si="2"/>
        <v>5344517.547006608</v>
      </c>
      <c r="D35" s="138">
        <f>IF($C$17&lt;B35,0,DCF!$C$16)</f>
        <v>5.4247061515052201E-2</v>
      </c>
      <c r="E35" s="124">
        <f t="shared" si="0"/>
        <v>0.33796601912224833</v>
      </c>
      <c r="F35" s="125">
        <f t="shared" si="1"/>
        <v>1806265.3194908269</v>
      </c>
      <c r="G35" s="338"/>
      <c r="H35" s="339"/>
      <c r="I35" s="338"/>
      <c r="J35" s="338"/>
      <c r="K35" s="338"/>
      <c r="L35" s="338"/>
      <c r="M35" s="338"/>
      <c r="N35" s="338"/>
      <c r="O35" s="338"/>
      <c r="P35" s="338"/>
      <c r="Q35" s="338"/>
    </row>
    <row r="36" spans="2:17">
      <c r="B36" s="122">
        <v>16</v>
      </c>
      <c r="C36" s="123">
        <f t="shared" si="2"/>
        <v>5634441.9191473499</v>
      </c>
      <c r="D36" s="138">
        <f>IF($C$17&lt;B36,0,DCF!$C$16)</f>
        <v>5.4247061515052201E-2</v>
      </c>
      <c r="E36" s="124">
        <f t="shared" si="0"/>
        <v>0.31438699453232405</v>
      </c>
      <c r="F36" s="125">
        <f t="shared" si="1"/>
        <v>1771395.2608276752</v>
      </c>
      <c r="H36" s="120"/>
    </row>
    <row r="37" spans="2:17">
      <c r="B37" s="122">
        <v>17</v>
      </c>
      <c r="C37" s="123">
        <f t="shared" si="2"/>
        <v>5940093.8365383241</v>
      </c>
      <c r="D37" s="138">
        <f>IF($C$17&lt;B37,0,DCF!$C$16)</f>
        <v>5.4247061515052201E-2</v>
      </c>
      <c r="E37" s="124">
        <f t="shared" si="0"/>
        <v>0.29245301816960378</v>
      </c>
      <c r="F37" s="125">
        <f t="shared" si="1"/>
        <v>1737198.370706294</v>
      </c>
      <c r="H37" s="120"/>
    </row>
    <row r="38" spans="2:17">
      <c r="B38" s="122">
        <v>18</v>
      </c>
      <c r="C38" s="123">
        <f t="shared" si="2"/>
        <v>6262326.4722942002</v>
      </c>
      <c r="D38" s="138">
        <f>IF($C$17&lt;B38,0,DCF!$C$16)</f>
        <v>5.4247061515052201E-2</v>
      </c>
      <c r="E38" s="124">
        <f t="shared" si="0"/>
        <v>0.27204931922753844</v>
      </c>
      <c r="F38" s="125">
        <f t="shared" si="1"/>
        <v>1703661.6535682296</v>
      </c>
      <c r="H38" s="120"/>
    </row>
    <row r="39" spans="2:17">
      <c r="B39" s="122">
        <v>19</v>
      </c>
      <c r="C39" s="123">
        <f t="shared" si="2"/>
        <v>6602039.2816640828</v>
      </c>
      <c r="D39" s="138">
        <f>IF($C$17&lt;B39,0,DCF!$C$16)</f>
        <v>5.4247061515052201E-2</v>
      </c>
      <c r="E39" s="124">
        <f t="shared" si="0"/>
        <v>0.25306913416515198</v>
      </c>
      <c r="F39" s="125">
        <f t="shared" si="1"/>
        <v>1670772.3647350513</v>
      </c>
      <c r="H39" s="120"/>
    </row>
    <row r="40" spans="2:17">
      <c r="B40" s="122">
        <v>20</v>
      </c>
      <c r="C40" s="123">
        <f t="shared" si="2"/>
        <v>6960180.5127013037</v>
      </c>
      <c r="D40" s="138">
        <f>IF($C$17&lt;B40,0,DCF!$C$16)</f>
        <v>5.4247061515052201E-2</v>
      </c>
      <c r="E40" s="124">
        <f t="shared" si="0"/>
        <v>0.23541314806060654</v>
      </c>
      <c r="F40" s="125">
        <f t="shared" si="1"/>
        <v>1638518.0055651003</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34013682.639849477</v>
      </c>
      <c r="D51" s="139">
        <f>Terminal_Growth</f>
        <v>0</v>
      </c>
      <c r="E51" s="124">
        <f>1/(1+Equity_Cost)^C17</f>
        <v>0.23541314806060654</v>
      </c>
      <c r="F51" s="125">
        <f t="shared" si="1"/>
        <v>8007268.1073813671</v>
      </c>
      <c r="H51" s="120"/>
    </row>
    <row r="52" spans="1:17">
      <c r="C52" s="114"/>
      <c r="E52" s="127" t="s">
        <v>100</v>
      </c>
      <c r="F52" s="137">
        <f>SUM(F21:F51)</f>
        <v>47694342.107989699</v>
      </c>
      <c r="H52" s="120"/>
    </row>
    <row r="53" spans="1:17">
      <c r="C53" s="114"/>
      <c r="H53" s="120"/>
    </row>
    <row r="54" spans="1:17" ht="13.15">
      <c r="B54" s="119" t="s">
        <v>129</v>
      </c>
      <c r="C54" s="136"/>
      <c r="D54" s="136"/>
      <c r="E54" s="117"/>
      <c r="F54" s="117"/>
      <c r="H54" s="120"/>
    </row>
    <row r="55" spans="1:17" ht="13.15">
      <c r="A55" s="133">
        <f>F52</f>
        <v>47694342.107989699</v>
      </c>
      <c r="B55" s="131">
        <f>C78</f>
        <v>0</v>
      </c>
      <c r="C55" s="131">
        <f>C77</f>
        <v>0.02</v>
      </c>
      <c r="D55" s="131">
        <f>C76</f>
        <v>0.05</v>
      </c>
      <c r="E55" s="131">
        <f>C75</f>
        <v>0.06</v>
      </c>
      <c r="F55" s="131">
        <f>C74</f>
        <v>0.1</v>
      </c>
      <c r="H55" s="120"/>
    </row>
    <row r="56" spans="1:17" ht="13.15">
      <c r="A56" s="143">
        <v>5</v>
      </c>
      <c r="B56" s="123">
        <f t="dataTable" ref="B56:F61" dt2D="1" dtr="1" r1="C16" r2="C17"/>
        <v>32263483.467498235</v>
      </c>
      <c r="C56" s="123">
        <v>33286574.766959086</v>
      </c>
      <c r="D56" s="123">
        <v>34877503.290937372</v>
      </c>
      <c r="E56" s="123">
        <v>35423481.518920466</v>
      </c>
      <c r="F56" s="123">
        <v>37690292.287145458</v>
      </c>
      <c r="H56" s="120"/>
    </row>
    <row r="57" spans="1:17" ht="13.15">
      <c r="A57" s="143">
        <v>10</v>
      </c>
      <c r="B57" s="123">
        <v>32263483.467498239</v>
      </c>
      <c r="C57" s="123">
        <v>34301101.070717365</v>
      </c>
      <c r="D57" s="123">
        <v>37745527.099758253</v>
      </c>
      <c r="E57" s="123">
        <v>39009483.971213169</v>
      </c>
      <c r="F57" s="123">
        <v>44738418.385705665</v>
      </c>
      <c r="H57" s="120"/>
    </row>
    <row r="58" spans="1:17" ht="13.15">
      <c r="A58" s="143">
        <v>15</v>
      </c>
      <c r="B58" s="123">
        <v>32263483.467498235</v>
      </c>
      <c r="C58" s="341">
        <v>35585610.178797953</v>
      </c>
      <c r="D58" s="123">
        <v>41673193.445995808</v>
      </c>
      <c r="E58" s="123">
        <v>44055181.736199856</v>
      </c>
      <c r="F58" s="123">
        <v>55835081.424920112</v>
      </c>
      <c r="G58" s="338"/>
      <c r="H58" s="339"/>
      <c r="I58" s="338"/>
      <c r="J58" s="338"/>
      <c r="K58" s="338"/>
      <c r="L58" s="338"/>
      <c r="M58" s="338"/>
      <c r="N58" s="338"/>
      <c r="O58" s="338"/>
      <c r="P58" s="338"/>
      <c r="Q58" s="338"/>
    </row>
    <row r="59" spans="1:17" ht="13.15">
      <c r="A59" s="144">
        <v>20</v>
      </c>
      <c r="B59" s="123">
        <v>32263483.467498235</v>
      </c>
      <c r="C59" s="341">
        <v>36924731.880147114</v>
      </c>
      <c r="D59" s="123">
        <v>46124751.405949399</v>
      </c>
      <c r="E59" s="123">
        <v>49944778.713483222</v>
      </c>
      <c r="F59" s="123">
        <v>70505483.02759698</v>
      </c>
      <c r="G59" s="338"/>
      <c r="H59" s="339"/>
      <c r="I59" s="338"/>
      <c r="J59" s="338"/>
      <c r="K59" s="338"/>
      <c r="L59" s="338"/>
      <c r="M59" s="338"/>
      <c r="N59" s="338"/>
      <c r="O59" s="338"/>
      <c r="P59" s="338"/>
      <c r="Q59" s="338"/>
    </row>
    <row r="60" spans="1:17" ht="13.15">
      <c r="A60" s="144">
        <v>25</v>
      </c>
      <c r="B60" s="123">
        <v>32263483.467498228</v>
      </c>
      <c r="C60" s="341">
        <v>38199266.672745101</v>
      </c>
      <c r="D60" s="123">
        <v>50750795.47205659</v>
      </c>
      <c r="E60" s="123">
        <v>56261065.201046094</v>
      </c>
      <c r="F60" s="123">
        <v>88510709.39828968</v>
      </c>
      <c r="G60" s="338"/>
      <c r="H60" s="339"/>
      <c r="I60" s="338"/>
      <c r="J60" s="338"/>
      <c r="K60" s="338"/>
      <c r="L60" s="338"/>
      <c r="M60" s="338"/>
      <c r="N60" s="338"/>
      <c r="O60" s="338"/>
      <c r="P60" s="338"/>
      <c r="Q60" s="338"/>
    </row>
    <row r="61" spans="1:17" ht="13.15">
      <c r="A61" s="144">
        <v>30</v>
      </c>
      <c r="B61" s="123">
        <v>32263483.467498228</v>
      </c>
      <c r="C61" s="341">
        <v>39349886.280887388</v>
      </c>
      <c r="D61" s="123">
        <v>55329081.579445086</v>
      </c>
      <c r="E61" s="123">
        <v>62724362.82607682</v>
      </c>
      <c r="F61" s="123">
        <v>109787338.12113397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18.963456985953222</v>
      </c>
      <c r="C65" s="124">
        <f>C12</f>
        <v>18.963456985953222</v>
      </c>
      <c r="D65" s="124">
        <f>C12</f>
        <v>18.963456985953222</v>
      </c>
      <c r="E65" s="141">
        <f>C12</f>
        <v>18.963456985953222</v>
      </c>
      <c r="F65" s="124">
        <f>C12</f>
        <v>18.963456985953222</v>
      </c>
      <c r="H65" s="120"/>
    </row>
    <row r="66" spans="1:8" ht="13.15">
      <c r="A66" s="143">
        <f t="shared" ref="A66:A71" si="3">A56</f>
        <v>5</v>
      </c>
      <c r="B66" s="124">
        <f t="shared" ref="B66:F71" si="4">(B56-$C$7+$C$8+$C$9)/Common_Shares*$C$3*Exchange_Rate</f>
        <v>18.963456985953218</v>
      </c>
      <c r="C66" s="124">
        <f t="shared" si="4"/>
        <v>19.394639543399116</v>
      </c>
      <c r="D66" s="124">
        <f t="shared" si="4"/>
        <v>20.065137503888145</v>
      </c>
      <c r="E66" s="124">
        <f t="shared" si="4"/>
        <v>20.295240417260189</v>
      </c>
      <c r="F66" s="124">
        <f t="shared" si="4"/>
        <v>21.250589431374774</v>
      </c>
      <c r="H66" s="120"/>
    </row>
    <row r="67" spans="1:8" ht="13.15">
      <c r="A67" s="143">
        <f t="shared" si="3"/>
        <v>10</v>
      </c>
      <c r="B67" s="124">
        <f t="shared" si="4"/>
        <v>18.963456985953218</v>
      </c>
      <c r="C67" s="124">
        <f t="shared" si="4"/>
        <v>19.822212377300787</v>
      </c>
      <c r="D67" s="124">
        <f t="shared" si="4"/>
        <v>21.273868182523355</v>
      </c>
      <c r="E67" s="124">
        <f t="shared" si="4"/>
        <v>21.806563706981873</v>
      </c>
      <c r="F67" s="124">
        <f t="shared" si="4"/>
        <v>24.221027199714545</v>
      </c>
      <c r="H67" s="120"/>
    </row>
    <row r="68" spans="1:8" ht="13.15">
      <c r="A68" s="143">
        <f t="shared" si="3"/>
        <v>15</v>
      </c>
      <c r="B68" s="124">
        <f t="shared" si="4"/>
        <v>18.963456985953218</v>
      </c>
      <c r="C68" s="124">
        <f t="shared" si="4"/>
        <v>20.363569656535397</v>
      </c>
      <c r="D68" s="124">
        <f t="shared" si="4"/>
        <v>22.929185963895684</v>
      </c>
      <c r="E68" s="124">
        <f t="shared" si="4"/>
        <v>23.933076626750111</v>
      </c>
      <c r="F68" s="124">
        <f t="shared" si="4"/>
        <v>28.897723747603496</v>
      </c>
      <c r="H68" s="120"/>
    </row>
    <row r="69" spans="1:8" ht="13.15">
      <c r="A69" s="144">
        <f t="shared" si="3"/>
        <v>20</v>
      </c>
      <c r="B69" s="124">
        <f t="shared" si="4"/>
        <v>18.963456985953218</v>
      </c>
      <c r="C69" s="124">
        <f t="shared" si="4"/>
        <v>20.927943452132435</v>
      </c>
      <c r="D69" s="124">
        <f t="shared" si="4"/>
        <v>24.805298239313249</v>
      </c>
      <c r="E69" s="124">
        <f t="shared" si="4"/>
        <v>26.415251471095772</v>
      </c>
      <c r="F69" s="124">
        <f t="shared" si="4"/>
        <v>35.080574960524579</v>
      </c>
      <c r="H69" s="120"/>
    </row>
    <row r="70" spans="1:8" ht="13.15">
      <c r="A70" s="144">
        <f t="shared" si="3"/>
        <v>25</v>
      </c>
      <c r="B70" s="124">
        <f t="shared" si="4"/>
        <v>18.963456985953218</v>
      </c>
      <c r="C70" s="124">
        <f t="shared" si="4"/>
        <v>21.465097048996931</v>
      </c>
      <c r="D70" s="124">
        <f t="shared" si="4"/>
        <v>26.754947808547822</v>
      </c>
      <c r="E70" s="124">
        <f t="shared" si="4"/>
        <v>29.077254913704955</v>
      </c>
      <c r="F70" s="124">
        <f t="shared" si="4"/>
        <v>42.668890449082369</v>
      </c>
    </row>
    <row r="71" spans="1:8" ht="13.15">
      <c r="A71" s="144">
        <f t="shared" si="3"/>
        <v>30</v>
      </c>
      <c r="B71" s="124">
        <f t="shared" si="4"/>
        <v>18.963456985953218</v>
      </c>
      <c r="C71" s="124">
        <f t="shared" si="4"/>
        <v>21.950026503042363</v>
      </c>
      <c r="D71" s="124">
        <f t="shared" si="4"/>
        <v>28.684469752037199</v>
      </c>
      <c r="E71" s="124">
        <f t="shared" si="4"/>
        <v>31.801216304993623</v>
      </c>
      <c r="F71" s="124">
        <f t="shared" si="4"/>
        <v>51.635940790901614</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30</v>
      </c>
      <c r="E74" s="135">
        <f>INDEX(B$65:F$71, MATCH(D74, A$65:A$71, 0), MATCH(C74, B$64:F$64, 0))</f>
        <v>51.635940790901614</v>
      </c>
      <c r="F74" s="142">
        <f>Scenarios!C58</f>
        <v>0.05</v>
      </c>
    </row>
    <row r="75" spans="1:8">
      <c r="B75" s="127" t="str">
        <f>Scenarios!B36</f>
        <v>Optimistic</v>
      </c>
      <c r="C75" s="142">
        <f>Scenarios!C38</f>
        <v>0.06</v>
      </c>
      <c r="D75" s="145">
        <f>Scenarios!C37</f>
        <v>20</v>
      </c>
      <c r="E75" s="135">
        <f>INDEX(B$65:F$71, MATCH(D75, A$65:A$71, 0), MATCH(C75, B$64:F$64, 0))</f>
        <v>26.415251471095772</v>
      </c>
      <c r="F75" s="142">
        <f>Scenarios!C40*(1-F$74-F$78)</f>
        <v>0.22499999999999992</v>
      </c>
      <c r="H75" s="120"/>
    </row>
    <row r="76" spans="1:8">
      <c r="B76" s="127" t="str">
        <f>Scenarios!B24</f>
        <v>Base</v>
      </c>
      <c r="C76" s="142">
        <f>Scenarios!C26</f>
        <v>0.05</v>
      </c>
      <c r="D76" s="145">
        <f>Scenarios!C25</f>
        <v>20</v>
      </c>
      <c r="E76" s="135">
        <f>INDEX(B$65:F$71, MATCH(D76, A$65:A$71, 0), MATCH(C76, B$64:F$64, 0))</f>
        <v>24.805298239313249</v>
      </c>
      <c r="F76" s="142">
        <f>Scenarios!C28*(1-F$74-F$78)</f>
        <v>0.495</v>
      </c>
      <c r="H76" s="120"/>
    </row>
    <row r="77" spans="1:8">
      <c r="B77" s="127" t="str">
        <f>Scenarios!B30</f>
        <v>Pessimistic</v>
      </c>
      <c r="C77" s="142">
        <f>Scenarios!C32</f>
        <v>0.02</v>
      </c>
      <c r="D77" s="145">
        <f>Scenarios!C31</f>
        <v>20</v>
      </c>
      <c r="E77" s="135">
        <f>INDEX(B$65:F$71, MATCH(D77, A$65:A$71, 0), MATCH(C77, B$64:F$64, 0))</f>
        <v>20.927943452132435</v>
      </c>
      <c r="F77" s="142">
        <f>Scenarios!C34*(1-F$74-F$78)</f>
        <v>0.18</v>
      </c>
      <c r="H77" s="120"/>
    </row>
    <row r="78" spans="1:8">
      <c r="B78" s="127" t="str">
        <f>Scenarios!B48</f>
        <v>Devil's advocate</v>
      </c>
      <c r="C78" s="142">
        <f>Scenarios!C50</f>
        <v>0</v>
      </c>
      <c r="D78" s="145">
        <f>Scenarios!C49</f>
        <v>30</v>
      </c>
      <c r="E78" s="135">
        <f>INDEX(B$65:F$71, MATCH(D78, A$65:A$71, 0), MATCH(C78, B$64:F$64, 0))</f>
        <v>18.963456985953218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1387588.1145767025</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18501174.8610227</v>
      </c>
      <c r="D6" t="str">
        <f>Reporting_currency</f>
        <v>CNY</v>
      </c>
      <c r="E6" s="364"/>
      <c r="F6" s="364"/>
      <c r="H6" s="120"/>
    </row>
    <row r="7" spans="2:8" ht="13.15">
      <c r="B7" s="149" t="s">
        <v>444</v>
      </c>
      <c r="C7" s="111">
        <f>(C6*scaling_factor)/Common_Shares*Exchange_Rate</f>
        <v>7.7973333333333352</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5.4247061515052201E-2</v>
      </c>
      <c r="H11" s="120"/>
    </row>
    <row r="12" spans="2:8" ht="13.25" customHeight="1">
      <c r="B12" s="118" t="s">
        <v>134</v>
      </c>
      <c r="C12" s="162">
        <f>Scenarios!C64</f>
        <v>20</v>
      </c>
      <c r="H12" s="120"/>
    </row>
    <row r="13" spans="2:8" ht="13.25" customHeight="1">
      <c r="B13" s="153" t="s">
        <v>106</v>
      </c>
      <c r="C13" s="140">
        <f>F47/Common_Shares*scaling_factor</f>
        <v>10.581039145853721</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1462860.6923857001</v>
      </c>
      <c r="D16" s="138">
        <f>IF($C$12&lt;B16,0,DDM!$C$11)</f>
        <v>5.4247061515052201E-2</v>
      </c>
      <c r="E16" s="124">
        <f t="shared" ref="E16:E45" si="0">IF($C$12&lt;B16,0,1/(1+Equity_Cost)^B16)</f>
        <v>0.93023255813953487</v>
      </c>
      <c r="F16" s="125">
        <f t="shared" ref="F16:F46" si="1">C16*E16</f>
        <v>1360800.6440797211</v>
      </c>
      <c r="H16" s="120"/>
    </row>
    <row r="17" spans="2:8">
      <c r="B17" s="122">
        <v>2</v>
      </c>
      <c r="C17" s="123">
        <f t="shared" ref="C17:C45" si="2">IF(ROW()-ROW($C$16)&lt;$C$12, $C$16*(1+D17)^(ROW()-ROW($C$16)), 0)</f>
        <v>1542216.5863534987</v>
      </c>
      <c r="D17" s="138">
        <f>IF($C$12&lt;B17,0,DDM!$C$11)</f>
        <v>5.4247061515052201E-2</v>
      </c>
      <c r="E17" s="124">
        <f t="shared" si="0"/>
        <v>0.86533261222282321</v>
      </c>
      <c r="F17" s="125">
        <f t="shared" si="1"/>
        <v>1334530.3072826383</v>
      </c>
      <c r="H17" s="120"/>
    </row>
    <row r="18" spans="2:8">
      <c r="B18" s="122">
        <v>3</v>
      </c>
      <c r="C18" s="123">
        <f t="shared" si="2"/>
        <v>1625877.3043829508</v>
      </c>
      <c r="D18" s="138">
        <f>IF($C$12&lt;B18,0,DDM!$C$11)</f>
        <v>5.4247061515052201E-2</v>
      </c>
      <c r="E18" s="124">
        <f t="shared" si="0"/>
        <v>0.80496056950960304</v>
      </c>
      <c r="F18" s="125">
        <f t="shared" si="1"/>
        <v>1308767.1208888383</v>
      </c>
      <c r="H18" s="120"/>
    </row>
    <row r="19" spans="2:8">
      <c r="B19" s="122">
        <v>4</v>
      </c>
      <c r="C19" s="123">
        <f t="shared" si="2"/>
        <v>1714076.3705297397</v>
      </c>
      <c r="D19" s="138">
        <f>IF($C$12&lt;B19,0,DDM!$C$11)</f>
        <v>5.4247061515052201E-2</v>
      </c>
      <c r="E19" s="124">
        <f t="shared" si="0"/>
        <v>0.7488005297763749</v>
      </c>
      <c r="F19" s="125">
        <f t="shared" si="1"/>
        <v>1283501.2943298349</v>
      </c>
      <c r="H19" s="120"/>
    </row>
    <row r="20" spans="2:8">
      <c r="B20" s="122">
        <v>5</v>
      </c>
      <c r="C20" s="123">
        <f t="shared" si="2"/>
        <v>1807059.9768433636</v>
      </c>
      <c r="D20" s="138">
        <f>IF($C$12&lt;B20,0,DDM!$C$11)</f>
        <v>5.4247061515052201E-2</v>
      </c>
      <c r="E20" s="124">
        <f t="shared" si="0"/>
        <v>0.69655863235011617</v>
      </c>
      <c r="F20" s="125">
        <f t="shared" si="1"/>
        <v>1258723.226044646</v>
      </c>
      <c r="H20" s="120"/>
    </row>
    <row r="21" spans="2:8">
      <c r="B21" s="122">
        <v>6</v>
      </c>
      <c r="C21" s="123">
        <f t="shared" si="2"/>
        <v>1905087.6705685742</v>
      </c>
      <c r="D21" s="138">
        <f>IF($C$12&lt;B21,0,DDM!$C$11)</f>
        <v>5.4247061515052201E-2</v>
      </c>
      <c r="E21" s="124">
        <f t="shared" si="0"/>
        <v>0.64796151846522443</v>
      </c>
      <c r="F21" s="125">
        <f t="shared" si="1"/>
        <v>1234423.4998309906</v>
      </c>
      <c r="H21" s="120"/>
    </row>
    <row r="22" spans="2:8">
      <c r="B22" s="122">
        <v>7</v>
      </c>
      <c r="C22" s="123">
        <f t="shared" si="2"/>
        <v>2008433.0786254751</v>
      </c>
      <c r="D22" s="138">
        <f>IF($C$12&lt;B22,0,DDM!$C$11)</f>
        <v>5.4247061515052201E-2</v>
      </c>
      <c r="E22" s="124">
        <f t="shared" si="0"/>
        <v>0.60275490089788319</v>
      </c>
      <c r="F22" s="125">
        <f t="shared" si="1"/>
        <v>1210592.8812669287</v>
      </c>
      <c r="H22" s="120"/>
    </row>
    <row r="23" spans="2:8">
      <c r="B23" s="122">
        <v>8</v>
      </c>
      <c r="C23" s="123">
        <f t="shared" si="2"/>
        <v>2117384.6713905367</v>
      </c>
      <c r="D23" s="138">
        <f>IF($C$12&lt;B23,0,DDM!$C$11)</f>
        <v>5.4247061515052201E-2</v>
      </c>
      <c r="E23" s="124">
        <f t="shared" si="0"/>
        <v>0.56070223339337966</v>
      </c>
      <c r="F23" s="125">
        <f t="shared" si="1"/>
        <v>1187222.3142015813</v>
      </c>
      <c r="H23" s="120"/>
    </row>
    <row r="24" spans="2:8">
      <c r="B24" s="122">
        <v>9</v>
      </c>
      <c r="C24" s="123">
        <f t="shared" si="2"/>
        <v>2232246.5679104873</v>
      </c>
      <c r="D24" s="138">
        <f>IF($C$12&lt;B24,0,DDM!$C$11)</f>
        <v>5.4247061515052201E-2</v>
      </c>
      <c r="E24" s="124">
        <f t="shared" si="0"/>
        <v>0.52158347292407414</v>
      </c>
      <c r="F24" s="125">
        <f t="shared" si="1"/>
        <v>1164302.9173135972</v>
      </c>
      <c r="H24" s="120"/>
    </row>
    <row r="25" spans="2:8">
      <c r="B25" s="122">
        <v>10</v>
      </c>
      <c r="C25" s="123">
        <f t="shared" si="2"/>
        <v>2353339.3847966911</v>
      </c>
      <c r="D25" s="138">
        <f>IF($C$12&lt;B25,0,DDM!$C$11)</f>
        <v>5.4247061515052201E-2</v>
      </c>
      <c r="E25" s="124">
        <f t="shared" si="0"/>
        <v>0.48519392830146441</v>
      </c>
      <c r="F25" s="125">
        <f t="shared" si="1"/>
        <v>1141825.9807360582</v>
      </c>
      <c r="H25" s="120"/>
    </row>
    <row r="26" spans="2:8">
      <c r="B26" s="122">
        <v>11</v>
      </c>
      <c r="C26" s="123">
        <f t="shared" si="2"/>
        <v>2481001.1311695524</v>
      </c>
      <c r="D26" s="138">
        <f>IF($C$12&lt;B26,0,DDM!$C$11)</f>
        <v>5.4247061515052201E-2</v>
      </c>
      <c r="E26" s="124">
        <f t="shared" si="0"/>
        <v>0.45134318911764126</v>
      </c>
      <c r="F26" s="125">
        <f t="shared" si="1"/>
        <v>1119782.9627465412</v>
      </c>
      <c r="H26" s="120"/>
    </row>
    <row r="27" spans="2:8">
      <c r="B27" s="122">
        <v>12</v>
      </c>
      <c r="C27" s="123">
        <f t="shared" si="2"/>
        <v>2615588.1521510207</v>
      </c>
      <c r="D27" s="138">
        <f>IF($C$12&lt;B27,0,DDM!$C$11)</f>
        <v>5.4247061515052201E-2</v>
      </c>
      <c r="E27" s="124">
        <f t="shared" si="0"/>
        <v>0.41985412941175931</v>
      </c>
      <c r="F27" s="125">
        <f t="shared" si="1"/>
        <v>1098165.486521079</v>
      </c>
      <c r="H27" s="120"/>
    </row>
    <row r="28" spans="2:8">
      <c r="B28" s="122">
        <v>13</v>
      </c>
      <c r="C28" s="123">
        <f t="shared" si="2"/>
        <v>2757476.1235387987</v>
      </c>
      <c r="D28" s="138">
        <f>IF($C$12&lt;B28,0,DDM!$C$11)</f>
        <v>5.4247061515052201E-2</v>
      </c>
      <c r="E28" s="124">
        <f t="shared" si="0"/>
        <v>0.39056198084814819</v>
      </c>
      <c r="F28" s="125">
        <f t="shared" si="1"/>
        <v>1076965.3369507862</v>
      </c>
      <c r="H28" s="120"/>
    </row>
    <row r="29" spans="2:8">
      <c r="B29" s="122">
        <v>14</v>
      </c>
      <c r="C29" s="123">
        <f t="shared" si="2"/>
        <v>2907061.1004386954</v>
      </c>
      <c r="D29" s="138">
        <f>IF($C$12&lt;B29,0,DDM!$C$11)</f>
        <v>5.4247061515052201E-2</v>
      </c>
      <c r="E29" s="124">
        <f t="shared" si="0"/>
        <v>0.36331347055641694</v>
      </c>
      <c r="F29" s="125">
        <f t="shared" si="1"/>
        <v>1056174.4575199389</v>
      </c>
      <c r="H29" s="120"/>
    </row>
    <row r="30" spans="2:8">
      <c r="B30" s="122">
        <v>15</v>
      </c>
      <c r="C30" s="123">
        <f t="shared" si="2"/>
        <v>3064760.6227822085</v>
      </c>
      <c r="D30" s="138">
        <f>IF($C$12&lt;B30,0,DDM!$C$11)</f>
        <v>5.4247061515052201E-2</v>
      </c>
      <c r="E30" s="124">
        <f t="shared" si="0"/>
        <v>0.33796601912224833</v>
      </c>
      <c r="F30" s="125">
        <f t="shared" si="1"/>
        <v>1035784.9472443255</v>
      </c>
      <c r="H30" s="120"/>
    </row>
    <row r="31" spans="2:8">
      <c r="B31" s="122">
        <v>16</v>
      </c>
      <c r="C31" s="123">
        <f t="shared" si="2"/>
        <v>3231014.8808151842</v>
      </c>
      <c r="D31" s="138">
        <f>IF($C$12&lt;B31,0,DDM!$C$11)</f>
        <v>5.4247061515052201E-2</v>
      </c>
      <c r="E31" s="124">
        <f t="shared" si="0"/>
        <v>0.31438699453232405</v>
      </c>
      <c r="F31" s="125">
        <f t="shared" si="1"/>
        <v>1015789.0576687009</v>
      </c>
      <c r="H31" s="120"/>
    </row>
    <row r="32" spans="2:8">
      <c r="B32" s="122">
        <v>17</v>
      </c>
      <c r="C32" s="123">
        <f t="shared" si="2"/>
        <v>3406287.9438108136</v>
      </c>
      <c r="D32" s="138">
        <f>IF($C$12&lt;B32,0,DDM!$C$11)</f>
        <v>5.4247061515052201E-2</v>
      </c>
      <c r="E32" s="124">
        <f t="shared" si="0"/>
        <v>0.29245301816960378</v>
      </c>
      <c r="F32" s="125">
        <f t="shared" si="1"/>
        <v>996179.18992220622</v>
      </c>
      <c r="H32" s="120"/>
    </row>
    <row r="33" spans="2:8">
      <c r="B33" s="122">
        <v>18</v>
      </c>
      <c r="C33" s="123">
        <f t="shared" si="2"/>
        <v>3591069.0554366992</v>
      </c>
      <c r="D33" s="138">
        <f>IF($C$12&lt;B33,0,DDM!$C$11)</f>
        <v>5.4247061515052201E-2</v>
      </c>
      <c r="E33" s="124">
        <f t="shared" si="0"/>
        <v>0.27204931922753844</v>
      </c>
      <c r="F33" s="125">
        <f t="shared" si="1"/>
        <v>976947.89183063351</v>
      </c>
      <c r="H33" s="120"/>
    </row>
    <row r="34" spans="2:8">
      <c r="B34" s="122">
        <v>19</v>
      </c>
      <c r="C34" s="123">
        <f t="shared" si="2"/>
        <v>3785873.9993917737</v>
      </c>
      <c r="D34" s="138">
        <f>IF($C$12&lt;B34,0,DDM!$C$11)</f>
        <v>5.4247061515052201E-2</v>
      </c>
      <c r="E34" s="124">
        <f t="shared" si="0"/>
        <v>0.25306913416515198</v>
      </c>
      <c r="F34" s="125">
        <f t="shared" si="1"/>
        <v>958087.85508443729</v>
      </c>
      <c r="H34" s="120"/>
    </row>
    <row r="35" spans="2:8">
      <c r="B35" s="122">
        <v>20</v>
      </c>
      <c r="C35" s="123">
        <f t="shared" si="2"/>
        <v>3991246.5391250155</v>
      </c>
      <c r="D35" s="138">
        <f>IF($C$12&lt;B35,0,DDM!$C$11)</f>
        <v>5.4247061515052201E-2</v>
      </c>
      <c r="E35" s="124">
        <f t="shared" si="0"/>
        <v>0.23541314806060654</v>
      </c>
      <c r="F35" s="125">
        <f t="shared" si="1"/>
        <v>939591.91246142064</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19504809.231809337</v>
      </c>
      <c r="D46" s="139">
        <f>Terminal_Growth</f>
        <v>0</v>
      </c>
      <c r="E46" s="124">
        <f>1/(1+Equity_Cost)^C12</f>
        <v>0.23541314806060654</v>
      </c>
      <c r="F46" s="125">
        <f t="shared" si="1"/>
        <v>4591688.5435818164</v>
      </c>
      <c r="H46" s="120"/>
    </row>
    <row r="47" spans="2:8">
      <c r="C47" s="114"/>
      <c r="E47" s="127" t="s">
        <v>100</v>
      </c>
      <c r="F47" s="137">
        <f>SUM(F16:F46)</f>
        <v>27349847.827506725</v>
      </c>
      <c r="H47" s="120"/>
    </row>
    <row r="48" spans="2:8">
      <c r="C48" s="114"/>
      <c r="H48" s="120"/>
    </row>
    <row r="49" spans="1:8" ht="13.15">
      <c r="B49" s="119" t="s">
        <v>129</v>
      </c>
      <c r="C49" s="136"/>
      <c r="D49" s="136"/>
      <c r="E49" s="117"/>
      <c r="F49" s="117"/>
      <c r="H49" s="120"/>
    </row>
    <row r="50" spans="1:8" ht="13.15">
      <c r="A50" s="133">
        <f>F47</f>
        <v>27349847.827506725</v>
      </c>
      <c r="B50" s="131">
        <f>C73</f>
        <v>0</v>
      </c>
      <c r="C50" s="131">
        <f>C72</f>
        <v>0.02</v>
      </c>
      <c r="D50" s="131">
        <f>C71</f>
        <v>0.05</v>
      </c>
      <c r="E50" s="131">
        <f>C70</f>
        <v>0.06</v>
      </c>
      <c r="F50" s="131">
        <f>C69</f>
        <v>0.1</v>
      </c>
      <c r="H50" s="120"/>
    </row>
    <row r="51" spans="1:8" ht="13.15">
      <c r="A51" s="143">
        <v>5</v>
      </c>
      <c r="B51" s="123">
        <f t="dataTable" ref="B51:F56" dt2D="1" dtr="1" r1="C11" r2="C12"/>
        <v>18501174.861022703</v>
      </c>
      <c r="C51" s="123">
        <v>19087856.42779104</v>
      </c>
      <c r="D51" s="123">
        <v>20000158.623651642</v>
      </c>
      <c r="E51" s="123">
        <v>20313244.427805513</v>
      </c>
      <c r="F51" s="123">
        <v>21613124.598588306</v>
      </c>
      <c r="H51" s="120"/>
    </row>
    <row r="52" spans="1:8" ht="13.15">
      <c r="A52" s="143">
        <v>10</v>
      </c>
      <c r="B52" s="123">
        <v>18501174.861022703</v>
      </c>
      <c r="C52" s="123">
        <v>19669626.482653454</v>
      </c>
      <c r="D52" s="123">
        <v>21644798.454500198</v>
      </c>
      <c r="E52" s="123">
        <v>22369601.996533599</v>
      </c>
      <c r="F52" s="123">
        <v>25654802.662377108</v>
      </c>
      <c r="H52" s="120"/>
    </row>
    <row r="53" spans="1:8" ht="13.15">
      <c r="A53" s="143">
        <v>15</v>
      </c>
      <c r="B53" s="123">
        <v>18501174.861022703</v>
      </c>
      <c r="C53" s="123">
        <v>20406215.501105711</v>
      </c>
      <c r="D53" s="123">
        <v>23897079.797297493</v>
      </c>
      <c r="E53" s="123">
        <v>25263007.376641762</v>
      </c>
      <c r="F53" s="123">
        <v>32018074.113495264</v>
      </c>
      <c r="H53" s="120"/>
    </row>
    <row r="54" spans="1:8" ht="13.15">
      <c r="A54" s="144">
        <v>20</v>
      </c>
      <c r="B54" s="123">
        <v>18501174.861022703</v>
      </c>
      <c r="C54" s="123">
        <v>21174121.569953155</v>
      </c>
      <c r="D54" s="123">
        <v>26449781.594177119</v>
      </c>
      <c r="E54" s="123">
        <v>28640338.396940276</v>
      </c>
      <c r="F54" s="123">
        <v>40430670.527827792</v>
      </c>
      <c r="H54" s="120"/>
    </row>
    <row r="55" spans="1:8" ht="13.15">
      <c r="A55" s="144">
        <v>25</v>
      </c>
      <c r="B55" s="123">
        <v>18501174.861022707</v>
      </c>
      <c r="C55" s="123">
        <v>21904990.916038103</v>
      </c>
      <c r="D55" s="123">
        <v>29102540.719460815</v>
      </c>
      <c r="E55" s="123">
        <v>32262350.288385209</v>
      </c>
      <c r="F55" s="123">
        <v>50755589.157028548</v>
      </c>
      <c r="H55" s="120"/>
    </row>
    <row r="56" spans="1:8" ht="13.15">
      <c r="A56" s="144">
        <v>30</v>
      </c>
      <c r="B56" s="123">
        <v>18501174.861022707</v>
      </c>
      <c r="C56" s="123">
        <v>22564802.327605199</v>
      </c>
      <c r="D56" s="123">
        <v>31727913.516602039</v>
      </c>
      <c r="E56" s="123">
        <v>35968664.259720266</v>
      </c>
      <c r="F56" s="123">
        <v>62956461.045240805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7.7973333333333352</v>
      </c>
      <c r="C60" s="124">
        <f>C7</f>
        <v>7.7973333333333352</v>
      </c>
      <c r="D60" s="124">
        <f>C7</f>
        <v>7.7973333333333352</v>
      </c>
      <c r="E60" s="141">
        <f>C7</f>
        <v>7.7973333333333352</v>
      </c>
      <c r="F60" s="124">
        <f>C7</f>
        <v>7.7973333333333352</v>
      </c>
      <c r="H60" s="120"/>
    </row>
    <row r="61" spans="1:8" ht="13.15">
      <c r="A61" s="143">
        <f t="shared" ref="A61:A66" si="3">A51</f>
        <v>5</v>
      </c>
      <c r="B61" s="124">
        <f t="shared" ref="B61:F66" si="4">B51/Common_Shares*$C$3*Exchange_Rate</f>
        <v>7.7973333333333352</v>
      </c>
      <c r="C61" s="124">
        <f t="shared" si="4"/>
        <v>8.0445906978508948</v>
      </c>
      <c r="D61" s="124">
        <f t="shared" si="4"/>
        <v>8.4290811086108874</v>
      </c>
      <c r="E61" s="124">
        <f t="shared" si="4"/>
        <v>8.5610313439478603</v>
      </c>
      <c r="F61" s="124">
        <f t="shared" si="4"/>
        <v>9.1088667685152398</v>
      </c>
      <c r="H61" s="120"/>
    </row>
    <row r="62" spans="1:8" ht="13.15">
      <c r="A62" s="143">
        <f t="shared" si="3"/>
        <v>10</v>
      </c>
      <c r="B62" s="124">
        <f t="shared" si="4"/>
        <v>7.7973333333333352</v>
      </c>
      <c r="C62" s="124">
        <f t="shared" si="4"/>
        <v>8.2897781021746386</v>
      </c>
      <c r="D62" s="124">
        <f t="shared" si="4"/>
        <v>9.1222157376673199</v>
      </c>
      <c r="E62" s="124">
        <f t="shared" si="4"/>
        <v>9.4276847071175478</v>
      </c>
      <c r="F62" s="124">
        <f t="shared" si="4"/>
        <v>10.812234869520289</v>
      </c>
      <c r="H62" s="120"/>
    </row>
    <row r="63" spans="1:8" ht="13.15">
      <c r="A63" s="143">
        <f t="shared" si="3"/>
        <v>15</v>
      </c>
      <c r="B63" s="124">
        <f t="shared" si="4"/>
        <v>7.7973333333333352</v>
      </c>
      <c r="C63" s="124">
        <f t="shared" si="4"/>
        <v>8.6002140690626128</v>
      </c>
      <c r="D63" s="124">
        <f t="shared" si="4"/>
        <v>10.071441315078426</v>
      </c>
      <c r="E63" s="124">
        <f t="shared" si="4"/>
        <v>10.647112467064479</v>
      </c>
      <c r="F63" s="124">
        <f t="shared" si="4"/>
        <v>13.494040158512043</v>
      </c>
      <c r="H63" s="120"/>
    </row>
    <row r="64" spans="1:8" ht="13.15">
      <c r="A64" s="144">
        <f t="shared" si="3"/>
        <v>20</v>
      </c>
      <c r="B64" s="124">
        <f t="shared" si="4"/>
        <v>7.7973333333333352</v>
      </c>
      <c r="C64" s="124">
        <f t="shared" si="4"/>
        <v>8.9238486291633077</v>
      </c>
      <c r="D64" s="124">
        <f t="shared" si="4"/>
        <v>11.147279307010637</v>
      </c>
      <c r="E64" s="124">
        <f t="shared" si="4"/>
        <v>12.070491033025377</v>
      </c>
      <c r="F64" s="124">
        <f t="shared" si="4"/>
        <v>17.039534914066692</v>
      </c>
      <c r="H64" s="120"/>
    </row>
    <row r="65" spans="1:8" ht="13.15">
      <c r="A65" s="144">
        <f t="shared" si="3"/>
        <v>25</v>
      </c>
      <c r="B65" s="124">
        <f t="shared" si="4"/>
        <v>7.7973333333333379</v>
      </c>
      <c r="C65" s="124">
        <f t="shared" si="4"/>
        <v>9.2318740360549381</v>
      </c>
      <c r="D65" s="124">
        <f t="shared" si="4"/>
        <v>12.265286531322413</v>
      </c>
      <c r="E65" s="124">
        <f t="shared" si="4"/>
        <v>13.596990526546307</v>
      </c>
      <c r="F65" s="124">
        <f t="shared" si="4"/>
        <v>21.390979230234361</v>
      </c>
    </row>
    <row r="66" spans="1:8" ht="13.15">
      <c r="A66" s="144">
        <f t="shared" si="3"/>
        <v>30</v>
      </c>
      <c r="B66" s="124">
        <f t="shared" si="4"/>
        <v>7.7973333333333379</v>
      </c>
      <c r="C66" s="124">
        <f t="shared" si="4"/>
        <v>9.5099520257919341</v>
      </c>
      <c r="D66" s="124">
        <f t="shared" si="4"/>
        <v>13.371751768116797</v>
      </c>
      <c r="E66" s="124">
        <f t="shared" si="4"/>
        <v>15.15901919172981</v>
      </c>
      <c r="F66" s="124">
        <f t="shared" si="4"/>
        <v>26.533045384644421</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30</v>
      </c>
      <c r="E69" s="135">
        <f>INDEX(B$60:F$66, MATCH(D69, A$60:A$66, 0), MATCH(C69, B$59:F$59, 0))</f>
        <v>26.533045384644421</v>
      </c>
      <c r="F69" s="142">
        <f>Scenarios!C58</f>
        <v>0.05</v>
      </c>
    </row>
    <row r="70" spans="1:8">
      <c r="B70" s="127" t="str">
        <f>Scenarios!B36</f>
        <v>Optimistic</v>
      </c>
      <c r="C70" s="142">
        <f>Scenarios!C38</f>
        <v>0.06</v>
      </c>
      <c r="D70" s="145">
        <f>Scenarios!C37</f>
        <v>20</v>
      </c>
      <c r="E70" s="135">
        <f>INDEX(B$60:F$66, MATCH(D70, A$60:A$66, 0), MATCH(C70, B$59:F$59, 0))</f>
        <v>12.070491033025377</v>
      </c>
      <c r="F70" s="142">
        <f>Scenarios!C40*(1-F$69-F$73)</f>
        <v>0.22499999999999992</v>
      </c>
      <c r="H70" s="120"/>
    </row>
    <row r="71" spans="1:8">
      <c r="B71" s="127" t="str">
        <f>Scenarios!B24</f>
        <v>Base</v>
      </c>
      <c r="C71" s="142">
        <f>Scenarios!C26</f>
        <v>0.05</v>
      </c>
      <c r="D71" s="145">
        <f>Scenarios!C25</f>
        <v>20</v>
      </c>
      <c r="E71" s="135">
        <f>INDEX(B$60:F$66, MATCH(D71, A$60:A$66, 0), MATCH(C71, B$59:F$59, 0))</f>
        <v>11.147279307010637</v>
      </c>
      <c r="F71" s="142">
        <f>Scenarios!C28*(1-F$69-F$73)</f>
        <v>0.495</v>
      </c>
      <c r="H71" s="120"/>
    </row>
    <row r="72" spans="1:8">
      <c r="B72" s="127" t="str">
        <f>Scenarios!B30</f>
        <v>Pessimistic</v>
      </c>
      <c r="C72" s="142">
        <f>Scenarios!C32</f>
        <v>0.02</v>
      </c>
      <c r="D72" s="145">
        <f>Scenarios!C31</f>
        <v>20</v>
      </c>
      <c r="E72" s="135">
        <f>INDEX(B$60:F$66, MATCH(D72, A$60:A$66, 0), MATCH(C72, B$59:F$59, 0))</f>
        <v>8.9238486291633077</v>
      </c>
      <c r="F72" s="142">
        <f>Scenarios!C34*(1-F$69-F$73)</f>
        <v>0.18</v>
      </c>
      <c r="H72" s="120"/>
    </row>
    <row r="73" spans="1:8">
      <c r="B73" s="127" t="str">
        <f>Scenarios!B48</f>
        <v>Devil's advocate</v>
      </c>
      <c r="C73" s="142">
        <f>Scenarios!C50</f>
        <v>0</v>
      </c>
      <c r="D73" s="145">
        <f>Scenarios!C49</f>
        <v>30</v>
      </c>
      <c r="E73" s="135">
        <f>INDEX(B$60:F$66, MATCH(D73, A$60:A$66, 0), MATCH(C73, B$59:F$59, 0))</f>
        <v>7.7973333333333379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-14.88</v>
      </c>
    </row>
    <row r="4" spans="2:9">
      <c r="B4" s="152" t="s">
        <v>146</v>
      </c>
      <c r="C4" s="120">
        <v>3</v>
      </c>
      <c r="D4" s="120"/>
      <c r="E4" s="155" t="s">
        <v>150</v>
      </c>
      <c r="F4" s="155"/>
      <c r="H4" s="247">
        <v>1</v>
      </c>
      <c r="I4" s="124">
        <f t="shared" ref="I4:I13" si="0">IF(ROW()-3 &lt; $C$76, $C$77, IF(ROW()-3 = $C$76, $C$77 + $C$60, ""))</f>
        <v>0.53682653926473056</v>
      </c>
    </row>
    <row r="5" spans="2:9">
      <c r="H5" s="247">
        <v>2</v>
      </c>
      <c r="I5" s="124">
        <f t="shared" si="0"/>
        <v>0.53682653926473056</v>
      </c>
    </row>
    <row r="6" spans="2:9" ht="13.15">
      <c r="B6" s="159" t="s">
        <v>95</v>
      </c>
      <c r="C6" s="107">
        <f>DCF!C3</f>
        <v>1000</v>
      </c>
      <c r="E6" s="100" t="s">
        <v>279</v>
      </c>
      <c r="F6" s="100"/>
      <c r="H6" s="247">
        <v>3</v>
      </c>
      <c r="I6" s="124">
        <f t="shared" si="0"/>
        <v>26.055880458947914</v>
      </c>
    </row>
    <row r="7" spans="2:9" ht="12.75" customHeight="1">
      <c r="B7" s="100" t="s">
        <v>275</v>
      </c>
      <c r="C7" s="338">
        <f>Normalized_FCF!G8</f>
        <v>3529289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6"/>
      <c r="H7" s="247">
        <v>4</v>
      </c>
      <c r="I7" s="124" t="str">
        <f t="shared" si="0"/>
        <v/>
      </c>
    </row>
    <row r="8" spans="2:9">
      <c r="B8" s="100" t="s">
        <v>66</v>
      </c>
      <c r="C8" s="338">
        <f>Normalized_FCF!G19</f>
        <v>2532236.6968476889</v>
      </c>
      <c r="D8" t="str">
        <f>Reporting_currency</f>
        <v>CNY</v>
      </c>
      <c r="E8" s="366"/>
      <c r="F8" s="366"/>
      <c r="H8" s="247">
        <v>5</v>
      </c>
      <c r="I8" s="124" t="str">
        <f t="shared" si="0"/>
        <v/>
      </c>
    </row>
    <row r="9" spans="2:9">
      <c r="B9" s="100" t="s">
        <v>57</v>
      </c>
      <c r="C9" s="338">
        <f>Normalized_FCF!C19</f>
        <v>2419761.2600623672</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8.3043513409933434E-2</v>
      </c>
      <c r="D12" s="158"/>
      <c r="E12" s="366"/>
      <c r="F12" s="366"/>
      <c r="H12" s="247">
        <v>9</v>
      </c>
      <c r="I12" s="124" t="str">
        <f t="shared" si="0"/>
        <v/>
      </c>
    </row>
    <row r="13" spans="2:9">
      <c r="B13" s="148" t="s">
        <v>152</v>
      </c>
      <c r="C13" s="158">
        <f ca="1">(Normalized_FCF!G8/OFFSET(Normalized_FCF!G8, 0, $C$4))^(1/$C$4) - 1</f>
        <v>-9.2379152048964186E-2</v>
      </c>
      <c r="E13" s="366"/>
      <c r="F13" s="366"/>
      <c r="H13" s="247">
        <v>10</v>
      </c>
      <c r="I13" s="124" t="str">
        <f t="shared" si="0"/>
        <v/>
      </c>
    </row>
    <row r="14" spans="2:9">
      <c r="B14" s="100" t="s">
        <v>66</v>
      </c>
      <c r="C14" s="158">
        <f ca="1">(Normalized_FCF!G19/OFFSET(Normalized_FCF!G19, 0, $C$4))^(1/$C$4) - 1</f>
        <v>-0.10082907023050747</v>
      </c>
      <c r="E14" s="366"/>
      <c r="F14" s="366"/>
    </row>
    <row r="16" spans="2:9" ht="13.9">
      <c r="B16" s="36" t="s">
        <v>162</v>
      </c>
      <c r="C16" s="37"/>
      <c r="D16" s="37"/>
      <c r="E16" s="37"/>
      <c r="F16" s="37"/>
    </row>
    <row r="17" spans="2:6" ht="13.15">
      <c r="B17" s="109" t="s">
        <v>151</v>
      </c>
      <c r="E17" s="159" t="s">
        <v>329</v>
      </c>
    </row>
    <row r="18" spans="2:6">
      <c r="B18" s="152" t="s">
        <v>133</v>
      </c>
      <c r="C18" s="150">
        <v>20</v>
      </c>
      <c r="E18" s="366" t="s">
        <v>330</v>
      </c>
      <c r="F18" s="367"/>
    </row>
    <row r="19" spans="2:6">
      <c r="E19" s="367"/>
      <c r="F19" s="367"/>
    </row>
    <row r="20" spans="2:6" ht="13.15">
      <c r="B20" s="159" t="s">
        <v>303</v>
      </c>
      <c r="E20" s="367"/>
      <c r="F20" s="367"/>
    </row>
    <row r="21" spans="2:6">
      <c r="B21" s="100" t="s">
        <v>277</v>
      </c>
      <c r="C21" s="160">
        <f>Market_Price</f>
        <v>14.88</v>
      </c>
      <c r="D21" t="str">
        <f>Market_currency</f>
        <v>HKD</v>
      </c>
      <c r="E21" s="367"/>
      <c r="F21" s="367"/>
    </row>
    <row r="22" spans="2:6">
      <c r="B22" s="100" t="s">
        <v>278</v>
      </c>
      <c r="C22" s="160">
        <f>IF(valuation_method="DCF",DCF!C12,DDM!C7)</f>
        <v>18.963456985953222</v>
      </c>
      <c r="D22" t="str">
        <f>Market_currency</f>
        <v>HKD</v>
      </c>
      <c r="E22" s="367"/>
      <c r="F22" s="367"/>
    </row>
    <row r="24" spans="2:6" ht="13.15">
      <c r="B24" s="159" t="s">
        <v>115</v>
      </c>
      <c r="E24" s="159" t="s">
        <v>149</v>
      </c>
      <c r="F24" s="159"/>
    </row>
    <row r="25" spans="2:6">
      <c r="B25" s="152" t="s">
        <v>133</v>
      </c>
      <c r="C25" s="166">
        <f>C18</f>
        <v>20</v>
      </c>
      <c r="D25" s="163"/>
      <c r="E25" s="365"/>
      <c r="F25" s="365"/>
    </row>
    <row r="26" spans="2:6">
      <c r="B26" s="118" t="s">
        <v>134</v>
      </c>
      <c r="C26" s="164">
        <v>0.05</v>
      </c>
      <c r="D26" s="164"/>
      <c r="E26" s="365"/>
      <c r="F26" s="365"/>
    </row>
    <row r="27" spans="2:6">
      <c r="B27" s="100" t="s">
        <v>113</v>
      </c>
      <c r="C27" s="160">
        <f>IF(valuation_method="DCF",DCF!E76,DDM!E71)</f>
        <v>24.805298239313249</v>
      </c>
      <c r="D27" s="160" t="str">
        <f>Market_currency</f>
        <v>HKD</v>
      </c>
      <c r="E27" s="365"/>
      <c r="F27" s="365"/>
    </row>
    <row r="28" spans="2:6">
      <c r="B28" s="100" t="s">
        <v>147</v>
      </c>
      <c r="C28" s="165">
        <v>0.55000000000000004</v>
      </c>
      <c r="D28" s="165"/>
      <c r="E28" s="365"/>
      <c r="F28" s="365"/>
    </row>
    <row r="30" spans="2:6" ht="13.15">
      <c r="B30" s="159" t="s">
        <v>116</v>
      </c>
      <c r="E30" s="159" t="s">
        <v>149</v>
      </c>
      <c r="F30" s="159"/>
    </row>
    <row r="31" spans="2:6">
      <c r="B31" s="152" t="s">
        <v>133</v>
      </c>
      <c r="C31" s="166">
        <f>C18</f>
        <v>20</v>
      </c>
      <c r="D31" s="163"/>
      <c r="E31" s="365"/>
      <c r="F31" s="365"/>
    </row>
    <row r="32" spans="2:6">
      <c r="B32" s="118" t="s">
        <v>134</v>
      </c>
      <c r="C32" s="164">
        <v>0.02</v>
      </c>
      <c r="D32" s="164"/>
      <c r="E32" s="365"/>
      <c r="F32" s="365"/>
    </row>
    <row r="33" spans="2:6">
      <c r="B33" s="100" t="s">
        <v>113</v>
      </c>
      <c r="C33" s="160">
        <f>IF(valuation_method="DCF",DCF!E77,DDM!E72)</f>
        <v>20.927943452132435</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20</v>
      </c>
      <c r="D37" s="163"/>
      <c r="E37" s="365"/>
      <c r="F37" s="365"/>
    </row>
    <row r="38" spans="2:6">
      <c r="B38" s="118" t="s">
        <v>134</v>
      </c>
      <c r="C38" s="164">
        <v>0.06</v>
      </c>
      <c r="D38" s="164"/>
      <c r="E38" s="365"/>
      <c r="F38" s="365"/>
    </row>
    <row r="39" spans="2:6">
      <c r="B39" s="100" t="s">
        <v>113</v>
      </c>
      <c r="C39" s="160">
        <f>IF(valuation_method="DCF",DCF!E75,DDM!E70)</f>
        <v>26.415251471095772</v>
      </c>
      <c r="D39" t="str">
        <f>Market_currency</f>
        <v>HKD</v>
      </c>
      <c r="E39" s="365"/>
      <c r="F39" s="365"/>
    </row>
    <row r="40" spans="2:6">
      <c r="B40" s="100" t="s">
        <v>147</v>
      </c>
      <c r="C40" s="167">
        <f>1-C28-C34</f>
        <v>0.24999999999999994</v>
      </c>
      <c r="D40" s="165"/>
      <c r="E40" s="365"/>
      <c r="F40" s="365"/>
    </row>
    <row r="42" spans="2:6" ht="13.15">
      <c r="B42" s="100" t="s">
        <v>120</v>
      </c>
      <c r="C42" s="154">
        <f>C27*C28+C33*C34+C39*C40</f>
        <v>24.432315589822714</v>
      </c>
      <c r="D42" t="str">
        <f>Market_currency</f>
        <v>HKD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18.963456985953218</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0.1</v>
      </c>
      <c r="D56" s="164"/>
      <c r="E56" s="365"/>
      <c r="F56" s="365"/>
    </row>
    <row r="57" spans="2:6">
      <c r="B57" s="100" t="s">
        <v>113</v>
      </c>
      <c r="C57" s="160">
        <f>IF(valuation_method="DCF",DCF!E74,DDM!E69)</f>
        <v>51.635940790901614</v>
      </c>
      <c r="D57" t="str">
        <f>Market_currency</f>
        <v>HKD</v>
      </c>
      <c r="E57" s="365"/>
      <c r="F57" s="365"/>
    </row>
    <row r="58" spans="2:6">
      <c r="B58" s="100" t="s">
        <v>147</v>
      </c>
      <c r="C58" s="165">
        <v>0.05</v>
      </c>
      <c r="D58" s="165"/>
      <c r="E58" s="365"/>
      <c r="F58" s="365"/>
    </row>
    <row r="60" spans="2:6" ht="13.15">
      <c r="B60" s="100" t="s">
        <v>120</v>
      </c>
      <c r="C60" s="154">
        <f>C51*C52+C57*C58+C42*(1-C52-C58)</f>
        <v>25.519053919683184</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20</v>
      </c>
      <c r="D64" s="150"/>
      <c r="E64" s="251" t="s">
        <v>395</v>
      </c>
    </row>
    <row r="65" spans="2:6">
      <c r="B65" s="118" t="s">
        <v>134</v>
      </c>
      <c r="C65" s="151">
        <v>5.4247061515052201E-2</v>
      </c>
      <c r="D65" s="151"/>
      <c r="E65" s="251" t="s">
        <v>312</v>
      </c>
    </row>
    <row r="66" spans="2:6">
      <c r="B66" s="100" t="s">
        <v>102</v>
      </c>
      <c r="C66" s="160">
        <f>IF(valuation_method="DCF",DCF!C18,DDM!C13)</f>
        <v>25.466803359536321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0.21027381724849559</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0.53682653926473056</v>
      </c>
      <c r="D77" t="str">
        <f>Market_currency</f>
        <v>HKD</v>
      </c>
    </row>
    <row r="79" spans="2:6" ht="13.15">
      <c r="B79" s="109" t="s">
        <v>301</v>
      </c>
    </row>
    <row r="80" spans="2:6">
      <c r="B80" s="148" t="s">
        <v>299</v>
      </c>
      <c r="C80" s="167">
        <f>Thesis!F29</f>
        <v>0.3674</v>
      </c>
    </row>
    <row r="81" spans="2:8">
      <c r="B81" s="100" t="s">
        <v>121</v>
      </c>
      <c r="C81" s="116">
        <f>PV(C80, C76, -C77, 0)</f>
        <v>0.88966078507885993</v>
      </c>
      <c r="D81" s="116"/>
      <c r="E81" s="100"/>
      <c r="F81" s="100"/>
    </row>
    <row r="82" spans="2:8">
      <c r="B82" s="100" t="s">
        <v>122</v>
      </c>
      <c r="C82" s="116">
        <f>C60/(1+C80)^C76</f>
        <v>9.9810870394859474</v>
      </c>
      <c r="D82" s="116"/>
    </row>
    <row r="83" spans="2:8" ht="13.15">
      <c r="B83" s="110" t="s">
        <v>101</v>
      </c>
      <c r="C83" s="111">
        <f>C81+C82</f>
        <v>10.870747824564807</v>
      </c>
      <c r="D83" t="str">
        <f>Market_currency</f>
        <v>HKD</v>
      </c>
      <c r="E83" s="146" t="s">
        <v>126</v>
      </c>
      <c r="F83" s="291">
        <f>(1-C83/C60)</f>
        <v>0.57401446547436241</v>
      </c>
    </row>
    <row r="84" spans="2:8">
      <c r="E84" s="120"/>
    </row>
    <row r="85" spans="2:8" ht="13.15">
      <c r="B85" s="109" t="s">
        <v>302</v>
      </c>
    </row>
    <row r="86" spans="2:8">
      <c r="B86" s="148" t="s">
        <v>300</v>
      </c>
      <c r="C86" s="116">
        <f>Market_Price</f>
        <v>14.88</v>
      </c>
      <c r="D86" t="str">
        <f>Market_currency</f>
        <v>HKD</v>
      </c>
    </row>
    <row r="87" spans="2:8" ht="13.15">
      <c r="B87" s="100" t="s">
        <v>298</v>
      </c>
      <c r="C87" s="237">
        <f ca="1">IRR(OFFSET($I$3, 0, 0, $C$76 + 1, 1))</f>
        <v>0.22753818318669206</v>
      </c>
    </row>
    <row r="88" spans="2:8">
      <c r="B88" s="100"/>
    </row>
    <row r="89" spans="2:8" ht="13.15">
      <c r="B89" s="109" t="s">
        <v>412</v>
      </c>
    </row>
    <row r="90" spans="2:8">
      <c r="B90" s="148" t="s">
        <v>413</v>
      </c>
      <c r="C90" s="167">
        <f>Thesis!F30</f>
        <v>0.21740000000000001</v>
      </c>
    </row>
    <row r="91" spans="2:8">
      <c r="B91" s="100" t="s">
        <v>121</v>
      </c>
      <c r="C91" s="116">
        <f>PV(C90, C76, -C77, 0)</f>
        <v>1.1007095783809664</v>
      </c>
      <c r="D91" s="116"/>
      <c r="E91" s="100"/>
      <c r="F91" s="100"/>
    </row>
    <row r="92" spans="2:8">
      <c r="B92" s="100" t="s">
        <v>122</v>
      </c>
      <c r="C92" s="116">
        <f>C60/(1+C90)^C76</f>
        <v>14.143753451696359</v>
      </c>
      <c r="D92" s="116"/>
    </row>
    <row r="93" spans="2:8" ht="13.15">
      <c r="B93" s="110" t="s">
        <v>101</v>
      </c>
      <c r="C93" s="111">
        <f>C91+C92</f>
        <v>15.244463030077325</v>
      </c>
      <c r="D93" t="str">
        <f>Market_currency</f>
        <v>HKD</v>
      </c>
      <c r="E93" s="146" t="s">
        <v>126</v>
      </c>
      <c r="F93" s="291">
        <f>(1-C93/C60)</f>
        <v>0.40262428701092756</v>
      </c>
    </row>
    <row r="95" spans="2:8" ht="13.15">
      <c r="B95" s="109" t="s">
        <v>397</v>
      </c>
      <c r="G95" s="2"/>
      <c r="H95" s="281"/>
    </row>
    <row r="96" spans="2:8">
      <c r="B96" s="148" t="s">
        <v>403</v>
      </c>
      <c r="C96" s="134">
        <f>Thesis!F31</f>
        <v>7.4999999999999997E-2</v>
      </c>
      <c r="G96" s="2"/>
      <c r="H96" s="281"/>
    </row>
    <row r="97" spans="2:8">
      <c r="B97" s="100" t="s">
        <v>121</v>
      </c>
      <c r="C97" s="116">
        <f>PV(C96, C76, -C77, 0)</f>
        <v>1.3960312332043172</v>
      </c>
      <c r="D97" s="116"/>
      <c r="G97" s="2"/>
      <c r="H97" s="281"/>
    </row>
    <row r="98" spans="2:8">
      <c r="B98" s="100" t="s">
        <v>122</v>
      </c>
      <c r="C98" s="116">
        <f>C60/(1+C96)^C76</f>
        <v>20.541832176534442</v>
      </c>
      <c r="D98" s="116"/>
      <c r="G98" s="2"/>
      <c r="H98" s="281"/>
    </row>
    <row r="99" spans="2:8" ht="13.15">
      <c r="B99" s="110" t="s">
        <v>398</v>
      </c>
      <c r="C99" s="111">
        <f>C97+C98</f>
        <v>21.93786340973876</v>
      </c>
      <c r="D99" t="s">
        <v>396</v>
      </c>
      <c r="E99" s="146" t="s">
        <v>126</v>
      </c>
      <c r="F99" s="291">
        <f>(1-C99/C60)</f>
        <v>0.1403339842149165</v>
      </c>
    </row>
    <row r="100" spans="2:8">
      <c r="B100" s="100"/>
    </row>
    <row r="101" spans="2:8" ht="13.15">
      <c r="B101" s="109" t="s">
        <v>422</v>
      </c>
    </row>
    <row r="102" spans="2:8">
      <c r="B102" s="148" t="s">
        <v>421</v>
      </c>
      <c r="C102" s="134">
        <f>Thesis!F32</f>
        <v>0.1174</v>
      </c>
    </row>
    <row r="103" spans="2:8">
      <c r="B103" s="100" t="s">
        <v>121</v>
      </c>
      <c r="C103" s="116">
        <f>PV(C102, C76, -C77, 0)</f>
        <v>1.2951493867169159</v>
      </c>
      <c r="D103" s="116"/>
    </row>
    <row r="104" spans="2:8">
      <c r="B104" s="100" t="s">
        <v>122</v>
      </c>
      <c r="C104" s="116">
        <f>C60/(1+C102)^C76</f>
        <v>18.291047116838058</v>
      </c>
      <c r="D104" s="116"/>
    </row>
    <row r="105" spans="2:8" ht="13.15">
      <c r="B105" s="110" t="s">
        <v>398</v>
      </c>
      <c r="C105" s="111">
        <f>C103+C104</f>
        <v>19.586196503554973</v>
      </c>
      <c r="D105" t="s">
        <v>396</v>
      </c>
      <c r="E105" s="146" t="s">
        <v>126</v>
      </c>
      <c r="F105" s="291">
        <f>(1-C105/C66)</f>
        <v>0.23091264235090159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