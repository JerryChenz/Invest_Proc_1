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711904-9317-4968-AA19-FF167B11B12D}"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<sst xmlns="http://schemas.openxmlformats.org/spreadsheetml/2006/main" count="685" uniqueCount="466">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</sst>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15.42</v>
      </c>
      <c r="D12" s="50"/>
      <c r="E12" s="48"/>
    </row>
    <row r="13" spans="1:10">
      <c r="B13" s="1" t="s">
        <v>416</v>
      </c>
      <c r="C13" s="48" t="s">
        <v>396</v>
      </c>
      <c r="D13" s="48"/>
      <c r="E13" s="5"/>
    </row>
    <row r="14" spans="1:10">
      <c r="B14" s="4" t="s">
        <v>420</v>
      </c>
      <c r="C14" s="35">
        <f>Thesis!C12*Common_Shares/1000000</f>
        <v>39857.583710519997</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1.0928781500000002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25.60155769482315</v>
      </c>
      <c r="D26" s="1" t="s">
        <v>399</v>
      </c>
      <c r="E26" s="301">
        <f ca="1">Scenarios!C87</f>
        <v>0.21378315122061653</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10.900156986932091</v>
      </c>
      <c r="D29" s="310" t="str">
        <f>D149</f>
        <v/>
      </c>
      <c r="E29" s="306" t="s">
        <v>424</v>
      </c>
      <c r="F29" s="302">
        <v>0.3674</v>
      </c>
    </row>
    <row r="30" spans="2:6">
      <c r="B30" s="1" t="s">
        <v>426</v>
      </c>
      <c r="C30" s="311">
        <f>C157</f>
        <v>15.286651753077706</v>
      </c>
      <c r="D30" s="311" t="str">
        <f>D157</f>
        <v/>
      </c>
      <c r="E30" s="307" t="s">
        <v>437</v>
      </c>
      <c r="F30" s="312">
        <v>0.21740000000000001</v>
      </c>
    </row>
    <row r="31" spans="2:6">
      <c r="B31" s="1" t="s">
        <v>427</v>
      </c>
      <c r="C31" s="311">
        <f>C165</f>
        <v>21.999787931935927</v>
      </c>
      <c r="D31" s="311" t="str">
        <f>D165</f>
        <v/>
      </c>
      <c r="E31" s="307" t="s">
        <v>436</v>
      </c>
      <c r="F31" s="312">
        <v>7.4999999999999997E-2</v>
      </c>
    </row>
    <row r="32" spans="2:6">
      <c r="B32" s="1" t="s">
        <v>428</v>
      </c>
      <c r="C32" s="311">
        <f>C173</f>
        <v>19.641168478905442</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3205414.6239021346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179409.3</v>
      </c>
      <c r="D48" s="1" t="str">
        <f>Reporting_currency</f>
        <v>CNY</v>
      </c>
    </row>
    <row r="50" spans="2:6">
      <c r="B50" s="357" t="s">
        <v>240</v>
      </c>
      <c r="C50" s="357"/>
      <c r="D50" s="357"/>
      <c r="E50" s="357"/>
      <c r="F50" s="357"/>
    </row>
    <row r="51" spans="2:6">
      <c r="B51" s="47" t="s">
        <v>340</v>
      </c>
      <c r="C51" s="350">
        <f>Normalized_FCF!C48</f>
        <v>95927.842938855174</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-158493.15706114483</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-806582.69171024743</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2532219.1169388555</v>
      </c>
      <c r="D67" s="1" t="str">
        <f>Reporting_currency</f>
        <v>CNY</v>
      </c>
    </row>
    <row r="68" spans="1:6">
      <c r="B68" s="47" t="s">
        <v>248</v>
      </c>
      <c r="C68" s="349">
        <f>Normalized_FCF!C19</f>
        <v>2419748.075130742</v>
      </c>
      <c r="D68" s="1" t="str">
        <f>Reporting_currency</f>
        <v>CNY</v>
      </c>
    </row>
    <row r="69" spans="1:6">
      <c r="B69" s="227" t="s">
        <v>390</v>
      </c>
      <c r="C69" s="92">
        <f>Normalized_FCF!C125</f>
        <v>6.6348472577301809E-2</v>
      </c>
      <c r="F69" s="314"/>
    </row>
    <row r="70" spans="1:6">
      <c r="B70" s="227" t="s">
        <v>308</v>
      </c>
      <c r="C70" s="92">
        <f>Normalized_FCF!C93</f>
        <v>3.4701739642291569E-2</v>
      </c>
      <c r="E70" s="47" t="s">
        <v>448</v>
      </c>
      <c r="F70" s="315">
        <f>Normalized_FCF!C92</f>
        <v>0.5715997904528034</v>
      </c>
    </row>
    <row r="72" spans="1:6">
      <c r="B72" s="210" t="s">
        <v>451</v>
      </c>
      <c r="C72" s="323" t="s">
        <v>453</v>
      </c>
      <c r="D72" s="323" t="s">
        <v>454</v>
      </c>
    </row>
    <row r="73" spans="1:6">
      <c r="B73" s="47" t="s">
        <v>452</v>
      </c>
      <c r="C73" s="92">
        <f>Normalized_FCF!C120</f>
        <v>0.12359673634025405</v>
      </c>
      <c r="D73" s="92">
        <f>Normalized_FCF!G120</f>
        <v>0.13901905270702755</v>
      </c>
    </row>
    <row r="74" spans="1:6">
      <c r="B74" s="259" t="str">
        <f>Normalized_FCF!B117</f>
        <v>Pre-tax Profit/Sales</v>
      </c>
      <c r="C74" s="322">
        <f>Normalized_FCF!C117</f>
        <v>0.12331913977859717</v>
      </c>
      <c r="D74" s="322">
        <f>Normalized_FCF!G117</f>
        <v>0.12655026138171882</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13.641245961893251</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1936137</v>
      </c>
      <c r="D102" s="1" t="str">
        <f>Reporting_currency</f>
        <v>CNY</v>
      </c>
    </row>
    <row r="103" spans="2:6">
      <c r="B103" s="47" t="s">
        <v>281</v>
      </c>
      <c r="C103" s="223">
        <f>C102*scaling_factor*Exchange_Rate/Common_Shares</f>
        <v>0.81861789573368304</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14107494.271868138</v>
      </c>
      <c r="D109" s="1" t="str">
        <f>Reporting_currency</f>
        <v>CNY</v>
      </c>
    </row>
    <row r="110" spans="2:6">
      <c r="B110" s="47" t="s">
        <v>282</v>
      </c>
      <c r="C110" s="223">
        <f>C109*scaling_factor*Exchange_Rate/Common_Shares</f>
        <v>5.9647882742345617</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0.23743828699443018</v>
      </c>
      <c r="D114" s="1" t="str">
        <f>Market_currency</f>
        <v>HKD</v>
      </c>
    </row>
    <row r="116" spans="1:6" ht="24.5" customHeight="1">
      <c r="B116" s="356" t="s">
        <v>366</v>
      </c>
      <c r="C116" s="356"/>
      <c r="D116" s="356"/>
      <c r="E116" s="356"/>
      <c r="F116" s="356"/>
    </row>
    <row r="118" spans="1:6">
      <c r="B118" s="47" t="s">
        <v>449</v>
      </c>
      <c r="C118" s="223">
        <f>IF(valuation_method="DCF",DCF!C12,DDM!C7)</f>
        <v>19.024854627388557</v>
      </c>
      <c r="D118" s="1" t="str">
        <f>Market_currency</f>
        <v>HKD</v>
      </c>
    </row>
    <row r="119" spans="1:6">
      <c r="B119" s="296" t="s">
        <v>405</v>
      </c>
      <c r="C119" s="223">
        <f>BS!D47</f>
        <v>4.6073633313664786</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51.8 HKD</v>
      </c>
      <c r="F126" s="232">
        <f>DCF!F74</f>
        <v>0.05</v>
      </c>
    </row>
    <row r="127" spans="1:6">
      <c r="B127" s="218" t="str">
        <f>DCF!B75</f>
        <v>Optimistic</v>
      </c>
      <c r="C127" s="219">
        <f>DCF!C75</f>
        <v>0.06</v>
      </c>
      <c r="D127" s="220">
        <f>DCF!D75</f>
        <v>20</v>
      </c>
      <c r="E127" s="231" t="str">
        <f>ROUND(IF(valuation_method="DCF",DCF!E75,DDM!E70),2)&amp;" "&amp;Market_currency</f>
        <v>26.5 HKD</v>
      </c>
      <c r="F127" s="221">
        <f>DCF!F75</f>
        <v>0.22499999999999992</v>
      </c>
    </row>
    <row r="128" spans="1:6">
      <c r="B128" s="218" t="str">
        <f>DCF!B76</f>
        <v>Base</v>
      </c>
      <c r="C128" s="219">
        <f>DCF!C76</f>
        <v>0.05</v>
      </c>
      <c r="D128" s="220">
        <f>DCF!D76</f>
        <v>20</v>
      </c>
      <c r="E128" s="231" t="str">
        <f>ROUND(IF(valuation_method="DCF",DCF!E76,DDM!E71),2)&amp;" "&amp;Market_currency</f>
        <v>24.89 HKD</v>
      </c>
      <c r="F128" s="221">
        <f>DCF!F76</f>
        <v>0.495</v>
      </c>
    </row>
    <row r="129" spans="1:6">
      <c r="B129" s="218" t="str">
        <f>DCF!B77</f>
        <v>Pessimistic</v>
      </c>
      <c r="C129" s="219">
        <f>DCF!C77</f>
        <v>0.02</v>
      </c>
      <c r="D129" s="220">
        <f>DCF!D77</f>
        <v>20</v>
      </c>
      <c r="E129" s="231" t="str">
        <f>ROUND(IF(valuation_method="DCF",DCF!E77,DDM!E72),2)&amp;" "&amp;Market_currency</f>
        <v>21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258</v>
      </c>
      <c r="C132" s="217">
        <f>Scenarios!C60</f>
        <v>25.60155769482315</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0.53510082528413605</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0.8868008295019616</v>
      </c>
    </row>
    <row r="148" spans="2:4">
      <c r="B148" s="212" t="str">
        <f>"+ PV(Equity Value realized at year "&amp;C141&amp;")"</f>
        <v>+ PV(Equity Value realized at year 3)</v>
      </c>
      <c r="C148" s="216">
        <f>Scenarios!C82</f>
        <v>10.013356157430129</v>
      </c>
    </row>
    <row r="149" spans="2:4">
      <c r="B149" s="80" t="s">
        <v>260</v>
      </c>
      <c r="C149" s="215">
        <f>Scenarios!C83</f>
        <v>10.900156986932091</v>
      </c>
      <c r="D149" s="300" t="str">
        <f>IF($D$11="","",C149*$E$25)</f>
        <v/>
      </c>
    </row>
    <row r="150" spans="2:4">
      <c r="B150" s="259" t="s">
        <v>416</v>
      </c>
      <c r="C150" s="298" t="str">
        <f>Market_currency</f>
        <v>HKD</v>
      </c>
      <c r="D150" s="298" t="str">
        <f>IF($D$11="","",D$13)</f>
        <v/>
      </c>
    </row>
    <row r="151" spans="2:4">
      <c r="B151" s="214" t="s">
        <v>262</v>
      </c>
      <c r="C151" s="92">
        <f>Scenarios!F83</f>
        <v>0.57423852419979138</v>
      </c>
    </row>
    <row r="153" spans="2:4">
      <c r="B153" s="210" t="s">
        <v>411</v>
      </c>
    </row>
    <row r="154" spans="2:4">
      <c r="B154" s="1" t="s">
        <v>410</v>
      </c>
      <c r="C154" s="297">
        <f>Scenarios!C90</f>
        <v>0.21740000000000001</v>
      </c>
    </row>
    <row r="155" spans="2:4">
      <c r="B155" s="212" t="str">
        <f>"PV("&amp;C141&amp;" yrs of Dividends)"</f>
        <v>PV(3 yrs of Dividends)</v>
      </c>
      <c r="C155" s="216">
        <f>Scenarios!C91</f>
        <v>1.0971711730134002</v>
      </c>
    </row>
    <row r="156" spans="2:4">
      <c r="B156" s="212" t="str">
        <f>"+ PV(Equity Value realized at year "&amp;C141&amp;")"</f>
        <v>+ PV(Equity Value realized at year 3)</v>
      </c>
      <c r="C156" s="216">
        <f>Scenarios!C92</f>
        <v>14.189480580064306</v>
      </c>
    </row>
    <row r="157" spans="2:4">
      <c r="B157" s="80" t="s">
        <v>260</v>
      </c>
      <c r="C157" s="215">
        <f>Scenarios!C93</f>
        <v>15.286651753077706</v>
      </c>
      <c r="D157" s="300" t="str">
        <f>IF($D$11="","",C157*$E$25)</f>
        <v/>
      </c>
    </row>
    <row r="158" spans="2:4">
      <c r="B158" s="259" t="s">
        <v>416</v>
      </c>
      <c r="C158" s="298" t="str">
        <f>Market_currency</f>
        <v>HKD</v>
      </c>
      <c r="D158" s="298" t="str">
        <f>IF($D$11="","",D$13)</f>
        <v/>
      </c>
    </row>
    <row r="159" spans="2:4">
      <c r="B159" s="214" t="s">
        <v>262</v>
      </c>
      <c r="C159" s="92">
        <f>Scenarios!F93</f>
        <v>0.40290149781906448</v>
      </c>
    </row>
    <row r="161" spans="2:4">
      <c r="B161" s="210" t="s">
        <v>400</v>
      </c>
    </row>
    <row r="162" spans="2:4">
      <c r="B162" s="1" t="s">
        <v>409</v>
      </c>
      <c r="C162" s="92">
        <f>Scenarios!C96</f>
        <v>7.4999999999999997E-2</v>
      </c>
    </row>
    <row r="163" spans="2:4">
      <c r="B163" s="212" t="str">
        <f>"PV("&amp;C141&amp;" yrs of Dividends)"</f>
        <v>PV(3 yrs of Dividends)</v>
      </c>
      <c r="C163" s="216">
        <f>Scenarios!C97</f>
        <v>1.3915434695781241</v>
      </c>
    </row>
    <row r="164" spans="2:4">
      <c r="B164" s="212" t="str">
        <f>"+ PV(Equity Value realized at year "&amp;C141&amp;")"</f>
        <v>+ PV(Equity Value realized at year 3)</v>
      </c>
      <c r="C164" s="216">
        <f>Scenarios!C98</f>
        <v>20.608244462357803</v>
      </c>
    </row>
    <row r="165" spans="2:4">
      <c r="B165" s="80" t="s">
        <v>401</v>
      </c>
      <c r="C165" s="215">
        <f>Scenarios!C99</f>
        <v>21.999787931935927</v>
      </c>
      <c r="D165" s="300" t="str">
        <f>IF($D$11="","",C165*$E$25)</f>
        <v/>
      </c>
    </row>
    <row r="166" spans="2:4">
      <c r="B166" s="259" t="s">
        <v>416</v>
      </c>
      <c r="C166" s="298" t="str">
        <f>Market_currency</f>
        <v>HKD</v>
      </c>
      <c r="D166" s="298" t="str">
        <f>IF($D$11="","",D$13)</f>
        <v/>
      </c>
    </row>
    <row r="167" spans="2:4">
      <c r="B167" s="214" t="s">
        <v>262</v>
      </c>
      <c r="C167" s="92">
        <f>Scenarios!F99</f>
        <v>0.14068557100396784</v>
      </c>
    </row>
    <row r="169" spans="2:4">
      <c r="B169" s="210" t="s">
        <v>432</v>
      </c>
    </row>
    <row r="170" spans="2:4">
      <c r="B170" s="1" t="s">
        <v>423</v>
      </c>
      <c r="C170" s="92">
        <f>F32</f>
        <v>0.1174</v>
      </c>
    </row>
    <row r="171" spans="2:4">
      <c r="B171" s="212" t="str">
        <f>"PV("&amp;C141&amp;" yrs of Dividends)"</f>
        <v>PV(3 yrs of Dividends)</v>
      </c>
      <c r="C171" s="216">
        <f>Scenarios!C103</f>
        <v>1.2909859237728576</v>
      </c>
    </row>
    <row r="172" spans="2:4">
      <c r="B172" s="212" t="str">
        <f>"+ PV(Equity Value realized at year "&amp;C141&amp;")"</f>
        <v>+ PV(Equity Value realized at year 3)</v>
      </c>
      <c r="C172" s="216">
        <f>Scenarios!C104</f>
        <v>18.350182555132584</v>
      </c>
    </row>
    <row r="173" spans="2:4">
      <c r="B173" s="80" t="s">
        <v>401</v>
      </c>
      <c r="C173" s="215">
        <f>Scenarios!C105</f>
        <v>19.641168478905442</v>
      </c>
      <c r="D173" s="300" t="str">
        <f>IF($D$11="","",C173*$E$25)</f>
        <v/>
      </c>
    </row>
    <row r="174" spans="2:4">
      <c r="B174" s="259" t="s">
        <v>416</v>
      </c>
      <c r="C174" s="298" t="str">
        <f>Market_currency</f>
        <v>HKD</v>
      </c>
      <c r="D174" s="298" t="str">
        <f>IF($D$11="","",D$13)</f>
        <v/>
      </c>
    </row>
    <row r="175" spans="2:4">
      <c r="B175" s="214" t="s">
        <v>262</v>
      </c>
      <c r="C175" s="92">
        <f>Scenarios!F105</f>
        <v>0.23123951271288279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0.53510082528413605</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0.53510082528413605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11.036898194738539</v>
      </c>
      <c r="D47" s="147">
        <f>D46*H1/Common_Shares*Exchange_Rate</f>
        <v>4.6073633313664786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14107494.271868138</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-2210790.1243911088</v>
      </c>
      <c r="D73" s="349">
        <f>(Normalized_FCF!C25+Normalized_FCF!C35-Normalized_FCF!C91)/12</f>
        <v>-2028346.8640659309</v>
      </c>
      <c r="F73" s="1" t="s">
        <v>351</v>
      </c>
    </row>
    <row r="74" spans="2:6" ht="15" customHeight="1">
      <c r="B74" s="257" t="s">
        <v>321</v>
      </c>
      <c r="C74" s="258">
        <f>-$C$66/C73</f>
        <v>8.2161521347498976</v>
      </c>
      <c r="D74" s="258">
        <f>-$C$66/D73</f>
        <v>8.9551685275312831</v>
      </c>
      <c r="F74" s="253" t="s">
        <v>319</v>
      </c>
    </row>
    <row r="75" spans="2:6" ht="15" customHeight="1">
      <c r="B75" s="80" t="s">
        <v>320</v>
      </c>
      <c r="C75" s="320"/>
      <c r="D75" s="321">
        <f>MAX(-D73*D76,G5)</f>
        <v>4056693.7281318619</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-2115961.8227065504</v>
      </c>
      <c r="D86" s="223">
        <f>C86*scaling_factor/Common_Shares</f>
        <v>-0.81861789573368304</v>
      </c>
      <c r="E86" s="240" t="str">
        <f>Market_currency</f>
        <v>HKD</v>
      </c>
    </row>
    <row r="87" spans="2:8" ht="15" customHeight="1">
      <c r="B87" s="238" t="s">
        <v>287</v>
      </c>
      <c r="C87" s="76">
        <f>DCF!C8*Exchange_Rate</f>
        <v>15417772.240974851</v>
      </c>
      <c r="D87" s="223">
        <f>C87*scaling_factor/Common_Shares</f>
        <v>5.9647882742345626</v>
      </c>
      <c r="E87" s="240" t="str">
        <f>Market_currency</f>
        <v>HKD</v>
      </c>
    </row>
    <row r="88" spans="2:8" ht="15" customHeight="1">
      <c r="B88" s="239" t="s">
        <v>189</v>
      </c>
      <c r="C88" s="76">
        <f>DCF!C9*Exchange_Rate</f>
        <v>613729.98702743009</v>
      </c>
      <c r="D88" s="223">
        <f>C88*scaling_factor/Common_Shares</f>
        <v>0.23743828699443015</v>
      </c>
      <c r="E88" s="240" t="str">
        <f>Market_currency</f>
        <v>HKD</v>
      </c>
    </row>
    <row r="89" spans="2:8" ht="15" customHeight="1">
      <c r="B89" s="80" t="s">
        <v>291</v>
      </c>
      <c r="C89" s="180">
        <f>SUM(C86:C88)</f>
        <v>13915540.405295731</v>
      </c>
      <c r="D89" s="242">
        <f>SUM(D86:D88)</f>
        <v>5.3836086654953093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-158493.15706114483</v>
      </c>
      <c r="E12" s="268"/>
      <c r="G12" s="328">
        <f>G50</f>
        <v>-158493.15706114483</v>
      </c>
      <c r="H12" s="328">
        <f t="shared" ref="H12:Q12" si="6">H50</f>
        <v>-69654.469006224113</v>
      </c>
      <c r="I12" s="328">
        <f t="shared" si="6"/>
        <v>-20563.328571825798</v>
      </c>
      <c r="J12" s="328">
        <f t="shared" si="6"/>
        <v>-80052.803033818593</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3226330.7668409897</v>
      </c>
      <c r="E13" s="268"/>
      <c r="G13" s="329">
        <f>IF(G$4="","",SUM(G8:G12))</f>
        <v>3628910.1169388555</v>
      </c>
      <c r="H13" s="329">
        <f t="shared" ref="H13:Q13" si="7">IF(H$4="","",SUM(H8:H12))</f>
        <v>3325914.8049937761</v>
      </c>
      <c r="I13" s="329">
        <f t="shared" si="7"/>
        <v>4239694.0964281736</v>
      </c>
      <c r="J13" s="329">
        <f t="shared" si="7"/>
        <v>4800542.9509661812</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-806582.69171024743</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2419748.075130742</v>
      </c>
      <c r="D16" s="61"/>
      <c r="E16" s="276"/>
      <c r="F16" s="61"/>
      <c r="G16" s="329">
        <f>IF(G$4="","",SUM(G13:G15))</f>
        <v>2532219.1169388555</v>
      </c>
      <c r="H16" s="329">
        <f t="shared" ref="H16:Q16" si="8">IF(H$4="","",SUM(H13:H15))</f>
        <v>2256655.8049937761</v>
      </c>
      <c r="I16" s="329">
        <f t="shared" si="8"/>
        <v>2888365.0964281736</v>
      </c>
      <c r="J16" s="329">
        <f t="shared" si="8"/>
        <v>3483186.9509661812</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2419748.075130742</v>
      </c>
      <c r="D19" s="27"/>
      <c r="E19" s="265"/>
      <c r="F19" s="27"/>
      <c r="G19" s="334">
        <f>IF(G$4="","",G16+G17)</f>
        <v>2532219.1169388555</v>
      </c>
      <c r="H19" s="334">
        <f t="shared" ref="H19:Q19" si="9">IF(H$4="","",H16+H17)</f>
        <v>2256655.8049937761</v>
      </c>
      <c r="I19" s="334">
        <f t="shared" si="9"/>
        <v>2888365.0964281736</v>
      </c>
      <c r="J19" s="334">
        <f t="shared" si="9"/>
        <v>3483186.9509661812</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0.30236071773392215</v>
      </c>
      <c r="H43" s="6">
        <f t="shared" si="18"/>
        <v>0.32165312441181593</v>
      </c>
      <c r="I43" s="6">
        <f t="shared" si="18"/>
        <v>0.31887033297241429</v>
      </c>
      <c r="J43" s="6">
        <f t="shared" si="18"/>
        <v>0.27447543052529738</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95927.842938855174</v>
      </c>
      <c r="E48" s="268"/>
      <c r="G48" s="337">
        <f>IFERROR(IF(G$4="","",($C$48/$C$49)*G49),0)</f>
        <v>95927.842938855174</v>
      </c>
      <c r="H48" s="337">
        <f t="shared" ref="H48:Q48" si="19">IFERROR(IF(H$4="","",($C$48/$C$49)*H49),0)</f>
        <v>111791.53099377589</v>
      </c>
      <c r="I48" s="337">
        <f t="shared" si="19"/>
        <v>99997.671428174202</v>
      </c>
      <c r="J48" s="337">
        <f t="shared" si="19"/>
        <v>32405.196966181407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-158493.15706114483</v>
      </c>
      <c r="E50" s="268"/>
      <c r="G50" s="329">
        <f>IF(G$4="","",(G47+G48))</f>
        <v>-158493.15706114483</v>
      </c>
      <c r="H50" s="329">
        <f t="shared" ref="H50:Q50" si="20">IF(H$4="","",(H47+H48))</f>
        <v>-69654.469006224113</v>
      </c>
      <c r="I50" s="329">
        <f t="shared" si="20"/>
        <v>-20563.328571825798</v>
      </c>
      <c r="J50" s="329">
        <f t="shared" si="20"/>
        <v>-80052.803033818593</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6.0580396748073926E-3</v>
      </c>
      <c r="D80" s="27"/>
      <c r="E80" s="265"/>
      <c r="F80" s="27"/>
      <c r="G80" s="6">
        <f t="shared" ref="G80:Q80" si="31">IF(G$4="","",ABS(G12/G$4))</f>
        <v>5.5271003709017035E-3</v>
      </c>
      <c r="H80" s="6">
        <f t="shared" si="31"/>
        <v>2.5238506339431426E-3</v>
      </c>
      <c r="I80" s="6">
        <f t="shared" si="31"/>
        <v>7.9692374336441847E-4</v>
      </c>
      <c r="J80" s="6">
        <f t="shared" si="31"/>
        <v>3.5465092355450737E-3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0.12331913977859717</v>
      </c>
      <c r="D81" s="27"/>
      <c r="E81" s="265"/>
      <c r="F81" s="27"/>
      <c r="G81" s="65">
        <f t="shared" ref="G81:Q81" si="32">IF(G$4="","",G13/G$4)</f>
        <v>0.12655026138171882</v>
      </c>
      <c r="H81" s="65">
        <f t="shared" si="32"/>
        <v>0.12051074839540235</v>
      </c>
      <c r="I81" s="65">
        <f t="shared" si="32"/>
        <v>0.16430768385789465</v>
      </c>
      <c r="J81" s="65">
        <f t="shared" si="32"/>
        <v>0.21267425081967486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3.0829784944649292E-2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9.2489354833947865E-2</v>
      </c>
      <c r="D84" s="27"/>
      <c r="E84" s="265"/>
      <c r="F84" s="27"/>
      <c r="G84" s="65">
        <f t="shared" ref="G84:Q84" si="35">IF(G$4="","",ABS(G16/G$4))</f>
        <v>8.8305574069912074E-2</v>
      </c>
      <c r="H84" s="65">
        <f t="shared" si="35"/>
        <v>8.1767362026923002E-2</v>
      </c>
      <c r="I84" s="65">
        <f t="shared" si="35"/>
        <v>0.11193745782978044</v>
      </c>
      <c r="J84" s="65">
        <f t="shared" si="35"/>
        <v>0.15431258147841512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9.2489354833947865E-2</v>
      </c>
      <c r="D87" s="75"/>
      <c r="E87" s="265"/>
      <c r="F87" s="75"/>
      <c r="G87" s="65">
        <f t="shared" ref="G87:Q87" si="36">IF(G$4="","",ABS(G19/G$4))</f>
        <v>8.8305574069912074E-2</v>
      </c>
      <c r="H87" s="65">
        <f t="shared" si="36"/>
        <v>8.1767362026923002E-2</v>
      </c>
      <c r="I87" s="65">
        <f t="shared" si="36"/>
        <v>0.11193745782978044</v>
      </c>
      <c r="J87" s="65">
        <f t="shared" si="36"/>
        <v>0.15431258147841512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0.53510082528413605</v>
      </c>
      <c r="E90" s="268"/>
      <c r="G90" s="112">
        <f>Data!C65</f>
        <v>0.53510082528413605</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1383127.4926933066</v>
      </c>
      <c r="E91" s="268"/>
      <c r="G91" s="74">
        <f t="shared" ref="G91:Q91" si="37">IF(G$4="","",G90*Common_Shares/scaling_factor)</f>
        <v>1383127.4926933066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0.5715997904528034</v>
      </c>
      <c r="E92" s="268"/>
      <c r="G92" s="170">
        <f t="shared" ref="G92:Q92" si="38">IF(G$4="","",G90/(G19*scaling_factor/Common_Shares))</f>
        <v>0.54621161472208579</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3.4701739642291569E-2</v>
      </c>
      <c r="E93" s="268"/>
      <c r="G93" s="23">
        <f t="shared" ref="G93:Q93" si="39">IF(G$4="","",G90/Market_Price)</f>
        <v>3.4701739642291569E-2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-0.11093671023118623</v>
      </c>
      <c r="D97" s="27"/>
      <c r="E97" s="265"/>
      <c r="F97" s="27"/>
      <c r="G97" s="6">
        <f t="shared" ref="G97:Q97" si="41">IF(H5="","",G13/H13-1)</f>
        <v>9.1101344956322938E-2</v>
      </c>
      <c r="H97" s="6">
        <f t="shared" si="41"/>
        <v>-0.21552953365296601</v>
      </c>
      <c r="I97" s="6">
        <f t="shared" si="41"/>
        <v>-0.1168302961283012</v>
      </c>
      <c r="J97" s="6">
        <f t="shared" si="41"/>
        <v>1.4633319936441387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2.0773819337561448</v>
      </c>
      <c r="I114" s="295">
        <f>IF(I$4="","",Data!E$22/I19)</f>
        <v>1.3549547475281651</v>
      </c>
      <c r="J114" s="295">
        <f>IF(J$4="","",Data!F$22/J19)</f>
        <v>1.873380640160579</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0.12331913977859717</v>
      </c>
      <c r="E117" s="268"/>
      <c r="G117" s="23">
        <f t="shared" ref="G117:Q117" si="45">IF(G4="","",IF(valuation_method="DDM",G13/(G4+G12),G81))</f>
        <v>0.12655026138171882</v>
      </c>
      <c r="H117" s="23">
        <f t="shared" si="45"/>
        <v>0.12051074839540235</v>
      </c>
      <c r="I117" s="23">
        <f t="shared" si="45"/>
        <v>0.16430768385789465</v>
      </c>
      <c r="J117" s="23">
        <f t="shared" si="45"/>
        <v>0.21267425081967486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0.12359673634025405</v>
      </c>
      <c r="D120" s="103"/>
      <c r="E120" s="271"/>
      <c r="F120" s="103"/>
      <c r="G120" s="102">
        <f>IF(G$4="","",G13/G105)</f>
        <v>0.13901905270702755</v>
      </c>
      <c r="H120" s="102">
        <f t="shared" ref="H120:Q120" si="48">IF(H$4="","",H13/H105)</f>
        <v>0.13627089467140424</v>
      </c>
      <c r="I120" s="102">
        <f t="shared" si="48"/>
        <v>0.17424406715440607</v>
      </c>
      <c r="J120" s="102">
        <f t="shared" si="48"/>
        <v>0.2274696082125712</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1.0230934471419937</v>
      </c>
      <c r="D124" s="27"/>
      <c r="E124" s="265"/>
      <c r="F124" s="27"/>
      <c r="G124" s="177">
        <f t="shared" ref="G124:Q124" si="49">IF(G$4="","",G16*$C$3/Common_Shares*Exchange_Rate)</f>
        <v>1.0706473173360622</v>
      </c>
      <c r="H124" s="177">
        <f t="shared" si="49"/>
        <v>0.95413642034587731</v>
      </c>
      <c r="I124" s="177">
        <f t="shared" si="49"/>
        <v>1.2212293641145477</v>
      </c>
      <c r="J124" s="177">
        <f t="shared" si="49"/>
        <v>1.472725934294401</v>
      </c>
      <c r="K124" s="177">
        <f t="shared" si="49"/>
        <v>0.59168847867350349</v>
      </c>
      <c r="L124" s="177">
        <f t="shared" si="49"/>
        <v>0.58298679170250434</v>
      </c>
      <c r="M124" s="177">
        <f t="shared" si="49"/>
        <v>0.2507389563377726</v>
      </c>
      <c r="N124" s="177">
        <f t="shared" si="49"/>
        <v>0.19173541166736385</v>
      </c>
      <c r="O124" s="177">
        <f t="shared" si="49"/>
        <v>9.7848358820823059E-2</v>
      </c>
      <c r="P124" s="177">
        <f t="shared" si="49"/>
        <v>5.0876715539052292E-3</v>
      </c>
      <c r="Q124" s="177" t="str">
        <f t="shared" si="49"/>
        <v/>
      </c>
    </row>
    <row r="125" spans="1:17" ht="15.75" customHeight="1">
      <c r="A125" s="10"/>
      <c r="B125" s="27" t="s">
        <v>269</v>
      </c>
      <c r="C125" s="77">
        <f>C19*Exchange_Rate*$C$3/(Market_Price*Common_Shares)</f>
        <v>6.6348472577301809E-2</v>
      </c>
      <c r="D125" s="27"/>
      <c r="E125" s="265"/>
      <c r="F125" s="27"/>
      <c r="G125" s="77">
        <f t="shared" ref="G125" si="50">IF(G$4="","",G124/Market_Price)</f>
        <v>6.9432381150198591E-2</v>
      </c>
      <c r="H125" s="77">
        <f t="shared" ref="H125" si="51">IF(H$4="","",H124/Market_Price)</f>
        <v>6.1876551254596457E-2</v>
      </c>
      <c r="I125" s="77">
        <f t="shared" ref="I125" si="52">IF(I$4="","",I124/Market_Price)</f>
        <v>7.9197753833628259E-2</v>
      </c>
      <c r="J125" s="77">
        <f t="shared" ref="J125" si="53">IF(J$4="","",J124/Market_Price)</f>
        <v>9.5507518436731581E-2</v>
      </c>
      <c r="K125" s="77">
        <f t="shared" ref="K125" si="54">IF(K$4="","",K124/Market_Price)</f>
        <v>3.8371496671433428E-2</v>
      </c>
      <c r="L125" s="77">
        <f t="shared" ref="L125" si="55">IF(L$4="","",L124/Market_Price)</f>
        <v>3.7807184935311565E-2</v>
      </c>
      <c r="M125" s="77">
        <f t="shared" ref="M125" si="56">IF(M$4="","",M124/Market_Price)</f>
        <v>1.6260632706729741E-2</v>
      </c>
      <c r="N125" s="77">
        <f t="shared" ref="N125" si="57">IF(N$4="","",N124/Market_Price)</f>
        <v>1.2434203091268732E-2</v>
      </c>
      <c r="O125" s="77">
        <f t="shared" ref="O125" si="58">IF(O$4="","",O124/Market_Price)</f>
        <v>6.3455485616616767E-3</v>
      </c>
      <c r="P125" s="77">
        <f t="shared" ref="P125" si="59">IF(P$4="","",P124/Market_Price)</f>
        <v>3.2993978948801745E-4</v>
      </c>
      <c r="Q125" s="77" t="str">
        <f t="shared" ref="Q125" si="60">IF(Q$4="","",Q124/Market_Price)</f>
        <v/>
      </c>
    </row>
    <row r="126" spans="1:17" ht="15.75" customHeight="1">
      <c r="B126" s="2" t="s">
        <v>394</v>
      </c>
      <c r="C126" s="169"/>
      <c r="G126" s="23">
        <f>IF(G$4="","",(Data!C47*$C$3)/(Market_Price*Common_Shares))</f>
        <v>7.5592088619380396E-2</v>
      </c>
      <c r="H126" s="23">
        <f>IF(H$4="","",(Data!D47*$C$3)/(Market_Price*Common_Shares))</f>
        <v>7.9958735661109184E-2</v>
      </c>
      <c r="I126" s="23">
        <f>IF(I$4="","",(Data!E47*$C$3)/(Market_Price*Common_Shares))</f>
        <v>0.10195728445343288</v>
      </c>
      <c r="J126" s="23">
        <f>IF(J$4="","",(Data!F47*$C$3)/(Market_Price*Common_Shares))</f>
        <v>0.10063048550886861</v>
      </c>
      <c r="K126" s="23">
        <f>IF(K$4="","",(Data!G47*$C$3)/(Market_Price*Common_Shares))</f>
        <v>4.2613822562246863E-2</v>
      </c>
      <c r="L126" s="23">
        <f>IF(L$4="","",(Data!H47*$C$3)/(Market_Price*Common_Shares))</f>
        <v>3.7612490784390343E-2</v>
      </c>
      <c r="M126" s="23">
        <f>IF(M$4="","",(Data!I47*$C$3)/(Market_Price*Common_Shares))</f>
        <v>1.7945468174760774E-2</v>
      </c>
      <c r="N126" s="23">
        <f>IF(N$4="","",(Data!J47*$C$3)/(Market_Price*Common_Shares))</f>
        <v>1.2924892882155075E-2</v>
      </c>
      <c r="O126" s="23">
        <f>IF(O$4="","",(Data!K47*$C$3)/(Market_Price*Common_Shares))</f>
        <v>1.7584332384278801E-2</v>
      </c>
      <c r="P126" s="23">
        <f>IF(P$4="","",(Data!L47*$C$3)/(Market_Price*Common_Shares))</f>
        <v>1.5456280653495811E-3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2419748.075130742</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32263307.668409895</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14107494.271868138</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44996237.140278034</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19.024854627388557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25.54913891089442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2551012.2978132884</v>
      </c>
      <c r="D21" s="138">
        <f>IF($C$17&lt;B21,0,DCF!$C$16)</f>
        <v>5.4247061515052201E-2</v>
      </c>
      <c r="E21" s="124">
        <f t="shared" ref="E21:E50" si="0">IF($C$17&lt;B21,0,1/(1+Equity_Cost)^B21)</f>
        <v>0.93023255813953487</v>
      </c>
      <c r="F21" s="125">
        <f t="shared" ref="F21:F51" si="1">C21*E21</f>
        <v>2373034.6956402683</v>
      </c>
      <c r="H21" s="120"/>
    </row>
    <row r="22" spans="2:17">
      <c r="B22" s="122">
        <v>2</v>
      </c>
      <c r="C22" s="123">
        <f t="shared" ref="C22:C50" si="2">IF(ROW()-ROW($C$21)&lt;$C$17, $C$21*(1+D22)^(ROW()-ROW($C$21)), 0)</f>
        <v>2689397.2188584204</v>
      </c>
      <c r="D22" s="138">
        <f>IF($C$17&lt;B22,0,DCF!$C$16)</f>
        <v>5.4247061515052201E-2</v>
      </c>
      <c r="E22" s="124">
        <f t="shared" si="0"/>
        <v>0.86533261222282321</v>
      </c>
      <c r="F22" s="125">
        <f t="shared" si="1"/>
        <v>2327223.1206995528</v>
      </c>
      <c r="H22" s="120"/>
    </row>
    <row r="23" spans="2:17">
      <c r="B23" s="122">
        <v>3</v>
      </c>
      <c r="C23" s="123">
        <f t="shared" si="2"/>
        <v>2835289.1152282432</v>
      </c>
      <c r="D23" s="138">
        <f>IF($C$17&lt;B23,0,DCF!$C$16)</f>
        <v>5.4247061515052201E-2</v>
      </c>
      <c r="E23" s="124">
        <f t="shared" si="0"/>
        <v>0.80496056950960304</v>
      </c>
      <c r="F23" s="125">
        <f t="shared" si="1"/>
        <v>2282295.9409185052</v>
      </c>
      <c r="G23" s="338"/>
      <c r="H23" s="339"/>
      <c r="I23" s="338"/>
      <c r="J23" s="338"/>
      <c r="K23" s="338"/>
      <c r="L23" s="338"/>
      <c r="M23" s="338"/>
      <c r="N23" s="338"/>
      <c r="O23" s="338"/>
      <c r="P23" s="338"/>
      <c r="Q23" s="338"/>
    </row>
    <row r="24" spans="2:17">
      <c r="B24" s="122">
        <v>4</v>
      </c>
      <c r="C24" s="123">
        <f t="shared" si="2"/>
        <v>2989095.2182749868</v>
      </c>
      <c r="D24" s="138">
        <f>IF($C$17&lt;B24,0,DCF!$C$16)</f>
        <v>5.4247061515052201E-2</v>
      </c>
      <c r="E24" s="124">
        <f t="shared" si="0"/>
        <v>0.7488005297763749</v>
      </c>
      <c r="F24" s="125">
        <f t="shared" si="1"/>
        <v>2238236.0829963391</v>
      </c>
      <c r="G24" s="338"/>
      <c r="H24" s="339"/>
      <c r="I24" s="338"/>
      <c r="J24" s="338"/>
      <c r="K24" s="338"/>
      <c r="L24" s="338"/>
      <c r="M24" s="338"/>
      <c r="N24" s="338"/>
      <c r="O24" s="338"/>
      <c r="P24" s="338"/>
      <c r="Q24" s="338"/>
    </row>
    <row r="25" spans="2:17">
      <c r="B25" s="122">
        <v>5</v>
      </c>
      <c r="C25" s="123">
        <f t="shared" si="2"/>
        <v>3151244.8504550983</v>
      </c>
      <c r="D25" s="138">
        <f>IF($C$17&lt;B25,0,DCF!$C$16)</f>
        <v>5.4247061515052201E-2</v>
      </c>
      <c r="E25" s="124">
        <f t="shared" si="0"/>
        <v>0.69655863235011617</v>
      </c>
      <c r="F25" s="125">
        <f t="shared" si="1"/>
        <v>2195026.8032333497</v>
      </c>
      <c r="G25" s="338"/>
      <c r="H25" s="339"/>
      <c r="I25" s="338"/>
      <c r="J25" s="338"/>
      <c r="K25" s="338"/>
      <c r="L25" s="338"/>
      <c r="M25" s="338"/>
      <c r="N25" s="338"/>
      <c r="O25" s="338"/>
      <c r="P25" s="338"/>
      <c r="Q25" s="338"/>
    </row>
    <row r="26" spans="2:17">
      <c r="B26" s="122">
        <v>6</v>
      </c>
      <c r="C26" s="123">
        <f t="shared" si="2"/>
        <v>3322190.6237067273</v>
      </c>
      <c r="D26" s="138">
        <f>IF($C$17&lt;B26,0,DCF!$C$16)</f>
        <v>5.4247061515052201E-2</v>
      </c>
      <c r="E26" s="124">
        <f t="shared" si="0"/>
        <v>0.64796151846522443</v>
      </c>
      <c r="F26" s="125">
        <f t="shared" si="1"/>
        <v>2152651.681167942</v>
      </c>
      <c r="H26" s="120"/>
    </row>
    <row r="27" spans="2:17">
      <c r="B27" s="122">
        <v>7</v>
      </c>
      <c r="C27" s="123">
        <f t="shared" si="2"/>
        <v>3502409.7028356753</v>
      </c>
      <c r="D27" s="138">
        <f>IF($C$17&lt;B27,0,DCF!$C$16)</f>
        <v>5.4247061515052201E-2</v>
      </c>
      <c r="E27" s="124">
        <f t="shared" si="0"/>
        <v>0.60275490089788319</v>
      </c>
      <c r="F27" s="125">
        <f t="shared" si="1"/>
        <v>2111094.6133365021</v>
      </c>
      <c r="H27" s="120"/>
    </row>
    <row r="28" spans="2:17">
      <c r="B28" s="122">
        <v>8</v>
      </c>
      <c r="C28" s="123">
        <f t="shared" si="2"/>
        <v>3692405.1374363173</v>
      </c>
      <c r="D28" s="138">
        <f>IF($C$17&lt;B28,0,DCF!$C$16)</f>
        <v>5.4247061515052201E-2</v>
      </c>
      <c r="E28" s="124">
        <f t="shared" si="0"/>
        <v>0.56070223339337966</v>
      </c>
      <c r="F28" s="125">
        <f t="shared" si="1"/>
        <v>2070339.8071537321</v>
      </c>
      <c r="H28" s="120"/>
    </row>
    <row r="29" spans="2:17">
      <c r="B29" s="122">
        <v>9</v>
      </c>
      <c r="C29" s="123">
        <f t="shared" si="2"/>
        <v>3892707.2660653195</v>
      </c>
      <c r="D29" s="138">
        <f>IF($C$17&lt;B29,0,DCF!$C$16)</f>
        <v>5.4247061515052201E-2</v>
      </c>
      <c r="E29" s="124">
        <f t="shared" si="0"/>
        <v>0.52158347292407414</v>
      </c>
      <c r="F29" s="125">
        <f t="shared" si="1"/>
        <v>2030371.7749111273</v>
      </c>
      <c r="H29" s="120"/>
    </row>
    <row r="30" spans="2:17">
      <c r="B30" s="122">
        <v>10</v>
      </c>
      <c r="C30" s="123">
        <f t="shared" si="2"/>
        <v>4103875.1965876552</v>
      </c>
      <c r="D30" s="138">
        <f>IF($C$17&lt;B30,0,DCF!$C$16)</f>
        <v>5.4247061515052201E-2</v>
      </c>
      <c r="E30" s="124">
        <f t="shared" si="0"/>
        <v>0.48519392830146441</v>
      </c>
      <c r="F30" s="125">
        <f t="shared" si="1"/>
        <v>1991175.327891309</v>
      </c>
      <c r="H30" s="120"/>
    </row>
    <row r="31" spans="2:17">
      <c r="B31" s="122">
        <v>11</v>
      </c>
      <c r="C31" s="123">
        <f t="shared" si="2"/>
        <v>4326498.3668270418</v>
      </c>
      <c r="D31" s="138">
        <f>IF($C$17&lt;B31,0,DCF!$C$16)</f>
        <v>5.4247061515052201E-2</v>
      </c>
      <c r="E31" s="124">
        <f t="shared" si="0"/>
        <v>0.45134318911764126</v>
      </c>
      <c r="F31" s="125">
        <f t="shared" si="1"/>
        <v>1952735.5705959836</v>
      </c>
      <c r="H31" s="120"/>
    </row>
    <row r="32" spans="2:17">
      <c r="B32" s="122">
        <v>12</v>
      </c>
      <c r="C32" s="123">
        <f t="shared" si="2"/>
        <v>4561198.1898770807</v>
      </c>
      <c r="D32" s="138">
        <f>IF($C$17&lt;B32,0,DCF!$C$16)</f>
        <v>5.4247061515052201E-2</v>
      </c>
      <c r="E32" s="124">
        <f t="shared" si="0"/>
        <v>0.41985412941175931</v>
      </c>
      <c r="F32" s="125">
        <f t="shared" si="1"/>
        <v>1915037.8950853341</v>
      </c>
      <c r="H32" s="120"/>
    </row>
    <row r="33" spans="2:17">
      <c r="B33" s="122">
        <v>13</v>
      </c>
      <c r="C33" s="341">
        <f t="shared" si="2"/>
        <v>4808629.7886656877</v>
      </c>
      <c r="D33" s="138">
        <f>IF($C$17&lt;B33,0,DCF!$C$16)</f>
        <v>5.4247061515052201E-2</v>
      </c>
      <c r="E33" s="124">
        <f t="shared" si="0"/>
        <v>0.39056198084814819</v>
      </c>
      <c r="F33" s="125">
        <f t="shared" si="1"/>
        <v>1878067.9754266832</v>
      </c>
      <c r="G33" s="338"/>
      <c r="H33" s="339"/>
      <c r="I33" s="338"/>
      <c r="J33" s="338"/>
      <c r="K33" s="338"/>
      <c r="L33" s="338"/>
      <c r="M33" s="338"/>
      <c r="N33" s="338"/>
      <c r="O33" s="338"/>
      <c r="P33" s="338"/>
      <c r="Q33" s="338"/>
    </row>
    <row r="34" spans="2:17">
      <c r="B34" s="122">
        <v>14</v>
      </c>
      <c r="C34" s="341">
        <f t="shared" si="2"/>
        <v>5069483.8246145463</v>
      </c>
      <c r="D34" s="138">
        <f>IF($C$17&lt;B34,0,DCF!$C$16)</f>
        <v>5.4247061515052201E-2</v>
      </c>
      <c r="E34" s="124">
        <f t="shared" si="0"/>
        <v>0.36331347055641694</v>
      </c>
      <c r="F34" s="125">
        <f t="shared" si="1"/>
        <v>1841811.7622503289</v>
      </c>
      <c r="G34" s="338"/>
      <c r="H34" s="339"/>
      <c r="I34" s="338"/>
      <c r="J34" s="338"/>
      <c r="K34" s="338"/>
      <c r="L34" s="338"/>
      <c r="M34" s="338"/>
      <c r="N34" s="338"/>
      <c r="O34" s="338"/>
      <c r="P34" s="338"/>
      <c r="Q34" s="338"/>
    </row>
    <row r="35" spans="2:17">
      <c r="B35" s="122">
        <v>15</v>
      </c>
      <c r="C35" s="341">
        <f t="shared" si="2"/>
        <v>5344488.4254979743</v>
      </c>
      <c r="D35" s="138">
        <f>IF($C$17&lt;B35,0,DCF!$C$16)</f>
        <v>5.4247061515052201E-2</v>
      </c>
      <c r="E35" s="124">
        <f t="shared" si="0"/>
        <v>0.33796601912224833</v>
      </c>
      <c r="F35" s="125">
        <f t="shared" si="1"/>
        <v>1806255.4774104832</v>
      </c>
      <c r="G35" s="338"/>
      <c r="H35" s="339"/>
      <c r="I35" s="338"/>
      <c r="J35" s="338"/>
      <c r="K35" s="338"/>
      <c r="L35" s="338"/>
      <c r="M35" s="338"/>
      <c r="N35" s="338"/>
      <c r="O35" s="338"/>
      <c r="P35" s="338"/>
      <c r="Q35" s="338"/>
    </row>
    <row r="36" spans="2:17">
      <c r="B36" s="122">
        <v>16</v>
      </c>
      <c r="C36" s="123">
        <f t="shared" si="2"/>
        <v>5634411.217882446</v>
      </c>
      <c r="D36" s="138">
        <f>IF($C$17&lt;B36,0,DCF!$C$16)</f>
        <v>5.4247061515052201E-2</v>
      </c>
      <c r="E36" s="124">
        <f t="shared" si="0"/>
        <v>0.31438699453232405</v>
      </c>
      <c r="F36" s="125">
        <f t="shared" si="1"/>
        <v>1771385.6087492739</v>
      </c>
      <c r="H36" s="120"/>
    </row>
    <row r="37" spans="2:17">
      <c r="B37" s="122">
        <v>17</v>
      </c>
      <c r="C37" s="123">
        <f t="shared" si="2"/>
        <v>5940061.4698200142</v>
      </c>
      <c r="D37" s="138">
        <f>IF($C$17&lt;B37,0,DCF!$C$16)</f>
        <v>5.4247061515052201E-2</v>
      </c>
      <c r="E37" s="124">
        <f t="shared" si="0"/>
        <v>0.29245301816960378</v>
      </c>
      <c r="F37" s="125">
        <f t="shared" si="1"/>
        <v>1737188.9049618361</v>
      </c>
      <c r="H37" s="120"/>
    </row>
    <row r="38" spans="2:17">
      <c r="B38" s="122">
        <v>18</v>
      </c>
      <c r="C38" s="123">
        <f t="shared" si="2"/>
        <v>6262292.3497765316</v>
      </c>
      <c r="D38" s="138">
        <f>IF($C$17&lt;B38,0,DCF!$C$16)</f>
        <v>5.4247061515052201E-2</v>
      </c>
      <c r="E38" s="124">
        <f t="shared" si="0"/>
        <v>0.27204931922753844</v>
      </c>
      <c r="F38" s="125">
        <f t="shared" si="1"/>
        <v>1703652.3705605275</v>
      </c>
      <c r="H38" s="120"/>
    </row>
    <row r="39" spans="2:17">
      <c r="B39" s="122">
        <v>19</v>
      </c>
      <c r="C39" s="123">
        <f t="shared" si="2"/>
        <v>6602003.3081000987</v>
      </c>
      <c r="D39" s="138">
        <f>IF($C$17&lt;B39,0,DCF!$C$16)</f>
        <v>5.4247061515052201E-2</v>
      </c>
      <c r="E39" s="124">
        <f t="shared" si="0"/>
        <v>0.25306913416515198</v>
      </c>
      <c r="F39" s="125">
        <f t="shared" si="1"/>
        <v>1670763.260936361</v>
      </c>
      <c r="H39" s="120"/>
    </row>
    <row r="40" spans="2:17">
      <c r="B40" s="122">
        <v>20</v>
      </c>
      <c r="C40" s="123">
        <f t="shared" si="2"/>
        <v>6960142.5876771817</v>
      </c>
      <c r="D40" s="138">
        <f>IF($C$17&lt;B40,0,DCF!$C$16)</f>
        <v>5.4247061515052201E-2</v>
      </c>
      <c r="E40" s="124">
        <f t="shared" si="0"/>
        <v>0.23541314806060654</v>
      </c>
      <c r="F40" s="125">
        <f t="shared" si="1"/>
        <v>1638509.0775157814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34013497.30417718</v>
      </c>
      <c r="D51" s="139">
        <f>Terminal_Growth</f>
        <v>0</v>
      </c>
      <c r="E51" s="124">
        <f>1/(1+Equity_Cost)^C17</f>
        <v>0.23541314806060654</v>
      </c>
      <c r="F51" s="125">
        <f t="shared" si="1"/>
        <v>8007224.4769273037</v>
      </c>
      <c r="H51" s="120"/>
    </row>
    <row r="52" spans="1:17">
      <c r="C52" s="114"/>
      <c r="E52" s="127" t="s">
        <v>100</v>
      </c>
      <c r="F52" s="137">
        <f>SUM(F21:F51)</f>
        <v>47694082.228368528</v>
      </c>
      <c r="H52" s="120"/>
    </row>
    <row r="53" spans="1:17">
      <c r="C53" s="114"/>
      <c r="H53" s="120"/>
    </row>
    <row r="54" spans="1:17" ht="13.15">
      <c r="B54" s="119" t="s">
        <v>129</v>
      </c>
      <c r="C54" s="136"/>
      <c r="D54" s="136"/>
      <c r="E54" s="117"/>
      <c r="F54" s="117"/>
      <c r="H54" s="120"/>
    </row>
    <row r="55" spans="1:17" ht="13.15">
      <c r="A55" s="133">
        <f>F52</f>
        <v>47694082.228368528</v>
      </c>
      <c r="B55" s="131">
        <f>C78</f>
        <v>0</v>
      </c>
      <c r="C55" s="131">
        <f>C77</f>
        <v>0.02</v>
      </c>
      <c r="D55" s="131">
        <f>C76</f>
        <v>0.05</v>
      </c>
      <c r="E55" s="131">
        <f>C75</f>
        <v>0.06</v>
      </c>
      <c r="F55" s="131">
        <f>C74</f>
        <v>0.1</v>
      </c>
      <c r="H55" s="120"/>
    </row>
    <row r="56" spans="1:17" ht="13.15">
      <c r="A56" s="143">
        <v>5</v>
      </c>
      <c r="B56" s="123">
        <f t="dataTable" ref="B56:F61" dt2D="1" dtr="1" r1="C16" r2="C17"/>
        <v>32263307.668409899</v>
      </c>
      <c r="C56" s="123">
        <v>33286393.393193178</v>
      </c>
      <c r="D56" s="123">
        <v>34877313.248430386</v>
      </c>
      <c r="E56" s="123">
        <v>35423288.501456536</v>
      </c>
      <c r="F56" s="123">
        <v>37690086.918155156</v>
      </c>
      <c r="H56" s="120"/>
    </row>
    <row r="57" spans="1:17" ht="13.15">
      <c r="A57" s="143">
        <v>10</v>
      </c>
      <c r="B57" s="123">
        <v>32263307.668409903</v>
      </c>
      <c r="C57" s="123">
        <v>34300914.168943316</v>
      </c>
      <c r="D57" s="123">
        <v>37745321.429801382</v>
      </c>
      <c r="E57" s="123">
        <v>39009271.414136827</v>
      </c>
      <c r="F57" s="123">
        <v>44738174.612488374</v>
      </c>
      <c r="H57" s="120"/>
    </row>
    <row r="58" spans="1:17" ht="13.15">
      <c r="A58" s="143">
        <v>15</v>
      </c>
      <c r="B58" s="123">
        <v>32263307.668409899</v>
      </c>
      <c r="C58" s="341">
        <v>35585416.277918227</v>
      </c>
      <c r="D58" s="123">
        <v>41672966.37474905</v>
      </c>
      <c r="E58" s="123">
        <v>44054941.685840972</v>
      </c>
      <c r="F58" s="123">
        <v>55834777.187579423</v>
      </c>
      <c r="G58" s="338"/>
      <c r="H58" s="339"/>
      <c r="I58" s="338"/>
      <c r="J58" s="338"/>
      <c r="K58" s="338"/>
      <c r="L58" s="338"/>
      <c r="M58" s="338"/>
      <c r="N58" s="338"/>
      <c r="O58" s="338"/>
      <c r="P58" s="338"/>
      <c r="Q58" s="338"/>
    </row>
    <row r="59" spans="1:17" ht="13.15">
      <c r="A59" s="144">
        <v>20</v>
      </c>
      <c r="B59" s="123">
        <v>32263307.668409899</v>
      </c>
      <c r="C59" s="341">
        <v>36924530.682585537</v>
      </c>
      <c r="D59" s="123">
        <v>46124500.078802556</v>
      </c>
      <c r="E59" s="123">
        <v>49944506.571556143</v>
      </c>
      <c r="F59" s="123">
        <v>70505098.853344649</v>
      </c>
      <c r="G59" s="338"/>
      <c r="H59" s="339"/>
      <c r="I59" s="338"/>
      <c r="J59" s="338"/>
      <c r="K59" s="338"/>
      <c r="L59" s="338"/>
      <c r="M59" s="338"/>
      <c r="N59" s="338"/>
      <c r="O59" s="338"/>
      <c r="P59" s="338"/>
      <c r="Q59" s="338"/>
    </row>
    <row r="60" spans="1:17" ht="13.15">
      <c r="A60" s="144">
        <v>25</v>
      </c>
      <c r="B60" s="123">
        <v>32263307.668409899</v>
      </c>
      <c r="C60" s="341">
        <v>38199058.53042648</v>
      </c>
      <c r="D60" s="123">
        <v>50750518.938259937</v>
      </c>
      <c r="E60" s="123">
        <v>56260758.642580971</v>
      </c>
      <c r="F60" s="123">
        <v>88510227.116144434</v>
      </c>
      <c r="G60" s="338"/>
      <c r="H60" s="339"/>
      <c r="I60" s="338"/>
      <c r="J60" s="338"/>
      <c r="K60" s="338"/>
      <c r="L60" s="338"/>
      <c r="M60" s="338"/>
      <c r="N60" s="338"/>
      <c r="O60" s="338"/>
      <c r="P60" s="338"/>
      <c r="Q60" s="338"/>
    </row>
    <row r="61" spans="1:17" ht="13.15">
      <c r="A61" s="144">
        <v>30</v>
      </c>
      <c r="B61" s="123">
        <v>32263307.668409903</v>
      </c>
      <c r="C61" s="341">
        <v>39349671.869007744</v>
      </c>
      <c r="D61" s="123">
        <v>55328780.099224873</v>
      </c>
      <c r="E61" s="123">
        <v>62724021.050031073</v>
      </c>
      <c r="F61" s="123">
        <v>109786739.90569417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19.024854627388557</v>
      </c>
      <c r="C65" s="124">
        <f>C12</f>
        <v>19.024854627388557</v>
      </c>
      <c r="D65" s="124">
        <f>C12</f>
        <v>19.024854627388557</v>
      </c>
      <c r="E65" s="141">
        <f>C12</f>
        <v>19.024854627388557</v>
      </c>
      <c r="F65" s="124">
        <f>C12</f>
        <v>19.024854627388557</v>
      </c>
      <c r="H65" s="120"/>
    </row>
    <row r="66" spans="1:8" ht="13.15">
      <c r="A66" s="143">
        <f t="shared" ref="A66:A71" si="3">A56</f>
        <v>5</v>
      </c>
      <c r="B66" s="124">
        <f t="shared" ref="B66:F71" si="4">(B56-$C$7+$C$8+$C$9)/Common_Shares*$C$3*Exchange_Rate</f>
        <v>19.02485462738856</v>
      </c>
      <c r="C66" s="124">
        <f t="shared" si="4"/>
        <v>19.457425402688685</v>
      </c>
      <c r="D66" s="124">
        <f t="shared" si="4"/>
        <v>20.130082071186433</v>
      </c>
      <c r="E66" s="124">
        <f t="shared" si="4"/>
        <v>20.36092581455528</v>
      </c>
      <c r="F66" s="124">
        <f t="shared" si="4"/>
        <v>21.319350631564753</v>
      </c>
      <c r="H66" s="120"/>
    </row>
    <row r="67" spans="1:8" ht="13.15">
      <c r="A67" s="143">
        <f t="shared" si="3"/>
        <v>10</v>
      </c>
      <c r="B67" s="124">
        <f t="shared" si="4"/>
        <v>19.02485462738856</v>
      </c>
      <c r="C67" s="124">
        <f t="shared" si="4"/>
        <v>19.886374832725242</v>
      </c>
      <c r="D67" s="124">
        <f t="shared" si="4"/>
        <v>21.342704330035325</v>
      </c>
      <c r="E67" s="124">
        <f t="shared" si="4"/>
        <v>21.877114899374838</v>
      </c>
      <c r="F67" s="124">
        <f t="shared" si="4"/>
        <v>24.299351900731928</v>
      </c>
      <c r="H67" s="120"/>
    </row>
    <row r="68" spans="1:8" ht="13.15">
      <c r="A68" s="143">
        <f t="shared" si="3"/>
        <v>15</v>
      </c>
      <c r="B68" s="124">
        <f t="shared" si="4"/>
        <v>19.02485462738856</v>
      </c>
      <c r="C68" s="124">
        <f t="shared" si="4"/>
        <v>20.429475043874824</v>
      </c>
      <c r="D68" s="124">
        <f t="shared" si="4"/>
        <v>23.003351505324105</v>
      </c>
      <c r="E68" s="124">
        <f t="shared" si="4"/>
        <v>24.010474253794719</v>
      </c>
      <c r="F68" s="124">
        <f t="shared" si="4"/>
        <v>28.991105350934056</v>
      </c>
      <c r="H68" s="120"/>
    </row>
    <row r="69" spans="1:8" ht="13.15">
      <c r="A69" s="144">
        <f t="shared" si="3"/>
        <v>20</v>
      </c>
      <c r="B69" s="124">
        <f t="shared" si="4"/>
        <v>19.02485462738856</v>
      </c>
      <c r="C69" s="124">
        <f t="shared" si="4"/>
        <v>20.995665874428354</v>
      </c>
      <c r="D69" s="124">
        <f t="shared" si="4"/>
        <v>24.885504035646004</v>
      </c>
      <c r="E69" s="124">
        <f t="shared" si="4"/>
        <v>26.500640607483092</v>
      </c>
      <c r="F69" s="124">
        <f t="shared" si="4"/>
        <v>35.193862620571998</v>
      </c>
      <c r="H69" s="120"/>
    </row>
    <row r="70" spans="1:8" ht="13.15">
      <c r="A70" s="144">
        <f t="shared" si="3"/>
        <v>25</v>
      </c>
      <c r="B70" s="124">
        <f t="shared" si="4"/>
        <v>19.02485462738856</v>
      </c>
      <c r="C70" s="124">
        <f t="shared" si="4"/>
        <v>21.534548869202755</v>
      </c>
      <c r="D70" s="124">
        <f t="shared" si="4"/>
        <v>26.841430617470188</v>
      </c>
      <c r="E70" s="124">
        <f t="shared" si="4"/>
        <v>29.17121452828821</v>
      </c>
      <c r="F70" s="124">
        <f t="shared" si="4"/>
        <v>42.806609141561069</v>
      </c>
    </row>
    <row r="71" spans="1:8" ht="13.15">
      <c r="A71" s="144">
        <f t="shared" si="3"/>
        <v>30</v>
      </c>
      <c r="B71" s="124">
        <f t="shared" si="4"/>
        <v>19.02485462738856</v>
      </c>
      <c r="C71" s="124">
        <f t="shared" si="4"/>
        <v>22.021039582428369</v>
      </c>
      <c r="D71" s="124">
        <f t="shared" si="4"/>
        <v>28.777164771462573</v>
      </c>
      <c r="E71" s="124">
        <f t="shared" si="4"/>
        <v>31.90394587506864</v>
      </c>
      <c r="F71" s="124">
        <f t="shared" si="4"/>
        <v>51.80252943456307</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51.80252943456307</v>
      </c>
      <c r="F74" s="142">
        <f>Scenarios!C58</f>
        <v>0.05</v>
      </c>
    </row>
    <row r="75" spans="1:8">
      <c r="B75" s="127" t="str">
        <f>Scenarios!B36</f>
        <v>Optimistic</v>
      </c>
      <c r="C75" s="142">
        <f>Scenarios!C38</f>
        <v>0.06</v>
      </c>
      <c r="D75" s="145">
        <f>Scenarios!C37</f>
        <v>20</v>
      </c>
      <c r="E75" s="135">
        <f>INDEX(B$65:F$71, MATCH(D75, A$65:A$71, 0), MATCH(C75, B$64:F$64, 0))</f>
        <v>26.500640607483092</v>
      </c>
      <c r="F75" s="142">
        <f>Scenarios!C40*(1-F$74-F$78)</f>
        <v>0.22499999999999992</v>
      </c>
      <c r="H75" s="120"/>
    </row>
    <row r="76" spans="1:8">
      <c r="B76" s="127" t="str">
        <f>Scenarios!B24</f>
        <v>Base</v>
      </c>
      <c r="C76" s="142">
        <f>Scenarios!C26</f>
        <v>0.05</v>
      </c>
      <c r="D76" s="145">
        <f>Scenarios!C25</f>
        <v>20</v>
      </c>
      <c r="E76" s="135">
        <f>INDEX(B$65:F$71, MATCH(D76, A$65:A$71, 0), MATCH(C76, B$64:F$64, 0))</f>
        <v>24.885504035646004</v>
      </c>
      <c r="F76" s="142">
        <f>Scenarios!C28*(1-F$74-F$78)</f>
        <v>0.495</v>
      </c>
      <c r="H76" s="120"/>
    </row>
    <row r="77" spans="1:8">
      <c r="B77" s="127" t="str">
        <f>Scenarios!B30</f>
        <v>Pessimistic</v>
      </c>
      <c r="C77" s="142">
        <f>Scenarios!C32</f>
        <v>0.02</v>
      </c>
      <c r="D77" s="145">
        <f>Scenarios!C31</f>
        <v>20</v>
      </c>
      <c r="E77" s="135">
        <f>INDEX(B$65:F$71, MATCH(D77, A$65:A$71, 0), MATCH(C77, B$64:F$64, 0))</f>
        <v>20.995665874428354</v>
      </c>
      <c r="F77" s="142">
        <f>Scenarios!C34*(1-F$74-F$78)</f>
        <v>0.18</v>
      </c>
      <c r="H77" s="120"/>
    </row>
    <row r="78" spans="1:8">
      <c r="B78" s="127" t="str">
        <f>Scenarios!B48</f>
        <v>Devil's advocate</v>
      </c>
      <c r="C78" s="142">
        <f>Scenarios!C50</f>
        <v>0</v>
      </c>
      <c r="D78" s="145">
        <f>Scenarios!C49</f>
        <v>30</v>
      </c>
      <c r="E78" s="135">
        <f>INDEX(B$65:F$71, MATCH(D78, A$65:A$71, 0), MATCH(C78, B$64:F$64, 0))</f>
        <v>19.02485462738856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1383127.4926933066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18441699.902577423</v>
      </c>
      <c r="D6" t="str">
        <f>Reporting_currency</f>
        <v>CNY</v>
      </c>
      <c r="E6" s="364"/>
      <c r="F6" s="364"/>
      <c r="H6" s="120"/>
    </row>
    <row r="7" spans="2:8" ht="13.15">
      <c r="B7" s="149" t="s">
        <v>444</v>
      </c>
      <c r="C7" s="111">
        <f>(C6*scaling_factor)/Common_Shares*Exchange_Rate</f>
        <v>7.7973333333333326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10.547024718757346</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1458158.0948726002</v>
      </c>
      <c r="D16" s="138">
        <f>IF($C$12&lt;B16,0,DDM!$C$11)</f>
        <v>5.4247061515052201E-2</v>
      </c>
      <c r="E16" s="124">
        <f t="shared" ref="E16:E45" si="0">IF($C$12&lt;B16,0,1/(1+Equity_Cost)^B16)</f>
        <v>0.93023255813953487</v>
      </c>
      <c r="F16" s="125">
        <f t="shared" ref="F16:F46" si="1">C16*E16</f>
        <v>1356426.1347652094</v>
      </c>
      <c r="H16" s="120"/>
    </row>
    <row r="17" spans="2:8">
      <c r="B17" s="122">
        <v>2</v>
      </c>
      <c r="C17" s="123">
        <f t="shared" ref="C17:C45" si="2">IF(ROW()-ROW($C$16)&lt;$C$12, $C$16*(1+D17)^(ROW()-ROW($C$16)), 0)</f>
        <v>1537258.8867438254</v>
      </c>
      <c r="D17" s="138">
        <f>IF($C$12&lt;B17,0,DDM!$C$11)</f>
        <v>5.4247061515052201E-2</v>
      </c>
      <c r="E17" s="124">
        <f t="shared" si="0"/>
        <v>0.86533261222282321</v>
      </c>
      <c r="F17" s="125">
        <f t="shared" si="1"/>
        <v>1330240.2481287837</v>
      </c>
      <c r="H17" s="120"/>
    </row>
    <row r="18" spans="2:8">
      <c r="B18" s="122">
        <v>3</v>
      </c>
      <c r="C18" s="123">
        <f t="shared" si="2"/>
        <v>1620650.6641375781</v>
      </c>
      <c r="D18" s="138">
        <f>IF($C$12&lt;B18,0,DDM!$C$11)</f>
        <v>5.4247061515052201E-2</v>
      </c>
      <c r="E18" s="124">
        <f t="shared" si="0"/>
        <v>0.80496056950960304</v>
      </c>
      <c r="F18" s="125">
        <f t="shared" si="1"/>
        <v>1304559.8815803013</v>
      </c>
      <c r="H18" s="120"/>
    </row>
    <row r="19" spans="2:8">
      <c r="B19" s="122">
        <v>4</v>
      </c>
      <c r="C19" s="123">
        <f t="shared" si="2"/>
        <v>1708566.2004094592</v>
      </c>
      <c r="D19" s="138">
        <f>IF($C$12&lt;B19,0,DDM!$C$11)</f>
        <v>5.4247061515052201E-2</v>
      </c>
      <c r="E19" s="124">
        <f t="shared" si="0"/>
        <v>0.7488005297763749</v>
      </c>
      <c r="F19" s="125">
        <f t="shared" si="1"/>
        <v>1279375.276024611</v>
      </c>
      <c r="H19" s="120"/>
    </row>
    <row r="20" spans="2:8">
      <c r="B20" s="122">
        <v>5</v>
      </c>
      <c r="C20" s="123">
        <f t="shared" si="2"/>
        <v>1801250.89618561</v>
      </c>
      <c r="D20" s="138">
        <f>IF($C$12&lt;B20,0,DDM!$C$11)</f>
        <v>5.4247061515052201E-2</v>
      </c>
      <c r="E20" s="124">
        <f t="shared" si="0"/>
        <v>0.69655863235011617</v>
      </c>
      <c r="F20" s="125">
        <f t="shared" si="1"/>
        <v>1254676.8607664695</v>
      </c>
      <c r="H20" s="120"/>
    </row>
    <row r="21" spans="2:8">
      <c r="B21" s="122">
        <v>6</v>
      </c>
      <c r="C21" s="123">
        <f t="shared" si="2"/>
        <v>1898963.4643550334</v>
      </c>
      <c r="D21" s="138">
        <f>IF($C$12&lt;B21,0,DDM!$C$11)</f>
        <v>5.4247061515052201E-2</v>
      </c>
      <c r="E21" s="124">
        <f t="shared" si="0"/>
        <v>0.64796151846522443</v>
      </c>
      <c r="F21" s="125">
        <f t="shared" si="1"/>
        <v>1230455.2498734705</v>
      </c>
      <c r="H21" s="120"/>
    </row>
    <row r="22" spans="2:8">
      <c r="B22" s="122">
        <v>7</v>
      </c>
      <c r="C22" s="123">
        <f t="shared" si="2"/>
        <v>2001976.6522207374</v>
      </c>
      <c r="D22" s="138">
        <f>IF($C$12&lt;B22,0,DDM!$C$11)</f>
        <v>5.4247061515052201E-2</v>
      </c>
      <c r="E22" s="124">
        <f t="shared" si="0"/>
        <v>0.60275490089788319</v>
      </c>
      <c r="F22" s="125">
        <f t="shared" si="1"/>
        <v>1206701.2386091866</v>
      </c>
      <c r="H22" s="120"/>
    </row>
    <row r="23" spans="2:8">
      <c r="B23" s="122">
        <v>8</v>
      </c>
      <c r="C23" s="123">
        <f t="shared" si="2"/>
        <v>2110578.0028254539</v>
      </c>
      <c r="D23" s="138">
        <f>IF($C$12&lt;B23,0,DDM!$C$11)</f>
        <v>5.4247061515052201E-2</v>
      </c>
      <c r="E23" s="124">
        <f t="shared" si="0"/>
        <v>0.56070223339337966</v>
      </c>
      <c r="F23" s="125">
        <f t="shared" si="1"/>
        <v>1183405.7999351707</v>
      </c>
      <c r="H23" s="120"/>
    </row>
    <row r="24" spans="2:8">
      <c r="B24" s="122">
        <v>9</v>
      </c>
      <c r="C24" s="123">
        <f t="shared" si="2"/>
        <v>2225070.657577042</v>
      </c>
      <c r="D24" s="138">
        <f>IF($C$12&lt;B24,0,DDM!$C$11)</f>
        <v>5.4247061515052201E-2</v>
      </c>
      <c r="E24" s="124">
        <f t="shared" si="0"/>
        <v>0.52158347292407414</v>
      </c>
      <c r="F24" s="125">
        <f t="shared" si="1"/>
        <v>1160560.081080487</v>
      </c>
      <c r="H24" s="120"/>
    </row>
    <row r="25" spans="2:8">
      <c r="B25" s="122">
        <v>10</v>
      </c>
      <c r="C25" s="123">
        <f t="shared" si="2"/>
        <v>2345774.2024139608</v>
      </c>
      <c r="D25" s="138">
        <f>IF($C$12&lt;B25,0,DDM!$C$11)</f>
        <v>5.4247061515052201E-2</v>
      </c>
      <c r="E25" s="124">
        <f t="shared" si="0"/>
        <v>0.48519392830146441</v>
      </c>
      <c r="F25" s="125">
        <f t="shared" si="1"/>
        <v>1138155.4001774641</v>
      </c>
      <c r="H25" s="120"/>
    </row>
    <row r="26" spans="2:8">
      <c r="B26" s="122">
        <v>11</v>
      </c>
      <c r="C26" s="123">
        <f t="shared" si="2"/>
        <v>2473025.5598727334</v>
      </c>
      <c r="D26" s="138">
        <f>IF($C$12&lt;B26,0,DDM!$C$11)</f>
        <v>5.4247061515052201E-2</v>
      </c>
      <c r="E26" s="124">
        <f t="shared" si="0"/>
        <v>0.45134318911764126</v>
      </c>
      <c r="F26" s="125">
        <f t="shared" si="1"/>
        <v>1116183.2429623997</v>
      </c>
      <c r="H26" s="120"/>
    </row>
    <row r="27" spans="2:8">
      <c r="B27" s="122">
        <v>12</v>
      </c>
      <c r="C27" s="123">
        <f t="shared" si="2"/>
        <v>2607179.9295474454</v>
      </c>
      <c r="D27" s="138">
        <f>IF($C$12&lt;B27,0,DDM!$C$11)</f>
        <v>5.4247061515052201E-2</v>
      </c>
      <c r="E27" s="124">
        <f t="shared" si="0"/>
        <v>0.41985412941175931</v>
      </c>
      <c r="F27" s="125">
        <f t="shared" si="1"/>
        <v>1094635.2595399546</v>
      </c>
      <c r="H27" s="120"/>
    </row>
    <row r="28" spans="2:8">
      <c r="B28" s="122">
        <v>13</v>
      </c>
      <c r="C28" s="123">
        <f t="shared" si="2"/>
        <v>2748611.7795664151</v>
      </c>
      <c r="D28" s="138">
        <f>IF($C$12&lt;B28,0,DDM!$C$11)</f>
        <v>5.4247061515052201E-2</v>
      </c>
      <c r="E28" s="124">
        <f t="shared" si="0"/>
        <v>0.39056198084814819</v>
      </c>
      <c r="F28" s="125">
        <f t="shared" si="1"/>
        <v>1073503.2612100127</v>
      </c>
      <c r="H28" s="120"/>
    </row>
    <row r="29" spans="2:8">
      <c r="B29" s="122">
        <v>14</v>
      </c>
      <c r="C29" s="123">
        <f t="shared" si="2"/>
        <v>2897715.8918535514</v>
      </c>
      <c r="D29" s="138">
        <f>IF($C$12&lt;B29,0,DDM!$C$11)</f>
        <v>5.4247061515052201E-2</v>
      </c>
      <c r="E29" s="124">
        <f t="shared" si="0"/>
        <v>0.36331347055641694</v>
      </c>
      <c r="F29" s="125">
        <f t="shared" si="1"/>
        <v>1052779.2173557966</v>
      </c>
      <c r="H29" s="120"/>
    </row>
    <row r="30" spans="2:8">
      <c r="B30" s="122">
        <v>15</v>
      </c>
      <c r="C30" s="123">
        <f t="shared" si="2"/>
        <v>3054908.4640920754</v>
      </c>
      <c r="D30" s="138">
        <f>IF($C$12&lt;B30,0,DDM!$C$11)</f>
        <v>5.4247061515052201E-2</v>
      </c>
      <c r="E30" s="124">
        <f t="shared" si="0"/>
        <v>0.33796601912224833</v>
      </c>
      <c r="F30" s="125">
        <f t="shared" si="1"/>
        <v>1032455.2523920606</v>
      </c>
      <c r="H30" s="120"/>
    </row>
    <row r="31" spans="2:8">
      <c r="B31" s="122">
        <v>16</v>
      </c>
      <c r="C31" s="123">
        <f t="shared" si="2"/>
        <v>3220628.2714665309</v>
      </c>
      <c r="D31" s="138">
        <f>IF($C$12&lt;B31,0,DDM!$C$11)</f>
        <v>5.4247061515052201E-2</v>
      </c>
      <c r="E31" s="124">
        <f t="shared" si="0"/>
        <v>0.31438699453232405</v>
      </c>
      <c r="F31" s="125">
        <f t="shared" si="1"/>
        <v>1012523.6427721964</v>
      </c>
      <c r="H31" s="120"/>
    </row>
    <row r="32" spans="2:8">
      <c r="B32" s="122">
        <v>17</v>
      </c>
      <c r="C32" s="123">
        <f t="shared" si="2"/>
        <v>3395337.8914258918</v>
      </c>
      <c r="D32" s="138">
        <f>IF($C$12&lt;B32,0,DDM!$C$11)</f>
        <v>5.4247061515052201E-2</v>
      </c>
      <c r="E32" s="124">
        <f t="shared" si="0"/>
        <v>0.29245301816960378</v>
      </c>
      <c r="F32" s="125">
        <f t="shared" si="1"/>
        <v>992976.81405312056</v>
      </c>
      <c r="H32" s="120"/>
    </row>
    <row r="33" spans="2:8">
      <c r="B33" s="122">
        <v>18</v>
      </c>
      <c r="C33" s="123">
        <f t="shared" si="2"/>
        <v>3579524.9948864593</v>
      </c>
      <c r="D33" s="138">
        <f>IF($C$12&lt;B33,0,DDM!$C$11)</f>
        <v>5.4247061515052201E-2</v>
      </c>
      <c r="E33" s="124">
        <f t="shared" si="0"/>
        <v>0.27204931922753844</v>
      </c>
      <c r="F33" s="125">
        <f t="shared" si="1"/>
        <v>973807.33801681933</v>
      </c>
      <c r="H33" s="120"/>
    </row>
    <row r="34" spans="2:8">
      <c r="B34" s="122">
        <v>19</v>
      </c>
      <c r="C34" s="123">
        <f t="shared" si="2"/>
        <v>3773703.7074787314</v>
      </c>
      <c r="D34" s="138">
        <f>IF($C$12&lt;B34,0,DDM!$C$11)</f>
        <v>5.4247061515052201E-2</v>
      </c>
      <c r="E34" s="124">
        <f t="shared" si="0"/>
        <v>0.25306913416515198</v>
      </c>
      <c r="F34" s="125">
        <f t="shared" si="1"/>
        <v>955007.92984746653</v>
      </c>
      <c r="H34" s="120"/>
    </row>
    <row r="35" spans="2:8">
      <c r="B35" s="122">
        <v>20</v>
      </c>
      <c r="C35" s="123">
        <f t="shared" si="2"/>
        <v>3978416.0446379101</v>
      </c>
      <c r="D35" s="138">
        <f>IF($C$12&lt;B35,0,DDM!$C$11)</f>
        <v>5.4247061515052201E-2</v>
      </c>
      <c r="E35" s="124">
        <f t="shared" si="0"/>
        <v>0.23541314806060654</v>
      </c>
      <c r="F35" s="125">
        <f t="shared" si="1"/>
        <v>936571.44536303694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19442107.931634668</v>
      </c>
      <c r="D46" s="139">
        <f>Terminal_Growth</f>
        <v>0</v>
      </c>
      <c r="E46" s="124">
        <f>1/(1+Equity_Cost)^C12</f>
        <v>0.23541314806060654</v>
      </c>
      <c r="F46" s="125">
        <f t="shared" si="1"/>
        <v>4576927.8331202045</v>
      </c>
      <c r="H46" s="120"/>
    </row>
    <row r="47" spans="2:8">
      <c r="C47" s="114"/>
      <c r="E47" s="127" t="s">
        <v>100</v>
      </c>
      <c r="F47" s="137">
        <f>SUM(F16:F46)</f>
        <v>27261927.407574225</v>
      </c>
      <c r="H47" s="120"/>
    </row>
    <row r="48" spans="2:8">
      <c r="C48" s="114"/>
      <c r="H48" s="120"/>
    </row>
    <row r="49" spans="1:8" ht="13.15">
      <c r="B49" s="119" t="s">
        <v>129</v>
      </c>
      <c r="C49" s="136"/>
      <c r="D49" s="136"/>
      <c r="E49" s="117"/>
      <c r="F49" s="117"/>
      <c r="H49" s="120"/>
    </row>
    <row r="50" spans="1:8" ht="13.15">
      <c r="A50" s="133">
        <f>F47</f>
        <v>27261927.407574225</v>
      </c>
      <c r="B50" s="131">
        <f>C73</f>
        <v>0</v>
      </c>
      <c r="C50" s="131">
        <f>C72</f>
        <v>0.02</v>
      </c>
      <c r="D50" s="131">
        <f>C71</f>
        <v>0.05</v>
      </c>
      <c r="E50" s="131">
        <f>C70</f>
        <v>0.06</v>
      </c>
      <c r="F50" s="131">
        <f>C69</f>
        <v>0.1</v>
      </c>
      <c r="H50" s="120"/>
    </row>
    <row r="51" spans="1:8" ht="13.15">
      <c r="A51" s="143">
        <v>5</v>
      </c>
      <c r="B51" s="123">
        <f t="dataTable" ref="B51:F56" dt2D="1" dtr="1" r1="C11" r2="C12"/>
        <v>18441699.902577423</v>
      </c>
      <c r="C51" s="123">
        <v>19026495.488478806</v>
      </c>
      <c r="D51" s="123">
        <v>19935864.944359597</v>
      </c>
      <c r="E51" s="123">
        <v>20247944.284581758</v>
      </c>
      <c r="F51" s="123">
        <v>21543645.784565438</v>
      </c>
      <c r="H51" s="120"/>
    </row>
    <row r="52" spans="1:8" ht="13.15">
      <c r="A52" s="143">
        <v>10</v>
      </c>
      <c r="B52" s="123">
        <v>18441699.902577423</v>
      </c>
      <c r="C52" s="123">
        <v>19606395.351307601</v>
      </c>
      <c r="D52" s="123">
        <v>21575217.819848187</v>
      </c>
      <c r="E52" s="123">
        <v>22297691.366037142</v>
      </c>
      <c r="F52" s="123">
        <v>25572331.233739287</v>
      </c>
      <c r="H52" s="120"/>
    </row>
    <row r="53" spans="1:8" ht="13.15">
      <c r="A53" s="143">
        <v>15</v>
      </c>
      <c r="B53" s="123">
        <v>18441699.902577423</v>
      </c>
      <c r="C53" s="123">
        <v>20340616.487633839</v>
      </c>
      <c r="D53" s="123">
        <v>23820258.847353283</v>
      </c>
      <c r="E53" s="123">
        <v>25181795.436037168</v>
      </c>
      <c r="F53" s="123">
        <v>31915146.940399371</v>
      </c>
      <c r="H53" s="120"/>
    </row>
    <row r="54" spans="1:8" ht="13.15">
      <c r="A54" s="144">
        <v>20</v>
      </c>
      <c r="B54" s="123">
        <v>18441699.902577423</v>
      </c>
      <c r="C54" s="123">
        <v>21106054.000734009</v>
      </c>
      <c r="D54" s="123">
        <v>26364754.579783857</v>
      </c>
      <c r="E54" s="123">
        <v>28548269.49057015</v>
      </c>
      <c r="F54" s="123">
        <v>40300699.730426006</v>
      </c>
      <c r="H54" s="120"/>
    </row>
    <row r="55" spans="1:8" ht="13.15">
      <c r="A55" s="144">
        <v>25</v>
      </c>
      <c r="B55" s="123">
        <v>18441699.902577423</v>
      </c>
      <c r="C55" s="123">
        <v>21834573.85148615</v>
      </c>
      <c r="D55" s="123">
        <v>29008985.990480412</v>
      </c>
      <c r="E55" s="123">
        <v>32158637.850815024</v>
      </c>
      <c r="F55" s="123">
        <v>50592427.27251821</v>
      </c>
      <c r="H55" s="120"/>
    </row>
    <row r="56" spans="1:8" ht="13.15">
      <c r="A56" s="144">
        <v>30</v>
      </c>
      <c r="B56" s="123">
        <v>18441699.902577423</v>
      </c>
      <c r="C56" s="123">
        <v>22492264.194711402</v>
      </c>
      <c r="D56" s="123">
        <v>31625919.110726181</v>
      </c>
      <c r="E56" s="123">
        <v>35853037.288554989</v>
      </c>
      <c r="F56" s="123">
        <v>62754077.524591237</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7.7973333333333326</v>
      </c>
      <c r="C60" s="124">
        <f>C7</f>
        <v>7.7973333333333326</v>
      </c>
      <c r="D60" s="124">
        <f>C7</f>
        <v>7.7973333333333326</v>
      </c>
      <c r="E60" s="141">
        <f>C7</f>
        <v>7.7973333333333326</v>
      </c>
      <c r="F60" s="124">
        <f>C7</f>
        <v>7.7973333333333326</v>
      </c>
      <c r="H60" s="120"/>
    </row>
    <row r="61" spans="1:8" ht="13.15">
      <c r="A61" s="143">
        <f t="shared" ref="A61:A66" si="3">A51</f>
        <v>5</v>
      </c>
      <c r="B61" s="124">
        <f t="shared" ref="B61:F66" si="4">B51/Common_Shares*$C$3*Exchange_Rate</f>
        <v>7.7973333333333326</v>
      </c>
      <c r="C61" s="124">
        <f t="shared" si="4"/>
        <v>8.044590697850893</v>
      </c>
      <c r="D61" s="124">
        <f t="shared" si="4"/>
        <v>8.4290811086108857</v>
      </c>
      <c r="E61" s="124">
        <f t="shared" si="4"/>
        <v>8.5610313439478585</v>
      </c>
      <c r="F61" s="124">
        <f t="shared" si="4"/>
        <v>9.1088667685152398</v>
      </c>
      <c r="H61" s="120"/>
    </row>
    <row r="62" spans="1:8" ht="13.15">
      <c r="A62" s="143">
        <f t="shared" si="3"/>
        <v>10</v>
      </c>
      <c r="B62" s="124">
        <f t="shared" si="4"/>
        <v>7.7973333333333326</v>
      </c>
      <c r="C62" s="124">
        <f t="shared" si="4"/>
        <v>8.2897781021746368</v>
      </c>
      <c r="D62" s="124">
        <f t="shared" si="4"/>
        <v>9.1222157376673181</v>
      </c>
      <c r="E62" s="124">
        <f t="shared" si="4"/>
        <v>9.4276847071175442</v>
      </c>
      <c r="F62" s="124">
        <f t="shared" si="4"/>
        <v>10.812234869520285</v>
      </c>
      <c r="H62" s="120"/>
    </row>
    <row r="63" spans="1:8" ht="13.15">
      <c r="A63" s="143">
        <f t="shared" si="3"/>
        <v>15</v>
      </c>
      <c r="B63" s="124">
        <f t="shared" si="4"/>
        <v>7.7973333333333326</v>
      </c>
      <c r="C63" s="124">
        <f t="shared" si="4"/>
        <v>8.6002140690626092</v>
      </c>
      <c r="D63" s="124">
        <f t="shared" si="4"/>
        <v>10.071441315078422</v>
      </c>
      <c r="E63" s="124">
        <f t="shared" si="4"/>
        <v>10.647112467064476</v>
      </c>
      <c r="F63" s="124">
        <f t="shared" si="4"/>
        <v>13.494040158512041</v>
      </c>
      <c r="H63" s="120"/>
    </row>
    <row r="64" spans="1:8" ht="13.15">
      <c r="A64" s="144">
        <f t="shared" si="3"/>
        <v>20</v>
      </c>
      <c r="B64" s="124">
        <f t="shared" si="4"/>
        <v>7.7973333333333326</v>
      </c>
      <c r="C64" s="124">
        <f t="shared" si="4"/>
        <v>8.9238486291633077</v>
      </c>
      <c r="D64" s="124">
        <f t="shared" si="4"/>
        <v>11.147279307010633</v>
      </c>
      <c r="E64" s="124">
        <f t="shared" si="4"/>
        <v>12.070491033025371</v>
      </c>
      <c r="F64" s="124">
        <f t="shared" si="4"/>
        <v>17.039534914066696</v>
      </c>
      <c r="H64" s="120"/>
    </row>
    <row r="65" spans="1:8" ht="13.15">
      <c r="A65" s="144">
        <f t="shared" si="3"/>
        <v>25</v>
      </c>
      <c r="B65" s="124">
        <f t="shared" si="4"/>
        <v>7.7973333333333326</v>
      </c>
      <c r="C65" s="124">
        <f t="shared" si="4"/>
        <v>9.2318740360549345</v>
      </c>
      <c r="D65" s="124">
        <f t="shared" si="4"/>
        <v>12.265286531322406</v>
      </c>
      <c r="E65" s="124">
        <f t="shared" si="4"/>
        <v>13.596990526546298</v>
      </c>
      <c r="F65" s="124">
        <f t="shared" si="4"/>
        <v>21.390979230234358</v>
      </c>
    </row>
    <row r="66" spans="1:8" ht="13.15">
      <c r="A66" s="144">
        <f t="shared" si="3"/>
        <v>30</v>
      </c>
      <c r="B66" s="124">
        <f t="shared" si="4"/>
        <v>7.7973333333333326</v>
      </c>
      <c r="C66" s="124">
        <f t="shared" si="4"/>
        <v>9.5099520257919323</v>
      </c>
      <c r="D66" s="124">
        <f t="shared" si="4"/>
        <v>13.371751768116791</v>
      </c>
      <c r="E66" s="124">
        <f t="shared" si="4"/>
        <v>15.159019191729801</v>
      </c>
      <c r="F66" s="124">
        <f t="shared" si="4"/>
        <v>26.533045384644424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26.533045384644424</v>
      </c>
      <c r="F69" s="142">
        <f>Scenarios!C58</f>
        <v>0.05</v>
      </c>
    </row>
    <row r="70" spans="1:8">
      <c r="B70" s="127" t="str">
        <f>Scenarios!B36</f>
        <v>Optimistic</v>
      </c>
      <c r="C70" s="142">
        <f>Scenarios!C38</f>
        <v>0.06</v>
      </c>
      <c r="D70" s="145">
        <f>Scenarios!C37</f>
        <v>20</v>
      </c>
      <c r="E70" s="135">
        <f>INDEX(B$60:F$66, MATCH(D70, A$60:A$66, 0), MATCH(C70, B$59:F$59, 0))</f>
        <v>12.070491033025371</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11.147279307010633</v>
      </c>
      <c r="F71" s="142">
        <f>Scenarios!C28*(1-F$69-F$73)</f>
        <v>0.495</v>
      </c>
      <c r="H71" s="120"/>
    </row>
    <row r="72" spans="1:8">
      <c r="B72" s="127" t="str">
        <f>Scenarios!B30</f>
        <v>Pessimistic</v>
      </c>
      <c r="C72" s="142">
        <f>Scenarios!C32</f>
        <v>0.02</v>
      </c>
      <c r="D72" s="145">
        <f>Scenarios!C31</f>
        <v>20</v>
      </c>
      <c r="E72" s="135">
        <f>INDEX(B$60:F$66, MATCH(D72, A$60:A$66, 0), MATCH(C72, B$59:F$59, 0))</f>
        <v>8.9238486291633077</v>
      </c>
      <c r="F72" s="142">
        <f>Scenarios!C34*(1-F$69-F$73)</f>
        <v>0.18</v>
      </c>
      <c r="H72" s="120"/>
    </row>
    <row r="73" spans="1:8">
      <c r="B73" s="127" t="str">
        <f>Scenarios!B48</f>
        <v>Devil's advocate</v>
      </c>
      <c r="C73" s="142">
        <f>Scenarios!C50</f>
        <v>0</v>
      </c>
      <c r="D73" s="145">
        <f>Scenarios!C49</f>
        <v>30</v>
      </c>
      <c r="E73" s="135">
        <f>INDEX(B$60:F$66, MATCH(D73, A$60:A$66, 0), MATCH(C73, B$59:F$59, 0))</f>
        <v>7.7973333333333326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-15.42</v>
      </c>
    </row>
    <row r="4" spans="2:9">
      <c r="B4" s="152" t="s">
        <v>146</v>
      </c>
      <c r="C4" s="120">
        <v>3</v>
      </c>
      <c r="D4" s="120"/>
      <c r="E4" s="155" t="s">
        <v>150</v>
      </c>
      <c r="F4" s="155"/>
      <c r="H4" s="247">
        <v>1</v>
      </c>
      <c r="I4" s="124">
        <f t="shared" ref="I4:I13" si="0">IF(ROW()-3 &lt; $C$76, $C$77, IF(ROW()-3 = $C$76, $C$77 + $C$60, ""))</f>
        <v>0.53510082528413605</v>
      </c>
    </row>
    <row r="5" spans="2:9">
      <c r="H5" s="247">
        <v>2</v>
      </c>
      <c r="I5" s="124">
        <f t="shared" si="0"/>
        <v>0.53510082528413605</v>
      </c>
    </row>
    <row r="6" spans="2:9" ht="13.15">
      <c r="B6" s="159" t="s">
        <v>95</v>
      </c>
      <c r="C6" s="107">
        <f>DCF!C3</f>
        <v>1000</v>
      </c>
      <c r="E6" s="100" t="s">
        <v>279</v>
      </c>
      <c r="F6" s="100"/>
      <c r="H6" s="247">
        <v>3</v>
      </c>
      <c r="I6" s="124">
        <f t="shared" si="0"/>
        <v>26.136658520107286</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2532219.1169388555</v>
      </c>
      <c r="D8" t="str">
        <f>Reporting_currency</f>
        <v>CNY</v>
      </c>
      <c r="E8" s="366"/>
      <c r="F8" s="366"/>
      <c r="H8" s="247">
        <v>5</v>
      </c>
      <c r="I8" s="124" t="str">
        <f t="shared" si="0"/>
        <v/>
      </c>
    </row>
    <row r="9" spans="2:9">
      <c r="B9" s="100" t="s">
        <v>57</v>
      </c>
      <c r="C9" s="338">
        <f>Normalized_FCF!C19</f>
        <v>2419748.075130742</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-0.10083064003941722</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15.42</v>
      </c>
      <c r="D21" t="str">
        <f>Market_currency</f>
        <v>HKD</v>
      </c>
      <c r="E21" s="367"/>
      <c r="F21" s="367"/>
    </row>
    <row r="22" spans="2:6">
      <c r="B22" s="100" t="s">
        <v>278</v>
      </c>
      <c r="C22" s="160">
        <f>IF(valuation_method="DCF",DCF!C12,DDM!C7)</f>
        <v>19.024854627388557</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24.885504035646004</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20.995665874428354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26.500640607483092</v>
      </c>
      <c r="D39" t="str">
        <f>Market_currency</f>
        <v>HKD</v>
      </c>
      <c r="E39" s="365"/>
      <c r="F39" s="365"/>
    </row>
    <row r="40" spans="2:6">
      <c r="B40" s="100" t="s">
        <v>147</v>
      </c>
      <c r="C40" s="167">
        <f>1-C28-C34</f>
        <v>0.24999999999999994</v>
      </c>
      <c r="D40" s="165"/>
      <c r="E40" s="365"/>
      <c r="F40" s="365"/>
    </row>
    <row r="42" spans="2:6" ht="13.15">
      <c r="B42" s="100" t="s">
        <v>120</v>
      </c>
      <c r="C42" s="154">
        <f>C27*C28+C33*C34+C39*C40</f>
        <v>24.511320546361745</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19.02485462738856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51.80252943456307</v>
      </c>
      <c r="D57" t="str">
        <f>Market_currency</f>
        <v>HKD</v>
      </c>
      <c r="E57" s="365"/>
      <c r="F57" s="365"/>
    </row>
    <row r="58" spans="2:6">
      <c r="B58" s="100" t="s">
        <v>147</v>
      </c>
      <c r="C58" s="165">
        <v>0.05</v>
      </c>
      <c r="D58" s="165"/>
      <c r="E58" s="365"/>
      <c r="F58" s="365"/>
    </row>
    <row r="60" spans="2:6" ht="13.15">
      <c r="B60" s="100" t="s">
        <v>120</v>
      </c>
      <c r="C60" s="154">
        <f>C51*C52+C57*C58+C42*(1-C52-C58)</f>
        <v>25.60155769482315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25.54913891089442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0.21028441822443952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0.53510082528413605</v>
      </c>
      <c r="D77" t="str">
        <f>Market_currency</f>
        <v>HKD</v>
      </c>
    </row>
    <row r="79" spans="2:6" ht="13.15">
      <c r="B79" s="109" t="s">
        <v>301</v>
      </c>
    </row>
    <row r="80" spans="2:6">
      <c r="B80" s="148" t="s">
        <v>299</v>
      </c>
      <c r="C80" s="167">
        <f>Thesis!F29</f>
        <v>0.3674</v>
      </c>
    </row>
    <row r="81" spans="2:8">
      <c r="B81" s="100" t="s">
        <v>121</v>
      </c>
      <c r="C81" s="116">
        <f>PV(C80, C76, -C77, 0)</f>
        <v>0.8868008295019616</v>
      </c>
      <c r="D81" s="116"/>
      <c r="E81" s="100"/>
      <c r="F81" s="100"/>
    </row>
    <row r="82" spans="2:8">
      <c r="B82" s="100" t="s">
        <v>122</v>
      </c>
      <c r="C82" s="116">
        <f>C60/(1+C80)^C76</f>
        <v>10.013356157430129</v>
      </c>
      <c r="D82" s="116"/>
    </row>
    <row r="83" spans="2:8" ht="13.15">
      <c r="B83" s="110" t="s">
        <v>101</v>
      </c>
      <c r="C83" s="111">
        <f>C81+C82</f>
        <v>10.900156986932091</v>
      </c>
      <c r="D83" t="str">
        <f>Market_currency</f>
        <v>HKD</v>
      </c>
      <c r="E83" s="146" t="s">
        <v>126</v>
      </c>
      <c r="F83" s="291">
        <f>(1-C83/C60)</f>
        <v>0.57423852419979138</v>
      </c>
    </row>
    <row r="84" spans="2:8">
      <c r="E84" s="120"/>
    </row>
    <row r="85" spans="2:8" ht="13.15">
      <c r="B85" s="109" t="s">
        <v>302</v>
      </c>
    </row>
    <row r="86" spans="2:8">
      <c r="B86" s="148" t="s">
        <v>300</v>
      </c>
      <c r="C86" s="116">
        <f>Market_Price</f>
        <v>15.42</v>
      </c>
      <c r="D86" t="str">
        <f>Market_currency</f>
        <v>HKD</v>
      </c>
    </row>
    <row r="87" spans="2:8" ht="13.15">
      <c r="B87" s="100" t="s">
        <v>298</v>
      </c>
      <c r="C87" s="237">
        <f ca="1">IRR(OFFSET($I$3, 0, 0, $C$76 + 1, 1))</f>
        <v>0.21378315122061653</v>
      </c>
    </row>
    <row r="88" spans="2:8">
      <c r="B88" s="100"/>
    </row>
    <row r="89" spans="2:8" ht="13.15">
      <c r="B89" s="109" t="s">
        <v>412</v>
      </c>
    </row>
    <row r="90" spans="2:8">
      <c r="B90" s="148" t="s">
        <v>413</v>
      </c>
      <c r="C90" s="167">
        <f>Thesis!F30</f>
        <v>0.21740000000000001</v>
      </c>
    </row>
    <row r="91" spans="2:8">
      <c r="B91" s="100" t="s">
        <v>121</v>
      </c>
      <c r="C91" s="116">
        <f>PV(C90, C76, -C77, 0)</f>
        <v>1.0971711730134002</v>
      </c>
      <c r="D91" s="116"/>
      <c r="E91" s="100"/>
      <c r="F91" s="100"/>
    </row>
    <row r="92" spans="2:8">
      <c r="B92" s="100" t="s">
        <v>122</v>
      </c>
      <c r="C92" s="116">
        <f>C60/(1+C90)^C76</f>
        <v>14.189480580064306</v>
      </c>
      <c r="D92" s="116"/>
    </row>
    <row r="93" spans="2:8" ht="13.15">
      <c r="B93" s="110" t="s">
        <v>101</v>
      </c>
      <c r="C93" s="111">
        <f>C91+C92</f>
        <v>15.286651753077706</v>
      </c>
      <c r="D93" t="str">
        <f>Market_currency</f>
        <v>HKD</v>
      </c>
      <c r="E93" s="146" t="s">
        <v>126</v>
      </c>
      <c r="F93" s="291">
        <f>(1-C93/C60)</f>
        <v>0.40290149781906448</v>
      </c>
    </row>
    <row r="95" spans="2:8" ht="13.15">
      <c r="B95" s="109" t="s">
        <v>397</v>
      </c>
      <c r="G95" s="2"/>
      <c r="H95" s="281"/>
    </row>
    <row r="96" spans="2:8">
      <c r="B96" s="148" t="s">
        <v>403</v>
      </c>
      <c r="C96" s="134">
        <f>Thesis!F31</f>
        <v>7.4999999999999997E-2</v>
      </c>
      <c r="G96" s="2"/>
      <c r="H96" s="281"/>
    </row>
    <row r="97" spans="2:8">
      <c r="B97" s="100" t="s">
        <v>121</v>
      </c>
      <c r="C97" s="116">
        <f>PV(C96, C76, -C77, 0)</f>
        <v>1.3915434695781241</v>
      </c>
      <c r="D97" s="116"/>
      <c r="G97" s="2"/>
      <c r="H97" s="281"/>
    </row>
    <row r="98" spans="2:8">
      <c r="B98" s="100" t="s">
        <v>122</v>
      </c>
      <c r="C98" s="116">
        <f>C60/(1+C96)^C76</f>
        <v>20.608244462357803</v>
      </c>
      <c r="D98" s="116"/>
      <c r="G98" s="2"/>
      <c r="H98" s="281"/>
    </row>
    <row r="99" spans="2:8" ht="13.15">
      <c r="B99" s="110" t="s">
        <v>398</v>
      </c>
      <c r="C99" s="111">
        <f>C97+C98</f>
        <v>21.999787931935927</v>
      </c>
      <c r="D99" t="s">
        <v>396</v>
      </c>
      <c r="E99" s="146" t="s">
        <v>126</v>
      </c>
      <c r="F99" s="291">
        <f>(1-C99/C60)</f>
        <v>0.14068557100396784</v>
      </c>
    </row>
    <row r="100" spans="2:8">
      <c r="B100" s="100"/>
    </row>
    <row r="101" spans="2:8" ht="13.15">
      <c r="B101" s="109" t="s">
        <v>422</v>
      </c>
    </row>
    <row r="102" spans="2:8">
      <c r="B102" s="148" t="s">
        <v>421</v>
      </c>
      <c r="C102" s="134">
        <f>Thesis!F32</f>
        <v>0.1174</v>
      </c>
    </row>
    <row r="103" spans="2:8">
      <c r="B103" s="100" t="s">
        <v>121</v>
      </c>
      <c r="C103" s="116">
        <f>PV(C102, C76, -C77, 0)</f>
        <v>1.2909859237728576</v>
      </c>
      <c r="D103" s="116"/>
    </row>
    <row r="104" spans="2:8">
      <c r="B104" s="100" t="s">
        <v>122</v>
      </c>
      <c r="C104" s="116">
        <f>C60/(1+C102)^C76</f>
        <v>18.350182555132584</v>
      </c>
      <c r="D104" s="116"/>
    </row>
    <row r="105" spans="2:8" ht="13.15">
      <c r="B105" s="110" t="s">
        <v>398</v>
      </c>
      <c r="C105" s="111">
        <f>C103+C104</f>
        <v>19.641168478905442</v>
      </c>
      <c r="D105" t="s">
        <v>396</v>
      </c>
      <c r="E105" s="146" t="s">
        <v>126</v>
      </c>
      <c r="F105" s="291">
        <f>(1-C105/C66)</f>
        <v>0.23123951271288279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