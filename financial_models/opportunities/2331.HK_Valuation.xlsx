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01C2922-6B82-4627-8B8A-BA76696DD6F1}"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N94" i="2"/>
  <c r="O94" i="2"/>
  <c r="Q92" i="2"/>
  <c r="Q94" i="2"/>
  <c r="J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<sst xmlns="http://schemas.openxmlformats.org/spreadsheetml/2006/main" count="686" uniqueCount="466">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</sst>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45778</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2584797906</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16.84</v>
      </c>
      <c r="D12" s="50"/>
      <c r="E12" s="48"/>
    </row>
    <row r="13" spans="1:10">
      <c r="B13" s="1" t="s">
        <v>413</v>
      </c>
      <c r="C13" s="48" t="s">
        <v>393</v>
      </c>
      <c r="D13" s="48"/>
      <c r="E13" s="5"/>
    </row>
    <row r="14" spans="1:10">
      <c r="B14" s="4" t="s">
        <v>417</v>
      </c>
      <c r="C14" s="35">
        <f>Thesis!C12*Common_Shares/1000000</f>
        <v>43527.996737040005</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1.0958041599999999</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25.670271348952614</v>
      </c>
      <c r="D26" s="1" t="s">
        <v>396</v>
      </c>
      <c r="E26" s="301">
        <f ca="1">Scenarios!C87</f>
        <v>0.17587442131600528</v>
      </c>
    </row>
    <row r="27" spans="2:6">
      <c r="D27" s="5"/>
      <c r="E27" s="5"/>
    </row>
    <row r="28" spans="2:6">
      <c r="B28" s="45" t="s">
        <v>430</v>
      </c>
      <c r="C28" s="309" t="str">
        <f>C145&amp;" ("&amp;Market_currency&amp;")"</f>
        <v>2331.HK (HKD)</v>
      </c>
      <c r="D28" s="309" t="str">
        <f>IF(D11="","",D145&amp;" ("&amp;D13&amp;")")</f>
        <v/>
      </c>
      <c r="E28" s="305" t="s">
        <v>426</v>
      </c>
      <c r="F28" s="303">
        <v>3</v>
      </c>
    </row>
    <row r="29" spans="2:6">
      <c r="B29" s="1" t="s">
        <v>422</v>
      </c>
      <c r="C29" s="310">
        <f>C149</f>
        <v>11.248018344731374</v>
      </c>
      <c r="D29" s="310" t="str">
        <f>D149</f>
        <v/>
      </c>
      <c r="E29" s="306" t="s">
        <v>421</v>
      </c>
      <c r="F29" s="302">
        <v>0.35</v>
      </c>
    </row>
    <row r="30" spans="2:6">
      <c r="B30" s="1" t="s">
        <v>423</v>
      </c>
      <c r="C30" s="311">
        <f>C157</f>
        <v>14.08073390399036</v>
      </c>
      <c r="D30" s="311" t="str">
        <f>D157</f>
        <v/>
      </c>
      <c r="E30" s="307" t="s">
        <v>434</v>
      </c>
      <c r="F30" s="312">
        <v>0.25</v>
      </c>
    </row>
    <row r="31" spans="2:6">
      <c r="B31" s="1" t="s">
        <v>424</v>
      </c>
      <c r="C31" s="311">
        <f>C165</f>
        <v>21.912601244867734</v>
      </c>
      <c r="D31" s="311" t="str">
        <f>D165</f>
        <v/>
      </c>
      <c r="E31" s="307" t="s">
        <v>433</v>
      </c>
      <c r="F31" s="312">
        <v>7.4999999999999997E-2</v>
      </c>
    </row>
    <row r="32" spans="2:6">
      <c r="B32" s="1" t="s">
        <v>425</v>
      </c>
      <c r="C32" s="311">
        <f>C173</f>
        <v>19.558218647361212</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3205414.6239021346</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179409.3</v>
      </c>
      <c r="D48" s="1" t="str">
        <f>Reporting_currency</f>
        <v>CNY</v>
      </c>
    </row>
    <row r="50" spans="2:6">
      <c r="B50" s="361" t="s">
        <v>239</v>
      </c>
      <c r="C50" s="361"/>
      <c r="D50" s="361"/>
      <c r="E50" s="361"/>
      <c r="F50" s="361"/>
    </row>
    <row r="51" spans="2:6">
      <c r="B51" s="47" t="s">
        <v>337</v>
      </c>
      <c r="C51" s="350">
        <f>Normalized_FCF!C48</f>
        <v>95913.287467192233</v>
      </c>
      <c r="D51" s="1" t="str">
        <f>Reporting_currency</f>
        <v>CNY</v>
      </c>
      <c r="E51" s="286"/>
      <c r="F51" s="286"/>
    </row>
    <row r="52" spans="2:6">
      <c r="B52" s="47" t="s">
        <v>338</v>
      </c>
      <c r="C52" s="350">
        <f>Normalized_FCF!C47</f>
        <v>-254421</v>
      </c>
      <c r="D52" s="1" t="str">
        <f>Reporting_currency</f>
        <v>CNY</v>
      </c>
      <c r="E52" s="286"/>
      <c r="F52" s="286"/>
    </row>
    <row r="53" spans="2:6">
      <c r="B53" s="47" t="s">
        <v>237</v>
      </c>
      <c r="C53" s="349">
        <f>Normalized_FCF!C12</f>
        <v>-158507.71253280778</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-806579.0528423317</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2532204.5614671926</v>
      </c>
      <c r="D67" s="1" t="str">
        <f>Reporting_currency</f>
        <v>CNY</v>
      </c>
    </row>
    <row r="68" spans="1:6">
      <c r="B68" s="47" t="s">
        <v>247</v>
      </c>
      <c r="C68" s="349">
        <f>Normalized_FCF!C19</f>
        <v>2419737.1585269952</v>
      </c>
      <c r="D68" s="1" t="str">
        <f>Reporting_currency</f>
        <v>CNY</v>
      </c>
    </row>
    <row r="69" spans="1:6">
      <c r="B69" s="227" t="s">
        <v>387</v>
      </c>
      <c r="C69" s="92">
        <f>Normalized_FCF!C126</f>
        <v>6.0916151515976527E-2</v>
      </c>
      <c r="F69" s="314"/>
    </row>
    <row r="70" spans="1:6">
      <c r="B70" s="227" t="s">
        <v>455</v>
      </c>
      <c r="C70" s="92">
        <f>Normalized_FCF!C94</f>
        <v>2.8521662821207217E-2</v>
      </c>
      <c r="E70" s="47" t="s">
        <v>445</v>
      </c>
      <c r="F70" s="315">
        <f>Normalized_FCF!C92</f>
        <v>0.5700760798390071</v>
      </c>
    </row>
    <row r="72" spans="1:6">
      <c r="B72" s="210" t="s">
        <v>448</v>
      </c>
      <c r="C72" s="323" t="s">
        <v>450</v>
      </c>
      <c r="D72" s="323" t="s">
        <v>451</v>
      </c>
    </row>
    <row r="73" spans="1:6">
      <c r="B73" s="47" t="s">
        <v>449</v>
      </c>
      <c r="C73" s="92">
        <f>Normalized_FCF!C121</f>
        <v>0.12359617873815945</v>
      </c>
      <c r="D73" s="92">
        <f>Normalized_FCF!G121</f>
        <v>0.13901849510493297</v>
      </c>
    </row>
    <row r="74" spans="1:6">
      <c r="B74" s="259" t="str">
        <f>Normalized_FCF!B118</f>
        <v>Pre-tax Profit/Sales</v>
      </c>
      <c r="C74" s="322">
        <f>Normalized_FCF!C118</f>
        <v>0.12331858342886919</v>
      </c>
      <c r="D74" s="322">
        <f>Normalized_FCF!G118</f>
        <v>0.12654975379164793</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13.677706553720597</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1936137</v>
      </c>
      <c r="D102" s="1" t="str">
        <f>Reporting_currency</f>
        <v>CNY</v>
      </c>
    </row>
    <row r="103" spans="2:6">
      <c r="B103" s="47" t="s">
        <v>280</v>
      </c>
      <c r="C103" s="223">
        <f>C102*scaling_factor*Exchange_Rate/Common_Shares</f>
        <v>0.82080961687761433</v>
      </c>
      <c r="D103" s="1" t="str">
        <f>Market_currency</f>
        <v>HKD</v>
      </c>
    </row>
    <row r="104" spans="2:6">
      <c r="B104" s="296" t="s">
        <v>401</v>
      </c>
      <c r="C104" s="325">
        <f>IF(BS!G31/BS!G27&gt;300%,"nm",BS!G31/BS!G27)</f>
        <v>7.4171010848313429E-2</v>
      </c>
    </row>
    <row r="105" spans="2:6">
      <c r="B105" s="296" t="s">
        <v>403</v>
      </c>
      <c r="C105" s="326">
        <f>IF(BS!C50&gt;30,"nm",BS!C50)</f>
        <v>0.60402076709908736</v>
      </c>
    </row>
    <row r="107" spans="2:6">
      <c r="B107" s="1" t="s">
        <v>253</v>
      </c>
    </row>
    <row r="108" spans="2:6">
      <c r="B108" s="47" t="s">
        <v>263</v>
      </c>
      <c r="C108" s="349">
        <f>BS!C66</f>
        <v>18164188</v>
      </c>
      <c r="D108" s="1" t="str">
        <f>Reporting_currency</f>
        <v>CNY</v>
      </c>
    </row>
    <row r="109" spans="2:6">
      <c r="B109" s="47" t="s">
        <v>265</v>
      </c>
      <c r="C109" s="349">
        <f>DCF!C8</f>
        <v>14108109.808388049</v>
      </c>
      <c r="D109" s="1" t="str">
        <f>Reporting_currency</f>
        <v>CNY</v>
      </c>
    </row>
    <row r="110" spans="2:6">
      <c r="B110" s="47" t="s">
        <v>281</v>
      </c>
      <c r="C110" s="223">
        <f>C109*scaling_factor*Exchange_Rate/Common_Shares</f>
        <v>5.9810190119244178</v>
      </c>
      <c r="D110" s="1" t="str">
        <f>Market_currency</f>
        <v>HKD</v>
      </c>
    </row>
    <row r="112" spans="2:6">
      <c r="B112" s="1" t="s">
        <v>255</v>
      </c>
    </row>
    <row r="113" spans="1:6">
      <c r="B113" s="47" t="s">
        <v>256</v>
      </c>
      <c r="C113" s="349">
        <f>DCF!C9</f>
        <v>561572.19999999995</v>
      </c>
      <c r="D113" s="1" t="str">
        <f>Reporting_currency</f>
        <v>CNY</v>
      </c>
    </row>
    <row r="114" spans="1:6">
      <c r="B114" s="47" t="s">
        <v>282</v>
      </c>
      <c r="C114" s="223">
        <f>C113*scaling_factor*Exchange_Rate/Common_Shares</f>
        <v>0.23807399080288175</v>
      </c>
      <c r="D114" s="1" t="str">
        <f>Market_currency</f>
        <v>HKD</v>
      </c>
    </row>
    <row r="116" spans="1:6" ht="24.6" customHeight="1">
      <c r="B116" s="360" t="s">
        <v>363</v>
      </c>
      <c r="C116" s="360"/>
      <c r="D116" s="360"/>
      <c r="E116" s="360"/>
      <c r="F116" s="360"/>
    </row>
    <row r="118" spans="1:6">
      <c r="B118" s="47" t="s">
        <v>446</v>
      </c>
      <c r="C118" s="223">
        <f>IF(valuation_method="DCF",DCF!C12,DDM!C7)</f>
        <v>19.075989939570285</v>
      </c>
      <c r="D118" s="1" t="str">
        <f>Market_currency</f>
        <v>HKD</v>
      </c>
    </row>
    <row r="119" spans="1:6">
      <c r="B119" s="296" t="s">
        <v>402</v>
      </c>
      <c r="C119" s="223">
        <f>BS!D47</f>
        <v>4.6196988247434945</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30</v>
      </c>
      <c r="E126" s="231" t="str">
        <f>ROUND(IF(valuation_method="DCF",DCF!E74,DDM!E69),2)&amp;" "&amp;Market_currency</f>
        <v>51.94 HKD</v>
      </c>
      <c r="F126" s="232">
        <f>DCF!F74</f>
        <v>0.05</v>
      </c>
    </row>
    <row r="127" spans="1:6">
      <c r="B127" s="218" t="str">
        <f>DCF!B75</f>
        <v>Optimistic</v>
      </c>
      <c r="C127" s="219">
        <f>DCF!C75</f>
        <v>0.06</v>
      </c>
      <c r="D127" s="220">
        <f>DCF!D75</f>
        <v>20</v>
      </c>
      <c r="E127" s="231" t="str">
        <f>ROUND(IF(valuation_method="DCF",DCF!E75,DDM!E70),2)&amp;" "&amp;Market_currency</f>
        <v>26.57 HKD</v>
      </c>
      <c r="F127" s="221">
        <f>DCF!F75</f>
        <v>0.22499999999999992</v>
      </c>
    </row>
    <row r="128" spans="1:6">
      <c r="B128" s="218" t="str">
        <f>DCF!B76</f>
        <v>Base</v>
      </c>
      <c r="C128" s="219">
        <f>DCF!C76</f>
        <v>0.05</v>
      </c>
      <c r="D128" s="220">
        <f>DCF!D76</f>
        <v>20</v>
      </c>
      <c r="E128" s="231" t="str">
        <f>ROUND(IF(valuation_method="DCF",DCF!E76,DDM!E71),2)&amp;" "&amp;Market_currency</f>
        <v>24.95 HKD</v>
      </c>
      <c r="F128" s="221">
        <f>DCF!F76</f>
        <v>0.495</v>
      </c>
    </row>
    <row r="129" spans="1:6">
      <c r="B129" s="218" t="str">
        <f>DCF!B77</f>
        <v>Pessimistic</v>
      </c>
      <c r="C129" s="219">
        <f>DCF!C77</f>
        <v>0.02</v>
      </c>
      <c r="D129" s="220">
        <f>DCF!D77</f>
        <v>20</v>
      </c>
      <c r="E129" s="231" t="str">
        <f>ROUND(IF(valuation_method="DCF",DCF!E77,DDM!E72),2)&amp;" "&amp;Market_currency</f>
        <v>21.05 HKD</v>
      </c>
      <c r="F129" s="221">
        <f>DCF!F77</f>
        <v>0.18</v>
      </c>
    </row>
    <row r="130" spans="1:6">
      <c r="B130" s="218" t="str">
        <f>DCF!B78</f>
        <v>Devil's advocate</v>
      </c>
      <c r="C130" s="219">
        <f>DCF!C78</f>
        <v>0</v>
      </c>
      <c r="D130" s="220">
        <f>DCF!D78</f>
        <v>30</v>
      </c>
      <c r="E130" s="231" t="str">
        <f>ROUND(IF(valuation_method="DCF",DCF!E78,DDM!E73),2)&amp;" "&amp;Market_currency</f>
        <v>19.08 HKD</v>
      </c>
      <c r="F130" s="221">
        <f>DCF!F78</f>
        <v>0.05</v>
      </c>
    </row>
    <row r="132" spans="1:6">
      <c r="B132" s="211" t="s">
        <v>257</v>
      </c>
      <c r="C132" s="217">
        <f>Scenarios!C60</f>
        <v>25.670271348952614</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0.4803048019091295</v>
      </c>
      <c r="D143" s="212" t="str">
        <f>Market_currency</f>
        <v>HKD</v>
      </c>
    </row>
    <row r="145" spans="2:4">
      <c r="B145" s="210" t="s">
        <v>405</v>
      </c>
      <c r="C145" s="241" t="str">
        <f>C11</f>
        <v>2331.HK</v>
      </c>
      <c r="D145" s="241" t="str">
        <f>IF(D11="","",D11)</f>
        <v/>
      </c>
    </row>
    <row r="146" spans="2:4">
      <c r="B146" s="1" t="s">
        <v>404</v>
      </c>
      <c r="C146" s="297">
        <f>F29</f>
        <v>0.35</v>
      </c>
    </row>
    <row r="147" spans="2:4">
      <c r="B147" s="212" t="str">
        <f>"PV("&amp;C141&amp;" yrs of Dividends)"</f>
        <v>PV(3 yrs of Dividends)</v>
      </c>
      <c r="C147" s="216">
        <f>Scenarios!C81</f>
        <v>0.81453916007350213</v>
      </c>
    </row>
    <row r="148" spans="2:4">
      <c r="B148" s="212" t="str">
        <f>"+ PV(Equity Value realized at year "&amp;C141&amp;")"</f>
        <v>+ PV(Equity Value realized at year 3)</v>
      </c>
      <c r="C148" s="216">
        <f>Scenarios!C82</f>
        <v>10.433479184657871</v>
      </c>
    </row>
    <row r="149" spans="2:4">
      <c r="B149" s="80" t="s">
        <v>259</v>
      </c>
      <c r="C149" s="215">
        <f>Scenarios!C83</f>
        <v>11.248018344731374</v>
      </c>
      <c r="D149" s="300" t="str">
        <f>IF($D$11="","",C149*$E$25)</f>
        <v/>
      </c>
    </row>
    <row r="150" spans="2:4">
      <c r="B150" s="259" t="s">
        <v>413</v>
      </c>
      <c r="C150" s="298" t="str">
        <f>Market_currency</f>
        <v>HKD</v>
      </c>
      <c r="D150" s="298" t="str">
        <f>IF($D$11="","",D$13)</f>
        <v/>
      </c>
    </row>
    <row r="151" spans="2:4">
      <c r="B151" s="214" t="s">
        <v>261</v>
      </c>
      <c r="C151" s="92">
        <f>Scenarios!F83</f>
        <v>0.56182705699406987</v>
      </c>
    </row>
    <row r="153" spans="2:4">
      <c r="B153" s="210" t="s">
        <v>408</v>
      </c>
    </row>
    <row r="154" spans="2:4">
      <c r="B154" s="1" t="s">
        <v>407</v>
      </c>
      <c r="C154" s="297">
        <f>Scenarios!C90</f>
        <v>0.25</v>
      </c>
    </row>
    <row r="155" spans="2:4">
      <c r="B155" s="212" t="str">
        <f>"PV("&amp;C141&amp;" yrs of Dividends)"</f>
        <v>PV(3 yrs of Dividends)</v>
      </c>
      <c r="C155" s="216">
        <f>Scenarios!C91</f>
        <v>0.93755497332662086</v>
      </c>
    </row>
    <row r="156" spans="2:4">
      <c r="B156" s="212" t="str">
        <f>"+ PV(Equity Value realized at year "&amp;C141&amp;")"</f>
        <v>+ PV(Equity Value realized at year 3)</v>
      </c>
      <c r="C156" s="216">
        <f>Scenarios!C92</f>
        <v>13.143178930663739</v>
      </c>
    </row>
    <row r="157" spans="2:4">
      <c r="B157" s="80" t="s">
        <v>259</v>
      </c>
      <c r="C157" s="215">
        <f>Scenarios!C93</f>
        <v>14.08073390399036</v>
      </c>
      <c r="D157" s="300" t="str">
        <f>IF($D$11="","",C157*$E$25)</f>
        <v/>
      </c>
    </row>
    <row r="158" spans="2:4">
      <c r="B158" s="259" t="s">
        <v>413</v>
      </c>
      <c r="C158" s="298" t="str">
        <f>Market_currency</f>
        <v>HKD</v>
      </c>
      <c r="D158" s="298" t="str">
        <f>IF($D$11="","",D$13)</f>
        <v/>
      </c>
    </row>
    <row r="159" spans="2:4">
      <c r="B159" s="214" t="s">
        <v>261</v>
      </c>
      <c r="C159" s="92">
        <f>Scenarios!F93</f>
        <v>0.45147701352347114</v>
      </c>
    </row>
    <row r="161" spans="2:4">
      <c r="B161" s="210" t="s">
        <v>397</v>
      </c>
    </row>
    <row r="162" spans="2:4">
      <c r="B162" s="1" t="s">
        <v>406</v>
      </c>
      <c r="C162" s="92">
        <f>Scenarios!C96</f>
        <v>7.4999999999999997E-2</v>
      </c>
    </row>
    <row r="163" spans="2:4">
      <c r="B163" s="212" t="str">
        <f>"PV("&amp;C141&amp;" yrs of Dividends)"</f>
        <v>PV(3 yrs of Dividends)</v>
      </c>
      <c r="C163" s="216">
        <f>Scenarios!C97</f>
        <v>1.2490450003487941</v>
      </c>
    </row>
    <row r="164" spans="2:4">
      <c r="B164" s="212" t="str">
        <f>"+ PV(Equity Value realized at year "&amp;C141&amp;")"</f>
        <v>+ PV(Equity Value realized at year 3)</v>
      </c>
      <c r="C164" s="216">
        <f>Scenarios!C98</f>
        <v>20.66355624451894</v>
      </c>
    </row>
    <row r="165" spans="2:4">
      <c r="B165" s="80" t="s">
        <v>398</v>
      </c>
      <c r="C165" s="215">
        <f>Scenarios!C99</f>
        <v>21.912601244867734</v>
      </c>
      <c r="D165" s="300" t="str">
        <f>IF($D$11="","",C165*$E$25)</f>
        <v/>
      </c>
    </row>
    <row r="166" spans="2:4">
      <c r="B166" s="259" t="s">
        <v>413</v>
      </c>
      <c r="C166" s="298" t="str">
        <f>Market_currency</f>
        <v>HKD</v>
      </c>
      <c r="D166" s="298" t="str">
        <f>IF($D$11="","",D$13)</f>
        <v/>
      </c>
    </row>
    <row r="167" spans="2:4">
      <c r="B167" s="214" t="s">
        <v>261</v>
      </c>
      <c r="C167" s="92">
        <f>Scenarios!F99</f>
        <v>0.14638217309838442</v>
      </c>
    </row>
    <row r="169" spans="2:4">
      <c r="B169" s="210" t="s">
        <v>429</v>
      </c>
    </row>
    <row r="170" spans="2:4">
      <c r="B170" s="1" t="s">
        <v>420</v>
      </c>
      <c r="C170" s="92">
        <f>F32</f>
        <v>0.1174</v>
      </c>
    </row>
    <row r="171" spans="2:4">
      <c r="B171" s="212" t="str">
        <f>"PV("&amp;C141&amp;" yrs of Dividends)"</f>
        <v>PV(3 yrs of Dividends)</v>
      </c>
      <c r="C171" s="216">
        <f>Scenarios!C103</f>
        <v>1.1587848664893095</v>
      </c>
    </row>
    <row r="172" spans="2:4">
      <c r="B172" s="212" t="str">
        <f>"+ PV(Equity Value realized at year "&amp;C141&amp;")"</f>
        <v>+ PV(Equity Value realized at year 3)</v>
      </c>
      <c r="C172" s="216">
        <f>Scenarios!C104</f>
        <v>18.399433780871902</v>
      </c>
    </row>
    <row r="173" spans="2:4">
      <c r="B173" s="80" t="s">
        <v>398</v>
      </c>
      <c r="C173" s="215">
        <f>Scenarios!C105</f>
        <v>19.558218647361212</v>
      </c>
      <c r="D173" s="300" t="str">
        <f>IF($D$11="","",C173*$E$25)</f>
        <v/>
      </c>
    </row>
    <row r="174" spans="2:4">
      <c r="B174" s="259" t="s">
        <v>413</v>
      </c>
      <c r="C174" s="298" t="str">
        <f>Market_currency</f>
        <v>HKD</v>
      </c>
      <c r="D174" s="298" t="str">
        <f>IF($D$11="","",D$13)</f>
        <v/>
      </c>
    </row>
    <row r="175" spans="2:4">
      <c r="B175" s="214" t="s">
        <v>261</v>
      </c>
      <c r="C175" s="92">
        <f>Scenarios!F105</f>
        <v>0.23653531990353049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43</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54</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61</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49</v>
      </c>
      <c r="C8" s="351"/>
      <c r="D8" s="351"/>
      <c r="E8" s="351"/>
      <c r="F8" s="351"/>
      <c r="G8" s="351"/>
      <c r="H8" s="351"/>
      <c r="I8" s="351"/>
      <c r="J8" s="351"/>
      <c r="K8" s="351"/>
      <c r="L8" s="351"/>
      <c r="M8" s="351"/>
    </row>
    <row r="9" spans="2:13">
      <c r="B9" s="40" t="s">
        <v>158</v>
      </c>
      <c r="C9" s="351">
        <v>256299</v>
      </c>
      <c r="D9" s="351">
        <v>377972</v>
      </c>
      <c r="E9" s="351">
        <v>201155</v>
      </c>
      <c r="F9" s="351">
        <v>159222</v>
      </c>
      <c r="G9" s="351">
        <v>83487</v>
      </c>
      <c r="H9" s="351">
        <v>343469</v>
      </c>
      <c r="I9" s="351">
        <v>63633</v>
      </c>
      <c r="J9" s="351">
        <v>73806</v>
      </c>
      <c r="K9" s="351">
        <v>9716</v>
      </c>
      <c r="L9" s="351">
        <v>6948</v>
      </c>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254421</v>
      </c>
      <c r="D12" s="351">
        <v>181446</v>
      </c>
      <c r="E12" s="351">
        <v>120561</v>
      </c>
      <c r="F12" s="351">
        <v>112458</v>
      </c>
      <c r="G12" s="351"/>
      <c r="H12" s="351"/>
      <c r="I12" s="351"/>
      <c r="J12" s="351"/>
      <c r="K12" s="351"/>
      <c r="L12" s="351"/>
      <c r="M12" s="351"/>
    </row>
    <row r="13" spans="2:13">
      <c r="B13" s="40" t="s">
        <v>67</v>
      </c>
      <c r="C13" s="351">
        <v>429525</v>
      </c>
      <c r="D13" s="351">
        <v>500556</v>
      </c>
      <c r="E13" s="351">
        <v>447748</v>
      </c>
      <c r="F13" s="351">
        <v>145097</v>
      </c>
      <c r="G13" s="351"/>
      <c r="H13" s="351"/>
      <c r="I13" s="351"/>
      <c r="J13" s="351"/>
      <c r="K13" s="351"/>
      <c r="L13" s="351"/>
      <c r="M13" s="351"/>
    </row>
    <row r="14" spans="2:13">
      <c r="B14" s="40" t="s">
        <v>50</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42</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44</v>
      </c>
      <c r="C16" s="351">
        <v>0</v>
      </c>
      <c r="D16" s="351">
        <v>52</v>
      </c>
      <c r="E16" s="351">
        <v>-63</v>
      </c>
      <c r="F16" s="351">
        <v>7</v>
      </c>
      <c r="G16" s="351">
        <v>0</v>
      </c>
      <c r="H16" s="351">
        <v>4</v>
      </c>
      <c r="I16" s="351">
        <v>0</v>
      </c>
      <c r="J16" s="351">
        <v>0</v>
      </c>
      <c r="K16" s="351">
        <v>57615</v>
      </c>
      <c r="L16" s="351">
        <v>47296</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52</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368</v>
      </c>
      <c r="C22" s="351"/>
      <c r="D22" s="351">
        <v>4687936</v>
      </c>
      <c r="E22" s="351">
        <v>3913604</v>
      </c>
      <c r="F22" s="351">
        <v>6525335</v>
      </c>
      <c r="G22" s="351">
        <v>2763336</v>
      </c>
      <c r="H22" s="351">
        <v>3503469</v>
      </c>
      <c r="I22" s="351">
        <v>1671869</v>
      </c>
      <c r="J22" s="351">
        <v>1159143</v>
      </c>
      <c r="K22" s="351">
        <v>995476</v>
      </c>
      <c r="L22" s="351">
        <v>687043</v>
      </c>
      <c r="M22" s="351"/>
    </row>
    <row r="23" spans="2:13">
      <c r="B23" s="27" t="s">
        <v>370</v>
      </c>
      <c r="C23" s="351"/>
      <c r="D23" s="351">
        <v>-2449105</v>
      </c>
      <c r="E23" s="351">
        <v>-9481433</v>
      </c>
      <c r="F23" s="351">
        <v>-6538700</v>
      </c>
      <c r="G23" s="351">
        <v>-991555</v>
      </c>
      <c r="H23" s="351">
        <v>-573343</v>
      </c>
      <c r="I23" s="351">
        <v>-482937</v>
      </c>
      <c r="J23" s="351">
        <v>-342516</v>
      </c>
      <c r="K23" s="351">
        <v>-320306</v>
      </c>
      <c r="L23" s="351">
        <v>-362745</v>
      </c>
      <c r="M23" s="351"/>
    </row>
    <row r="24" spans="2:13">
      <c r="B24" s="27" t="s">
        <v>369</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0.53367200212125498</v>
      </c>
      <c r="D25" s="39"/>
      <c r="E25" s="39"/>
      <c r="F25" s="39"/>
      <c r="G25" s="39"/>
      <c r="H25" s="39"/>
      <c r="I25" s="39"/>
      <c r="J25" s="39"/>
      <c r="K25" s="39"/>
      <c r="L25" s="39"/>
      <c r="M25" s="39"/>
    </row>
    <row r="27" spans="2:13">
      <c r="B27" s="16" t="s">
        <v>28</v>
      </c>
      <c r="C27" s="97" t="s">
        <v>464</v>
      </c>
    </row>
    <row r="28" spans="2:13">
      <c r="B28" s="26" t="s">
        <v>24</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32</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40</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30</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171</v>
      </c>
      <c r="C32" s="333">
        <f>BS!G28</f>
        <v>0</v>
      </c>
      <c r="D32" s="351">
        <v>0</v>
      </c>
      <c r="E32" s="351">
        <v>2498</v>
      </c>
      <c r="F32" s="351">
        <v>2561</v>
      </c>
      <c r="G32" s="351">
        <v>2554</v>
      </c>
      <c r="H32" s="351">
        <v>2554</v>
      </c>
      <c r="I32" s="351">
        <v>2550</v>
      </c>
      <c r="J32" s="351">
        <v>2550</v>
      </c>
      <c r="K32" s="351">
        <v>2550</v>
      </c>
      <c r="L32" s="351">
        <v>230637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43</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58</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54</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61</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64</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167</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68</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42</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44</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68</v>
      </c>
    </row>
    <row r="51" spans="2:13">
      <c r="B51" s="40" t="s">
        <v>39</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52</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390</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36</v>
      </c>
      <c r="C65" s="73">
        <f>IF(C$4="","",C25)</f>
        <v>0.53367200212125498</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167</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85</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86</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40</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30</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1004591+245432</f>
        <v>1250023</v>
      </c>
      <c r="D4" s="261">
        <v>0.6</v>
      </c>
      <c r="E4" s="25"/>
      <c r="F4" s="4" t="s">
        <v>77</v>
      </c>
      <c r="G4" s="19">
        <f>8264361+7498596</f>
        <v>15762957</v>
      </c>
      <c r="H4" s="261">
        <v>0.9</v>
      </c>
    </row>
    <row r="5" spans="2:8" ht="15" customHeight="1">
      <c r="B5" s="1" t="s">
        <v>33</v>
      </c>
      <c r="C5" s="19">
        <v>0</v>
      </c>
      <c r="D5" s="261">
        <v>0.6</v>
      </c>
      <c r="E5" s="25"/>
      <c r="F5" s="1" t="s">
        <v>29</v>
      </c>
      <c r="G5" s="19">
        <v>23261</v>
      </c>
      <c r="H5" s="261">
        <v>0.7</v>
      </c>
    </row>
    <row r="6" spans="2:8" ht="15" customHeight="1">
      <c r="B6" s="4" t="s">
        <v>10</v>
      </c>
      <c r="C6" s="19">
        <v>2598226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893775</v>
      </c>
      <c r="D11" s="261">
        <v>0.05</v>
      </c>
      <c r="H11" s="262"/>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166519</v>
      </c>
      <c r="D15" s="261">
        <v>0.4</v>
      </c>
      <c r="F15" s="4" t="s">
        <v>78</v>
      </c>
      <c r="G15" s="19">
        <v>2377970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450316</v>
      </c>
      <c r="H17" s="261">
        <v>0.6</v>
      </c>
    </row>
    <row r="18" spans="2:8" ht="15" customHeight="1">
      <c r="B18" s="4" t="s">
        <v>172</v>
      </c>
      <c r="C18" s="19">
        <v>0</v>
      </c>
      <c r="D18" s="261">
        <v>0.6</v>
      </c>
      <c r="F18" s="4" t="s">
        <v>180</v>
      </c>
      <c r="G18" s="19">
        <v>1743938</v>
      </c>
      <c r="H18" s="261">
        <v>0.1</v>
      </c>
    </row>
    <row r="19" spans="2:8" ht="15" customHeight="1">
      <c r="B19" s="4" t="s">
        <v>26</v>
      </c>
      <c r="C19" s="19">
        <f>4610454+1576667+150864</f>
        <v>6337985</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234736</v>
      </c>
      <c r="D21" s="261">
        <v>0.05</v>
      </c>
      <c r="F21" s="1" t="s">
        <v>179</v>
      </c>
      <c r="G21" s="19">
        <v>2913826</v>
      </c>
      <c r="H21" s="261">
        <v>0.1</v>
      </c>
    </row>
    <row r="22" spans="2:8" ht="15" customHeight="1">
      <c r="B22" s="4" t="s">
        <v>20</v>
      </c>
      <c r="C22" s="19">
        <v>949424</v>
      </c>
      <c r="D22" s="261">
        <v>0.9</v>
      </c>
      <c r="H22" s="262"/>
    </row>
    <row r="23" spans="2:8" ht="15" customHeight="1">
      <c r="B23" s="4" t="s">
        <v>21</v>
      </c>
      <c r="C23" s="19">
        <v>5450</v>
      </c>
      <c r="D23" s="261">
        <v>0</v>
      </c>
      <c r="H23" s="262"/>
    </row>
    <row r="24" spans="2:8" ht="15" customHeight="1">
      <c r="B24" s="80" t="s">
        <v>73</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199</v>
      </c>
      <c r="C26" s="182" t="s">
        <v>135</v>
      </c>
      <c r="F26" s="184" t="s">
        <v>195</v>
      </c>
      <c r="G26" s="185" t="s">
        <v>135</v>
      </c>
      <c r="H26" s="186" t="s">
        <v>35</v>
      </c>
    </row>
    <row r="27" spans="2:8" ht="15" customHeight="1">
      <c r="B27" s="4" t="s">
        <v>5</v>
      </c>
      <c r="C27" s="19">
        <v>0</v>
      </c>
      <c r="F27" s="187" t="s">
        <v>30</v>
      </c>
      <c r="G27" s="85">
        <f>G32-G30</f>
        <v>26103689</v>
      </c>
      <c r="H27" s="188">
        <f>H32-G30</f>
        <v>10897009.050000001</v>
      </c>
    </row>
    <row r="28" spans="2:8" ht="15" customHeight="1">
      <c r="B28" s="4" t="s">
        <v>6</v>
      </c>
      <c r="C28" s="19">
        <v>551610</v>
      </c>
      <c r="F28" s="189" t="s">
        <v>243</v>
      </c>
      <c r="G28" s="12">
        <v>0</v>
      </c>
      <c r="H28" s="188"/>
    </row>
    <row r="29" spans="2:8" ht="15" customHeight="1">
      <c r="B29" s="4" t="s">
        <v>7</v>
      </c>
      <c r="C29" s="19">
        <v>0</v>
      </c>
      <c r="F29" s="190" t="s">
        <v>75</v>
      </c>
      <c r="G29" s="14">
        <f>G27-G28</f>
        <v>26103689</v>
      </c>
      <c r="H29" s="188">
        <f>H27-G28</f>
        <v>10897009.050000001</v>
      </c>
    </row>
    <row r="30" spans="2:8" ht="15" customHeight="1">
      <c r="B30" s="2" t="s">
        <v>8</v>
      </c>
      <c r="C30" s="19">
        <v>0</v>
      </c>
      <c r="F30" s="187" t="s">
        <v>23</v>
      </c>
      <c r="G30" s="85">
        <f>C33+C42</f>
        <v>9604717</v>
      </c>
      <c r="H30" s="188"/>
    </row>
    <row r="31" spans="2:8" ht="15" customHeight="1">
      <c r="B31" s="80" t="s">
        <v>202</v>
      </c>
      <c r="C31" s="81">
        <f>SUM(C27:C30)</f>
        <v>551610</v>
      </c>
      <c r="F31" s="190" t="s">
        <v>76</v>
      </c>
      <c r="G31" s="191">
        <f>C31+C40</f>
        <v>1936137</v>
      </c>
      <c r="H31" s="188"/>
    </row>
    <row r="32" spans="2:8" ht="15" customHeight="1">
      <c r="B32" s="4" t="s">
        <v>9</v>
      </c>
      <c r="C32" s="21">
        <f>C33-C31</f>
        <v>7034336</v>
      </c>
      <c r="F32" s="192" t="s">
        <v>74</v>
      </c>
      <c r="G32" s="193">
        <f>G35+G40</f>
        <v>35708406</v>
      </c>
      <c r="H32" s="188">
        <f>H35+H40</f>
        <v>20501726.050000001</v>
      </c>
    </row>
    <row r="33" spans="2:8" ht="15" customHeight="1">
      <c r="B33" s="83" t="s">
        <v>4</v>
      </c>
      <c r="C33" s="84">
        <v>7585946</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12436138</v>
      </c>
      <c r="H35" s="200">
        <f>D12+D24</f>
        <v>3660440.05</v>
      </c>
    </row>
    <row r="36" spans="2:8" ht="15" customHeight="1">
      <c r="B36" s="4" t="s">
        <v>13</v>
      </c>
      <c r="C36" s="19">
        <v>0</v>
      </c>
      <c r="F36" s="190" t="s">
        <v>196</v>
      </c>
      <c r="G36" s="191">
        <f>C4+C15</f>
        <v>1416542</v>
      </c>
      <c r="H36" s="195"/>
    </row>
    <row r="37" spans="2:8" ht="15" customHeight="1">
      <c r="B37" s="4" t="s">
        <v>14</v>
      </c>
      <c r="C37" s="19">
        <v>1384527</v>
      </c>
      <c r="F37" s="190" t="s">
        <v>197</v>
      </c>
      <c r="G37" s="191">
        <f>C6</f>
        <v>2598226</v>
      </c>
      <c r="H37" s="195"/>
    </row>
    <row r="38" spans="2:8" ht="15" customHeight="1">
      <c r="B38" s="4" t="s">
        <v>15</v>
      </c>
      <c r="C38" s="19">
        <v>0</v>
      </c>
      <c r="F38" s="190" t="s">
        <v>198</v>
      </c>
      <c r="G38" s="191">
        <f>C7+C17</f>
        <v>0</v>
      </c>
      <c r="H38" s="195"/>
    </row>
    <row r="39" spans="2:8" ht="15" customHeight="1">
      <c r="B39" s="2" t="s">
        <v>16</v>
      </c>
      <c r="C39" s="19">
        <v>0</v>
      </c>
      <c r="F39" s="190" t="s">
        <v>79</v>
      </c>
      <c r="G39" s="191">
        <f>C7+C17+C19+C20</f>
        <v>6337985</v>
      </c>
      <c r="H39" s="188">
        <f>C7*D7+C17*D17+C19*D19+C20*D20</f>
        <v>633798.5</v>
      </c>
    </row>
    <row r="40" spans="2:8" ht="15" customHeight="1">
      <c r="B40" s="80" t="s">
        <v>203</v>
      </c>
      <c r="C40" s="81">
        <f>SUM(C36:C39)</f>
        <v>1384527</v>
      </c>
      <c r="F40" s="199" t="s">
        <v>137</v>
      </c>
      <c r="G40" s="193">
        <f>G12+G24</f>
        <v>23272268</v>
      </c>
      <c r="H40" s="200">
        <f>H12+H24</f>
        <v>16841286</v>
      </c>
    </row>
    <row r="41" spans="2:8" ht="15" customHeight="1">
      <c r="B41" s="4" t="s">
        <v>17</v>
      </c>
      <c r="C41" s="21">
        <f>C42-C40</f>
        <v>634244</v>
      </c>
      <c r="F41" s="190" t="s">
        <v>190</v>
      </c>
      <c r="G41" s="191">
        <f>C70</f>
        <v>19908126</v>
      </c>
      <c r="H41" s="200">
        <f>H40-H42</f>
        <v>16279713.800000001</v>
      </c>
    </row>
    <row r="42" spans="2:8" ht="15" customHeight="1">
      <c r="B42" s="83" t="s">
        <v>22</v>
      </c>
      <c r="C42" s="84">
        <v>2018771</v>
      </c>
      <c r="F42" s="201" t="s">
        <v>191</v>
      </c>
      <c r="G42" s="202">
        <f>C82</f>
        <v>3364142</v>
      </c>
      <c r="H42" s="203">
        <f>D82</f>
        <v>561572.19999999995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26103689</v>
      </c>
      <c r="D46" s="76">
        <f>H29</f>
        <v>10897009.050000001</v>
      </c>
      <c r="F46" s="253"/>
    </row>
    <row r="47" spans="2:8" ht="15" customHeight="1">
      <c r="B47" s="1" t="str">
        <f>"Equity per share ("&amp;Market_currency&amp;")"</f>
        <v>Equity per share (HKD)</v>
      </c>
      <c r="C47" s="147">
        <f>C46*H1/Common_Shares*Exchange_Rate</f>
        <v>11.066447760247542</v>
      </c>
      <c r="D47" s="147">
        <f>D46*H1/Common_Shares*Exchange_Rate</f>
        <v>4.6196988247434945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0.60402076709908736</v>
      </c>
      <c r="D50" s="95">
        <f>G31/Normalized_FCF!G8</f>
        <v>0.54859123183168057</v>
      </c>
      <c r="F50" s="253"/>
    </row>
    <row r="51" spans="2:8" ht="15" customHeight="1">
      <c r="B51" s="1" t="s">
        <v>175</v>
      </c>
      <c r="C51" s="181"/>
      <c r="D51" s="92">
        <f>G29/G32</f>
        <v>0.73102364188421065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0.25775000437452</v>
      </c>
      <c r="D54" s="92">
        <f>Normalized_FCF!G8/G35</f>
        <v>0.28379300712166428</v>
      </c>
      <c r="F54" s="253"/>
    </row>
    <row r="55" spans="2:8" ht="15" customHeight="1">
      <c r="B55" s="1" t="s">
        <v>140</v>
      </c>
      <c r="C55" s="92">
        <f>Normalized_FCF!C11/G40</f>
        <v>7.709145494543118E-3</v>
      </c>
      <c r="D55" s="92">
        <f>Normalized_FCF!G11/G40</f>
        <v>1.1013064992204455E-2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0.17749280099481338</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18164188</v>
      </c>
      <c r="D66" s="76">
        <f>C66-D75</f>
        <v>14108109.808388049</v>
      </c>
      <c r="F66" s="5" t="s">
        <v>225</v>
      </c>
    </row>
    <row r="67" spans="2:6" ht="15" customHeight="1">
      <c r="B67" s="105" t="s">
        <v>176</v>
      </c>
      <c r="C67" s="20">
        <f>G6+G16</f>
        <v>0</v>
      </c>
      <c r="F67" s="253"/>
    </row>
    <row r="68" spans="2:6" ht="15" customHeight="1">
      <c r="B68" s="105" t="s">
        <v>180</v>
      </c>
      <c r="C68" s="20">
        <f>G18</f>
        <v>1743938</v>
      </c>
      <c r="F68" s="253"/>
    </row>
    <row r="69" spans="2:6" ht="15" customHeight="1">
      <c r="B69" s="105" t="s">
        <v>178</v>
      </c>
      <c r="C69" s="20">
        <f>G8+G20</f>
        <v>0</v>
      </c>
      <c r="F69" s="253"/>
    </row>
    <row r="70" spans="2:6" ht="15" customHeight="1">
      <c r="B70" s="80" t="s">
        <v>187</v>
      </c>
      <c r="C70" s="81">
        <f>SUM(C66:C69)</f>
        <v>19908126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-2210482.3561311536</v>
      </c>
      <c r="D73" s="349">
        <f>(Normalized_FCF!C25+Normalized_FCF!C35-Normalized_FCF!C91)/12</f>
        <v>-2028039.0958059758</v>
      </c>
      <c r="F73" s="1" t="s">
        <v>348</v>
      </c>
    </row>
    <row r="74" spans="2:6" ht="15" customHeight="1">
      <c r="B74" s="257" t="s">
        <v>318</v>
      </c>
      <c r="C74" s="258">
        <f>-$C$66/C73</f>
        <v>8.2172960800245676</v>
      </c>
      <c r="D74" s="258">
        <f>-$C$66/D73</f>
        <v>8.9565275332038183</v>
      </c>
      <c r="F74" s="253" t="s">
        <v>316</v>
      </c>
    </row>
    <row r="75" spans="2:6" ht="15" customHeight="1">
      <c r="B75" s="80" t="s">
        <v>317</v>
      </c>
      <c r="C75" s="320"/>
      <c r="D75" s="321">
        <f>MAX(-D73*D76,G5)</f>
        <v>4056078.1916119517</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450316</v>
      </c>
      <c r="D79" s="76">
        <f>G7*H7+G17*H17</f>
        <v>270189.59999999998</v>
      </c>
      <c r="F79" s="253"/>
    </row>
    <row r="80" spans="2:6" ht="15" customHeight="1">
      <c r="B80" s="105" t="s">
        <v>181</v>
      </c>
      <c r="C80" s="20">
        <f>G19</f>
        <v>0</v>
      </c>
      <c r="D80" s="76">
        <f>G19*H19</f>
        <v>0</v>
      </c>
      <c r="F80" s="253"/>
    </row>
    <row r="81" spans="2:8" ht="15" customHeight="1">
      <c r="B81" s="105" t="s">
        <v>179</v>
      </c>
      <c r="C81" s="20">
        <f>G9+G21</f>
        <v>2913826</v>
      </c>
      <c r="D81" s="76">
        <f>G9*H9+G21*H21</f>
        <v>291382.60000000003</v>
      </c>
      <c r="F81" s="253"/>
    </row>
    <row r="82" spans="2:8" ht="15" customHeight="1">
      <c r="B82" s="80" t="s">
        <v>188</v>
      </c>
      <c r="C82" s="81">
        <f>SUM(C79:C81)</f>
        <v>3364142</v>
      </c>
      <c r="D82" s="81">
        <f>SUM(D79:D81)</f>
        <v>561572.19999999995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-2121626.9789299197</v>
      </c>
      <c r="D86" s="223">
        <f>C86*scaling_factor/Common_Shares</f>
        <v>-0.82080961687761433</v>
      </c>
      <c r="E86" s="240" t="str">
        <f>Market_currency</f>
        <v>HKD</v>
      </c>
    </row>
    <row r="87" spans="2:8" ht="15" customHeight="1">
      <c r="B87" s="238" t="s">
        <v>286</v>
      </c>
      <c r="C87" s="76">
        <f>DCF!C8*Exchange_Rate</f>
        <v>15459725.417768426</v>
      </c>
      <c r="D87" s="223">
        <f>C87*scaling_factor/Common_Shares</f>
        <v>5.9810190119244186</v>
      </c>
      <c r="E87" s="240" t="str">
        <f>Market_currency</f>
        <v>HKD</v>
      </c>
    </row>
    <row r="88" spans="2:8" ht="15" customHeight="1">
      <c r="B88" s="239" t="s">
        <v>188</v>
      </c>
      <c r="C88" s="76">
        <f>DCF!C9*Exchange_Rate</f>
        <v>615373.15290035191</v>
      </c>
      <c r="D88" s="223">
        <f>C88*scaling_factor/Common_Shares</f>
        <v>0.23807399080288169</v>
      </c>
      <c r="E88" s="240" t="str">
        <f>Market_currency</f>
        <v>HKD</v>
      </c>
    </row>
    <row r="89" spans="2:8" ht="15" customHeight="1">
      <c r="B89" s="80" t="s">
        <v>290</v>
      </c>
      <c r="C89" s="180">
        <f>SUM(C86:C88)</f>
        <v>13953471.591738857</v>
      </c>
      <c r="D89" s="242">
        <f>SUM(D86:D88)</f>
        <v>5.3982833858496857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46</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48</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45</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151</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193</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68</v>
      </c>
      <c r="C12" s="328">
        <f>C50</f>
        <v>-158507.71253280778</v>
      </c>
      <c r="E12" s="268"/>
      <c r="G12" s="328">
        <f>G50</f>
        <v>-158507.71253280778</v>
      </c>
      <c r="H12" s="328">
        <f t="shared" ref="H12:Q12" si="6">H50</f>
        <v>-69671.43153151068</v>
      </c>
      <c r="I12" s="328">
        <f t="shared" si="6"/>
        <v>-20578.501572992507</v>
      </c>
      <c r="J12" s="328">
        <f t="shared" si="6"/>
        <v>-80057.719989227189</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3226316.2113693268</v>
      </c>
      <c r="E13" s="268"/>
      <c r="G13" s="329">
        <f>IF(G$4="","",SUM(G8:G12))</f>
        <v>3628895.5614671926</v>
      </c>
      <c r="H13" s="329">
        <f t="shared" ref="H13:Q13" si="7">IF(H$4="","",SUM(H8:H12))</f>
        <v>3325897.8424684894</v>
      </c>
      <c r="I13" s="329">
        <f t="shared" si="7"/>
        <v>4239678.9234270072</v>
      </c>
      <c r="J13" s="329">
        <f t="shared" si="7"/>
        <v>4800538.0340107726</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63</v>
      </c>
      <c r="C14" s="328">
        <f>-SUM(C8+C11,C12)*C43</f>
        <v>-806579.0528423317</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242</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153</v>
      </c>
      <c r="C16" s="332">
        <f>SUM(C13:C15)</f>
        <v>2419737.1585269952</v>
      </c>
      <c r="D16" s="61"/>
      <c r="E16" s="276"/>
      <c r="F16" s="61"/>
      <c r="G16" s="329">
        <f>IF(G$4="","",SUM(G13:G15))</f>
        <v>2532204.5614671926</v>
      </c>
      <c r="H16" s="329">
        <f t="shared" ref="H16:Q16" si="8">IF(H$4="","",SUM(H13:H15))</f>
        <v>2256638.8424684894</v>
      </c>
      <c r="I16" s="329">
        <f t="shared" si="8"/>
        <v>2888349.9234270072</v>
      </c>
      <c r="J16" s="329">
        <f t="shared" si="8"/>
        <v>3483182.0340107726</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2419737.1585269952</v>
      </c>
      <c r="D19" s="27"/>
      <c r="E19" s="265"/>
      <c r="F19" s="27"/>
      <c r="G19" s="334">
        <f>IF(G$4="","",G16+G17)</f>
        <v>2532204.5614671926</v>
      </c>
      <c r="H19" s="334">
        <f t="shared" ref="H19:Q19" si="9">IF(H$4="","",H16+H17)</f>
        <v>2256638.8424684894</v>
      </c>
      <c r="I19" s="334">
        <f t="shared" si="9"/>
        <v>2888349.9234270072</v>
      </c>
      <c r="J19" s="334">
        <f t="shared" si="9"/>
        <v>3483182.0340107726</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62</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46</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0.50211018583667277</v>
      </c>
      <c r="D28" s="26"/>
      <c r="E28" s="266" t="s">
        <v>330</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330</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-1427907</v>
      </c>
      <c r="E33" s="266" t="s">
        <v>330</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0.30236193110735482</v>
      </c>
      <c r="H43" s="6">
        <f t="shared" si="18"/>
        <v>0.3216547657817711</v>
      </c>
      <c r="I43" s="6">
        <f t="shared" si="18"/>
        <v>0.31887147464133803</v>
      </c>
      <c r="J43" s="6">
        <f t="shared" si="18"/>
        <v>0.27447571171720525</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95913.287467192233</v>
      </c>
      <c r="E48" s="268"/>
      <c r="G48" s="337">
        <f>IFERROR(IF(G$4="","",($C$48/$C$49)*G49),0)</f>
        <v>95913.287467192233</v>
      </c>
      <c r="H48" s="337">
        <f t="shared" ref="H48:Q48" si="19">IFERROR(IF(H$4="","",($C$48/$C$49)*H49),0)</f>
        <v>111774.56846848932</v>
      </c>
      <c r="I48" s="337">
        <f t="shared" si="19"/>
        <v>99982.498427007493</v>
      </c>
      <c r="J48" s="337">
        <f t="shared" si="19"/>
        <v>32400.280010772811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-158507.71253280778</v>
      </c>
      <c r="E50" s="268"/>
      <c r="G50" s="329">
        <f>IF(G$4="","",(G47+G48))</f>
        <v>-158507.71253280778</v>
      </c>
      <c r="H50" s="329">
        <f t="shared" ref="H50:Q50" si="20">IF(H$4="","",(H47+H48))</f>
        <v>-69671.43153151068</v>
      </c>
      <c r="I50" s="329">
        <f t="shared" si="20"/>
        <v>-20578.501572992507</v>
      </c>
      <c r="J50" s="329">
        <f t="shared" si="20"/>
        <v>-80057.719989227189</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2.3646804360316024E-2</v>
      </c>
      <c r="E53" s="265" t="s">
        <v>332</v>
      </c>
      <c r="G53" s="6">
        <f>IF(Normalized_FCF!G4="","",Normalized_FCF!G49/BS!$C$66)</f>
        <v>2.3646804360316024E-2</v>
      </c>
      <c r="H53" s="169"/>
      <c r="I53" s="169"/>
      <c r="J53" s="169"/>
      <c r="K53" s="169"/>
      <c r="L53" s="169"/>
      <c r="M53" s="169"/>
      <c r="N53" s="169"/>
      <c r="O53" s="169"/>
      <c r="P53" s="169"/>
      <c r="Q53" s="169"/>
    </row>
    <row r="54" spans="1:17" ht="15.75" customHeight="1">
      <c r="A54" s="10"/>
      <c r="B54" s="8" t="s">
        <v>87</v>
      </c>
      <c r="C54" s="82">
        <f>G54</f>
        <v>0.13140650687425529</v>
      </c>
      <c r="E54" s="265" t="s">
        <v>333</v>
      </c>
      <c r="G54" s="23">
        <f>IFERROR(ABS(Normalized_FCF!G47/BS!$G$31),0)</f>
        <v>0.13140650687425529</v>
      </c>
      <c r="H54" s="169"/>
      <c r="I54" s="169"/>
      <c r="J54" s="169"/>
      <c r="K54" s="169"/>
      <c r="L54" s="169"/>
      <c r="M54" s="169"/>
      <c r="N54" s="169"/>
      <c r="O54" s="169"/>
      <c r="P54" s="169"/>
      <c r="Q54" s="169"/>
    </row>
    <row r="55" spans="1:17" ht="15.75" customHeight="1">
      <c r="A55" s="10"/>
      <c r="B55" s="26" t="s">
        <v>90</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159</v>
      </c>
      <c r="C62" s="343">
        <v>0</v>
      </c>
      <c r="E62" s="266" t="s">
        <v>334</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194</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151</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152</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6.0585960245353853E-3</v>
      </c>
      <c r="D80" s="27"/>
      <c r="E80" s="265"/>
      <c r="F80" s="27"/>
      <c r="G80" s="6">
        <f t="shared" ref="G80:Q80" si="31">IF(G$4="","",ABS(G12/G$4))</f>
        <v>5.5276079609725848E-3</v>
      </c>
      <c r="H80" s="6">
        <f t="shared" si="31"/>
        <v>2.5244652517962189E-3</v>
      </c>
      <c r="I80" s="6">
        <f t="shared" si="31"/>
        <v>7.9751176708079351E-4</v>
      </c>
      <c r="J80" s="6">
        <f t="shared" si="31"/>
        <v>3.5467270671150687E-3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0.12331858342886919</v>
      </c>
      <c r="D81" s="27"/>
      <c r="E81" s="265"/>
      <c r="F81" s="27"/>
      <c r="G81" s="65">
        <f t="shared" ref="G81:Q81" si="32">IF(G$4="","",G13/G$4)</f>
        <v>0.12654975379164793</v>
      </c>
      <c r="H81" s="65">
        <f t="shared" si="32"/>
        <v>0.12051013377754927</v>
      </c>
      <c r="I81" s="65">
        <f t="shared" si="32"/>
        <v>0.1643070958341783</v>
      </c>
      <c r="J81" s="65">
        <f t="shared" si="32"/>
        <v>0.21267403298810486</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3.0829645857217296E-2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153</v>
      </c>
      <c r="C84" s="78">
        <f>ABS(C16/C$4)</f>
        <v>9.2488937571651886E-2</v>
      </c>
      <c r="D84" s="27"/>
      <c r="E84" s="265"/>
      <c r="F84" s="27"/>
      <c r="G84" s="65">
        <f t="shared" ref="G84:Q84" si="35">IF(G$4="","",ABS(G16/G$4))</f>
        <v>8.8305066479841182E-2</v>
      </c>
      <c r="H84" s="65">
        <f t="shared" si="35"/>
        <v>8.1766747409069918E-2</v>
      </c>
      <c r="I84" s="65">
        <f t="shared" si="35"/>
        <v>0.11193686980606408</v>
      </c>
      <c r="J84" s="65">
        <f t="shared" si="35"/>
        <v>0.15431236364684511</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9.2488937571651886E-2</v>
      </c>
      <c r="D87" s="75"/>
      <c r="E87" s="265"/>
      <c r="F87" s="75"/>
      <c r="G87" s="65">
        <f t="shared" ref="G87:Q87" si="36">IF(G$4="","",ABS(G19/G$4))</f>
        <v>8.8305066479841182E-2</v>
      </c>
      <c r="H87" s="65">
        <f t="shared" si="36"/>
        <v>8.1766747409069918E-2</v>
      </c>
      <c r="I87" s="65">
        <f t="shared" si="36"/>
        <v>0.11193686980606408</v>
      </c>
      <c r="J87" s="65">
        <f t="shared" si="36"/>
        <v>0.15431236364684511</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0.53367200212125498</v>
      </c>
      <c r="E90" s="268"/>
      <c r="G90" s="112">
        <f>Data!C65</f>
        <v>0.53367200212125498</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1379434.2735738475</v>
      </c>
      <c r="E91" s="268"/>
      <c r="G91" s="74">
        <f t="shared" ref="G91:Q91" si="37">IF(G$4="","",G90*Common_Shares/scaling_factor)</f>
        <v>1379434.2735738475</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0.5700760798390071</v>
      </c>
      <c r="E92" s="268"/>
      <c r="G92" s="170">
        <f t="shared" ref="G92:Q92" si="38">IF(G$4="","",G90/(G19*scaling_factor/Common_Shares))</f>
        <v>0.54475625491116919</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2.8521662821207217E-2</v>
      </c>
      <c r="E94" s="268"/>
      <c r="G94" s="23">
        <f t="shared" ref="G94:Q94" si="39">IF(G$4="","",(G90*(1-dividend_tax_rate))/Market_Price)</f>
        <v>2.8521662821207217E-2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163</v>
      </c>
      <c r="C98" s="77">
        <f>C13/G13-1</f>
        <v>-0.11093715519746172</v>
      </c>
      <c r="D98" s="27"/>
      <c r="E98" s="265"/>
      <c r="F98" s="27"/>
      <c r="G98" s="6">
        <f t="shared" ref="G98:Q98" si="41">IF(H5="","",G13/H13-1)</f>
        <v>9.1102533315881251E-2</v>
      </c>
      <c r="H98" s="6">
        <f t="shared" si="41"/>
        <v>-0.21553072708154331</v>
      </c>
      <c r="I98" s="6">
        <f t="shared" si="41"/>
        <v>-0.1168325522285627</v>
      </c>
      <c r="J98" s="6">
        <f t="shared" si="41"/>
        <v>1.4633294705767077</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209</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30</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389</v>
      </c>
      <c r="C115" s="169"/>
      <c r="E115" s="268"/>
      <c r="G115" s="295">
        <f>IF(G$4="","",Data!C$22/G19)</f>
        <v>0</v>
      </c>
      <c r="H115" s="295">
        <f>IF(H$4="","",Data!D$22/H19)</f>
        <v>2.077397548857205</v>
      </c>
      <c r="I115" s="295">
        <f>IF(I$4="","",Data!E$22/I19)</f>
        <v>1.3549618653395485</v>
      </c>
      <c r="J115" s="295">
        <f>IF(J$4="","",Data!F$22/J19)</f>
        <v>1.8733832846761345</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0.12331858342886919</v>
      </c>
      <c r="E118" s="268"/>
      <c r="G118" s="23">
        <f t="shared" ref="G118:Q118" si="45">IF(G4="","",IF(valuation_method="DDM",G13/(G4+G12),G81))</f>
        <v>0.12654975379164793</v>
      </c>
      <c r="H118" s="23">
        <f t="shared" si="45"/>
        <v>0.12051013377754927</v>
      </c>
      <c r="I118" s="23">
        <f t="shared" si="45"/>
        <v>0.1643070958341783</v>
      </c>
      <c r="J118" s="23">
        <f t="shared" si="45"/>
        <v>0.21267403298810486</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83</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91</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221</v>
      </c>
      <c r="C121" s="102">
        <f>C13/C106</f>
        <v>0.12359617873815945</v>
      </c>
      <c r="D121" s="103"/>
      <c r="E121" s="271"/>
      <c r="F121" s="103"/>
      <c r="G121" s="102">
        <f t="shared" ref="G121:Q121" si="48">IF(G$4="","",G13/G106)</f>
        <v>0.13901849510493297</v>
      </c>
      <c r="H121" s="102">
        <f t="shared" si="48"/>
        <v>0.13627019967510029</v>
      </c>
      <c r="I121" s="102">
        <f t="shared" si="48"/>
        <v>0.17424344357039884</v>
      </c>
      <c r="J121" s="102">
        <f t="shared" si="48"/>
        <v>0.22746937522685856</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1.0258279915290447</v>
      </c>
      <c r="D125" s="27"/>
      <c r="E125" s="265"/>
      <c r="F125" s="27"/>
      <c r="G125" s="177">
        <f t="shared" ref="G125:Q125" si="49">IF(G$4="","",G16*$C$3/Common_Shares*Exchange_Rate)</f>
        <v>1.0735076370905747</v>
      </c>
      <c r="H125" s="177">
        <f t="shared" si="49"/>
        <v>0.9566837799792598</v>
      </c>
      <c r="I125" s="177">
        <f t="shared" si="49"/>
        <v>1.2244925819074832</v>
      </c>
      <c r="J125" s="177">
        <f t="shared" si="49"/>
        <v>1.4766668427138017</v>
      </c>
      <c r="K125" s="177">
        <f t="shared" si="49"/>
        <v>0.5932726318615632</v>
      </c>
      <c r="L125" s="177">
        <f t="shared" si="49"/>
        <v>0.58454764748719479</v>
      </c>
      <c r="M125" s="177">
        <f t="shared" si="49"/>
        <v>0.25141027060426591</v>
      </c>
      <c r="N125" s="177">
        <f t="shared" si="49"/>
        <v>0.1922487531884591</v>
      </c>
      <c r="O125" s="177">
        <f t="shared" si="49"/>
        <v>9.81103324693888E-2</v>
      </c>
      <c r="P125" s="177">
        <f t="shared" si="49"/>
        <v>5.101292997287038E-3</v>
      </c>
      <c r="Q125" s="177" t="str">
        <f t="shared" si="49"/>
        <v/>
      </c>
    </row>
    <row r="126" spans="1:17" ht="15.75" customHeight="1">
      <c r="A126" s="10"/>
      <c r="B126" s="27" t="s">
        <v>268</v>
      </c>
      <c r="C126" s="77">
        <f>C19*Exchange_Rate*$C$3/(Market_Price*Common_Shares)</f>
        <v>6.0916151515976527E-2</v>
      </c>
      <c r="D126" s="27"/>
      <c r="E126" s="265"/>
      <c r="F126" s="27"/>
      <c r="G126" s="77">
        <f t="shared" ref="G126" si="50">IF(G$4="","",G125/Market_Price)</f>
        <v>6.3747484387801354E-2</v>
      </c>
      <c r="H126" s="77">
        <f t="shared" ref="H126" si="51">IF(H$4="","",H125/Market_Price)</f>
        <v>5.6810200711357471E-2</v>
      </c>
      <c r="I126" s="77">
        <f t="shared" ref="I126" si="52">IF(I$4="","",I125/Market_Price)</f>
        <v>7.2713336217784044E-2</v>
      </c>
      <c r="J126" s="77">
        <f t="shared" ref="J126" si="53">IF(J$4="","",J125/Market_Price)</f>
        <v>8.7688054792981099E-2</v>
      </c>
      <c r="K126" s="77">
        <f t="shared" ref="K126" si="54">IF(K$4="","",K125/Market_Price)</f>
        <v>3.5229966262563139E-2</v>
      </c>
      <c r="L126" s="77">
        <f t="shared" ref="L126" si="55">IF(L$4="","",L125/Market_Price)</f>
        <v>3.4711855551496126E-2</v>
      </c>
      <c r="M126" s="77">
        <f t="shared" ref="M126" si="56">IF(M$4="","",M125/Market_Price)</f>
        <v>1.4929350986001538E-2</v>
      </c>
      <c r="N126" s="77">
        <f t="shared" ref="N126" si="57">IF(N$4="","",N125/Market_Price)</f>
        <v>1.1416196745157904E-2</v>
      </c>
      <c r="O126" s="77">
        <f t="shared" ref="O126" si="58">IF(O$4="","",O125/Market_Price)</f>
        <v>5.826029244025463E-3</v>
      </c>
      <c r="P126" s="77">
        <f t="shared" ref="P126" si="59">IF(P$4="","",P125/Market_Price)</f>
        <v>3.0292713760611865E-4</v>
      </c>
      <c r="Q126" s="77" t="str">
        <f t="shared" ref="Q126" si="60">IF(Q$4="","",Q125/Market_Price)</f>
        <v/>
      </c>
    </row>
    <row r="127" spans="1:17" ht="15.75" customHeight="1">
      <c r="B127" s="2" t="s">
        <v>391</v>
      </c>
      <c r="C127" s="169"/>
      <c r="G127" s="23">
        <f>IF(G$4="","",(Data!C47*$C$3)/(Market_Price*Common_Shares))</f>
        <v>6.9217933878316248E-2</v>
      </c>
      <c r="H127" s="23">
        <f>IF(H$4="","",(Data!D47*$C$3)/(Market_Price*Common_Shares))</f>
        <v>7.3216371965219934E-2</v>
      </c>
      <c r="I127" s="23">
        <f>IF(I$4="","",(Data!E47*$C$3)/(Market_Price*Common_Shares))</f>
        <v>9.3359936239426053E-2</v>
      </c>
      <c r="J127" s="23">
        <f>IF(J$4="","",(Data!F47*$C$3)/(Market_Price*Common_Shares))</f>
        <v>9.2145017015840491E-2</v>
      </c>
      <c r="K127" s="23">
        <f>IF(K$4="","",(Data!G47*$C$3)/(Market_Price*Common_Shares))</f>
        <v>3.9020495481582339E-2</v>
      </c>
      <c r="L127" s="23">
        <f>IF(L$4="","",(Data!H47*$C$3)/(Market_Price*Common_Shares))</f>
        <v>3.4440891205184024E-2</v>
      </c>
      <c r="M127" s="23">
        <f>IF(M$4="","",(Data!I47*$C$3)/(Market_Price*Common_Shares))</f>
        <v>1.643225173722156E-2</v>
      </c>
      <c r="N127" s="23">
        <f>IF(N$4="","",(Data!J47*$C$3)/(Market_Price*Common_Shares))</f>
        <v>1.1835026617745324E-2</v>
      </c>
      <c r="O127" s="23">
        <f>IF(O$4="","",(Data!K47*$C$3)/(Market_Price*Common_Shares))</f>
        <v>1.6101568014583081E-2</v>
      </c>
      <c r="P127" s="23">
        <f>IF(P$4="","",(Data!L47*$C$3)/(Market_Price*Common_Shares))</f>
        <v>1.4152960075825736E-3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2419737.1585269952</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32263162.113693271</v>
      </c>
      <c r="D6" t="str">
        <f>Reporting_currency</f>
        <v>CNY</v>
      </c>
      <c r="E6" s="366" t="s">
        <v>248</v>
      </c>
      <c r="F6" s="366"/>
      <c r="H6" s="120"/>
    </row>
    <row r="7" spans="2:8">
      <c r="B7" s="148" t="s">
        <v>223</v>
      </c>
      <c r="C7" s="338">
        <f>BS!G31</f>
        <v>1936137</v>
      </c>
      <c r="D7" t="str">
        <f>Reporting_currency</f>
        <v>CNY</v>
      </c>
      <c r="E7" s="366"/>
      <c r="F7" s="366"/>
      <c r="H7" s="120"/>
    </row>
    <row r="8" spans="2:8">
      <c r="B8" s="148" t="s">
        <v>224</v>
      </c>
      <c r="C8" s="338">
        <f>BS!D66</f>
        <v>14108109.808388049</v>
      </c>
      <c r="D8" t="str">
        <f>Reporting_currency</f>
        <v>CNY</v>
      </c>
      <c r="E8" s="366"/>
      <c r="F8" s="366"/>
      <c r="H8" s="120"/>
    </row>
    <row r="9" spans="2:8">
      <c r="B9" s="205" t="s">
        <v>189</v>
      </c>
      <c r="C9" s="348">
        <f>BS!H42</f>
        <v>561572.19999999995</v>
      </c>
      <c r="D9" t="str">
        <f>Reporting_currency</f>
        <v>CNY</v>
      </c>
      <c r="E9" s="366"/>
      <c r="F9" s="366"/>
      <c r="H9" s="120"/>
    </row>
    <row r="10" spans="2:8" ht="13.15">
      <c r="B10" s="149" t="s">
        <v>226</v>
      </c>
      <c r="C10" s="347">
        <f>C6-C7+C8+C9</f>
        <v>44996707.122081324</v>
      </c>
      <c r="D10" t="str">
        <f>Reporting_currency</f>
        <v>CNY</v>
      </c>
      <c r="H10" s="120"/>
    </row>
    <row r="11" spans="2:8" ht="13.15" thickBot="1">
      <c r="B11" s="207" t="s">
        <v>165</v>
      </c>
      <c r="C11" s="208">
        <f>Exchange_Rate</f>
        <v>1.0958041599999999</v>
      </c>
      <c r="D11" t="str">
        <f>Thesis!C15</f>
        <v>CNY/HKD</v>
      </c>
      <c r="H11" s="120"/>
    </row>
    <row r="12" spans="2:8" ht="13.5" thickTop="1">
      <c r="B12" s="149" t="s">
        <v>102</v>
      </c>
      <c r="C12" s="111">
        <f>(C10*scaling_factor)/Common_Shares*Exchange_Rate</f>
        <v>19.075989939570285</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5.4247061515052201E-2</v>
      </c>
      <c r="H16" s="120"/>
    </row>
    <row r="17" spans="2:17" ht="13.35" customHeight="1">
      <c r="B17" s="118" t="s">
        <v>133</v>
      </c>
      <c r="C17" s="162">
        <f>Scenarios!C64</f>
        <v>20</v>
      </c>
      <c r="H17" s="120"/>
    </row>
    <row r="18" spans="2:17" ht="13.35" customHeight="1">
      <c r="B18" s="153" t="s">
        <v>106</v>
      </c>
      <c r="C18" s="140">
        <f>(F52-C7+C8+C9)*Exchange_Rate/Common_Shares*scaling_factor</f>
        <v>25.617712459062133</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2551000.7890158664</v>
      </c>
      <c r="D21" s="138">
        <f>IF($C$17&lt;B21,0,DCF!$C$16)</f>
        <v>5.4247061515052201E-2</v>
      </c>
      <c r="E21" s="124">
        <f t="shared" ref="E21:E50" si="0">IF($C$17&lt;B21,0,1/(1+Equity_Cost)^B21)</f>
        <v>0.93023255813953487</v>
      </c>
      <c r="F21" s="125">
        <f t="shared" ref="F21:F51" si="1">C21*E21</f>
        <v>2373023.9897822011</v>
      </c>
      <c r="H21" s="120"/>
    </row>
    <row r="22" spans="2:17">
      <c r="B22" s="122">
        <v>2</v>
      </c>
      <c r="C22" s="123">
        <f t="shared" ref="C22:C50" si="2">IF(ROW()-ROW($C$21)&lt;$C$17, $C$21*(1+D22)^(ROW()-ROW($C$21)), 0)</f>
        <v>2689385.0857425565</v>
      </c>
      <c r="D22" s="138">
        <f>IF($C$17&lt;B22,0,DCF!$C$16)</f>
        <v>5.4247061515052201E-2</v>
      </c>
      <c r="E22" s="124">
        <f t="shared" si="0"/>
        <v>0.86533261222282321</v>
      </c>
      <c r="F22" s="125">
        <f t="shared" si="1"/>
        <v>2327212.6215187078</v>
      </c>
      <c r="H22" s="120"/>
    </row>
    <row r="23" spans="2:17">
      <c r="B23" s="122">
        <v>3</v>
      </c>
      <c r="C23" s="123">
        <f t="shared" si="2"/>
        <v>2835276.3239264968</v>
      </c>
      <c r="D23" s="138">
        <f>IF($C$17&lt;B23,0,DCF!$C$16)</f>
        <v>5.4247061515052201E-2</v>
      </c>
      <c r="E23" s="124">
        <f t="shared" si="0"/>
        <v>0.80496056950960304</v>
      </c>
      <c r="F23" s="125">
        <f t="shared" si="1"/>
        <v>2282285.6444249665</v>
      </c>
      <c r="G23" s="338"/>
      <c r="H23" s="339"/>
      <c r="I23" s="338"/>
      <c r="J23" s="338"/>
      <c r="K23" s="338"/>
      <c r="L23" s="338"/>
      <c r="M23" s="338"/>
      <c r="N23" s="338"/>
      <c r="O23" s="338"/>
      <c r="P23" s="338"/>
      <c r="Q23" s="338"/>
    </row>
    <row r="24" spans="2:17">
      <c r="B24" s="122">
        <v>4</v>
      </c>
      <c r="C24" s="123">
        <f t="shared" si="2"/>
        <v>2989081.733082708</v>
      </c>
      <c r="D24" s="138">
        <f>IF($C$17&lt;B24,0,DCF!$C$16)</f>
        <v>5.4247061515052201E-2</v>
      </c>
      <c r="E24" s="124">
        <f t="shared" si="0"/>
        <v>0.7488005297763749</v>
      </c>
      <c r="F24" s="125">
        <f t="shared" si="1"/>
        <v>2238225.9852772164</v>
      </c>
      <c r="G24" s="338"/>
      <c r="H24" s="339"/>
      <c r="I24" s="338"/>
      <c r="J24" s="338"/>
      <c r="K24" s="338"/>
      <c r="L24" s="338"/>
      <c r="M24" s="338"/>
      <c r="N24" s="338"/>
      <c r="O24" s="338"/>
      <c r="P24" s="338"/>
      <c r="Q24" s="338"/>
    </row>
    <row r="25" spans="2:17">
      <c r="B25" s="122">
        <v>5</v>
      </c>
      <c r="C25" s="123">
        <f t="shared" si="2"/>
        <v>3151230.633730764</v>
      </c>
      <c r="D25" s="138">
        <f>IF($C$17&lt;B25,0,DCF!$C$16)</f>
        <v>5.4247061515052201E-2</v>
      </c>
      <c r="E25" s="124">
        <f t="shared" si="0"/>
        <v>0.69655863235011617</v>
      </c>
      <c r="F25" s="125">
        <f t="shared" si="1"/>
        <v>2195016.9004512909</v>
      </c>
      <c r="G25" s="338"/>
      <c r="H25" s="339"/>
      <c r="I25" s="338"/>
      <c r="J25" s="338"/>
      <c r="K25" s="338"/>
      <c r="L25" s="338"/>
      <c r="M25" s="338"/>
      <c r="N25" s="338"/>
      <c r="O25" s="338"/>
      <c r="P25" s="338"/>
      <c r="Q25" s="338"/>
    </row>
    <row r="26" spans="2:17">
      <c r="B26" s="122">
        <v>6</v>
      </c>
      <c r="C26" s="123">
        <f t="shared" si="2"/>
        <v>3322175.6357668736</v>
      </c>
      <c r="D26" s="138">
        <f>IF($C$17&lt;B26,0,DCF!$C$16)</f>
        <v>5.4247061515052201E-2</v>
      </c>
      <c r="E26" s="124">
        <f t="shared" si="0"/>
        <v>0.64796151846522443</v>
      </c>
      <c r="F26" s="125">
        <f t="shared" si="1"/>
        <v>2152641.9695596755</v>
      </c>
      <c r="H26" s="120"/>
    </row>
    <row r="27" spans="2:17">
      <c r="B27" s="122">
        <v>7</v>
      </c>
      <c r="C27" s="123">
        <f t="shared" si="2"/>
        <v>3502393.9018441266</v>
      </c>
      <c r="D27" s="138">
        <f>IF($C$17&lt;B27,0,DCF!$C$16)</f>
        <v>5.4247061515052201E-2</v>
      </c>
      <c r="E27" s="124">
        <f t="shared" si="0"/>
        <v>0.60275490089788319</v>
      </c>
      <c r="F27" s="125">
        <f t="shared" si="1"/>
        <v>2111085.0892114071</v>
      </c>
      <c r="H27" s="120"/>
    </row>
    <row r="28" spans="2:17">
      <c r="B28" s="122">
        <v>8</v>
      </c>
      <c r="C28" s="123">
        <f t="shared" si="2"/>
        <v>3692388.4792874078</v>
      </c>
      <c r="D28" s="138">
        <f>IF($C$17&lt;B28,0,DCF!$C$16)</f>
        <v>5.4247061515052201E-2</v>
      </c>
      <c r="E28" s="124">
        <f t="shared" si="0"/>
        <v>0.56070223339337966</v>
      </c>
      <c r="F28" s="125">
        <f t="shared" si="1"/>
        <v>2070330.4668924343</v>
      </c>
      <c r="H28" s="120"/>
    </row>
    <row r="29" spans="2:17">
      <c r="B29" s="122">
        <v>9</v>
      </c>
      <c r="C29" s="123">
        <f t="shared" si="2"/>
        <v>3892689.7042607814</v>
      </c>
      <c r="D29" s="138">
        <f>IF($C$17&lt;B29,0,DCF!$C$16)</f>
        <v>5.4247061515052201E-2</v>
      </c>
      <c r="E29" s="124">
        <f t="shared" si="0"/>
        <v>0.52158347292407414</v>
      </c>
      <c r="F29" s="125">
        <f t="shared" si="1"/>
        <v>2030362.6149641254</v>
      </c>
      <c r="H29" s="120"/>
    </row>
    <row r="30" spans="2:17">
      <c r="B30" s="122">
        <v>10</v>
      </c>
      <c r="C30" s="123">
        <f t="shared" si="2"/>
        <v>4103856.682106826</v>
      </c>
      <c r="D30" s="138">
        <f>IF($C$17&lt;B30,0,DCF!$C$16)</f>
        <v>5.4247061515052201E-2</v>
      </c>
      <c r="E30" s="124">
        <f t="shared" si="0"/>
        <v>0.48519392830146441</v>
      </c>
      <c r="F30" s="125">
        <f t="shared" si="1"/>
        <v>1991166.3447776248</v>
      </c>
      <c r="H30" s="120"/>
    </row>
    <row r="31" spans="2:17">
      <c r="B31" s="122">
        <v>11</v>
      </c>
      <c r="C31" s="123">
        <f t="shared" si="2"/>
        <v>4326478.8479900323</v>
      </c>
      <c r="D31" s="138">
        <f>IF($C$17&lt;B31,0,DCF!$C$16)</f>
        <v>5.4247061515052201E-2</v>
      </c>
      <c r="E31" s="124">
        <f t="shared" si="0"/>
        <v>0.45134318911764126</v>
      </c>
      <c r="F31" s="125">
        <f t="shared" si="1"/>
        <v>1952726.7609018399</v>
      </c>
      <c r="H31" s="120"/>
    </row>
    <row r="32" spans="2:17">
      <c r="B32" s="122">
        <v>12</v>
      </c>
      <c r="C32" s="123">
        <f t="shared" si="2"/>
        <v>4561177.6122005191</v>
      </c>
      <c r="D32" s="138">
        <f>IF($C$17&lt;B32,0,DCF!$C$16)</f>
        <v>5.4247061515052201E-2</v>
      </c>
      <c r="E32" s="124">
        <f t="shared" si="0"/>
        <v>0.41985412941175931</v>
      </c>
      <c r="F32" s="125">
        <f t="shared" si="1"/>
        <v>1915029.255462856</v>
      </c>
      <c r="H32" s="120"/>
    </row>
    <row r="33" spans="2:17">
      <c r="B33" s="122">
        <v>13</v>
      </c>
      <c r="C33" s="341">
        <f t="shared" si="2"/>
        <v>4808608.0947106397</v>
      </c>
      <c r="D33" s="138">
        <f>IF($C$17&lt;B33,0,DCF!$C$16)</f>
        <v>5.4247061515052201E-2</v>
      </c>
      <c r="E33" s="124">
        <f t="shared" si="0"/>
        <v>0.39056198084814819</v>
      </c>
      <c r="F33" s="125">
        <f t="shared" si="1"/>
        <v>1878059.5025926272</v>
      </c>
      <c r="G33" s="338"/>
      <c r="H33" s="339"/>
      <c r="I33" s="338"/>
      <c r="J33" s="338"/>
      <c r="K33" s="338"/>
      <c r="L33" s="338"/>
      <c r="M33" s="338"/>
      <c r="N33" s="338"/>
      <c r="O33" s="338"/>
      <c r="P33" s="338"/>
      <c r="Q33" s="338"/>
    </row>
    <row r="34" spans="2:17">
      <c r="B34" s="122">
        <v>14</v>
      </c>
      <c r="C34" s="341">
        <f t="shared" si="2"/>
        <v>5069460.9538261844</v>
      </c>
      <c r="D34" s="138">
        <f>IF($C$17&lt;B34,0,DCF!$C$16)</f>
        <v>5.4247061515052201E-2</v>
      </c>
      <c r="E34" s="124">
        <f t="shared" si="0"/>
        <v>0.36331347055641694</v>
      </c>
      <c r="F34" s="125">
        <f t="shared" si="1"/>
        <v>1841803.4529848348</v>
      </c>
      <c r="G34" s="338"/>
      <c r="H34" s="339"/>
      <c r="I34" s="338"/>
      <c r="J34" s="338"/>
      <c r="K34" s="338"/>
      <c r="L34" s="338"/>
      <c r="M34" s="338"/>
      <c r="N34" s="338"/>
      <c r="O34" s="338"/>
      <c r="P34" s="338"/>
      <c r="Q34" s="338"/>
    </row>
    <row r="35" spans="2:17">
      <c r="B35" s="122">
        <v>15</v>
      </c>
      <c r="C35" s="341">
        <f t="shared" si="2"/>
        <v>5344464.3140365491</v>
      </c>
      <c r="D35" s="138">
        <f>IF($C$17&lt;B35,0,DCF!$C$16)</f>
        <v>5.4247061515052201E-2</v>
      </c>
      <c r="E35" s="124">
        <f t="shared" si="0"/>
        <v>0.33796601912224833</v>
      </c>
      <c r="F35" s="125">
        <f t="shared" si="1"/>
        <v>1806247.3285558501</v>
      </c>
      <c r="G35" s="338"/>
      <c r="H35" s="339"/>
      <c r="I35" s="338"/>
      <c r="J35" s="338"/>
      <c r="K35" s="338"/>
      <c r="L35" s="338"/>
      <c r="M35" s="338"/>
      <c r="N35" s="338"/>
      <c r="O35" s="338"/>
      <c r="P35" s="338"/>
      <c r="Q35" s="338"/>
    </row>
    <row r="36" spans="2:17">
      <c r="B36" s="122">
        <v>16</v>
      </c>
      <c r="C36" s="123">
        <f t="shared" si="2"/>
        <v>5634385.7984450897</v>
      </c>
      <c r="D36" s="138">
        <f>IF($C$17&lt;B36,0,DCF!$C$16)</f>
        <v>5.4247061515052201E-2</v>
      </c>
      <c r="E36" s="124">
        <f t="shared" si="0"/>
        <v>0.31438699453232405</v>
      </c>
      <c r="F36" s="125">
        <f t="shared" si="1"/>
        <v>1771377.6172087607</v>
      </c>
      <c r="H36" s="120"/>
    </row>
    <row r="37" spans="2:17">
      <c r="B37" s="122">
        <v>17</v>
      </c>
      <c r="C37" s="123">
        <f t="shared" si="2"/>
        <v>5940034.6714528762</v>
      </c>
      <c r="D37" s="138">
        <f>IF($C$17&lt;B37,0,DCF!$C$16)</f>
        <v>5.4247061515052201E-2</v>
      </c>
      <c r="E37" s="124">
        <f t="shared" si="0"/>
        <v>0.29245301816960378</v>
      </c>
      <c r="F37" s="125">
        <f t="shared" si="1"/>
        <v>1737181.0676984845</v>
      </c>
      <c r="H37" s="120"/>
    </row>
    <row r="38" spans="2:17">
      <c r="B38" s="122">
        <v>18</v>
      </c>
      <c r="C38" s="123">
        <f t="shared" si="2"/>
        <v>6262264.0976767223</v>
      </c>
      <c r="D38" s="138">
        <f>IF($C$17&lt;B38,0,DCF!$C$16)</f>
        <v>5.4247061515052201E-2</v>
      </c>
      <c r="E38" s="124">
        <f t="shared" si="0"/>
        <v>0.27204931922753844</v>
      </c>
      <c r="F38" s="125">
        <f t="shared" si="1"/>
        <v>1703644.6845960077</v>
      </c>
      <c r="H38" s="120"/>
    </row>
    <row r="39" spans="2:17">
      <c r="B39" s="122">
        <v>19</v>
      </c>
      <c r="C39" s="123">
        <f t="shared" si="2"/>
        <v>6601973.5234068939</v>
      </c>
      <c r="D39" s="138">
        <f>IF($C$17&lt;B39,0,DCF!$C$16)</f>
        <v>5.4247061515052201E-2</v>
      </c>
      <c r="E39" s="124">
        <f t="shared" si="0"/>
        <v>0.25306913416515198</v>
      </c>
      <c r="F39" s="125">
        <f t="shared" si="1"/>
        <v>1670755.7233498404</v>
      </c>
      <c r="H39" s="120"/>
    </row>
    <row r="40" spans="2:17">
      <c r="B40" s="122">
        <v>20</v>
      </c>
      <c r="C40" s="123">
        <f t="shared" si="2"/>
        <v>6960111.1872518919</v>
      </c>
      <c r="D40" s="138">
        <f>IF($C$17&lt;B40,0,DCF!$C$16)</f>
        <v>5.4247061515052201E-2</v>
      </c>
      <c r="E40" s="124">
        <f t="shared" si="0"/>
        <v>0.23541314806060654</v>
      </c>
      <c r="F40" s="125">
        <f t="shared" si="1"/>
        <v>1638501.6854428137</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34013343.853544883</v>
      </c>
      <c r="D51" s="139">
        <f>Terminal_Growth</f>
        <v>0</v>
      </c>
      <c r="E51" s="124">
        <f>1/(1+Equity_Cost)^C17</f>
        <v>0.23541314806060654</v>
      </c>
      <c r="F51" s="125">
        <f t="shared" si="1"/>
        <v>8007188.3526308825</v>
      </c>
      <c r="H51" s="120"/>
    </row>
    <row r="52" spans="1:17">
      <c r="C52" s="114"/>
      <c r="E52" s="127" t="s">
        <v>100</v>
      </c>
      <c r="F52" s="137">
        <f>SUM(F21:F51)</f>
        <v>47693867.058284447</v>
      </c>
      <c r="H52" s="120"/>
    </row>
    <row r="53" spans="1:17">
      <c r="C53" s="114"/>
      <c r="H53" s="120"/>
    </row>
    <row r="54" spans="1:17" ht="13.15">
      <c r="B54" s="119" t="s">
        <v>128</v>
      </c>
      <c r="C54" s="136"/>
      <c r="D54" s="136"/>
      <c r="E54" s="117"/>
      <c r="F54" s="117"/>
      <c r="H54" s="120"/>
    </row>
    <row r="55" spans="1:17" ht="13.15">
      <c r="A55" s="133">
        <f>F52</f>
        <v>47693867.058284447</v>
      </c>
      <c r="B55" s="131">
        <f>C78</f>
        <v>0</v>
      </c>
      <c r="C55" s="131">
        <f>C77</f>
        <v>0.02</v>
      </c>
      <c r="D55" s="131">
        <f>C76</f>
        <v>0.05</v>
      </c>
      <c r="E55" s="131">
        <f>C75</f>
        <v>0.06</v>
      </c>
      <c r="F55" s="131">
        <f>C74</f>
        <v>0.1</v>
      </c>
      <c r="H55" s="120"/>
    </row>
    <row r="56" spans="1:17" ht="13.15">
      <c r="A56" s="143">
        <v>5</v>
      </c>
      <c r="B56" s="123">
        <f t="dataTable" ref="B56:F61" dt2D="1" dtr="1" r1="C16" r2="C17"/>
        <v>32263162.113693275</v>
      </c>
      <c r="C56" s="123">
        <v>33286243.222863231</v>
      </c>
      <c r="D56" s="123">
        <v>34877155.900724493</v>
      </c>
      <c r="E56" s="123">
        <v>35423128.69060351</v>
      </c>
      <c r="F56" s="123">
        <v>37689916.880725108</v>
      </c>
      <c r="H56" s="120"/>
    </row>
    <row r="57" spans="1:17" ht="13.15">
      <c r="A57" s="143">
        <v>10</v>
      </c>
      <c r="B57" s="123">
        <v>32263162.113693282</v>
      </c>
      <c r="C57" s="123">
        <v>34300759.4216405</v>
      </c>
      <c r="D57" s="123">
        <v>37745151.143182889</v>
      </c>
      <c r="E57" s="123">
        <v>39009095.425254814</v>
      </c>
      <c r="F57" s="123">
        <v>44737972.777871951</v>
      </c>
      <c r="H57" s="120"/>
    </row>
    <row r="58" spans="1:17" ht="13.15">
      <c r="A58" s="143">
        <v>15</v>
      </c>
      <c r="B58" s="123">
        <v>32263162.113693278</v>
      </c>
      <c r="C58" s="341">
        <v>35585255.735631756</v>
      </c>
      <c r="D58" s="123">
        <v>41672778.368705966</v>
      </c>
      <c r="E58" s="123">
        <v>44054742.933604561</v>
      </c>
      <c r="F58" s="123">
        <v>55834525.291051805</v>
      </c>
      <c r="G58" s="338"/>
      <c r="H58" s="339"/>
      <c r="I58" s="338"/>
      <c r="J58" s="338"/>
      <c r="K58" s="338"/>
      <c r="L58" s="338"/>
      <c r="M58" s="338"/>
      <c r="N58" s="338"/>
      <c r="O58" s="338"/>
      <c r="P58" s="338"/>
      <c r="Q58" s="338"/>
    </row>
    <row r="59" spans="1:17" ht="13.15">
      <c r="A59" s="144">
        <v>20</v>
      </c>
      <c r="B59" s="123">
        <v>32263162.113693282</v>
      </c>
      <c r="C59" s="341">
        <v>36924364.098934069</v>
      </c>
      <c r="D59" s="123">
        <v>46124291.989830174</v>
      </c>
      <c r="E59" s="123">
        <v>49944281.248766065</v>
      </c>
      <c r="F59" s="123">
        <v>70504780.772204638</v>
      </c>
      <c r="G59" s="338"/>
      <c r="H59" s="339"/>
      <c r="I59" s="338"/>
      <c r="J59" s="338"/>
      <c r="K59" s="338"/>
      <c r="L59" s="338"/>
      <c r="M59" s="338"/>
      <c r="N59" s="338"/>
      <c r="O59" s="338"/>
      <c r="P59" s="338"/>
      <c r="Q59" s="338"/>
    </row>
    <row r="60" spans="1:17" ht="13.15">
      <c r="A60" s="144">
        <v>25</v>
      </c>
      <c r="B60" s="123">
        <v>32263162.113693289</v>
      </c>
      <c r="C60" s="341">
        <v>38198886.196789861</v>
      </c>
      <c r="D60" s="123">
        <v>50750289.979174942</v>
      </c>
      <c r="E60" s="123">
        <v>56260504.824253798</v>
      </c>
      <c r="F60" s="123">
        <v>88509827.805535674</v>
      </c>
      <c r="G60" s="338"/>
      <c r="H60" s="339"/>
      <c r="I60" s="338"/>
      <c r="J60" s="338"/>
      <c r="K60" s="338"/>
      <c r="L60" s="338"/>
      <c r="M60" s="338"/>
      <c r="N60" s="338"/>
      <c r="O60" s="338"/>
      <c r="P60" s="338"/>
      <c r="Q60" s="338"/>
    </row>
    <row r="61" spans="1:17" ht="13.15">
      <c r="A61" s="144">
        <v>30</v>
      </c>
      <c r="B61" s="123">
        <v>32263162.113693289</v>
      </c>
      <c r="C61" s="341">
        <v>39349494.3444217</v>
      </c>
      <c r="D61" s="123">
        <v>55328530.485484362</v>
      </c>
      <c r="E61" s="123">
        <v>62723738.072935119</v>
      </c>
      <c r="F61" s="123">
        <v>109786244.60688661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19.075989939570285</v>
      </c>
      <c r="C65" s="124">
        <f>C12</f>
        <v>19.075989939570285</v>
      </c>
      <c r="D65" s="124">
        <f>C12</f>
        <v>19.075989939570285</v>
      </c>
      <c r="E65" s="141">
        <f>C12</f>
        <v>19.075989939570285</v>
      </c>
      <c r="F65" s="124">
        <f>C12</f>
        <v>19.075989939570285</v>
      </c>
      <c r="H65" s="120"/>
    </row>
    <row r="66" spans="1:8" ht="13.15">
      <c r="A66" s="143">
        <f t="shared" ref="A66:A71" si="3">A56</f>
        <v>5</v>
      </c>
      <c r="B66" s="124">
        <f t="shared" ref="B66:F71" si="4">(B56-$C$7+$C$8+$C$9)/Common_Shares*$C$3*Exchange_Rate</f>
        <v>19.075989939570288</v>
      </c>
      <c r="C66" s="124">
        <f t="shared" si="4"/>
        <v>19.509716898588433</v>
      </c>
      <c r="D66" s="124">
        <f t="shared" si="4"/>
        <v>20.184171457124858</v>
      </c>
      <c r="E66" s="124">
        <f t="shared" si="4"/>
        <v>20.415632204213622</v>
      </c>
      <c r="F66" s="124">
        <f t="shared" si="4"/>
        <v>21.376618718017351</v>
      </c>
      <c r="H66" s="120"/>
    </row>
    <row r="67" spans="1:8" ht="13.15">
      <c r="A67" s="143">
        <f t="shared" si="3"/>
        <v>10</v>
      </c>
      <c r="B67" s="124">
        <f t="shared" si="4"/>
        <v>19.075989939570292</v>
      </c>
      <c r="C67" s="124">
        <f t="shared" si="4"/>
        <v>19.939812833139808</v>
      </c>
      <c r="D67" s="124">
        <f t="shared" si="4"/>
        <v>21.400034836714781</v>
      </c>
      <c r="E67" s="124">
        <f t="shared" si="4"/>
        <v>21.935873789186694</v>
      </c>
      <c r="F67" s="124">
        <f t="shared" si="4"/>
        <v>24.36458499347674</v>
      </c>
      <c r="H67" s="120"/>
    </row>
    <row r="68" spans="1:8" ht="13.15">
      <c r="A68" s="143">
        <f t="shared" si="3"/>
        <v>15</v>
      </c>
      <c r="B68" s="124">
        <f t="shared" si="4"/>
        <v>19.075989939570292</v>
      </c>
      <c r="C68" s="124">
        <f t="shared" si="4"/>
        <v>20.484364653268173</v>
      </c>
      <c r="D68" s="124">
        <f t="shared" si="4"/>
        <v>23.065120622596506</v>
      </c>
      <c r="E68" s="124">
        <f t="shared" si="4"/>
        <v>24.074935228655104</v>
      </c>
      <c r="F68" s="124">
        <f t="shared" si="4"/>
        <v>29.068878655033483</v>
      </c>
      <c r="H68" s="120"/>
    </row>
    <row r="69" spans="1:8" ht="13.15">
      <c r="A69" s="144">
        <f t="shared" si="3"/>
        <v>20</v>
      </c>
      <c r="B69" s="124">
        <f t="shared" si="4"/>
        <v>19.075989939570292</v>
      </c>
      <c r="C69" s="124">
        <f t="shared" si="4"/>
        <v>21.052068809864419</v>
      </c>
      <c r="D69" s="124">
        <f t="shared" si="4"/>
        <v>24.952303807402359</v>
      </c>
      <c r="E69" s="124">
        <f t="shared" si="4"/>
        <v>26.571757348191962</v>
      </c>
      <c r="F69" s="124">
        <f t="shared" si="4"/>
        <v>35.288214776899736</v>
      </c>
      <c r="H69" s="120"/>
    </row>
    <row r="70" spans="1:8" ht="13.15">
      <c r="A70" s="144">
        <f t="shared" si="3"/>
        <v>25</v>
      </c>
      <c r="B70" s="124">
        <f t="shared" si="4"/>
        <v>19.075989939570295</v>
      </c>
      <c r="C70" s="124">
        <f t="shared" si="4"/>
        <v>21.592392141758321</v>
      </c>
      <c r="D70" s="124">
        <f t="shared" si="4"/>
        <v>26.913458228453496</v>
      </c>
      <c r="E70" s="124">
        <f t="shared" si="4"/>
        <v>29.249469231756734</v>
      </c>
      <c r="F70" s="124">
        <f t="shared" si="4"/>
        <v>42.921308797256707</v>
      </c>
    </row>
    <row r="71" spans="1:8" ht="13.15">
      <c r="A71" s="144">
        <f t="shared" si="3"/>
        <v>30</v>
      </c>
      <c r="B71" s="124">
        <f t="shared" si="4"/>
        <v>19.075989939570295</v>
      </c>
      <c r="C71" s="124">
        <f t="shared" si="4"/>
        <v>22.080183156977778</v>
      </c>
      <c r="D71" s="124">
        <f t="shared" si="4"/>
        <v>28.854366250952634</v>
      </c>
      <c r="E71" s="124">
        <f t="shared" si="4"/>
        <v>31.989504676893507</v>
      </c>
      <c r="F71" s="124">
        <f t="shared" si="4"/>
        <v>51.941273563822975</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30</v>
      </c>
      <c r="E74" s="135">
        <f>INDEX(B$65:F$71, MATCH(D74, A$65:A$71, 0), MATCH(C74, B$64:F$64, 0))</f>
        <v>51.941273563822975</v>
      </c>
      <c r="F74" s="142">
        <f>Scenarios!C58</f>
        <v>0.05</v>
      </c>
    </row>
    <row r="75" spans="1:8">
      <c r="B75" s="127" t="str">
        <f>Scenarios!B36</f>
        <v>Optimistic</v>
      </c>
      <c r="C75" s="142">
        <f>Scenarios!C38</f>
        <v>0.06</v>
      </c>
      <c r="D75" s="145">
        <f>Scenarios!C37</f>
        <v>20</v>
      </c>
      <c r="E75" s="135">
        <f>INDEX(B$65:F$71, MATCH(D75, A$65:A$71, 0), MATCH(C75, B$64:F$64, 0))</f>
        <v>26.571757348191962</v>
      </c>
      <c r="F75" s="142">
        <f>Scenarios!C40*(1-F$74-F$78)</f>
        <v>0.22499999999999992</v>
      </c>
      <c r="H75" s="120"/>
    </row>
    <row r="76" spans="1:8">
      <c r="B76" s="127" t="str">
        <f>Scenarios!B24</f>
        <v>Base</v>
      </c>
      <c r="C76" s="142">
        <f>Scenarios!C26</f>
        <v>0.05</v>
      </c>
      <c r="D76" s="145">
        <f>Scenarios!C25</f>
        <v>20</v>
      </c>
      <c r="E76" s="135">
        <f>INDEX(B$65:F$71, MATCH(D76, A$65:A$71, 0), MATCH(C76, B$64:F$64, 0))</f>
        <v>24.952303807402359</v>
      </c>
      <c r="F76" s="142">
        <f>Scenarios!C28*(1-F$74-F$78)</f>
        <v>0.495</v>
      </c>
      <c r="H76" s="120"/>
    </row>
    <row r="77" spans="1:8">
      <c r="B77" s="127" t="str">
        <f>Scenarios!B30</f>
        <v>Pessimistic</v>
      </c>
      <c r="C77" s="142">
        <f>Scenarios!C32</f>
        <v>0.02</v>
      </c>
      <c r="D77" s="145">
        <f>Scenarios!C31</f>
        <v>20</v>
      </c>
      <c r="E77" s="135">
        <f>INDEX(B$65:F$71, MATCH(D77, A$65:A$71, 0), MATCH(C77, B$64:F$64, 0))</f>
        <v>21.052068809864419</v>
      </c>
      <c r="F77" s="142">
        <f>Scenarios!C34*(1-F$74-F$78)</f>
        <v>0.18</v>
      </c>
      <c r="H77" s="120"/>
    </row>
    <row r="78" spans="1:8">
      <c r="B78" s="127" t="str">
        <f>Scenarios!B48</f>
        <v>Devil's advocate</v>
      </c>
      <c r="C78" s="142">
        <f>Scenarios!C50</f>
        <v>0</v>
      </c>
      <c r="D78" s="145">
        <f>Scenarios!C49</f>
        <v>30</v>
      </c>
      <c r="E78" s="135">
        <f>INDEX(B$65:F$71, MATCH(D78, A$65:A$71, 0), MATCH(C78, B$64:F$64, 0))</f>
        <v>19.075989939570295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1241490.8462164628</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16553211.282886172</v>
      </c>
      <c r="D6" t="str">
        <f>Reporting_currency</f>
        <v>CNY</v>
      </c>
      <c r="E6" s="366"/>
      <c r="F6" s="366"/>
      <c r="H6" s="120"/>
    </row>
    <row r="7" spans="2:8" ht="13.15">
      <c r="B7" s="149" t="s">
        <v>441</v>
      </c>
      <c r="C7" s="111">
        <f>(C6*scaling_factor)/Common_Shares*Exchange_Rate</f>
        <v>7.0176000000000007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5.4247061515052201E-2</v>
      </c>
      <c r="H11" s="120"/>
    </row>
    <row r="12" spans="2:8" ht="13.35" customHeight="1">
      <c r="B12" s="118" t="s">
        <v>133</v>
      </c>
      <c r="C12" s="162">
        <f>Scenarios!C64</f>
        <v>20</v>
      </c>
      <c r="H12" s="120"/>
    </row>
    <row r="13" spans="2:8" ht="13.35" customHeight="1">
      <c r="B13" s="153" t="s">
        <v>106</v>
      </c>
      <c r="C13" s="140">
        <f>F47/Common_Shares*scaling_factor</f>
        <v>9.4669759023143527</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1308838.0765215412</v>
      </c>
      <c r="D16" s="138">
        <f>IF($C$12&lt;B16,0,DDM!$C$11)</f>
        <v>5.4247061515052201E-2</v>
      </c>
      <c r="E16" s="124">
        <f t="shared" ref="E16:E45" si="0">IF($C$12&lt;B16,0,1/(1+Equity_Cost)^B16)</f>
        <v>0.93023255813953487</v>
      </c>
      <c r="F16" s="125">
        <f t="shared" ref="F16:F46" si="1">C16*E16</f>
        <v>1217523.7921130615</v>
      </c>
      <c r="H16" s="120"/>
    </row>
    <row r="17" spans="2:8">
      <c r="B17" s="122">
        <v>2</v>
      </c>
      <c r="C17" s="123">
        <f t="shared" ref="C17:C45" si="2">IF(ROW()-ROW($C$16)&lt;$C$12, $C$16*(1+D17)^(ROW()-ROW($C$16)), 0)</f>
        <v>1379838.6961718476</v>
      </c>
      <c r="D17" s="138">
        <f>IF($C$12&lt;B17,0,DDM!$C$11)</f>
        <v>5.4247061515052201E-2</v>
      </c>
      <c r="E17" s="124">
        <f t="shared" si="0"/>
        <v>0.86533261222282321</v>
      </c>
      <c r="F17" s="125">
        <f t="shared" si="1"/>
        <v>1194019.4234045194</v>
      </c>
      <c r="H17" s="120"/>
    </row>
    <row r="18" spans="2:8">
      <c r="B18" s="122">
        <v>3</v>
      </c>
      <c r="C18" s="123">
        <f t="shared" si="2"/>
        <v>1454690.8908039313</v>
      </c>
      <c r="D18" s="138">
        <f>IF($C$12&lt;B18,0,DDM!$C$11)</f>
        <v>5.4247061515052201E-2</v>
      </c>
      <c r="E18" s="124">
        <f t="shared" si="0"/>
        <v>0.80496056950960304</v>
      </c>
      <c r="F18" s="125">
        <f t="shared" si="1"/>
        <v>1170968.8079219642</v>
      </c>
      <c r="H18" s="120"/>
    </row>
    <row r="19" spans="2:8">
      <c r="B19" s="122">
        <v>4</v>
      </c>
      <c r="C19" s="123">
        <f t="shared" si="2"/>
        <v>1533603.597042758</v>
      </c>
      <c r="D19" s="138">
        <f>IF($C$12&lt;B19,0,DDM!$C$11)</f>
        <v>5.4247061515052201E-2</v>
      </c>
      <c r="E19" s="124">
        <f t="shared" si="0"/>
        <v>0.7488005297763749</v>
      </c>
      <c r="F19" s="125">
        <f t="shared" si="1"/>
        <v>1148363.1859325713</v>
      </c>
      <c r="H19" s="120"/>
    </row>
    <row r="20" spans="2:8">
      <c r="B20" s="122">
        <v>5</v>
      </c>
      <c r="C20" s="123">
        <f t="shared" si="2"/>
        <v>1616797.0857112415</v>
      </c>
      <c r="D20" s="138">
        <f>IF($C$12&lt;B20,0,DDM!$C$11)</f>
        <v>5.4247061515052201E-2</v>
      </c>
      <c r="E20" s="124">
        <f t="shared" si="0"/>
        <v>0.69655863235011617</v>
      </c>
      <c r="F20" s="125">
        <f t="shared" si="1"/>
        <v>1126193.9668106758</v>
      </c>
      <c r="H20" s="120"/>
    </row>
    <row r="21" spans="2:8">
      <c r="B21" s="122">
        <v>6</v>
      </c>
      <c r="C21" s="123">
        <f t="shared" si="2"/>
        <v>1704503.5766771762</v>
      </c>
      <c r="D21" s="138">
        <f>IF($C$12&lt;B21,0,DDM!$C$11)</f>
        <v>5.4247061515052201E-2</v>
      </c>
      <c r="E21" s="124">
        <f t="shared" si="0"/>
        <v>0.64796151846522443</v>
      </c>
      <c r="F21" s="125">
        <f t="shared" si="1"/>
        <v>1104452.7257731492</v>
      </c>
      <c r="H21" s="120"/>
    </row>
    <row r="22" spans="2:8">
      <c r="B22" s="122">
        <v>7</v>
      </c>
      <c r="C22" s="123">
        <f t="shared" si="2"/>
        <v>1796967.8870538094</v>
      </c>
      <c r="D22" s="138">
        <f>IF($C$12&lt;B22,0,DDM!$C$11)</f>
        <v>5.4247061515052201E-2</v>
      </c>
      <c r="E22" s="124">
        <f t="shared" si="0"/>
        <v>0.60275490089788319</v>
      </c>
      <c r="F22" s="125">
        <f t="shared" si="1"/>
        <v>1083131.2006777974</v>
      </c>
      <c r="H22" s="120"/>
    </row>
    <row r="23" spans="2:8">
      <c r="B23" s="122">
        <v>8</v>
      </c>
      <c r="C23" s="123">
        <f t="shared" si="2"/>
        <v>1894448.1145633904</v>
      </c>
      <c r="D23" s="138">
        <f>IF($C$12&lt;B23,0,DDM!$C$11)</f>
        <v>5.4247061515052201E-2</v>
      </c>
      <c r="E23" s="124">
        <f t="shared" si="0"/>
        <v>0.56070223339337966</v>
      </c>
      <c r="F23" s="125">
        <f t="shared" si="1"/>
        <v>1062221.2888835701</v>
      </c>
      <c r="H23" s="120"/>
    </row>
    <row r="24" spans="2:8">
      <c r="B24" s="122">
        <v>9</v>
      </c>
      <c r="C24" s="123">
        <f t="shared" si="2"/>
        <v>1997216.3579711851</v>
      </c>
      <c r="D24" s="138">
        <f>IF($C$12&lt;B24,0,DDM!$C$11)</f>
        <v>5.4247061515052201E-2</v>
      </c>
      <c r="E24" s="124">
        <f t="shared" si="0"/>
        <v>0.52158347292407414</v>
      </c>
      <c r="F24" s="125">
        <f t="shared" si="1"/>
        <v>1041715.0441713816</v>
      </c>
      <c r="H24" s="120"/>
    </row>
    <row r="25" spans="2:8">
      <c r="B25" s="122">
        <v>10</v>
      </c>
      <c r="C25" s="123">
        <f t="shared" si="2"/>
        <v>2105559.4766009161</v>
      </c>
      <c r="D25" s="138">
        <f>IF($C$12&lt;B25,0,DDM!$C$11)</f>
        <v>5.4247061515052201E-2</v>
      </c>
      <c r="E25" s="124">
        <f t="shared" si="0"/>
        <v>0.48519392830146441</v>
      </c>
      <c r="F25" s="125">
        <f t="shared" si="1"/>
        <v>1021604.6737243738</v>
      </c>
      <c r="H25" s="120"/>
    </row>
    <row r="26" spans="2:8">
      <c r="B26" s="122">
        <v>11</v>
      </c>
      <c r="C26" s="123">
        <f t="shared" si="2"/>
        <v>2219779.8910516868</v>
      </c>
      <c r="D26" s="138">
        <f>IF($C$12&lt;B26,0,DDM!$C$11)</f>
        <v>5.4247061515052201E-2</v>
      </c>
      <c r="E26" s="124">
        <f t="shared" si="0"/>
        <v>0.45134318911764126</v>
      </c>
      <c r="F26" s="125">
        <f t="shared" si="1"/>
        <v>1001882.5351664786</v>
      </c>
      <c r="H26" s="120"/>
    </row>
    <row r="27" spans="2:8">
      <c r="B27" s="122">
        <v>12</v>
      </c>
      <c r="C27" s="123">
        <f t="shared" si="2"/>
        <v>2340196.4273514436</v>
      </c>
      <c r="D27" s="138">
        <f>IF($C$12&lt;B27,0,DDM!$C$11)</f>
        <v>5.4247061515052201E-2</v>
      </c>
      <c r="E27" s="124">
        <f t="shared" si="0"/>
        <v>0.41985412941175931</v>
      </c>
      <c r="F27" s="125">
        <f t="shared" si="1"/>
        <v>982541.13365814975</v>
      </c>
      <c r="H27" s="120"/>
    </row>
    <row r="28" spans="2:8">
      <c r="B28" s="122">
        <v>13</v>
      </c>
      <c r="C28" s="123">
        <f t="shared" si="2"/>
        <v>2467145.2069032826</v>
      </c>
      <c r="D28" s="138">
        <f>IF($C$12&lt;B28,0,DDM!$C$11)</f>
        <v>5.4247061515052201E-2</v>
      </c>
      <c r="E28" s="124">
        <f t="shared" si="0"/>
        <v>0.39056198084814819</v>
      </c>
      <c r="F28" s="125">
        <f t="shared" si="1"/>
        <v>963573.1190481605</v>
      </c>
      <c r="H28" s="120"/>
    </row>
    <row r="29" spans="2:8">
      <c r="B29" s="122">
        <v>14</v>
      </c>
      <c r="C29" s="123">
        <f t="shared" si="2"/>
        <v>2600980.5847087307</v>
      </c>
      <c r="D29" s="138">
        <f>IF($C$12&lt;B29,0,DDM!$C$11)</f>
        <v>5.4247061515052201E-2</v>
      </c>
      <c r="E29" s="124">
        <f t="shared" si="0"/>
        <v>0.36331347055641694</v>
      </c>
      <c r="F29" s="125">
        <f t="shared" si="1"/>
        <v>944971.28308038751</v>
      </c>
      <c r="H29" s="120"/>
    </row>
    <row r="30" spans="2:8">
      <c r="B30" s="122">
        <v>15</v>
      </c>
      <c r="C30" s="123">
        <f t="shared" si="2"/>
        <v>2742076.1384868817</v>
      </c>
      <c r="D30" s="138">
        <f>IF($C$12&lt;B30,0,DDM!$C$11)</f>
        <v>5.4247061515052201E-2</v>
      </c>
      <c r="E30" s="124">
        <f t="shared" si="0"/>
        <v>0.33796601912224833</v>
      </c>
      <c r="F30" s="125">
        <f t="shared" si="1"/>
        <v>926728.55665451835</v>
      </c>
      <c r="H30" s="120"/>
    </row>
    <row r="31" spans="2:8">
      <c r="B31" s="122">
        <v>16</v>
      </c>
      <c r="C31" s="123">
        <f t="shared" si="2"/>
        <v>2890825.7114503356</v>
      </c>
      <c r="D31" s="138">
        <f>IF($C$12&lt;B31,0,DDM!$C$11)</f>
        <v>5.4247061515052201E-2</v>
      </c>
      <c r="E31" s="124">
        <f t="shared" si="0"/>
        <v>0.31438699453232405</v>
      </c>
      <c r="F31" s="125">
        <f t="shared" si="1"/>
        <v>908838.00713963842</v>
      </c>
      <c r="H31" s="120"/>
    </row>
    <row r="32" spans="2:8">
      <c r="B32" s="122">
        <v>17</v>
      </c>
      <c r="C32" s="123">
        <f t="shared" si="2"/>
        <v>3047644.5116486764</v>
      </c>
      <c r="D32" s="138">
        <f>IF($C$12&lt;B32,0,DDM!$C$11)</f>
        <v>5.4247061515052201E-2</v>
      </c>
      <c r="E32" s="124">
        <f t="shared" si="0"/>
        <v>0.29245301816960378</v>
      </c>
      <c r="F32" s="125">
        <f t="shared" si="1"/>
        <v>891292.83573968359</v>
      </c>
      <c r="H32" s="120"/>
    </row>
    <row r="33" spans="2:8">
      <c r="B33" s="122">
        <v>18</v>
      </c>
      <c r="C33" s="123">
        <f t="shared" si="2"/>
        <v>3212970.2709480929</v>
      </c>
      <c r="D33" s="138">
        <f>IF($C$12&lt;B33,0,DDM!$C$11)</f>
        <v>5.4247061515052201E-2</v>
      </c>
      <c r="E33" s="124">
        <f t="shared" si="0"/>
        <v>0.27204931922753844</v>
      </c>
      <c r="F33" s="125">
        <f t="shared" si="1"/>
        <v>874086.37490974844</v>
      </c>
      <c r="H33" s="120"/>
    </row>
    <row r="34" spans="2:8">
      <c r="B34" s="122">
        <v>19</v>
      </c>
      <c r="C34" s="123">
        <f t="shared" si="2"/>
        <v>3387264.4668822475</v>
      </c>
      <c r="D34" s="138">
        <f>IF($C$12&lt;B34,0,DDM!$C$11)</f>
        <v>5.4247061515052201E-2</v>
      </c>
      <c r="E34" s="124">
        <f t="shared" si="0"/>
        <v>0.25306913416515198</v>
      </c>
      <c r="F34" s="125">
        <f t="shared" si="1"/>
        <v>857212.08582227549</v>
      </c>
      <c r="H34" s="120"/>
    </row>
    <row r="35" spans="2:8">
      <c r="B35" s="122">
        <v>20</v>
      </c>
      <c r="C35" s="123">
        <f t="shared" si="2"/>
        <v>3571013.6107849586</v>
      </c>
      <c r="D35" s="138">
        <f>IF($C$12&lt;B35,0,DDM!$C$11)</f>
        <v>5.4247061515052201E-2</v>
      </c>
      <c r="E35" s="124">
        <f t="shared" si="0"/>
        <v>0.23541314806060654</v>
      </c>
      <c r="F35" s="125">
        <f t="shared" si="1"/>
        <v>840663.55588216067</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17451174.353620552</v>
      </c>
      <c r="D46" s="139">
        <f>Terminal_Growth</f>
        <v>0</v>
      </c>
      <c r="E46" s="124">
        <f>1/(1+Equity_Cost)^C12</f>
        <v>0.23541314806060654</v>
      </c>
      <c r="F46" s="125">
        <f t="shared" si="1"/>
        <v>4108235.8919403343</v>
      </c>
      <c r="H46" s="120"/>
    </row>
    <row r="47" spans="2:8">
      <c r="C47" s="114"/>
      <c r="E47" s="127" t="s">
        <v>100</v>
      </c>
      <c r="F47" s="137">
        <f>SUM(F16:F46)</f>
        <v>24470219.488454599</v>
      </c>
      <c r="H47" s="120"/>
    </row>
    <row r="48" spans="2:8">
      <c r="C48" s="114"/>
      <c r="H48" s="120"/>
    </row>
    <row r="49" spans="1:8" ht="13.15">
      <c r="B49" s="119" t="s">
        <v>128</v>
      </c>
      <c r="C49" s="136"/>
      <c r="D49" s="136"/>
      <c r="E49" s="117"/>
      <c r="F49" s="117"/>
      <c r="H49" s="120"/>
    </row>
    <row r="50" spans="1:8" ht="13.15">
      <c r="A50" s="133">
        <f>F47</f>
        <v>24470219.488454599</v>
      </c>
      <c r="B50" s="131">
        <f>C73</f>
        <v>0</v>
      </c>
      <c r="C50" s="131">
        <f>C72</f>
        <v>0.02</v>
      </c>
      <c r="D50" s="131">
        <f>C71</f>
        <v>0.05</v>
      </c>
      <c r="E50" s="131">
        <f>C70</f>
        <v>0.06</v>
      </c>
      <c r="F50" s="131">
        <f>C69</f>
        <v>0.1</v>
      </c>
      <c r="H50" s="120"/>
    </row>
    <row r="51" spans="1:8" ht="13.15">
      <c r="A51" s="143">
        <v>5</v>
      </c>
      <c r="B51" s="123">
        <f t="dataTable" ref="B51:F56" dt2D="1" dtr="1" r1="C11" r2="C12"/>
        <v>16553211.282886174</v>
      </c>
      <c r="C51" s="123">
        <v>17078121.944151834</v>
      </c>
      <c r="D51" s="123">
        <v>17894369.080637019</v>
      </c>
      <c r="E51" s="123">
        <v>18174490.50561472</v>
      </c>
      <c r="F51" s="123">
        <v>19337508.058339607</v>
      </c>
      <c r="H51" s="120"/>
    </row>
    <row r="52" spans="1:8" ht="13.15">
      <c r="A52" s="143">
        <v>10</v>
      </c>
      <c r="B52" s="123">
        <v>16553211.282886174</v>
      </c>
      <c r="C52" s="123">
        <v>17598638.219930734</v>
      </c>
      <c r="D52" s="123">
        <v>19365847.016972862</v>
      </c>
      <c r="E52" s="123">
        <v>20014336.978285514</v>
      </c>
      <c r="F52" s="123">
        <v>22953643.327038109</v>
      </c>
      <c r="H52" s="120"/>
    </row>
    <row r="53" spans="1:8" ht="13.15">
      <c r="A53" s="143">
        <v>15</v>
      </c>
      <c r="B53" s="123">
        <v>16553211.282886174</v>
      </c>
      <c r="C53" s="123">
        <v>18257672.780853748</v>
      </c>
      <c r="D53" s="123">
        <v>21380988.715588503</v>
      </c>
      <c r="E53" s="123">
        <v>22603099.634914041</v>
      </c>
      <c r="F53" s="123">
        <v>28646934.567835238</v>
      </c>
      <c r="H53" s="120"/>
    </row>
    <row r="54" spans="1:8" ht="13.15">
      <c r="A54" s="144">
        <v>20</v>
      </c>
      <c r="B54" s="123">
        <v>16553211.282886175</v>
      </c>
      <c r="C54" s="123">
        <v>18944727.062461656</v>
      </c>
      <c r="D54" s="123">
        <v>23664920.006620891</v>
      </c>
      <c r="E54" s="123">
        <v>25624836.058206055</v>
      </c>
      <c r="F54" s="123">
        <v>36173780.129274316</v>
      </c>
      <c r="H54" s="120"/>
    </row>
    <row r="55" spans="1:8" ht="13.15">
      <c r="A55" s="144">
        <v>25</v>
      </c>
      <c r="B55" s="123">
        <v>16553211.282886175</v>
      </c>
      <c r="C55" s="123">
        <v>19598644.167554092</v>
      </c>
      <c r="D55" s="123">
        <v>26038373.725818813</v>
      </c>
      <c r="E55" s="123">
        <v>28865491.235976744</v>
      </c>
      <c r="F55" s="123">
        <v>45411602.096344784</v>
      </c>
      <c r="H55" s="120"/>
    </row>
    <row r="56" spans="1:8" ht="13.15">
      <c r="A56" s="144">
        <v>30</v>
      </c>
      <c r="B56" s="123">
        <v>16553211.282886177</v>
      </c>
      <c r="C56" s="123">
        <v>20188984.931563597</v>
      </c>
      <c r="D56" s="123">
        <v>28387324.586176135</v>
      </c>
      <c r="E56" s="123">
        <v>32181572.442120787</v>
      </c>
      <c r="F56" s="123">
        <v>56327860.751166224</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7.0176000000000007</v>
      </c>
      <c r="C60" s="124">
        <f>C7</f>
        <v>7.0176000000000007</v>
      </c>
      <c r="D60" s="124">
        <f>C7</f>
        <v>7.0176000000000007</v>
      </c>
      <c r="E60" s="141">
        <f>C7</f>
        <v>7.0176000000000007</v>
      </c>
      <c r="F60" s="124">
        <f>C7</f>
        <v>7.0176000000000007</v>
      </c>
      <c r="H60" s="120"/>
    </row>
    <row r="61" spans="1:8" ht="13.15">
      <c r="A61" s="143">
        <f t="shared" ref="A61:A66" si="3">A51</f>
        <v>5</v>
      </c>
      <c r="B61" s="124">
        <f t="shared" ref="B61:F66" si="4">B51/Common_Shares*$C$3*Exchange_Rate</f>
        <v>7.0176000000000025</v>
      </c>
      <c r="C61" s="124">
        <f t="shared" si="4"/>
        <v>7.2401316280658063</v>
      </c>
      <c r="D61" s="124">
        <f t="shared" si="4"/>
        <v>7.5861729977497969</v>
      </c>
      <c r="E61" s="124">
        <f t="shared" si="4"/>
        <v>7.7049282095530724</v>
      </c>
      <c r="F61" s="124">
        <f t="shared" si="4"/>
        <v>8.197980091663716</v>
      </c>
      <c r="H61" s="120"/>
    </row>
    <row r="62" spans="1:8" ht="13.15">
      <c r="A62" s="143">
        <f t="shared" si="3"/>
        <v>10</v>
      </c>
      <c r="B62" s="124">
        <f t="shared" si="4"/>
        <v>7.0176000000000025</v>
      </c>
      <c r="C62" s="124">
        <f t="shared" si="4"/>
        <v>7.4608002919571739</v>
      </c>
      <c r="D62" s="124">
        <f t="shared" si="4"/>
        <v>8.2099941639005838</v>
      </c>
      <c r="E62" s="124">
        <f t="shared" si="4"/>
        <v>8.4849162364057928</v>
      </c>
      <c r="F62" s="124">
        <f t="shared" si="4"/>
        <v>9.7310113825682585</v>
      </c>
      <c r="H62" s="120"/>
    </row>
    <row r="63" spans="1:8" ht="13.15">
      <c r="A63" s="143">
        <f t="shared" si="3"/>
        <v>15</v>
      </c>
      <c r="B63" s="124">
        <f t="shared" si="4"/>
        <v>7.0176000000000025</v>
      </c>
      <c r="C63" s="124">
        <f t="shared" si="4"/>
        <v>7.7401926621563515</v>
      </c>
      <c r="D63" s="124">
        <f t="shared" si="4"/>
        <v>9.0642971835705808</v>
      </c>
      <c r="E63" s="124">
        <f t="shared" si="4"/>
        <v>9.5824012203580331</v>
      </c>
      <c r="F63" s="124">
        <f t="shared" si="4"/>
        <v>12.144636142660838</v>
      </c>
      <c r="H63" s="120"/>
    </row>
    <row r="64" spans="1:8" ht="13.15">
      <c r="A64" s="144">
        <f t="shared" si="3"/>
        <v>20</v>
      </c>
      <c r="B64" s="124">
        <f t="shared" si="4"/>
        <v>7.0176000000000025</v>
      </c>
      <c r="C64" s="124">
        <f t="shared" si="4"/>
        <v>8.0314637662469774</v>
      </c>
      <c r="D64" s="124">
        <f t="shared" si="4"/>
        <v>10.032551376309572</v>
      </c>
      <c r="E64" s="124">
        <f t="shared" si="4"/>
        <v>10.863441929722839</v>
      </c>
      <c r="F64" s="124">
        <f t="shared" si="4"/>
        <v>15.335581422660024</v>
      </c>
      <c r="H64" s="120"/>
    </row>
    <row r="65" spans="1:8" ht="13.15">
      <c r="A65" s="144">
        <f t="shared" si="3"/>
        <v>25</v>
      </c>
      <c r="B65" s="124">
        <f t="shared" si="4"/>
        <v>7.0176000000000025</v>
      </c>
      <c r="C65" s="124">
        <f t="shared" si="4"/>
        <v>8.3086866324494419</v>
      </c>
      <c r="D65" s="124">
        <f t="shared" si="4"/>
        <v>11.03875787819017</v>
      </c>
      <c r="E65" s="124">
        <f t="shared" si="4"/>
        <v>12.237291473891675</v>
      </c>
      <c r="F65" s="124">
        <f t="shared" si="4"/>
        <v>19.251881307210923</v>
      </c>
    </row>
    <row r="66" spans="1:8" ht="13.15">
      <c r="A66" s="144">
        <f t="shared" si="3"/>
        <v>30</v>
      </c>
      <c r="B66" s="124">
        <f t="shared" si="4"/>
        <v>7.0176000000000034</v>
      </c>
      <c r="C66" s="124">
        <f t="shared" si="4"/>
        <v>8.5589568232127409</v>
      </c>
      <c r="D66" s="124">
        <f t="shared" si="4"/>
        <v>12.034576591305118</v>
      </c>
      <c r="E66" s="124">
        <f t="shared" si="4"/>
        <v>13.643117272556827</v>
      </c>
      <c r="F66" s="124">
        <f t="shared" si="4"/>
        <v>23.879740846179974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30</v>
      </c>
      <c r="E69" s="135">
        <f>INDEX(B$60:F$66, MATCH(D69, A$60:A$66, 0), MATCH(C69, B$59:F$59, 0))</f>
        <v>23.879740846179974</v>
      </c>
      <c r="F69" s="142">
        <f>Scenarios!C58</f>
        <v>0.05</v>
      </c>
    </row>
    <row r="70" spans="1:8">
      <c r="B70" s="127" t="str">
        <f>Scenarios!B36</f>
        <v>Optimistic</v>
      </c>
      <c r="C70" s="142">
        <f>Scenarios!C38</f>
        <v>0.06</v>
      </c>
      <c r="D70" s="145">
        <f>Scenarios!C37</f>
        <v>20</v>
      </c>
      <c r="E70" s="135">
        <f>INDEX(B$60:F$66, MATCH(D70, A$60:A$66, 0), MATCH(C70, B$59:F$59, 0))</f>
        <v>10.863441929722839</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10.032551376309572</v>
      </c>
      <c r="F71" s="142">
        <f>Scenarios!C28*(1-F$69-F$73)</f>
        <v>0.495</v>
      </c>
      <c r="H71" s="120"/>
    </row>
    <row r="72" spans="1:8">
      <c r="B72" s="127" t="str">
        <f>Scenarios!B30</f>
        <v>Pessimistic</v>
      </c>
      <c r="C72" s="142">
        <f>Scenarios!C32</f>
        <v>0.02</v>
      </c>
      <c r="D72" s="145">
        <f>Scenarios!C31</f>
        <v>20</v>
      </c>
      <c r="E72" s="135">
        <f>INDEX(B$60:F$66, MATCH(D72, A$60:A$66, 0), MATCH(C72, B$59:F$59, 0))</f>
        <v>8.0314637662469774</v>
      </c>
      <c r="F72" s="142">
        <f>Scenarios!C34*(1-F$69-F$73)</f>
        <v>0.18</v>
      </c>
      <c r="H72" s="120"/>
    </row>
    <row r="73" spans="1:8">
      <c r="B73" s="127" t="str">
        <f>Scenarios!B48</f>
        <v>Devil's advocate</v>
      </c>
      <c r="C73" s="142">
        <f>Scenarios!C50</f>
        <v>0</v>
      </c>
      <c r="D73" s="145">
        <f>Scenarios!C49</f>
        <v>30</v>
      </c>
      <c r="E73" s="135">
        <f>INDEX(B$60:F$66, MATCH(D73, A$60:A$66, 0), MATCH(C73, B$59:F$59, 0))</f>
        <v>7.0176000000000034</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-16.84</v>
      </c>
    </row>
    <row r="4" spans="2:9">
      <c r="B4" s="152" t="s">
        <v>145</v>
      </c>
      <c r="C4" s="120">
        <v>3</v>
      </c>
      <c r="D4" s="120"/>
      <c r="E4" s="155" t="s">
        <v>149</v>
      </c>
      <c r="F4" s="155"/>
      <c r="H4" s="247">
        <v>1</v>
      </c>
      <c r="I4" s="124">
        <f t="shared" ref="I4:I13" si="0">IF(ROW()-3 &lt; $C$76, $C$77, IF(ROW()-3 = $C$76, $C$77 + $C$60, ""))</f>
        <v>0.4803048019091295</v>
      </c>
    </row>
    <row r="5" spans="2:9">
      <c r="H5" s="247">
        <v>2</v>
      </c>
      <c r="I5" s="124">
        <f t="shared" si="0"/>
        <v>0.4803048019091295</v>
      </c>
    </row>
    <row r="6" spans="2:9" ht="13.15">
      <c r="B6" s="159" t="s">
        <v>95</v>
      </c>
      <c r="C6" s="107">
        <f>DCF!C3</f>
        <v>1000</v>
      </c>
      <c r="E6" s="100" t="s">
        <v>278</v>
      </c>
      <c r="F6" s="100"/>
      <c r="H6" s="247">
        <v>3</v>
      </c>
      <c r="I6" s="124">
        <f t="shared" si="0"/>
        <v>26.150576150861742</v>
      </c>
    </row>
    <row r="7" spans="2:9" ht="12.75" customHeight="1">
      <c r="B7" s="100" t="s">
        <v>274</v>
      </c>
      <c r="C7" s="338">
        <f>Normalized_FCF!G8</f>
        <v>3529289</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68"/>
      <c r="H7" s="247">
        <v>4</v>
      </c>
      <c r="I7" s="124" t="str">
        <f t="shared" si="0"/>
        <v/>
      </c>
    </row>
    <row r="8" spans="2:9">
      <c r="B8" s="100" t="s">
        <v>66</v>
      </c>
      <c r="C8" s="338">
        <f>Normalized_FCF!G19</f>
        <v>2532204.5614671926</v>
      </c>
      <c r="D8" t="str">
        <f>Reporting_currency</f>
        <v>CNY</v>
      </c>
      <c r="E8" s="368"/>
      <c r="F8" s="368"/>
      <c r="H8" s="247">
        <v>5</v>
      </c>
      <c r="I8" s="124" t="str">
        <f t="shared" si="0"/>
        <v/>
      </c>
    </row>
    <row r="9" spans="2:9">
      <c r="B9" s="100" t="s">
        <v>57</v>
      </c>
      <c r="C9" s="338">
        <f>Normalized_FCF!C19</f>
        <v>2419737.1585269952</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8.3043513409933434E-2</v>
      </c>
      <c r="D12" s="158"/>
      <c r="E12" s="368"/>
      <c r="F12" s="368"/>
      <c r="H12" s="247">
        <v>9</v>
      </c>
      <c r="I12" s="124" t="str">
        <f t="shared" si="0"/>
        <v/>
      </c>
    </row>
    <row r="13" spans="2:9">
      <c r="B13" s="148" t="s">
        <v>151</v>
      </c>
      <c r="C13" s="158">
        <f ca="1">(Normalized_FCF!G8/OFFSET(Normalized_FCF!G8, 0, $C$4))^(1/$C$4) - 1</f>
        <v>-9.2379152048964186E-2</v>
      </c>
      <c r="E13" s="368"/>
      <c r="F13" s="368"/>
      <c r="H13" s="247">
        <v>10</v>
      </c>
      <c r="I13" s="124" t="str">
        <f t="shared" si="0"/>
        <v/>
      </c>
    </row>
    <row r="14" spans="2:9">
      <c r="B14" s="100" t="s">
        <v>66</v>
      </c>
      <c r="C14" s="158">
        <f ca="1">(Normalized_FCF!G19/OFFSET(Normalized_FCF!G19, 0, $C$4))^(1/$C$4) - 1</f>
        <v>-0.10083193978752458</v>
      </c>
      <c r="E14" s="368"/>
      <c r="F14" s="368"/>
    </row>
    <row r="16" spans="2:9" ht="13.9">
      <c r="B16" s="36" t="s">
        <v>161</v>
      </c>
      <c r="C16" s="37"/>
      <c r="D16" s="37"/>
      <c r="E16" s="37"/>
      <c r="F16" s="37"/>
    </row>
    <row r="17" spans="2:6" ht="13.15">
      <c r="B17" s="109" t="s">
        <v>150</v>
      </c>
      <c r="E17" s="159" t="s">
        <v>326</v>
      </c>
    </row>
    <row r="18" spans="2:6">
      <c r="B18" s="152" t="s">
        <v>132</v>
      </c>
      <c r="C18" s="150">
        <v>20</v>
      </c>
      <c r="E18" s="368" t="s">
        <v>327</v>
      </c>
      <c r="F18" s="369"/>
    </row>
    <row r="19" spans="2:6">
      <c r="E19" s="369"/>
      <c r="F19" s="369"/>
    </row>
    <row r="20" spans="2:6" ht="13.15">
      <c r="B20" s="159" t="s">
        <v>302</v>
      </c>
      <c r="E20" s="369"/>
      <c r="F20" s="369"/>
    </row>
    <row r="21" spans="2:6">
      <c r="B21" s="100" t="s">
        <v>276</v>
      </c>
      <c r="C21" s="160">
        <f>Market_Price</f>
        <v>16.84</v>
      </c>
      <c r="D21" t="str">
        <f>Market_currency</f>
        <v>HKD</v>
      </c>
      <c r="E21" s="369"/>
      <c r="F21" s="369"/>
    </row>
    <row r="22" spans="2:6">
      <c r="B22" s="100" t="s">
        <v>277</v>
      </c>
      <c r="C22" s="160">
        <f>IF(valuation_method="DCF",DCF!C12,DDM!C7)</f>
        <v>19.075989939570285</v>
      </c>
      <c r="D22" t="str">
        <f>Market_currency</f>
        <v>HKD</v>
      </c>
      <c r="E22" s="369"/>
      <c r="F22" s="369"/>
    </row>
    <row r="24" spans="2:6" ht="13.15">
      <c r="B24" s="159" t="s">
        <v>114</v>
      </c>
      <c r="E24" s="159" t="s">
        <v>148</v>
      </c>
      <c r="F24" s="159"/>
    </row>
    <row r="25" spans="2:6">
      <c r="B25" s="152" t="s">
        <v>132</v>
      </c>
      <c r="C25" s="166">
        <f>C18</f>
        <v>20</v>
      </c>
      <c r="D25" s="163"/>
      <c r="E25" s="367"/>
      <c r="F25" s="367"/>
    </row>
    <row r="26" spans="2:6">
      <c r="B26" s="118" t="s">
        <v>133</v>
      </c>
      <c r="C26" s="164">
        <v>0.05</v>
      </c>
      <c r="D26" s="164"/>
      <c r="E26" s="367"/>
      <c r="F26" s="367"/>
    </row>
    <row r="27" spans="2:6">
      <c r="B27" s="100" t="s">
        <v>112</v>
      </c>
      <c r="C27" s="160">
        <f>IF(valuation_method="DCF",DCF!E76,DDM!E71)</f>
        <v>24.952303807402359</v>
      </c>
      <c r="D27" s="160" t="str">
        <f>Market_currency</f>
        <v>HKD</v>
      </c>
      <c r="E27" s="367"/>
      <c r="F27" s="367"/>
    </row>
    <row r="28" spans="2:6">
      <c r="B28" s="100" t="s">
        <v>146</v>
      </c>
      <c r="C28" s="165">
        <v>0.55000000000000004</v>
      </c>
      <c r="D28" s="165"/>
      <c r="E28" s="367"/>
      <c r="F28" s="367"/>
    </row>
    <row r="30" spans="2:6" ht="13.15">
      <c r="B30" s="159" t="s">
        <v>115</v>
      </c>
      <c r="E30" s="159" t="s">
        <v>148</v>
      </c>
      <c r="F30" s="159"/>
    </row>
    <row r="31" spans="2:6">
      <c r="B31" s="152" t="s">
        <v>132</v>
      </c>
      <c r="C31" s="166">
        <f>C18</f>
        <v>20</v>
      </c>
      <c r="D31" s="163"/>
      <c r="E31" s="367"/>
      <c r="F31" s="367"/>
    </row>
    <row r="32" spans="2:6">
      <c r="B32" s="118" t="s">
        <v>133</v>
      </c>
      <c r="C32" s="164">
        <v>0.02</v>
      </c>
      <c r="D32" s="164"/>
      <c r="E32" s="367"/>
      <c r="F32" s="367"/>
    </row>
    <row r="33" spans="2:6">
      <c r="B33" s="100" t="s">
        <v>112</v>
      </c>
      <c r="C33" s="160">
        <f>IF(valuation_method="DCF",DCF!E77,DDM!E72)</f>
        <v>21.052068809864419</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20</v>
      </c>
      <c r="D37" s="163"/>
      <c r="E37" s="367"/>
      <c r="F37" s="367"/>
    </row>
    <row r="38" spans="2:6">
      <c r="B38" s="118" t="s">
        <v>133</v>
      </c>
      <c r="C38" s="164">
        <v>0.06</v>
      </c>
      <c r="D38" s="164"/>
      <c r="E38" s="367"/>
      <c r="F38" s="367"/>
    </row>
    <row r="39" spans="2:6">
      <c r="B39" s="100" t="s">
        <v>112</v>
      </c>
      <c r="C39" s="160">
        <f>IF(valuation_method="DCF",DCF!E75,DDM!E70)</f>
        <v>26.571757348191962</v>
      </c>
      <c r="D39" t="str">
        <f>Market_currency</f>
        <v>HKD</v>
      </c>
      <c r="E39" s="367"/>
      <c r="F39" s="367"/>
    </row>
    <row r="40" spans="2:6">
      <c r="B40" s="100" t="s">
        <v>146</v>
      </c>
      <c r="C40" s="167">
        <f>1-C28-C34</f>
        <v>0.24999999999999994</v>
      </c>
      <c r="D40" s="165"/>
      <c r="E40" s="367"/>
      <c r="F40" s="367"/>
    </row>
    <row r="42" spans="2:6" ht="13.15">
      <c r="B42" s="100" t="s">
        <v>119</v>
      </c>
      <c r="C42" s="154">
        <f>C27*C28+C33*C34+C39*C40</f>
        <v>24.577120193092171</v>
      </c>
      <c r="D42" t="str">
        <f>Market_currency</f>
        <v>HKD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19.075989939570295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0.1</v>
      </c>
      <c r="D56" s="164"/>
      <c r="E56" s="367"/>
      <c r="F56" s="367"/>
    </row>
    <row r="57" spans="2:6">
      <c r="B57" s="100" t="s">
        <v>112</v>
      </c>
      <c r="C57" s="160">
        <f>IF(valuation_method="DCF",DCF!E74,DDM!E69)</f>
        <v>51.941273563822975</v>
      </c>
      <c r="D57" t="str">
        <f>Market_currency</f>
        <v>HKD</v>
      </c>
      <c r="E57" s="367"/>
      <c r="F57" s="367"/>
    </row>
    <row r="58" spans="2:6">
      <c r="B58" s="100" t="s">
        <v>146</v>
      </c>
      <c r="C58" s="165">
        <v>0.05</v>
      </c>
      <c r="D58" s="165"/>
      <c r="E58" s="367"/>
      <c r="F58" s="367"/>
    </row>
    <row r="60" spans="2:6" ht="13.15">
      <c r="B60" s="100" t="s">
        <v>119</v>
      </c>
      <c r="C60" s="154">
        <f>C51*C52+C57*C58+C42*(1-C52-C58)</f>
        <v>25.670271348952614</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20</v>
      </c>
      <c r="D64" s="150"/>
      <c r="E64" s="251" t="s">
        <v>392</v>
      </c>
    </row>
    <row r="65" spans="2:6">
      <c r="B65" s="118" t="s">
        <v>133</v>
      </c>
      <c r="C65" s="151">
        <v>5.4247061515052201E-2</v>
      </c>
      <c r="D65" s="151"/>
      <c r="E65" s="251" t="s">
        <v>309</v>
      </c>
    </row>
    <row r="66" spans="2:6">
      <c r="B66" s="100" t="s">
        <v>102</v>
      </c>
      <c r="C66" s="160">
        <f>IF(valuation_method="DCF",DCF!C18,DDM!C13)</f>
        <v>25.617712459062133</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0.21029319528677065</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0.4803048019091295</v>
      </c>
      <c r="D77" t="str">
        <f>Market_currency</f>
        <v>HKD</v>
      </c>
    </row>
    <row r="79" spans="2:6" ht="13.15">
      <c r="B79" s="109" t="s">
        <v>300</v>
      </c>
    </row>
    <row r="80" spans="2:6">
      <c r="B80" s="148" t="s">
        <v>298</v>
      </c>
      <c r="C80" s="167">
        <f>Thesis!F29</f>
        <v>0.35</v>
      </c>
    </row>
    <row r="81" spans="2:8">
      <c r="B81" s="100" t="s">
        <v>120</v>
      </c>
      <c r="C81" s="116">
        <f>PV(C80, C76, -C77, 0)</f>
        <v>0.81453916007350213</v>
      </c>
      <c r="D81" s="116"/>
      <c r="E81" s="100"/>
      <c r="F81" s="100"/>
    </row>
    <row r="82" spans="2:8">
      <c r="B82" s="100" t="s">
        <v>121</v>
      </c>
      <c r="C82" s="116">
        <f>C60/(1+C80)^C76</f>
        <v>10.433479184657871</v>
      </c>
      <c r="D82" s="116"/>
    </row>
    <row r="83" spans="2:8" ht="13.15">
      <c r="B83" s="110" t="s">
        <v>101</v>
      </c>
      <c r="C83" s="111">
        <f>C81+C82</f>
        <v>11.248018344731374</v>
      </c>
      <c r="D83" t="str">
        <f>Market_currency</f>
        <v>HKD</v>
      </c>
      <c r="E83" s="146" t="s">
        <v>125</v>
      </c>
      <c r="F83" s="291">
        <f>(1-C83/C60)</f>
        <v>0.56182705699406987</v>
      </c>
    </row>
    <row r="84" spans="2:8">
      <c r="E84" s="120"/>
    </row>
    <row r="85" spans="2:8" ht="13.15">
      <c r="B85" s="109" t="s">
        <v>301</v>
      </c>
    </row>
    <row r="86" spans="2:8">
      <c r="B86" s="148" t="s">
        <v>299</v>
      </c>
      <c r="C86" s="116">
        <f>Market_Price</f>
        <v>16.84</v>
      </c>
      <c r="D86" t="str">
        <f>Market_currency</f>
        <v>HKD</v>
      </c>
    </row>
    <row r="87" spans="2:8" ht="13.15">
      <c r="B87" s="100" t="s">
        <v>297</v>
      </c>
      <c r="C87" s="237">
        <f ca="1">IRR(OFFSET($I$3, 0, 0, $C$76 + 1, 1))</f>
        <v>0.17587442131600528</v>
      </c>
    </row>
    <row r="88" spans="2:8">
      <c r="B88" s="100"/>
    </row>
    <row r="89" spans="2:8" ht="13.15">
      <c r="B89" s="109" t="s">
        <v>409</v>
      </c>
    </row>
    <row r="90" spans="2:8">
      <c r="B90" s="148" t="s">
        <v>410</v>
      </c>
      <c r="C90" s="167">
        <f>Thesis!F30</f>
        <v>0.25</v>
      </c>
    </row>
    <row r="91" spans="2:8">
      <c r="B91" s="100" t="s">
        <v>120</v>
      </c>
      <c r="C91" s="116">
        <f>PV(C90, C76, -C77, 0)</f>
        <v>0.93755497332662086</v>
      </c>
      <c r="D91" s="116"/>
      <c r="E91" s="100"/>
      <c r="F91" s="100"/>
    </row>
    <row r="92" spans="2:8">
      <c r="B92" s="100" t="s">
        <v>121</v>
      </c>
      <c r="C92" s="116">
        <f>C60/(1+C90)^C76</f>
        <v>13.143178930663739</v>
      </c>
      <c r="D92" s="116"/>
    </row>
    <row r="93" spans="2:8" ht="13.15">
      <c r="B93" s="110" t="s">
        <v>101</v>
      </c>
      <c r="C93" s="111">
        <f>C91+C92</f>
        <v>14.08073390399036</v>
      </c>
      <c r="D93" t="str">
        <f>Market_currency</f>
        <v>HKD</v>
      </c>
      <c r="E93" s="146" t="s">
        <v>125</v>
      </c>
      <c r="F93" s="291">
        <f>(1-C93/C60)</f>
        <v>0.45147701352347114</v>
      </c>
    </row>
    <row r="95" spans="2:8" ht="13.15">
      <c r="B95" s="109" t="s">
        <v>394</v>
      </c>
      <c r="G95" s="2"/>
      <c r="H95" s="281"/>
    </row>
    <row r="96" spans="2:8">
      <c r="B96" s="148" t="s">
        <v>400</v>
      </c>
      <c r="C96" s="134">
        <f>Thesis!F31</f>
        <v>7.4999999999999997E-2</v>
      </c>
      <c r="G96" s="2"/>
      <c r="H96" s="281"/>
    </row>
    <row r="97" spans="2:8">
      <c r="B97" s="100" t="s">
        <v>120</v>
      </c>
      <c r="C97" s="116">
        <f>PV(C96, C76, -C77, 0)</f>
        <v>1.2490450003487941</v>
      </c>
      <c r="D97" s="116"/>
      <c r="G97" s="2"/>
      <c r="H97" s="281"/>
    </row>
    <row r="98" spans="2:8">
      <c r="B98" s="100" t="s">
        <v>121</v>
      </c>
      <c r="C98" s="116">
        <f>C60/(1+C96)^C76</f>
        <v>20.66355624451894</v>
      </c>
      <c r="D98" s="116"/>
      <c r="G98" s="2"/>
      <c r="H98" s="281"/>
    </row>
    <row r="99" spans="2:8" ht="13.15">
      <c r="B99" s="110" t="s">
        <v>395</v>
      </c>
      <c r="C99" s="111">
        <f>C97+C98</f>
        <v>21.912601244867734</v>
      </c>
      <c r="D99" t="s">
        <v>393</v>
      </c>
      <c r="E99" s="146" t="s">
        <v>125</v>
      </c>
      <c r="F99" s="291">
        <f>(1-C99/C60)</f>
        <v>0.14638217309838442</v>
      </c>
    </row>
    <row r="100" spans="2:8">
      <c r="B100" s="100"/>
    </row>
    <row r="101" spans="2:8" ht="13.15">
      <c r="B101" s="109" t="s">
        <v>419</v>
      </c>
    </row>
    <row r="102" spans="2:8">
      <c r="B102" s="148" t="s">
        <v>418</v>
      </c>
      <c r="C102" s="134">
        <f>Thesis!F32</f>
        <v>0.1174</v>
      </c>
    </row>
    <row r="103" spans="2:8">
      <c r="B103" s="100" t="s">
        <v>120</v>
      </c>
      <c r="C103" s="116">
        <f>PV(C102, C76, -C77, 0)</f>
        <v>1.1587848664893095</v>
      </c>
      <c r="D103" s="116"/>
    </row>
    <row r="104" spans="2:8">
      <c r="B104" s="100" t="s">
        <v>121</v>
      </c>
      <c r="C104" s="116">
        <f>C60/(1+C102)^C76</f>
        <v>18.399433780871902</v>
      </c>
      <c r="D104" s="116"/>
    </row>
    <row r="105" spans="2:8" ht="13.15">
      <c r="B105" s="110" t="s">
        <v>395</v>
      </c>
      <c r="C105" s="111">
        <f>C103+C104</f>
        <v>19.558218647361212</v>
      </c>
      <c r="D105" t="s">
        <v>393</v>
      </c>
      <c r="E105" s="146" t="s">
        <v>125</v>
      </c>
      <c r="F105" s="291">
        <f>(1-C105/C66)</f>
        <v>0.23653531990353049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2025-07-07T01:17:02Z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