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088D3B8-7D38-4649-8152-C3816F7C455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<sst xmlns="http://schemas.openxmlformats.org/spreadsheetml/2006/main" count="836" uniqueCount="561">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</sst>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17</v>
      </c>
      <c r="D12" s="50"/>
      <c r="E12" s="48"/>
    </row>
    <row r="13" spans="1:10">
      <c r="B13" s="1" t="s">
        <v>486</v>
      </c>
      <c r="C13" s="32" t="str">
        <f>Market_currency</f>
        <v>HKD</v>
      </c>
      <c r="D13" s="48"/>
      <c r="E13" s="5"/>
    </row>
    <row r="14" spans="1:10">
      <c r="B14" s="4" t="s">
        <v>487</v>
      </c>
      <c r="C14" s="35">
        <f>投资主题!C12*Common_Shares/1000000</f>
        <v>43941.564402000004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25.634385847920402</v>
      </c>
      <c r="D26" s="1" t="s">
        <v>447</v>
      </c>
      <c r="E26" s="301">
        <f ca="1">Scenarios!C87</f>
        <v>0.17159715812863041</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11.234570427933916</v>
      </c>
      <c r="D29" s="310" t="str">
        <f>D149</f>
        <v/>
      </c>
      <c r="E29" s="306" t="s">
        <v>456</v>
      </c>
      <c r="F29" s="362">
        <f>Thesis!F29</f>
        <v>0.35</v>
      </c>
    </row>
    <row r="30" spans="2:6">
      <c r="B30" s="1" t="s">
        <v>451</v>
      </c>
      <c r="C30" s="311">
        <f>C157</f>
        <v>14.063669774558747</v>
      </c>
      <c r="D30" s="311" t="str">
        <f>D157</f>
        <v/>
      </c>
      <c r="E30" s="307" t="s">
        <v>455</v>
      </c>
      <c r="F30" s="224">
        <f>Thesis!F30</f>
        <v>0.25</v>
      </c>
    </row>
    <row r="31" spans="2:6">
      <c r="B31" s="1" t="s">
        <v>452</v>
      </c>
      <c r="C31" s="311">
        <f>C165</f>
        <v>21.885459058351312</v>
      </c>
      <c r="D31" s="311" t="str">
        <f>D165</f>
        <v/>
      </c>
      <c r="E31" s="307" t="s">
        <v>492</v>
      </c>
      <c r="F31" s="224">
        <f>Thesis!F31</f>
        <v>7.4999999999999997E-2</v>
      </c>
    </row>
    <row r="32" spans="2:6">
      <c r="B32" s="1" t="s">
        <v>453</v>
      </c>
      <c r="C32" s="311">
        <f>C173</f>
        <v>19.534115524754306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-806580.95080255554</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6.0258816698508466E-2</v>
      </c>
      <c r="F69" s="314"/>
    </row>
    <row r="70" spans="1:6">
      <c r="B70" s="227" t="s">
        <v>435</v>
      </c>
      <c r="C70" s="92">
        <f>Normalized_FCF!C94</f>
        <v>2.8292677809290651E-2</v>
      </c>
      <c r="E70" s="47" t="s">
        <v>504</v>
      </c>
      <c r="F70" s="315">
        <f>Normalized_FCF!C92</f>
        <v>0.5708708183254364</v>
      </c>
    </row>
    <row r="72" spans="1:6">
      <c r="B72" s="210" t="s">
        <v>514</v>
      </c>
      <c r="C72" s="323" t="s">
        <v>430</v>
      </c>
      <c r="D72" s="323" t="s">
        <v>505</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13.658665118328589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0.81966499704376494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0.23774199638396484</v>
      </c>
      <c r="D114" s="1" t="str">
        <f>Market_currency</f>
        <v>HKD</v>
      </c>
    </row>
    <row r="116" spans="1:6">
      <c r="B116" s="371" t="s">
        <v>517</v>
      </c>
      <c r="C116" s="371"/>
      <c r="D116" s="371"/>
      <c r="E116" s="371"/>
      <c r="F116" s="371"/>
    </row>
    <row r="118" spans="1:6">
      <c r="B118" s="47" t="s">
        <v>518</v>
      </c>
      <c r="C118" s="223">
        <f>IF(valuation_method="DCF",DCF!C12,DDM!C7)</f>
        <v>19.04928467521886</v>
      </c>
      <c r="D118" s="1" t="str">
        <f>Market_currency</f>
        <v>HKD</v>
      </c>
    </row>
    <row r="119" spans="1:6">
      <c r="B119" s="296" t="s">
        <v>551</v>
      </c>
      <c r="C119" s="223">
        <f>BS!D47</f>
        <v>4.6132566500997241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25.634385847920402</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0.48097552275794103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0.81567662194076485</v>
      </c>
    </row>
    <row r="148" spans="2:4">
      <c r="B148" s="212" t="str">
        <f>"+ PV(Equity Value realized at year "&amp;C141&amp;")"</f>
        <v>+ PV(Equity Value realized at year 3)</v>
      </c>
      <c r="C148" s="216">
        <f>Scenarios!C82</f>
        <v>10.41889380599315</v>
      </c>
    </row>
    <row r="149" spans="2:4">
      <c r="B149" s="80" t="s">
        <v>256</v>
      </c>
      <c r="C149" s="215">
        <f>Scenarios!C83</f>
        <v>11.234570427933916</v>
      </c>
      <c r="D149" s="300" t="str">
        <f>IF($D$11="","",C149*$E$25)</f>
        <v/>
      </c>
    </row>
    <row r="150" spans="2:4">
      <c r="B150" s="259" t="s">
        <v>533</v>
      </c>
      <c r="C150" s="298" t="str">
        <f>Market_currency</f>
        <v>HKD</v>
      </c>
      <c r="D150" s="298" t="str">
        <f>IF($D$11="","",D$13)</f>
        <v/>
      </c>
    </row>
    <row r="151" spans="2:4">
      <c r="B151" s="214" t="s">
        <v>534</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0.93886422042350093</v>
      </c>
    </row>
    <row r="156" spans="2:4">
      <c r="B156" s="212" t="str">
        <f>"+ PV(Equity Value realized at year "&amp;C141&amp;")"</f>
        <v>+ PV(Equity Value realized at year 3)</v>
      </c>
      <c r="C156" s="216">
        <f>Scenarios!C92</f>
        <v>13.124805554135246</v>
      </c>
    </row>
    <row r="157" spans="2:4">
      <c r="B157" s="80" t="s">
        <v>256</v>
      </c>
      <c r="C157" s="215">
        <f>Scenarios!C93</f>
        <v>14.063669774558747</v>
      </c>
      <c r="D157" s="300" t="str">
        <f>IF($D$11="","",C157*$E$25)</f>
        <v/>
      </c>
    </row>
    <row r="158" spans="2:4">
      <c r="B158" s="259" t="s">
        <v>533</v>
      </c>
      <c r="C158" s="298" t="str">
        <f>Market_currency</f>
        <v>HKD</v>
      </c>
      <c r="D158" s="298" t="str">
        <f>IF($D$11="","",D$13)</f>
        <v/>
      </c>
    </row>
    <row r="159" spans="2:4">
      <c r="B159" s="214" t="s">
        <v>534</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1.2507892271803971</v>
      </c>
    </row>
    <row r="164" spans="2:4">
      <c r="B164" s="212" t="str">
        <f>"+ PV(Equity Value realized at year "&amp;C141&amp;")"</f>
        <v>+ PV(Equity Value realized at year 3)</v>
      </c>
      <c r="C164" s="216">
        <f>Scenarios!C98</f>
        <v>20.634669831170914</v>
      </c>
    </row>
    <row r="165" spans="2:4">
      <c r="B165" s="80" t="s">
        <v>382</v>
      </c>
      <c r="C165" s="215">
        <f>Scenarios!C99</f>
        <v>21.885459058351312</v>
      </c>
      <c r="D165" s="300" t="str">
        <f>IF($D$11="","",C165*$E$25)</f>
        <v/>
      </c>
    </row>
    <row r="166" spans="2:4">
      <c r="B166" s="259" t="s">
        <v>533</v>
      </c>
      <c r="C166" s="298" t="str">
        <f>Market_currency</f>
        <v>HKD</v>
      </c>
      <c r="D166" s="298" t="str">
        <f>IF($D$11="","",D$13)</f>
        <v/>
      </c>
    </row>
    <row r="167" spans="2:4">
      <c r="B167" s="214" t="s">
        <v>534</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18.373712475048521</v>
      </c>
    </row>
    <row r="173" spans="2:4">
      <c r="B173" s="80" t="s">
        <v>382</v>
      </c>
      <c r="C173" s="215">
        <f>Scenarios!C105</f>
        <v>19.534115524754306</v>
      </c>
      <c r="D173" s="300" t="str">
        <f>IF($D$11="","",C173*$E$25)</f>
        <v/>
      </c>
    </row>
    <row r="174" spans="2:4">
      <c r="B174" s="259" t="s">
        <v>533</v>
      </c>
      <c r="C174" s="298" t="str">
        <f>Market_currency</f>
        <v>HKD</v>
      </c>
      <c r="D174" s="298" t="str">
        <f>IF($D$11="","",D$13)</f>
        <v/>
      </c>
    </row>
    <row r="175" spans="2:4">
      <c r="B175" s="214" t="s">
        <v>534</v>
      </c>
      <c r="C175" s="92">
        <f>Scenarios!F105</f>
        <v>0.2364087332429492</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17</v>
      </c>
      <c r="D12" s="50"/>
      <c r="E12" s="48"/>
    </row>
    <row r="13" spans="1:10">
      <c r="B13" s="1" t="s">
        <v>465</v>
      </c>
      <c r="C13" s="48" t="s">
        <v>377</v>
      </c>
      <c r="D13" s="48"/>
      <c r="E13" s="5"/>
    </row>
    <row r="14" spans="1:10">
      <c r="B14" s="4" t="s">
        <v>466</v>
      </c>
      <c r="C14" s="35">
        <f>Thesis!C12*Common_Shares/1000000</f>
        <v>43941.564402000004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25.634385847920402</v>
      </c>
      <c r="D26" s="1" t="s">
        <v>380</v>
      </c>
      <c r="E26" s="301">
        <f ca="1">Scenarios!C87</f>
        <v>0.17159715812863041</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11.234570427933916</v>
      </c>
      <c r="D29" s="310" t="str">
        <f>D149</f>
        <v/>
      </c>
      <c r="E29" s="306" t="s">
        <v>401</v>
      </c>
      <c r="F29" s="302">
        <v>0.35</v>
      </c>
    </row>
    <row r="30" spans="2:6">
      <c r="B30" s="1" t="s">
        <v>403</v>
      </c>
      <c r="C30" s="311">
        <f>C157</f>
        <v>14.063669774558747</v>
      </c>
      <c r="D30" s="311" t="str">
        <f>D157</f>
        <v/>
      </c>
      <c r="E30" s="307" t="s">
        <v>414</v>
      </c>
      <c r="F30" s="312">
        <v>0.25</v>
      </c>
    </row>
    <row r="31" spans="2:6">
      <c r="B31" s="1" t="s">
        <v>404</v>
      </c>
      <c r="C31" s="311">
        <f>C165</f>
        <v>21.885459058351312</v>
      </c>
      <c r="D31" s="311" t="str">
        <f>D165</f>
        <v/>
      </c>
      <c r="E31" s="307" t="s">
        <v>413</v>
      </c>
      <c r="F31" s="312">
        <v>7.4999999999999997E-2</v>
      </c>
    </row>
    <row r="32" spans="2:6">
      <c r="B32" s="1" t="s">
        <v>405</v>
      </c>
      <c r="C32" s="311">
        <f>C173</f>
        <v>19.534115524754306</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-806580.95080255554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6.0258816698508466E-2</v>
      </c>
      <c r="F69" s="314"/>
    </row>
    <row r="70" spans="1:6">
      <c r="B70" s="227" t="s">
        <v>435</v>
      </c>
      <c r="C70" s="92">
        <f>Normalized_FCF!C94</f>
        <v>2.8292677809290651E-2</v>
      </c>
      <c r="E70" s="47" t="s">
        <v>425</v>
      </c>
      <c r="F70" s="315">
        <f>Normalized_FCF!C92</f>
        <v>0.5708708183254364</v>
      </c>
    </row>
    <row r="72" spans="1:6">
      <c r="B72" s="210" t="s">
        <v>428</v>
      </c>
      <c r="C72" s="323" t="s">
        <v>430</v>
      </c>
      <c r="D72" s="323" t="s">
        <v>431</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13.658665118328589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0.81966499704376494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0.23774199638396484</v>
      </c>
      <c r="D114" s="1" t="str">
        <f>Market_currency</f>
        <v>HKD</v>
      </c>
    </row>
    <row r="116" spans="1:6" ht="24.6" customHeight="1">
      <c r="B116" s="371" t="s">
        <v>352</v>
      </c>
      <c r="C116" s="371"/>
      <c r="D116" s="371"/>
      <c r="E116" s="371"/>
      <c r="F116" s="371"/>
    </row>
    <row r="118" spans="1:6">
      <c r="B118" s="47" t="s">
        <v>426</v>
      </c>
      <c r="C118" s="223">
        <f>IF(valuation_method="DCF",DCF!C12,DDM!C7)</f>
        <v>19.04928467521886</v>
      </c>
      <c r="D118" s="1" t="str">
        <f>Market_currency</f>
        <v>HKD</v>
      </c>
    </row>
    <row r="119" spans="1:6">
      <c r="B119" s="296" t="s">
        <v>550</v>
      </c>
      <c r="C119" s="223">
        <f>BS!D47</f>
        <v>4.6132566500997241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25.634385847920402</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0.48097552275794103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0.81567662194076485</v>
      </c>
    </row>
    <row r="148" spans="2:4">
      <c r="B148" s="212" t="str">
        <f>"+ PV(Equity Value realized at year "&amp;C141&amp;")"</f>
        <v>+ PV(Equity Value realized at year 3)</v>
      </c>
      <c r="C148" s="216">
        <f>Scenarios!C82</f>
        <v>10.41889380599315</v>
      </c>
    </row>
    <row r="149" spans="2:4">
      <c r="B149" s="80" t="s">
        <v>256</v>
      </c>
      <c r="C149" s="215">
        <f>Scenarios!C83</f>
        <v>11.234570427933916</v>
      </c>
      <c r="D149" s="300" t="str">
        <f>IF($D$11="","",C149*$E$25)</f>
        <v/>
      </c>
    </row>
    <row r="150" spans="2:4">
      <c r="B150" s="259" t="s">
        <v>396</v>
      </c>
      <c r="C150" s="298" t="str">
        <f>Market_currency</f>
        <v>HKD</v>
      </c>
      <c r="D150" s="298" t="str">
        <f>IF($D$11="","",D$13)</f>
        <v/>
      </c>
    </row>
    <row r="151" spans="2:4">
      <c r="B151" s="214" t="s">
        <v>258</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0.93886422042350093</v>
      </c>
    </row>
    <row r="156" spans="2:4">
      <c r="B156" s="212" t="str">
        <f>"+ PV(Equity Value realized at year "&amp;C141&amp;")"</f>
        <v>+ PV(Equity Value realized at year 3)</v>
      </c>
      <c r="C156" s="216">
        <f>Scenarios!C92</f>
        <v>13.124805554135246</v>
      </c>
    </row>
    <row r="157" spans="2:4">
      <c r="B157" s="80" t="s">
        <v>256</v>
      </c>
      <c r="C157" s="215">
        <f>Scenarios!C93</f>
        <v>14.063669774558747</v>
      </c>
      <c r="D157" s="300" t="str">
        <f>IF($D$11="","",C157*$E$25)</f>
        <v/>
      </c>
    </row>
    <row r="158" spans="2:4">
      <c r="B158" s="259" t="s">
        <v>396</v>
      </c>
      <c r="C158" s="298" t="str">
        <f>Market_currency</f>
        <v>HKD</v>
      </c>
      <c r="D158" s="298" t="str">
        <f>IF($D$11="","",D$13)</f>
        <v/>
      </c>
    </row>
    <row r="159" spans="2:4">
      <c r="B159" s="214" t="s">
        <v>258</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1.2507892271803971</v>
      </c>
    </row>
    <row r="164" spans="2:4">
      <c r="B164" s="212" t="str">
        <f>"+ PV(Equity Value realized at year "&amp;C141&amp;")"</f>
        <v>+ PV(Equity Value realized at year 3)</v>
      </c>
      <c r="C164" s="216">
        <f>Scenarios!C98</f>
        <v>20.634669831170914</v>
      </c>
    </row>
    <row r="165" spans="2:4">
      <c r="B165" s="80" t="s">
        <v>382</v>
      </c>
      <c r="C165" s="215">
        <f>Scenarios!C99</f>
        <v>21.885459058351312</v>
      </c>
      <c r="D165" s="300" t="str">
        <f>IF($D$11="","",C165*$E$25)</f>
        <v/>
      </c>
    </row>
    <row r="166" spans="2:4">
      <c r="B166" s="259" t="s">
        <v>396</v>
      </c>
      <c r="C166" s="298" t="str">
        <f>Market_currency</f>
        <v>HKD</v>
      </c>
      <c r="D166" s="298" t="str">
        <f>IF($D$11="","",D$13)</f>
        <v/>
      </c>
    </row>
    <row r="167" spans="2:4">
      <c r="B167" s="214" t="s">
        <v>258</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18.373712475048521</v>
      </c>
    </row>
    <row r="173" spans="2:4">
      <c r="B173" s="80" t="s">
        <v>382</v>
      </c>
      <c r="C173" s="215">
        <f>Scenarios!C105</f>
        <v>19.534115524754306</v>
      </c>
      <c r="D173" s="300" t="str">
        <f>IF($D$11="","",C173*$E$25)</f>
        <v/>
      </c>
    </row>
    <row r="174" spans="2:4">
      <c r="B174" s="259" t="s">
        <v>396</v>
      </c>
      <c r="C174" s="298" t="str">
        <f>Market_currency</f>
        <v>HKD</v>
      </c>
      <c r="D174" s="298" t="str">
        <f>IF($D$11="","",D$13)</f>
        <v/>
      </c>
    </row>
    <row r="175" spans="2:4">
      <c r="B175" s="214" t="s">
        <v>258</v>
      </c>
      <c r="C175" s="92">
        <f>Scenarios!F105</f>
        <v>0.2364087332429492</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0.53441724750882336</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0.53441724750882336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11.051015587748367</v>
      </c>
      <c r="D47" s="147">
        <f>D46*H1/Common_Shares*Exchange_Rate</f>
        <v>4.6132566500997241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14107788.756935174</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-2210642.8818575907</v>
      </c>
      <c r="D73" s="349">
        <f>(Normalized_FCF!C25+Normalized_FCF!C35-Normalized_FCF!C91)/12</f>
        <v>-2028199.6215324129</v>
      </c>
      <c r="F73" s="1" t="s">
        <v>342</v>
      </c>
    </row>
    <row r="74" spans="2:6" ht="15" customHeight="1">
      <c r="B74" s="257" t="s">
        <v>312</v>
      </c>
      <c r="C74" s="258">
        <f>-$C$66/C73</f>
        <v>8.2166993814653306</v>
      </c>
      <c r="D74" s="258">
        <f>-$C$66/D73</f>
        <v>8.955818651753809</v>
      </c>
      <c r="F74" s="253" t="s">
        <v>310</v>
      </c>
    </row>
    <row r="75" spans="2:6" ht="15" customHeight="1">
      <c r="B75" s="80" t="s">
        <v>311</v>
      </c>
      <c r="C75" s="320"/>
      <c r="D75" s="321">
        <f>MAX(-D73*D76,G5)</f>
        <v>4056399.2430648259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-2118668.3679802199</v>
      </c>
      <c r="D86" s="223">
        <f>C86*scaling_factor/Common_Shares</f>
        <v>-0.81966499704376494</v>
      </c>
      <c r="E86" s="240" t="str">
        <f>Market_currency</f>
        <v>HKD</v>
      </c>
    </row>
    <row r="87" spans="2:8" ht="15" customHeight="1">
      <c r="B87" s="238" t="s">
        <v>282</v>
      </c>
      <c r="C87" s="76">
        <f>DCF!C8*Exchange_Rate</f>
        <v>15437815.496251319</v>
      </c>
      <c r="D87" s="223">
        <f>C87*scaling_factor/Common_Shares</f>
        <v>5.9725425575500752</v>
      </c>
      <c r="E87" s="240" t="str">
        <f>Market_currency</f>
        <v>HKD</v>
      </c>
    </row>
    <row r="88" spans="2:8" ht="15" customHeight="1">
      <c r="B88" s="239" t="s">
        <v>185</v>
      </c>
      <c r="C88" s="76">
        <f>DCF!C9*Exchange_Rate</f>
        <v>614515.01442153193</v>
      </c>
      <c r="D88" s="223">
        <f>C88*scaling_factor/Common_Shares</f>
        <v>0.23774199638396484</v>
      </c>
      <c r="E88" s="240" t="str">
        <f>Market_currency</f>
        <v>HKD</v>
      </c>
    </row>
    <row r="89" spans="2:8" ht="15" customHeight="1">
      <c r="B89" s="80" t="s">
        <v>286</v>
      </c>
      <c r="C89" s="180">
        <f>SUM(C86:C88)</f>
        <v>13933662.142692631</v>
      </c>
      <c r="D89" s="242">
        <f>SUM(D86:D88)</f>
        <v>5.3906195568902744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-158500.12069191207</v>
      </c>
      <c r="E12" s="268"/>
      <c r="G12" s="328">
        <f>G50</f>
        <v>-158500.12069191207</v>
      </c>
      <c r="H12" s="328">
        <f t="shared" ref="H12:Q12" si="6">H50</f>
        <v>-69662.584219919052</v>
      </c>
      <c r="I12" s="328">
        <f t="shared" si="6"/>
        <v>-20570.587641143691</v>
      </c>
      <c r="J12" s="328">
        <f t="shared" si="6"/>
        <v>-80055.155404305609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3226323.8032102222</v>
      </c>
      <c r="E13" s="268"/>
      <c r="G13" s="329">
        <f>IF(G$4="","",SUM(G8:G12))</f>
        <v>3628903.153308088</v>
      </c>
      <c r="H13" s="329">
        <f t="shared" ref="H13:Q13" si="7">IF(H$4="","",SUM(H8:H12))</f>
        <v>3325906.6897800812</v>
      </c>
      <c r="I13" s="329">
        <f t="shared" si="7"/>
        <v>4239686.8373588566</v>
      </c>
      <c r="J13" s="329">
        <f t="shared" si="7"/>
        <v>4800540.5985956937</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-806580.95080255554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2419742.8524076669</v>
      </c>
      <c r="D16" s="61"/>
      <c r="E16" s="276"/>
      <c r="F16" s="61"/>
      <c r="G16" s="329">
        <f>IF(G$4="","",SUM(G13:G15))</f>
        <v>2532212.153308088</v>
      </c>
      <c r="H16" s="329">
        <f t="shared" ref="H16:Q16" si="8">IF(H$4="","",SUM(H13:H15))</f>
        <v>2256647.6897800812</v>
      </c>
      <c r="I16" s="329">
        <f t="shared" si="8"/>
        <v>2888357.8373588566</v>
      </c>
      <c r="J16" s="329">
        <f t="shared" si="8"/>
        <v>3483184.5985956937</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2419742.8524076669</v>
      </c>
      <c r="D19" s="27"/>
      <c r="E19" s="265"/>
      <c r="F19" s="27"/>
      <c r="G19" s="334">
        <f>IF(G$4="","",G16+G17)</f>
        <v>2532212.153308088</v>
      </c>
      <c r="H19" s="334">
        <f t="shared" ref="H19:Q19" si="9">IF(H$4="","",H16+H17)</f>
        <v>2256647.6897800812</v>
      </c>
      <c r="I19" s="334">
        <f t="shared" si="9"/>
        <v>2888357.8373588566</v>
      </c>
      <c r="J19" s="334">
        <f t="shared" si="9"/>
        <v>3483184.5985956937</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0.30236129823499269</v>
      </c>
      <c r="H43" s="6">
        <f t="shared" si="18"/>
        <v>0.32165390967416696</v>
      </c>
      <c r="I43" s="6">
        <f t="shared" si="18"/>
        <v>0.31887087916879875</v>
      </c>
      <c r="J43" s="6">
        <f t="shared" si="18"/>
        <v>0.274475565053097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95920.87930808794</v>
      </c>
      <c r="E48" s="268"/>
      <c r="G48" s="337">
        <f>IFERROR(IF(G$4="","",($C$48/$C$49)*G49),0)</f>
        <v>95920.87930808794</v>
      </c>
      <c r="H48" s="337">
        <f t="shared" ref="H48:Q48" si="19">IFERROR(IF(H$4="","",($C$48/$C$49)*H49),0)</f>
        <v>111783.41578008095</v>
      </c>
      <c r="I48" s="337">
        <f t="shared" si="19"/>
        <v>99990.412358856309</v>
      </c>
      <c r="J48" s="337">
        <f t="shared" si="19"/>
        <v>32402.844595694398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-158500.12069191207</v>
      </c>
      <c r="E50" s="268"/>
      <c r="G50" s="329">
        <f>IF(G$4="","",(G47+G48))</f>
        <v>-158500.12069191207</v>
      </c>
      <c r="H50" s="329">
        <f t="shared" ref="H50:Q50" si="20">IF(H$4="","",(H47+H48))</f>
        <v>-69662.584219919052</v>
      </c>
      <c r="I50" s="329">
        <f t="shared" si="20"/>
        <v>-20570.587641143691</v>
      </c>
      <c r="J50" s="329">
        <f t="shared" si="20"/>
        <v>-80055.155404305609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6.0583058437212491E-3</v>
      </c>
      <c r="D80" s="27"/>
      <c r="E80" s="265"/>
      <c r="F80" s="27"/>
      <c r="G80" s="6">
        <f t="shared" ref="G80:Q80" si="31">IF(G$4="","",ABS(G12/G$4))</f>
        <v>5.5273432122136569E-3</v>
      </c>
      <c r="H80" s="6">
        <f t="shared" si="31"/>
        <v>2.5241446795014645E-3</v>
      </c>
      <c r="I80" s="6">
        <f t="shared" si="31"/>
        <v>7.9720506575218033E-4</v>
      </c>
      <c r="J80" s="6">
        <f t="shared" si="31"/>
        <v>3.5466134505549355E-3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0.1233188736096833</v>
      </c>
      <c r="D81" s="27"/>
      <c r="E81" s="265"/>
      <c r="F81" s="27"/>
      <c r="G81" s="65">
        <f t="shared" ref="G81:Q81" si="32">IF(G$4="","",G13/G$4)</f>
        <v>0.12655001854040684</v>
      </c>
      <c r="H81" s="65">
        <f t="shared" si="32"/>
        <v>0.12051045434984402</v>
      </c>
      <c r="I81" s="65">
        <f t="shared" si="32"/>
        <v>0.16430740253550694</v>
      </c>
      <c r="J81" s="65">
        <f t="shared" si="32"/>
        <v>0.21267414660466497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3.0829718402420825E-2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9.2489155207262488E-2</v>
      </c>
      <c r="D84" s="27"/>
      <c r="E84" s="265"/>
      <c r="F84" s="27"/>
      <c r="G84" s="65">
        <f t="shared" ref="G84:Q84" si="35">IF(G$4="","",ABS(G16/G$4))</f>
        <v>8.8305331228600098E-2</v>
      </c>
      <c r="H84" s="65">
        <f t="shared" si="35"/>
        <v>8.1767067981364669E-2</v>
      </c>
      <c r="I84" s="65">
        <f t="shared" si="35"/>
        <v>0.11193717650739271</v>
      </c>
      <c r="J84" s="65">
        <f t="shared" si="35"/>
        <v>0.15431247726340522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9.2489155207262488E-2</v>
      </c>
      <c r="D87" s="75"/>
      <c r="E87" s="265"/>
      <c r="F87" s="75"/>
      <c r="G87" s="65">
        <f t="shared" ref="G87:Q87" si="36">IF(G$4="","",ABS(G19/G$4))</f>
        <v>8.8305331228600098E-2</v>
      </c>
      <c r="H87" s="65">
        <f t="shared" si="36"/>
        <v>8.1767067981364669E-2</v>
      </c>
      <c r="I87" s="65">
        <f t="shared" si="36"/>
        <v>0.11193717650739271</v>
      </c>
      <c r="J87" s="65">
        <f t="shared" si="36"/>
        <v>0.15431247726340522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0.53441724750882336</v>
      </c>
      <c r="E90" s="268"/>
      <c r="G90" s="112">
        <f>Data!C65</f>
        <v>0.53441724750882336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1381360.5822910902</v>
      </c>
      <c r="E91" s="268"/>
      <c r="G91" s="74">
        <f t="shared" ref="G91:Q91" si="37">IF(G$4="","",G90*Common_Shares/scaling_factor)</f>
        <v>1381360.5822910902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0.5708708183254364</v>
      </c>
      <c r="E92" s="268"/>
      <c r="G92" s="170">
        <f t="shared" ref="G92:Q92" si="38">IF(G$4="","",G90/(G19*scaling_factor/Common_Shares))</f>
        <v>0.54551534336744956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2.8292677809290651E-2</v>
      </c>
      <c r="E94" s="268"/>
      <c r="G94" s="23">
        <f t="shared" ref="G94:Q94" si="39">IF(G$4="","",(G90*(1-dividend_tax_rate))/Market_Price)</f>
        <v>2.8292677809290651E-2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-0.11093692311156789</v>
      </c>
      <c r="D98" s="27"/>
      <c r="E98" s="265"/>
      <c r="F98" s="27"/>
      <c r="G98" s="6">
        <f t="shared" ref="G98:Q98" si="41">IF(H5="","",G13/H13-1)</f>
        <v>9.1101913489954667E-2</v>
      </c>
      <c r="H98" s="6">
        <f t="shared" si="41"/>
        <v>-0.21553010461216549</v>
      </c>
      <c r="I98" s="6">
        <f t="shared" si="41"/>
        <v>-0.11683137549152367</v>
      </c>
      <c r="J98" s="6">
        <f t="shared" si="41"/>
        <v>1.4633307865578691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2.077389404305666</v>
      </c>
      <c r="I115" s="295">
        <f>IF(I$4="","",Data!E$22/I19)</f>
        <v>1.3549581528231416</v>
      </c>
      <c r="J115" s="295">
        <f>IF(J$4="","",Data!F$22/J19)</f>
        <v>1.8733819053491456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0.1233188736096833</v>
      </c>
      <c r="E118" s="268"/>
      <c r="G118" s="23">
        <f t="shared" ref="G118:Q118" si="45">IF(G4="","",IF(valuation_method="DDM",G13/(G4+G12),G81))</f>
        <v>0.12655001854040684</v>
      </c>
      <c r="H118" s="23">
        <f t="shared" si="45"/>
        <v>0.12051045434984402</v>
      </c>
      <c r="I118" s="23">
        <f t="shared" si="45"/>
        <v>0.16430740253550694</v>
      </c>
      <c r="J118" s="23">
        <f t="shared" si="45"/>
        <v>0.21267414660466497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0.12359646957218277</v>
      </c>
      <c r="D121" s="103"/>
      <c r="E121" s="271"/>
      <c r="F121" s="103"/>
      <c r="G121" s="102">
        <f t="shared" ref="G121:Q121" si="48">IF(G$4="","",G13/G106)</f>
        <v>0.13901878593895628</v>
      </c>
      <c r="H121" s="102">
        <f t="shared" si="48"/>
        <v>0.13627056217117633</v>
      </c>
      <c r="I121" s="102">
        <f t="shared" si="48"/>
        <v>0.17424376881925907</v>
      </c>
      <c r="J121" s="102">
        <f t="shared" si="48"/>
        <v>0.22746949674751429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1.024399883874644</v>
      </c>
      <c r="D125" s="27"/>
      <c r="E125" s="265"/>
      <c r="F125" s="27"/>
      <c r="G125" s="177">
        <f t="shared" ref="G125:Q125" si="49">IF(G$4="","",G16*$C$3/Common_Shares*Exchange_Rate)</f>
        <v>1.072013843625456</v>
      </c>
      <c r="H125" s="177">
        <f t="shared" si="49"/>
        <v>0.95535342900446052</v>
      </c>
      <c r="I125" s="177">
        <f t="shared" si="49"/>
        <v>1.2227883761428464</v>
      </c>
      <c r="J125" s="177">
        <f t="shared" si="49"/>
        <v>1.4746087150397038</v>
      </c>
      <c r="K125" s="177">
        <f t="shared" si="49"/>
        <v>0.59244531258149424</v>
      </c>
      <c r="L125" s="177">
        <f t="shared" si="49"/>
        <v>0.58373249520658543</v>
      </c>
      <c r="M125" s="177">
        <f t="shared" si="49"/>
        <v>0.25105967872979229</v>
      </c>
      <c r="N125" s="177">
        <f t="shared" si="49"/>
        <v>0.19198066210934941</v>
      </c>
      <c r="O125" s="177">
        <f t="shared" si="49"/>
        <v>9.7973517512374514E-2</v>
      </c>
      <c r="P125" s="177">
        <f t="shared" si="49"/>
        <v>5.0941792390867087E-3</v>
      </c>
      <c r="Q125" s="177" t="str">
        <f t="shared" si="49"/>
        <v/>
      </c>
    </row>
    <row r="126" spans="1:17" ht="15.75" customHeight="1">
      <c r="A126" s="10"/>
      <c r="B126" s="27" t="s">
        <v>264</v>
      </c>
      <c r="C126" s="77">
        <f>C19*Exchange_Rate*$C$3/(Market_Price*Common_Shares)</f>
        <v>6.0258816698508466E-2</v>
      </c>
      <c r="D126" s="27"/>
      <c r="E126" s="265"/>
      <c r="F126" s="27"/>
      <c r="G126" s="77">
        <f t="shared" ref="G126" si="50">IF(G$4="","",G125/Market_Price)</f>
        <v>6.3059637860320941E-2</v>
      </c>
      <c r="H126" s="77">
        <f t="shared" ref="H126" si="51">IF(H$4="","",H125/Market_Price)</f>
        <v>5.6197260529674151E-2</v>
      </c>
      <c r="I126" s="77">
        <f t="shared" ref="I126" si="52">IF(I$4="","",I125/Market_Price)</f>
        <v>7.1928728008402734E-2</v>
      </c>
      <c r="J126" s="77">
        <f t="shared" ref="J126" si="53">IF(J$4="","",J125/Market_Price)</f>
        <v>8.6741689119982576E-2</v>
      </c>
      <c r="K126" s="77">
        <f t="shared" ref="K126" si="54">IF(K$4="","",K125/Market_Price)</f>
        <v>3.4849724269499664E-2</v>
      </c>
      <c r="L126" s="77">
        <f t="shared" ref="L126" si="55">IF(L$4="","",L125/Market_Price)</f>
        <v>3.4337205600387381E-2</v>
      </c>
      <c r="M126" s="77">
        <f t="shared" ref="M126" si="56">IF(M$4="","",M125/Market_Price)</f>
        <v>1.4768216395870134E-2</v>
      </c>
      <c r="N126" s="77">
        <f t="shared" ref="N126" si="57">IF(N$4="","",N125/Market_Price)</f>
        <v>1.1292980124079378E-2</v>
      </c>
      <c r="O126" s="77">
        <f t="shared" ref="O126" si="58">IF(O$4="","",O125/Market_Price)</f>
        <v>5.7631480889632066E-3</v>
      </c>
      <c r="P126" s="77">
        <f t="shared" ref="P126" si="59">IF(P$4="","",P125/Market_Price)</f>
        <v>2.9965760229921814E-4</v>
      </c>
      <c r="Q126" s="77" t="str">
        <f t="shared" ref="Q126" si="60">IF(Q$4="","",Q125/Market_Price)</f>
        <v/>
      </c>
    </row>
    <row r="127" spans="1:17" ht="15.75" customHeight="1">
      <c r="B127" s="2" t="s">
        <v>375</v>
      </c>
      <c r="C127" s="169"/>
      <c r="G127" s="23">
        <f>IF(G$4="","",(Data!C47*$C$3)/(Market_Price*Common_Shares))</f>
        <v>6.8566470971226215E-2</v>
      </c>
      <c r="H127" s="23">
        <f>IF(H$4="","",(Data!D47*$C$3)/(Market_Price*Common_Shares))</f>
        <v>7.2527276699664911E-2</v>
      </c>
      <c r="I127" s="23">
        <f>IF(I$4="","",(Data!E47*$C$3)/(Market_Price*Common_Shares))</f>
        <v>9.2481254486584397E-2</v>
      </c>
      <c r="J127" s="23">
        <f>IF(J$4="","",(Data!F47*$C$3)/(Market_Price*Common_Shares))</f>
        <v>9.1277769796867872E-2</v>
      </c>
      <c r="K127" s="23">
        <f>IF(K$4="","",(Data!G47*$C$3)/(Market_Price*Common_Shares))</f>
        <v>3.8653243759402739E-2</v>
      </c>
      <c r="L127" s="23">
        <f>IF(L$4="","",(Data!H47*$C$3)/(Market_Price*Common_Shares))</f>
        <v>3.4116741640899943E-2</v>
      </c>
      <c r="M127" s="23">
        <f>IF(M$4="","",(Data!I47*$C$3)/(Market_Price*Common_Shares))</f>
        <v>1.6277595250283005E-2</v>
      </c>
      <c r="N127" s="23">
        <f>IF(N$4="","",(Data!J47*$C$3)/(Market_Price*Common_Shares))</f>
        <v>1.172363813193125E-2</v>
      </c>
      <c r="O127" s="23">
        <f>IF(O$4="","",(Data!K47*$C$3)/(Market_Price*Common_Shares))</f>
        <v>1.5950023845034064E-2</v>
      </c>
      <c r="P127" s="23">
        <f>IF(P$4="","",(Data!L47*$C$3)/(Market_Price*Common_Shares))</f>
        <v>1.4019755745700317E-3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2419742.8524076669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32263238.032102227</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14107788.756935174</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44996461.989037402</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19.04928467521886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25.581900127950792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2551006.7917728331</v>
      </c>
      <c r="D21" s="138">
        <f>IF($C$17&lt;B21,0,DCF!$C$16)</f>
        <v>5.4247061515052201E-2</v>
      </c>
      <c r="E21" s="124">
        <f t="shared" ref="E21:E50" si="0">IF($C$17&lt;B21,0,1/(1+Equity_Cost)^B21)</f>
        <v>0.93023255813953487</v>
      </c>
      <c r="F21" s="125">
        <f t="shared" ref="F21:F51" si="1">C21*E21</f>
        <v>2373029.5737421704</v>
      </c>
      <c r="H21" s="120"/>
    </row>
    <row r="22" spans="2:17">
      <c r="B22" s="122">
        <v>2</v>
      </c>
      <c r="C22" s="123">
        <f t="shared" ref="C22:C50" si="2">IF(ROW()-ROW($C$21)&lt;$C$17, $C$21*(1+D22)^(ROW()-ROW($C$21)), 0)</f>
        <v>2689391.4141314495</v>
      </c>
      <c r="D22" s="138">
        <f>IF($C$17&lt;B22,0,DCF!$C$16)</f>
        <v>5.4247061515052201E-2</v>
      </c>
      <c r="E22" s="124">
        <f t="shared" si="0"/>
        <v>0.86533261222282321</v>
      </c>
      <c r="F22" s="125">
        <f t="shared" si="1"/>
        <v>2327218.0976799997</v>
      </c>
      <c r="H22" s="120"/>
    </row>
    <row r="23" spans="2:17">
      <c r="B23" s="122">
        <v>3</v>
      </c>
      <c r="C23" s="123">
        <f t="shared" si="2"/>
        <v>2835282.9956118912</v>
      </c>
      <c r="D23" s="138">
        <f>IF($C$17&lt;B23,0,DCF!$C$16)</f>
        <v>5.4247061515052201E-2</v>
      </c>
      <c r="E23" s="124">
        <f t="shared" si="0"/>
        <v>0.80496056950960304</v>
      </c>
      <c r="F23" s="125">
        <f t="shared" si="1"/>
        <v>2282291.0148686413</v>
      </c>
      <c r="G23" s="338"/>
      <c r="H23" s="339"/>
      <c r="I23" s="338"/>
      <c r="J23" s="338"/>
      <c r="K23" s="338"/>
      <c r="L23" s="338"/>
      <c r="M23" s="338"/>
      <c r="N23" s="338"/>
      <c r="O23" s="338"/>
      <c r="P23" s="338"/>
      <c r="Q23" s="338"/>
    </row>
    <row r="24" spans="2:17">
      <c r="B24" s="122">
        <v>4</v>
      </c>
      <c r="C24" s="123">
        <f t="shared" si="2"/>
        <v>2989088.7666874304</v>
      </c>
      <c r="D24" s="138">
        <f>IF($C$17&lt;B24,0,DCF!$C$16)</f>
        <v>5.4247061515052201E-2</v>
      </c>
      <c r="E24" s="124">
        <f t="shared" si="0"/>
        <v>0.7488005297763749</v>
      </c>
      <c r="F24" s="125">
        <f t="shared" si="1"/>
        <v>2238231.252044159</v>
      </c>
      <c r="G24" s="338"/>
      <c r="H24" s="339"/>
      <c r="I24" s="338"/>
      <c r="J24" s="338"/>
      <c r="K24" s="338"/>
      <c r="L24" s="338"/>
      <c r="M24" s="338"/>
      <c r="N24" s="338"/>
      <c r="O24" s="338"/>
      <c r="P24" s="338"/>
      <c r="Q24" s="338"/>
    </row>
    <row r="25" spans="2:17">
      <c r="B25" s="122">
        <v>5</v>
      </c>
      <c r="C25" s="123">
        <f t="shared" si="2"/>
        <v>3151238.0488878749</v>
      </c>
      <c r="D25" s="138">
        <f>IF($C$17&lt;B25,0,DCF!$C$16)</f>
        <v>5.4247061515052201E-2</v>
      </c>
      <c r="E25" s="124">
        <f t="shared" si="0"/>
        <v>0.69655863235011617</v>
      </c>
      <c r="F25" s="125">
        <f t="shared" si="1"/>
        <v>2195022.0655429866</v>
      </c>
      <c r="G25" s="338"/>
      <c r="H25" s="339"/>
      <c r="I25" s="338"/>
      <c r="J25" s="338"/>
      <c r="K25" s="338"/>
      <c r="L25" s="338"/>
      <c r="M25" s="338"/>
      <c r="N25" s="338"/>
      <c r="O25" s="338"/>
      <c r="P25" s="338"/>
      <c r="Q25" s="338"/>
    </row>
    <row r="26" spans="2:17">
      <c r="B26" s="122">
        <v>6</v>
      </c>
      <c r="C26" s="123">
        <f t="shared" si="2"/>
        <v>3322183.4531744681</v>
      </c>
      <c r="D26" s="138">
        <f>IF($C$17&lt;B26,0,DCF!$C$16)</f>
        <v>5.4247061515052201E-2</v>
      </c>
      <c r="E26" s="124">
        <f t="shared" si="0"/>
        <v>0.64796151846522443</v>
      </c>
      <c r="F26" s="125">
        <f t="shared" si="1"/>
        <v>2152647.034938971</v>
      </c>
      <c r="H26" s="120"/>
    </row>
    <row r="27" spans="2:17">
      <c r="B27" s="122">
        <v>7</v>
      </c>
      <c r="C27" s="123">
        <f t="shared" si="2"/>
        <v>3502402.1433231118</v>
      </c>
      <c r="D27" s="138">
        <f>IF($C$17&lt;B27,0,DCF!$C$16)</f>
        <v>5.4247061515052201E-2</v>
      </c>
      <c r="E27" s="124">
        <f t="shared" si="0"/>
        <v>0.60275490089788319</v>
      </c>
      <c r="F27" s="125">
        <f t="shared" si="1"/>
        <v>2111090.0568032558</v>
      </c>
      <c r="H27" s="120"/>
    </row>
    <row r="28" spans="2:17">
      <c r="B28" s="122">
        <v>8</v>
      </c>
      <c r="C28" s="123">
        <f t="shared" si="2"/>
        <v>3692397.167842411</v>
      </c>
      <c r="D28" s="138">
        <f>IF($C$17&lt;B28,0,DCF!$C$16)</f>
        <v>5.4247061515052201E-2</v>
      </c>
      <c r="E28" s="124">
        <f t="shared" si="0"/>
        <v>0.56070223339337966</v>
      </c>
      <c r="F28" s="125">
        <f t="shared" si="1"/>
        <v>2070335.3385846296</v>
      </c>
      <c r="H28" s="120"/>
    </row>
    <row r="29" spans="2:17">
      <c r="B29" s="122">
        <v>9</v>
      </c>
      <c r="C29" s="123">
        <f t="shared" si="2"/>
        <v>3892698.864144362</v>
      </c>
      <c r="D29" s="138">
        <f>IF($C$17&lt;B29,0,DCF!$C$16)</f>
        <v>5.4247061515052201E-2</v>
      </c>
      <c r="E29" s="124">
        <f t="shared" si="0"/>
        <v>0.52158347292407414</v>
      </c>
      <c r="F29" s="125">
        <f t="shared" si="1"/>
        <v>2030367.3926080151</v>
      </c>
      <c r="H29" s="120"/>
    </row>
    <row r="30" spans="2:17">
      <c r="B30" s="122">
        <v>10</v>
      </c>
      <c r="C30" s="123">
        <f t="shared" si="2"/>
        <v>4103866.3388871746</v>
      </c>
      <c r="D30" s="138">
        <f>IF($C$17&lt;B30,0,DCF!$C$16)</f>
        <v>5.4247061515052201E-2</v>
      </c>
      <c r="E30" s="124">
        <f t="shared" si="0"/>
        <v>0.48519392830146441</v>
      </c>
      <c r="F30" s="125">
        <f t="shared" si="1"/>
        <v>1991171.0301888171</v>
      </c>
      <c r="H30" s="120"/>
    </row>
    <row r="31" spans="2:17">
      <c r="B31" s="122">
        <v>11</v>
      </c>
      <c r="C31" s="123">
        <f t="shared" si="2"/>
        <v>4326489.0286223385</v>
      </c>
      <c r="D31" s="138">
        <f>IF($C$17&lt;B31,0,DCF!$C$16)</f>
        <v>5.4247061515052201E-2</v>
      </c>
      <c r="E31" s="124">
        <f t="shared" si="0"/>
        <v>0.45134318911764126</v>
      </c>
      <c r="F31" s="125">
        <f t="shared" si="1"/>
        <v>1952731.3558608922</v>
      </c>
      <c r="H31" s="120"/>
    </row>
    <row r="32" spans="2:17">
      <c r="B32" s="122">
        <v>12</v>
      </c>
      <c r="C32" s="123">
        <f t="shared" si="2"/>
        <v>4561188.3451022124</v>
      </c>
      <c r="D32" s="138">
        <f>IF($C$17&lt;B32,0,DCF!$C$16)</f>
        <v>5.4247061515052201E-2</v>
      </c>
      <c r="E32" s="124">
        <f t="shared" si="0"/>
        <v>0.41985412941175931</v>
      </c>
      <c r="F32" s="125">
        <f t="shared" si="1"/>
        <v>1915033.7617159525</v>
      </c>
      <c r="H32" s="120"/>
    </row>
    <row r="33" spans="2:17">
      <c r="B33" s="122">
        <v>13</v>
      </c>
      <c r="C33" s="341">
        <f t="shared" si="2"/>
        <v>4808619.4098407114</v>
      </c>
      <c r="D33" s="138">
        <f>IF($C$17&lt;B33,0,DCF!$C$16)</f>
        <v>5.4247061515052201E-2</v>
      </c>
      <c r="E33" s="124">
        <f t="shared" si="0"/>
        <v>0.39056198084814819</v>
      </c>
      <c r="F33" s="125">
        <f t="shared" si="1"/>
        <v>1878063.9218522415</v>
      </c>
      <c r="G33" s="338"/>
      <c r="H33" s="339"/>
      <c r="I33" s="338"/>
      <c r="J33" s="338"/>
      <c r="K33" s="338"/>
      <c r="L33" s="338"/>
      <c r="M33" s="338"/>
      <c r="N33" s="338"/>
      <c r="O33" s="338"/>
      <c r="P33" s="338"/>
      <c r="Q33" s="338"/>
    </row>
    <row r="34" spans="2:17">
      <c r="B34" s="122">
        <v>14</v>
      </c>
      <c r="C34" s="341">
        <f t="shared" si="2"/>
        <v>5069472.8827688135</v>
      </c>
      <c r="D34" s="138">
        <f>IF($C$17&lt;B34,0,DCF!$C$16)</f>
        <v>5.4247061515052201E-2</v>
      </c>
      <c r="E34" s="124">
        <f t="shared" si="0"/>
        <v>0.36331347055641694</v>
      </c>
      <c r="F34" s="125">
        <f t="shared" si="1"/>
        <v>1841807.7869303813</v>
      </c>
      <c r="G34" s="338"/>
      <c r="H34" s="339"/>
      <c r="I34" s="338"/>
      <c r="J34" s="338"/>
      <c r="K34" s="338"/>
      <c r="L34" s="338"/>
      <c r="M34" s="338"/>
      <c r="N34" s="338"/>
      <c r="O34" s="338"/>
      <c r="P34" s="338"/>
      <c r="Q34" s="338"/>
    </row>
    <row r="35" spans="2:17">
      <c r="B35" s="122">
        <v>15</v>
      </c>
      <c r="C35" s="341">
        <f t="shared" si="2"/>
        <v>5344476.8900892632</v>
      </c>
      <c r="D35" s="138">
        <f>IF($C$17&lt;B35,0,DCF!$C$16)</f>
        <v>5.4247061515052201E-2</v>
      </c>
      <c r="E35" s="124">
        <f t="shared" si="0"/>
        <v>0.33796601912224833</v>
      </c>
      <c r="F35" s="125">
        <f t="shared" si="1"/>
        <v>1806251.5788343223</v>
      </c>
      <c r="G35" s="338"/>
      <c r="H35" s="339"/>
      <c r="I35" s="338"/>
      <c r="J35" s="338"/>
      <c r="K35" s="338"/>
      <c r="L35" s="338"/>
      <c r="M35" s="338"/>
      <c r="N35" s="338"/>
      <c r="O35" s="338"/>
      <c r="P35" s="338"/>
      <c r="Q35" s="338"/>
    </row>
    <row r="36" spans="2:17">
      <c r="B36" s="122">
        <v>16</v>
      </c>
      <c r="C36" s="123">
        <f t="shared" si="2"/>
        <v>5634399.0567117082</v>
      </c>
      <c r="D36" s="138">
        <f>IF($C$17&lt;B36,0,DCF!$C$16)</f>
        <v>5.4247061515052201E-2</v>
      </c>
      <c r="E36" s="124">
        <f t="shared" si="0"/>
        <v>0.31438699453232405</v>
      </c>
      <c r="F36" s="125">
        <f t="shared" si="1"/>
        <v>1771381.7854353555</v>
      </c>
      <c r="H36" s="120"/>
    </row>
    <row r="37" spans="2:17">
      <c r="B37" s="122">
        <v>17</v>
      </c>
      <c r="C37" s="123">
        <f t="shared" si="2"/>
        <v>5940048.6489414992</v>
      </c>
      <c r="D37" s="138">
        <f>IF($C$17&lt;B37,0,DCF!$C$16)</f>
        <v>5.4247061515052201E-2</v>
      </c>
      <c r="E37" s="124">
        <f t="shared" si="0"/>
        <v>0.29245301816960378</v>
      </c>
      <c r="F37" s="125">
        <f t="shared" si="1"/>
        <v>1737185.1554572186</v>
      </c>
      <c r="H37" s="120"/>
    </row>
    <row r="38" spans="2:17">
      <c r="B38" s="122">
        <v>18</v>
      </c>
      <c r="C38" s="123">
        <f t="shared" si="2"/>
        <v>6262278.8334030313</v>
      </c>
      <c r="D38" s="138">
        <f>IF($C$17&lt;B38,0,DCF!$C$16)</f>
        <v>5.4247061515052201E-2</v>
      </c>
      <c r="E38" s="124">
        <f t="shared" si="0"/>
        <v>0.27204931922753844</v>
      </c>
      <c r="F38" s="125">
        <f t="shared" si="1"/>
        <v>1703648.6934403183</v>
      </c>
      <c r="H38" s="120"/>
    </row>
    <row r="39" spans="2:17">
      <c r="B39" s="122">
        <v>19</v>
      </c>
      <c r="C39" s="123">
        <f t="shared" si="2"/>
        <v>6601989.0585030541</v>
      </c>
      <c r="D39" s="138">
        <f>IF($C$17&lt;B39,0,DCF!$C$16)</f>
        <v>5.4247061515052201E-2</v>
      </c>
      <c r="E39" s="124">
        <f t="shared" si="0"/>
        <v>0.25306913416515198</v>
      </c>
      <c r="F39" s="125">
        <f t="shared" si="1"/>
        <v>1670759.6548031748</v>
      </c>
      <c r="H39" s="120"/>
    </row>
    <row r="40" spans="2:17">
      <c r="B40" s="122">
        <v>20</v>
      </c>
      <c r="C40" s="123">
        <f t="shared" si="2"/>
        <v>6960127.5650813691</v>
      </c>
      <c r="D40" s="138">
        <f>IF($C$17&lt;B40,0,DCF!$C$16)</f>
        <v>5.4247061515052201E-2</v>
      </c>
      <c r="E40" s="124">
        <f t="shared" si="0"/>
        <v>0.23541314806060654</v>
      </c>
      <c r="F40" s="125">
        <f t="shared" si="1"/>
        <v>1638505.5409992093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34013423.890304446</v>
      </c>
      <c r="D51" s="139">
        <f>Terminal_Growth</f>
        <v>0</v>
      </c>
      <c r="E51" s="124">
        <f>1/(1+Equity_Cost)^C17</f>
        <v>0.23541314806060654</v>
      </c>
      <c r="F51" s="125">
        <f t="shared" si="1"/>
        <v>8007207.1943364125</v>
      </c>
      <c r="H51" s="120"/>
    </row>
    <row r="52" spans="1:17">
      <c r="C52" s="114"/>
      <c r="E52" s="127" t="s">
        <v>97</v>
      </c>
      <c r="F52" s="137">
        <f>SUM(F21:F51)</f>
        <v>47693979.286667131</v>
      </c>
      <c r="H52" s="120"/>
    </row>
    <row r="53" spans="1:17">
      <c r="C53" s="114"/>
      <c r="H53" s="120"/>
    </row>
    <row r="54" spans="1:17" ht="13.15">
      <c r="B54" s="119" t="s">
        <v>125</v>
      </c>
      <c r="C54" s="136"/>
      <c r="D54" s="136"/>
      <c r="E54" s="117"/>
      <c r="F54" s="117"/>
      <c r="H54" s="120"/>
    </row>
    <row r="55" spans="1:17" ht="13.15">
      <c r="A55" s="133">
        <f>F52</f>
        <v>47693979.286667131</v>
      </c>
      <c r="B55" s="131">
        <f>C78</f>
        <v>0</v>
      </c>
      <c r="C55" s="131">
        <f>C77</f>
        <v>0.02</v>
      </c>
      <c r="D55" s="131">
        <f>C76</f>
        <v>0.05</v>
      </c>
      <c r="E55" s="131">
        <f>C75</f>
        <v>0.06</v>
      </c>
      <c r="F55" s="131">
        <f>C74</f>
        <v>0.1</v>
      </c>
      <c r="H55" s="120"/>
    </row>
    <row r="56" spans="1:17" ht="13.15">
      <c r="A56" s="143">
        <v>5</v>
      </c>
      <c r="B56" s="123">
        <f t="dataTable" ref="B56:F61" dt2D="1" dtr="1" r1="C16" r2="C17"/>
        <v>32263238.032102227</v>
      </c>
      <c r="C56" s="123">
        <v>33286321.548683148</v>
      </c>
      <c r="D56" s="123">
        <v>34877237.970119148</v>
      </c>
      <c r="E56" s="123">
        <v>35423212.044726118</v>
      </c>
      <c r="F56" s="123">
        <v>37690005.568824351</v>
      </c>
      <c r="H56" s="120"/>
    </row>
    <row r="57" spans="1:17" ht="13.15">
      <c r="A57" s="143">
        <v>10</v>
      </c>
      <c r="B57" s="123">
        <v>32263238.032102235</v>
      </c>
      <c r="C57" s="123">
        <v>34300840.134717286</v>
      </c>
      <c r="D57" s="123">
        <v>37745239.961253792</v>
      </c>
      <c r="E57" s="123">
        <v>39009187.217511542</v>
      </c>
      <c r="F57" s="123">
        <v>44738078.050743252</v>
      </c>
      <c r="H57" s="120"/>
    </row>
    <row r="58" spans="1:17" ht="13.15">
      <c r="A58" s="143">
        <v>15</v>
      </c>
      <c r="B58" s="123">
        <v>32263238.032102238</v>
      </c>
      <c r="C58" s="341">
        <v>35585339.471255317</v>
      </c>
      <c r="D58" s="123">
        <v>41672876.428871892</v>
      </c>
      <c r="E58" s="123">
        <v>44054846.598768517</v>
      </c>
      <c r="F58" s="123">
        <v>55834656.675207824</v>
      </c>
      <c r="G58" s="338"/>
      <c r="H58" s="339"/>
      <c r="I58" s="338"/>
      <c r="J58" s="338"/>
      <c r="K58" s="338"/>
      <c r="L58" s="338"/>
      <c r="M58" s="338"/>
      <c r="N58" s="338"/>
      <c r="O58" s="338"/>
      <c r="P58" s="338"/>
      <c r="Q58" s="338"/>
    </row>
    <row r="59" spans="1:17" ht="13.15">
      <c r="A59" s="144">
        <v>20</v>
      </c>
      <c r="B59" s="123">
        <v>32263238.032102238</v>
      </c>
      <c r="C59" s="341">
        <v>36924450.985611953</v>
      </c>
      <c r="D59" s="123">
        <v>46124400.524847589</v>
      </c>
      <c r="E59" s="123">
        <v>49944398.772595733</v>
      </c>
      <c r="F59" s="123">
        <v>70504946.676921636</v>
      </c>
      <c r="G59" s="338"/>
      <c r="H59" s="339"/>
      <c r="I59" s="338"/>
      <c r="J59" s="338"/>
      <c r="K59" s="338"/>
      <c r="L59" s="338"/>
      <c r="M59" s="338"/>
      <c r="N59" s="338"/>
      <c r="O59" s="338"/>
      <c r="P59" s="338"/>
      <c r="Q59" s="338"/>
    </row>
    <row r="60" spans="1:17" ht="13.15">
      <c r="A60" s="144">
        <v>25</v>
      </c>
      <c r="B60" s="123">
        <v>32263238.032102235</v>
      </c>
      <c r="C60" s="341">
        <v>38198976.082544193</v>
      </c>
      <c r="D60" s="123">
        <v>50750409.399622805</v>
      </c>
      <c r="E60" s="123">
        <v>56260637.210781768</v>
      </c>
      <c r="F60" s="123">
        <v>88510036.077907726</v>
      </c>
      <c r="G60" s="338"/>
      <c r="H60" s="339"/>
      <c r="I60" s="338"/>
      <c r="J60" s="338"/>
      <c r="K60" s="338"/>
      <c r="L60" s="338"/>
      <c r="M60" s="338"/>
      <c r="N60" s="338"/>
      <c r="O60" s="338"/>
      <c r="P60" s="338"/>
      <c r="Q60" s="338"/>
    </row>
    <row r="61" spans="1:17" ht="13.15">
      <c r="A61" s="144">
        <v>30</v>
      </c>
      <c r="B61" s="123">
        <v>32263238.032102235</v>
      </c>
      <c r="C61" s="341">
        <v>39349586.937670715</v>
      </c>
      <c r="D61" s="123">
        <v>55328660.678984597</v>
      </c>
      <c r="E61" s="123">
        <v>62723885.668089673</v>
      </c>
      <c r="F61" s="123">
        <v>109786502.9447701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19.04928467521886</v>
      </c>
      <c r="C65" s="124">
        <f>C12</f>
        <v>19.04928467521886</v>
      </c>
      <c r="D65" s="124">
        <f>C12</f>
        <v>19.04928467521886</v>
      </c>
      <c r="E65" s="141">
        <f>C12</f>
        <v>19.04928467521886</v>
      </c>
      <c r="F65" s="124">
        <f>C12</f>
        <v>19.04928467521886</v>
      </c>
      <c r="H65" s="120"/>
    </row>
    <row r="66" spans="1:8" ht="13.15">
      <c r="A66" s="143">
        <f t="shared" ref="A66:A71" si="3">A56</f>
        <v>5</v>
      </c>
      <c r="B66" s="124">
        <f t="shared" ref="B66:F71" si="4">(B56-$C$7+$C$8+$C$9)/Common_Shares*$C$3*Exchange_Rate</f>
        <v>19.04928467521886</v>
      </c>
      <c r="C66" s="124">
        <f t="shared" si="4"/>
        <v>19.482407820736881</v>
      </c>
      <c r="D66" s="124">
        <f t="shared" si="4"/>
        <v>20.155923436560155</v>
      </c>
      <c r="E66" s="124">
        <f t="shared" si="4"/>
        <v>20.387061955295497</v>
      </c>
      <c r="F66" s="124">
        <f t="shared" si="4"/>
        <v>21.346710630584901</v>
      </c>
      <c r="H66" s="120"/>
    </row>
    <row r="67" spans="1:8" ht="13.15">
      <c r="A67" s="143">
        <f t="shared" si="3"/>
        <v>10</v>
      </c>
      <c r="B67" s="124">
        <f t="shared" si="4"/>
        <v>19.049284675218868</v>
      </c>
      <c r="C67" s="124">
        <f t="shared" si="4"/>
        <v>19.911904996723145</v>
      </c>
      <c r="D67" s="124">
        <f t="shared" si="4"/>
        <v>21.370094150504922</v>
      </c>
      <c r="E67" s="124">
        <f t="shared" si="4"/>
        <v>21.90518713414399</v>
      </c>
      <c r="F67" s="124">
        <f t="shared" si="4"/>
        <v>24.330517205252036</v>
      </c>
      <c r="H67" s="120"/>
    </row>
    <row r="68" spans="1:8" ht="13.15">
      <c r="A68" s="143">
        <f t="shared" si="3"/>
        <v>15</v>
      </c>
      <c r="B68" s="124">
        <f t="shared" si="4"/>
        <v>19.049284675218871</v>
      </c>
      <c r="C68" s="124">
        <f t="shared" si="4"/>
        <v>20.455698718389623</v>
      </c>
      <c r="D68" s="124">
        <f t="shared" si="4"/>
        <v>23.03286188523608</v>
      </c>
      <c r="E68" s="124">
        <f t="shared" si="4"/>
        <v>24.041270676693838</v>
      </c>
      <c r="F68" s="124">
        <f t="shared" si="4"/>
        <v>29.02826177881148</v>
      </c>
      <c r="H68" s="120"/>
    </row>
    <row r="69" spans="1:8" ht="13.15">
      <c r="A69" s="144">
        <f t="shared" si="3"/>
        <v>20</v>
      </c>
      <c r="B69" s="124">
        <f t="shared" si="4"/>
        <v>19.049284675218871</v>
      </c>
      <c r="C69" s="124">
        <f t="shared" si="4"/>
        <v>21.022612544971317</v>
      </c>
      <c r="D69" s="124">
        <f t="shared" si="4"/>
        <v>24.917417825734177</v>
      </c>
      <c r="E69" s="124">
        <f t="shared" si="4"/>
        <v>26.534616842357316</v>
      </c>
      <c r="F69" s="124">
        <f t="shared" si="4"/>
        <v>35.23893964452342</v>
      </c>
      <c r="H69" s="120"/>
    </row>
    <row r="70" spans="1:8" ht="13.15">
      <c r="A70" s="144">
        <f t="shared" si="3"/>
        <v>25</v>
      </c>
      <c r="B70" s="124">
        <f t="shared" si="4"/>
        <v>19.049284675218868</v>
      </c>
      <c r="C70" s="124">
        <f t="shared" si="4"/>
        <v>21.562183665098232</v>
      </c>
      <c r="D70" s="124">
        <f t="shared" si="4"/>
        <v>26.875842023333345</v>
      </c>
      <c r="E70" s="124">
        <f t="shared" si="4"/>
        <v>29.208600946149286</v>
      </c>
      <c r="F70" s="124">
        <f t="shared" si="4"/>
        <v>42.861407243991842</v>
      </c>
    </row>
    <row r="71" spans="1:8" ht="13.15">
      <c r="A71" s="144">
        <f t="shared" si="3"/>
        <v>30</v>
      </c>
      <c r="B71" s="124">
        <f t="shared" si="4"/>
        <v>19.049284675218868</v>
      </c>
      <c r="C71" s="124">
        <f t="shared" si="4"/>
        <v>22.049295601477638</v>
      </c>
      <c r="D71" s="124">
        <f t="shared" si="4"/>
        <v>28.814048008428255</v>
      </c>
      <c r="E71" s="124">
        <f t="shared" si="4"/>
        <v>31.944821847693138</v>
      </c>
      <c r="F71" s="124">
        <f t="shared" si="4"/>
        <v>51.868814855916263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51.868814855916263</v>
      </c>
      <c r="F74" s="142">
        <f>Scenarios!C58</f>
        <v>0.05</v>
      </c>
    </row>
    <row r="75" spans="1:8">
      <c r="B75" s="127" t="str">
        <f>Scenarios!B36</f>
        <v>Optimistic</v>
      </c>
      <c r="C75" s="142">
        <f>Scenarios!C38</f>
        <v>0.06</v>
      </c>
      <c r="D75" s="145">
        <f>Scenarios!C37</f>
        <v>20</v>
      </c>
      <c r="E75" s="135">
        <f>INDEX(B$65:F$71, MATCH(D75, A$65:A$71, 0), MATCH(C75, B$64:F$64, 0))</f>
        <v>26.534616842357316</v>
      </c>
      <c r="F75" s="142">
        <f>Scenarios!C40*(1-F$74-F$78)</f>
        <v>0.22499999999999992</v>
      </c>
      <c r="H75" s="120"/>
    </row>
    <row r="76" spans="1:8">
      <c r="B76" s="127" t="str">
        <f>Scenarios!B24</f>
        <v>Base</v>
      </c>
      <c r="C76" s="142">
        <f>Scenarios!C26</f>
        <v>0.05</v>
      </c>
      <c r="D76" s="145">
        <f>Scenarios!C25</f>
        <v>20</v>
      </c>
      <c r="E76" s="135">
        <f>INDEX(B$65:F$71, MATCH(D76, A$65:A$71, 0), MATCH(C76, B$64:F$64, 0))</f>
        <v>24.917417825734177</v>
      </c>
      <c r="F76" s="142">
        <f>Scenarios!C28*(1-F$74-F$78)</f>
        <v>0.495</v>
      </c>
      <c r="H76" s="120"/>
    </row>
    <row r="77" spans="1:8">
      <c r="B77" s="127" t="str">
        <f>Scenarios!B30</f>
        <v>Pessimistic</v>
      </c>
      <c r="C77" s="142">
        <f>Scenarios!C32</f>
        <v>0.02</v>
      </c>
      <c r="D77" s="145">
        <f>Scenarios!C31</f>
        <v>20</v>
      </c>
      <c r="E77" s="135">
        <f>INDEX(B$65:F$71, MATCH(D77, A$65:A$71, 0), MATCH(C77, B$64:F$64, 0))</f>
        <v>21.022612544971317</v>
      </c>
      <c r="F77" s="142">
        <f>Scenarios!C34*(1-F$74-F$78)</f>
        <v>0.18</v>
      </c>
      <c r="H77" s="120"/>
    </row>
    <row r="78" spans="1:8">
      <c r="B78" s="127" t="str">
        <f>Scenarios!B48</f>
        <v>Devil's advocate</v>
      </c>
      <c r="C78" s="142">
        <f>Scenarios!C50</f>
        <v>0</v>
      </c>
      <c r="D78" s="145">
        <f>Scenarios!C49</f>
        <v>30</v>
      </c>
      <c r="E78" s="135">
        <f>INDEX(B$65:F$71, MATCH(D78, A$65:A$71, 0), MATCH(C78, B$64:F$64, 0))</f>
        <v>19.049284675218868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1243224.5240619811</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16576326.987493083</v>
      </c>
      <c r="D6" t="str">
        <f>Reporting_currency</f>
        <v>CNY</v>
      </c>
      <c r="E6" s="378"/>
      <c r="F6" s="378"/>
      <c r="H6" s="120"/>
    </row>
    <row r="7" spans="2:8" ht="13.15">
      <c r="B7" s="149" t="s">
        <v>421</v>
      </c>
      <c r="C7" s="111">
        <f>(C6*scaling_factor)/Common_Shares*Exchange_Rate</f>
        <v>7.0175999999999989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9.4801960452061973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1310665.8012957927</v>
      </c>
      <c r="D16" s="138">
        <f>IF($C$12&lt;B16,0,DDM!$C$11)</f>
        <v>5.4247061515052201E-2</v>
      </c>
      <c r="E16" s="124">
        <f t="shared" ref="E16:E45" si="0">IF($C$12&lt;B16,0,1/(1+Equity_Cost)^B16)</f>
        <v>0.93023255813953487</v>
      </c>
      <c r="F16" s="125">
        <f t="shared" ref="F16:F46" si="1">C16*E16</f>
        <v>1219224.0012053885</v>
      </c>
      <c r="H16" s="120"/>
    </row>
    <row r="17" spans="2:8">
      <c r="B17" s="122">
        <v>2</v>
      </c>
      <c r="C17" s="123">
        <f t="shared" ref="C17:C45" si="2">IF(ROW()-ROW($C$16)&lt;$C$12, $C$16*(1+D17)^(ROW()-ROW($C$16)), 0)</f>
        <v>1381765.5696443606</v>
      </c>
      <c r="D17" s="138">
        <f>IF($C$12&lt;B17,0,DDM!$C$11)</f>
        <v>5.4247061515052201E-2</v>
      </c>
      <c r="E17" s="124">
        <f t="shared" si="0"/>
        <v>0.86533261222282321</v>
      </c>
      <c r="F17" s="125">
        <f t="shared" si="1"/>
        <v>1195686.8098599119</v>
      </c>
      <c r="H17" s="120"/>
    </row>
    <row r="18" spans="2:8">
      <c r="B18" s="122">
        <v>3</v>
      </c>
      <c r="C18" s="123">
        <f t="shared" si="2"/>
        <v>1456722.2915002392</v>
      </c>
      <c r="D18" s="138">
        <f>IF($C$12&lt;B18,0,DDM!$C$11)</f>
        <v>5.4247061515052201E-2</v>
      </c>
      <c r="E18" s="124">
        <f t="shared" si="0"/>
        <v>0.80496056950960304</v>
      </c>
      <c r="F18" s="125">
        <f t="shared" si="1"/>
        <v>1172604.0053833665</v>
      </c>
      <c r="H18" s="120"/>
    </row>
    <row r="19" spans="2:8">
      <c r="B19" s="122">
        <v>4</v>
      </c>
      <c r="C19" s="123">
        <f t="shared" si="2"/>
        <v>1535745.1952576002</v>
      </c>
      <c r="D19" s="138">
        <f>IF($C$12&lt;B19,0,DDM!$C$11)</f>
        <v>5.4247061515052201E-2</v>
      </c>
      <c r="E19" s="124">
        <f t="shared" si="0"/>
        <v>0.7488005297763749</v>
      </c>
      <c r="F19" s="125">
        <f t="shared" si="1"/>
        <v>1149966.8158104133</v>
      </c>
      <c r="H19" s="120"/>
    </row>
    <row r="20" spans="2:8">
      <c r="B20" s="122">
        <v>5</v>
      </c>
      <c r="C20" s="123">
        <f t="shared" si="2"/>
        <v>1619054.859336185</v>
      </c>
      <c r="D20" s="138">
        <f>IF($C$12&lt;B20,0,DDM!$C$11)</f>
        <v>5.4247061515052201E-2</v>
      </c>
      <c r="E20" s="124">
        <f t="shared" si="0"/>
        <v>0.69655863235011617</v>
      </c>
      <c r="F20" s="125">
        <f t="shared" si="1"/>
        <v>1127766.6385190228</v>
      </c>
      <c r="H20" s="120"/>
    </row>
    <row r="21" spans="2:8">
      <c r="B21" s="122">
        <v>6</v>
      </c>
      <c r="C21" s="123">
        <f t="shared" si="2"/>
        <v>1706883.8278868389</v>
      </c>
      <c r="D21" s="138">
        <f>IF($C$12&lt;B21,0,DDM!$C$11)</f>
        <v>5.4247061515052201E-2</v>
      </c>
      <c r="E21" s="124">
        <f t="shared" si="0"/>
        <v>0.64796151846522443</v>
      </c>
      <c r="F21" s="125">
        <f t="shared" si="1"/>
        <v>1105995.036961291</v>
      </c>
      <c r="H21" s="120"/>
    </row>
    <row r="22" spans="2:8">
      <c r="B22" s="122">
        <v>7</v>
      </c>
      <c r="C22" s="123">
        <f t="shared" si="2"/>
        <v>1799477.2598972642</v>
      </c>
      <c r="D22" s="138">
        <f>IF($C$12&lt;B22,0,DDM!$C$11)</f>
        <v>5.4247061515052201E-2</v>
      </c>
      <c r="E22" s="124">
        <f t="shared" si="0"/>
        <v>0.60275490089788319</v>
      </c>
      <c r="F22" s="125">
        <f t="shared" si="1"/>
        <v>1084643.7374573699</v>
      </c>
      <c r="H22" s="120"/>
    </row>
    <row r="23" spans="2:8">
      <c r="B23" s="122">
        <v>8</v>
      </c>
      <c r="C23" s="123">
        <f t="shared" si="2"/>
        <v>1897093.6135098482</v>
      </c>
      <c r="D23" s="138">
        <f>IF($C$12&lt;B23,0,DDM!$C$11)</f>
        <v>5.4247061515052201E-2</v>
      </c>
      <c r="E23" s="124">
        <f t="shared" si="0"/>
        <v>0.56070223339337966</v>
      </c>
      <c r="F23" s="125">
        <f t="shared" si="1"/>
        <v>1063704.626051289</v>
      </c>
      <c r="H23" s="120"/>
    </row>
    <row r="24" spans="2:8">
      <c r="B24" s="122">
        <v>9</v>
      </c>
      <c r="C24" s="123">
        <f t="shared" si="2"/>
        <v>2000005.3674617293</v>
      </c>
      <c r="D24" s="138">
        <f>IF($C$12&lt;B24,0,DDM!$C$11)</f>
        <v>5.4247061515052201E-2</v>
      </c>
      <c r="E24" s="124">
        <f t="shared" si="0"/>
        <v>0.52158347292407414</v>
      </c>
      <c r="F24" s="125">
        <f t="shared" si="1"/>
        <v>1043169.7454274779</v>
      </c>
      <c r="H24" s="120"/>
    </row>
    <row r="25" spans="2:8">
      <c r="B25" s="122">
        <v>10</v>
      </c>
      <c r="C25" s="123">
        <f t="shared" si="2"/>
        <v>2108499.7816608599</v>
      </c>
      <c r="D25" s="138">
        <f>IF($C$12&lt;B25,0,DDM!$C$11)</f>
        <v>5.4247061515052201E-2</v>
      </c>
      <c r="E25" s="124">
        <f t="shared" si="0"/>
        <v>0.48519392830146441</v>
      </c>
      <c r="F25" s="125">
        <f t="shared" si="1"/>
        <v>1023031.2918868127</v>
      </c>
      <c r="H25" s="120"/>
    </row>
    <row r="26" spans="2:8">
      <c r="B26" s="122">
        <v>11</v>
      </c>
      <c r="C26" s="123">
        <f t="shared" si="2"/>
        <v>2222879.6990210908</v>
      </c>
      <c r="D26" s="138">
        <f>IF($C$12&lt;B26,0,DDM!$C$11)</f>
        <v>5.4247061515052201E-2</v>
      </c>
      <c r="E26" s="124">
        <f t="shared" si="0"/>
        <v>0.45134318911764126</v>
      </c>
      <c r="F26" s="125">
        <f t="shared" si="1"/>
        <v>1003281.6123810416</v>
      </c>
      <c r="H26" s="120"/>
    </row>
    <row r="27" spans="2:8">
      <c r="B27" s="122">
        <v>12</v>
      </c>
      <c r="C27" s="123">
        <f t="shared" si="2"/>
        <v>2343464.3907944481</v>
      </c>
      <c r="D27" s="138">
        <f>IF($C$12&lt;B27,0,DDM!$C$11)</f>
        <v>5.4247061515052201E-2</v>
      </c>
      <c r="E27" s="124">
        <f t="shared" si="0"/>
        <v>0.41985412941175931</v>
      </c>
      <c r="F27" s="125">
        <f t="shared" si="1"/>
        <v>983913.20160446188</v>
      </c>
      <c r="H27" s="120"/>
    </row>
    <row r="28" spans="2:8">
      <c r="B28" s="122">
        <v>13</v>
      </c>
      <c r="C28" s="123">
        <f t="shared" si="2"/>
        <v>2470590.447760209</v>
      </c>
      <c r="D28" s="138">
        <f>IF($C$12&lt;B28,0,DDM!$C$11)</f>
        <v>5.4247061515052201E-2</v>
      </c>
      <c r="E28" s="124">
        <f t="shared" si="0"/>
        <v>0.39056198084814819</v>
      </c>
      <c r="F28" s="125">
        <f t="shared" si="1"/>
        <v>964918.69914174057</v>
      </c>
      <c r="H28" s="120"/>
    </row>
    <row r="29" spans="2:8">
      <c r="B29" s="122">
        <v>14</v>
      </c>
      <c r="C29" s="123">
        <f t="shared" si="2"/>
        <v>2604612.7197583569</v>
      </c>
      <c r="D29" s="138">
        <f>IF($C$12&lt;B29,0,DDM!$C$11)</f>
        <v>5.4247061515052201E-2</v>
      </c>
      <c r="E29" s="124">
        <f t="shared" si="0"/>
        <v>0.36331347055641694</v>
      </c>
      <c r="F29" s="125">
        <f t="shared" si="1"/>
        <v>946290.8866707969</v>
      </c>
      <c r="H29" s="120"/>
    </row>
    <row r="30" spans="2:8">
      <c r="B30" s="122">
        <v>15</v>
      </c>
      <c r="C30" s="123">
        <f t="shared" si="2"/>
        <v>2745905.3061899762</v>
      </c>
      <c r="D30" s="138">
        <f>IF($C$12&lt;B30,0,DDM!$C$11)</f>
        <v>5.4247061515052201E-2</v>
      </c>
      <c r="E30" s="124">
        <f t="shared" si="0"/>
        <v>0.33796601912224833</v>
      </c>
      <c r="F30" s="125">
        <f t="shared" si="1"/>
        <v>928022.68521968462</v>
      </c>
      <c r="H30" s="120"/>
    </row>
    <row r="31" spans="2:8">
      <c r="B31" s="122">
        <v>16</v>
      </c>
      <c r="C31" s="123">
        <f t="shared" si="2"/>
        <v>2894862.600249371</v>
      </c>
      <c r="D31" s="138">
        <f>IF($C$12&lt;B31,0,DDM!$C$11)</f>
        <v>5.4247061515052201E-2</v>
      </c>
      <c r="E31" s="124">
        <f t="shared" si="0"/>
        <v>0.31438699453232405</v>
      </c>
      <c r="F31" s="125">
        <f t="shared" si="1"/>
        <v>910107.15247642843</v>
      </c>
      <c r="H31" s="120"/>
    </row>
    <row r="32" spans="2:8">
      <c r="B32" s="122">
        <v>17</v>
      </c>
      <c r="C32" s="123">
        <f t="shared" si="2"/>
        <v>3051900.3898027223</v>
      </c>
      <c r="D32" s="138">
        <f>IF($C$12&lt;B32,0,DDM!$C$11)</f>
        <v>5.4247061515052201E-2</v>
      </c>
      <c r="E32" s="124">
        <f t="shared" si="0"/>
        <v>0.29245301816960378</v>
      </c>
      <c r="F32" s="125">
        <f t="shared" si="1"/>
        <v>892537.48015079636</v>
      </c>
      <c r="H32" s="120"/>
    </row>
    <row r="33" spans="2:8">
      <c r="B33" s="122">
        <v>18</v>
      </c>
      <c r="C33" s="123">
        <f t="shared" si="2"/>
        <v>3217457.0179861621</v>
      </c>
      <c r="D33" s="138">
        <f>IF($C$12&lt;B33,0,DDM!$C$11)</f>
        <v>5.4247061515052201E-2</v>
      </c>
      <c r="E33" s="124">
        <f t="shared" si="0"/>
        <v>0.27204931922753844</v>
      </c>
      <c r="F33" s="125">
        <f t="shared" si="1"/>
        <v>875306.99138700136</v>
      </c>
      <c r="H33" s="120"/>
    </row>
    <row r="34" spans="2:8">
      <c r="B34" s="122">
        <v>19</v>
      </c>
      <c r="C34" s="123">
        <f t="shared" si="2"/>
        <v>3391994.606762893</v>
      </c>
      <c r="D34" s="138">
        <f>IF($C$12&lt;B34,0,DDM!$C$11)</f>
        <v>5.4247061515052201E-2</v>
      </c>
      <c r="E34" s="124">
        <f t="shared" si="0"/>
        <v>0.25306913416515198</v>
      </c>
      <c r="F34" s="125">
        <f t="shared" si="1"/>
        <v>858409.13822635054</v>
      </c>
      <c r="H34" s="120"/>
    </row>
    <row r="35" spans="2:8">
      <c r="B35" s="122">
        <v>20</v>
      </c>
      <c r="C35" s="123">
        <f t="shared" si="2"/>
        <v>3576000.3468546849</v>
      </c>
      <c r="D35" s="138">
        <f>IF($C$12&lt;B35,0,DDM!$C$11)</f>
        <v>5.4247061515052201E-2</v>
      </c>
      <c r="E35" s="124">
        <f t="shared" si="0"/>
        <v>0.23541314806060654</v>
      </c>
      <c r="F35" s="125">
        <f t="shared" si="1"/>
        <v>841837.49911888223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17475544.017277237</v>
      </c>
      <c r="D46" s="139">
        <f>Terminal_Growth</f>
        <v>0</v>
      </c>
      <c r="E46" s="124">
        <f>1/(1+Equity_Cost)^C12</f>
        <v>0.23541314806060654</v>
      </c>
      <c r="F46" s="125">
        <f t="shared" si="1"/>
        <v>4113972.8311789329</v>
      </c>
      <c r="H46" s="120"/>
    </row>
    <row r="47" spans="2:8">
      <c r="C47" s="114"/>
      <c r="E47" s="127" t="s">
        <v>97</v>
      </c>
      <c r="F47" s="137">
        <f>SUM(F16:F46)</f>
        <v>24504390.88611846</v>
      </c>
      <c r="H47" s="120"/>
    </row>
    <row r="48" spans="2:8">
      <c r="C48" s="114"/>
      <c r="H48" s="120"/>
    </row>
    <row r="49" spans="1:8" ht="13.15">
      <c r="B49" s="119" t="s">
        <v>125</v>
      </c>
      <c r="C49" s="136"/>
      <c r="D49" s="136"/>
      <c r="E49" s="117"/>
      <c r="F49" s="117"/>
      <c r="H49" s="120"/>
    </row>
    <row r="50" spans="1:8" ht="13.15">
      <c r="A50" s="133">
        <f>F47</f>
        <v>24504390.88611846</v>
      </c>
      <c r="B50" s="131">
        <f>C73</f>
        <v>0</v>
      </c>
      <c r="C50" s="131">
        <f>C72</f>
        <v>0.02</v>
      </c>
      <c r="D50" s="131">
        <f>C71</f>
        <v>0.05</v>
      </c>
      <c r="E50" s="131">
        <f>C70</f>
        <v>0.06</v>
      </c>
      <c r="F50" s="131">
        <f>C69</f>
        <v>0.1</v>
      </c>
      <c r="H50" s="120"/>
    </row>
    <row r="51" spans="1:8" ht="13.15">
      <c r="A51" s="143">
        <v>5</v>
      </c>
      <c r="B51" s="123">
        <f t="dataTable" ref="B51:F56" dt2D="1" dtr="1" r1="C11" r2="C12"/>
        <v>16576326.987493083</v>
      </c>
      <c r="C51" s="123">
        <v>17101970.659386318</v>
      </c>
      <c r="D51" s="123">
        <v>17919357.642839611</v>
      </c>
      <c r="E51" s="123">
        <v>18199870.242919426</v>
      </c>
      <c r="F51" s="123">
        <v>19364511.889588505</v>
      </c>
      <c r="H51" s="120"/>
    </row>
    <row r="52" spans="1:8" ht="13.15">
      <c r="A52" s="143">
        <v>10</v>
      </c>
      <c r="B52" s="123">
        <v>16576326.987493087</v>
      </c>
      <c r="C52" s="123">
        <v>17623213.809260424</v>
      </c>
      <c r="D52" s="123">
        <v>19392890.422113825</v>
      </c>
      <c r="E52" s="123">
        <v>20042285.966163866</v>
      </c>
      <c r="F52" s="123">
        <v>22985696.904421538</v>
      </c>
      <c r="H52" s="120"/>
    </row>
    <row r="53" spans="1:8" ht="13.15">
      <c r="A53" s="143">
        <v>15</v>
      </c>
      <c r="B53" s="123">
        <v>16576326.987493087</v>
      </c>
      <c r="C53" s="123">
        <v>18283168.677909575</v>
      </c>
      <c r="D53" s="123">
        <v>21410846.162032396</v>
      </c>
      <c r="E53" s="123">
        <v>22634663.696136497</v>
      </c>
      <c r="F53" s="123">
        <v>28686938.532386106</v>
      </c>
      <c r="H53" s="120"/>
    </row>
    <row r="54" spans="1:8" ht="13.15">
      <c r="A54" s="144">
        <v>20</v>
      </c>
      <c r="B54" s="123">
        <v>16576326.987493087</v>
      </c>
      <c r="C54" s="123">
        <v>18971182.395336386</v>
      </c>
      <c r="D54" s="123">
        <v>23697966.84515094</v>
      </c>
      <c r="E54" s="123">
        <v>25660619.81827528</v>
      </c>
      <c r="F54" s="123">
        <v>36224294.944900945</v>
      </c>
      <c r="H54" s="120"/>
    </row>
    <row r="55" spans="1:8" ht="13.15">
      <c r="A55" s="144">
        <v>25</v>
      </c>
      <c r="B55" s="123">
        <v>16576326.987493087</v>
      </c>
      <c r="C55" s="123">
        <v>19626012.661892202</v>
      </c>
      <c r="D55" s="123">
        <v>26074734.969882227</v>
      </c>
      <c r="E55" s="123">
        <v>28905800.403626535</v>
      </c>
      <c r="F55" s="123">
        <v>45475017.053228177</v>
      </c>
      <c r="H55" s="120"/>
    </row>
    <row r="56" spans="1:8" ht="13.15">
      <c r="A56" s="144">
        <v>30</v>
      </c>
      <c r="B56" s="123">
        <v>16576326.987493087</v>
      </c>
      <c r="C56" s="123">
        <v>20217177.806288391</v>
      </c>
      <c r="D56" s="123">
        <v>28426966.018796097</v>
      </c>
      <c r="E56" s="123">
        <v>32226512.345904123</v>
      </c>
      <c r="F56" s="123">
        <v>56406519.699451953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7.2401316280658037</v>
      </c>
      <c r="D61" s="124">
        <f t="shared" si="4"/>
        <v>7.586172997749796</v>
      </c>
      <c r="E61" s="124">
        <f t="shared" si="4"/>
        <v>7.7049282095530733</v>
      </c>
      <c r="F61" s="124">
        <f t="shared" si="4"/>
        <v>8.197980091663716</v>
      </c>
      <c r="H61" s="120"/>
    </row>
    <row r="62" spans="1:8" ht="13.15">
      <c r="A62" s="143">
        <f t="shared" si="3"/>
        <v>10</v>
      </c>
      <c r="B62" s="124">
        <f t="shared" si="4"/>
        <v>7.0176000000000016</v>
      </c>
      <c r="C62" s="124">
        <f t="shared" si="4"/>
        <v>7.4608002919571721</v>
      </c>
      <c r="D62" s="124">
        <f t="shared" si="4"/>
        <v>8.2099941639005838</v>
      </c>
      <c r="E62" s="124">
        <f t="shared" si="4"/>
        <v>8.4849162364057893</v>
      </c>
      <c r="F62" s="124">
        <f t="shared" si="4"/>
        <v>9.7310113825682567</v>
      </c>
      <c r="H62" s="120"/>
    </row>
    <row r="63" spans="1:8" ht="13.15">
      <c r="A63" s="143">
        <f t="shared" si="3"/>
        <v>15</v>
      </c>
      <c r="B63" s="124">
        <f t="shared" si="4"/>
        <v>7.0176000000000016</v>
      </c>
      <c r="C63" s="124">
        <f t="shared" si="4"/>
        <v>7.7401926621563497</v>
      </c>
      <c r="D63" s="124">
        <f t="shared" si="4"/>
        <v>9.064297183570579</v>
      </c>
      <c r="E63" s="124">
        <f t="shared" si="4"/>
        <v>9.5824012203580295</v>
      </c>
      <c r="F63" s="124">
        <f t="shared" si="4"/>
        <v>12.144636142660836</v>
      </c>
      <c r="H63" s="120"/>
    </row>
    <row r="64" spans="1:8" ht="13.15">
      <c r="A64" s="144">
        <f t="shared" si="3"/>
        <v>20</v>
      </c>
      <c r="B64" s="124">
        <f t="shared" si="4"/>
        <v>7.0176000000000016</v>
      </c>
      <c r="C64" s="124">
        <f t="shared" si="4"/>
        <v>8.0314637662469774</v>
      </c>
      <c r="D64" s="124">
        <f t="shared" si="4"/>
        <v>10.032551376309572</v>
      </c>
      <c r="E64" s="124">
        <f t="shared" si="4"/>
        <v>10.863441929722837</v>
      </c>
      <c r="F64" s="124">
        <f t="shared" si="4"/>
        <v>15.335581422660018</v>
      </c>
      <c r="H64" s="120"/>
    </row>
    <row r="65" spans="1:8" ht="13.15">
      <c r="A65" s="144">
        <f t="shared" si="3"/>
        <v>25</v>
      </c>
      <c r="B65" s="124">
        <f t="shared" si="4"/>
        <v>7.0176000000000016</v>
      </c>
      <c r="C65" s="124">
        <f t="shared" si="4"/>
        <v>8.3086866324494419</v>
      </c>
      <c r="D65" s="124">
        <f t="shared" si="4"/>
        <v>11.038757878190166</v>
      </c>
      <c r="E65" s="124">
        <f t="shared" si="4"/>
        <v>12.237291473891673</v>
      </c>
      <c r="F65" s="124">
        <f t="shared" si="4"/>
        <v>19.251881307210919</v>
      </c>
    </row>
    <row r="66" spans="1:8" ht="13.15">
      <c r="A66" s="144">
        <f t="shared" si="3"/>
        <v>30</v>
      </c>
      <c r="B66" s="124">
        <f t="shared" si="4"/>
        <v>7.0176000000000016</v>
      </c>
      <c r="C66" s="124">
        <f t="shared" si="4"/>
        <v>8.5589568232127391</v>
      </c>
      <c r="D66" s="124">
        <f t="shared" si="4"/>
        <v>12.034576591305113</v>
      </c>
      <c r="E66" s="124">
        <f t="shared" si="4"/>
        <v>13.643117272556827</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-17</v>
      </c>
    </row>
    <row r="4" spans="2:9">
      <c r="B4" s="152" t="s">
        <v>142</v>
      </c>
      <c r="C4" s="120">
        <v>3</v>
      </c>
      <c r="D4" s="120"/>
      <c r="E4" s="155" t="s">
        <v>146</v>
      </c>
      <c r="F4" s="155"/>
      <c r="H4" s="247">
        <v>1</v>
      </c>
      <c r="I4" s="124">
        <f t="shared" ref="I4:I13" si="0">IF(ROW()-3 &lt; $C$76, $C$77, IF(ROW()-3 = $C$76, $C$77 + $C$60, ""))</f>
        <v>0.48097552275794103</v>
      </c>
    </row>
    <row r="5" spans="2:9">
      <c r="H5" s="247">
        <v>2</v>
      </c>
      <c r="I5" s="124">
        <f t="shared" si="0"/>
        <v>0.48097552275794103</v>
      </c>
    </row>
    <row r="6" spans="2:9" ht="13.15">
      <c r="B6" s="159" t="s">
        <v>92</v>
      </c>
      <c r="C6" s="107">
        <f>DCF!C3</f>
        <v>1000</v>
      </c>
      <c r="E6" s="100" t="s">
        <v>274</v>
      </c>
      <c r="F6" s="100"/>
      <c r="H6" s="247">
        <v>3</v>
      </c>
      <c r="I6" s="124">
        <f t="shared" si="0"/>
        <v>26.115361370678343</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2532212.153308088</v>
      </c>
      <c r="D8" t="str">
        <f>Reporting_currency</f>
        <v>CNY</v>
      </c>
      <c r="E8" s="380"/>
      <c r="F8" s="380"/>
      <c r="H8" s="247">
        <v>5</v>
      </c>
      <c r="I8" s="124" t="str">
        <f t="shared" si="0"/>
        <v/>
      </c>
    </row>
    <row r="9" spans="2:9">
      <c r="B9" s="100" t="s">
        <v>55</v>
      </c>
      <c r="C9" s="338">
        <f>Normalized_FCF!C19</f>
        <v>2419742.8524076669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-0.10083126186416003</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17</v>
      </c>
      <c r="D21" t="str">
        <f>Market_currency</f>
        <v>HKD</v>
      </c>
      <c r="E21" s="381"/>
      <c r="F21" s="381"/>
    </row>
    <row r="22" spans="2:6">
      <c r="B22" s="100" t="s">
        <v>273</v>
      </c>
      <c r="C22" s="160">
        <f>IF(valuation_method="DCF",DCF!C12,DDM!C7)</f>
        <v>19.04928467521886</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24.917417825734177</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21.022612544971317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26.534616842357316</v>
      </c>
      <c r="D39" t="str">
        <f>Market_currency</f>
        <v>HKD</v>
      </c>
      <c r="E39" s="379"/>
      <c r="F39" s="379"/>
    </row>
    <row r="40" spans="2:6">
      <c r="B40" s="100" t="s">
        <v>143</v>
      </c>
      <c r="C40" s="167">
        <f>1-C28-C34</f>
        <v>0.24999999999999994</v>
      </c>
      <c r="D40" s="165"/>
      <c r="E40" s="379"/>
      <c r="F40" s="379"/>
    </row>
    <row r="42" spans="2:6" ht="13.15">
      <c r="B42" s="100" t="s">
        <v>116</v>
      </c>
      <c r="C42" s="154">
        <f>C27*C28+C33*C34+C39*C40</f>
        <v>24.542756523737388</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19.049284675218868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51.868814855916263</v>
      </c>
      <c r="D57" t="str">
        <f>Market_currency</f>
        <v>HKD</v>
      </c>
      <c r="E57" s="379"/>
      <c r="F57" s="379"/>
    </row>
    <row r="58" spans="2:6">
      <c r="B58" s="100" t="s">
        <v>143</v>
      </c>
      <c r="C58" s="165">
        <v>0.05</v>
      </c>
      <c r="D58" s="165"/>
      <c r="E58" s="379"/>
      <c r="F58" s="379"/>
    </row>
    <row r="60" spans="2:6" ht="13.15">
      <c r="B60" s="100" t="s">
        <v>116</v>
      </c>
      <c r="C60" s="154">
        <f>C51*C52+C57*C58+C42*(1-C52-C58)</f>
        <v>25.634385847920402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25.581900127950792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0.21028861736227591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0.48097552275794103</v>
      </c>
      <c r="D77" t="str">
        <f>Market_currency</f>
        <v>HKD</v>
      </c>
    </row>
    <row r="79" spans="2:6" ht="13.15">
      <c r="B79" s="109" t="s">
        <v>296</v>
      </c>
    </row>
    <row r="80" spans="2:6">
      <c r="B80" s="148" t="s">
        <v>294</v>
      </c>
      <c r="C80" s="167">
        <f>Thesis!F29</f>
        <v>0.35</v>
      </c>
    </row>
    <row r="81" spans="2:8">
      <c r="B81" s="100" t="s">
        <v>117</v>
      </c>
      <c r="C81" s="116">
        <f>PV(C80, C76, -C77, 0)</f>
        <v>0.81567662194076485</v>
      </c>
      <c r="D81" s="116"/>
      <c r="E81" s="100"/>
      <c r="F81" s="100"/>
    </row>
    <row r="82" spans="2:8">
      <c r="B82" s="100" t="s">
        <v>118</v>
      </c>
      <c r="C82" s="116">
        <f>C60/(1+C80)^C76</f>
        <v>10.41889380599315</v>
      </c>
      <c r="D82" s="116"/>
    </row>
    <row r="83" spans="2:8" ht="13.15">
      <c r="B83" s="110" t="s">
        <v>98</v>
      </c>
      <c r="C83" s="111">
        <f>C81+C82</f>
        <v>11.234570427933916</v>
      </c>
      <c r="D83" t="str">
        <f>Market_currency</f>
        <v>HKD</v>
      </c>
      <c r="E83" s="146" t="s">
        <v>122</v>
      </c>
      <c r="F83" s="291">
        <f>(1-C83/C60)</f>
        <v>0.56173826458786325</v>
      </c>
    </row>
    <row r="84" spans="2:8">
      <c r="E84" s="120"/>
    </row>
    <row r="85" spans="2:8" ht="13.15">
      <c r="B85" s="109" t="s">
        <v>297</v>
      </c>
    </row>
    <row r="86" spans="2:8">
      <c r="B86" s="148" t="s">
        <v>295</v>
      </c>
      <c r="C86" s="116">
        <f>Market_Price</f>
        <v>17</v>
      </c>
      <c r="D86" t="str">
        <f>Market_currency</f>
        <v>HKD</v>
      </c>
    </row>
    <row r="87" spans="2:8" ht="13.15">
      <c r="B87" s="100" t="s">
        <v>293</v>
      </c>
      <c r="C87" s="237">
        <f ca="1">IRR(OFFSET($I$3, 0, 0, $C$76 + 1, 1))</f>
        <v>0.17159715812863041</v>
      </c>
    </row>
    <row r="88" spans="2:8">
      <c r="B88" s="100"/>
    </row>
    <row r="89" spans="2:8" ht="13.15">
      <c r="B89" s="109" t="s">
        <v>392</v>
      </c>
    </row>
    <row r="90" spans="2:8">
      <c r="B90" s="148" t="s">
        <v>393</v>
      </c>
      <c r="C90" s="167">
        <f>Thesis!F30</f>
        <v>0.25</v>
      </c>
    </row>
    <row r="91" spans="2:8">
      <c r="B91" s="100" t="s">
        <v>117</v>
      </c>
      <c r="C91" s="116">
        <f>PV(C90, C76, -C77, 0)</f>
        <v>0.93886422042350093</v>
      </c>
      <c r="D91" s="116"/>
      <c r="E91" s="100"/>
      <c r="F91" s="100"/>
    </row>
    <row r="92" spans="2:8">
      <c r="B92" s="100" t="s">
        <v>118</v>
      </c>
      <c r="C92" s="116">
        <f>C60/(1+C90)^C76</f>
        <v>13.124805554135246</v>
      </c>
      <c r="D92" s="116"/>
    </row>
    <row r="93" spans="2:8" ht="13.15">
      <c r="B93" s="110" t="s">
        <v>98</v>
      </c>
      <c r="C93" s="111">
        <f>C91+C92</f>
        <v>14.063669774558747</v>
      </c>
      <c r="D93" t="str">
        <f>Market_currency</f>
        <v>HKD</v>
      </c>
      <c r="E93" s="146" t="s">
        <v>122</v>
      </c>
      <c r="F93" s="291">
        <f>(1-C93/C60)</f>
        <v>0.45137481124012702</v>
      </c>
    </row>
    <row r="95" spans="2:8" ht="13.15">
      <c r="B95" s="109" t="s">
        <v>378</v>
      </c>
      <c r="G95" s="2"/>
      <c r="H95" s="281"/>
    </row>
    <row r="96" spans="2:8">
      <c r="B96" s="148" t="s">
        <v>383</v>
      </c>
      <c r="C96" s="134">
        <f>Thesis!F31</f>
        <v>7.4999999999999997E-2</v>
      </c>
      <c r="G96" s="2"/>
      <c r="H96" s="281"/>
    </row>
    <row r="97" spans="2:8">
      <c r="B97" s="100" t="s">
        <v>117</v>
      </c>
      <c r="C97" s="116">
        <f>PV(C96, C76, -C77, 0)</f>
        <v>1.2507892271803971</v>
      </c>
      <c r="D97" s="116"/>
      <c r="G97" s="2"/>
      <c r="H97" s="281"/>
    </row>
    <row r="98" spans="2:8">
      <c r="B98" s="100" t="s">
        <v>118</v>
      </c>
      <c r="C98" s="116">
        <f>C60/(1+C96)^C76</f>
        <v>20.634669831170914</v>
      </c>
      <c r="D98" s="116"/>
      <c r="G98" s="2"/>
      <c r="H98" s="281"/>
    </row>
    <row r="99" spans="2:8" ht="13.15">
      <c r="B99" s="110" t="s">
        <v>379</v>
      </c>
      <c r="C99" s="111">
        <f>C97+C98</f>
        <v>21.885459058351312</v>
      </c>
      <c r="D99" t="s">
        <v>377</v>
      </c>
      <c r="E99" s="146" t="s">
        <v>122</v>
      </c>
      <c r="F99" s="291">
        <f>(1-C99/C60)</f>
        <v>0.14624601548131966</v>
      </c>
    </row>
    <row r="100" spans="2:8">
      <c r="B100" s="100"/>
    </row>
    <row r="101" spans="2:8" ht="13.15">
      <c r="B101" s="109" t="s">
        <v>399</v>
      </c>
    </row>
    <row r="102" spans="2:8">
      <c r="B102" s="148" t="s">
        <v>398</v>
      </c>
      <c r="C102" s="134">
        <f>Thesis!F32</f>
        <v>0.1174</v>
      </c>
    </row>
    <row r="103" spans="2:8">
      <c r="B103" s="100" t="s">
        <v>117</v>
      </c>
      <c r="C103" s="116">
        <f>PV(C102, C76, -C77, 0)</f>
        <v>1.1604030497057842</v>
      </c>
      <c r="D103" s="116"/>
    </row>
    <row r="104" spans="2:8">
      <c r="B104" s="100" t="s">
        <v>118</v>
      </c>
      <c r="C104" s="116">
        <f>C60/(1+C102)^C76</f>
        <v>18.373712475048521</v>
      </c>
      <c r="D104" s="116"/>
    </row>
    <row r="105" spans="2:8" ht="13.15">
      <c r="B105" s="110" t="s">
        <v>379</v>
      </c>
      <c r="C105" s="111">
        <f>C103+C104</f>
        <v>19.534115524754306</v>
      </c>
      <c r="D105" t="s">
        <v>377</v>
      </c>
      <c r="E105" s="146" t="s">
        <v>122</v>
      </c>
      <c r="F105" s="291">
        <f>(1-C105/C66)</f>
        <v>0.2364087332429492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