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F74D7E-22DE-4379-938C-D87AC6BE3C5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<sst xmlns="http://schemas.openxmlformats.org/spreadsheetml/2006/main" count="766" uniqueCount="557">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</sst>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19.22</v>
      </c>
      <c r="E8" s="32"/>
    </row>
    <row r="9" spans="1:9">
      <c r="B9" s="4" t="s">
        <v>346</v>
      </c>
      <c r="C9" s="48">
        <v>2584811005</v>
      </c>
    </row>
    <row r="10" spans="1:9">
      <c r="B10" s="4" t="s">
        <v>352</v>
      </c>
      <c r="C10" s="33">
        <f>Thesis!C8*Common_Shares/1000000</f>
        <v>49680.067516099996</v>
      </c>
      <c r="D10" s="1" t="s">
        <v>531</v>
      </c>
      <c r="E10" s="307">
        <f>Scenarios!F34</f>
        <v>0.1142761558135634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1.10486085128784</v>
      </c>
    </row>
    <row r="17" spans="1:6">
      <c r="B17" s="1" t="s">
        <v>535</v>
      </c>
      <c r="C17" s="420">
        <v>0</v>
      </c>
      <c r="D17" s="4" t="s">
        <v>274</v>
      </c>
      <c r="E17" s="224" t="s">
        <v>556</v>
      </c>
    </row>
    <row r="18" spans="1:6">
      <c r="B18" s="1" t="str">
        <f>"Expected Equity Value ("&amp;C7&amp;") :"</f>
        <v>Expected Equity Value (HKD) :</v>
      </c>
      <c r="C18" s="255">
        <f>C125</f>
        <v>24.814567487592068</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12.403820277948812</v>
      </c>
      <c r="D22" s="38" t="s">
        <v>408</v>
      </c>
      <c r="E22" s="79">
        <v>0.29465259038036601</v>
      </c>
    </row>
    <row r="23" spans="1:6">
      <c r="B23" s="1" t="s">
        <v>313</v>
      </c>
      <c r="C23" s="259">
        <f>E141</f>
        <v>15.446968045239627</v>
      </c>
      <c r="D23" s="38" t="s">
        <v>409</v>
      </c>
      <c r="E23" s="448">
        <v>0.20075184365903001</v>
      </c>
    </row>
    <row r="24" spans="1:6">
      <c r="B24" s="1" t="s">
        <v>315</v>
      </c>
      <c r="C24" s="259">
        <f>E144</f>
        <v>19.06308375920965</v>
      </c>
      <c r="D24" s="38" t="s">
        <v>410</v>
      </c>
      <c r="E24" s="448">
        <v>0.1174</v>
      </c>
    </row>
    <row r="25" spans="1:6">
      <c r="B25" s="1" t="s">
        <v>314</v>
      </c>
      <c r="C25" s="259">
        <f>E145</f>
        <v>21.497481260151694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24435.753355919995</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-82203.026644080004</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-753156.72953554918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2525628.499574116</v>
      </c>
      <c r="D60" s="1" t="str">
        <f>Reporting_currency</f>
        <v>CNY</v>
      </c>
    </row>
    <row r="61" spans="2:6">
      <c r="B61" s="44" t="s">
        <v>213</v>
      </c>
      <c r="C61" s="289">
        <f>Normalized_FCF!C19</f>
        <v>2259470.1886066478</v>
      </c>
      <c r="D61" s="1" t="str">
        <f>Reporting_currency</f>
        <v>CNY</v>
      </c>
    </row>
    <row r="62" spans="2:6">
      <c r="B62" s="204" t="s">
        <v>302</v>
      </c>
      <c r="C62" s="89">
        <f>Normalized_FCF!C124</f>
        <v>5.0249532274375834E-2</v>
      </c>
      <c r="F62" s="260"/>
    </row>
    <row r="63" spans="2:6">
      <c r="B63" s="204" t="s">
        <v>332</v>
      </c>
      <c r="C63" s="89">
        <f>Normalized_FCF!C92</f>
        <v>2.7538887709097744E-2</v>
      </c>
      <c r="E63" s="44" t="s">
        <v>322</v>
      </c>
      <c r="F63" s="261">
        <f>Normalized_FCF!C90</f>
        <v>0.60551088817417065</v>
      </c>
    </row>
    <row r="65" spans="1:6">
      <c r="B65" s="192" t="s">
        <v>325</v>
      </c>
      <c r="C65" s="267" t="s">
        <v>327</v>
      </c>
      <c r="D65" s="267" t="s">
        <v>328</v>
      </c>
    </row>
    <row r="66" spans="1:6">
      <c r="B66" s="44" t="s">
        <v>326</v>
      </c>
      <c r="C66" s="89">
        <f>Normalized_FCF!C119</f>
        <v>0.11088597151663486</v>
      </c>
      <c r="D66" s="89">
        <f>Normalized_FCF!G119</f>
        <v>0.1333269693751597</v>
      </c>
    </row>
    <row r="67" spans="1:6">
      <c r="B67" s="229" t="str">
        <f>Normalized_FCF!B116</f>
        <v>Pre-tax Profit/Sales</v>
      </c>
      <c r="C67" s="266">
        <f>Normalized_FCF!C116</f>
        <v>0.11515079725781016</v>
      </c>
      <c r="D67" s="266">
        <f>Normalized_FCF!G116</f>
        <v>0.12632042809202626</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-0.75970101890870922</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15118230.440680001</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6.462190435720248</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0.71328740049856587</v>
      </c>
      <c r="D90" s="1" t="str">
        <f>Market_currency</f>
        <v>HKD</v>
      </c>
    </row>
    <row r="91" spans="1:6">
      <c r="A91" s="191"/>
    </row>
    <row r="92" spans="1:6">
      <c r="A92" s="191"/>
      <c r="B92" s="44" t="s">
        <v>472</v>
      </c>
      <c r="C92" s="216">
        <f>DCF!F8</f>
        <v>6.4157768173101051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5.5110919221699426</v>
      </c>
      <c r="D111" s="1" t="str">
        <f>Market_currency</f>
        <v>HKD</v>
      </c>
    </row>
    <row r="112" spans="2:6">
      <c r="B112" s="44" t="s">
        <v>323</v>
      </c>
      <c r="C112" s="216">
        <f>DCF!C11</f>
        <v>19.737101097496357</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35.11 HKD</v>
      </c>
      <c r="E118" s="208">
        <f>DCF!F90</f>
        <v>0.05</v>
      </c>
      <c r="F118" s="208">
        <f>RATE(Holding_Period,Scenarios!C$58,-DCF!E90,C$18)</f>
        <v>-9.2303227999175244E-2</v>
      </c>
    </row>
    <row r="119" spans="2:6">
      <c r="B119" s="205" t="str">
        <f>DCF!B91&amp;" ("&amp;DCF!D91&amp;"yrs)"</f>
        <v>Optimistic (10yrs)</v>
      </c>
      <c r="C119" s="198">
        <f>DCF!C91</f>
        <v>0.06</v>
      </c>
      <c r="D119" s="207" t="str">
        <f>ROUND(DCF!E91,2)&amp;" "&amp;Market_currency</f>
        <v>27.53 HKD</v>
      </c>
      <c r="E119" s="199">
        <f>DCF!F91</f>
        <v>0.22499999999999992</v>
      </c>
      <c r="F119" s="208">
        <f>RATE(Holding_Period,Scenarios!C$58,-DCF!E91,C$18)</f>
        <v>-1.4126569194561258E-2</v>
      </c>
    </row>
    <row r="120" spans="2:6">
      <c r="B120" s="205" t="str">
        <f>DCF!B92&amp;" ("&amp;DCF!D92&amp;"yrs)"</f>
        <v>Base (10yrs)</v>
      </c>
      <c r="C120" s="198">
        <f>DCF!C92</f>
        <v>0.04</v>
      </c>
      <c r="D120" s="207" t="str">
        <f>ROUND(DCF!E92,2)&amp;" "&amp;Market_currency</f>
        <v>24.52 HKD</v>
      </c>
      <c r="E120" s="199">
        <f>DCF!F92</f>
        <v>0.495</v>
      </c>
      <c r="F120" s="208">
        <f>RATE(Holding_Period,Scenarios!C$58,-DCF!E92,C$18)</f>
        <v>2.5464602323946189E-2</v>
      </c>
    </row>
    <row r="121" spans="2:6">
      <c r="B121" s="205" t="str">
        <f>DCF!B93&amp;" ("&amp;DCF!D93&amp;"yrs)"</f>
        <v>Pessimistic (10yrs)</v>
      </c>
      <c r="C121" s="198">
        <f>DCF!C93</f>
        <v>0.02</v>
      </c>
      <c r="D121" s="207" t="str">
        <f>ROUND(DCF!E93,2)&amp;" "&amp;Market_currency</f>
        <v>21.94 HKD</v>
      </c>
      <c r="E121" s="199">
        <f>DCF!F93</f>
        <v>0.18</v>
      </c>
      <c r="F121" s="208">
        <f>RATE(Holding_Period,Scenarios!C$58,-DCF!E93,C$18)</f>
        <v>6.5017269369097824E-2</v>
      </c>
    </row>
    <row r="122" spans="2:6">
      <c r="B122" s="205" t="str">
        <f>DCF!B94&amp;" ("&amp;DCF!D94&amp;"yrs)"</f>
        <v>Devil's advocate (10yrs)</v>
      </c>
      <c r="C122" s="198">
        <f>DCF!C94</f>
        <v>-0.05</v>
      </c>
      <c r="D122" s="207" t="str">
        <f>ROUND(DCF!E94,2)&amp;" "&amp;Market_currency</f>
        <v>15.53 HKD</v>
      </c>
      <c r="E122" s="199">
        <f>DCF!F94</f>
        <v>0.05</v>
      </c>
      <c r="F122" s="208">
        <f>RATE(Holding_Period,Scenarios!C$58,-DCF!E94,C$18)</f>
        <v>0.1986073041773872</v>
      </c>
    </row>
    <row r="124" spans="2:6">
      <c r="B124" s="457" t="s">
        <v>357</v>
      </c>
      <c r="C124" s="457"/>
      <c r="D124" s="457"/>
      <c r="E124" s="457"/>
      <c r="F124" s="457"/>
    </row>
    <row r="125" spans="2:6">
      <c r="B125" s="193" t="s">
        <v>218</v>
      </c>
      <c r="C125" s="197">
        <f>Scenarios!C36</f>
        <v>24.814567487592068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0.52929742176885863</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0.96853572145476885</v>
      </c>
      <c r="D140" s="337">
        <f>Scenarios!D62</f>
        <v>11.435284556494043</v>
      </c>
      <c r="E140" s="338">
        <f>Scenarios!E62</f>
        <v>12.403820277948812</v>
      </c>
      <c r="F140" s="339">
        <f>E22</f>
        <v>0.29465259038036601</v>
      </c>
    </row>
    <row r="141" spans="1:6">
      <c r="B141" s="340" t="s">
        <v>313</v>
      </c>
      <c r="C141" s="337">
        <f>Scenarios!C63</f>
        <v>1.1136438646810252</v>
      </c>
      <c r="D141" s="337">
        <f>Scenarios!D63</f>
        <v>14.333324180558602</v>
      </c>
      <c r="E141" s="338">
        <f>Scenarios!E63</f>
        <v>15.446968045239627</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1.2769846143108159</v>
      </c>
      <c r="D144" s="337">
        <f>Scenarios!D66</f>
        <v>17.786099144898834</v>
      </c>
      <c r="E144" s="338">
        <f>Scenarios!E66</f>
        <v>19.06308375920965</v>
      </c>
      <c r="F144" s="339">
        <f>E24</f>
        <v>0.1174</v>
      </c>
    </row>
    <row r="145" spans="1:6">
      <c r="B145" s="340" t="s">
        <v>314</v>
      </c>
      <c r="C145" s="337">
        <f>Scenarios!C67</f>
        <v>1.382723472435514</v>
      </c>
      <c r="D145" s="337">
        <f>Scenarios!D67</f>
        <v>20.114757787716179</v>
      </c>
      <c r="E145" s="338">
        <f>Scenarios!E67</f>
        <v>21.497481260151694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0.52929742176885863</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0.52929742176885863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11.613083207357352</v>
      </c>
      <c r="D47" s="134">
        <f>D46*H1/Common_Shares*Exchange_Rate</f>
        <v>5.5110919221699426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15118230.440680001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-2209540.6500588558</v>
      </c>
      <c r="D73" s="289">
        <f>(Normalized_FCF!C26+Normalized_FCF!C35-Normalized_FCF!C89)/12</f>
        <v>-2036312.7796599995</v>
      </c>
      <c r="F73" s="1" t="s">
        <v>278</v>
      </c>
    </row>
    <row r="74" spans="2:6" ht="15" customHeight="1">
      <c r="B74" s="227" t="s">
        <v>259</v>
      </c>
      <c r="C74" s="228">
        <f>-$C$66/C73</f>
        <v>8.6854505254242831</v>
      </c>
      <c r="D74" s="228">
        <f>-$C$66/D73</f>
        <v>9.4243164368905408</v>
      </c>
      <c r="F74" s="223" t="s">
        <v>257</v>
      </c>
    </row>
    <row r="75" spans="2:6" ht="15" customHeight="1">
      <c r="B75" s="77" t="s">
        <v>258</v>
      </c>
      <c r="C75" s="264"/>
      <c r="D75" s="265">
        <f>MAX(-D73*D76,G5)</f>
        <v>4072625.5593199991</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-1963683.5541849446</v>
      </c>
      <c r="D86" s="201">
        <f>C86*scaling_factor/Common_Shares</f>
        <v>-0.75970101890870922</v>
      </c>
      <c r="E86" s="214" t="str">
        <f>Market_currency</f>
        <v>HKD</v>
      </c>
    </row>
    <row r="87" spans="2:8" ht="15" customHeight="1">
      <c r="B87" s="212" t="s">
        <v>240</v>
      </c>
      <c r="C87" s="73">
        <f>DCF!F5*Exchange_Rate</f>
        <v>16703540.954655442</v>
      </c>
      <c r="D87" s="201">
        <f>C87*scaling_factor/Common_Shares</f>
        <v>6.462190435720248</v>
      </c>
      <c r="E87" s="214" t="str">
        <f>Market_currency</f>
        <v>HKD</v>
      </c>
    </row>
    <row r="88" spans="2:8" ht="15" customHeight="1">
      <c r="B88" s="213" t="s">
        <v>159</v>
      </c>
      <c r="C88" s="73">
        <f>DCF!F6*Exchange_Rate</f>
        <v>1843713.1225365356</v>
      </c>
      <c r="D88" s="201">
        <f>C88*scaling_factor/Common_Shares</f>
        <v>0.71328740049856587</v>
      </c>
      <c r="E88" s="214" t="str">
        <f>Market_currency</f>
        <v>HKD</v>
      </c>
    </row>
    <row r="89" spans="2:8" ht="15" customHeight="1">
      <c r="B89" s="77" t="s">
        <v>244</v>
      </c>
      <c r="C89" s="162">
        <f>SUM(C86:C88)</f>
        <v>16583570.523007033</v>
      </c>
      <c r="D89" s="216">
        <f>SUM(D86:D88)</f>
        <v>6.4157768173101051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-82203.026644080004</v>
      </c>
      <c r="E10" s="238"/>
      <c r="G10" s="270">
        <f>G48</f>
        <v>-163268.50042588392</v>
      </c>
      <c r="H10" s="270">
        <f t="shared" ref="H10:Q10" si="6">H48</f>
        <v>-75219.515914507327</v>
      </c>
      <c r="I10" s="270">
        <f t="shared" si="6"/>
        <v>-25541.270346752062</v>
      </c>
      <c r="J10" s="270">
        <f t="shared" si="6"/>
        <v>-81665.952434187726</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3012626.9181421967</v>
      </c>
      <c r="E11" s="238"/>
      <c r="G11" s="271">
        <f t="shared" ref="G11:Q11" si="7">IF(G$4="","",SUM(G8:G10))</f>
        <v>3622319.499574116</v>
      </c>
      <c r="H11" s="271">
        <f t="shared" si="7"/>
        <v>3318534.4840854928</v>
      </c>
      <c r="I11" s="271">
        <f t="shared" si="7"/>
        <v>4232885.7296532476</v>
      </c>
      <c r="J11" s="271">
        <f t="shared" si="7"/>
        <v>4797902.0475658122</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-753156.72953554918</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2259470.1886066478</v>
      </c>
      <c r="D14" s="58"/>
      <c r="E14" s="246"/>
      <c r="F14" s="58"/>
      <c r="G14" s="271">
        <f t="shared" ref="G14:Q14" si="8">IF(G$4="","",SUM(G11:G13))</f>
        <v>2525628.499574116</v>
      </c>
      <c r="H14" s="271">
        <f t="shared" si="8"/>
        <v>2249275.4840854928</v>
      </c>
      <c r="I14" s="271">
        <f t="shared" si="8"/>
        <v>2881556.7296532476</v>
      </c>
      <c r="J14" s="271">
        <f t="shared" si="8"/>
        <v>3480546.0475658122</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2259470.1886066478</v>
      </c>
      <c r="D19" s="26"/>
      <c r="E19" s="235"/>
      <c r="F19" s="26"/>
      <c r="G19" s="275">
        <f t="shared" ref="G19:Q19" si="9">IF(G$4="","",G14+G17)</f>
        <v>2525628.499574116</v>
      </c>
      <c r="H19" s="275">
        <f t="shared" si="9"/>
        <v>2249275.4840854928</v>
      </c>
      <c r="I19" s="275">
        <f t="shared" si="9"/>
        <v>2881556.7296532476</v>
      </c>
      <c r="J19" s="275">
        <f t="shared" si="9"/>
        <v>3480546.0475658122</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0.30275932317095178</v>
      </c>
      <c r="H41" s="6">
        <f t="shared" si="16"/>
        <v>0.32219252357555278</v>
      </c>
      <c r="I41" s="6">
        <f t="shared" si="16"/>
        <v>0.31924532961835922</v>
      </c>
      <c r="J41" s="6">
        <f t="shared" si="16"/>
        <v>0.27456771458440871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24435.753355919995</v>
      </c>
      <c r="E46" s="238"/>
      <c r="G46" s="278">
        <f t="shared" ref="G46:Q46" si="17">IFERROR(IF(G$4="","",($C$46/$C$47)*G47),0)</f>
        <v>91152.499574116067</v>
      </c>
      <c r="H46" s="278">
        <f t="shared" si="17"/>
        <v>106226.48408549267</v>
      </c>
      <c r="I46" s="278">
        <f t="shared" si="17"/>
        <v>95019.729653247938</v>
      </c>
      <c r="J46" s="278">
        <f t="shared" si="17"/>
        <v>30792.047565812278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-82203.026644080004</v>
      </c>
      <c r="E48" s="238"/>
      <c r="G48" s="271">
        <f>IF(G$4="","",(G45+G46))</f>
        <v>-163268.50042588392</v>
      </c>
      <c r="H48" s="271">
        <f t="shared" ref="H48:Q48" si="18">IF(H$4="","",(H45+H46))</f>
        <v>-75219.515914507327</v>
      </c>
      <c r="I48" s="271">
        <f t="shared" si="18"/>
        <v>-25541.270346752062</v>
      </c>
      <c r="J48" s="271">
        <f t="shared" si="18"/>
        <v>-81665.952434187726</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3.1420233279028406E-3</v>
      </c>
      <c r="D76" s="26"/>
      <c r="E76" s="235"/>
      <c r="F76" s="26"/>
      <c r="G76" s="6">
        <f t="shared" ref="G76:Q76" si="28">IF(G$4="","",ABS(G10/G$4))</f>
        <v>5.6936299711181342E-3</v>
      </c>
      <c r="H76" s="6">
        <f t="shared" si="28"/>
        <v>2.7254937929217697E-3</v>
      </c>
      <c r="I76" s="6">
        <f t="shared" si="28"/>
        <v>9.8984192680285623E-4</v>
      </c>
      <c r="J76" s="6">
        <f t="shared" si="28"/>
        <v>3.617975180894998E-3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0.11515079725781016</v>
      </c>
      <c r="D77" s="26"/>
      <c r="E77" s="235"/>
      <c r="F77" s="26"/>
      <c r="G77" s="62">
        <f t="shared" ref="G77:Q77" si="29">IF(G$4="","",G11/G$4)</f>
        <v>0.12632042809202626</v>
      </c>
      <c r="H77" s="62">
        <f t="shared" si="29"/>
        <v>0.12024333084317881</v>
      </c>
      <c r="I77" s="62">
        <f t="shared" si="29"/>
        <v>0.16404382827062822</v>
      </c>
      <c r="J77" s="62">
        <f t="shared" si="29"/>
        <v>0.21255725318880322</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2.878769931445254E-2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8.6363097943357628E-2</v>
      </c>
      <c r="D80" s="26"/>
      <c r="E80" s="235"/>
      <c r="F80" s="26"/>
      <c r="G80" s="62">
        <f t="shared" ref="G80:Q80" si="32">IF(G$4="","",ABS(G14/G$4))</f>
        <v>8.80757407802195E-2</v>
      </c>
      <c r="H80" s="62">
        <f t="shared" si="32"/>
        <v>8.1499944474699465E-2</v>
      </c>
      <c r="I80" s="62">
        <f t="shared" si="32"/>
        <v>0.11167360224251401</v>
      </c>
      <c r="J80" s="62">
        <f t="shared" si="32"/>
        <v>0.15419558384754348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8.6363097943357628E-2</v>
      </c>
      <c r="D85" s="72"/>
      <c r="E85" s="235"/>
      <c r="F85" s="72"/>
      <c r="G85" s="62">
        <f t="shared" ref="G85:Q85" si="35">IF(G$4="","",ABS(G19/G$4))</f>
        <v>8.80757407802195E-2</v>
      </c>
      <c r="H85" s="62">
        <f t="shared" si="35"/>
        <v>8.1499944474699465E-2</v>
      </c>
      <c r="I85" s="62">
        <f t="shared" si="35"/>
        <v>0.11167360224251401</v>
      </c>
      <c r="J85" s="62">
        <f t="shared" si="35"/>
        <v>0.15419558384754348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0.52929742176885863</v>
      </c>
      <c r="E88" s="238"/>
      <c r="G88" s="109">
        <f>Data!C65</f>
        <v>0.52929742176885863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1368133.8007062725</v>
      </c>
      <c r="E89" s="238"/>
      <c r="G89" s="71">
        <f t="shared" ref="G89:Q89" si="36">IF(G$4="","",G88*Common_Shares/scaling_factor)</f>
        <v>1368133.8007062725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0.60551088817417065</v>
      </c>
      <c r="E90" s="238"/>
      <c r="G90" s="152">
        <f t="shared" ref="G90:Q90" si="37">IF(G$4="","",G88/(G19*scaling_factor/Common_Shares))</f>
        <v>0.541700333575177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2.7538887709097744E-2</v>
      </c>
      <c r="E92" s="238"/>
      <c r="G92" s="22">
        <f t="shared" ref="G92:Q92" si="38">IF(G$4="","",(G88*(1-dividend_tax_rate))/Market_Price)</f>
        <v>2.7538887709097744E-2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-0.16831551758579055</v>
      </c>
      <c r="D96" s="26"/>
      <c r="E96" s="235"/>
      <c r="F96" s="26"/>
      <c r="G96" s="6">
        <f t="shared" ref="G96:Q96" si="40">IF(H5="","",G11/H11-1)</f>
        <v>9.1541919165061492E-2</v>
      </c>
      <c r="H96" s="6">
        <f t="shared" si="40"/>
        <v>-0.21601132276317259</v>
      </c>
      <c r="I96" s="6">
        <f t="shared" si="40"/>
        <v>-0.11776320406524809</v>
      </c>
      <c r="J96" s="6">
        <f t="shared" si="40"/>
        <v>1.4629191925103822</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2.0857917151664647</v>
      </c>
      <c r="H113" s="254">
        <f>IF(H$4="","",Data!D$22/H19)</f>
        <v>2.0841982376854182</v>
      </c>
      <c r="I113" s="254">
        <f>IF(I$4="","",Data!E$22/I19)</f>
        <v>1.3581561520987109</v>
      </c>
      <c r="J113" s="254">
        <f>IF(J$4="","",Data!F$22/J19)</f>
        <v>1.8748020887594981</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0.11515079725781016</v>
      </c>
      <c r="E116" s="238"/>
      <c r="G116" s="22">
        <f t="shared" ref="G116:Q116" si="44">IF(G4="","",G77)</f>
        <v>0.12632042809202626</v>
      </c>
      <c r="H116" s="22">
        <f t="shared" si="44"/>
        <v>0.12024333084317881</v>
      </c>
      <c r="I116" s="22">
        <f t="shared" si="44"/>
        <v>0.16404382827062822</v>
      </c>
      <c r="J116" s="22">
        <f t="shared" si="44"/>
        <v>0.21255725318880322</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0.11088597151663486</v>
      </c>
      <c r="D119" s="100"/>
      <c r="E119" s="241"/>
      <c r="F119" s="100"/>
      <c r="G119" s="99">
        <f t="shared" ref="G119:Q119" si="47">IF(G$4="","",G11/G104)</f>
        <v>0.1333269693751597</v>
      </c>
      <c r="H119" s="99">
        <f t="shared" si="47"/>
        <v>0.13596850480512632</v>
      </c>
      <c r="I119" s="99">
        <f t="shared" si="47"/>
        <v>0.17396425509944166</v>
      </c>
      <c r="J119" s="99">
        <f t="shared" si="47"/>
        <v>0.22734447127119911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0.96579601031350359</v>
      </c>
      <c r="D123" s="26"/>
      <c r="E123" s="235"/>
      <c r="F123" s="26"/>
      <c r="G123" s="159">
        <f t="shared" ref="G123:Q123" si="48">IF(G$4="","",G14*$C$3/Common_Shares*Exchange_Rate)</f>
        <v>1.0795636697145243</v>
      </c>
      <c r="H123" s="159">
        <f t="shared" si="48"/>
        <v>0.96143834938816575</v>
      </c>
      <c r="I123" s="159">
        <f t="shared" si="48"/>
        <v>1.2317029040809473</v>
      </c>
      <c r="J123" s="159">
        <f t="shared" si="48"/>
        <v>1.4877370382675579</v>
      </c>
      <c r="K123" s="159">
        <f t="shared" si="48"/>
        <v>0.59785421190365451</v>
      </c>
      <c r="L123" s="159">
        <f t="shared" si="48"/>
        <v>0.58909845775605862</v>
      </c>
      <c r="M123" s="159">
        <f t="shared" si="48"/>
        <v>0.25348686204592652</v>
      </c>
      <c r="N123" s="159">
        <f t="shared" si="48"/>
        <v>0.19383668400203147</v>
      </c>
      <c r="O123" s="159">
        <f t="shared" si="48"/>
        <v>9.8920701418337198E-2</v>
      </c>
      <c r="P123" s="159">
        <f t="shared" si="48"/>
        <v>5.1434285128891186E-3</v>
      </c>
      <c r="Q123" s="159" t="str">
        <f t="shared" si="48"/>
        <v/>
      </c>
    </row>
    <row r="124" spans="1:17" ht="15.75" customHeight="1">
      <c r="A124" s="10"/>
      <c r="B124" s="26" t="s">
        <v>226</v>
      </c>
      <c r="C124" s="74">
        <f>C19*Exchange_Rate*$C$3/(Market_Price*Common_Shares)</f>
        <v>5.0249532274375834E-2</v>
      </c>
      <c r="D124" s="26"/>
      <c r="E124" s="235"/>
      <c r="F124" s="26"/>
      <c r="G124" s="74">
        <f t="shared" ref="G124" si="49">IF(G$4="","",G123/Market_Price)</f>
        <v>5.6168765333742161E-2</v>
      </c>
      <c r="H124" s="74">
        <f t="shared" ref="H124" si="50">IF(H$4="","",H123/Market_Price)</f>
        <v>5.0022806940071059E-2</v>
      </c>
      <c r="I124" s="74">
        <f t="shared" ref="I124" si="51">IF(I$4="","",I123/Market_Price)</f>
        <v>6.4084438297655949E-2</v>
      </c>
      <c r="J124" s="74">
        <f t="shared" ref="J124" si="52">IF(J$4="","",J123/Market_Price)</f>
        <v>7.7405673166886471E-2</v>
      </c>
      <c r="K124" s="74">
        <f t="shared" ref="K124" si="53">IF(K$4="","",K123/Market_Price)</f>
        <v>3.1105838288431557E-2</v>
      </c>
      <c r="L124" s="74">
        <f t="shared" ref="L124" si="54">IF(L$4="","",L123/Market_Price)</f>
        <v>3.0650283962333956E-2</v>
      </c>
      <c r="M124" s="74">
        <f t="shared" ref="M124" si="55">IF(M$4="","",M123/Market_Price)</f>
        <v>1.3188702499788062E-2</v>
      </c>
      <c r="N124" s="74">
        <f t="shared" ref="N124" si="56">IF(N$4="","",N123/Market_Price)</f>
        <v>1.0085155255048463E-2</v>
      </c>
      <c r="O124" s="74">
        <f t="shared" ref="O124" si="57">IF(O$4="","",O123/Market_Price)</f>
        <v>5.1467586586023519E-3</v>
      </c>
      <c r="P124" s="74">
        <f t="shared" ref="P124" si="58">IF(P$4="","",P123/Market_Price)</f>
        <v>2.6760814323044326E-4</v>
      </c>
      <c r="Q124" s="74" t="str">
        <f t="shared" ref="Q124" si="59">IF(Q$4="","",Q123/Market_Price)</f>
        <v/>
      </c>
    </row>
    <row r="125" spans="1:17" ht="15.75" customHeight="1">
      <c r="B125" s="2" t="s">
        <v>306</v>
      </c>
      <c r="C125" s="151"/>
      <c r="G125" s="22">
        <f>IF(G$4="","",(Data!C47*$C$3)/(Market_Price*Common_Shares))</f>
        <v>6.0646415164866532E-2</v>
      </c>
      <c r="H125" s="22">
        <f>IF(H$4="","",(Data!D47*$C$3)/(Market_Price*Common_Shares))</f>
        <v>6.4149711531031828E-2</v>
      </c>
      <c r="I125" s="22">
        <f>IF(I$4="","",(Data!E47*$C$3)/(Market_Price*Common_Shares))</f>
        <v>8.1798822006090052E-2</v>
      </c>
      <c r="J125" s="22">
        <f>IF(J$4="","",(Data!F47*$C$3)/(Market_Price*Common_Shares))</f>
        <v>8.0734350827928666E-2</v>
      </c>
      <c r="K125" s="22">
        <f>IF(K$4="","",(Data!G47*$C$3)/(Market_Price*Common_Shares))</f>
        <v>3.418843984963519E-2</v>
      </c>
      <c r="L125" s="22">
        <f>IF(L$4="","",(Data!H47*$C$3)/(Market_Price*Common_Shares))</f>
        <v>3.0175945302694431E-2</v>
      </c>
      <c r="M125" s="22">
        <f>IF(M$4="","",(Data!I47*$C$3)/(Market_Price*Common_Shares))</f>
        <v>1.4397383815313901E-2</v>
      </c>
      <c r="N125" s="22">
        <f>IF(N$4="","",(Data!J47*$C$3)/(Market_Price*Common_Shares))</f>
        <v>1.0369450480981167E-2</v>
      </c>
      <c r="O125" s="22">
        <f>IF(O$4="","",(Data!K47*$C$3)/(Market_Price*Common_Shares))</f>
        <v>1.4107649909551085E-2</v>
      </c>
      <c r="P125" s="22">
        <f>IF(P$4="","",(Data!L47*$C$3)/(Market_Price*Common_Shares))</f>
        <v>1.2400345466526479E-3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2259470.1886066478</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15118230.440680001</v>
      </c>
      <c r="G5" t="str">
        <f>Reporting_currency</f>
        <v>CNY</v>
      </c>
      <c r="H5" s="312" t="s">
        <v>396</v>
      </c>
      <c r="I5" s="309">
        <f>Normalized_FCF!C7</f>
        <v>-1427907</v>
      </c>
      <c r="J5" s="309"/>
    </row>
    <row r="6" spans="2:15" ht="13.25" customHeight="1">
      <c r="B6" s="136" t="s">
        <v>194</v>
      </c>
      <c r="C6" s="287">
        <f>(C4*(1+Terminal_Growth))/(Equity_Cost-Terminal_Growth)</f>
        <v>31165106.049746867</v>
      </c>
      <c r="D6" t="str">
        <f>Reporting_currency</f>
        <v>CNY</v>
      </c>
      <c r="E6" s="187" t="s">
        <v>436</v>
      </c>
      <c r="F6" s="288">
        <f>BS!H42</f>
        <v>1668728.8</v>
      </c>
      <c r="G6" t="str">
        <f>Reporting_currency</f>
        <v>CNY</v>
      </c>
      <c r="H6" s="312" t="s">
        <v>418</v>
      </c>
      <c r="I6" s="309">
        <f>I7+I8</f>
        <v>-82203.026644080004</v>
      </c>
      <c r="J6" s="309"/>
      <c r="N6" s="135"/>
    </row>
    <row r="7" spans="2:15" ht="12.75" customHeight="1">
      <c r="B7" s="322" t="s">
        <v>433</v>
      </c>
      <c r="C7" s="279">
        <f>F7</f>
        <v>15009646.240680002</v>
      </c>
      <c r="E7" s="140" t="s">
        <v>427</v>
      </c>
      <c r="F7" s="287">
        <f>SUM(F4:F6)</f>
        <v>15009646.240680002</v>
      </c>
      <c r="G7" t="str">
        <f>Reporting_currency</f>
        <v>CNY</v>
      </c>
      <c r="H7" s="316" t="s">
        <v>419</v>
      </c>
      <c r="I7" s="317">
        <f>Normalized_FCF!C9</f>
        <v>0</v>
      </c>
      <c r="J7" s="317"/>
      <c r="N7" s="308"/>
      <c r="O7" s="308"/>
    </row>
    <row r="8" spans="2:15" ht="13.15">
      <c r="B8" s="136" t="s">
        <v>429</v>
      </c>
      <c r="C8" s="287">
        <f>C6+C7</f>
        <v>46174752.290426865</v>
      </c>
      <c r="D8" t="str">
        <f>Reporting_currency</f>
        <v>CNY</v>
      </c>
      <c r="E8" s="140" t="s">
        <v>467</v>
      </c>
      <c r="F8" s="108">
        <f>FV_adjustments*scaling_factor/Common_Shares*Exchange_Rate</f>
        <v>6.4157768173101051</v>
      </c>
      <c r="G8" s="298" t="str">
        <f>Market_currency</f>
        <v>HKD</v>
      </c>
      <c r="H8" s="318" t="str">
        <f>Normalized_FCF!B10</f>
        <v>Net Interest Income</v>
      </c>
      <c r="I8" s="317">
        <f>Normalized_FCF!C10</f>
        <v>-82203.026644080004</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0</v>
      </c>
      <c r="J9" s="310"/>
      <c r="N9" s="308"/>
      <c r="O9" s="308"/>
    </row>
    <row r="10" spans="2:15" ht="13.5" thickTop="1">
      <c r="B10" s="107" t="s">
        <v>430</v>
      </c>
      <c r="C10" s="287">
        <f>C8*Exchange_Rate</f>
        <v>51016676.12360616</v>
      </c>
      <c r="D10" t="str">
        <f>Market_currency</f>
        <v>HKD</v>
      </c>
      <c r="H10" s="312" t="s">
        <v>398</v>
      </c>
      <c r="I10" s="310">
        <f>Normalized_FCF!C41</f>
        <v>0.25</v>
      </c>
      <c r="N10" s="308"/>
      <c r="O10" s="308"/>
    </row>
    <row r="11" spans="2:15" ht="13.15">
      <c r="B11" s="136" t="s">
        <v>428</v>
      </c>
      <c r="C11" s="108">
        <f>(C10*scaling_factor)/Common_Shares</f>
        <v>19.737101097496357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21.779117650634777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3070231.0254342565</v>
      </c>
      <c r="H21" s="303">
        <f t="shared" ref="H21:H50" si="2">IF(A21="",0%,IF(A21="I",$C$18,$F$18))</f>
        <v>0</v>
      </c>
      <c r="I21" s="281">
        <f>(G21*(1-$I$10)+C21*(H21-$I$9))</f>
        <v>2302673.2690756926</v>
      </c>
      <c r="J21" s="303">
        <f>I21/C4-1</f>
        <v>1.9120889793941886E-2</v>
      </c>
      <c r="K21" s="119">
        <f t="shared" ref="K21:K50" si="3">IF($C$15&lt;B21,0,1/(1+Equity_Cost)^B21)</f>
        <v>0.93240093240093236</v>
      </c>
      <c r="L21" s="281">
        <f t="shared" ref="L21:L50" si="4">I21*K21</f>
        <v>2147014.7031008787</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3128907.3186738845</v>
      </c>
      <c r="H22" s="303">
        <f t="shared" si="2"/>
        <v>0</v>
      </c>
      <c r="I22" s="281">
        <f>IF(A22="", 0,G22*(1-$I$10)+C22*(H22-$I$9))</f>
        <v>2346680.4890054134</v>
      </c>
      <c r="J22" s="303">
        <f>IF(A22="", 0,I22/I21-1)</f>
        <v>1.9111360921554299E-2</v>
      </c>
      <c r="K22" s="119">
        <f t="shared" si="3"/>
        <v>0.86937149874212816</v>
      </c>
      <c r="L22" s="281">
        <f t="shared" si="4"/>
        <v>2040137.1337955464</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3188675.7544711251</v>
      </c>
      <c r="H23" s="303">
        <f t="shared" si="2"/>
        <v>0</v>
      </c>
      <c r="I23" s="281">
        <f t="shared" ref="I23:I50" si="9">IF(A23="", 0,G23*(1-$I$10)+C23*(H23-$I$9))</f>
        <v>2391506.8158533438</v>
      </c>
      <c r="J23" s="303">
        <f t="shared" ref="J23:J50" si="10">IF(A23="", 0,I23/I22-1)</f>
        <v>1.9102015403438699E-2</v>
      </c>
      <c r="K23" s="119">
        <f t="shared" si="3"/>
        <v>0.81060279602995633</v>
      </c>
      <c r="L23" s="281">
        <f t="shared" si="4"/>
        <v>1938562.1116554183</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3249556.6608886477</v>
      </c>
      <c r="H24" s="303">
        <f t="shared" si="2"/>
        <v>0</v>
      </c>
      <c r="I24" s="281">
        <f t="shared" si="9"/>
        <v>2437167.4956664857</v>
      </c>
      <c r="J24" s="303">
        <f t="shared" si="10"/>
        <v>1.9092849541743506E-2</v>
      </c>
      <c r="K24" s="119">
        <f t="shared" si="3"/>
        <v>0.75580680282513402</v>
      </c>
      <c r="L24" s="281">
        <f t="shared" si="4"/>
        <v>1842027.7728490252</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3311570.7443555985</v>
      </c>
      <c r="H25" s="303">
        <f t="shared" si="2"/>
        <v>0</v>
      </c>
      <c r="I25" s="281">
        <f t="shared" si="9"/>
        <v>2483678.0582666988</v>
      </c>
      <c r="J25" s="303">
        <f t="shared" si="10"/>
        <v>1.9083859719495333E-2</v>
      </c>
      <c r="K25" s="119">
        <f t="shared" si="3"/>
        <v>0.70471496766912267</v>
      </c>
      <c r="L25" s="281">
        <f t="shared" si="4"/>
        <v>1750285.102531926</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3374739.096710138</v>
      </c>
      <c r="H26" s="303">
        <f t="shared" si="2"/>
        <v>0</v>
      </c>
      <c r="I26" s="281">
        <f t="shared" si="9"/>
        <v>2531054.3225326035</v>
      </c>
      <c r="J26" s="303">
        <f t="shared" si="10"/>
        <v>1.9075042398597919E-2</v>
      </c>
      <c r="K26" s="119">
        <f t="shared" si="3"/>
        <v>0.65707689293158289</v>
      </c>
      <c r="L26" s="281">
        <f t="shared" si="4"/>
        <v>1663097.3100907756</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3439083.2023730706</v>
      </c>
      <c r="H27" s="303">
        <f t="shared" si="2"/>
        <v>0</v>
      </c>
      <c r="I27" s="281">
        <f t="shared" si="9"/>
        <v>2579312.401779803</v>
      </c>
      <c r="J27" s="303">
        <f t="shared" si="10"/>
        <v>1.9066394117891461E-2</v>
      </c>
      <c r="K27" s="119">
        <f t="shared" si="3"/>
        <v>0.61265910762851561</v>
      </c>
      <c r="L27" s="281">
        <f t="shared" si="4"/>
        <v>1580239.2343695774</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3504624.9456549818</v>
      </c>
      <c r="H28" s="303">
        <f t="shared" si="2"/>
        <v>0</v>
      </c>
      <c r="I28" s="281">
        <f t="shared" si="9"/>
        <v>2628468.7092412366</v>
      </c>
      <c r="J28" s="303">
        <f t="shared" si="10"/>
        <v>1.9057911491261903E-2</v>
      </c>
      <c r="K28" s="119">
        <f t="shared" si="3"/>
        <v>0.5712439231967511</v>
      </c>
      <c r="L28" s="281">
        <f t="shared" si="4"/>
        <v>1501496.7774668643</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3571386.6181993983</v>
      </c>
      <c r="H29" s="303">
        <f t="shared" si="2"/>
        <v>0</v>
      </c>
      <c r="I29" s="281">
        <f t="shared" si="9"/>
        <v>2678539.9636495486</v>
      </c>
      <c r="J29" s="303">
        <f t="shared" si="10"/>
        <v>1.9049591205811289E-2</v>
      </c>
      <c r="K29" s="119">
        <f t="shared" si="3"/>
        <v>0.53262836661701729</v>
      </c>
      <c r="L29" s="281">
        <f t="shared" si="4"/>
        <v>1426666.365757064</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3639390.9265644755</v>
      </c>
      <c r="H30" s="303">
        <f t="shared" si="2"/>
        <v>0</v>
      </c>
      <c r="I30" s="281">
        <f t="shared" si="9"/>
        <v>2729543.1949233566</v>
      </c>
      <c r="J30" s="303">
        <f t="shared" si="10"/>
        <v>1.9041430020075412E-2</v>
      </c>
      <c r="K30" s="119">
        <f t="shared" si="3"/>
        <v>0.49662318565689262</v>
      </c>
      <c r="L30" s="281">
        <f t="shared" si="4"/>
        <v>1355554.4368509301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3639390.9265644755</v>
      </c>
      <c r="H51" s="303">
        <f>F18</f>
        <v>0</v>
      </c>
      <c r="I51" s="281">
        <f>(G51*(1-$I$10)+C51*(H51-$I$9))/Equity_Cost</f>
        <v>37648871.654115267</v>
      </c>
      <c r="J51" s="419">
        <f>(G51*(1-$I$10)+C51*(H51-$I$9))/VLOOKUP(C15,B21:I50,8,FALSE)-1</f>
        <v>0</v>
      </c>
      <c r="K51" s="119">
        <f>1/(1+Equity_Cost)^C15</f>
        <v>0.49662318565689262</v>
      </c>
      <c r="L51" s="281">
        <f>I51*K51</f>
        <v>18697302.57725421</v>
      </c>
    </row>
    <row r="52" spans="1:21" ht="13.15">
      <c r="G52" s="111"/>
      <c r="H52" s="111"/>
      <c r="I52" s="111"/>
      <c r="J52" s="464" t="s">
        <v>423</v>
      </c>
      <c r="K52" s="464"/>
      <c r="L52" s="321">
        <f>SUM(L21:L51)</f>
        <v>35942383.525722221</v>
      </c>
    </row>
    <row r="53" spans="1:21">
      <c r="C53" s="111"/>
    </row>
    <row r="54" spans="1:21" ht="13.15">
      <c r="B54" s="115" t="s">
        <v>108</v>
      </c>
      <c r="C54" s="128"/>
      <c r="D54" s="128"/>
      <c r="E54" s="113"/>
      <c r="F54" s="113"/>
      <c r="G54" s="113"/>
      <c r="H54" s="113"/>
      <c r="I54" s="113"/>
      <c r="J54" s="113"/>
      <c r="K54" s="113"/>
      <c r="L54" s="113"/>
    </row>
    <row r="55" spans="1:21" ht="13.15">
      <c r="A55" s="125">
        <f>L52</f>
        <v>35942383.525722221</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29564331.94037465</v>
      </c>
      <c r="C56" s="118">
        <v>31805415.693495758</v>
      </c>
      <c r="D56" s="118">
        <v>32445725.337244637</v>
      </c>
      <c r="E56" s="118">
        <v>33086034.980993524</v>
      </c>
      <c r="F56" s="118">
        <v>34366654.268491298</v>
      </c>
      <c r="G56" s="299"/>
      <c r="H56" s="299"/>
      <c r="I56" s="299"/>
      <c r="J56" s="299"/>
      <c r="K56" s="299"/>
      <c r="L56" s="299"/>
    </row>
    <row r="57" spans="1:21" ht="13.15">
      <c r="A57" s="131">
        <v>2</v>
      </c>
      <c r="B57" s="118">
        <v>28146396.831839826</v>
      </c>
      <c r="C57" s="118">
        <v>32414381.508529667</v>
      </c>
      <c r="D57" s="118">
        <v>33687537.979666717</v>
      </c>
      <c r="E57" s="118">
        <v>34984575.463158056</v>
      </c>
      <c r="F57" s="118">
        <v>37650293.467203535</v>
      </c>
      <c r="G57" s="299"/>
      <c r="H57" s="299"/>
      <c r="I57" s="299"/>
      <c r="J57" s="299"/>
      <c r="K57" s="299"/>
      <c r="L57" s="299"/>
    </row>
    <row r="58" spans="1:21" ht="13.15">
      <c r="A58" s="131">
        <v>3</v>
      </c>
      <c r="B58" s="118">
        <v>26890417.015422031</v>
      </c>
      <c r="C58" s="118">
        <v>32993537.808142327</v>
      </c>
      <c r="D58" s="118">
        <v>34891719.935954802</v>
      </c>
      <c r="E58" s="118">
        <v>36860988.433875442</v>
      </c>
      <c r="F58" s="118">
        <v>41018128.542805821</v>
      </c>
      <c r="G58" s="299"/>
      <c r="H58" s="299"/>
      <c r="I58" s="299"/>
      <c r="J58" s="299"/>
      <c r="K58" s="299"/>
      <c r="L58" s="299"/>
    </row>
    <row r="59" spans="1:21" ht="13.15">
      <c r="A59" s="131">
        <v>4</v>
      </c>
      <c r="B59" s="118">
        <v>25777894.101112559</v>
      </c>
      <c r="C59" s="118">
        <v>33544343.799382336</v>
      </c>
      <c r="D59" s="118">
        <v>36059411.529931113</v>
      </c>
      <c r="E59" s="118">
        <v>38715531.789549515</v>
      </c>
      <c r="F59" s="118">
        <v>44472318.363936372</v>
      </c>
      <c r="G59" s="299"/>
      <c r="H59" s="299"/>
      <c r="I59" s="299"/>
      <c r="J59" s="299"/>
      <c r="K59" s="299"/>
      <c r="L59" s="299"/>
    </row>
    <row r="60" spans="1:21" ht="13.15">
      <c r="A60" s="131">
        <v>5</v>
      </c>
      <c r="B60" s="118">
        <v>24792442.568623982</v>
      </c>
      <c r="C60" s="118">
        <v>34068187.259582631</v>
      </c>
      <c r="D60" s="118">
        <v>37191718.530150577</v>
      </c>
      <c r="E60" s="118">
        <v>40548460.420798473</v>
      </c>
      <c r="F60" s="118">
        <v>48015077.154839516</v>
      </c>
      <c r="G60" s="299"/>
      <c r="H60" s="299"/>
      <c r="I60" s="299"/>
      <c r="J60" s="299"/>
      <c r="K60" s="299"/>
      <c r="L60" s="299"/>
    </row>
    <row r="61" spans="1:21" ht="13.15">
      <c r="A61" s="131">
        <v>6</v>
      </c>
      <c r="B61" s="118">
        <v>23919548.437282123</v>
      </c>
      <c r="C61" s="118">
        <v>34566388.032919973</v>
      </c>
      <c r="D61" s="118">
        <v>38289713.197030045</v>
      </c>
      <c r="E61" s="118">
        <v>42360026.247487411</v>
      </c>
      <c r="F61" s="118">
        <v>51648675.914740145</v>
      </c>
      <c r="G61" s="299"/>
      <c r="H61" s="299"/>
      <c r="I61" s="299"/>
      <c r="J61" s="299"/>
      <c r="K61" s="299"/>
      <c r="L61" s="299"/>
    </row>
    <row r="62" spans="1:21" ht="13.15">
      <c r="A62" s="131">
        <v>7</v>
      </c>
      <c r="B62" s="118">
        <v>23146355.500429198</v>
      </c>
      <c r="C62" s="118">
        <v>35040201.355814233</v>
      </c>
      <c r="D62" s="118">
        <v>39354435.298246518</v>
      </c>
      <c r="E62" s="118">
        <v>44150478.253352486</v>
      </c>
      <c r="F62" s="118">
        <v>55375443.873612627</v>
      </c>
      <c r="G62" s="299"/>
      <c r="H62" s="299"/>
      <c r="I62" s="299"/>
      <c r="J62" s="299"/>
      <c r="K62" s="299"/>
      <c r="L62" s="299"/>
    </row>
    <row r="63" spans="1:21" ht="13.15">
      <c r="A63" s="131">
        <v>8</v>
      </c>
      <c r="B63" s="118">
        <v>22461475.975944079</v>
      </c>
      <c r="C63" s="118">
        <v>35490821.019545831</v>
      </c>
      <c r="D63" s="118">
        <v>40386893.093365505</v>
      </c>
      <c r="E63" s="118">
        <v>45920062.520221442</v>
      </c>
      <c r="F63" s="118">
        <v>59197769.985276699</v>
      </c>
      <c r="G63" s="299"/>
      <c r="H63" s="299"/>
      <c r="I63" s="299"/>
      <c r="J63" s="299"/>
      <c r="K63" s="299"/>
      <c r="L63" s="299"/>
    </row>
    <row r="64" spans="1:21" ht="13.15">
      <c r="A64" s="131">
        <v>9</v>
      </c>
      <c r="B64" s="118">
        <v>21854822.784092464</v>
      </c>
      <c r="C64" s="118">
        <v>35919382.378059804</v>
      </c>
      <c r="D64" s="118">
        <v>41388064.288632423</v>
      </c>
      <c r="E64" s="118">
        <v>47669022.26183553</v>
      </c>
      <c r="F64" s="118">
        <v>63118104.458778292</v>
      </c>
      <c r="G64" s="299"/>
      <c r="H64" s="299"/>
      <c r="I64" s="299"/>
      <c r="J64" s="299"/>
      <c r="K64" s="299"/>
      <c r="L64" s="299"/>
    </row>
    <row r="65" spans="1:21" ht="13.15">
      <c r="A65" s="131">
        <v>10</v>
      </c>
      <c r="B65" s="118">
        <v>21317460.98245234</v>
      </c>
      <c r="C65" s="118">
        <v>36326965.208534628</v>
      </c>
      <c r="D65" s="118">
        <v>42358896.962830625</v>
      </c>
      <c r="E65" s="118">
        <v>49397597.857276954</v>
      </c>
      <c r="F65" s="118">
        <v>67138960.32903634</v>
      </c>
      <c r="G65" s="299"/>
      <c r="H65" s="299"/>
      <c r="I65" s="299"/>
      <c r="J65" s="299"/>
      <c r="K65" s="299"/>
      <c r="L65" s="299"/>
    </row>
    <row r="66" spans="1:21" ht="13.15">
      <c r="A66" s="131">
        <v>15</v>
      </c>
      <c r="B66" s="118">
        <v>19422570.869393323</v>
      </c>
      <c r="C66" s="281">
        <v>38084435.101345666</v>
      </c>
      <c r="D66" s="118">
        <v>46789202.22004956</v>
      </c>
      <c r="E66" s="118">
        <v>57742932.614245027</v>
      </c>
      <c r="F66" s="118">
        <v>88843621.148887515</v>
      </c>
      <c r="G66" s="299"/>
      <c r="H66" s="299"/>
      <c r="I66" s="299"/>
      <c r="J66" s="299"/>
      <c r="K66" s="299"/>
      <c r="L66" s="299"/>
      <c r="M66" s="279"/>
      <c r="N66" s="279"/>
      <c r="O66" s="279"/>
      <c r="P66" s="279"/>
      <c r="Q66" s="279"/>
      <c r="R66" s="279"/>
      <c r="S66" s="279"/>
      <c r="T66" s="279"/>
      <c r="U66" s="279"/>
    </row>
    <row r="67" spans="1:21" ht="13.15">
      <c r="A67" s="132">
        <v>20</v>
      </c>
      <c r="B67" s="118">
        <v>18389296.749364227</v>
      </c>
      <c r="C67" s="281">
        <v>39451856.111264013</v>
      </c>
      <c r="D67" s="118">
        <v>50587717.198360756</v>
      </c>
      <c r="E67" s="118">
        <v>65613147.390067801</v>
      </c>
      <c r="F67" s="118">
        <v>113477336.85472342</v>
      </c>
      <c r="G67" s="299"/>
      <c r="H67" s="299"/>
      <c r="I67" s="299"/>
      <c r="J67" s="299"/>
      <c r="K67" s="299"/>
      <c r="L67" s="299"/>
      <c r="M67" s="279"/>
      <c r="N67" s="279"/>
      <c r="O67" s="279"/>
      <c r="P67" s="279"/>
      <c r="Q67" s="279"/>
      <c r="R67" s="279"/>
      <c r="S67" s="279"/>
      <c r="T67" s="279"/>
      <c r="U67" s="279"/>
    </row>
    <row r="68" spans="1:21" ht="13.15">
      <c r="A68" s="132">
        <v>25</v>
      </c>
      <c r="B68" s="118">
        <v>17825857.52945172</v>
      </c>
      <c r="C68" s="281">
        <v>40515794.802910872</v>
      </c>
      <c r="D68" s="118">
        <v>53844539.291362986</v>
      </c>
      <c r="E68" s="118">
        <v>73035291.908100575</v>
      </c>
      <c r="F68" s="118">
        <v>141435384.87549436</v>
      </c>
      <c r="G68" s="299"/>
      <c r="H68" s="299"/>
      <c r="I68" s="299"/>
      <c r="J68" s="299"/>
      <c r="K68" s="299"/>
      <c r="L68" s="299"/>
      <c r="M68" s="279"/>
      <c r="N68" s="279"/>
      <c r="O68" s="279"/>
      <c r="P68" s="279"/>
      <c r="Q68" s="279"/>
      <c r="R68" s="279"/>
      <c r="S68" s="279"/>
      <c r="T68" s="279"/>
      <c r="U68" s="279"/>
    </row>
    <row r="69" spans="1:21" ht="13.15">
      <c r="A69" s="132">
        <v>30</v>
      </c>
      <c r="B69" s="118">
        <v>17518616.935322955</v>
      </c>
      <c r="C69" s="281">
        <v>41343605.353847787</v>
      </c>
      <c r="D69" s="118">
        <v>56636917.41966594</v>
      </c>
      <c r="E69" s="118">
        <v>80034875.885884061</v>
      </c>
      <c r="F69" s="118">
        <v>173166385.52784649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19.737101097496357</v>
      </c>
      <c r="C73" s="119">
        <f>C11</f>
        <v>19.737101097496357</v>
      </c>
      <c r="D73" s="119">
        <f>C11</f>
        <v>19.737101097496357</v>
      </c>
      <c r="E73" s="119">
        <f>C11</f>
        <v>19.737101097496357</v>
      </c>
      <c r="F73" s="119">
        <f>C11</f>
        <v>19.737101097496357</v>
      </c>
      <c r="G73" s="300"/>
      <c r="H73" s="300"/>
      <c r="I73" s="300"/>
      <c r="J73" s="300"/>
      <c r="K73" s="300"/>
      <c r="L73" s="300"/>
    </row>
    <row r="74" spans="1:21" ht="13.15">
      <c r="A74" s="131">
        <v>1</v>
      </c>
      <c r="B74" s="119">
        <f t="shared" ref="B74:F87" si="11">(B56+FV_adjustments)/Common_Shares*scaling_factor*Exchange_Rate</f>
        <v>19.052860492756082</v>
      </c>
      <c r="C74" s="119">
        <f t="shared" si="11"/>
        <v>20.010797339392472</v>
      </c>
      <c r="D74" s="119">
        <f t="shared" si="11"/>
        <v>20.284493581288579</v>
      </c>
      <c r="E74" s="119">
        <f t="shared" si="11"/>
        <v>20.558189823184687</v>
      </c>
      <c r="F74" s="119">
        <f t="shared" si="11"/>
        <v>21.105582306976913</v>
      </c>
      <c r="G74" s="300"/>
      <c r="H74" s="300"/>
      <c r="I74" s="300"/>
      <c r="J74" s="300"/>
      <c r="K74" s="300"/>
      <c r="L74" s="300"/>
    </row>
    <row r="75" spans="1:21" ht="13.15">
      <c r="A75" s="131">
        <v>2</v>
      </c>
      <c r="B75" s="119">
        <f t="shared" si="11"/>
        <v>18.446773243801992</v>
      </c>
      <c r="C75" s="119">
        <f t="shared" si="11"/>
        <v>20.271095863153811</v>
      </c>
      <c r="D75" s="119">
        <f t="shared" si="11"/>
        <v>20.815298414056794</v>
      </c>
      <c r="E75" s="119">
        <f t="shared" si="11"/>
        <v>21.369708750205326</v>
      </c>
      <c r="F75" s="119">
        <f t="shared" si="11"/>
        <v>22.509152778239017</v>
      </c>
      <c r="G75" s="300"/>
      <c r="H75" s="300"/>
      <c r="I75" s="300"/>
      <c r="J75" s="300"/>
      <c r="K75" s="300"/>
      <c r="L75" s="300"/>
    </row>
    <row r="76" spans="1:21" ht="13.15">
      <c r="A76" s="131">
        <v>3</v>
      </c>
      <c r="B76" s="119">
        <f t="shared" si="11"/>
        <v>17.909912743562941</v>
      </c>
      <c r="C76" s="119">
        <f t="shared" si="11"/>
        <v>20.518652501136618</v>
      </c>
      <c r="D76" s="119">
        <f t="shared" si="11"/>
        <v>21.330018251892639</v>
      </c>
      <c r="E76" s="119">
        <f t="shared" si="11"/>
        <v>22.171769414673271</v>
      </c>
      <c r="F76" s="119">
        <f t="shared" si="11"/>
        <v>23.948712235943734</v>
      </c>
      <c r="G76" s="300"/>
      <c r="H76" s="300"/>
      <c r="I76" s="300"/>
      <c r="J76" s="300"/>
      <c r="K76" s="300"/>
      <c r="L76" s="300"/>
    </row>
    <row r="77" spans="1:21" ht="13.15">
      <c r="A77" s="131">
        <v>4</v>
      </c>
      <c r="B77" s="119">
        <f t="shared" si="11"/>
        <v>17.43437197412042</v>
      </c>
      <c r="C77" s="119">
        <f t="shared" si="11"/>
        <v>20.754090982015367</v>
      </c>
      <c r="D77" s="119">
        <f t="shared" si="11"/>
        <v>21.829140518884969</v>
      </c>
      <c r="E77" s="119">
        <f t="shared" si="11"/>
        <v>22.964482052748817</v>
      </c>
      <c r="F77" s="119">
        <f t="shared" si="11"/>
        <v>25.425183474615238</v>
      </c>
      <c r="G77" s="300"/>
      <c r="H77" s="300"/>
      <c r="I77" s="300"/>
      <c r="J77" s="300"/>
      <c r="K77" s="300"/>
      <c r="L77" s="300"/>
    </row>
    <row r="78" spans="1:21" ht="13.15">
      <c r="A78" s="131">
        <v>5</v>
      </c>
      <c r="B78" s="119">
        <f t="shared" si="11"/>
        <v>17.013147050138706</v>
      </c>
      <c r="C78" s="119">
        <f t="shared" si="11"/>
        <v>20.978004502291665</v>
      </c>
      <c r="D78" s="119">
        <f t="shared" si="11"/>
        <v>22.313137868695716</v>
      </c>
      <c r="E78" s="119">
        <f t="shared" si="11"/>
        <v>23.74795561578852</v>
      </c>
      <c r="F78" s="119">
        <f t="shared" si="11"/>
        <v>26.939512950175768</v>
      </c>
      <c r="G78" s="300"/>
      <c r="H78" s="300"/>
      <c r="I78" s="300"/>
      <c r="J78" s="300"/>
      <c r="K78" s="300"/>
      <c r="L78" s="300"/>
    </row>
    <row r="79" spans="1:21" ht="13.15">
      <c r="A79" s="131">
        <v>6</v>
      </c>
      <c r="B79" s="119">
        <f t="shared" si="11"/>
        <v>16.64003406386119</v>
      </c>
      <c r="C79" s="119">
        <f t="shared" si="11"/>
        <v>21.190957220876115</v>
      </c>
      <c r="D79" s="119">
        <f t="shared" si="11"/>
        <v>22.782468632148557</v>
      </c>
      <c r="E79" s="119">
        <f t="shared" si="11"/>
        <v>24.522297785319594</v>
      </c>
      <c r="F79" s="119">
        <f t="shared" si="11"/>
        <v>28.492671386648087</v>
      </c>
      <c r="G79" s="300"/>
      <c r="H79" s="300"/>
      <c r="I79" s="300"/>
      <c r="J79" s="300"/>
      <c r="K79" s="300"/>
      <c r="L79" s="300"/>
    </row>
    <row r="80" spans="1:21" ht="13.15">
      <c r="A80" s="131">
        <f t="shared" ref="A80" si="12">A62</f>
        <v>7</v>
      </c>
      <c r="B80" s="119">
        <f t="shared" si="11"/>
        <v>16.309537712379949</v>
      </c>
      <c r="C80" s="119">
        <f t="shared" si="11"/>
        <v>21.393485680508881</v>
      </c>
      <c r="D80" s="119">
        <f t="shared" si="11"/>
        <v>23.237577251254351</v>
      </c>
      <c r="E80" s="119">
        <f t="shared" si="11"/>
        <v>25.287614987839827</v>
      </c>
      <c r="F80" s="119">
        <f t="shared" si="11"/>
        <v>30.085654398414587</v>
      </c>
      <c r="G80" s="300"/>
      <c r="H80" s="300"/>
      <c r="I80" s="300"/>
      <c r="J80" s="300"/>
      <c r="K80" s="300"/>
      <c r="L80" s="300"/>
    </row>
    <row r="81" spans="1:12" ht="13.15">
      <c r="A81" s="131">
        <v>8</v>
      </c>
      <c r="B81" s="119">
        <f t="shared" si="11"/>
        <v>16.016790361417534</v>
      </c>
      <c r="C81" s="119">
        <f t="shared" si="11"/>
        <v>21.586100159600178</v>
      </c>
      <c r="D81" s="119">
        <f t="shared" si="11"/>
        <v>23.678894700084204</v>
      </c>
      <c r="E81" s="119">
        <f t="shared" si="11"/>
        <v>26.044012409444893</v>
      </c>
      <c r="F81" s="119">
        <f t="shared" si="11"/>
        <v>31.719483128431509</v>
      </c>
      <c r="G81" s="300"/>
      <c r="H81" s="300"/>
      <c r="I81" s="300"/>
      <c r="J81" s="300"/>
      <c r="K81" s="300"/>
      <c r="L81" s="300"/>
    </row>
    <row r="82" spans="1:12" ht="13.15">
      <c r="A82" s="131">
        <f t="shared" ref="A82" si="13">A64</f>
        <v>9</v>
      </c>
      <c r="B82" s="119">
        <f t="shared" si="11"/>
        <v>15.757480353572046</v>
      </c>
      <c r="C82" s="119">
        <f t="shared" si="11"/>
        <v>21.769285957896805</v>
      </c>
      <c r="D82" s="119">
        <f t="shared" si="11"/>
        <v>24.10683889288892</v>
      </c>
      <c r="E82" s="119">
        <f t="shared" si="11"/>
        <v>26.79159401028534</v>
      </c>
      <c r="F82" s="119">
        <f t="shared" si="11"/>
        <v>33.395204902807826</v>
      </c>
      <c r="G82" s="300"/>
      <c r="H82" s="300"/>
      <c r="I82" s="300"/>
      <c r="J82" s="300"/>
      <c r="K82" s="300"/>
      <c r="L82" s="300"/>
    </row>
    <row r="83" spans="1:12" ht="13.15">
      <c r="A83" s="131">
        <f t="shared" ref="A83:A87" si="14">A65</f>
        <v>10</v>
      </c>
      <c r="B83" s="119">
        <f t="shared" si="11"/>
        <v>15.527788505130818</v>
      </c>
      <c r="C83" s="119">
        <f t="shared" si="11"/>
        <v>21.943504619213872</v>
      </c>
      <c r="D83" s="119">
        <f t="shared" si="11"/>
        <v>24.521815079851059</v>
      </c>
      <c r="E83" s="119">
        <f t="shared" si="11"/>
        <v>27.530462538854913</v>
      </c>
      <c r="F83" s="119">
        <f t="shared" si="11"/>
        <v>35.113893902168151</v>
      </c>
      <c r="G83" s="300"/>
      <c r="H83" s="300"/>
      <c r="I83" s="300"/>
      <c r="J83" s="300"/>
      <c r="K83" s="300"/>
      <c r="L83" s="300"/>
    </row>
    <row r="84" spans="1:12" ht="13.15">
      <c r="A84" s="131">
        <f t="shared" si="14"/>
        <v>15</v>
      </c>
      <c r="B84" s="119">
        <f t="shared" si="11"/>
        <v>14.717829904923107</v>
      </c>
      <c r="C84" s="119">
        <f t="shared" si="11"/>
        <v>22.694723829487991</v>
      </c>
      <c r="D84" s="119">
        <f t="shared" si="11"/>
        <v>26.415520588101906</v>
      </c>
      <c r="E84" s="119">
        <f t="shared" si="11"/>
        <v>31.097622244547114</v>
      </c>
      <c r="F84" s="119">
        <f t="shared" si="11"/>
        <v>44.391411671918831</v>
      </c>
      <c r="G84" s="300"/>
      <c r="H84" s="300"/>
      <c r="I84" s="300"/>
      <c r="J84" s="300"/>
      <c r="K84" s="300"/>
      <c r="L84" s="300"/>
    </row>
    <row r="85" spans="1:12" ht="13.15">
      <c r="A85" s="132">
        <f t="shared" si="14"/>
        <v>20</v>
      </c>
      <c r="B85" s="119">
        <f t="shared" si="11"/>
        <v>14.276163523257015</v>
      </c>
      <c r="C85" s="119">
        <f t="shared" si="11"/>
        <v>23.27921915164686</v>
      </c>
      <c r="D85" s="119">
        <f t="shared" si="11"/>
        <v>28.039171402203312</v>
      </c>
      <c r="E85" s="119">
        <f t="shared" si="11"/>
        <v>34.461694967935131</v>
      </c>
      <c r="F85" s="119">
        <f t="shared" si="11"/>
        <v>54.920935127399666</v>
      </c>
      <c r="G85" s="300"/>
      <c r="H85" s="300"/>
      <c r="I85" s="300"/>
      <c r="J85" s="300"/>
      <c r="K85" s="300"/>
      <c r="L85" s="300"/>
    </row>
    <row r="86" spans="1:12" ht="13.15">
      <c r="A86" s="132">
        <f t="shared" si="14"/>
        <v>25</v>
      </c>
      <c r="B86" s="119">
        <f t="shared" si="11"/>
        <v>14.035325049977034</v>
      </c>
      <c r="C86" s="119">
        <f t="shared" si="11"/>
        <v>23.73399290736716</v>
      </c>
      <c r="D86" s="119">
        <f t="shared" si="11"/>
        <v>29.431279073985483</v>
      </c>
      <c r="E86" s="119">
        <f t="shared" si="11"/>
        <v>37.634242939416353</v>
      </c>
      <c r="F86" s="119">
        <f t="shared" si="11"/>
        <v>66.871423065133925</v>
      </c>
      <c r="G86" s="300"/>
      <c r="H86" s="300"/>
      <c r="I86" s="300"/>
      <c r="J86" s="300"/>
      <c r="K86" s="300"/>
      <c r="L86" s="300"/>
    </row>
    <row r="87" spans="1:12" ht="13.15">
      <c r="A87" s="132">
        <f t="shared" si="14"/>
        <v>30</v>
      </c>
      <c r="B87" s="119">
        <f t="shared" si="11"/>
        <v>13.903997032678031</v>
      </c>
      <c r="C87" s="119">
        <f t="shared" si="11"/>
        <v>24.087835206956569</v>
      </c>
      <c r="D87" s="119">
        <f t="shared" si="11"/>
        <v>30.62486315807768</v>
      </c>
      <c r="E87" s="119">
        <f t="shared" si="11"/>
        <v>40.626170123800399</v>
      </c>
      <c r="F87" s="119">
        <f t="shared" si="11"/>
        <v>80.434635356151247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35.113893902168151</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27.530462538854913</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24.521815079851059</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21.943504619213872</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15.527788505130818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2525628.499574116</v>
      </c>
      <c r="D8" s="465"/>
      <c r="E8" s="465"/>
      <c r="F8" s="465"/>
      <c r="G8" s="465"/>
    </row>
    <row r="9" spans="2:7">
      <c r="B9" s="97" t="s">
        <v>54</v>
      </c>
      <c r="C9" s="452">
        <f>Normalized_FCF!C19</f>
        <v>2259470.1886066478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-6.3794587126001945E-2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27.530462538854913</v>
      </c>
      <c r="F22" s="332">
        <f>1-F23-F24</f>
        <v>0.24999999999999994</v>
      </c>
      <c r="G22" s="332">
        <f>F22*(1-F$29-F$30)</f>
        <v>0.22499999999999992</v>
      </c>
    </row>
    <row r="23" spans="2:7">
      <c r="B23" s="306" t="s">
        <v>440</v>
      </c>
      <c r="C23" s="328">
        <v>0.04</v>
      </c>
      <c r="D23" s="329">
        <f>C18</f>
        <v>10</v>
      </c>
      <c r="E23" s="330">
        <f>DCF!E92</f>
        <v>24.521815079851059</v>
      </c>
      <c r="F23" s="331">
        <v>0.55000000000000004</v>
      </c>
      <c r="G23" s="332">
        <f t="shared" ref="G23:G24" si="0">F23*(1-F$29-F$30)</f>
        <v>0.495</v>
      </c>
    </row>
    <row r="24" spans="2:7">
      <c r="B24" s="306" t="s">
        <v>449</v>
      </c>
      <c r="C24" s="328">
        <v>0.02</v>
      </c>
      <c r="D24" s="329">
        <f>C18</f>
        <v>10</v>
      </c>
      <c r="E24" s="330">
        <f>DCF!E93</f>
        <v>21.943504619213872</v>
      </c>
      <c r="F24" s="331">
        <v>0.2</v>
      </c>
      <c r="G24" s="332">
        <f t="shared" si="0"/>
        <v>0.18</v>
      </c>
    </row>
    <row r="25" spans="2:7">
      <c r="B25" s="141" t="s">
        <v>454</v>
      </c>
      <c r="C25" s="446">
        <f>E23*F23+E24*F24+E22*F22</f>
        <v>24.758314852474587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35.113893902168151</v>
      </c>
      <c r="F29" s="331">
        <v>0.05</v>
      </c>
      <c r="G29" s="332">
        <f>F29</f>
        <v>0.05</v>
      </c>
    </row>
    <row r="30" spans="2:7">
      <c r="B30" s="319" t="s">
        <v>450</v>
      </c>
      <c r="C30" s="328">
        <v>-0.05</v>
      </c>
      <c r="D30" s="329">
        <f>C18</f>
        <v>10</v>
      </c>
      <c r="E30" s="330">
        <f>DCF!E94</f>
        <v>15.527788505130818</v>
      </c>
      <c r="F30" s="331">
        <v>0.05</v>
      </c>
      <c r="G30" s="332">
        <f>F30</f>
        <v>0.05</v>
      </c>
    </row>
    <row r="31" spans="2:7">
      <c r="E31" s="333"/>
      <c r="F31" s="333"/>
    </row>
    <row r="32" spans="2:7" ht="13.15">
      <c r="B32" s="145" t="s">
        <v>459</v>
      </c>
    </row>
    <row r="33" spans="2:7">
      <c r="B33" s="97" t="s">
        <v>461</v>
      </c>
      <c r="C33" s="155">
        <f>Normalized_FCF!C88*(1-dividend_tax_rate)</f>
        <v>0.52929742176885863</v>
      </c>
      <c r="D33" t="str">
        <f>Market_currency</f>
        <v>HKD</v>
      </c>
      <c r="E33" s="97" t="s">
        <v>458</v>
      </c>
      <c r="F33" s="219">
        <f>Holding_Period</f>
        <v>3</v>
      </c>
    </row>
    <row r="34" spans="2:7">
      <c r="B34" s="97" t="s">
        <v>233</v>
      </c>
      <c r="C34" s="146">
        <f>Market_Price</f>
        <v>19.22</v>
      </c>
      <c r="D34" t="str">
        <f>Market_currency</f>
        <v>HKD</v>
      </c>
      <c r="E34" s="97" t="s">
        <v>457</v>
      </c>
      <c r="F34" s="334">
        <f>RATE(Holding_Period,$C$33,-C34,$C$36)</f>
        <v>0.1142761558135634</v>
      </c>
    </row>
    <row r="35" spans="2:7">
      <c r="B35" s="97" t="s">
        <v>437</v>
      </c>
      <c r="C35" s="324">
        <f>DCF!C11</f>
        <v>19.737101097496357</v>
      </c>
      <c r="D35" s="97" t="str">
        <f>Market_currency</f>
        <v>HKD</v>
      </c>
      <c r="E35" s="97" t="s">
        <v>457</v>
      </c>
      <c r="F35" s="334">
        <f>RATE(Holding_Period,$C$33,-C35,$C$36)</f>
        <v>0.10422157885292201</v>
      </c>
    </row>
    <row r="36" spans="2:7">
      <c r="B36" s="97" t="s">
        <v>438</v>
      </c>
      <c r="C36" s="325">
        <f>E22*G22+E23*G23+E24*G24+E30*G30+E29*G29</f>
        <v>24.814567487592068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21.779117650634777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0.25854880688604226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0.52929742176885863</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0.96853572145476885</v>
      </c>
      <c r="D62" s="119">
        <f>C36/(1+F62)^Holding_Period</f>
        <v>11.435284556494043</v>
      </c>
      <c r="E62" s="336">
        <f>C62+D62</f>
        <v>12.403820277948812</v>
      </c>
      <c r="F62" s="305">
        <f>Thesis!E22</f>
        <v>0.29465259038036601</v>
      </c>
      <c r="G62" s="445">
        <f>(1-E62/C36)</f>
        <v>0.50013957389541264</v>
      </c>
    </row>
    <row r="63" spans="2:7" ht="13.15">
      <c r="B63" s="306" t="s">
        <v>313</v>
      </c>
      <c r="C63" s="119">
        <f>PV(F63, Holding_Period, -C58, 0)</f>
        <v>1.1136438646810252</v>
      </c>
      <c r="D63" s="119">
        <f>C36/(1+F63)^Holding_Period</f>
        <v>14.333324180558602</v>
      </c>
      <c r="E63" s="336">
        <f>C63+D63</f>
        <v>15.446968045239627</v>
      </c>
      <c r="F63" s="305">
        <f>Thesis!E23</f>
        <v>0.20075184365903001</v>
      </c>
      <c r="G63" s="445">
        <f>(1-E63/C36)</f>
        <v>0.37750403858686976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1.2769846143108159</v>
      </c>
      <c r="D66" s="119">
        <f>C36/(1+F66)^Holding_Period</f>
        <v>17.786099144898834</v>
      </c>
      <c r="E66" s="336">
        <f>C66+D66</f>
        <v>19.06308375920965</v>
      </c>
      <c r="F66" s="305">
        <f>Thesis!E24</f>
        <v>0.1174</v>
      </c>
      <c r="G66" s="445">
        <f>(1-E66/C36)</f>
        <v>0.23177852006722699</v>
      </c>
    </row>
    <row r="67" spans="2:7" ht="13.15">
      <c r="B67" s="306" t="s">
        <v>314</v>
      </c>
      <c r="C67" s="119">
        <f>PV(F67, Holding_Period, -C58, 0)</f>
        <v>1.382723472435514</v>
      </c>
      <c r="D67" s="119">
        <f>C36/(1+F67)^Holding_Period</f>
        <v>20.114757787716179</v>
      </c>
      <c r="E67" s="336">
        <f>C67+D67</f>
        <v>21.497481260151694</v>
      </c>
      <c r="F67" s="305">
        <f>Thesis!E25</f>
        <v>7.2499999999999995E-2</v>
      </c>
      <c r="G67" s="445">
        <f>(1-E67/C36)</f>
        <v>0.13367495641820082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19.22</v>
      </c>
    </row>
    <row r="9" spans="1:10">
      <c r="B9" s="355" t="s">
        <v>361</v>
      </c>
      <c r="C9" s="357">
        <f>Common_Shares</f>
        <v>2584811005</v>
      </c>
    </row>
    <row r="10" spans="1:10">
      <c r="B10" s="355" t="s">
        <v>367</v>
      </c>
      <c r="C10" s="361">
        <f>投资主题!C8*Common_Shares/1000000</f>
        <v>49680.067516099996</v>
      </c>
      <c r="D10" s="347" t="s">
        <v>532</v>
      </c>
      <c r="E10" s="364">
        <f>Scenarios!F34</f>
        <v>0.1142761558135634</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1.10486085128784</v>
      </c>
    </row>
    <row r="17" spans="1:6">
      <c r="B17" s="347" t="s">
        <v>538</v>
      </c>
      <c r="C17" s="429">
        <f>Terminal_Growth</f>
        <v>0</v>
      </c>
      <c r="D17" s="355" t="s">
        <v>339</v>
      </c>
      <c r="E17" s="348" t="str">
        <f>Reporting_currency</f>
        <v>CNY</v>
      </c>
    </row>
    <row r="18" spans="1:6">
      <c r="B18" s="347" t="str">
        <f>"预期股权价值 ("&amp;C7&amp;") :"</f>
        <v>预期股权价值 (HKD) :</v>
      </c>
      <c r="C18" s="363">
        <f>C125</f>
        <v>24.814567487592068</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12.403820277948812</v>
      </c>
      <c r="D22" s="369" t="s">
        <v>443</v>
      </c>
      <c r="E22" s="370">
        <f>Thesis!E22</f>
        <v>0.29465259038036601</v>
      </c>
    </row>
    <row r="23" spans="1:6">
      <c r="B23" s="347" t="s">
        <v>341</v>
      </c>
      <c r="C23" s="371">
        <f>E141</f>
        <v>15.446968045239627</v>
      </c>
      <c r="D23" s="369" t="s">
        <v>444</v>
      </c>
      <c r="E23" s="372">
        <f>Thesis!E23</f>
        <v>0.20075184365903001</v>
      </c>
    </row>
    <row r="24" spans="1:6">
      <c r="B24" s="347" t="s">
        <v>343</v>
      </c>
      <c r="C24" s="371">
        <f>E144</f>
        <v>19.06308375920965</v>
      </c>
      <c r="D24" s="369" t="s">
        <v>446</v>
      </c>
      <c r="E24" s="372">
        <f>Thesis!E24</f>
        <v>0.1174</v>
      </c>
    </row>
    <row r="25" spans="1:6">
      <c r="B25" s="347" t="s">
        <v>342</v>
      </c>
      <c r="C25" s="371">
        <f>E145</f>
        <v>21.497481260151694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24435.753355919995</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-82203.026644080004</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-753156.72953554918</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2525628.499574116</v>
      </c>
      <c r="D60" s="347" t="str">
        <f>Reporting_currency</f>
        <v>CNY</v>
      </c>
    </row>
    <row r="61" spans="2:6">
      <c r="B61" s="376" t="s">
        <v>213</v>
      </c>
      <c r="C61" s="377">
        <f>Normalized_FCF!C19</f>
        <v>2259470.1886066478</v>
      </c>
      <c r="D61" s="347" t="str">
        <f>Reporting_currency</f>
        <v>CNY</v>
      </c>
    </row>
    <row r="62" spans="2:6">
      <c r="B62" s="381" t="s">
        <v>302</v>
      </c>
      <c r="C62" s="382">
        <f>Normalized_FCF!C124</f>
        <v>5.0249532274375834E-2</v>
      </c>
      <c r="F62" s="383"/>
    </row>
    <row r="63" spans="2:6">
      <c r="B63" s="381" t="s">
        <v>332</v>
      </c>
      <c r="C63" s="382">
        <f>Normalized_FCF!C92</f>
        <v>2.7538887709097744E-2</v>
      </c>
      <c r="E63" s="376" t="s">
        <v>373</v>
      </c>
      <c r="F63" s="384">
        <f>Normalized_FCF!C90</f>
        <v>0.60551088817417065</v>
      </c>
    </row>
    <row r="65" spans="1:6">
      <c r="B65" s="373" t="s">
        <v>376</v>
      </c>
      <c r="C65" s="385" t="s">
        <v>327</v>
      </c>
      <c r="D65" s="385" t="s">
        <v>374</v>
      </c>
    </row>
    <row r="66" spans="1:6">
      <c r="B66" s="376" t="s">
        <v>326</v>
      </c>
      <c r="C66" s="382">
        <f>Normalized_FCF!C119</f>
        <v>0.11088597151663486</v>
      </c>
      <c r="D66" s="382">
        <f>Normalized_FCF!G119</f>
        <v>0.1333269693751597</v>
      </c>
    </row>
    <row r="67" spans="1:6">
      <c r="B67" s="386" t="str">
        <f>Normalized_FCF!B116</f>
        <v>Pre-tax Profit/Sales</v>
      </c>
      <c r="C67" s="387">
        <f>Normalized_FCF!C116</f>
        <v>0.11515079725781016</v>
      </c>
      <c r="D67" s="387">
        <f>Normalized_FCF!G116</f>
        <v>0.12632042809202626</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-0.75970101890870922</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15118230.440680001</v>
      </c>
      <c r="D84" s="347" t="str">
        <f>Reporting_currency</f>
        <v>CNY</v>
      </c>
    </row>
    <row r="85" spans="1:6">
      <c r="B85" s="386" t="s">
        <v>484</v>
      </c>
      <c r="C85" s="394">
        <f>BS!C66</f>
        <v>19190856</v>
      </c>
      <c r="D85" s="395" t="str">
        <f>Reporting_currency</f>
        <v>CNY</v>
      </c>
    </row>
    <row r="86" spans="1:6">
      <c r="B86" s="376" t="s">
        <v>235</v>
      </c>
      <c r="C86" s="391">
        <f>C84*scaling_factor*Exchange_Rate/Common_Shares</f>
        <v>6.462190435720248</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0.71328740049856587</v>
      </c>
      <c r="D90" s="347" t="str">
        <f>Market_currency</f>
        <v>HKD</v>
      </c>
    </row>
    <row r="92" spans="1:6">
      <c r="B92" s="376" t="s">
        <v>483</v>
      </c>
      <c r="C92" s="391">
        <f>DCF!F8</f>
        <v>6.4157768173101051</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5.5110919221699426</v>
      </c>
      <c r="D111" s="347" t="str">
        <f>Market_currency</f>
        <v>HKD</v>
      </c>
    </row>
    <row r="112" spans="1:6">
      <c r="A112" s="389"/>
      <c r="B112" s="376" t="s">
        <v>377</v>
      </c>
      <c r="C112" s="398">
        <f>DCF!C11</f>
        <v>19.737101097496357</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35.11 HKD</v>
      </c>
      <c r="F118" s="403">
        <f>DCF!F90</f>
        <v>0.05</v>
      </c>
    </row>
    <row r="119" spans="1:6">
      <c r="A119" s="389"/>
      <c r="B119" s="404" t="str">
        <f>DCF!B91</f>
        <v>Optimistic</v>
      </c>
      <c r="C119" s="405">
        <f>DCF!C91</f>
        <v>0.06</v>
      </c>
      <c r="D119" s="406">
        <f>DCF!D91</f>
        <v>10</v>
      </c>
      <c r="E119" s="402" t="str">
        <f>ROUND(DCF!E91,2)&amp;" "&amp;Market_currency</f>
        <v>27.53 HKD</v>
      </c>
      <c r="F119" s="407">
        <f>DCF!F91</f>
        <v>0.22499999999999992</v>
      </c>
    </row>
    <row r="120" spans="1:6">
      <c r="B120" s="404" t="str">
        <f>DCF!B92</f>
        <v>Base</v>
      </c>
      <c r="C120" s="405">
        <f>DCF!C92</f>
        <v>0.04</v>
      </c>
      <c r="D120" s="406">
        <f>DCF!D92</f>
        <v>10</v>
      </c>
      <c r="E120" s="402" t="str">
        <f>ROUND(DCF!E92,2)&amp;" "&amp;Market_currency</f>
        <v>24.52 HKD</v>
      </c>
      <c r="F120" s="407">
        <f>DCF!F92</f>
        <v>0.495</v>
      </c>
    </row>
    <row r="121" spans="1:6">
      <c r="B121" s="404" t="str">
        <f>DCF!B93</f>
        <v>Pessimistic</v>
      </c>
      <c r="C121" s="405">
        <f>DCF!C93</f>
        <v>0.02</v>
      </c>
      <c r="D121" s="406">
        <f>DCF!D93</f>
        <v>10</v>
      </c>
      <c r="E121" s="402" t="str">
        <f>ROUND(DCF!E93,2)&amp;" "&amp;Market_currency</f>
        <v>21.94 HKD</v>
      </c>
      <c r="F121" s="407">
        <f>DCF!F93</f>
        <v>0.18</v>
      </c>
    </row>
    <row r="122" spans="1:6">
      <c r="B122" s="404" t="str">
        <f>DCF!B94</f>
        <v>Devil's advocate</v>
      </c>
      <c r="C122" s="405">
        <f>DCF!C94</f>
        <v>-0.05</v>
      </c>
      <c r="D122" s="406">
        <f>DCF!D94</f>
        <v>10</v>
      </c>
      <c r="E122" s="402" t="str">
        <f>ROUND(DCF!E94,2)&amp;" "&amp;Market_currency</f>
        <v>15.53 HKD</v>
      </c>
      <c r="F122" s="407">
        <f>DCF!F94</f>
        <v>0.05</v>
      </c>
    </row>
    <row r="124" spans="1:6">
      <c r="B124" s="466" t="s">
        <v>522</v>
      </c>
      <c r="C124" s="466"/>
      <c r="D124" s="466"/>
      <c r="E124" s="466"/>
      <c r="F124" s="466"/>
    </row>
    <row r="125" spans="1:6">
      <c r="B125" s="376" t="s">
        <v>218</v>
      </c>
      <c r="C125" s="408">
        <f>Scenarios!C36</f>
        <v>24.814567487592068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0.52929742176885863</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0.96853572145476885</v>
      </c>
      <c r="D140" s="413">
        <f>Scenarios!D62</f>
        <v>11.435284556494043</v>
      </c>
      <c r="E140" s="414">
        <f>Scenarios!E62</f>
        <v>12.403820277948812</v>
      </c>
      <c r="F140" s="415">
        <f>E22</f>
        <v>0.29465259038036601</v>
      </c>
    </row>
    <row r="141" spans="1:6">
      <c r="B141" s="412" t="s">
        <v>313</v>
      </c>
      <c r="C141" s="413">
        <f>Scenarios!C63</f>
        <v>1.1136438646810252</v>
      </c>
      <c r="D141" s="413">
        <f>Scenarios!D63</f>
        <v>14.333324180558602</v>
      </c>
      <c r="E141" s="414">
        <f>Scenarios!E63</f>
        <v>15.446968045239627</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1.2769846143108159</v>
      </c>
      <c r="D144" s="413">
        <f>Scenarios!D66</f>
        <v>17.786099144898834</v>
      </c>
      <c r="E144" s="414">
        <f>Scenarios!E66</f>
        <v>19.06308375920965</v>
      </c>
      <c r="F144" s="415">
        <f>E24</f>
        <v>0.1174</v>
      </c>
    </row>
    <row r="145" spans="1:6">
      <c r="B145" s="412" t="s">
        <v>314</v>
      </c>
      <c r="C145" s="413">
        <f>Scenarios!C67</f>
        <v>1.382723472435514</v>
      </c>
      <c r="D145" s="413">
        <f>Scenarios!D67</f>
        <v>20.114757787716179</v>
      </c>
      <c r="E145" s="414">
        <f>Scenarios!E67</f>
        <v>21.497481260151694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