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69F0FC4-979A-4B1D-8933-A712A847C8B9}" xr6:coauthVersionLast="47" xr6:coauthVersionMax="47" xr10:uidLastSave="{00000000-0000-0000-0000-000000000000}"/>
  <bookViews>
    <workbookView xWindow="735" yWindow="735" windowWidth="12690"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N94" i="2"/>
  <c r="O94" i="2"/>
  <c r="J94" i="2"/>
  <c r="K94" i="2"/>
  <c r="L94" i="2"/>
  <c r="I94" i="2"/>
  <c r="Q92" i="2"/>
  <c r="Q94" i="2"/>
  <c r="M94" i="2"/>
  <c r="H94" i="2"/>
  <c r="C147" i="6"/>
  <c r="C147" i="12"/>
  <c r="C163" i="6"/>
  <c r="C163" i="12"/>
  <c r="C171" i="6"/>
  <c r="C171" i="12"/>
  <c r="C155" i="6"/>
  <c r="C155" i="12"/>
  <c r="L119" i="2"/>
  <c r="H119" i="2"/>
  <c r="I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<sst xmlns="http://schemas.openxmlformats.org/spreadsheetml/2006/main" count="836" uniqueCount="561">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</sst>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8F1D71-BF13-4078-97F4-4AFB012B721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2584797906</v>
          </cell>
        </row>
        <row r="12">
          <cell r="C12">
            <v>16.440000000000001</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16.440000000000001</v>
      </c>
      <c r="D12" s="50"/>
      <c r="E12" s="48"/>
    </row>
    <row r="13" spans="1:10">
      <c r="B13" s="1" t="s">
        <v>465</v>
      </c>
      <c r="C13" s="48" t="s">
        <v>377</v>
      </c>
      <c r="D13" s="48"/>
      <c r="E13" s="5"/>
    </row>
    <row r="14" spans="1:10">
      <c r="B14" s="4" t="s">
        <v>466</v>
      </c>
      <c r="C14" s="35">
        <f>Thesis!C12*Common_Shares/1000000</f>
        <v>42494.07757464001</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1.09192109</v>
      </c>
      <c r="D16" s="50"/>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25.579082347910063</v>
      </c>
      <c r="D26" s="1" t="s">
        <v>380</v>
      </c>
      <c r="E26" s="301">
        <f ca="1">Scenarios!C87</f>
        <v>0.18430266488162372</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11.213851944381322</v>
      </c>
      <c r="D29" s="310" t="str">
        <f>D149</f>
        <v/>
      </c>
      <c r="E29" s="306" t="s">
        <v>401</v>
      </c>
      <c r="F29" s="302">
        <v>0.35</v>
      </c>
    </row>
    <row r="30" spans="2:6">
      <c r="B30" s="1" t="s">
        <v>403</v>
      </c>
      <c r="C30" s="311">
        <f>C157</f>
        <v>14.037379251468815</v>
      </c>
      <c r="D30" s="311" t="str">
        <f>D157</f>
        <v/>
      </c>
      <c r="E30" s="307" t="s">
        <v>414</v>
      </c>
      <c r="F30" s="312">
        <v>0.25</v>
      </c>
    </row>
    <row r="31" spans="2:6">
      <c r="B31" s="1" t="s">
        <v>404</v>
      </c>
      <c r="C31" s="311">
        <f>C165</f>
        <v>21.843639525859178</v>
      </c>
      <c r="D31" s="311" t="str">
        <f>D165</f>
        <v/>
      </c>
      <c r="E31" s="307" t="s">
        <v>413</v>
      </c>
      <c r="F31" s="312">
        <v>7.4999999999999997E-2</v>
      </c>
    </row>
    <row r="32" spans="2:6">
      <c r="B32" s="1" t="s">
        <v>405</v>
      </c>
      <c r="C32" s="311">
        <f>C173</f>
        <v>19.496978832886033</v>
      </c>
      <c r="D32" s="311" t="str">
        <f>D173</f>
        <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3205414.6239021346</v>
      </c>
      <c r="D41" s="1" t="str">
        <f>Reporting_currency</f>
        <v>CNY</v>
      </c>
    </row>
    <row r="42" spans="1:6">
      <c r="B42" s="47"/>
      <c r="C42" s="76"/>
    </row>
    <row r="43" spans="1:6" ht="24.6" customHeight="1">
      <c r="B43" s="373" t="s">
        <v>229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232</v>
      </c>
      <c r="C47" s="373"/>
      <c r="D47" s="373"/>
      <c r="E47" s="373"/>
      <c r="F47" s="373"/>
    </row>
    <row r="48" spans="1:6">
      <c r="B48" s="47" t="s">
        <v>233</v>
      </c>
      <c r="C48" s="349">
        <f>Normalized_FCF!C11</f>
        <v>179409.3</v>
      </c>
      <c r="D48" s="1" t="str">
        <f>Reporting_currency</f>
        <v>CNY</v>
      </c>
    </row>
    <row r="50" spans="2:6">
      <c r="B50" s="373" t="s">
        <v>236</v>
      </c>
      <c r="C50" s="373"/>
      <c r="D50" s="373"/>
      <c r="E50" s="373"/>
      <c r="F50" s="373"/>
    </row>
    <row r="51" spans="2:6">
      <c r="B51" s="47" t="s">
        <v>331</v>
      </c>
      <c r="C51" s="350">
        <f>Normalized_FCF!C48</f>
        <v>95932.620775895455</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-158488.37922410454</v>
      </c>
      <c r="D53" s="1" t="str">
        <f>Reporting_currency</f>
        <v>CNY</v>
      </c>
    </row>
    <row r="55" spans="2:6">
      <c r="B55" s="1" t="s">
        <v>242</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-806583.88616950752</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2532223.8947758959</v>
      </c>
      <c r="D67" s="1" t="str">
        <f>Reporting_currency</f>
        <v>CNY</v>
      </c>
    </row>
    <row r="68" spans="1:6">
      <c r="B68" s="47" t="s">
        <v>244</v>
      </c>
      <c r="C68" s="349">
        <f>Normalized_FCF!C19</f>
        <v>2419751.6585085224</v>
      </c>
      <c r="D68" s="1" t="str">
        <f>Reporting_currency</f>
        <v>CNY</v>
      </c>
    </row>
    <row r="69" spans="1:6">
      <c r="B69" s="227" t="s">
        <v>371</v>
      </c>
      <c r="C69" s="92">
        <f>Normalized_FCF!C126</f>
        <v>6.2177555539286632E-2</v>
      </c>
      <c r="F69" s="314"/>
    </row>
    <row r="70" spans="1:6">
      <c r="B70" s="227" t="s">
        <v>435</v>
      </c>
      <c r="C70" s="92">
        <f>Normalized_FCF!C94</f>
        <v>2.9319516614653887E-2</v>
      </c>
      <c r="E70" s="47" t="s">
        <v>425</v>
      </c>
      <c r="F70" s="315">
        <f>Normalized_FCF!C92</f>
        <v>0.57209994582758839</v>
      </c>
    </row>
    <row r="72" spans="1:6">
      <c r="B72" s="210" t="s">
        <v>428</v>
      </c>
      <c r="C72" s="323" t="s">
        <v>430</v>
      </c>
      <c r="D72" s="323" t="s">
        <v>431</v>
      </c>
    </row>
    <row r="73" spans="1:6">
      <c r="B73" s="47" t="s">
        <v>429</v>
      </c>
      <c r="C73" s="92">
        <f>Normalized_FCF!C121</f>
        <v>0.12359691937327441</v>
      </c>
      <c r="D73" s="92">
        <f>Normalized_FCF!G121</f>
        <v>0.13901923574004793</v>
      </c>
    </row>
    <row r="74" spans="1:6">
      <c r="B74" s="259" t="str">
        <f>Normalized_FCF!B118</f>
        <v>Pre-tax Profit/Sales</v>
      </c>
      <c r="C74" s="322">
        <f>Normalized_FCF!C118</f>
        <v>0.1233193224005279</v>
      </c>
      <c r="D74" s="322">
        <f>Normalized_FCF!G118</f>
        <v>0.12655042799828048</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13.629320174211633</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1936137</v>
      </c>
      <c r="D102" s="1" t="str">
        <f>Reporting_currency</f>
        <v>CNY</v>
      </c>
    </row>
    <row r="103" spans="2:6">
      <c r="B103" s="47" t="s">
        <v>276</v>
      </c>
      <c r="C103" s="223">
        <f>C102*scaling_factor*Exchange_Rate/Common_Shares</f>
        <v>0.81790101211468957</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14107292.221858865</v>
      </c>
      <c r="D109" s="1" t="str">
        <f>Reporting_currency</f>
        <v>CNY</v>
      </c>
    </row>
    <row r="110" spans="2:6">
      <c r="B110" s="47" t="s">
        <v>277</v>
      </c>
      <c r="C110" s="223">
        <f>C109*scaling_factor*Exchange_Rate/Common_Shares</f>
        <v>5.9594794100087194</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0.23723035650652452</v>
      </c>
      <c r="D114" s="1" t="str">
        <f>Market_currency</f>
        <v>HKD</v>
      </c>
    </row>
    <row r="116" spans="1:6" ht="24.6" customHeight="1">
      <c r="B116" s="372" t="s">
        <v>352</v>
      </c>
      <c r="C116" s="372"/>
      <c r="D116" s="372"/>
      <c r="E116" s="372"/>
      <c r="F116" s="372"/>
    </row>
    <row r="118" spans="1:6">
      <c r="B118" s="47" t="s">
        <v>426</v>
      </c>
      <c r="C118" s="223">
        <f>IF(valuation_method="DCF",DCF!C12,DDM!C7)</f>
        <v>19.008128928612187</v>
      </c>
      <c r="D118" s="1" t="str">
        <f>Market_currency</f>
        <v>HKD</v>
      </c>
    </row>
    <row r="119" spans="1:6">
      <c r="B119" s="296" t="s">
        <v>550</v>
      </c>
      <c r="C119" s="223">
        <f>BS!D47</f>
        <v>4.6033285511396818</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51.76 HKD</v>
      </c>
      <c r="F126" s="232">
        <f>DCF!F74</f>
        <v>0.05</v>
      </c>
    </row>
    <row r="127" spans="1:6">
      <c r="B127" s="218" t="str">
        <f>DCF!B75</f>
        <v>Optimistic</v>
      </c>
      <c r="C127" s="219">
        <f>DCF!C75</f>
        <v>0.06</v>
      </c>
      <c r="D127" s="220">
        <f>DCF!D75</f>
        <v>20</v>
      </c>
      <c r="E127" s="231" t="str">
        <f>ROUND(IF(valuation_method="DCF",DCF!E75,DDM!E70),2)&amp;" "&amp;Market_currency</f>
        <v>26.48 HKD</v>
      </c>
      <c r="F127" s="221">
        <f>DCF!F75</f>
        <v>0.22499999999999992</v>
      </c>
    </row>
    <row r="128" spans="1:6">
      <c r="B128" s="218" t="str">
        <f>DCF!B76</f>
        <v>Base</v>
      </c>
      <c r="C128" s="219">
        <f>DCF!C76</f>
        <v>0.05</v>
      </c>
      <c r="D128" s="220">
        <f>DCF!D76</f>
        <v>20</v>
      </c>
      <c r="E128" s="231" t="str">
        <f>ROUND(IF(valuation_method="DCF",DCF!E76,DDM!E71),2)&amp;" "&amp;Market_currency</f>
        <v>24.86 HKD</v>
      </c>
      <c r="F128" s="221">
        <f>DCF!F76</f>
        <v>0.495</v>
      </c>
    </row>
    <row r="129" spans="1:6">
      <c r="B129" s="218" t="str">
        <f>DCF!B77</f>
        <v>Pessimistic</v>
      </c>
      <c r="C129" s="219">
        <f>DCF!C77</f>
        <v>0.02</v>
      </c>
      <c r="D129" s="220">
        <f>DCF!D77</f>
        <v>20</v>
      </c>
      <c r="E129" s="231" t="str">
        <f>ROUND(IF(valuation_method="DCF",DCF!E77,DDM!E72),2)&amp;" "&amp;Market_currency</f>
        <v>20.98 HKD</v>
      </c>
      <c r="F129" s="221">
        <f>DCF!F77</f>
        <v>0.18</v>
      </c>
    </row>
    <row r="130" spans="1:6">
      <c r="B130" s="218" t="str">
        <f>DCF!B78</f>
        <v>Devil's advocate</v>
      </c>
      <c r="C130" s="219">
        <f>DCF!C78</f>
        <v>0</v>
      </c>
      <c r="D130" s="220">
        <f>DCF!D78</f>
        <v>30</v>
      </c>
      <c r="E130" s="231" t="str">
        <f>ROUND(IF(valuation_method="DCF",DCF!E78,DDM!E73),2)&amp;" "&amp;Market_currency</f>
        <v>19.01 HKD</v>
      </c>
      <c r="F130" s="221">
        <f>DCF!F78</f>
        <v>0.05</v>
      </c>
    </row>
    <row r="132" spans="1:6">
      <c r="B132" s="211" t="s">
        <v>254</v>
      </c>
      <c r="C132" s="217">
        <f>Scenarios!C60</f>
        <v>25.579082347910063</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0.48201285314490994</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0.81743580947909855</v>
      </c>
    </row>
    <row r="148" spans="2:4">
      <c r="B148" s="212" t="str">
        <f>"+ PV(Equity Value realized at year "&amp;C141&amp;")"</f>
        <v>+ PV(Equity Value realized at year 3)</v>
      </c>
      <c r="C148" s="216">
        <f>Scenarios!C82</f>
        <v>10.396416134902223</v>
      </c>
    </row>
    <row r="149" spans="2:4">
      <c r="B149" s="80" t="s">
        <v>256</v>
      </c>
      <c r="C149" s="215">
        <f>Scenarios!C83</f>
        <v>11.213851944381322</v>
      </c>
      <c r="D149" s="300" t="str">
        <f>IF($D$11="","",C149*$E$25)</f>
        <v/>
      </c>
    </row>
    <row r="150" spans="2:4">
      <c r="B150" s="259" t="s">
        <v>396</v>
      </c>
      <c r="C150" s="298" t="str">
        <f>Market_currency</f>
        <v>HKD</v>
      </c>
      <c r="D150" s="298" t="str">
        <f>IF($D$11="","",D$13)</f>
        <v/>
      </c>
    </row>
    <row r="151" spans="2:4">
      <c r="B151" s="214" t="s">
        <v>258</v>
      </c>
      <c r="C151" s="92">
        <f>Scenarios!F83</f>
        <v>0.56160069419779046</v>
      </c>
    </row>
    <row r="153" spans="2:4">
      <c r="B153" s="210" t="s">
        <v>391</v>
      </c>
    </row>
    <row r="154" spans="2:4">
      <c r="B154" s="1" t="s">
        <v>390</v>
      </c>
      <c r="C154" s="297">
        <f>Scenarios!C90</f>
        <v>0.25</v>
      </c>
    </row>
    <row r="155" spans="2:4">
      <c r="B155" s="212" t="str">
        <f>"PV("&amp;C141&amp;" yrs of Dividends)"</f>
        <v>PV(3 yrs of Dividends)</v>
      </c>
      <c r="C155" s="216">
        <f>Scenarios!C91</f>
        <v>0.94088908933886417</v>
      </c>
    </row>
    <row r="156" spans="2:4">
      <c r="B156" s="212" t="str">
        <f>"+ PV(Equity Value realized at year "&amp;C141&amp;")"</f>
        <v>+ PV(Equity Value realized at year 3)</v>
      </c>
      <c r="C156" s="216">
        <f>Scenarios!C92</f>
        <v>13.096490162129951</v>
      </c>
    </row>
    <row r="157" spans="2:4">
      <c r="B157" s="80" t="s">
        <v>256</v>
      </c>
      <c r="C157" s="215">
        <f>Scenarios!C93</f>
        <v>14.037379251468815</v>
      </c>
      <c r="D157" s="300" t="str">
        <f>IF($D$11="","",C157*$E$25)</f>
        <v/>
      </c>
    </row>
    <row r="158" spans="2:4">
      <c r="B158" s="259" t="s">
        <v>396</v>
      </c>
      <c r="C158" s="298" t="str">
        <f>Market_currency</f>
        <v>HKD</v>
      </c>
      <c r="D158" s="298" t="str">
        <f>IF($D$11="","",D$13)</f>
        <v/>
      </c>
    </row>
    <row r="159" spans="2:4">
      <c r="B159" s="214" t="s">
        <v>258</v>
      </c>
      <c r="C159" s="92">
        <f>Scenarios!F93</f>
        <v>0.45121646427571172</v>
      </c>
    </row>
    <row r="161" spans="2:4">
      <c r="B161" s="210" t="s">
        <v>381</v>
      </c>
    </row>
    <row r="162" spans="2:4">
      <c r="B162" s="1" t="s">
        <v>389</v>
      </c>
      <c r="C162" s="92">
        <f>Scenarios!C96</f>
        <v>7.4999999999999997E-2</v>
      </c>
    </row>
    <row r="163" spans="2:4">
      <c r="B163" s="212" t="str">
        <f>"PV("&amp;C141&amp;" yrs of Dividends)"</f>
        <v>PV(3 yrs of Dividends)</v>
      </c>
      <c r="C163" s="216">
        <f>Scenarios!C97</f>
        <v>1.2534868315524612</v>
      </c>
    </row>
    <row r="164" spans="2:4">
      <c r="B164" s="212" t="str">
        <f>"+ PV(Equity Value realized at year "&amp;C141&amp;")"</f>
        <v>+ PV(Equity Value realized at year 3)</v>
      </c>
      <c r="C164" s="216">
        <f>Scenarios!C98</f>
        <v>20.590152694306717</v>
      </c>
    </row>
    <row r="165" spans="2:4">
      <c r="B165" s="80" t="s">
        <v>382</v>
      </c>
      <c r="C165" s="215">
        <f>Scenarios!C99</f>
        <v>21.843639525859178</v>
      </c>
      <c r="D165" s="300" t="str">
        <f>IF($D$11="","",C165*$E$25)</f>
        <v/>
      </c>
    </row>
    <row r="166" spans="2:4">
      <c r="B166" s="259" t="s">
        <v>396</v>
      </c>
      <c r="C166" s="298" t="str">
        <f>Market_currency</f>
        <v>HKD</v>
      </c>
      <c r="D166" s="298" t="str">
        <f>IF($D$11="","",D$13)</f>
        <v/>
      </c>
    </row>
    <row r="167" spans="2:4">
      <c r="B167" s="214" t="s">
        <v>258</v>
      </c>
      <c r="C167" s="92">
        <f>Scenarios!F99</f>
        <v>0.14603505986820864</v>
      </c>
    </row>
    <row r="169" spans="2:4">
      <c r="B169" s="210" t="s">
        <v>409</v>
      </c>
    </row>
    <row r="170" spans="2:4">
      <c r="B170" s="1" t="s">
        <v>400</v>
      </c>
      <c r="C170" s="92">
        <f>F32</f>
        <v>0.1174</v>
      </c>
    </row>
    <row r="171" spans="2:4">
      <c r="B171" s="212" t="str">
        <f>"PV("&amp;C141&amp;" yrs of Dividends)"</f>
        <v>PV(3 yrs of Dividends)</v>
      </c>
      <c r="C171" s="216">
        <f>Scenarios!C103</f>
        <v>1.1629057162400167</v>
      </c>
    </row>
    <row r="172" spans="2:4">
      <c r="B172" s="212" t="str">
        <f>"+ PV(Equity Value realized at year "&amp;C141&amp;")"</f>
        <v>+ PV(Equity Value realized at year 3)</v>
      </c>
      <c r="C172" s="216">
        <f>Scenarios!C104</f>
        <v>18.334073116646017</v>
      </c>
    </row>
    <row r="173" spans="2:4">
      <c r="B173" s="80" t="s">
        <v>382</v>
      </c>
      <c r="C173" s="215">
        <f>Scenarios!C105</f>
        <v>19.496978832886033</v>
      </c>
      <c r="D173" s="300" t="str">
        <f>IF($D$11="","",C173*$E$25)</f>
        <v/>
      </c>
    </row>
    <row r="174" spans="2:4">
      <c r="B174" s="259" t="s">
        <v>396</v>
      </c>
      <c r="C174" s="298" t="str">
        <f>Market_currency</f>
        <v>HKD</v>
      </c>
      <c r="D174" s="298" t="str">
        <f>IF($D$11="","",D$13)</f>
        <v/>
      </c>
    </row>
    <row r="175" spans="2:4">
      <c r="B175" s="214" t="s">
        <v>258</v>
      </c>
      <c r="C175" s="92">
        <f>Scenarios!F105</f>
        <v>0.23621260639683328</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0.53556983682767767</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0.53556983682767767</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11.027232914317059</v>
      </c>
      <c r="D47" s="147">
        <f>D46*H1/Common_Shares*Exchange_Rate</f>
        <v>4.6033285511396818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14107292.221858865</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-2210891.1493957452</v>
      </c>
      <c r="D73" s="349">
        <f>(Normalized_FCF!C25+Normalized_FCF!C35-Normalized_FCF!C91)/12</f>
        <v>-2028447.8890705674</v>
      </c>
      <c r="F73" s="1" t="s">
        <v>342</v>
      </c>
    </row>
    <row r="74" spans="2:6" ht="15" customHeight="1">
      <c r="B74" s="257" t="s">
        <v>312</v>
      </c>
      <c r="C74" s="258">
        <f>-$C$66/C73</f>
        <v>8.2157767038709348</v>
      </c>
      <c r="D74" s="258">
        <f>-$C$66/D73</f>
        <v>8.9547225234969243</v>
      </c>
      <c r="F74" s="253" t="s">
        <v>310</v>
      </c>
    </row>
    <row r="75" spans="2:6" ht="15" customHeight="1">
      <c r="B75" s="80" t="s">
        <v>311</v>
      </c>
      <c r="C75" s="320"/>
      <c r="D75" s="321">
        <f>MAX(-D73*D76,G5)</f>
        <v>4056895.7781411349</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-2114108.8234293303</v>
      </c>
      <c r="D86" s="223">
        <f>C86*scaling_factor/Common_Shares</f>
        <v>-0.81790101211468957</v>
      </c>
      <c r="E86" s="240" t="str">
        <f>Market_currency</f>
        <v>HKD</v>
      </c>
    </row>
    <row r="87" spans="2:8" ht="15" customHeight="1">
      <c r="B87" s="238" t="s">
        <v>282</v>
      </c>
      <c r="C87" s="76">
        <f>DCF!C8*Exchange_Rate</f>
        <v>15404049.899840653</v>
      </c>
      <c r="D87" s="223">
        <f>C87*scaling_factor/Common_Shares</f>
        <v>5.9594794100087194</v>
      </c>
      <c r="E87" s="240" t="str">
        <f>Market_currency</f>
        <v>HKD</v>
      </c>
    </row>
    <row r="88" spans="2:8" ht="15" customHeight="1">
      <c r="B88" s="239" t="s">
        <v>185</v>
      </c>
      <c r="C88" s="76">
        <f>DCF!C9*Exchange_Rate</f>
        <v>613192.52873769798</v>
      </c>
      <c r="D88" s="223">
        <f>C88*scaling_factor/Common_Shares</f>
        <v>0.23723035650652449</v>
      </c>
      <c r="E88" s="240" t="str">
        <f>Market_currency</f>
        <v>HKD</v>
      </c>
    </row>
    <row r="89" spans="2:8" ht="15" customHeight="1">
      <c r="B89" s="80" t="s">
        <v>286</v>
      </c>
      <c r="C89" s="180">
        <f>SUM(C86:C88)</f>
        <v>13903133.60514902</v>
      </c>
      <c r="D89" s="242">
        <f>SUM(D86:D88)</f>
        <v>5.3788087544005538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-158488.37922410454</v>
      </c>
      <c r="E12" s="268"/>
      <c r="G12" s="328">
        <f>G50</f>
        <v>-158488.37922410454</v>
      </c>
      <c r="H12" s="328">
        <f t="shared" ref="H12:Q12" si="6">H50</f>
        <v>-69648.901053258553</v>
      </c>
      <c r="I12" s="328">
        <f t="shared" si="6"/>
        <v>-20558.348030578811</v>
      </c>
      <c r="J12" s="328">
        <f t="shared" si="6"/>
        <v>-80051.189042034574</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3226335.5446780301</v>
      </c>
      <c r="E13" s="268"/>
      <c r="G13" s="329">
        <f>IF(G$4="","",SUM(G8:G12))</f>
        <v>3628914.8947758959</v>
      </c>
      <c r="H13" s="329">
        <f t="shared" ref="H13:Q13" si="7">IF(H$4="","",SUM(H8:H12))</f>
        <v>3325920.3729467415</v>
      </c>
      <c r="I13" s="329">
        <f t="shared" si="7"/>
        <v>4239699.0769694205</v>
      </c>
      <c r="J13" s="329">
        <f t="shared" si="7"/>
        <v>4800544.5649579652</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-806583.88616950752</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2419751.6585085224</v>
      </c>
      <c r="D16" s="61"/>
      <c r="E16" s="276"/>
      <c r="F16" s="61"/>
      <c r="G16" s="329">
        <f>IF(G$4="","",SUM(G13:G15))</f>
        <v>2532223.8947758959</v>
      </c>
      <c r="H16" s="329">
        <f t="shared" ref="H16:Q16" si="8">IF(H$4="","",SUM(H13:H15))</f>
        <v>2256661.3729467415</v>
      </c>
      <c r="I16" s="329">
        <f t="shared" si="8"/>
        <v>2888370.0769694205</v>
      </c>
      <c r="J16" s="329">
        <f t="shared" si="8"/>
        <v>3483188.5649579652</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2419751.6585085224</v>
      </c>
      <c r="D19" s="27"/>
      <c r="E19" s="265"/>
      <c r="F19" s="27"/>
      <c r="G19" s="334">
        <f>IF(G$4="","",G16+G17)</f>
        <v>2532223.8947758959</v>
      </c>
      <c r="H19" s="334">
        <f t="shared" ref="H19:Q19" si="9">IF(H$4="","",H16+H17)</f>
        <v>2256661.3729467415</v>
      </c>
      <c r="I19" s="334">
        <f t="shared" si="9"/>
        <v>2888370.0769694205</v>
      </c>
      <c r="J19" s="334">
        <f t="shared" si="9"/>
        <v>3483188.5649579652</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0.30236031944592684</v>
      </c>
      <c r="H43" s="6">
        <f t="shared" si="18"/>
        <v>0.32165258563538901</v>
      </c>
      <c r="I43" s="6">
        <f t="shared" si="18"/>
        <v>0.31886995822110026</v>
      </c>
      <c r="J43" s="6">
        <f t="shared" si="18"/>
        <v>0.27447533822411219</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95932.620775895455</v>
      </c>
      <c r="E48" s="268"/>
      <c r="G48" s="337">
        <f>IFERROR(IF(G$4="","",($C$48/$C$49)*G49),0)</f>
        <v>95932.620775895455</v>
      </c>
      <c r="H48" s="337">
        <f t="shared" ref="H48:Q48" si="19">IFERROR(IF(H$4="","",($C$48/$C$49)*H49),0)</f>
        <v>111797.09894674145</v>
      </c>
      <c r="I48" s="337">
        <f t="shared" si="19"/>
        <v>100002.65196942119</v>
      </c>
      <c r="J48" s="337">
        <f t="shared" si="19"/>
        <v>32406.81095796543</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-158488.37922410454</v>
      </c>
      <c r="E50" s="268"/>
      <c r="G50" s="329">
        <f>IF(G$4="","",(G47+G48))</f>
        <v>-158488.37922410454</v>
      </c>
      <c r="H50" s="329">
        <f t="shared" ref="H50:Q50" si="20">IF(H$4="","",(H47+H48))</f>
        <v>-69648.901053258553</v>
      </c>
      <c r="I50" s="329">
        <f t="shared" si="20"/>
        <v>-20558.348030578811</v>
      </c>
      <c r="J50" s="329">
        <f t="shared" si="20"/>
        <v>-80051.189042034574</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6.0578570528766638E-3</v>
      </c>
      <c r="D80" s="27"/>
      <c r="E80" s="265"/>
      <c r="F80" s="27"/>
      <c r="G80" s="6">
        <f t="shared" ref="G80:Q80" si="31">IF(G$4="","",ABS(G12/G$4))</f>
        <v>5.5269337543400352E-3</v>
      </c>
      <c r="H80" s="6">
        <f t="shared" si="31"/>
        <v>2.5236488854864765E-3</v>
      </c>
      <c r="I80" s="6">
        <f t="shared" si="31"/>
        <v>7.9673072443945856E-4</v>
      </c>
      <c r="J80" s="6">
        <f t="shared" si="31"/>
        <v>3.5464377322803387E-3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0.1233193224005279</v>
      </c>
      <c r="D81" s="27"/>
      <c r="E81" s="265"/>
      <c r="F81" s="27"/>
      <c r="G81" s="65">
        <f t="shared" ref="G81:Q81" si="32">IF(G$4="","",G13/G$4)</f>
        <v>0.12655042799828048</v>
      </c>
      <c r="H81" s="65">
        <f t="shared" si="32"/>
        <v>0.12051095014385901</v>
      </c>
      <c r="I81" s="65">
        <f t="shared" si="32"/>
        <v>0.16430787687681961</v>
      </c>
      <c r="J81" s="65">
        <f t="shared" si="32"/>
        <v>0.21267432232293959</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3.0829830600131974E-2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9.2489491800395923E-2</v>
      </c>
      <c r="D84" s="27"/>
      <c r="E84" s="265"/>
      <c r="F84" s="27"/>
      <c r="G84" s="65">
        <f t="shared" ref="G84:Q84" si="35">IF(G$4="","",ABS(G16/G$4))</f>
        <v>8.8305740686473733E-2</v>
      </c>
      <c r="H84" s="65">
        <f t="shared" si="35"/>
        <v>8.1767563775379665E-2</v>
      </c>
      <c r="I84" s="65">
        <f t="shared" si="35"/>
        <v>0.1119376508487054</v>
      </c>
      <c r="J84" s="65">
        <f t="shared" si="35"/>
        <v>0.15431265298167984</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9.2489491800395923E-2</v>
      </c>
      <c r="D87" s="75"/>
      <c r="E87" s="265"/>
      <c r="F87" s="75"/>
      <c r="G87" s="65">
        <f t="shared" ref="G87:Q87" si="36">IF(G$4="","",ABS(G19/G$4))</f>
        <v>8.8305740686473733E-2</v>
      </c>
      <c r="H87" s="65">
        <f t="shared" si="36"/>
        <v>8.1767563775379665E-2</v>
      </c>
      <c r="I87" s="65">
        <f t="shared" si="36"/>
        <v>0.1119376508487054</v>
      </c>
      <c r="J87" s="65">
        <f t="shared" si="36"/>
        <v>0.15431265298167984</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0.53556983682767767</v>
      </c>
      <c r="E90" s="268"/>
      <c r="G90" s="112">
        <f>Data!C65</f>
        <v>0.53556983682767767</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1384339.7927489427</v>
      </c>
      <c r="E91" s="268"/>
      <c r="G91" s="74">
        <f t="shared" ref="G91:Q91" si="37">IF(G$4="","",G90*Common_Shares/scaling_factor)</f>
        <v>1384339.7927489427</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0.57209994582758839</v>
      </c>
      <c r="E92" s="268"/>
      <c r="G92" s="170">
        <f t="shared" ref="G92:Q92" si="38">IF(G$4="","",G90/(G19*scaling_factor/Common_Shares))</f>
        <v>0.54668933327929836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2.9319516614653887E-2</v>
      </c>
      <c r="E94" s="268"/>
      <c r="G94" s="23">
        <f t="shared" ref="G94:Q94" si="39">IF(G$4="","",(G90*(1-dividend_tax_rate))/Market_Price)</f>
        <v>2.9319516614653887E-2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-0.11093656417167841</v>
      </c>
      <c r="D98" s="27"/>
      <c r="E98" s="265"/>
      <c r="F98" s="27"/>
      <c r="G98" s="6">
        <f t="shared" ref="G98:Q98" si="41">IF(H5="","",G13/H13-1)</f>
        <v>9.1100954879657303E-2</v>
      </c>
      <c r="H98" s="6">
        <f t="shared" si="41"/>
        <v>-0.21552914191161354</v>
      </c>
      <c r="I98" s="6">
        <f t="shared" si="41"/>
        <v>-0.11682955556386043</v>
      </c>
      <c r="J98" s="6">
        <f t="shared" si="41"/>
        <v>1.4633328218416235</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2.0773768081466772</v>
      </c>
      <c r="I115" s="295">
        <f>IF(I$4="","",Data!E$22/I19)</f>
        <v>1.3549524111211853</v>
      </c>
      <c r="J115" s="295">
        <f>IF(J$4="","",Data!F$22/J19)</f>
        <v>1.8733797720993457</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0.1233193224005279</v>
      </c>
      <c r="E118" s="268"/>
      <c r="G118" s="23">
        <f t="shared" ref="G118:Q118" si="45">IF(G4="","",IF(valuation_method="DDM",G13/(G4+G12),G81))</f>
        <v>0.12655042799828048</v>
      </c>
      <c r="H118" s="23">
        <f t="shared" si="45"/>
        <v>0.12051095014385901</v>
      </c>
      <c r="I118" s="23">
        <f t="shared" si="45"/>
        <v>0.16430787687681961</v>
      </c>
      <c r="J118" s="23">
        <f t="shared" si="45"/>
        <v>0.21267432232293959</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0.12359691937327441</v>
      </c>
      <c r="D121" s="103"/>
      <c r="E121" s="271"/>
      <c r="F121" s="103"/>
      <c r="G121" s="102">
        <f t="shared" ref="G121:Q121" si="48">IF(G$4="","",G13/G106)</f>
        <v>0.13901923574004793</v>
      </c>
      <c r="H121" s="102">
        <f t="shared" si="48"/>
        <v>0.13627112280410653</v>
      </c>
      <c r="I121" s="102">
        <f t="shared" si="48"/>
        <v>0.17424427184600499</v>
      </c>
      <c r="J121" s="102">
        <f t="shared" si="48"/>
        <v>0.22746968469018686</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1.0221990130658725</v>
      </c>
      <c r="D125" s="27"/>
      <c r="E125" s="265"/>
      <c r="F125" s="27"/>
      <c r="G125" s="177">
        <f t="shared" ref="G125:Q125" si="49">IF(G$4="","",G16*$C$3/Common_Shares*Exchange_Rate)</f>
        <v>1.0697117437651398</v>
      </c>
      <c r="H125" s="177">
        <f t="shared" si="49"/>
        <v>0.95330321197997081</v>
      </c>
      <c r="I125" s="177">
        <f t="shared" si="49"/>
        <v>1.2201620078099187</v>
      </c>
      <c r="J125" s="177">
        <f t="shared" si="49"/>
        <v>1.4714369141571246</v>
      </c>
      <c r="K125" s="177">
        <f t="shared" si="49"/>
        <v>0.59117032266919556</v>
      </c>
      <c r="L125" s="177">
        <f t="shared" si="49"/>
        <v>0.58247625597730301</v>
      </c>
      <c r="M125" s="177">
        <f t="shared" si="49"/>
        <v>0.25051937812994346</v>
      </c>
      <c r="N125" s="177">
        <f t="shared" si="49"/>
        <v>0.19156750429993191</v>
      </c>
      <c r="O125" s="177">
        <f t="shared" si="49"/>
        <v>9.7762670631070997E-2</v>
      </c>
      <c r="P125" s="177">
        <f t="shared" si="49"/>
        <v>5.0832161560757623E-3</v>
      </c>
      <c r="Q125" s="177" t="str">
        <f t="shared" si="49"/>
        <v/>
      </c>
    </row>
    <row r="126" spans="1:17" ht="15.75" customHeight="1">
      <c r="A126" s="10"/>
      <c r="B126" s="27" t="s">
        <v>264</v>
      </c>
      <c r="C126" s="77">
        <f>C19*Exchange_Rate*$C$3/(Market_Price*Common_Shares)</f>
        <v>6.2177555539286632E-2</v>
      </c>
      <c r="D126" s="27"/>
      <c r="E126" s="265"/>
      <c r="F126" s="27"/>
      <c r="G126" s="77">
        <f t="shared" ref="G126" si="50">IF(G$4="","",G125/Market_Price)</f>
        <v>6.5067624316614336E-2</v>
      </c>
      <c r="H126" s="77">
        <f t="shared" ref="H126" si="51">IF(H$4="","",H125/Market_Price)</f>
        <v>5.7986813380776811E-2</v>
      </c>
      <c r="I126" s="77">
        <f t="shared" ref="I126" si="52">IF(I$4="","",I125/Market_Price)</f>
        <v>7.4219100231746868E-2</v>
      </c>
      <c r="J126" s="77">
        <f t="shared" ref="J126" si="53">IF(J$4="","",J125/Market_Price)</f>
        <v>8.9503461931698572E-2</v>
      </c>
      <c r="K126" s="77">
        <f t="shared" ref="K126" si="54">IF(K$4="","",K125/Market_Price)</f>
        <v>3.5959265369172475E-2</v>
      </c>
      <c r="L126" s="77">
        <f t="shared" ref="L126" si="55">IF(L$4="","",L125/Market_Price)</f>
        <v>3.5430429195699692E-2</v>
      </c>
      <c r="M126" s="77">
        <f t="shared" ref="M126" si="56">IF(M$4="","",M125/Market_Price)</f>
        <v>1.5238404995738652E-2</v>
      </c>
      <c r="N126" s="77">
        <f t="shared" ref="N126" si="57">IF(N$4="","",N125/Market_Price)</f>
        <v>1.1652524592453278E-2</v>
      </c>
      <c r="O126" s="77">
        <f t="shared" ref="O126" si="58">IF(O$4="","",O125/Market_Price)</f>
        <v>5.9466344666101578E-3</v>
      </c>
      <c r="P126" s="77">
        <f t="shared" ref="P126" si="59">IF(P$4="","",P125/Market_Price)</f>
        <v>3.0919806302164005E-4</v>
      </c>
      <c r="Q126" s="77" t="str">
        <f t="shared" ref="Q126" si="60">IF(Q$4="","",Q125/Market_Price)</f>
        <v/>
      </c>
    </row>
    <row r="127" spans="1:17" ht="15.75" customHeight="1">
      <c r="B127" s="2" t="s">
        <v>375</v>
      </c>
      <c r="C127" s="169"/>
      <c r="G127" s="23">
        <f>IF(G$4="","",(Data!C47*$C$3)/(Market_Price*Common_Shares))</f>
        <v>7.090206852255751E-2</v>
      </c>
      <c r="H127" s="23">
        <f>IF(H$4="","",(Data!D47*$C$3)/(Market_Price*Common_Shares))</f>
        <v>7.4997792207682684E-2</v>
      </c>
      <c r="I127" s="23">
        <f>IF(I$4="","",(Data!E47*$C$3)/(Market_Price*Common_Shares))</f>
        <v>9.5631467534789211E-2</v>
      </c>
      <c r="J127" s="23">
        <f>IF(J$4="","",(Data!F47*$C$3)/(Market_Price*Common_Shares))</f>
        <v>9.4386988232770891E-2</v>
      </c>
      <c r="K127" s="23">
        <f>IF(K$4="","",(Data!G47*$C$3)/(Market_Price*Common_Shares))</f>
        <v>3.9969899264589201E-2</v>
      </c>
      <c r="L127" s="23">
        <f>IF(L$4="","",(Data!H47*$C$3)/(Market_Price*Common_Shares))</f>
        <v>3.527886909338801E-2</v>
      </c>
      <c r="M127" s="23">
        <f>IF(M$4="","",(Data!I47*$C$3)/(Market_Price*Common_Shares))</f>
        <v>1.6832063215012839E-2</v>
      </c>
      <c r="N127" s="23">
        <f>IF(N$4="","",(Data!J47*$C$3)/(Market_Price*Common_Shares))</f>
        <v>1.212298346975859E-2</v>
      </c>
      <c r="O127" s="23">
        <f>IF(O$4="","",(Data!K47*$C$3)/(Market_Price*Common_Shares))</f>
        <v>1.6493333659706753E-2</v>
      </c>
      <c r="P127" s="23">
        <f>IF(P$4="","",(Data!L47*$C$3)/(Market_Price*Common_Shares))</f>
        <v>1.4497314335578184E-3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2419751.6585085224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32263355.446780302</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14107292.221858865</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44996082.868639171</v>
      </c>
      <c r="D10" t="str">
        <f>Reporting_currency</f>
        <v>CNY</v>
      </c>
      <c r="H10" s="120"/>
    </row>
    <row r="11" spans="2:8" ht="13.15" thickBot="1">
      <c r="B11" s="207" t="s">
        <v>162</v>
      </c>
      <c r="C11" s="208">
        <f>Exchange_Rate</f>
        <v>1.09192109</v>
      </c>
      <c r="D11" t="str">
        <f>Thesis!C15</f>
        <v>CNY/HKD</v>
      </c>
      <c r="H11" s="120"/>
    </row>
    <row r="12" spans="2:8" ht="13.5" thickTop="1">
      <c r="B12" s="149" t="s">
        <v>99</v>
      </c>
      <c r="C12" s="111">
        <f>(C10*scaling_factor)/Common_Shares*Exchange_Rate</f>
        <v>19.008128928612187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25.526709390828046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2551016.0755787836</v>
      </c>
      <c r="D21" s="138">
        <f>IF($C$17&lt;B21,0,DCF!$C$16)</f>
        <v>5.4247061515052201E-2</v>
      </c>
      <c r="E21" s="124">
        <f t="shared" ref="E21:E50" si="0">IF($C$17&lt;B21,0,1/(1+Equity_Cost)^B21)</f>
        <v>0.93023255813953487</v>
      </c>
      <c r="F21" s="125">
        <f t="shared" ref="F21:F51" si="1">C21*E21</f>
        <v>2373038.2098407289</v>
      </c>
      <c r="H21" s="120"/>
    </row>
    <row r="22" spans="2:17">
      <c r="B22" s="122">
        <v>2</v>
      </c>
      <c r="C22" s="123">
        <f t="shared" ref="C22:C50" si="2">IF(ROW()-ROW($C$21)&lt;$C$17, $C$21*(1+D22)^(ROW()-ROW($C$21)), 0)</f>
        <v>2689401.2015565927</v>
      </c>
      <c r="D22" s="138">
        <f>IF($C$17&lt;B22,0,DCF!$C$16)</f>
        <v>5.4247061515052201E-2</v>
      </c>
      <c r="E22" s="124">
        <f t="shared" si="0"/>
        <v>0.86533261222282321</v>
      </c>
      <c r="F22" s="125">
        <f t="shared" si="1"/>
        <v>2327226.567058166</v>
      </c>
      <c r="H22" s="120"/>
    </row>
    <row r="23" spans="2:17">
      <c r="B23" s="122">
        <v>3</v>
      </c>
      <c r="C23" s="123">
        <f t="shared" si="2"/>
        <v>2835293.3139760881</v>
      </c>
      <c r="D23" s="138">
        <f>IF($C$17&lt;B23,0,DCF!$C$16)</f>
        <v>5.4247061515052201E-2</v>
      </c>
      <c r="E23" s="124">
        <f t="shared" si="0"/>
        <v>0.80496056950960304</v>
      </c>
      <c r="F23" s="125">
        <f t="shared" si="1"/>
        <v>2282299.3207449615</v>
      </c>
      <c r="G23" s="338"/>
      <c r="H23" s="339"/>
      <c r="I23" s="338"/>
      <c r="J23" s="338"/>
      <c r="K23" s="338"/>
      <c r="L23" s="338"/>
      <c r="M23" s="338"/>
      <c r="N23" s="338"/>
      <c r="O23" s="338"/>
      <c r="P23" s="338"/>
      <c r="Q23" s="338"/>
    </row>
    <row r="24" spans="2:17">
      <c r="B24" s="122">
        <v>4</v>
      </c>
      <c r="C24" s="123">
        <f t="shared" si="2"/>
        <v>2989099.6447925647</v>
      </c>
      <c r="D24" s="138">
        <f>IF($C$17&lt;B24,0,DCF!$C$16)</f>
        <v>5.4247061515052201E-2</v>
      </c>
      <c r="E24" s="124">
        <f t="shared" si="0"/>
        <v>0.7488005297763749</v>
      </c>
      <c r="F24" s="125">
        <f t="shared" si="1"/>
        <v>2238239.3975750464</v>
      </c>
      <c r="G24" s="338"/>
      <c r="H24" s="339"/>
      <c r="I24" s="338"/>
      <c r="J24" s="338"/>
      <c r="K24" s="338"/>
      <c r="L24" s="338"/>
      <c r="M24" s="338"/>
      <c r="N24" s="338"/>
      <c r="O24" s="338"/>
      <c r="P24" s="338"/>
      <c r="Q24" s="338"/>
    </row>
    <row r="25" spans="2:17">
      <c r="B25" s="122">
        <v>5</v>
      </c>
      <c r="C25" s="123">
        <f t="shared" si="2"/>
        <v>3151249.5170982475</v>
      </c>
      <c r="D25" s="138">
        <f>IF($C$17&lt;B25,0,DCF!$C$16)</f>
        <v>5.4247061515052201E-2</v>
      </c>
      <c r="E25" s="124">
        <f t="shared" si="0"/>
        <v>0.69655863235011617</v>
      </c>
      <c r="F25" s="125">
        <f t="shared" si="1"/>
        <v>2195030.0538239195</v>
      </c>
      <c r="G25" s="338"/>
      <c r="H25" s="339"/>
      <c r="I25" s="338"/>
      <c r="J25" s="338"/>
      <c r="K25" s="338"/>
      <c r="L25" s="338"/>
      <c r="M25" s="338"/>
      <c r="N25" s="338"/>
      <c r="O25" s="338"/>
      <c r="P25" s="338"/>
      <c r="Q25" s="338"/>
    </row>
    <row r="26" spans="2:17">
      <c r="B26" s="122">
        <v>6</v>
      </c>
      <c r="C26" s="123">
        <f t="shared" si="2"/>
        <v>3322195.5435015541</v>
      </c>
      <c r="D26" s="138">
        <f>IF($C$17&lt;B26,0,DCF!$C$16)</f>
        <v>5.4247061515052201E-2</v>
      </c>
      <c r="E26" s="124">
        <f t="shared" si="0"/>
        <v>0.64796151846522443</v>
      </c>
      <c r="F26" s="125">
        <f t="shared" si="1"/>
        <v>2152654.8690056684</v>
      </c>
      <c r="H26" s="120"/>
    </row>
    <row r="27" spans="2:17">
      <c r="B27" s="122">
        <v>7</v>
      </c>
      <c r="C27" s="123">
        <f t="shared" si="2"/>
        <v>3502414.8895149152</v>
      </c>
      <c r="D27" s="138">
        <f>IF($C$17&lt;B27,0,DCF!$C$16)</f>
        <v>5.4247061515052201E-2</v>
      </c>
      <c r="E27" s="124">
        <f t="shared" si="0"/>
        <v>0.60275490089788319</v>
      </c>
      <c r="F27" s="125">
        <f t="shared" si="1"/>
        <v>2111097.7396328333</v>
      </c>
      <c r="H27" s="120"/>
    </row>
    <row r="28" spans="2:17">
      <c r="B28" s="122">
        <v>8</v>
      </c>
      <c r="C28" s="123">
        <f t="shared" si="2"/>
        <v>3692410.6054776651</v>
      </c>
      <c r="D28" s="138">
        <f>IF($C$17&lt;B28,0,DCF!$C$16)</f>
        <v>5.4247061515052201E-2</v>
      </c>
      <c r="E28" s="124">
        <f t="shared" si="0"/>
        <v>0.56070223339337966</v>
      </c>
      <c r="F28" s="125">
        <f t="shared" si="1"/>
        <v>2070342.873096728</v>
      </c>
      <c r="H28" s="120"/>
    </row>
    <row r="29" spans="2:17">
      <c r="B29" s="122">
        <v>9</v>
      </c>
      <c r="C29" s="123">
        <f t="shared" si="2"/>
        <v>3892713.0307318424</v>
      </c>
      <c r="D29" s="138">
        <f>IF($C$17&lt;B29,0,DCF!$C$16)</f>
        <v>5.4247061515052201E-2</v>
      </c>
      <c r="E29" s="124">
        <f t="shared" si="0"/>
        <v>0.52158347292407414</v>
      </c>
      <c r="F29" s="125">
        <f t="shared" si="1"/>
        <v>2030374.7816659126</v>
      </c>
      <c r="H29" s="120"/>
    </row>
    <row r="30" spans="2:17">
      <c r="B30" s="122">
        <v>10</v>
      </c>
      <c r="C30" s="123">
        <f t="shared" si="2"/>
        <v>4103881.2739703977</v>
      </c>
      <c r="D30" s="138">
        <f>IF($C$17&lt;B30,0,DCF!$C$16)</f>
        <v>5.4247061515052201E-2</v>
      </c>
      <c r="E30" s="124">
        <f t="shared" si="0"/>
        <v>0.48519392830146441</v>
      </c>
      <c r="F30" s="125">
        <f t="shared" si="1"/>
        <v>1991178.2766005155</v>
      </c>
      <c r="H30" s="120"/>
    </row>
    <row r="31" spans="2:17">
      <c r="B31" s="122">
        <v>11</v>
      </c>
      <c r="C31" s="123">
        <f t="shared" si="2"/>
        <v>4326504.7738899402</v>
      </c>
      <c r="D31" s="138">
        <f>IF($C$17&lt;B31,0,DCF!$C$16)</f>
        <v>5.4247061515052201E-2</v>
      </c>
      <c r="E31" s="124">
        <f t="shared" si="0"/>
        <v>0.45134318911764126</v>
      </c>
      <c r="F31" s="125">
        <f t="shared" si="1"/>
        <v>1952738.462380185</v>
      </c>
      <c r="H31" s="120"/>
    </row>
    <row r="32" spans="2:17">
      <c r="B32" s="122">
        <v>12</v>
      </c>
      <c r="C32" s="123">
        <f t="shared" si="2"/>
        <v>4561204.9445043141</v>
      </c>
      <c r="D32" s="138">
        <f>IF($C$17&lt;B32,0,DCF!$C$16)</f>
        <v>5.4247061515052201E-2</v>
      </c>
      <c r="E32" s="124">
        <f t="shared" si="0"/>
        <v>0.41985412941175931</v>
      </c>
      <c r="F32" s="125">
        <f t="shared" si="1"/>
        <v>1915040.7310434708</v>
      </c>
      <c r="H32" s="120"/>
    </row>
    <row r="33" spans="2:17">
      <c r="B33" s="122">
        <v>13</v>
      </c>
      <c r="C33" s="341">
        <f t="shared" si="2"/>
        <v>4808636.9097115993</v>
      </c>
      <c r="D33" s="138">
        <f>IF($C$17&lt;B33,0,DCF!$C$16)</f>
        <v>5.4247061515052201E-2</v>
      </c>
      <c r="E33" s="124">
        <f t="shared" si="0"/>
        <v>0.39056198084814819</v>
      </c>
      <c r="F33" s="125">
        <f t="shared" si="1"/>
        <v>1878070.7566364801</v>
      </c>
      <c r="G33" s="338"/>
      <c r="H33" s="339"/>
      <c r="I33" s="338"/>
      <c r="J33" s="338"/>
      <c r="K33" s="338"/>
      <c r="L33" s="338"/>
      <c r="M33" s="338"/>
      <c r="N33" s="338"/>
      <c r="O33" s="338"/>
      <c r="P33" s="338"/>
      <c r="Q33" s="338"/>
    </row>
    <row r="34" spans="2:17">
      <c r="B34" s="122">
        <v>14</v>
      </c>
      <c r="C34" s="341">
        <f t="shared" si="2"/>
        <v>5069491.3319562748</v>
      </c>
      <c r="D34" s="138">
        <f>IF($C$17&lt;B34,0,DCF!$C$16)</f>
        <v>5.4247061515052201E-2</v>
      </c>
      <c r="E34" s="124">
        <f t="shared" si="0"/>
        <v>0.36331347055641694</v>
      </c>
      <c r="F34" s="125">
        <f t="shared" si="1"/>
        <v>1841814.489768707</v>
      </c>
      <c r="G34" s="338"/>
      <c r="H34" s="339"/>
      <c r="I34" s="338"/>
      <c r="J34" s="338"/>
      <c r="K34" s="338"/>
      <c r="L34" s="338"/>
      <c r="M34" s="338"/>
      <c r="N34" s="338"/>
      <c r="O34" s="338"/>
      <c r="P34" s="338"/>
      <c r="Q34" s="338"/>
    </row>
    <row r="35" spans="2:17">
      <c r="B35" s="122">
        <v>15</v>
      </c>
      <c r="C35" s="341">
        <f t="shared" si="2"/>
        <v>5344496.3400909305</v>
      </c>
      <c r="D35" s="138">
        <f>IF($C$17&lt;B35,0,DCF!$C$16)</f>
        <v>5.4247061515052201E-2</v>
      </c>
      <c r="E35" s="124">
        <f t="shared" si="0"/>
        <v>0.33796601912224833</v>
      </c>
      <c r="F35" s="125">
        <f t="shared" si="1"/>
        <v>1806258.1522739576</v>
      </c>
      <c r="G35" s="338"/>
      <c r="H35" s="339"/>
      <c r="I35" s="338"/>
      <c r="J35" s="338"/>
      <c r="K35" s="338"/>
      <c r="L35" s="338"/>
      <c r="M35" s="338"/>
      <c r="N35" s="338"/>
      <c r="O35" s="338"/>
      <c r="P35" s="338"/>
      <c r="Q35" s="338"/>
    </row>
    <row r="36" spans="2:17">
      <c r="B36" s="122">
        <v>16</v>
      </c>
      <c r="C36" s="123">
        <f t="shared" si="2"/>
        <v>5634419.561818813</v>
      </c>
      <c r="D36" s="138">
        <f>IF($C$17&lt;B36,0,DCF!$C$16)</f>
        <v>5.4247061515052201E-2</v>
      </c>
      <c r="E36" s="124">
        <f t="shared" si="0"/>
        <v>0.31438699453232405</v>
      </c>
      <c r="F36" s="125">
        <f t="shared" si="1"/>
        <v>1771388.2319743508</v>
      </c>
      <c r="H36" s="120"/>
    </row>
    <row r="37" spans="2:17">
      <c r="B37" s="122">
        <v>17</v>
      </c>
      <c r="C37" s="123">
        <f t="shared" si="2"/>
        <v>5940070.2663904112</v>
      </c>
      <c r="D37" s="138">
        <f>IF($C$17&lt;B37,0,DCF!$C$16)</f>
        <v>5.4247061515052201E-2</v>
      </c>
      <c r="E37" s="124">
        <f t="shared" si="0"/>
        <v>0.29245301816960378</v>
      </c>
      <c r="F37" s="125">
        <f t="shared" si="1"/>
        <v>1737191.4775453981</v>
      </c>
      <c r="H37" s="120"/>
    </row>
    <row r="38" spans="2:17">
      <c r="B38" s="122">
        <v>18</v>
      </c>
      <c r="C38" s="123">
        <f t="shared" si="2"/>
        <v>6262301.6235350231</v>
      </c>
      <c r="D38" s="138">
        <f>IF($C$17&lt;B38,0,DCF!$C$16)</f>
        <v>5.4247061515052201E-2</v>
      </c>
      <c r="E38" s="124">
        <f t="shared" si="0"/>
        <v>0.27204931922753844</v>
      </c>
      <c r="F38" s="125">
        <f t="shared" si="1"/>
        <v>1703654.8934802117</v>
      </c>
      <c r="H38" s="120"/>
    </row>
    <row r="39" spans="2:17">
      <c r="B39" s="122">
        <v>19</v>
      </c>
      <c r="C39" s="123">
        <f t="shared" si="2"/>
        <v>6602013.084932738</v>
      </c>
      <c r="D39" s="138">
        <f>IF($C$17&lt;B39,0,DCF!$C$16)</f>
        <v>5.4247061515052201E-2</v>
      </c>
      <c r="E39" s="124">
        <f t="shared" si="0"/>
        <v>0.25306913416515198</v>
      </c>
      <c r="F39" s="125">
        <f t="shared" si="1"/>
        <v>1670765.7351509319</v>
      </c>
      <c r="H39" s="120"/>
    </row>
    <row r="40" spans="2:17">
      <c r="B40" s="122">
        <v>20</v>
      </c>
      <c r="C40" s="123">
        <f t="shared" si="2"/>
        <v>6960152.8948742626</v>
      </c>
      <c r="D40" s="138">
        <f>IF($C$17&lt;B40,0,DCF!$C$16)</f>
        <v>5.4247061515052201E-2</v>
      </c>
      <c r="E40" s="124">
        <f t="shared" si="0"/>
        <v>0.23541314806060654</v>
      </c>
      <c r="F40" s="125">
        <f t="shared" si="1"/>
        <v>1638511.503965494</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34013547.674383782</v>
      </c>
      <c r="D51" s="139">
        <f>Terminal_Growth</f>
        <v>0</v>
      </c>
      <c r="E51" s="124">
        <f>1/(1+Equity_Cost)^C17</f>
        <v>0.23541314806060654</v>
      </c>
      <c r="F51" s="125">
        <f t="shared" si="1"/>
        <v>8007236.3347362084</v>
      </c>
      <c r="H51" s="120"/>
    </row>
    <row r="52" spans="1:17">
      <c r="C52" s="114"/>
      <c r="E52" s="127" t="s">
        <v>97</v>
      </c>
      <c r="F52" s="137">
        <f>SUM(F21:F51)</f>
        <v>47694152.857999876</v>
      </c>
      <c r="H52" s="120"/>
    </row>
    <row r="53" spans="1:17">
      <c r="C53" s="114"/>
      <c r="H53" s="120"/>
    </row>
    <row r="54" spans="1:17" ht="13.15">
      <c r="B54" s="119" t="s">
        <v>125</v>
      </c>
      <c r="C54" s="136"/>
      <c r="D54" s="136"/>
      <c r="E54" s="117"/>
      <c r="F54" s="117"/>
      <c r="H54" s="120"/>
    </row>
    <row r="55" spans="1:17" ht="13.15">
      <c r="A55" s="133">
        <f>F52</f>
        <v>47694152.857999876</v>
      </c>
      <c r="B55" s="131">
        <f>C78</f>
        <v>0</v>
      </c>
      <c r="C55" s="131">
        <f>C77</f>
        <v>0.02</v>
      </c>
      <c r="D55" s="131">
        <f>C76</f>
        <v>0.05</v>
      </c>
      <c r="E55" s="131">
        <f>C75</f>
        <v>0.06</v>
      </c>
      <c r="F55" s="131">
        <f>C74</f>
        <v>0.1</v>
      </c>
      <c r="H55" s="120"/>
    </row>
    <row r="56" spans="1:17" ht="13.15">
      <c r="A56" s="143">
        <v>5</v>
      </c>
      <c r="B56" s="123">
        <f t="dataTable" ref="B56:F61" dt2D="1" dtr="1" r1="C16" r2="C17"/>
        <v>32263355.446780305</v>
      </c>
      <c r="C56" s="123">
        <v>33286442.68663976</v>
      </c>
      <c r="D56" s="123">
        <v>34877364.897852331</v>
      </c>
      <c r="E56" s="123">
        <v>35423340.959407106</v>
      </c>
      <c r="F56" s="123">
        <v>37690142.732982084</v>
      </c>
      <c r="H56" s="120"/>
    </row>
    <row r="57" spans="1:17" ht="13.15">
      <c r="A57" s="143">
        <v>10</v>
      </c>
      <c r="B57" s="123">
        <v>32263355.446780309</v>
      </c>
      <c r="C57" s="123">
        <v>34300964.964782327</v>
      </c>
      <c r="D57" s="123">
        <v>37745377.326424479</v>
      </c>
      <c r="E57" s="123">
        <v>39009329.182529271</v>
      </c>
      <c r="F57" s="123">
        <v>44738240.864749305</v>
      </c>
      <c r="H57" s="120"/>
    </row>
    <row r="58" spans="1:17" ht="13.15">
      <c r="A58" s="143">
        <v>15</v>
      </c>
      <c r="B58" s="123">
        <v>32263355.446780309</v>
      </c>
      <c r="C58" s="341">
        <v>35585468.975962006</v>
      </c>
      <c r="D58" s="123">
        <v>41673028.08777748</v>
      </c>
      <c r="E58" s="123">
        <v>44055006.926309913</v>
      </c>
      <c r="F58" s="123">
        <v>55834859.872674629</v>
      </c>
      <c r="G58" s="338"/>
      <c r="H58" s="339"/>
      <c r="I58" s="338"/>
      <c r="J58" s="338"/>
      <c r="K58" s="338"/>
      <c r="L58" s="338"/>
      <c r="M58" s="338"/>
      <c r="N58" s="338"/>
      <c r="O58" s="338"/>
      <c r="P58" s="338"/>
      <c r="Q58" s="338"/>
    </row>
    <row r="59" spans="1:17" ht="13.15">
      <c r="A59" s="144">
        <v>20</v>
      </c>
      <c r="B59" s="123">
        <v>32263355.446780313</v>
      </c>
      <c r="C59" s="341">
        <v>36924585.363708816</v>
      </c>
      <c r="D59" s="123">
        <v>46124568.384057313</v>
      </c>
      <c r="E59" s="123">
        <v>49944580.533815652</v>
      </c>
      <c r="F59" s="123">
        <v>70505203.263554648</v>
      </c>
      <c r="G59" s="338"/>
      <c r="H59" s="339"/>
      <c r="I59" s="338"/>
      <c r="J59" s="338"/>
      <c r="K59" s="338"/>
      <c r="L59" s="338"/>
      <c r="M59" s="338"/>
      <c r="N59" s="338"/>
      <c r="O59" s="338"/>
      <c r="P59" s="338"/>
      <c r="Q59" s="338"/>
    </row>
    <row r="60" spans="1:17" ht="13.15">
      <c r="A60" s="144">
        <v>25</v>
      </c>
      <c r="B60" s="123">
        <v>32263355.446780309</v>
      </c>
      <c r="C60" s="341">
        <v>38199115.098983742</v>
      </c>
      <c r="D60" s="123">
        <v>50750594.094134122</v>
      </c>
      <c r="E60" s="123">
        <v>56260841.958507322</v>
      </c>
      <c r="F60" s="123">
        <v>88510358.18994689</v>
      </c>
      <c r="G60" s="338"/>
      <c r="H60" s="339"/>
      <c r="I60" s="338"/>
      <c r="J60" s="338"/>
      <c r="K60" s="338"/>
      <c r="L60" s="338"/>
      <c r="M60" s="338"/>
      <c r="N60" s="338"/>
      <c r="O60" s="338"/>
      <c r="P60" s="338"/>
      <c r="Q60" s="338"/>
    </row>
    <row r="61" spans="1:17" ht="13.15">
      <c r="A61" s="144">
        <v>30</v>
      </c>
      <c r="B61" s="123">
        <v>32263355.446780313</v>
      </c>
      <c r="C61" s="341">
        <v>39349730.141495407</v>
      </c>
      <c r="D61" s="123">
        <v>55328862.034994677</v>
      </c>
      <c r="E61" s="123">
        <v>62724113.937330224</v>
      </c>
      <c r="F61" s="123">
        <v>109786902.48764575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19.008128928612187</v>
      </c>
      <c r="C65" s="124">
        <f>C12</f>
        <v>19.008128928612187</v>
      </c>
      <c r="D65" s="124">
        <f>C12</f>
        <v>19.008128928612187</v>
      </c>
      <c r="E65" s="141">
        <f>C12</f>
        <v>19.008128928612187</v>
      </c>
      <c r="F65" s="124">
        <f>C12</f>
        <v>19.008128928612187</v>
      </c>
      <c r="H65" s="120"/>
    </row>
    <row r="66" spans="1:8" ht="13.15">
      <c r="A66" s="143">
        <f t="shared" ref="A66:A71" si="3">A56</f>
        <v>5</v>
      </c>
      <c r="B66" s="124">
        <f t="shared" ref="B66:F71" si="4">(B56-$C$7+$C$8+$C$9)/Common_Shares*$C$3*Exchange_Rate</f>
        <v>19.008128928612187</v>
      </c>
      <c r="C66" s="124">
        <f t="shared" si="4"/>
        <v>19.440321531182502</v>
      </c>
      <c r="D66" s="124">
        <f t="shared" si="4"/>
        <v>20.11239013311847</v>
      </c>
      <c r="E66" s="124">
        <f t="shared" si="4"/>
        <v>20.343032062556336</v>
      </c>
      <c r="F66" s="124">
        <f t="shared" si="4"/>
        <v>21.300618981700151</v>
      </c>
      <c r="H66" s="120"/>
    </row>
    <row r="67" spans="1:8" ht="13.15">
      <c r="A67" s="143">
        <f t="shared" si="3"/>
        <v>10</v>
      </c>
      <c r="B67" s="124">
        <f t="shared" si="4"/>
        <v>19.008128928612191</v>
      </c>
      <c r="C67" s="124">
        <f t="shared" si="4"/>
        <v>19.868895954431324</v>
      </c>
      <c r="D67" s="124">
        <f t="shared" si="4"/>
        <v>21.323952263322411</v>
      </c>
      <c r="E67" s="124">
        <f t="shared" si="4"/>
        <v>21.857895627026711</v>
      </c>
      <c r="F67" s="124">
        <f t="shared" si="4"/>
        <v>24.278015000399275</v>
      </c>
      <c r="H67" s="120"/>
    </row>
    <row r="68" spans="1:8" ht="13.15">
      <c r="A68" s="143">
        <f t="shared" si="3"/>
        <v>15</v>
      </c>
      <c r="B68" s="124">
        <f t="shared" si="4"/>
        <v>19.008128928612191</v>
      </c>
      <c r="C68" s="124">
        <f t="shared" si="4"/>
        <v>20.411521363071952</v>
      </c>
      <c r="D68" s="124">
        <f t="shared" si="4"/>
        <v>22.983147626534649</v>
      </c>
      <c r="E68" s="124">
        <f t="shared" si="4"/>
        <v>23.989389903228631</v>
      </c>
      <c r="F68" s="124">
        <f t="shared" si="4"/>
        <v>28.965666709773775</v>
      </c>
      <c r="H68" s="120"/>
    </row>
    <row r="69" spans="1:8" ht="13.15">
      <c r="A69" s="144">
        <f t="shared" si="3"/>
        <v>20</v>
      </c>
      <c r="B69" s="124">
        <f t="shared" si="4"/>
        <v>19.008128928612191</v>
      </c>
      <c r="C69" s="124">
        <f t="shared" si="4"/>
        <v>20.97721720426371</v>
      </c>
      <c r="D69" s="124">
        <f t="shared" si="4"/>
        <v>24.863654694886012</v>
      </c>
      <c r="E69" s="124">
        <f t="shared" si="4"/>
        <v>26.477379242052745</v>
      </c>
      <c r="F69" s="124">
        <f t="shared" si="4"/>
        <v>35.163001251425946</v>
      </c>
      <c r="H69" s="120"/>
    </row>
    <row r="70" spans="1:8" ht="13.15">
      <c r="A70" s="144">
        <f t="shared" si="3"/>
        <v>25</v>
      </c>
      <c r="B70" s="124">
        <f t="shared" si="4"/>
        <v>19.008128928612191</v>
      </c>
      <c r="C70" s="124">
        <f t="shared" si="4"/>
        <v>21.515629083408431</v>
      </c>
      <c r="D70" s="124">
        <f t="shared" si="4"/>
        <v>26.817871318162357</v>
      </c>
      <c r="E70" s="124">
        <f t="shared" si="4"/>
        <v>29.145618427624985</v>
      </c>
      <c r="F70" s="124">
        <f t="shared" si="4"/>
        <v>42.769092368727051</v>
      </c>
    </row>
    <row r="71" spans="1:8" ht="13.15">
      <c r="A71" s="144">
        <f t="shared" si="3"/>
        <v>30</v>
      </c>
      <c r="B71" s="124">
        <f t="shared" si="4"/>
        <v>19.008128928612191</v>
      </c>
      <c r="C71" s="124">
        <f t="shared" si="4"/>
        <v>22.001694484681519</v>
      </c>
      <c r="D71" s="124">
        <f t="shared" si="4"/>
        <v>28.751913166730965</v>
      </c>
      <c r="E71" s="124">
        <f t="shared" si="4"/>
        <v>31.875960698369134</v>
      </c>
      <c r="F71" s="124">
        <f t="shared" si="4"/>
        <v>51.757148025630933</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51.757148025630933</v>
      </c>
      <c r="F74" s="142">
        <f>Scenarios!C58</f>
        <v>0.05</v>
      </c>
    </row>
    <row r="75" spans="1:8">
      <c r="B75" s="127" t="str">
        <f>Scenarios!B36</f>
        <v>Optimistic</v>
      </c>
      <c r="C75" s="142">
        <f>Scenarios!C38</f>
        <v>0.06</v>
      </c>
      <c r="D75" s="145">
        <f>Scenarios!C37</f>
        <v>20</v>
      </c>
      <c r="E75" s="135">
        <f>INDEX(B$65:F$71, MATCH(D75, A$65:A$71, 0), MATCH(C75, B$64:F$64, 0))</f>
        <v>26.477379242052745</v>
      </c>
      <c r="F75" s="142">
        <f>Scenarios!C40*(1-F$74-F$78)</f>
        <v>0.22499999999999992</v>
      </c>
      <c r="H75" s="120"/>
    </row>
    <row r="76" spans="1:8">
      <c r="B76" s="127" t="str">
        <f>Scenarios!B24</f>
        <v>Base</v>
      </c>
      <c r="C76" s="142">
        <f>Scenarios!C26</f>
        <v>0.05</v>
      </c>
      <c r="D76" s="145">
        <f>Scenarios!C25</f>
        <v>20</v>
      </c>
      <c r="E76" s="135">
        <f>INDEX(B$65:F$71, MATCH(D76, A$65:A$71, 0), MATCH(C76, B$64:F$64, 0))</f>
        <v>24.863654694886012</v>
      </c>
      <c r="F76" s="142">
        <f>Scenarios!C28*(1-F$74-F$78)</f>
        <v>0.495</v>
      </c>
      <c r="H76" s="120"/>
    </row>
    <row r="77" spans="1:8">
      <c r="B77" s="127" t="str">
        <f>Scenarios!B30</f>
        <v>Pessimistic</v>
      </c>
      <c r="C77" s="142">
        <f>Scenarios!C32</f>
        <v>0.02</v>
      </c>
      <c r="D77" s="145">
        <f>Scenarios!C31</f>
        <v>20</v>
      </c>
      <c r="E77" s="135">
        <f>INDEX(B$65:F$71, MATCH(D77, A$65:A$71, 0), MATCH(C77, B$64:F$64, 0))</f>
        <v>20.97721720426371</v>
      </c>
      <c r="F77" s="142">
        <f>Scenarios!C34*(1-F$74-F$78)</f>
        <v>0.18</v>
      </c>
      <c r="H77" s="120"/>
    </row>
    <row r="78" spans="1:8">
      <c r="B78" s="127" t="str">
        <f>Scenarios!B48</f>
        <v>Devil's advocate</v>
      </c>
      <c r="C78" s="142">
        <f>Scenarios!C50</f>
        <v>0</v>
      </c>
      <c r="D78" s="145">
        <f>Scenarios!C49</f>
        <v>30</v>
      </c>
      <c r="E78" s="135">
        <f>INDEX(B$65:F$71, MATCH(D78, A$65:A$71, 0), MATCH(C78, B$64:F$64, 0))</f>
        <v>19.008128928612191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1245905.8134740484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16612077.512987312</v>
      </c>
      <c r="D6" t="str">
        <f>Reporting_currency</f>
        <v>CNY</v>
      </c>
      <c r="E6" s="378"/>
      <c r="F6" s="378"/>
      <c r="H6" s="120"/>
    </row>
    <row r="7" spans="2:8" ht="13.15">
      <c r="B7" s="149" t="s">
        <v>421</v>
      </c>
      <c r="C7" s="111">
        <f>(C6*scaling_factor)/Common_Shares*Exchange_Rate</f>
        <v>7.0175999999999981</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9.5006421905229619</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1313492.5427795362</v>
      </c>
      <c r="D16" s="138">
        <f>IF($C$12&lt;B16,0,DDM!$C$11)</f>
        <v>5.4247061515052201E-2</v>
      </c>
      <c r="E16" s="124">
        <f t="shared" ref="E16:E45" si="0">IF($C$12&lt;B16,0,1/(1+Equity_Cost)^B16)</f>
        <v>0.93023255813953487</v>
      </c>
      <c r="F16" s="125">
        <f t="shared" ref="F16:F46" si="1">C16*E16</f>
        <v>1221853.5281670105</v>
      </c>
      <c r="H16" s="120"/>
    </row>
    <row r="17" spans="2:8">
      <c r="B17" s="122">
        <v>2</v>
      </c>
      <c r="C17" s="123">
        <f t="shared" ref="C17:C45" si="2">IF(ROW()-ROW($C$16)&lt;$C$12, $C$16*(1+D17)^(ROW()-ROW($C$16)), 0)</f>
        <v>1384745.65354726</v>
      </c>
      <c r="D17" s="138">
        <f>IF($C$12&lt;B17,0,DDM!$C$11)</f>
        <v>5.4247061515052201E-2</v>
      </c>
      <c r="E17" s="124">
        <f t="shared" si="0"/>
        <v>0.86533261222282321</v>
      </c>
      <c r="F17" s="125">
        <f t="shared" si="1"/>
        <v>1198265.5736482509</v>
      </c>
      <c r="H17" s="120"/>
    </row>
    <row r="18" spans="2:8">
      <c r="B18" s="122">
        <v>3</v>
      </c>
      <c r="C18" s="123">
        <f t="shared" si="2"/>
        <v>1459864.0361979392</v>
      </c>
      <c r="D18" s="138">
        <f>IF($C$12&lt;B18,0,DDM!$C$11)</f>
        <v>5.4247061515052201E-2</v>
      </c>
      <c r="E18" s="124">
        <f t="shared" si="0"/>
        <v>0.80496056950960304</v>
      </c>
      <c r="F18" s="125">
        <f t="shared" si="1"/>
        <v>1175132.9859844809</v>
      </c>
      <c r="H18" s="120"/>
    </row>
    <row r="19" spans="2:8">
      <c r="B19" s="122">
        <v>4</v>
      </c>
      <c r="C19" s="123">
        <f t="shared" si="2"/>
        <v>1539057.3703731808</v>
      </c>
      <c r="D19" s="138">
        <f>IF($C$12&lt;B19,0,DDM!$C$11)</f>
        <v>5.4247061515052201E-2</v>
      </c>
      <c r="E19" s="124">
        <f t="shared" si="0"/>
        <v>0.7488005297763749</v>
      </c>
      <c r="F19" s="125">
        <f t="shared" si="1"/>
        <v>1152446.9742916722</v>
      </c>
      <c r="H19" s="120"/>
    </row>
    <row r="20" spans="2:8">
      <c r="B20" s="122">
        <v>5</v>
      </c>
      <c r="C20" s="123">
        <f t="shared" si="2"/>
        <v>1622546.7102190091</v>
      </c>
      <c r="D20" s="138">
        <f>IF($C$12&lt;B20,0,DDM!$C$11)</f>
        <v>5.4247061515052201E-2</v>
      </c>
      <c r="E20" s="124">
        <f t="shared" si="0"/>
        <v>0.69655863235011617</v>
      </c>
      <c r="F20" s="125">
        <f t="shared" si="1"/>
        <v>1130198.9173943333</v>
      </c>
      <c r="H20" s="120"/>
    </row>
    <row r="21" spans="2:8">
      <c r="B21" s="122">
        <v>6</v>
      </c>
      <c r="C21" s="123">
        <f t="shared" si="2"/>
        <v>1710565.1014193052</v>
      </c>
      <c r="D21" s="138">
        <f>IF($C$12&lt;B21,0,DDM!$C$11)</f>
        <v>5.4247061515052201E-2</v>
      </c>
      <c r="E21" s="124">
        <f t="shared" si="0"/>
        <v>0.64796151846522443</v>
      </c>
      <c r="F21" s="125">
        <f t="shared" si="1"/>
        <v>1108380.3605492737</v>
      </c>
      <c r="H21" s="120"/>
    </row>
    <row r="22" spans="2:8">
      <c r="B22" s="122">
        <v>7</v>
      </c>
      <c r="C22" s="123">
        <f t="shared" si="2"/>
        <v>1803358.2317014995</v>
      </c>
      <c r="D22" s="138">
        <f>IF($C$12&lt;B22,0,DDM!$C$11)</f>
        <v>5.4247061515052201E-2</v>
      </c>
      <c r="E22" s="124">
        <f t="shared" si="0"/>
        <v>0.60275490089788319</v>
      </c>
      <c r="F22" s="125">
        <f t="shared" si="1"/>
        <v>1086983.0122326193</v>
      </c>
      <c r="H22" s="120"/>
    </row>
    <row r="23" spans="2:8">
      <c r="B23" s="122">
        <v>8</v>
      </c>
      <c r="C23" s="123">
        <f t="shared" si="2"/>
        <v>1901185.1166302862</v>
      </c>
      <c r="D23" s="138">
        <f>IF($C$12&lt;B23,0,DDM!$C$11)</f>
        <v>5.4247061515052201E-2</v>
      </c>
      <c r="E23" s="124">
        <f t="shared" si="0"/>
        <v>0.56070223339337966</v>
      </c>
      <c r="F23" s="125">
        <f t="shared" si="1"/>
        <v>1065998.7409888546</v>
      </c>
      <c r="H23" s="120"/>
    </row>
    <row r="24" spans="2:8">
      <c r="B24" s="122">
        <v>9</v>
      </c>
      <c r="C24" s="123">
        <f t="shared" si="2"/>
        <v>2004318.8226036308</v>
      </c>
      <c r="D24" s="138">
        <f>IF($C$12&lt;B24,0,DDM!$C$11)</f>
        <v>5.4247061515052201E-2</v>
      </c>
      <c r="E24" s="124">
        <f t="shared" si="0"/>
        <v>0.52158347292407414</v>
      </c>
      <c r="F24" s="125">
        <f t="shared" si="1"/>
        <v>1045419.5723406931</v>
      </c>
      <c r="H24" s="120"/>
    </row>
    <row r="25" spans="2:8">
      <c r="B25" s="122">
        <v>10</v>
      </c>
      <c r="C25" s="123">
        <f t="shared" si="2"/>
        <v>2113047.2290691868</v>
      </c>
      <c r="D25" s="138">
        <f>IF($C$12&lt;B25,0,DDM!$C$11)</f>
        <v>5.4247061515052201E-2</v>
      </c>
      <c r="E25" s="124">
        <f t="shared" si="0"/>
        <v>0.48519392830146441</v>
      </c>
      <c r="F25" s="125">
        <f t="shared" si="1"/>
        <v>1025237.685758603</v>
      </c>
      <c r="H25" s="120"/>
    </row>
    <row r="26" spans="2:8">
      <c r="B26" s="122">
        <v>11</v>
      </c>
      <c r="C26" s="123">
        <f t="shared" si="2"/>
        <v>2227673.8320887131</v>
      </c>
      <c r="D26" s="138">
        <f>IF($C$12&lt;B26,0,DDM!$C$11)</f>
        <v>5.4247061515052201E-2</v>
      </c>
      <c r="E26" s="124">
        <f t="shared" si="0"/>
        <v>0.45134318911764126</v>
      </c>
      <c r="F26" s="125">
        <f t="shared" si="1"/>
        <v>1005445.4116888366</v>
      </c>
      <c r="H26" s="120"/>
    </row>
    <row r="27" spans="2:8">
      <c r="B27" s="122">
        <v>12</v>
      </c>
      <c r="C27" s="123">
        <f t="shared" si="2"/>
        <v>2348518.5914935013</v>
      </c>
      <c r="D27" s="138">
        <f>IF($C$12&lt;B27,0,DDM!$C$11)</f>
        <v>5.4247061515052201E-2</v>
      </c>
      <c r="E27" s="124">
        <f t="shared" si="0"/>
        <v>0.41985412941175931</v>
      </c>
      <c r="F27" s="125">
        <f t="shared" si="1"/>
        <v>986035.22863883525</v>
      </c>
      <c r="H27" s="120"/>
    </row>
    <row r="28" spans="2:8">
      <c r="B28" s="122">
        <v>13</v>
      </c>
      <c r="C28" s="123">
        <f t="shared" si="2"/>
        <v>2475918.8239954929</v>
      </c>
      <c r="D28" s="138">
        <f>IF($C$12&lt;B28,0,DDM!$C$11)</f>
        <v>5.4247061515052201E-2</v>
      </c>
      <c r="E28" s="124">
        <f t="shared" si="0"/>
        <v>0.39056198084814819</v>
      </c>
      <c r="F28" s="125">
        <f t="shared" si="1"/>
        <v>966999.76031889732</v>
      </c>
      <c r="H28" s="120"/>
    </row>
    <row r="29" spans="2:8">
      <c r="B29" s="122">
        <v>14</v>
      </c>
      <c r="C29" s="123">
        <f t="shared" si="2"/>
        <v>2610230.1447470519</v>
      </c>
      <c r="D29" s="138">
        <f>IF($C$12&lt;B29,0,DDM!$C$11)</f>
        <v>5.4247061515052201E-2</v>
      </c>
      <c r="E29" s="124">
        <f t="shared" si="0"/>
        <v>0.36331347055641694</v>
      </c>
      <c r="F29" s="125">
        <f t="shared" si="1"/>
        <v>948331.7728390299</v>
      </c>
      <c r="H29" s="120"/>
    </row>
    <row r="30" spans="2:8">
      <c r="B30" s="122">
        <v>15</v>
      </c>
      <c r="C30" s="123">
        <f t="shared" si="2"/>
        <v>2751827.4599775891</v>
      </c>
      <c r="D30" s="138">
        <f>IF($C$12&lt;B30,0,DDM!$C$11)</f>
        <v>5.4247061515052201E-2</v>
      </c>
      <c r="E30" s="124">
        <f t="shared" si="0"/>
        <v>0.33796601912224833</v>
      </c>
      <c r="F30" s="125">
        <f t="shared" si="1"/>
        <v>930024.17195991392</v>
      </c>
      <c r="H30" s="120"/>
    </row>
    <row r="31" spans="2:8">
      <c r="B31" s="122">
        <v>16</v>
      </c>
      <c r="C31" s="123">
        <f t="shared" si="2"/>
        <v>2901106.0134778023</v>
      </c>
      <c r="D31" s="138">
        <f>IF($C$12&lt;B31,0,DDM!$C$11)</f>
        <v>5.4247061515052201E-2</v>
      </c>
      <c r="E31" s="124">
        <f t="shared" si="0"/>
        <v>0.31438699453232405</v>
      </c>
      <c r="F31" s="125">
        <f t="shared" si="1"/>
        <v>912070.0003969383</v>
      </c>
      <c r="H31" s="120"/>
    </row>
    <row r="32" spans="2:8">
      <c r="B32" s="122">
        <v>17</v>
      </c>
      <c r="C32" s="123">
        <f t="shared" si="2"/>
        <v>3058482.4898526203</v>
      </c>
      <c r="D32" s="138">
        <f>IF($C$12&lt;B32,0,DDM!$C$11)</f>
        <v>5.4247061515052201E-2</v>
      </c>
      <c r="E32" s="124">
        <f t="shared" si="0"/>
        <v>0.29245301816960378</v>
      </c>
      <c r="F32" s="125">
        <f t="shared" si="1"/>
        <v>894462.43517628335</v>
      </c>
      <c r="H32" s="120"/>
    </row>
    <row r="33" spans="2:8">
      <c r="B33" s="122">
        <v>18</v>
      </c>
      <c r="C33" s="123">
        <f t="shared" si="2"/>
        <v>3224396.1776223648</v>
      </c>
      <c r="D33" s="138">
        <f>IF($C$12&lt;B33,0,DDM!$C$11)</f>
        <v>5.4247061515052201E-2</v>
      </c>
      <c r="E33" s="124">
        <f t="shared" si="0"/>
        <v>0.27204931922753844</v>
      </c>
      <c r="F33" s="125">
        <f t="shared" si="1"/>
        <v>877194.78504204145</v>
      </c>
      <c r="H33" s="120"/>
    </row>
    <row r="34" spans="2:8">
      <c r="B34" s="122">
        <v>19</v>
      </c>
      <c r="C34" s="123">
        <f t="shared" si="2"/>
        <v>3399310.1954187439</v>
      </c>
      <c r="D34" s="138">
        <f>IF($C$12&lt;B34,0,DDM!$C$11)</f>
        <v>5.4247061515052201E-2</v>
      </c>
      <c r="E34" s="124">
        <f t="shared" si="0"/>
        <v>0.25306913416515198</v>
      </c>
      <c r="F34" s="125">
        <f t="shared" si="1"/>
        <v>860260.48791339505</v>
      </c>
      <c r="H34" s="120"/>
    </row>
    <row r="35" spans="2:8">
      <c r="B35" s="122">
        <v>20</v>
      </c>
      <c r="C35" s="123">
        <f t="shared" si="2"/>
        <v>3583712.7846983681</v>
      </c>
      <c r="D35" s="138">
        <f>IF($C$12&lt;B35,0,DDM!$C$11)</f>
        <v>5.4247061515052201E-2</v>
      </c>
      <c r="E35" s="124">
        <f t="shared" si="0"/>
        <v>0.23541314806060654</v>
      </c>
      <c r="F35" s="125">
        <f t="shared" si="1"/>
        <v>843653.10839088552</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17513233.903727151</v>
      </c>
      <c r="D46" s="139">
        <f>Terminal_Growth</f>
        <v>0</v>
      </c>
      <c r="E46" s="124">
        <f>1/(1+Equity_Cost)^C12</f>
        <v>0.23541314806060654</v>
      </c>
      <c r="F46" s="125">
        <f t="shared" si="1"/>
        <v>4122845.5259981542</v>
      </c>
      <c r="H46" s="120"/>
    </row>
    <row r="47" spans="2:8">
      <c r="C47" s="114"/>
      <c r="E47" s="127" t="s">
        <v>97</v>
      </c>
      <c r="F47" s="137">
        <f>SUM(F16:F46)</f>
        <v>24557240.039719004</v>
      </c>
      <c r="H47" s="120"/>
    </row>
    <row r="48" spans="2:8">
      <c r="C48" s="114"/>
      <c r="H48" s="120"/>
    </row>
    <row r="49" spans="1:8" ht="13.15">
      <c r="B49" s="119" t="s">
        <v>125</v>
      </c>
      <c r="C49" s="136"/>
      <c r="D49" s="136"/>
      <c r="E49" s="117"/>
      <c r="F49" s="117"/>
      <c r="H49" s="120"/>
    </row>
    <row r="50" spans="1:8" ht="13.15">
      <c r="A50" s="133">
        <f>F47</f>
        <v>24557240.039719004</v>
      </c>
      <c r="B50" s="131">
        <f>C73</f>
        <v>0</v>
      </c>
      <c r="C50" s="131">
        <f>C72</f>
        <v>0.02</v>
      </c>
      <c r="D50" s="131">
        <f>C71</f>
        <v>0.05</v>
      </c>
      <c r="E50" s="131">
        <f>C70</f>
        <v>0.06</v>
      </c>
      <c r="F50" s="131">
        <f>C69</f>
        <v>0.1</v>
      </c>
      <c r="H50" s="120"/>
    </row>
    <row r="51" spans="1:8" ht="13.15">
      <c r="A51" s="143">
        <v>5</v>
      </c>
      <c r="B51" s="123">
        <f t="dataTable" ref="B51:F56" dt2D="1" dtr="1" r1="C11" r2="C12"/>
        <v>16612077.512987314</v>
      </c>
      <c r="C51" s="123">
        <v>17138854.852037754</v>
      </c>
      <c r="D51" s="123">
        <v>17958004.711803317</v>
      </c>
      <c r="E51" s="123">
        <v>18239122.299518097</v>
      </c>
      <c r="F51" s="123">
        <v>19406275.754195809</v>
      </c>
      <c r="H51" s="120"/>
    </row>
    <row r="52" spans="1:8" ht="13.15">
      <c r="A52" s="143">
        <v>10</v>
      </c>
      <c r="B52" s="123">
        <v>16612077.512987316</v>
      </c>
      <c r="C52" s="123">
        <v>17661222.17836738</v>
      </c>
      <c r="D52" s="123">
        <v>19434715.491320387</v>
      </c>
      <c r="E52" s="123">
        <v>20085511.600885998</v>
      </c>
      <c r="F52" s="123">
        <v>23035270.657630205</v>
      </c>
      <c r="H52" s="120"/>
    </row>
    <row r="53" spans="1:8" ht="13.15">
      <c r="A53" s="143">
        <v>15</v>
      </c>
      <c r="B53" s="123">
        <v>16612077.512987318</v>
      </c>
      <c r="C53" s="123">
        <v>18322600.38605747</v>
      </c>
      <c r="D53" s="123">
        <v>21457023.400340151</v>
      </c>
      <c r="E53" s="123">
        <v>22683480.368378337</v>
      </c>
      <c r="F53" s="123">
        <v>28748808.277603325</v>
      </c>
      <c r="H53" s="120"/>
    </row>
    <row r="54" spans="1:8" ht="13.15">
      <c r="A54" s="144">
        <v>20</v>
      </c>
      <c r="B54" s="123">
        <v>16612077.512987319</v>
      </c>
      <c r="C54" s="123">
        <v>19012097.957655579</v>
      </c>
      <c r="D54" s="123">
        <v>23749076.766456071</v>
      </c>
      <c r="E54" s="123">
        <v>25715962.63599981</v>
      </c>
      <c r="F54" s="123">
        <v>36302420.67087844</v>
      </c>
      <c r="H54" s="120"/>
    </row>
    <row r="55" spans="1:8" ht="13.15">
      <c r="A55" s="144">
        <v>25</v>
      </c>
      <c r="B55" s="123">
        <v>16612077.512987319</v>
      </c>
      <c r="C55" s="123">
        <v>19668340.510911372</v>
      </c>
      <c r="D55" s="123">
        <v>26130970.918774843</v>
      </c>
      <c r="E55" s="123">
        <v>28968142.173008904</v>
      </c>
      <c r="F55" s="123">
        <v>45573094.013084143</v>
      </c>
      <c r="H55" s="120"/>
    </row>
    <row r="56" spans="1:8" ht="13.15">
      <c r="A56" s="144">
        <v>30</v>
      </c>
      <c r="B56" s="123">
        <v>16612077.512987323</v>
      </c>
      <c r="C56" s="123">
        <v>20260780.634051763</v>
      </c>
      <c r="D56" s="123">
        <v>28488275.075630292</v>
      </c>
      <c r="E56" s="123">
        <v>32296015.967067096</v>
      </c>
      <c r="F56" s="123">
        <v>56528172.86918477</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7.0175999999999981</v>
      </c>
      <c r="C60" s="124">
        <f>C7</f>
        <v>7.0175999999999981</v>
      </c>
      <c r="D60" s="124">
        <f>C7</f>
        <v>7.0175999999999981</v>
      </c>
      <c r="E60" s="141">
        <f>C7</f>
        <v>7.0175999999999981</v>
      </c>
      <c r="F60" s="124">
        <f>C7</f>
        <v>7.0175999999999981</v>
      </c>
      <c r="H60" s="120"/>
    </row>
    <row r="61" spans="1:8" ht="13.15">
      <c r="A61" s="143">
        <f t="shared" ref="A61:A66" si="3">A51</f>
        <v>5</v>
      </c>
      <c r="B61" s="124">
        <f t="shared" ref="B61:F66" si="4">B51/Common_Shares*$C$3*Exchange_Rate</f>
        <v>7.0175999999999989</v>
      </c>
      <c r="C61" s="124">
        <f t="shared" si="4"/>
        <v>7.240131628065801</v>
      </c>
      <c r="D61" s="124">
        <f t="shared" si="4"/>
        <v>7.5861729977497951</v>
      </c>
      <c r="E61" s="124">
        <f t="shared" si="4"/>
        <v>7.7049282095530707</v>
      </c>
      <c r="F61" s="124">
        <f t="shared" si="4"/>
        <v>8.197980091663716</v>
      </c>
      <c r="H61" s="120"/>
    </row>
    <row r="62" spans="1:8" ht="13.15">
      <c r="A62" s="143">
        <f t="shared" si="3"/>
        <v>10</v>
      </c>
      <c r="B62" s="124">
        <f t="shared" si="4"/>
        <v>7.0175999999999998</v>
      </c>
      <c r="C62" s="124">
        <f t="shared" si="4"/>
        <v>7.4608002919571712</v>
      </c>
      <c r="D62" s="124">
        <f t="shared" si="4"/>
        <v>8.209994163900582</v>
      </c>
      <c r="E62" s="124">
        <f t="shared" si="4"/>
        <v>8.4849162364057893</v>
      </c>
      <c r="F62" s="124">
        <f t="shared" si="4"/>
        <v>9.7310113825682549</v>
      </c>
      <c r="H62" s="120"/>
    </row>
    <row r="63" spans="1:8" ht="13.15">
      <c r="A63" s="143">
        <f t="shared" si="3"/>
        <v>15</v>
      </c>
      <c r="B63" s="124">
        <f t="shared" si="4"/>
        <v>7.0176000000000007</v>
      </c>
      <c r="C63" s="124">
        <f t="shared" si="4"/>
        <v>7.740192662156347</v>
      </c>
      <c r="D63" s="124">
        <f t="shared" si="4"/>
        <v>9.0642971835705755</v>
      </c>
      <c r="E63" s="124">
        <f t="shared" si="4"/>
        <v>9.5824012203580295</v>
      </c>
      <c r="F63" s="124">
        <f t="shared" si="4"/>
        <v>12.144636142660838</v>
      </c>
      <c r="H63" s="120"/>
    </row>
    <row r="64" spans="1:8" ht="13.15">
      <c r="A64" s="144">
        <f t="shared" si="3"/>
        <v>20</v>
      </c>
      <c r="B64" s="124">
        <f t="shared" si="4"/>
        <v>7.0176000000000007</v>
      </c>
      <c r="C64" s="124">
        <f t="shared" si="4"/>
        <v>8.0314637662469739</v>
      </c>
      <c r="D64" s="124">
        <f t="shared" si="4"/>
        <v>10.032551376309568</v>
      </c>
      <c r="E64" s="124">
        <f t="shared" si="4"/>
        <v>10.863441929722836</v>
      </c>
      <c r="F64" s="124">
        <f t="shared" si="4"/>
        <v>15.33558142266002</v>
      </c>
      <c r="H64" s="120"/>
    </row>
    <row r="65" spans="1:8" ht="13.15">
      <c r="A65" s="144">
        <f t="shared" si="3"/>
        <v>25</v>
      </c>
      <c r="B65" s="124">
        <f t="shared" si="4"/>
        <v>7.0176000000000007</v>
      </c>
      <c r="C65" s="124">
        <f t="shared" si="4"/>
        <v>8.3086866324494384</v>
      </c>
      <c r="D65" s="124">
        <f t="shared" si="4"/>
        <v>11.038757878190159</v>
      </c>
      <c r="E65" s="124">
        <f t="shared" si="4"/>
        <v>12.237291473891673</v>
      </c>
      <c r="F65" s="124">
        <f t="shared" si="4"/>
        <v>19.251881307210915</v>
      </c>
    </row>
    <row r="66" spans="1:8" ht="13.15">
      <c r="A66" s="144">
        <f t="shared" si="3"/>
        <v>30</v>
      </c>
      <c r="B66" s="124">
        <f t="shared" si="4"/>
        <v>7.0176000000000034</v>
      </c>
      <c r="C66" s="124">
        <f t="shared" si="4"/>
        <v>8.5589568232127373</v>
      </c>
      <c r="D66" s="124">
        <f t="shared" si="4"/>
        <v>12.034576591305111</v>
      </c>
      <c r="E66" s="124">
        <f t="shared" si="4"/>
        <v>13.643117272556825</v>
      </c>
      <c r="F66" s="124">
        <f t="shared" si="4"/>
        <v>23.879740846179974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10.863441929722836</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10.032551376309568</v>
      </c>
      <c r="F71" s="142">
        <f>Scenarios!C28*(1-F$69-F$73)</f>
        <v>0.495</v>
      </c>
      <c r="H71" s="120"/>
    </row>
    <row r="72" spans="1:8">
      <c r="B72" s="127" t="str">
        <f>Scenarios!B30</f>
        <v>Pessimistic</v>
      </c>
      <c r="C72" s="142">
        <f>Scenarios!C32</f>
        <v>0.02</v>
      </c>
      <c r="D72" s="145">
        <f>Scenarios!C31</f>
        <v>20</v>
      </c>
      <c r="E72" s="135">
        <f>INDEX(B$60:F$66, MATCH(D72, A$60:A$66, 0), MATCH(C72, B$59:F$59, 0))</f>
        <v>8.0314637662469739</v>
      </c>
      <c r="F72" s="142">
        <f>Scenarios!C34*(1-F$69-F$73)</f>
        <v>0.18</v>
      </c>
      <c r="H72" s="120"/>
    </row>
    <row r="73" spans="1:8">
      <c r="B73" s="127" t="str">
        <f>Scenarios!B48</f>
        <v>Devil's advocate</v>
      </c>
      <c r="C73" s="142">
        <f>Scenarios!C50</f>
        <v>0</v>
      </c>
      <c r="D73" s="145">
        <f>Scenarios!C49</f>
        <v>30</v>
      </c>
      <c r="E73" s="135">
        <f>INDEX(B$60:F$66, MATCH(D73, A$60:A$66, 0), MATCH(C73, B$59:F$59, 0))</f>
        <v>7.0176000000000034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-16.440000000000001</v>
      </c>
    </row>
    <row r="4" spans="2:9">
      <c r="B4" s="152" t="s">
        <v>142</v>
      </c>
      <c r="C4" s="120">
        <v>3</v>
      </c>
      <c r="D4" s="120"/>
      <c r="E4" s="155" t="s">
        <v>146</v>
      </c>
      <c r="F4" s="155"/>
      <c r="H4" s="247">
        <v>1</v>
      </c>
      <c r="I4" s="124">
        <f t="shared" ref="I4:I13" si="0">IF(ROW()-3 &lt; $C$76, $C$77, IF(ROW()-3 = $C$76, $C$77 + $C$60, ""))</f>
        <v>0.48201285314490994</v>
      </c>
    </row>
    <row r="5" spans="2:9">
      <c r="H5" s="247">
        <v>2</v>
      </c>
      <c r="I5" s="124">
        <f t="shared" si="0"/>
        <v>0.48201285314490994</v>
      </c>
    </row>
    <row r="6" spans="2:9" ht="13.15">
      <c r="B6" s="159" t="s">
        <v>92</v>
      </c>
      <c r="C6" s="107">
        <f>DCF!C3</f>
        <v>1000</v>
      </c>
      <c r="E6" s="100" t="s">
        <v>274</v>
      </c>
      <c r="F6" s="100"/>
      <c r="H6" s="247">
        <v>3</v>
      </c>
      <c r="I6" s="124">
        <f t="shared" si="0"/>
        <v>26.061095201054972</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2532223.8947758959</v>
      </c>
      <c r="D8" t="str">
        <f>Reporting_currency</f>
        <v>CNY</v>
      </c>
      <c r="E8" s="380"/>
      <c r="F8" s="380"/>
      <c r="H8" s="247">
        <v>5</v>
      </c>
      <c r="I8" s="124" t="str">
        <f t="shared" si="0"/>
        <v/>
      </c>
    </row>
    <row r="9" spans="2:9">
      <c r="B9" s="100" t="s">
        <v>55</v>
      </c>
      <c r="C9" s="338">
        <f>Normalized_FCF!C19</f>
        <v>2419751.6585085224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-0.10083021339841047</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16.440000000000001</v>
      </c>
      <c r="D21" t="str">
        <f>Market_currency</f>
        <v>HKD</v>
      </c>
      <c r="E21" s="381"/>
      <c r="F21" s="381"/>
    </row>
    <row r="22" spans="2:6">
      <c r="B22" s="100" t="s">
        <v>273</v>
      </c>
      <c r="C22" s="160">
        <f>IF(valuation_method="DCF",DCF!C12,DDM!C7)</f>
        <v>19.008128928612187</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24.863654694886012</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20.97721720426371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26.477379242052745</v>
      </c>
      <c r="D39" t="str">
        <f>Market_currency</f>
        <v>HKD</v>
      </c>
      <c r="E39" s="379"/>
      <c r="F39" s="379"/>
    </row>
    <row r="40" spans="2:6">
      <c r="B40" s="100" t="s">
        <v>143</v>
      </c>
      <c r="C40" s="167">
        <f>1-C28-C34</f>
        <v>0.24999999999999994</v>
      </c>
      <c r="D40" s="165"/>
      <c r="E40" s="379"/>
      <c r="F40" s="379"/>
    </row>
    <row r="42" spans="2:6" ht="13.15">
      <c r="B42" s="100" t="s">
        <v>116</v>
      </c>
      <c r="C42" s="154">
        <f>C27*C28+C33*C34+C39*C40</f>
        <v>24.489798333553232</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19.008128928612191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51.757148025630933</v>
      </c>
      <c r="D57" t="str">
        <f>Market_currency</f>
        <v>HKD</v>
      </c>
      <c r="E57" s="379"/>
      <c r="F57" s="379"/>
    </row>
    <row r="58" spans="2:6">
      <c r="B58" s="100" t="s">
        <v>143</v>
      </c>
      <c r="C58" s="165">
        <v>0.05</v>
      </c>
      <c r="D58" s="165"/>
      <c r="E58" s="379"/>
      <c r="F58" s="379"/>
    </row>
    <row r="60" spans="2:6" ht="13.15">
      <c r="B60" s="100" t="s">
        <v>116</v>
      </c>
      <c r="C60" s="154">
        <f>C51*C52+C57*C58+C42*(1-C52-C58)</f>
        <v>25.579082347910063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25.526709390828046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0.2102815371263711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0.48201285314490994</v>
      </c>
      <c r="D77" t="str">
        <f>Market_currency</f>
        <v>HKD</v>
      </c>
    </row>
    <row r="79" spans="2:6" ht="13.15">
      <c r="B79" s="109" t="s">
        <v>296</v>
      </c>
    </row>
    <row r="80" spans="2:6">
      <c r="B80" s="148" t="s">
        <v>294</v>
      </c>
      <c r="C80" s="167">
        <f>Thesis!F29</f>
        <v>0.35</v>
      </c>
    </row>
    <row r="81" spans="2:8">
      <c r="B81" s="100" t="s">
        <v>117</v>
      </c>
      <c r="C81" s="116">
        <f>PV(C80, C76, -C77, 0)</f>
        <v>0.81743580947909855</v>
      </c>
      <c r="D81" s="116"/>
      <c r="E81" s="100"/>
      <c r="F81" s="100"/>
    </row>
    <row r="82" spans="2:8">
      <c r="B82" s="100" t="s">
        <v>118</v>
      </c>
      <c r="C82" s="116">
        <f>C60/(1+C80)^C76</f>
        <v>10.396416134902223</v>
      </c>
      <c r="D82" s="116"/>
    </row>
    <row r="83" spans="2:8" ht="13.15">
      <c r="B83" s="110" t="s">
        <v>98</v>
      </c>
      <c r="C83" s="111">
        <f>C81+C82</f>
        <v>11.213851944381322</v>
      </c>
      <c r="D83" t="str">
        <f>Market_currency</f>
        <v>HKD</v>
      </c>
      <c r="E83" s="146" t="s">
        <v>122</v>
      </c>
      <c r="F83" s="291">
        <f>(1-C83/C60)</f>
        <v>0.56160069419779046</v>
      </c>
    </row>
    <row r="84" spans="2:8">
      <c r="E84" s="120"/>
    </row>
    <row r="85" spans="2:8" ht="13.15">
      <c r="B85" s="109" t="s">
        <v>297</v>
      </c>
    </row>
    <row r="86" spans="2:8">
      <c r="B86" s="148" t="s">
        <v>295</v>
      </c>
      <c r="C86" s="116">
        <f>Market_Price</f>
        <v>16.440000000000001</v>
      </c>
      <c r="D86" t="str">
        <f>Market_currency</f>
        <v>HKD</v>
      </c>
    </row>
    <row r="87" spans="2:8" ht="13.15">
      <c r="B87" s="100" t="s">
        <v>293</v>
      </c>
      <c r="C87" s="237">
        <f ca="1">IRR(OFFSET($I$3, 0, 0, $C$76 + 1, 1))</f>
        <v>0.18430266488162372</v>
      </c>
    </row>
    <row r="88" spans="2:8">
      <c r="B88" s="100"/>
    </row>
    <row r="89" spans="2:8" ht="13.15">
      <c r="B89" s="109" t="s">
        <v>392</v>
      </c>
    </row>
    <row r="90" spans="2:8">
      <c r="B90" s="148" t="s">
        <v>393</v>
      </c>
      <c r="C90" s="167">
        <f>Thesis!F30</f>
        <v>0.25</v>
      </c>
    </row>
    <row r="91" spans="2:8">
      <c r="B91" s="100" t="s">
        <v>117</v>
      </c>
      <c r="C91" s="116">
        <f>PV(C90, C76, -C77, 0)</f>
        <v>0.94088908933886417</v>
      </c>
      <c r="D91" s="116"/>
      <c r="E91" s="100"/>
      <c r="F91" s="100"/>
    </row>
    <row r="92" spans="2:8">
      <c r="B92" s="100" t="s">
        <v>118</v>
      </c>
      <c r="C92" s="116">
        <f>C60/(1+C90)^C76</f>
        <v>13.096490162129951</v>
      </c>
      <c r="D92" s="116"/>
    </row>
    <row r="93" spans="2:8" ht="13.15">
      <c r="B93" s="110" t="s">
        <v>98</v>
      </c>
      <c r="C93" s="111">
        <f>C91+C92</f>
        <v>14.037379251468815</v>
      </c>
      <c r="D93" t="str">
        <f>Market_currency</f>
        <v>HKD</v>
      </c>
      <c r="E93" s="146" t="s">
        <v>122</v>
      </c>
      <c r="F93" s="291">
        <f>(1-C93/C60)</f>
        <v>0.45121646427571172</v>
      </c>
    </row>
    <row r="95" spans="2:8" ht="13.15">
      <c r="B95" s="109" t="s">
        <v>378</v>
      </c>
      <c r="G95" s="2"/>
      <c r="H95" s="281"/>
    </row>
    <row r="96" spans="2:8">
      <c r="B96" s="148" t="s">
        <v>383</v>
      </c>
      <c r="C96" s="134">
        <f>Thesis!F31</f>
        <v>7.4999999999999997E-2</v>
      </c>
      <c r="G96" s="2"/>
      <c r="H96" s="281"/>
    </row>
    <row r="97" spans="2:8">
      <c r="B97" s="100" t="s">
        <v>117</v>
      </c>
      <c r="C97" s="116">
        <f>PV(C96, C76, -C77, 0)</f>
        <v>1.2534868315524612</v>
      </c>
      <c r="D97" s="116"/>
      <c r="G97" s="2"/>
      <c r="H97" s="281"/>
    </row>
    <row r="98" spans="2:8">
      <c r="B98" s="100" t="s">
        <v>118</v>
      </c>
      <c r="C98" s="116">
        <f>C60/(1+C96)^C76</f>
        <v>20.590152694306717</v>
      </c>
      <c r="D98" s="116"/>
      <c r="G98" s="2"/>
      <c r="H98" s="281"/>
    </row>
    <row r="99" spans="2:8" ht="13.15">
      <c r="B99" s="110" t="s">
        <v>379</v>
      </c>
      <c r="C99" s="111">
        <f>C97+C98</f>
        <v>21.843639525859178</v>
      </c>
      <c r="D99" t="s">
        <v>377</v>
      </c>
      <c r="E99" s="146" t="s">
        <v>122</v>
      </c>
      <c r="F99" s="291">
        <f>(1-C99/C60)</f>
        <v>0.14603505986820864</v>
      </c>
    </row>
    <row r="100" spans="2:8">
      <c r="B100" s="100"/>
    </row>
    <row r="101" spans="2:8" ht="13.15">
      <c r="B101" s="109" t="s">
        <v>399</v>
      </c>
    </row>
    <row r="102" spans="2:8">
      <c r="B102" s="148" t="s">
        <v>398</v>
      </c>
      <c r="C102" s="134">
        <f>Thesis!F32</f>
        <v>0.1174</v>
      </c>
    </row>
    <row r="103" spans="2:8">
      <c r="B103" s="100" t="s">
        <v>117</v>
      </c>
      <c r="C103" s="116">
        <f>PV(C102, C76, -C77, 0)</f>
        <v>1.1629057162400167</v>
      </c>
      <c r="D103" s="116"/>
    </row>
    <row r="104" spans="2:8">
      <c r="B104" s="100" t="s">
        <v>118</v>
      </c>
      <c r="C104" s="116">
        <f>C60/(1+C102)^C76</f>
        <v>18.334073116646017</v>
      </c>
      <c r="D104" s="116"/>
    </row>
    <row r="105" spans="2:8" ht="13.15">
      <c r="B105" s="110" t="s">
        <v>379</v>
      </c>
      <c r="C105" s="111">
        <f>C103+C104</f>
        <v>19.496978832886033</v>
      </c>
      <c r="D105" t="s">
        <v>377</v>
      </c>
      <c r="E105" s="146" t="s">
        <v>122</v>
      </c>
      <c r="F105" s="291">
        <f>(1-C105/C66)</f>
        <v>0.23621260639683328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16.440000000000001</v>
      </c>
      <c r="D12" s="50"/>
      <c r="E12" s="48"/>
    </row>
    <row r="13" spans="1:10">
      <c r="B13" s="1" t="s">
        <v>486</v>
      </c>
      <c r="C13" s="32" t="str">
        <f>Market_currency</f>
        <v>HKD</v>
      </c>
      <c r="D13" s="48"/>
      <c r="E13" s="5"/>
    </row>
    <row r="14" spans="1:10">
      <c r="B14" s="4" t="s">
        <v>487</v>
      </c>
      <c r="C14" s="35">
        <f>投资主题!C12*Common_Shares/1000000</f>
        <v>42494.07757464001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1.09192109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25.579082347910063</v>
      </c>
      <c r="D26" s="1" t="s">
        <v>447</v>
      </c>
      <c r="E26" s="301">
        <f ca="1">Scenarios!C87</f>
        <v>0.18430266488162372</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11.213851944381322</v>
      </c>
      <c r="D29" s="310" t="str">
        <f>D149</f>
        <v/>
      </c>
      <c r="E29" s="306" t="s">
        <v>456</v>
      </c>
      <c r="F29" s="362">
        <f>Thesis!F29</f>
        <v>0.35</v>
      </c>
    </row>
    <row r="30" spans="2:6">
      <c r="B30" s="1" t="s">
        <v>451</v>
      </c>
      <c r="C30" s="311">
        <f>C157</f>
        <v>14.037379251468815</v>
      </c>
      <c r="D30" s="311" t="str">
        <f>D157</f>
        <v/>
      </c>
      <c r="E30" s="307" t="s">
        <v>455</v>
      </c>
      <c r="F30" s="224">
        <f>Thesis!F30</f>
        <v>0.25</v>
      </c>
    </row>
    <row r="31" spans="2:6">
      <c r="B31" s="1" t="s">
        <v>452</v>
      </c>
      <c r="C31" s="311">
        <f>C165</f>
        <v>21.843639525859178</v>
      </c>
      <c r="D31" s="311" t="str">
        <f>D165</f>
        <v/>
      </c>
      <c r="E31" s="307" t="s">
        <v>492</v>
      </c>
      <c r="F31" s="224">
        <f>Thesis!F31</f>
        <v>7.4999999999999997E-2</v>
      </c>
    </row>
    <row r="32" spans="2:6">
      <c r="B32" s="1" t="s">
        <v>453</v>
      </c>
      <c r="C32" s="311">
        <f>C173</f>
        <v>19.496978832886033</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v>
      </c>
    </row>
    <row r="40" spans="1:6">
      <c r="B40" s="373" t="s">
        <v>495</v>
      </c>
      <c r="C40" s="373"/>
      <c r="D40" s="373"/>
      <c r="E40" s="373"/>
      <c r="F40" s="373"/>
    </row>
    <row r="41" spans="1:6">
      <c r="B41" s="47" t="s">
        <v>228</v>
      </c>
      <c r="C41" s="349">
        <f>Normalized_FCF!C8</f>
        <v>3205414.6239021346</v>
      </c>
      <c r="D41" s="1" t="str">
        <f>Reporting_currency</f>
        <v>CNY</v>
      </c>
    </row>
    <row r="42" spans="1:6">
      <c r="B42" s="47"/>
      <c r="C42" s="76"/>
    </row>
    <row r="43" spans="1:6" ht="24.6" customHeight="1">
      <c r="B43" s="373" t="s">
        <v>496</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497</v>
      </c>
      <c r="C47" s="373"/>
      <c r="D47" s="373"/>
      <c r="E47" s="373"/>
      <c r="F47" s="373"/>
    </row>
    <row r="48" spans="1:6">
      <c r="B48" s="47" t="s">
        <v>233</v>
      </c>
      <c r="C48" s="349">
        <f>Normalized_FCF!C11</f>
        <v>179409.3</v>
      </c>
      <c r="D48" s="1" t="str">
        <f>Reporting_currency</f>
        <v>CNY</v>
      </c>
    </row>
    <row r="50" spans="2:6">
      <c r="B50" s="373" t="s">
        <v>498</v>
      </c>
      <c r="C50" s="373"/>
      <c r="D50" s="373"/>
      <c r="E50" s="373"/>
      <c r="F50" s="373"/>
    </row>
    <row r="51" spans="2:6">
      <c r="B51" s="47" t="s">
        <v>331</v>
      </c>
      <c r="C51" s="350">
        <f>Normalized_FCF!C48</f>
        <v>95932.620775895455</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-158488.37922410454</v>
      </c>
      <c r="D53" s="1" t="str">
        <f>Reporting_currency</f>
        <v>CNY</v>
      </c>
    </row>
    <row r="55" spans="2:6">
      <c r="B55" s="1" t="s">
        <v>499</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-806583.88616950752</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2532223.8947758959</v>
      </c>
      <c r="D67" s="1" t="str">
        <f>Reporting_currency</f>
        <v>CNY</v>
      </c>
    </row>
    <row r="68" spans="1:6">
      <c r="B68" s="47" t="s">
        <v>244</v>
      </c>
      <c r="C68" s="349">
        <f>Normalized_FCF!C19</f>
        <v>2419751.6585085224</v>
      </c>
      <c r="D68" s="1" t="str">
        <f>Reporting_currency</f>
        <v>CNY</v>
      </c>
    </row>
    <row r="69" spans="1:6">
      <c r="B69" s="227" t="s">
        <v>371</v>
      </c>
      <c r="C69" s="92">
        <f>Normalized_FCF!C126</f>
        <v>6.2177555539286632E-2</v>
      </c>
      <c r="F69" s="314"/>
    </row>
    <row r="70" spans="1:6">
      <c r="B70" s="227" t="s">
        <v>435</v>
      </c>
      <c r="C70" s="92">
        <f>Normalized_FCF!C94</f>
        <v>2.9319516614653887E-2</v>
      </c>
      <c r="E70" s="47" t="s">
        <v>504</v>
      </c>
      <c r="F70" s="315">
        <f>Normalized_FCF!C92</f>
        <v>0.57209994582758839</v>
      </c>
    </row>
    <row r="72" spans="1:6">
      <c r="B72" s="210" t="s">
        <v>514</v>
      </c>
      <c r="C72" s="323" t="s">
        <v>430</v>
      </c>
      <c r="D72" s="323" t="s">
        <v>505</v>
      </c>
    </row>
    <row r="73" spans="1:6">
      <c r="B73" s="47" t="s">
        <v>429</v>
      </c>
      <c r="C73" s="92">
        <f>Normalized_FCF!C121</f>
        <v>0.12359691937327441</v>
      </c>
      <c r="D73" s="92">
        <f>Normalized_FCF!G121</f>
        <v>0.13901923574004793</v>
      </c>
    </row>
    <row r="74" spans="1:6">
      <c r="B74" s="259" t="str">
        <f>Normalized_FCF!B118</f>
        <v>Pre-tax Profit/Sales</v>
      </c>
      <c r="C74" s="322">
        <f>Normalized_FCF!C118</f>
        <v>0.1233193224005279</v>
      </c>
      <c r="D74" s="322">
        <f>Normalized_FCF!G118</f>
        <v>0.12655042799828048</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13.629320174211633</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1936137</v>
      </c>
      <c r="D102" s="1" t="str">
        <f>Reporting_currency</f>
        <v>CNY</v>
      </c>
    </row>
    <row r="103" spans="2:6">
      <c r="B103" s="47" t="s">
        <v>276</v>
      </c>
      <c r="C103" s="223">
        <f>C102*scaling_factor*Exchange_Rate/Common_Shares</f>
        <v>0.81790101211468957</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14107292.221858865</v>
      </c>
      <c r="D109" s="1" t="str">
        <f>Reporting_currency</f>
        <v>CNY</v>
      </c>
    </row>
    <row r="110" spans="2:6">
      <c r="B110" s="47" t="s">
        <v>277</v>
      </c>
      <c r="C110" s="223">
        <f>C109*scaling_factor*Exchange_Rate/Common_Shares</f>
        <v>5.9594794100087194</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0.23723035650652452</v>
      </c>
      <c r="D114" s="1" t="str">
        <f>Market_currency</f>
        <v>HKD</v>
      </c>
    </row>
    <row r="116" spans="1:6">
      <c r="B116" s="372" t="s">
        <v>517</v>
      </c>
      <c r="C116" s="372"/>
      <c r="D116" s="372"/>
      <c r="E116" s="372"/>
      <c r="F116" s="372"/>
    </row>
    <row r="118" spans="1:6">
      <c r="B118" s="47" t="s">
        <v>518</v>
      </c>
      <c r="C118" s="223">
        <f>IF(valuation_method="DCF",DCF!C12,DDM!C7)</f>
        <v>19.008128928612187</v>
      </c>
      <c r="D118" s="1" t="str">
        <f>Market_currency</f>
        <v>HKD</v>
      </c>
    </row>
    <row r="119" spans="1:6">
      <c r="B119" s="296" t="s">
        <v>551</v>
      </c>
      <c r="C119" s="223">
        <f>BS!D47</f>
        <v>4.6033285511396818</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51.76 HKD</v>
      </c>
      <c r="F126" s="232">
        <f>DCF!F74</f>
        <v>0.05</v>
      </c>
    </row>
    <row r="127" spans="1:6">
      <c r="B127" s="218" t="str">
        <f>DCF!B75</f>
        <v>Optimistic</v>
      </c>
      <c r="C127" s="219">
        <f>DCF!C75</f>
        <v>0.06</v>
      </c>
      <c r="D127" s="220">
        <f>DCF!D75</f>
        <v>20</v>
      </c>
      <c r="E127" s="231" t="str">
        <f>ROUND(IF(valuation_method="DCF",DCF!E75,DDM!E70),2)&amp;" "&amp;Market_currency</f>
        <v>26.48 HKD</v>
      </c>
      <c r="F127" s="221">
        <f>DCF!F75</f>
        <v>0.22499999999999992</v>
      </c>
    </row>
    <row r="128" spans="1:6">
      <c r="B128" s="218" t="str">
        <f>DCF!B76</f>
        <v>Base</v>
      </c>
      <c r="C128" s="219">
        <f>DCF!C76</f>
        <v>0.05</v>
      </c>
      <c r="D128" s="220">
        <f>DCF!D76</f>
        <v>20</v>
      </c>
      <c r="E128" s="231" t="str">
        <f>ROUND(IF(valuation_method="DCF",DCF!E76,DDM!E71),2)&amp;" "&amp;Market_currency</f>
        <v>24.86 HKD</v>
      </c>
      <c r="F128" s="221">
        <f>DCF!F76</f>
        <v>0.495</v>
      </c>
    </row>
    <row r="129" spans="1:6">
      <c r="B129" s="218" t="str">
        <f>DCF!B77</f>
        <v>Pessimistic</v>
      </c>
      <c r="C129" s="219">
        <f>DCF!C77</f>
        <v>0.02</v>
      </c>
      <c r="D129" s="220">
        <f>DCF!D77</f>
        <v>20</v>
      </c>
      <c r="E129" s="231" t="str">
        <f>ROUND(IF(valuation_method="DCF",DCF!E77,DDM!E72),2)&amp;" "&amp;Market_currency</f>
        <v>20.98 HKD</v>
      </c>
      <c r="F129" s="221">
        <f>DCF!F77</f>
        <v>0.18</v>
      </c>
    </row>
    <row r="130" spans="1:6">
      <c r="B130" s="218" t="str">
        <f>DCF!B78</f>
        <v>Devil's advocate</v>
      </c>
      <c r="C130" s="219">
        <f>DCF!C78</f>
        <v>0</v>
      </c>
      <c r="D130" s="220">
        <f>DCF!D78</f>
        <v>30</v>
      </c>
      <c r="E130" s="231" t="str">
        <f>ROUND(IF(valuation_method="DCF",DCF!E78,DDM!E73),2)&amp;" "&amp;Market_currency</f>
        <v>19.01 HKD</v>
      </c>
      <c r="F130" s="221">
        <f>DCF!F78</f>
        <v>0.05</v>
      </c>
    </row>
    <row r="132" spans="1:6">
      <c r="B132" s="211" t="s">
        <v>254</v>
      </c>
      <c r="C132" s="217">
        <f>Scenarios!C60</f>
        <v>25.579082347910063</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0.48201285314490994</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0.81743580947909855</v>
      </c>
    </row>
    <row r="148" spans="2:4">
      <c r="B148" s="212" t="str">
        <f>"+ PV(Equity Value realized at year "&amp;C141&amp;")"</f>
        <v>+ PV(Equity Value realized at year 3)</v>
      </c>
      <c r="C148" s="216">
        <f>Scenarios!C82</f>
        <v>10.396416134902223</v>
      </c>
    </row>
    <row r="149" spans="2:4">
      <c r="B149" s="80" t="s">
        <v>256</v>
      </c>
      <c r="C149" s="215">
        <f>Scenarios!C83</f>
        <v>11.213851944381322</v>
      </c>
      <c r="D149" s="300" t="str">
        <f>IF($D$11="","",C149*$E$25)</f>
        <v/>
      </c>
    </row>
    <row r="150" spans="2:4">
      <c r="B150" s="259" t="s">
        <v>533</v>
      </c>
      <c r="C150" s="298" t="str">
        <f>Market_currency</f>
        <v>HKD</v>
      </c>
      <c r="D150" s="298" t="str">
        <f>IF($D$11="","",D$13)</f>
        <v/>
      </c>
    </row>
    <row r="151" spans="2:4">
      <c r="B151" s="214" t="s">
        <v>534</v>
      </c>
      <c r="C151" s="92">
        <f>Scenarios!F83</f>
        <v>0.56160069419779046</v>
      </c>
    </row>
    <row r="153" spans="2:4">
      <c r="B153" s="210" t="s">
        <v>391</v>
      </c>
    </row>
    <row r="154" spans="2:4">
      <c r="B154" s="1" t="s">
        <v>390</v>
      </c>
      <c r="C154" s="297">
        <f>Scenarios!C90</f>
        <v>0.25</v>
      </c>
    </row>
    <row r="155" spans="2:4">
      <c r="B155" s="212" t="str">
        <f>"PV("&amp;C141&amp;" yrs of Dividends)"</f>
        <v>PV(3 yrs of Dividends)</v>
      </c>
      <c r="C155" s="216">
        <f>Scenarios!C91</f>
        <v>0.94088908933886417</v>
      </c>
    </row>
    <row r="156" spans="2:4">
      <c r="B156" s="212" t="str">
        <f>"+ PV(Equity Value realized at year "&amp;C141&amp;")"</f>
        <v>+ PV(Equity Value realized at year 3)</v>
      </c>
      <c r="C156" s="216">
        <f>Scenarios!C92</f>
        <v>13.096490162129951</v>
      </c>
    </row>
    <row r="157" spans="2:4">
      <c r="B157" s="80" t="s">
        <v>256</v>
      </c>
      <c r="C157" s="215">
        <f>Scenarios!C93</f>
        <v>14.037379251468815</v>
      </c>
      <c r="D157" s="300" t="str">
        <f>IF($D$11="","",C157*$E$25)</f>
        <v/>
      </c>
    </row>
    <row r="158" spans="2:4">
      <c r="B158" s="259" t="s">
        <v>533</v>
      </c>
      <c r="C158" s="298" t="str">
        <f>Market_currency</f>
        <v>HKD</v>
      </c>
      <c r="D158" s="298" t="str">
        <f>IF($D$11="","",D$13)</f>
        <v/>
      </c>
    </row>
    <row r="159" spans="2:4">
      <c r="B159" s="214" t="s">
        <v>534</v>
      </c>
      <c r="C159" s="92">
        <f>Scenarios!F93</f>
        <v>0.45121646427571172</v>
      </c>
    </row>
    <row r="161" spans="2:4">
      <c r="B161" s="210" t="s">
        <v>381</v>
      </c>
    </row>
    <row r="162" spans="2:4">
      <c r="B162" s="1" t="s">
        <v>389</v>
      </c>
      <c r="C162" s="92">
        <f>Scenarios!C96</f>
        <v>7.4999999999999997E-2</v>
      </c>
    </row>
    <row r="163" spans="2:4">
      <c r="B163" s="212" t="str">
        <f>"PV("&amp;C141&amp;" yrs of Dividends)"</f>
        <v>PV(3 yrs of Dividends)</v>
      </c>
      <c r="C163" s="216">
        <f>Scenarios!C97</f>
        <v>1.2534868315524612</v>
      </c>
    </row>
    <row r="164" spans="2:4">
      <c r="B164" s="212" t="str">
        <f>"+ PV(Equity Value realized at year "&amp;C141&amp;")"</f>
        <v>+ PV(Equity Value realized at year 3)</v>
      </c>
      <c r="C164" s="216">
        <f>Scenarios!C98</f>
        <v>20.590152694306717</v>
      </c>
    </row>
    <row r="165" spans="2:4">
      <c r="B165" s="80" t="s">
        <v>382</v>
      </c>
      <c r="C165" s="215">
        <f>Scenarios!C99</f>
        <v>21.843639525859178</v>
      </c>
      <c r="D165" s="300" t="str">
        <f>IF($D$11="","",C165*$E$25)</f>
        <v/>
      </c>
    </row>
    <row r="166" spans="2:4">
      <c r="B166" s="259" t="s">
        <v>533</v>
      </c>
      <c r="C166" s="298" t="str">
        <f>Market_currency</f>
        <v>HKD</v>
      </c>
      <c r="D166" s="298" t="str">
        <f>IF($D$11="","",D$13)</f>
        <v/>
      </c>
    </row>
    <row r="167" spans="2:4">
      <c r="B167" s="214" t="s">
        <v>534</v>
      </c>
      <c r="C167" s="92">
        <f>Scenarios!F99</f>
        <v>0.14603505986820864</v>
      </c>
    </row>
    <row r="169" spans="2:4">
      <c r="B169" s="210" t="s">
        <v>409</v>
      </c>
    </row>
    <row r="170" spans="2:4">
      <c r="B170" s="1" t="s">
        <v>400</v>
      </c>
      <c r="C170" s="92">
        <f>F32</f>
        <v>0.1174</v>
      </c>
    </row>
    <row r="171" spans="2:4">
      <c r="B171" s="212" t="str">
        <f>"PV("&amp;C141&amp;" yrs of Dividends)"</f>
        <v>PV(3 yrs of Dividends)</v>
      </c>
      <c r="C171" s="216">
        <f>Scenarios!C103</f>
        <v>1.1629057162400167</v>
      </c>
    </row>
    <row r="172" spans="2:4">
      <c r="B172" s="212" t="str">
        <f>"+ PV(Equity Value realized at year "&amp;C141&amp;")"</f>
        <v>+ PV(Equity Value realized at year 3)</v>
      </c>
      <c r="C172" s="216">
        <f>Scenarios!C104</f>
        <v>18.334073116646017</v>
      </c>
    </row>
    <row r="173" spans="2:4">
      <c r="B173" s="80" t="s">
        <v>382</v>
      </c>
      <c r="C173" s="215">
        <f>Scenarios!C105</f>
        <v>19.496978832886033</v>
      </c>
      <c r="D173" s="300" t="str">
        <f>IF($D$11="","",C173*$E$25)</f>
        <v/>
      </c>
    </row>
    <row r="174" spans="2:4">
      <c r="B174" s="259" t="s">
        <v>533</v>
      </c>
      <c r="C174" s="298" t="str">
        <f>Market_currency</f>
        <v>HKD</v>
      </c>
      <c r="D174" s="298" t="str">
        <f>IF($D$11="","",D$13)</f>
        <v/>
      </c>
    </row>
    <row r="175" spans="2:4">
      <c r="B175" s="214" t="s">
        <v>534</v>
      </c>
      <c r="C175" s="92">
        <f>Scenarios!F105</f>
        <v>0.23621260639683328</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445A5-2DF0-44D7-947B-0C152792955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