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FEFB9B-9F5F-4219-8685-97034634916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<sst xmlns="http://schemas.openxmlformats.org/spreadsheetml/2006/main" count="685" uniqueCount="466">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</sst>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15.3</v>
      </c>
      <c r="D12" s="50"/>
      <c r="E12" s="48"/>
    </row>
    <row r="13" spans="1:10">
      <c r="B13" s="1" t="s">
        <v>416</v>
      </c>
      <c r="C13" s="48" t="s">
        <v>396</v>
      </c>
      <c r="D13" s="48"/>
      <c r="E13" s="5"/>
    </row>
    <row r="14" spans="1:10">
      <c r="B14" s="4" t="s">
        <v>420</v>
      </c>
      <c r="C14" s="35">
        <f>Thesis!C12*Common_Shares/1000000</f>
        <v>39547.407961800003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1.09297566</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25.603847594178983</v>
      </c>
      <c r="D26" s="1" t="s">
        <v>399</v>
      </c>
      <c r="E26" s="301">
        <f ca="1">Scenarios!C87</f>
        <v>0.21706797200668793</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10.900973502989334</v>
      </c>
      <c r="D29" s="310" t="str">
        <f>D149</f>
        <v/>
      </c>
      <c r="E29" s="306" t="s">
        <v>424</v>
      </c>
      <c r="F29" s="302">
        <v>0.3674</v>
      </c>
    </row>
    <row r="30" spans="2:6">
      <c r="B30" s="1" t="s">
        <v>426</v>
      </c>
      <c r="C30" s="311">
        <f>C157</f>
        <v>15.287823029144466</v>
      </c>
      <c r="D30" s="311" t="str">
        <f>D157</f>
        <v/>
      </c>
      <c r="E30" s="307" t="s">
        <v>437</v>
      </c>
      <c r="F30" s="312">
        <v>0.21740000000000001</v>
      </c>
    </row>
    <row r="31" spans="2:6">
      <c r="B31" s="1" t="s">
        <v>427</v>
      </c>
      <c r="C31" s="311">
        <f>C165</f>
        <v>22.001507063850173</v>
      </c>
      <c r="D31" s="311" t="str">
        <f>D165</f>
        <v/>
      </c>
      <c r="E31" s="307" t="s">
        <v>436</v>
      </c>
      <c r="F31" s="312">
        <v>7.4999999999999997E-2</v>
      </c>
    </row>
    <row r="32" spans="2:6">
      <c r="B32" s="1" t="s">
        <v>428</v>
      </c>
      <c r="C32" s="311">
        <f>C173</f>
        <v>19.642694612550038</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3205414.6239021346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179409.3</v>
      </c>
      <c r="D48" s="1" t="str">
        <f>Reporting_currency</f>
        <v>CNY</v>
      </c>
    </row>
    <row r="50" spans="2:6">
      <c r="B50" s="359" t="s">
        <v>240</v>
      </c>
      <c r="C50" s="359"/>
      <c r="D50" s="359"/>
      <c r="E50" s="359"/>
      <c r="F50" s="359"/>
    </row>
    <row r="51" spans="2:6">
      <c r="B51" s="47" t="s">
        <v>340</v>
      </c>
      <c r="C51" s="350">
        <f>Normalized_FCF!C48</f>
        <v>95927.356618902893</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-158493.64338109712</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-806582.57013025926</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2532218.6306189029</v>
      </c>
      <c r="D67" s="1" t="str">
        <f>Reporting_currency</f>
        <v>CNY</v>
      </c>
    </row>
    <row r="68" spans="1:6">
      <c r="B68" s="47" t="s">
        <v>248</v>
      </c>
      <c r="C68" s="349">
        <f>Normalized_FCF!C19</f>
        <v>2419747.7103907778</v>
      </c>
      <c r="D68" s="1" t="str">
        <f>Reporting_currency</f>
        <v>CNY</v>
      </c>
    </row>
    <row r="69" spans="1:6">
      <c r="B69" s="227" t="s">
        <v>390</v>
      </c>
      <c r="C69" s="92">
        <f>Normalized_FCF!C125</f>
        <v>6.6874808921800047E-2</v>
      </c>
      <c r="F69" s="314"/>
    </row>
    <row r="70" spans="1:6">
      <c r="B70" s="227" t="s">
        <v>308</v>
      </c>
      <c r="C70" s="92">
        <f>Normalized_FCF!C93</f>
        <v>3.4970789946248415E-2</v>
      </c>
      <c r="E70" s="47" t="s">
        <v>448</v>
      </c>
      <c r="F70" s="315">
        <f>Normalized_FCF!C92</f>
        <v>0.57154888123743752</v>
      </c>
    </row>
    <row r="72" spans="1:6">
      <c r="B72" s="210" t="s">
        <v>451</v>
      </c>
      <c r="C72" s="323" t="s">
        <v>453</v>
      </c>
      <c r="D72" s="323" t="s">
        <v>454</v>
      </c>
    </row>
    <row r="73" spans="1:6">
      <c r="B73" s="47" t="s">
        <v>452</v>
      </c>
      <c r="C73" s="92">
        <f>Normalized_FCF!C120</f>
        <v>0.12359671770993889</v>
      </c>
      <c r="D73" s="92">
        <f>Normalized_FCF!G120</f>
        <v>0.1390190340767124</v>
      </c>
    </row>
    <row r="74" spans="1:6">
      <c r="B74" s="259" t="str">
        <f>Normalized_FCF!B117</f>
        <v>Pre-tax Profit/Sales</v>
      </c>
      <c r="C74" s="322">
        <f>Normalized_FCF!C117</f>
        <v>0.12331912119012545</v>
      </c>
      <c r="D74" s="322">
        <f>Normalized_FCF!G117</f>
        <v>0.12655024442237975</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13.642461020047211</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1936137</v>
      </c>
      <c r="D102" s="1" t="str">
        <f>Reporting_currency</f>
        <v>CNY</v>
      </c>
    </row>
    <row r="103" spans="2:6">
      <c r="B103" s="47" t="s">
        <v>281</v>
      </c>
      <c r="C103" s="223">
        <f>C102*scaling_factor*Exchange_Rate/Common_Shares</f>
        <v>0.81869093537768445</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14107514.837858573</v>
      </c>
      <c r="D109" s="1" t="str">
        <f>Reporting_currency</f>
        <v>CNY</v>
      </c>
    </row>
    <row r="110" spans="2:6">
      <c r="B110" s="47" t="s">
        <v>282</v>
      </c>
      <c r="C110" s="223">
        <f>C109*scaling_factor*Exchange_Rate/Common_Shares</f>
        <v>5.9653291675439268</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0.2374594719795676</v>
      </c>
      <c r="D114" s="1" t="str">
        <f>Market_currency</f>
        <v>HKD</v>
      </c>
    </row>
    <row r="116" spans="1:6" ht="24.5" customHeight="1">
      <c r="B116" s="358" t="s">
        <v>366</v>
      </c>
      <c r="C116" s="358"/>
      <c r="D116" s="358"/>
      <c r="E116" s="358"/>
      <c r="F116" s="358"/>
    </row>
    <row r="118" spans="1:6">
      <c r="B118" s="47" t="s">
        <v>449</v>
      </c>
      <c r="C118" s="223">
        <f>IF(valuation_method="DCF",DCF!C12,DDM!C7)</f>
        <v>19.02655872419302</v>
      </c>
      <c r="D118" s="1" t="str">
        <f>Market_currency</f>
        <v>HKD</v>
      </c>
    </row>
    <row r="119" spans="1:6">
      <c r="B119" s="296" t="s">
        <v>405</v>
      </c>
      <c r="C119" s="223">
        <f>BS!D47</f>
        <v>4.6077744147049469</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51.81 HKD</v>
      </c>
      <c r="F126" s="232">
        <f>DCF!F74</f>
        <v>0.05</v>
      </c>
    </row>
    <row r="127" spans="1:6">
      <c r="B127" s="218" t="str">
        <f>DCF!B75</f>
        <v>Optimistic</v>
      </c>
      <c r="C127" s="219">
        <f>DCF!C75</f>
        <v>0.06</v>
      </c>
      <c r="D127" s="220">
        <f>DCF!D75</f>
        <v>20</v>
      </c>
      <c r="E127" s="231" t="str">
        <f>ROUND(IF(valuation_method="DCF",DCF!E75,DDM!E70),2)&amp;" "&amp;Market_currency</f>
        <v>26.5 HKD</v>
      </c>
      <c r="F127" s="221">
        <f>DCF!F75</f>
        <v>0.22499999999999992</v>
      </c>
    </row>
    <row r="128" spans="1:6">
      <c r="B128" s="218" t="str">
        <f>DCF!B76</f>
        <v>Base</v>
      </c>
      <c r="C128" s="219">
        <f>DCF!C76</f>
        <v>0.05</v>
      </c>
      <c r="D128" s="220">
        <f>DCF!D76</f>
        <v>20</v>
      </c>
      <c r="E128" s="231" t="str">
        <f>ROUND(IF(valuation_method="DCF",DCF!E76,DDM!E71),2)&amp;" "&amp;Market_currency</f>
        <v>24.89 HKD</v>
      </c>
      <c r="F128" s="221">
        <f>DCF!F76</f>
        <v>0.495</v>
      </c>
    </row>
    <row r="129" spans="1:6">
      <c r="B129" s="218" t="str">
        <f>DCF!B77</f>
        <v>Pessimistic</v>
      </c>
      <c r="C129" s="219">
        <f>DCF!C77</f>
        <v>0.02</v>
      </c>
      <c r="D129" s="220">
        <f>DCF!D77</f>
        <v>20</v>
      </c>
      <c r="E129" s="231" t="str">
        <f>ROUND(IF(valuation_method="DCF",DCF!E77,DDM!E72),2)&amp;" "&amp;Market_currency</f>
        <v>21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258</v>
      </c>
      <c r="C132" s="217">
        <f>Scenarios!C60</f>
        <v>25.603847594178983</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0.53505308617760072</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0.88672171342275774</v>
      </c>
    </row>
    <row r="148" spans="2:4">
      <c r="B148" s="212" t="str">
        <f>"+ PV(Equity Value realized at year "&amp;C141&amp;")"</f>
        <v>+ PV(Equity Value realized at year 3)</v>
      </c>
      <c r="C148" s="216">
        <f>Scenarios!C82</f>
        <v>10.014251789566577</v>
      </c>
    </row>
    <row r="149" spans="2:4">
      <c r="B149" s="80" t="s">
        <v>260</v>
      </c>
      <c r="C149" s="215">
        <f>Scenarios!C83</f>
        <v>10.900973502989334</v>
      </c>
      <c r="D149" s="300" t="str">
        <f>IF($D$11="","",C149*$E$25)</f>
        <v/>
      </c>
    </row>
    <row r="150" spans="2:4">
      <c r="B150" s="259" t="s">
        <v>416</v>
      </c>
      <c r="C150" s="298" t="str">
        <f>Market_currency</f>
        <v>HKD</v>
      </c>
      <c r="D150" s="298" t="str">
        <f>IF($D$11="","",D$13)</f>
        <v/>
      </c>
    </row>
    <row r="151" spans="2:4">
      <c r="B151" s="214" t="s">
        <v>262</v>
      </c>
      <c r="C151" s="92">
        <f>Scenarios!F83</f>
        <v>0.57424471213195072</v>
      </c>
    </row>
    <row r="153" spans="2:4">
      <c r="B153" s="210" t="s">
        <v>411</v>
      </c>
    </row>
    <row r="154" spans="2:4">
      <c r="B154" s="1" t="s">
        <v>410</v>
      </c>
      <c r="C154" s="297">
        <f>Scenarios!C90</f>
        <v>0.21740000000000001</v>
      </c>
    </row>
    <row r="155" spans="2:4">
      <c r="B155" s="212" t="str">
        <f>"PV("&amp;C141&amp;" yrs of Dividends)"</f>
        <v>PV(3 yrs of Dividends)</v>
      </c>
      <c r="C155" s="216">
        <f>Scenarios!C91</f>
        <v>1.0970732887100296</v>
      </c>
    </row>
    <row r="156" spans="2:4">
      <c r="B156" s="212" t="str">
        <f>"+ PV(Equity Value realized at year "&amp;C141&amp;")"</f>
        <v>+ PV(Equity Value realized at year 3)</v>
      </c>
      <c r="C156" s="216">
        <f>Scenarios!C92</f>
        <v>14.190749740434436</v>
      </c>
    </row>
    <row r="157" spans="2:4">
      <c r="B157" s="80" t="s">
        <v>260</v>
      </c>
      <c r="C157" s="215">
        <f>Scenarios!C93</f>
        <v>15.287823029144466</v>
      </c>
      <c r="D157" s="300" t="str">
        <f>IF($D$11="","",C157*$E$25)</f>
        <v/>
      </c>
    </row>
    <row r="158" spans="2:4">
      <c r="B158" s="259" t="s">
        <v>416</v>
      </c>
      <c r="C158" s="298" t="str">
        <f>Market_currency</f>
        <v>HKD</v>
      </c>
      <c r="D158" s="298" t="str">
        <f>IF($D$11="","",D$13)</f>
        <v/>
      </c>
    </row>
    <row r="159" spans="2:4">
      <c r="B159" s="214" t="s">
        <v>262</v>
      </c>
      <c r="C159" s="92">
        <f>Scenarios!F93</f>
        <v>0.40290915367656921</v>
      </c>
    </row>
    <row r="161" spans="2:4">
      <c r="B161" s="210" t="s">
        <v>400</v>
      </c>
    </row>
    <row r="162" spans="2:4">
      <c r="B162" s="1" t="s">
        <v>409</v>
      </c>
      <c r="C162" s="92">
        <f>Scenarios!C96</f>
        <v>7.4999999999999997E-2</v>
      </c>
    </row>
    <row r="163" spans="2:4">
      <c r="B163" s="212" t="str">
        <f>"PV("&amp;C141&amp;" yrs of Dividends)"</f>
        <v>PV(3 yrs of Dividends)</v>
      </c>
      <c r="C163" s="216">
        <f>Scenarios!C97</f>
        <v>1.3914193228027807</v>
      </c>
    </row>
    <row r="164" spans="2:4">
      <c r="B164" s="212" t="str">
        <f>"+ PV(Equity Value realized at year "&amp;C141&amp;")"</f>
        <v>+ PV(Equity Value realized at year 3)</v>
      </c>
      <c r="C164" s="216">
        <f>Scenarios!C98</f>
        <v>20.610087741047394</v>
      </c>
    </row>
    <row r="165" spans="2:4">
      <c r="B165" s="80" t="s">
        <v>401</v>
      </c>
      <c r="C165" s="215">
        <f>Scenarios!C99</f>
        <v>22.001507063850173</v>
      </c>
      <c r="D165" s="300" t="str">
        <f>IF($D$11="","",C165*$E$25)</f>
        <v/>
      </c>
    </row>
    <row r="166" spans="2:4">
      <c r="B166" s="259" t="s">
        <v>416</v>
      </c>
      <c r="C166" s="298" t="str">
        <f>Market_currency</f>
        <v>HKD</v>
      </c>
      <c r="D166" s="298" t="str">
        <f>IF($D$11="","",D$13)</f>
        <v/>
      </c>
    </row>
    <row r="167" spans="2:4">
      <c r="B167" s="214" t="s">
        <v>262</v>
      </c>
      <c r="C167" s="92">
        <f>Scenarios!F99</f>
        <v>0.14069528093690886</v>
      </c>
    </row>
    <row r="169" spans="2:4">
      <c r="B169" s="210" t="s">
        <v>432</v>
      </c>
    </row>
    <row r="170" spans="2:4">
      <c r="B170" s="1" t="s">
        <v>423</v>
      </c>
      <c r="C170" s="92">
        <f>F32</f>
        <v>0.1174</v>
      </c>
    </row>
    <row r="171" spans="2:4">
      <c r="B171" s="212" t="str">
        <f>"PV("&amp;C141&amp;" yrs of Dividends)"</f>
        <v>PV(3 yrs of Dividends)</v>
      </c>
      <c r="C171" s="216">
        <f>Scenarios!C103</f>
        <v>1.2908707482552009</v>
      </c>
    </row>
    <row r="172" spans="2:4">
      <c r="B172" s="212" t="str">
        <f>"+ PV(Equity Value realized at year "&amp;C141&amp;")"</f>
        <v>+ PV(Equity Value realized at year 3)</v>
      </c>
      <c r="C172" s="216">
        <f>Scenarios!C104</f>
        <v>18.351823864294836</v>
      </c>
    </row>
    <row r="173" spans="2:4">
      <c r="B173" s="80" t="s">
        <v>401</v>
      </c>
      <c r="C173" s="215">
        <f>Scenarios!C105</f>
        <v>19.642694612550038</v>
      </c>
      <c r="D173" s="300" t="str">
        <f>IF($D$11="","",C173*$E$25)</f>
        <v/>
      </c>
    </row>
    <row r="174" spans="2:4">
      <c r="B174" s="259" t="s">
        <v>416</v>
      </c>
      <c r="C174" s="298" t="str">
        <f>Market_currency</f>
        <v>HKD</v>
      </c>
      <c r="D174" s="298" t="str">
        <f>IF($D$11="","",D$13)</f>
        <v/>
      </c>
    </row>
    <row r="175" spans="2:4">
      <c r="B175" s="214" t="s">
        <v>262</v>
      </c>
      <c r="C175" s="92">
        <f>Scenarios!F105</f>
        <v>0.23124854004168027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0.53505308617760072</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0.53505308617760072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11.037882941247531</v>
      </c>
      <c r="D47" s="147">
        <f>D46*H1/Common_Shares*Exchange_Rate</f>
        <v>4.6077744147049469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14107514.837858573</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-2210779.8413958917</v>
      </c>
      <c r="D73" s="349">
        <f>(Normalized_FCF!C25+Normalized_FCF!C35-Normalized_FCF!C91)/12</f>
        <v>-2028336.5810707137</v>
      </c>
      <c r="F73" s="1" t="s">
        <v>351</v>
      </c>
    </row>
    <row r="74" spans="2:6" ht="15" customHeight="1">
      <c r="B74" s="257" t="s">
        <v>321</v>
      </c>
      <c r="C74" s="258">
        <f>-$C$66/C73</f>
        <v>8.2161903505195202</v>
      </c>
      <c r="D74" s="258">
        <f>-$C$66/D73</f>
        <v>8.9552139272721352</v>
      </c>
      <c r="F74" s="253" t="s">
        <v>319</v>
      </c>
    </row>
    <row r="75" spans="2:6" ht="15" customHeight="1">
      <c r="B75" s="80" t="s">
        <v>320</v>
      </c>
      <c r="C75" s="320"/>
      <c r="D75" s="321">
        <f>MAX(-D73*D76,G5)</f>
        <v>4056673.1621414274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-2116150.61542542</v>
      </c>
      <c r="D86" s="223">
        <f>C86*scaling_factor/Common_Shares</f>
        <v>-0.81869093537768445</v>
      </c>
      <c r="E86" s="240" t="str">
        <f>Market_currency</f>
        <v>HKD</v>
      </c>
    </row>
    <row r="87" spans="2:8" ht="15" customHeight="1">
      <c r="B87" s="238" t="s">
        <v>287</v>
      </c>
      <c r="C87" s="76">
        <f>DCF!C8*Exchange_Rate</f>
        <v>15419170.340868266</v>
      </c>
      <c r="D87" s="223">
        <f>C87*scaling_factor/Common_Shares</f>
        <v>5.9653291675439277</v>
      </c>
      <c r="E87" s="240" t="str">
        <f>Market_currency</f>
        <v>HKD</v>
      </c>
    </row>
    <row r="88" spans="2:8" ht="15" customHeight="1">
      <c r="B88" s="239" t="s">
        <v>189</v>
      </c>
      <c r="C88" s="76">
        <f>DCF!C9*Exchange_Rate</f>
        <v>613784.74593265192</v>
      </c>
      <c r="D88" s="223">
        <f>C88*scaling_factor/Common_Shares</f>
        <v>0.23745947197956754</v>
      </c>
      <c r="E88" s="240" t="str">
        <f>Market_currency</f>
        <v>HKD</v>
      </c>
    </row>
    <row r="89" spans="2:8" ht="15" customHeight="1">
      <c r="B89" s="80" t="s">
        <v>291</v>
      </c>
      <c r="C89" s="180">
        <f>SUM(C86:C88)</f>
        <v>13916804.471375497</v>
      </c>
      <c r="D89" s="242">
        <f>SUM(D86:D88)</f>
        <v>5.3840977041458107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-158493.64338109712</v>
      </c>
      <c r="E12" s="268"/>
      <c r="G12" s="328">
        <f>G50</f>
        <v>-158493.64338109712</v>
      </c>
      <c r="H12" s="328">
        <f t="shared" ref="H12:Q12" si="6">H50</f>
        <v>-69655.035749417249</v>
      </c>
      <c r="I12" s="328">
        <f t="shared" si="6"/>
        <v>-20563.835524357055</v>
      </c>
      <c r="J12" s="328">
        <f t="shared" si="6"/>
        <v>-80052.967316610317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3226330.2805210371</v>
      </c>
      <c r="E13" s="268"/>
      <c r="G13" s="329">
        <f>IF(G$4="","",SUM(G8:G12))</f>
        <v>3628909.6306189029</v>
      </c>
      <c r="H13" s="329">
        <f t="shared" ref="H13:Q13" si="7">IF(H$4="","",SUM(H8:H12))</f>
        <v>3325914.2382505829</v>
      </c>
      <c r="I13" s="329">
        <f t="shared" si="7"/>
        <v>4239693.5894756429</v>
      </c>
      <c r="J13" s="329">
        <f t="shared" si="7"/>
        <v>4800542.786683389</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-806582.57013025926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2419747.7103907778</v>
      </c>
      <c r="D16" s="61"/>
      <c r="E16" s="276"/>
      <c r="F16" s="61"/>
      <c r="G16" s="329">
        <f>IF(G$4="","",SUM(G13:G15))</f>
        <v>2532218.6306189029</v>
      </c>
      <c r="H16" s="329">
        <f t="shared" ref="H16:Q16" si="8">IF(H$4="","",SUM(H13:H15))</f>
        <v>2256655.2382505829</v>
      </c>
      <c r="I16" s="329">
        <f t="shared" si="8"/>
        <v>2888364.5894756429</v>
      </c>
      <c r="J16" s="329">
        <f t="shared" si="8"/>
        <v>3483186.786683389</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2419747.7103907778</v>
      </c>
      <c r="D19" s="27"/>
      <c r="E19" s="265"/>
      <c r="F19" s="27"/>
      <c r="G19" s="334">
        <f>IF(G$4="","",G16+G17)</f>
        <v>2532218.6306189029</v>
      </c>
      <c r="H19" s="334">
        <f t="shared" ref="H19:Q19" si="9">IF(H$4="","",H16+H17)</f>
        <v>2256655.2382505829</v>
      </c>
      <c r="I19" s="334">
        <f t="shared" si="9"/>
        <v>2888364.5894756429</v>
      </c>
      <c r="J19" s="334">
        <f t="shared" si="9"/>
        <v>3483186.786683389</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0.30236075827437564</v>
      </c>
      <c r="H43" s="6">
        <f t="shared" si="18"/>
        <v>0.32165317925215636</v>
      </c>
      <c r="I43" s="6">
        <f t="shared" si="18"/>
        <v>0.31887037111713867</v>
      </c>
      <c r="J43" s="6">
        <f t="shared" si="18"/>
        <v>0.27447543992032786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95927.356618902893</v>
      </c>
      <c r="E48" s="268"/>
      <c r="G48" s="337">
        <f>IFERROR(IF(G$4="","",($C$48/$C$49)*G49),0)</f>
        <v>95927.356618902893</v>
      </c>
      <c r="H48" s="337">
        <f t="shared" ref="H48:Q48" si="19">IFERROR(IF(H$4="","",($C$48/$C$49)*H49),0)</f>
        <v>111790.96425058275</v>
      </c>
      <c r="I48" s="337">
        <f t="shared" si="19"/>
        <v>99997.164475642945</v>
      </c>
      <c r="J48" s="337">
        <f t="shared" si="19"/>
        <v>32405.032683389683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-158493.64338109712</v>
      </c>
      <c r="E50" s="268"/>
      <c r="G50" s="329">
        <f>IF(G$4="","",(G47+G48))</f>
        <v>-158493.64338109712</v>
      </c>
      <c r="H50" s="329">
        <f t="shared" ref="H50:Q50" si="20">IF(H$4="","",(H47+H48))</f>
        <v>-69655.035749417249</v>
      </c>
      <c r="I50" s="329">
        <f t="shared" si="20"/>
        <v>-20563.835524357055</v>
      </c>
      <c r="J50" s="329">
        <f t="shared" si="20"/>
        <v>-80052.967316610317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6.0580582632790989E-3</v>
      </c>
      <c r="D80" s="27"/>
      <c r="E80" s="265"/>
      <c r="F80" s="27"/>
      <c r="G80" s="6">
        <f t="shared" ref="G80:Q80" si="31">IF(G$4="","",ABS(G12/G$4))</f>
        <v>5.527117330240759E-3</v>
      </c>
      <c r="H80" s="6">
        <f t="shared" si="31"/>
        <v>2.5238711692395521E-3</v>
      </c>
      <c r="I80" s="6">
        <f t="shared" si="31"/>
        <v>7.9694339011117474E-4</v>
      </c>
      <c r="J80" s="6">
        <f t="shared" si="31"/>
        <v>3.5465165136217432E-3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0.12331912119012545</v>
      </c>
      <c r="D81" s="27"/>
      <c r="E81" s="265"/>
      <c r="F81" s="27"/>
      <c r="G81" s="65">
        <f t="shared" ref="G81:Q81" si="32">IF(G$4="","",G13/G$4)</f>
        <v>0.12655024442237975</v>
      </c>
      <c r="H81" s="65">
        <f t="shared" si="32"/>
        <v>0.12051072786010594</v>
      </c>
      <c r="I81" s="65">
        <f t="shared" si="32"/>
        <v>0.16430766421114792</v>
      </c>
      <c r="J81" s="65">
        <f t="shared" si="32"/>
        <v>0.21267424354159817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3.0829780297531362E-2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9.2489340892594085E-2</v>
      </c>
      <c r="D84" s="27"/>
      <c r="E84" s="265"/>
      <c r="F84" s="27"/>
      <c r="G84" s="65">
        <f t="shared" ref="G84:Q84" si="35">IF(G$4="","",ABS(G16/G$4))</f>
        <v>8.8305557110573002E-2</v>
      </c>
      <c r="H84" s="65">
        <f t="shared" si="35"/>
        <v>8.1767341491626594E-2</v>
      </c>
      <c r="I84" s="65">
        <f t="shared" si="35"/>
        <v>0.11193743818303371</v>
      </c>
      <c r="J84" s="65">
        <f t="shared" si="35"/>
        <v>0.15431257420033842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9.2489340892594085E-2</v>
      </c>
      <c r="D87" s="75"/>
      <c r="E87" s="265"/>
      <c r="F87" s="75"/>
      <c r="G87" s="65">
        <f t="shared" ref="G87:Q87" si="36">IF(G$4="","",ABS(G19/G$4))</f>
        <v>8.8305557110573002E-2</v>
      </c>
      <c r="H87" s="65">
        <f t="shared" si="36"/>
        <v>8.1767341491626594E-2</v>
      </c>
      <c r="I87" s="65">
        <f t="shared" si="36"/>
        <v>0.11193743818303371</v>
      </c>
      <c r="J87" s="65">
        <f t="shared" si="36"/>
        <v>0.15431257420033842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0.53505308617760072</v>
      </c>
      <c r="E90" s="268"/>
      <c r="G90" s="112">
        <f>Data!C65</f>
        <v>0.53505308617760072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1383004.0967506999</v>
      </c>
      <c r="E91" s="268"/>
      <c r="G91" s="74">
        <f t="shared" ref="G91:Q91" si="37">IF(G$4="","",G90*Common_Shares/scaling_factor)</f>
        <v>1383004.0967506999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0.57154888123743752</v>
      </c>
      <c r="E92" s="268"/>
      <c r="G92" s="170">
        <f t="shared" ref="G92:Q92" si="38">IF(G$4="","",G90/(G19*scaling_factor/Common_Shares))</f>
        <v>0.54616298925684714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3.4970789946248415E-2</v>
      </c>
      <c r="E93" s="268"/>
      <c r="G93" s="23">
        <f t="shared" ref="G93:Q93" si="39">IF(G$4="","",G90/Market_Price)</f>
        <v>3.4970789946248415E-2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-0.11093672509811348</v>
      </c>
      <c r="D97" s="27"/>
      <c r="E97" s="265"/>
      <c r="F97" s="27"/>
      <c r="G97" s="6">
        <f t="shared" ref="G97:Q97" si="41">IF(H5="","",G13/H13-1)</f>
        <v>9.1101384660986939E-2</v>
      </c>
      <c r="H97" s="6">
        <f t="shared" si="41"/>
        <v>-0.2155295735270516</v>
      </c>
      <c r="I97" s="6">
        <f t="shared" si="41"/>
        <v>-0.11683037150789088</v>
      </c>
      <c r="J97" s="6">
        <f t="shared" si="41"/>
        <v>1.4633319093447037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2.0773824554761005</v>
      </c>
      <c r="I114" s="295">
        <f>IF(I$4="","",Data!E$22/I19)</f>
        <v>1.3549549853436198</v>
      </c>
      <c r="J114" s="295">
        <f>IF(J$4="","",Data!F$22/J19)</f>
        <v>1.8733807285176558</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0.12331912119012545</v>
      </c>
      <c r="E117" s="268"/>
      <c r="G117" s="23">
        <f t="shared" ref="G117:Q117" si="45">IF(G4="","",IF(valuation_method="DDM",G13/(G4+G12),G81))</f>
        <v>0.12655024442237975</v>
      </c>
      <c r="H117" s="23">
        <f t="shared" si="45"/>
        <v>0.12051072786010594</v>
      </c>
      <c r="I117" s="23">
        <f t="shared" si="45"/>
        <v>0.16430766421114792</v>
      </c>
      <c r="J117" s="23">
        <f t="shared" si="45"/>
        <v>0.21267424354159817</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0.12359671770993889</v>
      </c>
      <c r="D120" s="103"/>
      <c r="E120" s="271"/>
      <c r="F120" s="103"/>
      <c r="G120" s="102">
        <f>IF(G$4="","",G13/G105)</f>
        <v>0.1390190340767124</v>
      </c>
      <c r="H120" s="102">
        <f t="shared" ref="H120:Q120" si="48">IF(H$4="","",H13/H105)</f>
        <v>0.13627087145054426</v>
      </c>
      <c r="I120" s="102">
        <f t="shared" si="48"/>
        <v>0.17424404631953716</v>
      </c>
      <c r="J120" s="102">
        <f t="shared" si="48"/>
        <v>0.22746960042817205</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1.0231845765035408</v>
      </c>
      <c r="D124" s="27"/>
      <c r="E124" s="265"/>
      <c r="F124" s="27"/>
      <c r="G124" s="177">
        <f t="shared" ref="G124:Q124" si="49">IF(G$4="","",G16*$C$3/Common_Shares*Exchange_Rate)</f>
        <v>1.0707426381925393</v>
      </c>
      <c r="H124" s="177">
        <f t="shared" si="49"/>
        <v>0.95422131172965607</v>
      </c>
      <c r="I124" s="177">
        <f t="shared" si="49"/>
        <v>1.2213381116468491</v>
      </c>
      <c r="J124" s="177">
        <f t="shared" si="49"/>
        <v>1.472857266032835</v>
      </c>
      <c r="K124" s="177">
        <f t="shared" si="49"/>
        <v>0.59174127096654672</v>
      </c>
      <c r="L124" s="177">
        <f t="shared" si="49"/>
        <v>0.58303880760387339</v>
      </c>
      <c r="M124" s="177">
        <f t="shared" si="49"/>
        <v>0.25076132805014739</v>
      </c>
      <c r="N124" s="177">
        <f t="shared" si="49"/>
        <v>0.19175251889930151</v>
      </c>
      <c r="O124" s="177">
        <f t="shared" si="49"/>
        <v>9.7857089156834068E-2</v>
      </c>
      <c r="P124" s="177">
        <f t="shared" si="49"/>
        <v>5.0881254918426107E-3</v>
      </c>
      <c r="Q124" s="177" t="str">
        <f t="shared" si="49"/>
        <v/>
      </c>
    </row>
    <row r="125" spans="1:17" ht="15.75" customHeight="1">
      <c r="A125" s="10"/>
      <c r="B125" s="27" t="s">
        <v>269</v>
      </c>
      <c r="C125" s="77">
        <f>C19*Exchange_Rate*$C$3/(Market_Price*Common_Shares)</f>
        <v>6.6874808921800047E-2</v>
      </c>
      <c r="D125" s="27"/>
      <c r="E125" s="265"/>
      <c r="F125" s="27"/>
      <c r="G125" s="77">
        <f t="shared" ref="G125" si="50">IF(G$4="","",G124/Market_Price)</f>
        <v>6.9983178966832635E-2</v>
      </c>
      <c r="H125" s="77">
        <f t="shared" ref="H125" si="51">IF(H$4="","",H124/Market_Price)</f>
        <v>6.2367405995402352E-2</v>
      </c>
      <c r="I125" s="77">
        <f t="shared" ref="I125" si="52">IF(I$4="","",I124/Market_Price)</f>
        <v>7.9826020369075101E-2</v>
      </c>
      <c r="J125" s="77">
        <f t="shared" ref="J125" si="53">IF(J$4="","",J124/Market_Price)</f>
        <v>9.6265180786459792E-2</v>
      </c>
      <c r="K125" s="77">
        <f t="shared" ref="K125" si="54">IF(K$4="","",K124/Market_Price)</f>
        <v>3.8675900063172987E-2</v>
      </c>
      <c r="L125" s="77">
        <f t="shared" ref="L125" si="55">IF(L$4="","",L124/Market_Price)</f>
        <v>3.8107111608096302E-2</v>
      </c>
      <c r="M125" s="77">
        <f t="shared" ref="M125" si="56">IF(M$4="","",M124/Market_Price)</f>
        <v>1.6389629284323359E-2</v>
      </c>
      <c r="N125" s="77">
        <f t="shared" ref="N125" si="57">IF(N$4="","",N124/Market_Price)</f>
        <v>1.2532844372503366E-2</v>
      </c>
      <c r="O125" s="77">
        <f t="shared" ref="O125" si="58">IF(O$4="","",O124/Market_Price)</f>
        <v>6.3958881801852328E-3</v>
      </c>
      <c r="P125" s="77">
        <f t="shared" ref="P125" si="59">IF(P$4="","",P124/Market_Price)</f>
        <v>3.3255722168905951E-4</v>
      </c>
      <c r="Q125" s="77" t="str">
        <f t="shared" ref="Q125" si="60">IF(Q$4="","",Q124/Market_Price)</f>
        <v/>
      </c>
    </row>
    <row r="126" spans="1:17" ht="15.75" customHeight="1">
      <c r="B126" s="2" t="s">
        <v>394</v>
      </c>
      <c r="C126" s="169"/>
      <c r="G126" s="23">
        <f>IF(G$4="","",(Data!C47*$C$3)/(Market_Price*Common_Shares))</f>
        <v>7.6184967745806895E-2</v>
      </c>
      <c r="H126" s="23">
        <f>IF(H$4="","",(Data!D47*$C$3)/(Market_Price*Common_Shares))</f>
        <v>8.058586299962768E-2</v>
      </c>
      <c r="I126" s="23">
        <f>IF(I$4="","",(Data!E47*$C$3)/(Market_Price*Common_Shares))</f>
        <v>0.10275694942953822</v>
      </c>
      <c r="J126" s="23">
        <f>IF(J$4="","",(Data!F47*$C$3)/(Market_Price*Common_Shares))</f>
        <v>0.10141974421874207</v>
      </c>
      <c r="K126" s="23">
        <f>IF(K$4="","",(Data!G47*$C$3)/(Market_Price*Common_Shares))</f>
        <v>4.2948048621558592E-2</v>
      </c>
      <c r="L126" s="23">
        <f>IF(L$4="","",(Data!H47*$C$3)/(Market_Price*Common_Shares))</f>
        <v>3.7907490712111046E-2</v>
      </c>
      <c r="M126" s="23">
        <f>IF(M$4="","",(Data!I47*$C$3)/(Market_Price*Common_Shares))</f>
        <v>1.8086216944758895E-2</v>
      </c>
      <c r="N126" s="23">
        <f>IF(N$4="","",(Data!J47*$C$3)/(Market_Price*Common_Shares))</f>
        <v>1.3026264591034722E-2</v>
      </c>
      <c r="O126" s="23">
        <f>IF(O$4="","",(Data!K47*$C$3)/(Market_Price*Common_Shares))</f>
        <v>1.7722248716704515E-2</v>
      </c>
      <c r="P126" s="23">
        <f>IF(P$4="","",(Data!L47*$C$3)/(Market_Price*Common_Shares))</f>
        <v>1.5577506384111461E-3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2419747.7103907778</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32263302.805210371</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14107514.837858573</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44996252.843068942</v>
      </c>
      <c r="D10" t="str">
        <f>Reporting_currency</f>
        <v>CNY</v>
      </c>
      <c r="H10" s="120"/>
    </row>
    <row r="11" spans="2:8" ht="13.15" thickBot="1">
      <c r="B11" s="207" t="s">
        <v>166</v>
      </c>
      <c r="C11" s="208">
        <f>Exchange_Rate</f>
        <v>1.09297566</v>
      </c>
      <c r="D11" t="str">
        <f>Thesis!C15</f>
        <v>CNY/HKD</v>
      </c>
      <c r="H11" s="120"/>
    </row>
    <row r="12" spans="2:8" ht="13.5" thickTop="1">
      <c r="B12" s="149" t="s">
        <v>102</v>
      </c>
      <c r="C12" s="111">
        <f>(C10*scaling_factor)/Common_Shares*Exchange_Rate</f>
        <v>19.02655872419302</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25.551424141184757</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2551011.9132872527</v>
      </c>
      <c r="D21" s="138">
        <f>IF($C$17&lt;B21,0,DCF!$C$16)</f>
        <v>5.4247061515052201E-2</v>
      </c>
      <c r="E21" s="124">
        <f t="shared" ref="E21:E50" si="0">IF($C$17&lt;B21,0,1/(1+Equity_Cost)^B21)</f>
        <v>0.93023255813953487</v>
      </c>
      <c r="F21" s="125">
        <f t="shared" ref="F21:F51" si="1">C21*E21</f>
        <v>2373034.3379416303</v>
      </c>
      <c r="H21" s="120"/>
    </row>
    <row r="22" spans="2:17">
      <c r="B22" s="122">
        <v>2</v>
      </c>
      <c r="C22" s="123">
        <f t="shared" ref="C22:C50" si="2">IF(ROW()-ROW($C$21)&lt;$C$17, $C$21*(1+D22)^(ROW()-ROW($C$21)), 0)</f>
        <v>2689396.8134729769</v>
      </c>
      <c r="D22" s="138">
        <f>IF($C$17&lt;B22,0,DCF!$C$16)</f>
        <v>5.4247061515052201E-2</v>
      </c>
      <c r="E22" s="124">
        <f t="shared" si="0"/>
        <v>0.86533261222282321</v>
      </c>
      <c r="F22" s="125">
        <f t="shared" si="1"/>
        <v>2327222.769906308</v>
      </c>
      <c r="H22" s="120"/>
    </row>
    <row r="23" spans="2:17">
      <c r="B23" s="122">
        <v>3</v>
      </c>
      <c r="C23" s="123">
        <f t="shared" si="2"/>
        <v>2835288.6878518309</v>
      </c>
      <c r="D23" s="138">
        <f>IF($C$17&lt;B23,0,DCF!$C$16)</f>
        <v>5.4247061515052201E-2</v>
      </c>
      <c r="E23" s="124">
        <f t="shared" si="0"/>
        <v>0.80496056950960304</v>
      </c>
      <c r="F23" s="125">
        <f t="shared" si="1"/>
        <v>2282295.596897345</v>
      </c>
      <c r="G23" s="338"/>
      <c r="H23" s="339"/>
      <c r="I23" s="338"/>
      <c r="J23" s="338"/>
      <c r="K23" s="338"/>
      <c r="L23" s="338"/>
      <c r="M23" s="338"/>
      <c r="N23" s="338"/>
      <c r="O23" s="338"/>
      <c r="P23" s="338"/>
      <c r="Q23" s="338"/>
    </row>
    <row r="24" spans="2:17">
      <c r="B24" s="122">
        <v>4</v>
      </c>
      <c r="C24" s="123">
        <f t="shared" si="2"/>
        <v>2989094.7677146601</v>
      </c>
      <c r="D24" s="138">
        <f>IF($C$17&lt;B24,0,DCF!$C$16)</f>
        <v>5.4247061515052201E-2</v>
      </c>
      <c r="E24" s="124">
        <f t="shared" si="0"/>
        <v>0.7488005297763749</v>
      </c>
      <c r="F24" s="125">
        <f t="shared" si="1"/>
        <v>2238235.7456165277</v>
      </c>
      <c r="G24" s="338"/>
      <c r="H24" s="339"/>
      <c r="I24" s="338"/>
      <c r="J24" s="338"/>
      <c r="K24" s="338"/>
      <c r="L24" s="338"/>
      <c r="M24" s="338"/>
      <c r="N24" s="338"/>
      <c r="O24" s="338"/>
      <c r="P24" s="338"/>
      <c r="Q24" s="338"/>
    </row>
    <row r="25" spans="2:17">
      <c r="B25" s="122">
        <v>5</v>
      </c>
      <c r="C25" s="123">
        <f t="shared" si="2"/>
        <v>3151244.3754531974</v>
      </c>
      <c r="D25" s="138">
        <f>IF($C$17&lt;B25,0,DCF!$C$16)</f>
        <v>5.4247061515052201E-2</v>
      </c>
      <c r="E25" s="124">
        <f t="shared" si="0"/>
        <v>0.69655863235011617</v>
      </c>
      <c r="F25" s="125">
        <f t="shared" si="1"/>
        <v>2195026.4723666753</v>
      </c>
      <c r="G25" s="338"/>
      <c r="H25" s="339"/>
      <c r="I25" s="338"/>
      <c r="J25" s="338"/>
      <c r="K25" s="338"/>
      <c r="L25" s="338"/>
      <c r="M25" s="338"/>
      <c r="N25" s="338"/>
      <c r="O25" s="338"/>
      <c r="P25" s="338"/>
      <c r="Q25" s="338"/>
    </row>
    <row r="26" spans="2:17">
      <c r="B26" s="122">
        <v>6</v>
      </c>
      <c r="C26" s="123">
        <f t="shared" si="2"/>
        <v>3322190.1229373692</v>
      </c>
      <c r="D26" s="138">
        <f>IF($C$17&lt;B26,0,DCF!$C$16)</f>
        <v>5.4247061515052201E-2</v>
      </c>
      <c r="E26" s="124">
        <f t="shared" si="0"/>
        <v>0.64796151846522443</v>
      </c>
      <c r="F26" s="125">
        <f t="shared" si="1"/>
        <v>2152651.3566886685</v>
      </c>
      <c r="H26" s="120"/>
    </row>
    <row r="27" spans="2:17">
      <c r="B27" s="122">
        <v>7</v>
      </c>
      <c r="C27" s="123">
        <f t="shared" si="2"/>
        <v>3502409.1749010514</v>
      </c>
      <c r="D27" s="138">
        <f>IF($C$17&lt;B27,0,DCF!$C$16)</f>
        <v>5.4247061515052201E-2</v>
      </c>
      <c r="E27" s="124">
        <f t="shared" si="0"/>
        <v>0.60275490089788319</v>
      </c>
      <c r="F27" s="125">
        <f t="shared" si="1"/>
        <v>2111094.2951213201</v>
      </c>
      <c r="H27" s="120"/>
    </row>
    <row r="28" spans="2:17">
      <c r="B28" s="122">
        <v>8</v>
      </c>
      <c r="C28" s="123">
        <f t="shared" si="2"/>
        <v>3692404.5808627913</v>
      </c>
      <c r="D28" s="138">
        <f>IF($C$17&lt;B28,0,DCF!$C$16)</f>
        <v>5.4247061515052201E-2</v>
      </c>
      <c r="E28" s="124">
        <f t="shared" si="0"/>
        <v>0.56070223339337966</v>
      </c>
      <c r="F28" s="125">
        <f t="shared" si="1"/>
        <v>2070339.495081713</v>
      </c>
      <c r="H28" s="120"/>
    </row>
    <row r="29" spans="2:17">
      <c r="B29" s="122">
        <v>9</v>
      </c>
      <c r="C29" s="123">
        <f t="shared" si="2"/>
        <v>3892706.679299315</v>
      </c>
      <c r="D29" s="138">
        <f>IF($C$17&lt;B29,0,DCF!$C$16)</f>
        <v>5.4247061515052201E-2</v>
      </c>
      <c r="E29" s="124">
        <f t="shared" si="0"/>
        <v>0.52158347292407414</v>
      </c>
      <c r="F29" s="125">
        <f t="shared" si="1"/>
        <v>2030371.4688636768</v>
      </c>
      <c r="H29" s="120"/>
    </row>
    <row r="30" spans="2:17">
      <c r="B30" s="122">
        <v>10</v>
      </c>
      <c r="C30" s="123">
        <f t="shared" si="2"/>
        <v>4103874.5779913189</v>
      </c>
      <c r="D30" s="138">
        <f>IF($C$17&lt;B30,0,DCF!$C$16)</f>
        <v>5.4247061515052201E-2</v>
      </c>
      <c r="E30" s="124">
        <f t="shared" si="0"/>
        <v>0.48519392830146441</v>
      </c>
      <c r="F30" s="125">
        <f t="shared" si="1"/>
        <v>1991175.0277521224</v>
      </c>
      <c r="H30" s="120"/>
    </row>
    <row r="31" spans="2:17">
      <c r="B31" s="122">
        <v>11</v>
      </c>
      <c r="C31" s="123">
        <f t="shared" si="2"/>
        <v>4326497.7146736728</v>
      </c>
      <c r="D31" s="138">
        <f>IF($C$17&lt;B31,0,DCF!$C$16)</f>
        <v>5.4247061515052201E-2</v>
      </c>
      <c r="E31" s="124">
        <f t="shared" si="0"/>
        <v>0.45134318911764126</v>
      </c>
      <c r="F31" s="125">
        <f t="shared" si="1"/>
        <v>1952735.2762510022</v>
      </c>
      <c r="H31" s="120"/>
    </row>
    <row r="32" spans="2:17">
      <c r="B32" s="122">
        <v>12</v>
      </c>
      <c r="C32" s="123">
        <f t="shared" si="2"/>
        <v>4561197.502346307</v>
      </c>
      <c r="D32" s="138">
        <f>IF($C$17&lt;B32,0,DCF!$C$16)</f>
        <v>5.4247061515052201E-2</v>
      </c>
      <c r="E32" s="124">
        <f t="shared" si="0"/>
        <v>0.41985412941175931</v>
      </c>
      <c r="F32" s="125">
        <f t="shared" si="1"/>
        <v>1915037.6064226998</v>
      </c>
      <c r="H32" s="120"/>
    </row>
    <row r="33" spans="2:17">
      <c r="B33" s="122">
        <v>13</v>
      </c>
      <c r="C33" s="341">
        <f t="shared" si="2"/>
        <v>4808629.0638383897</v>
      </c>
      <c r="D33" s="138">
        <f>IF($C$17&lt;B33,0,DCF!$C$16)</f>
        <v>5.4247061515052201E-2</v>
      </c>
      <c r="E33" s="124">
        <f t="shared" si="0"/>
        <v>0.39056198084814819</v>
      </c>
      <c r="F33" s="125">
        <f t="shared" si="1"/>
        <v>1878067.6923366978</v>
      </c>
      <c r="G33" s="338"/>
      <c r="H33" s="339"/>
      <c r="I33" s="338"/>
      <c r="J33" s="338"/>
      <c r="K33" s="338"/>
      <c r="L33" s="338"/>
      <c r="M33" s="338"/>
      <c r="N33" s="338"/>
      <c r="O33" s="338"/>
      <c r="P33" s="338"/>
      <c r="Q33" s="338"/>
    </row>
    <row r="34" spans="2:17">
      <c r="B34" s="122">
        <v>14</v>
      </c>
      <c r="C34" s="341">
        <f t="shared" si="2"/>
        <v>5069483.0604674984</v>
      </c>
      <c r="D34" s="138">
        <f>IF($C$17&lt;B34,0,DCF!$C$16)</f>
        <v>5.4247061515052201E-2</v>
      </c>
      <c r="E34" s="124">
        <f t="shared" si="0"/>
        <v>0.36331347055641694</v>
      </c>
      <c r="F34" s="125">
        <f t="shared" si="1"/>
        <v>1841811.4846254128</v>
      </c>
      <c r="G34" s="338"/>
      <c r="H34" s="339"/>
      <c r="I34" s="338"/>
      <c r="J34" s="338"/>
      <c r="K34" s="338"/>
      <c r="L34" s="338"/>
      <c r="M34" s="338"/>
      <c r="N34" s="338"/>
      <c r="O34" s="338"/>
      <c r="P34" s="338"/>
      <c r="Q34" s="338"/>
    </row>
    <row r="35" spans="2:17">
      <c r="B35" s="122">
        <v>15</v>
      </c>
      <c r="C35" s="341">
        <f t="shared" si="2"/>
        <v>5344487.6198981935</v>
      </c>
      <c r="D35" s="138">
        <f>IF($C$17&lt;B35,0,DCF!$C$16)</f>
        <v>5.4247061515052201E-2</v>
      </c>
      <c r="E35" s="124">
        <f t="shared" si="0"/>
        <v>0.33796601912224833</v>
      </c>
      <c r="F35" s="125">
        <f t="shared" si="1"/>
        <v>1806255.2051451323</v>
      </c>
      <c r="G35" s="338"/>
      <c r="H35" s="339"/>
      <c r="I35" s="338"/>
      <c r="J35" s="338"/>
      <c r="K35" s="338"/>
      <c r="L35" s="338"/>
      <c r="M35" s="338"/>
      <c r="N35" s="338"/>
      <c r="O35" s="338"/>
      <c r="P35" s="338"/>
      <c r="Q35" s="338"/>
    </row>
    <row r="36" spans="2:17">
      <c r="B36" s="122">
        <v>16</v>
      </c>
      <c r="C36" s="123">
        <f t="shared" si="2"/>
        <v>5634410.3685812447</v>
      </c>
      <c r="D36" s="138">
        <f>IF($C$17&lt;B36,0,DCF!$C$16)</f>
        <v>5.4247061515052201E-2</v>
      </c>
      <c r="E36" s="124">
        <f t="shared" si="0"/>
        <v>0.31438699453232405</v>
      </c>
      <c r="F36" s="125">
        <f t="shared" si="1"/>
        <v>1771385.3417400217</v>
      </c>
      <c r="H36" s="120"/>
    </row>
    <row r="37" spans="2:17">
      <c r="B37" s="122">
        <v>17</v>
      </c>
      <c r="C37" s="123">
        <f t="shared" si="2"/>
        <v>5940060.5744467182</v>
      </c>
      <c r="D37" s="138">
        <f>IF($C$17&lt;B37,0,DCF!$C$16)</f>
        <v>5.4247061515052201E-2</v>
      </c>
      <c r="E37" s="124">
        <f t="shared" si="0"/>
        <v>0.29245301816960378</v>
      </c>
      <c r="F37" s="125">
        <f t="shared" si="1"/>
        <v>1737188.6431072131</v>
      </c>
      <c r="H37" s="120"/>
    </row>
    <row r="38" spans="2:17">
      <c r="B38" s="122">
        <v>18</v>
      </c>
      <c r="C38" s="123">
        <f t="shared" si="2"/>
        <v>6262291.405831865</v>
      </c>
      <c r="D38" s="138">
        <f>IF($C$17&lt;B38,0,DCF!$C$16)</f>
        <v>5.4247061515052201E-2</v>
      </c>
      <c r="E38" s="124">
        <f t="shared" si="0"/>
        <v>0.27204931922753844</v>
      </c>
      <c r="F38" s="125">
        <f t="shared" si="1"/>
        <v>1703652.1137610236</v>
      </c>
      <c r="H38" s="120"/>
    </row>
    <row r="39" spans="2:17">
      <c r="B39" s="122">
        <v>19</v>
      </c>
      <c r="C39" s="123">
        <f t="shared" si="2"/>
        <v>6602002.3129492076</v>
      </c>
      <c r="D39" s="138">
        <f>IF($C$17&lt;B39,0,DCF!$C$16)</f>
        <v>5.4247061515052201E-2</v>
      </c>
      <c r="E39" s="124">
        <f t="shared" si="0"/>
        <v>0.25306913416515198</v>
      </c>
      <c r="F39" s="125">
        <f t="shared" si="1"/>
        <v>1670763.0090943866</v>
      </c>
      <c r="H39" s="120"/>
    </row>
    <row r="40" spans="2:17">
      <c r="B40" s="122">
        <v>20</v>
      </c>
      <c r="C40" s="123">
        <f t="shared" si="2"/>
        <v>6960141.53854228</v>
      </c>
      <c r="D40" s="138">
        <f>IF($C$17&lt;B40,0,DCF!$C$16)</f>
        <v>5.4247061515052201E-2</v>
      </c>
      <c r="E40" s="124">
        <f t="shared" si="0"/>
        <v>0.23541314806060654</v>
      </c>
      <c r="F40" s="125">
        <f t="shared" si="1"/>
        <v>1638508.8305356316</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34013492.17716337</v>
      </c>
      <c r="D51" s="139">
        <f>Terminal_Growth</f>
        <v>0</v>
      </c>
      <c r="E51" s="124">
        <f>1/(1+Equity_Cost)^C17</f>
        <v>0.23541314806060654</v>
      </c>
      <c r="F51" s="125">
        <f t="shared" si="1"/>
        <v>8007223.269960843</v>
      </c>
      <c r="H51" s="120"/>
    </row>
    <row r="52" spans="1:17">
      <c r="C52" s="114"/>
      <c r="E52" s="127" t="s">
        <v>100</v>
      </c>
      <c r="F52" s="137">
        <f>SUM(F21:F51)</f>
        <v>47694075.039216064</v>
      </c>
      <c r="H52" s="120"/>
    </row>
    <row r="53" spans="1:17">
      <c r="C53" s="114"/>
      <c r="H53" s="120"/>
    </row>
    <row r="54" spans="1:17" ht="13.15">
      <c r="B54" s="119" t="s">
        <v>129</v>
      </c>
      <c r="C54" s="136"/>
      <c r="D54" s="136"/>
      <c r="E54" s="117"/>
      <c r="F54" s="117"/>
      <c r="H54" s="120"/>
    </row>
    <row r="55" spans="1:17" ht="13.15">
      <c r="A55" s="133">
        <f>F52</f>
        <v>47694075.039216064</v>
      </c>
      <c r="B55" s="131">
        <f>C78</f>
        <v>0</v>
      </c>
      <c r="C55" s="131">
        <f>C77</f>
        <v>0.02</v>
      </c>
      <c r="D55" s="131">
        <f>C76</f>
        <v>0.05</v>
      </c>
      <c r="E55" s="131">
        <f>C75</f>
        <v>0.06</v>
      </c>
      <c r="F55" s="131">
        <f>C74</f>
        <v>0.1</v>
      </c>
      <c r="H55" s="120"/>
    </row>
    <row r="56" spans="1:17" ht="13.15">
      <c r="A56" s="143">
        <v>5</v>
      </c>
      <c r="B56" s="123">
        <f t="dataTable" ref="B56:F61" dt2D="1" dtr="1" r1="C16" r2="C17"/>
        <v>32263302.805210374</v>
      </c>
      <c r="C56" s="123">
        <v>33286388.375779152</v>
      </c>
      <c r="D56" s="123">
        <v>34877307.991209559</v>
      </c>
      <c r="E56" s="123">
        <v>35423283.161938287</v>
      </c>
      <c r="F56" s="123">
        <v>37690081.236951776</v>
      </c>
      <c r="H56" s="120"/>
    </row>
    <row r="57" spans="1:17" ht="13.15">
      <c r="A57" s="143">
        <v>10</v>
      </c>
      <c r="B57" s="123">
        <v>32263302.805210382</v>
      </c>
      <c r="C57" s="123">
        <v>34300908.998605818</v>
      </c>
      <c r="D57" s="123">
        <v>37745315.740272246</v>
      </c>
      <c r="E57" s="123">
        <v>39009265.534086578</v>
      </c>
      <c r="F57" s="123">
        <v>44738167.868893713</v>
      </c>
      <c r="H57" s="120"/>
    </row>
    <row r="58" spans="1:17" ht="13.15">
      <c r="A58" s="143">
        <v>15</v>
      </c>
      <c r="B58" s="123">
        <v>32263302.805210374</v>
      </c>
      <c r="C58" s="341">
        <v>35585410.913961709</v>
      </c>
      <c r="D58" s="123">
        <v>41672960.093187585</v>
      </c>
      <c r="E58" s="123">
        <v>44054935.045233198</v>
      </c>
      <c r="F58" s="123">
        <v>55834768.77134186</v>
      </c>
      <c r="G58" s="338"/>
      <c r="H58" s="339"/>
      <c r="I58" s="338"/>
      <c r="J58" s="338"/>
      <c r="K58" s="338"/>
      <c r="L58" s="338"/>
      <c r="M58" s="338"/>
      <c r="N58" s="338"/>
      <c r="O58" s="338"/>
      <c r="P58" s="338"/>
      <c r="Q58" s="338"/>
    </row>
    <row r="59" spans="1:17" ht="13.15">
      <c r="A59" s="144">
        <v>20</v>
      </c>
      <c r="B59" s="123">
        <v>32263302.805210378</v>
      </c>
      <c r="C59" s="341">
        <v>36924525.116778038</v>
      </c>
      <c r="D59" s="123">
        <v>46124493.126240566</v>
      </c>
      <c r="E59" s="123">
        <v>49944499.043186657</v>
      </c>
      <c r="F59" s="123">
        <v>70505088.22578077</v>
      </c>
      <c r="G59" s="338"/>
      <c r="H59" s="339"/>
      <c r="I59" s="338"/>
      <c r="J59" s="338"/>
      <c r="K59" s="338"/>
      <c r="L59" s="338"/>
      <c r="M59" s="338"/>
      <c r="N59" s="338"/>
      <c r="O59" s="338"/>
      <c r="P59" s="338"/>
      <c r="Q59" s="338"/>
    </row>
    <row r="60" spans="1:17" ht="13.15">
      <c r="A60" s="144">
        <v>25</v>
      </c>
      <c r="B60" s="123">
        <v>32263302.805210378</v>
      </c>
      <c r="C60" s="341">
        <v>38199052.772503421</v>
      </c>
      <c r="D60" s="123">
        <v>50750511.28839644</v>
      </c>
      <c r="E60" s="123">
        <v>56260750.162133217</v>
      </c>
      <c r="F60" s="123">
        <v>88510213.77458322</v>
      </c>
      <c r="G60" s="338"/>
      <c r="H60" s="339"/>
      <c r="I60" s="338"/>
      <c r="J60" s="338"/>
      <c r="K60" s="338"/>
      <c r="L60" s="338"/>
      <c r="M60" s="338"/>
      <c r="N60" s="338"/>
      <c r="O60" s="338"/>
      <c r="P60" s="338"/>
      <c r="Q60" s="338"/>
    </row>
    <row r="61" spans="1:17" ht="13.15">
      <c r="A61" s="144">
        <v>30</v>
      </c>
      <c r="B61" s="123">
        <v>32263302.805210378</v>
      </c>
      <c r="C61" s="341">
        <v>39349665.937647343</v>
      </c>
      <c r="D61" s="123">
        <v>55328771.759258635</v>
      </c>
      <c r="E61" s="123">
        <v>62724011.595345497</v>
      </c>
      <c r="F61" s="123">
        <v>109786723.35702449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19.02655872419302</v>
      </c>
      <c r="C65" s="124">
        <f>C12</f>
        <v>19.02655872419302</v>
      </c>
      <c r="D65" s="124">
        <f>C12</f>
        <v>19.02655872419302</v>
      </c>
      <c r="E65" s="141">
        <f>C12</f>
        <v>19.02655872419302</v>
      </c>
      <c r="F65" s="124">
        <f>C12</f>
        <v>19.02655872419302</v>
      </c>
      <c r="H65" s="120"/>
    </row>
    <row r="66" spans="1:8" ht="13.15">
      <c r="A66" s="143">
        <f t="shared" ref="A66:A71" si="3">A56</f>
        <v>5</v>
      </c>
      <c r="B66" s="124">
        <f t="shared" ref="B66:F71" si="4">(B56-$C$7+$C$8+$C$9)/Common_Shares*$C$3*Exchange_Rate</f>
        <v>19.026558724193027</v>
      </c>
      <c r="C66" s="124">
        <f t="shared" si="4"/>
        <v>19.459168029598771</v>
      </c>
      <c r="D66" s="124">
        <f t="shared" si="4"/>
        <v>20.131884613222461</v>
      </c>
      <c r="E66" s="124">
        <f t="shared" si="4"/>
        <v>20.362748918391411</v>
      </c>
      <c r="F66" s="124">
        <f t="shared" si="4"/>
        <v>21.321259104574064</v>
      </c>
      <c r="H66" s="120"/>
    </row>
    <row r="67" spans="1:8" ht="13.15">
      <c r="A67" s="143">
        <f t="shared" si="3"/>
        <v>10</v>
      </c>
      <c r="B67" s="124">
        <f t="shared" si="4"/>
        <v>19.026558724193027</v>
      </c>
      <c r="C67" s="124">
        <f t="shared" si="4"/>
        <v>19.888155667179127</v>
      </c>
      <c r="D67" s="124">
        <f t="shared" si="4"/>
        <v>21.344614883213989</v>
      </c>
      <c r="E67" s="124">
        <f t="shared" si="4"/>
        <v>21.879073053771279</v>
      </c>
      <c r="F67" s="124">
        <f t="shared" si="4"/>
        <v>24.301525809527021</v>
      </c>
      <c r="H67" s="120"/>
    </row>
    <row r="68" spans="1:8" ht="13.15">
      <c r="A68" s="143">
        <f t="shared" si="3"/>
        <v>15</v>
      </c>
      <c r="B68" s="124">
        <f t="shared" si="4"/>
        <v>19.026558724193027</v>
      </c>
      <c r="C68" s="124">
        <f t="shared" si="4"/>
        <v>20.431304253553506</v>
      </c>
      <c r="D68" s="124">
        <f t="shared" si="4"/>
        <v>23.005409976288053</v>
      </c>
      <c r="E68" s="124">
        <f t="shared" si="4"/>
        <v>24.012622431572176</v>
      </c>
      <c r="F68" s="124">
        <f t="shared" si="4"/>
        <v>28.993697165344368</v>
      </c>
      <c r="H68" s="120"/>
    </row>
    <row r="69" spans="1:8" ht="13.15">
      <c r="A69" s="144">
        <f t="shared" si="3"/>
        <v>20</v>
      </c>
      <c r="B69" s="124">
        <f t="shared" si="4"/>
        <v>19.026558724193027</v>
      </c>
      <c r="C69" s="124">
        <f t="shared" si="4"/>
        <v>20.997545516068115</v>
      </c>
      <c r="D69" s="124">
        <f t="shared" si="4"/>
        <v>24.887730154402931</v>
      </c>
      <c r="E69" s="124">
        <f t="shared" si="4"/>
        <v>26.503010590287829</v>
      </c>
      <c r="F69" s="124">
        <f t="shared" si="4"/>
        <v>35.197006929293941</v>
      </c>
      <c r="H69" s="120"/>
    </row>
    <row r="70" spans="1:8" ht="13.15">
      <c r="A70" s="144">
        <f t="shared" si="3"/>
        <v>25</v>
      </c>
      <c r="B70" s="124">
        <f t="shared" si="4"/>
        <v>19.026558724193027</v>
      </c>
      <c r="C70" s="124">
        <f t="shared" si="4"/>
        <v>21.536476510429846</v>
      </c>
      <c r="D70" s="124">
        <f t="shared" si="4"/>
        <v>26.843830955249953</v>
      </c>
      <c r="E70" s="124">
        <f t="shared" si="4"/>
        <v>29.173822385450418</v>
      </c>
      <c r="F70" s="124">
        <f t="shared" si="4"/>
        <v>42.81043153568374</v>
      </c>
    </row>
    <row r="71" spans="1:8" ht="13.15">
      <c r="A71" s="144">
        <f t="shared" si="3"/>
        <v>30</v>
      </c>
      <c r="B71" s="124">
        <f t="shared" si="4"/>
        <v>19.026558724193027</v>
      </c>
      <c r="C71" s="124">
        <f t="shared" si="4"/>
        <v>22.023010556537923</v>
      </c>
      <c r="D71" s="124">
        <f t="shared" si="4"/>
        <v>28.779737529677721</v>
      </c>
      <c r="E71" s="124">
        <f t="shared" si="4"/>
        <v>31.906797143097769</v>
      </c>
      <c r="F71" s="124">
        <f t="shared" si="4"/>
        <v>51.807153116657148</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51.807153116657148</v>
      </c>
      <c r="F74" s="142">
        <f>Scenarios!C58</f>
        <v>0.05</v>
      </c>
    </row>
    <row r="75" spans="1:8">
      <c r="B75" s="127" t="str">
        <f>Scenarios!B36</f>
        <v>Optimistic</v>
      </c>
      <c r="C75" s="142">
        <f>Scenarios!C38</f>
        <v>0.06</v>
      </c>
      <c r="D75" s="145">
        <f>Scenarios!C37</f>
        <v>20</v>
      </c>
      <c r="E75" s="135">
        <f>INDEX(B$65:F$71, MATCH(D75, A$65:A$71, 0), MATCH(C75, B$64:F$64, 0))</f>
        <v>26.503010590287829</v>
      </c>
      <c r="F75" s="142">
        <f>Scenarios!C40*(1-F$74-F$78)</f>
        <v>0.22499999999999992</v>
      </c>
      <c r="H75" s="120"/>
    </row>
    <row r="76" spans="1:8">
      <c r="B76" s="127" t="str">
        <f>Scenarios!B24</f>
        <v>Base</v>
      </c>
      <c r="C76" s="142">
        <f>Scenarios!C26</f>
        <v>0.05</v>
      </c>
      <c r="D76" s="145">
        <f>Scenarios!C25</f>
        <v>20</v>
      </c>
      <c r="E76" s="135">
        <f>INDEX(B$65:F$71, MATCH(D76, A$65:A$71, 0), MATCH(C76, B$64:F$64, 0))</f>
        <v>24.887730154402931</v>
      </c>
      <c r="F76" s="142">
        <f>Scenarios!C28*(1-F$74-F$78)</f>
        <v>0.495</v>
      </c>
      <c r="H76" s="120"/>
    </row>
    <row r="77" spans="1:8">
      <c r="B77" s="127" t="str">
        <f>Scenarios!B30</f>
        <v>Pessimistic</v>
      </c>
      <c r="C77" s="142">
        <f>Scenarios!C32</f>
        <v>0.02</v>
      </c>
      <c r="D77" s="145">
        <f>Scenarios!C31</f>
        <v>20</v>
      </c>
      <c r="E77" s="135">
        <f>INDEX(B$65:F$71, MATCH(D77, A$65:A$71, 0), MATCH(C77, B$64:F$64, 0))</f>
        <v>20.997545516068115</v>
      </c>
      <c r="F77" s="142">
        <f>Scenarios!C34*(1-F$74-F$78)</f>
        <v>0.18</v>
      </c>
      <c r="H77" s="120"/>
    </row>
    <row r="78" spans="1:8">
      <c r="B78" s="127" t="str">
        <f>Scenarios!B48</f>
        <v>Devil's advocate</v>
      </c>
      <c r="C78" s="142">
        <f>Scenarios!C50</f>
        <v>0</v>
      </c>
      <c r="D78" s="145">
        <f>Scenarios!C49</f>
        <v>30</v>
      </c>
      <c r="E78" s="135">
        <f>INDEX(B$65:F$71, MATCH(D78, A$65:A$71, 0), MATCH(C78, B$64:F$64, 0))</f>
        <v>19.026558724193027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1383004.0967506999</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18440054.623342667</v>
      </c>
      <c r="D6" t="str">
        <f>Reporting_currency</f>
        <v>CNY</v>
      </c>
      <c r="E6" s="364"/>
      <c r="F6" s="364"/>
      <c r="H6" s="120"/>
    </row>
    <row r="7" spans="2:8" ht="13.15">
      <c r="B7" s="149" t="s">
        <v>444</v>
      </c>
      <c r="C7" s="111">
        <f>(C6*scaling_factor)/Common_Shares*Exchange_Rate</f>
        <v>7.7973333333333343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10.54608376424394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1458028.0050627042</v>
      </c>
      <c r="D16" s="138">
        <f>IF($C$12&lt;B16,0,DDM!$C$11)</f>
        <v>5.4247061515052201E-2</v>
      </c>
      <c r="E16" s="124">
        <f t="shared" ref="E16:E45" si="0">IF($C$12&lt;B16,0,1/(1+Equity_Cost)^B16)</f>
        <v>0.93023255813953487</v>
      </c>
      <c r="F16" s="125">
        <f t="shared" ref="F16:F46" si="1">C16*E16</f>
        <v>1356305.120988562</v>
      </c>
      <c r="H16" s="120"/>
    </row>
    <row r="17" spans="2:8">
      <c r="B17" s="122">
        <v>2</v>
      </c>
      <c r="C17" s="123">
        <f t="shared" ref="C17:C45" si="2">IF(ROW()-ROW($C$16)&lt;$C$12, $C$16*(1+D17)^(ROW()-ROW($C$16)), 0)</f>
        <v>1537121.7399440093</v>
      </c>
      <c r="D17" s="138">
        <f>IF($C$12&lt;B17,0,DDM!$C$11)</f>
        <v>5.4247061515052201E-2</v>
      </c>
      <c r="E17" s="124">
        <f t="shared" si="0"/>
        <v>0.86533261222282321</v>
      </c>
      <c r="F17" s="125">
        <f t="shared" si="1"/>
        <v>1330121.5705302407</v>
      </c>
      <c r="H17" s="120"/>
    </row>
    <row r="18" spans="2:8">
      <c r="B18" s="122">
        <v>3</v>
      </c>
      <c r="C18" s="123">
        <f t="shared" si="2"/>
        <v>1620506.077526876</v>
      </c>
      <c r="D18" s="138">
        <f>IF($C$12&lt;B18,0,DDM!$C$11)</f>
        <v>5.4247061515052201E-2</v>
      </c>
      <c r="E18" s="124">
        <f t="shared" si="0"/>
        <v>0.80496056950960304</v>
      </c>
      <c r="F18" s="125">
        <f t="shared" si="1"/>
        <v>1304443.4950598071</v>
      </c>
      <c r="H18" s="120"/>
    </row>
    <row r="19" spans="2:8">
      <c r="B19" s="122">
        <v>4</v>
      </c>
      <c r="C19" s="123">
        <f t="shared" si="2"/>
        <v>1708413.7703999921</v>
      </c>
      <c r="D19" s="138">
        <f>IF($C$12&lt;B19,0,DDM!$C$11)</f>
        <v>5.4247061515052201E-2</v>
      </c>
      <c r="E19" s="124">
        <f t="shared" si="0"/>
        <v>0.7488005297763749</v>
      </c>
      <c r="F19" s="125">
        <f t="shared" si="1"/>
        <v>1279261.1363527682</v>
      </c>
      <c r="H19" s="120"/>
    </row>
    <row r="20" spans="2:8">
      <c r="B20" s="122">
        <v>5</v>
      </c>
      <c r="C20" s="123">
        <f t="shared" si="2"/>
        <v>1801090.1972960425</v>
      </c>
      <c r="D20" s="138">
        <f>IF($C$12&lt;B20,0,DDM!$C$11)</f>
        <v>5.4247061515052201E-2</v>
      </c>
      <c r="E20" s="124">
        <f t="shared" si="0"/>
        <v>0.69655863235011617</v>
      </c>
      <c r="F20" s="125">
        <f t="shared" si="1"/>
        <v>1254564.9245677323</v>
      </c>
      <c r="H20" s="120"/>
    </row>
    <row r="21" spans="2:8">
      <c r="B21" s="122">
        <v>6</v>
      </c>
      <c r="C21" s="123">
        <f t="shared" si="2"/>
        <v>1898794.0480229184</v>
      </c>
      <c r="D21" s="138">
        <f>IF($C$12&lt;B21,0,DDM!$C$11)</f>
        <v>5.4247061515052201E-2</v>
      </c>
      <c r="E21" s="124">
        <f t="shared" si="0"/>
        <v>0.64796151846522443</v>
      </c>
      <c r="F21" s="125">
        <f t="shared" si="1"/>
        <v>1230345.4746096605</v>
      </c>
      <c r="H21" s="120"/>
    </row>
    <row r="22" spans="2:8">
      <c r="B22" s="122">
        <v>7</v>
      </c>
      <c r="C22" s="123">
        <f t="shared" si="2"/>
        <v>2001798.0455504325</v>
      </c>
      <c r="D22" s="138">
        <f>IF($C$12&lt;B22,0,DDM!$C$11)</f>
        <v>5.4247061515052201E-2</v>
      </c>
      <c r="E22" s="124">
        <f t="shared" si="0"/>
        <v>0.60275490089788319</v>
      </c>
      <c r="F22" s="125">
        <f t="shared" si="1"/>
        <v>1206593.5825633272</v>
      </c>
      <c r="H22" s="120"/>
    </row>
    <row r="23" spans="2:8">
      <c r="B23" s="122">
        <v>8</v>
      </c>
      <c r="C23" s="123">
        <f t="shared" si="2"/>
        <v>2110389.7072681175</v>
      </c>
      <c r="D23" s="138">
        <f>IF($C$12&lt;B23,0,DDM!$C$11)</f>
        <v>5.4247061515052201E-2</v>
      </c>
      <c r="E23" s="124">
        <f t="shared" si="0"/>
        <v>0.56070223339337966</v>
      </c>
      <c r="F23" s="125">
        <f t="shared" si="1"/>
        <v>1183300.2221956342</v>
      </c>
      <c r="H23" s="120"/>
    </row>
    <row r="24" spans="2:8">
      <c r="B24" s="122">
        <v>9</v>
      </c>
      <c r="C24" s="123">
        <f t="shared" si="2"/>
        <v>2224872.1475390242</v>
      </c>
      <c r="D24" s="138">
        <f>IF($C$12&lt;B24,0,DDM!$C$11)</f>
        <v>5.4247061515052201E-2</v>
      </c>
      <c r="E24" s="124">
        <f t="shared" si="0"/>
        <v>0.52158347292407414</v>
      </c>
      <c r="F24" s="125">
        <f t="shared" si="1"/>
        <v>1160456.5415254473</v>
      </c>
      <c r="H24" s="120"/>
    </row>
    <row r="25" spans="2:8">
      <c r="B25" s="122">
        <v>10</v>
      </c>
      <c r="C25" s="123">
        <f t="shared" si="2"/>
        <v>2345564.9237896996</v>
      </c>
      <c r="D25" s="138">
        <f>IF($C$12&lt;B25,0,DDM!$C$11)</f>
        <v>5.4247061515052201E-2</v>
      </c>
      <c r="E25" s="124">
        <f t="shared" si="0"/>
        <v>0.48519392830146441</v>
      </c>
      <c r="F25" s="125">
        <f t="shared" si="1"/>
        <v>1138053.8594596493</v>
      </c>
      <c r="H25" s="120"/>
    </row>
    <row r="26" spans="2:8">
      <c r="B26" s="122">
        <v>11</v>
      </c>
      <c r="C26" s="123">
        <f t="shared" si="2"/>
        <v>2472804.9284980674</v>
      </c>
      <c r="D26" s="138">
        <f>IF($C$12&lt;B26,0,DDM!$C$11)</f>
        <v>5.4247061515052201E-2</v>
      </c>
      <c r="E26" s="124">
        <f t="shared" si="0"/>
        <v>0.45134318911764126</v>
      </c>
      <c r="F26" s="125">
        <f t="shared" si="1"/>
        <v>1116083.6624941386</v>
      </c>
      <c r="H26" s="120"/>
    </row>
    <row r="27" spans="2:8">
      <c r="B27" s="122">
        <v>12</v>
      </c>
      <c r="C27" s="123">
        <f t="shared" si="2"/>
        <v>2606947.3295690264</v>
      </c>
      <c r="D27" s="138">
        <f>IF($C$12&lt;B27,0,DDM!$C$11)</f>
        <v>5.4247061515052201E-2</v>
      </c>
      <c r="E27" s="124">
        <f t="shared" si="0"/>
        <v>0.41985412941175931</v>
      </c>
      <c r="F27" s="125">
        <f t="shared" si="1"/>
        <v>1094537.6014785143</v>
      </c>
      <c r="H27" s="120"/>
    </row>
    <row r="28" spans="2:8">
      <c r="B28" s="122">
        <v>13</v>
      </c>
      <c r="C28" s="123">
        <f t="shared" si="2"/>
        <v>2748366.5617226581</v>
      </c>
      <c r="D28" s="138">
        <f>IF($C$12&lt;B28,0,DDM!$C$11)</f>
        <v>5.4247061515052201E-2</v>
      </c>
      <c r="E28" s="124">
        <f t="shared" si="0"/>
        <v>0.39056198084814819</v>
      </c>
      <c r="F28" s="125">
        <f t="shared" si="1"/>
        <v>1073407.4884432156</v>
      </c>
      <c r="H28" s="120"/>
    </row>
    <row r="29" spans="2:8">
      <c r="B29" s="122">
        <v>14</v>
      </c>
      <c r="C29" s="123">
        <f t="shared" si="2"/>
        <v>2897457.3716623392</v>
      </c>
      <c r="D29" s="138">
        <f>IF($C$12&lt;B29,0,DDM!$C$11)</f>
        <v>5.4247061515052201E-2</v>
      </c>
      <c r="E29" s="124">
        <f t="shared" si="0"/>
        <v>0.36331347055641694</v>
      </c>
      <c r="F29" s="125">
        <f t="shared" si="1"/>
        <v>1052685.2934879186</v>
      </c>
      <c r="H29" s="120"/>
    </row>
    <row r="30" spans="2:8">
      <c r="B30" s="122">
        <v>15</v>
      </c>
      <c r="C30" s="123">
        <f t="shared" si="2"/>
        <v>3054635.919940148</v>
      </c>
      <c r="D30" s="138">
        <f>IF($C$12&lt;B30,0,DDM!$C$11)</f>
        <v>5.4247061515052201E-2</v>
      </c>
      <c r="E30" s="124">
        <f t="shared" si="0"/>
        <v>0.33796601912224833</v>
      </c>
      <c r="F30" s="125">
        <f t="shared" si="1"/>
        <v>1032363.1417299986</v>
      </c>
      <c r="H30" s="120"/>
    </row>
    <row r="31" spans="2:8">
      <c r="B31" s="122">
        <v>16</v>
      </c>
      <c r="C31" s="123">
        <f t="shared" si="2"/>
        <v>3220340.9425952286</v>
      </c>
      <c r="D31" s="138">
        <f>IF($C$12&lt;B31,0,DDM!$C$11)</f>
        <v>5.4247061515052201E-2</v>
      </c>
      <c r="E31" s="124">
        <f t="shared" si="0"/>
        <v>0.31438699453232405</v>
      </c>
      <c r="F31" s="125">
        <f t="shared" si="1"/>
        <v>1012433.3103119053</v>
      </c>
      <c r="H31" s="120"/>
    </row>
    <row r="32" spans="2:8">
      <c r="B32" s="122">
        <v>17</v>
      </c>
      <c r="C32" s="123">
        <f t="shared" si="2"/>
        <v>3395034.9758076323</v>
      </c>
      <c r="D32" s="138">
        <f>IF($C$12&lt;B32,0,DDM!$C$11)</f>
        <v>5.4247061515052201E-2</v>
      </c>
      <c r="E32" s="124">
        <f t="shared" si="0"/>
        <v>0.29245301816960378</v>
      </c>
      <c r="F32" s="125">
        <f t="shared" si="1"/>
        <v>992888.22546630981</v>
      </c>
      <c r="H32" s="120"/>
    </row>
    <row r="33" spans="2:8">
      <c r="B33" s="122">
        <v>18</v>
      </c>
      <c r="C33" s="123">
        <f t="shared" si="2"/>
        <v>3579205.6469860221</v>
      </c>
      <c r="D33" s="138">
        <f>IF($C$12&lt;B33,0,DDM!$C$11)</f>
        <v>5.4247061515052201E-2</v>
      </c>
      <c r="E33" s="124">
        <f t="shared" si="0"/>
        <v>0.27204931922753844</v>
      </c>
      <c r="F33" s="125">
        <f t="shared" si="1"/>
        <v>973720.45963790861</v>
      </c>
      <c r="H33" s="120"/>
    </row>
    <row r="34" spans="2:8">
      <c r="B34" s="122">
        <v>19</v>
      </c>
      <c r="C34" s="123">
        <f t="shared" si="2"/>
        <v>3773367.0358930947</v>
      </c>
      <c r="D34" s="138">
        <f>IF($C$12&lt;B34,0,DDM!$C$11)</f>
        <v>5.4247061515052201E-2</v>
      </c>
      <c r="E34" s="124">
        <f t="shared" si="0"/>
        <v>0.25306913416515198</v>
      </c>
      <c r="F34" s="125">
        <f t="shared" si="1"/>
        <v>954922.72866079141</v>
      </c>
      <c r="H34" s="120"/>
    </row>
    <row r="35" spans="2:8">
      <c r="B35" s="122">
        <v>20</v>
      </c>
      <c r="C35" s="123">
        <f t="shared" si="2"/>
        <v>3978061.109608057</v>
      </c>
      <c r="D35" s="138">
        <f>IF($C$12&lt;B35,0,DDM!$C$11)</f>
        <v>5.4247061515052201E-2</v>
      </c>
      <c r="E35" s="124">
        <f t="shared" si="0"/>
        <v>0.23541314806060654</v>
      </c>
      <c r="F35" s="125">
        <f t="shared" si="1"/>
        <v>936487.88899030222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19440373.400836058</v>
      </c>
      <c r="D46" s="139">
        <f>Terminal_Growth</f>
        <v>0</v>
      </c>
      <c r="E46" s="124">
        <f>1/(1+Equity_Cost)^C12</f>
        <v>0.23541314806060654</v>
      </c>
      <c r="F46" s="125">
        <f t="shared" si="1"/>
        <v>4576519.5017644959</v>
      </c>
      <c r="H46" s="120"/>
    </row>
    <row r="47" spans="2:8">
      <c r="C47" s="114"/>
      <c r="E47" s="127" t="s">
        <v>100</v>
      </c>
      <c r="F47" s="137">
        <f>SUM(F16:F46)</f>
        <v>27259495.230318334</v>
      </c>
      <c r="H47" s="120"/>
    </row>
    <row r="48" spans="2:8">
      <c r="C48" s="114"/>
      <c r="H48" s="120"/>
    </row>
    <row r="49" spans="1:8" ht="13.15">
      <c r="B49" s="119" t="s">
        <v>129</v>
      </c>
      <c r="C49" s="136"/>
      <c r="D49" s="136"/>
      <c r="E49" s="117"/>
      <c r="F49" s="117"/>
      <c r="H49" s="120"/>
    </row>
    <row r="50" spans="1:8" ht="13.15">
      <c r="A50" s="133">
        <f>F47</f>
        <v>27259495.230318334</v>
      </c>
      <c r="B50" s="131">
        <f>C73</f>
        <v>0</v>
      </c>
      <c r="C50" s="131">
        <f>C72</f>
        <v>0.02</v>
      </c>
      <c r="D50" s="131">
        <f>C71</f>
        <v>0.05</v>
      </c>
      <c r="E50" s="131">
        <f>C70</f>
        <v>0.06</v>
      </c>
      <c r="F50" s="131">
        <f>C69</f>
        <v>0.1</v>
      </c>
      <c r="H50" s="120"/>
    </row>
    <row r="51" spans="1:8" ht="13.15">
      <c r="A51" s="143">
        <v>5</v>
      </c>
      <c r="B51" s="123">
        <f t="dataTable" ref="B51:F56" dt2D="1" dtr="1" r1="C11" r2="C12"/>
        <v>18440054.623342671</v>
      </c>
      <c r="C51" s="123">
        <v>19024798.036611415</v>
      </c>
      <c r="D51" s="123">
        <v>19934086.36294936</v>
      </c>
      <c r="E51" s="123">
        <v>20246137.86096279</v>
      </c>
      <c r="F51" s="123">
        <v>21541723.76472792</v>
      </c>
      <c r="H51" s="120"/>
    </row>
    <row r="52" spans="1:8" ht="13.15">
      <c r="A52" s="143">
        <v>10</v>
      </c>
      <c r="B52" s="123">
        <v>18440054.623342671</v>
      </c>
      <c r="C52" s="123">
        <v>19604646.163580306</v>
      </c>
      <c r="D52" s="123">
        <v>21573292.983306438</v>
      </c>
      <c r="E52" s="123">
        <v>22295702.073901318</v>
      </c>
      <c r="F52" s="123">
        <v>25570049.794078872</v>
      </c>
      <c r="H52" s="120"/>
    </row>
    <row r="53" spans="1:8" ht="13.15">
      <c r="A53" s="143">
        <v>15</v>
      </c>
      <c r="B53" s="123">
        <v>18440054.623342671</v>
      </c>
      <c r="C53" s="123">
        <v>20338801.796249315</v>
      </c>
      <c r="D53" s="123">
        <v>23818133.719113741</v>
      </c>
      <c r="E53" s="123">
        <v>25179548.83809102</v>
      </c>
      <c r="F53" s="123">
        <v>31912299.625411451</v>
      </c>
      <c r="H53" s="120"/>
    </row>
    <row r="54" spans="1:8" ht="13.15">
      <c r="A54" s="144">
        <v>20</v>
      </c>
      <c r="B54" s="123">
        <v>18440054.623342671</v>
      </c>
      <c r="C54" s="123">
        <v>21104171.02071815</v>
      </c>
      <c r="D54" s="123">
        <v>26362402.443946667</v>
      </c>
      <c r="E54" s="123">
        <v>28545722.552097619</v>
      </c>
      <c r="F54" s="123">
        <v>40297104.296991825</v>
      </c>
      <c r="H54" s="120"/>
    </row>
    <row r="55" spans="1:8" ht="13.15">
      <c r="A55" s="144">
        <v>25</v>
      </c>
      <c r="B55" s="123">
        <v>18440054.623342667</v>
      </c>
      <c r="C55" s="123">
        <v>21832625.876454167</v>
      </c>
      <c r="D55" s="123">
        <v>29006397.949110929</v>
      </c>
      <c r="E55" s="123">
        <v>32155768.812746242</v>
      </c>
      <c r="F55" s="123">
        <v>50587913.660949469</v>
      </c>
      <c r="H55" s="120"/>
    </row>
    <row r="56" spans="1:8" ht="13.15">
      <c r="A56" s="144">
        <v>30</v>
      </c>
      <c r="B56" s="123">
        <v>18440054.623342671</v>
      </c>
      <c r="C56" s="123">
        <v>22490257.543729246</v>
      </c>
      <c r="D56" s="123">
        <v>31623097.599245802</v>
      </c>
      <c r="E56" s="123">
        <v>35849838.654043801</v>
      </c>
      <c r="F56" s="123">
        <v>62748478.909431398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7.7973333333333343</v>
      </c>
      <c r="C60" s="124">
        <f>C7</f>
        <v>7.7973333333333343</v>
      </c>
      <c r="D60" s="124">
        <f>C7</f>
        <v>7.7973333333333343</v>
      </c>
      <c r="E60" s="141">
        <f>C7</f>
        <v>7.7973333333333343</v>
      </c>
      <c r="F60" s="124">
        <f>C7</f>
        <v>7.7973333333333343</v>
      </c>
      <c r="H60" s="120"/>
    </row>
    <row r="61" spans="1:8" ht="13.15">
      <c r="A61" s="143">
        <f t="shared" ref="A61:A66" si="3">A51</f>
        <v>5</v>
      </c>
      <c r="B61" s="124">
        <f t="shared" ref="B61:F66" si="4">B51/Common_Shares*$C$3*Exchange_Rate</f>
        <v>7.7973333333333361</v>
      </c>
      <c r="C61" s="124">
        <f t="shared" si="4"/>
        <v>8.044590697850893</v>
      </c>
      <c r="D61" s="124">
        <f t="shared" si="4"/>
        <v>8.4290811086108857</v>
      </c>
      <c r="E61" s="124">
        <f t="shared" si="4"/>
        <v>8.5610313439478603</v>
      </c>
      <c r="F61" s="124">
        <f t="shared" si="4"/>
        <v>9.1088667685152398</v>
      </c>
      <c r="H61" s="120"/>
    </row>
    <row r="62" spans="1:8" ht="13.15">
      <c r="A62" s="143">
        <f t="shared" si="3"/>
        <v>10</v>
      </c>
      <c r="B62" s="124">
        <f t="shared" si="4"/>
        <v>7.7973333333333361</v>
      </c>
      <c r="C62" s="124">
        <f t="shared" si="4"/>
        <v>8.2897781021746368</v>
      </c>
      <c r="D62" s="124">
        <f t="shared" si="4"/>
        <v>9.1222157376673163</v>
      </c>
      <c r="E62" s="124">
        <f t="shared" si="4"/>
        <v>9.4276847071175496</v>
      </c>
      <c r="F62" s="124">
        <f t="shared" si="4"/>
        <v>10.812234869520285</v>
      </c>
      <c r="H62" s="120"/>
    </row>
    <row r="63" spans="1:8" ht="13.15">
      <c r="A63" s="143">
        <f t="shared" si="3"/>
        <v>15</v>
      </c>
      <c r="B63" s="124">
        <f t="shared" si="4"/>
        <v>7.7973333333333361</v>
      </c>
      <c r="C63" s="124">
        <f t="shared" si="4"/>
        <v>8.6002140690626128</v>
      </c>
      <c r="D63" s="124">
        <f t="shared" si="4"/>
        <v>10.071441315078422</v>
      </c>
      <c r="E63" s="124">
        <f t="shared" si="4"/>
        <v>10.647112467064481</v>
      </c>
      <c r="F63" s="124">
        <f t="shared" si="4"/>
        <v>13.494040158512041</v>
      </c>
      <c r="H63" s="120"/>
    </row>
    <row r="64" spans="1:8" ht="13.15">
      <c r="A64" s="144">
        <f t="shared" si="3"/>
        <v>20</v>
      </c>
      <c r="B64" s="124">
        <f t="shared" si="4"/>
        <v>7.7973333333333361</v>
      </c>
      <c r="C64" s="124">
        <f t="shared" si="4"/>
        <v>8.9238486291633095</v>
      </c>
      <c r="D64" s="124">
        <f t="shared" si="4"/>
        <v>11.147279307010635</v>
      </c>
      <c r="E64" s="124">
        <f t="shared" si="4"/>
        <v>12.07049103302538</v>
      </c>
      <c r="F64" s="124">
        <f t="shared" si="4"/>
        <v>17.039534914066692</v>
      </c>
      <c r="H64" s="120"/>
    </row>
    <row r="65" spans="1:8" ht="13.15">
      <c r="A65" s="144">
        <f t="shared" si="3"/>
        <v>25</v>
      </c>
      <c r="B65" s="124">
        <f t="shared" si="4"/>
        <v>7.7973333333333343</v>
      </c>
      <c r="C65" s="124">
        <f t="shared" si="4"/>
        <v>9.2318740360549381</v>
      </c>
      <c r="D65" s="124">
        <f t="shared" si="4"/>
        <v>12.265286531322408</v>
      </c>
      <c r="E65" s="124">
        <f t="shared" si="4"/>
        <v>13.59699052654631</v>
      </c>
      <c r="F65" s="124">
        <f t="shared" si="4"/>
        <v>21.390979230234358</v>
      </c>
    </row>
    <row r="66" spans="1:8" ht="13.15">
      <c r="A66" s="144">
        <f t="shared" si="3"/>
        <v>30</v>
      </c>
      <c r="B66" s="124">
        <f t="shared" si="4"/>
        <v>7.7973333333333361</v>
      </c>
      <c r="C66" s="124">
        <f t="shared" si="4"/>
        <v>9.5099520257919341</v>
      </c>
      <c r="D66" s="124">
        <f t="shared" si="4"/>
        <v>13.371751768116797</v>
      </c>
      <c r="E66" s="124">
        <f t="shared" si="4"/>
        <v>15.159019191729813</v>
      </c>
      <c r="F66" s="124">
        <f t="shared" si="4"/>
        <v>26.533045384644421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26.533045384644421</v>
      </c>
      <c r="F69" s="142">
        <f>Scenarios!C58</f>
        <v>0.05</v>
      </c>
    </row>
    <row r="70" spans="1:8">
      <c r="B70" s="127" t="str">
        <f>Scenarios!B36</f>
        <v>Optimistic</v>
      </c>
      <c r="C70" s="142">
        <f>Scenarios!C38</f>
        <v>0.06</v>
      </c>
      <c r="D70" s="145">
        <f>Scenarios!C37</f>
        <v>20</v>
      </c>
      <c r="E70" s="135">
        <f>INDEX(B$60:F$66, MATCH(D70, A$60:A$66, 0), MATCH(C70, B$59:F$59, 0))</f>
        <v>12.07049103302538</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11.147279307010635</v>
      </c>
      <c r="F71" s="142">
        <f>Scenarios!C28*(1-F$69-F$73)</f>
        <v>0.495</v>
      </c>
      <c r="H71" s="120"/>
    </row>
    <row r="72" spans="1:8">
      <c r="B72" s="127" t="str">
        <f>Scenarios!B30</f>
        <v>Pessimistic</v>
      </c>
      <c r="C72" s="142">
        <f>Scenarios!C32</f>
        <v>0.02</v>
      </c>
      <c r="D72" s="145">
        <f>Scenarios!C31</f>
        <v>20</v>
      </c>
      <c r="E72" s="135">
        <f>INDEX(B$60:F$66, MATCH(D72, A$60:A$66, 0), MATCH(C72, B$59:F$59, 0))</f>
        <v>8.9238486291633095</v>
      </c>
      <c r="F72" s="142">
        <f>Scenarios!C34*(1-F$69-F$73)</f>
        <v>0.18</v>
      </c>
      <c r="H72" s="120"/>
    </row>
    <row r="73" spans="1:8">
      <c r="B73" s="127" t="str">
        <f>Scenarios!B48</f>
        <v>Devil's advocate</v>
      </c>
      <c r="C73" s="142">
        <f>Scenarios!C50</f>
        <v>0</v>
      </c>
      <c r="D73" s="145">
        <f>Scenarios!C49</f>
        <v>30</v>
      </c>
      <c r="E73" s="135">
        <f>INDEX(B$60:F$66, MATCH(D73, A$60:A$66, 0), MATCH(C73, B$59:F$59, 0))</f>
        <v>7.7973333333333361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-15.3</v>
      </c>
    </row>
    <row r="4" spans="2:9">
      <c r="B4" s="152" t="s">
        <v>146</v>
      </c>
      <c r="C4" s="120">
        <v>3</v>
      </c>
      <c r="D4" s="120"/>
      <c r="E4" s="155" t="s">
        <v>150</v>
      </c>
      <c r="F4" s="155"/>
      <c r="H4" s="247">
        <v>1</v>
      </c>
      <c r="I4" s="124">
        <f t="shared" ref="I4:I13" si="0">IF(ROW()-3 &lt; $C$76, $C$77, IF(ROW()-3 = $C$76, $C$77 + $C$60, ""))</f>
        <v>0.53505308617760072</v>
      </c>
    </row>
    <row r="5" spans="2:9">
      <c r="H5" s="247">
        <v>2</v>
      </c>
      <c r="I5" s="124">
        <f t="shared" si="0"/>
        <v>0.53505308617760072</v>
      </c>
    </row>
    <row r="6" spans="2:9" ht="13.15">
      <c r="B6" s="159" t="s">
        <v>95</v>
      </c>
      <c r="C6" s="107">
        <f>DCF!C3</f>
        <v>1000</v>
      </c>
      <c r="E6" s="100" t="s">
        <v>279</v>
      </c>
      <c r="F6" s="100"/>
      <c r="H6" s="247">
        <v>3</v>
      </c>
      <c r="I6" s="124">
        <f t="shared" si="0"/>
        <v>26.138900680356585</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2532218.6306189029</v>
      </c>
      <c r="D8" t="str">
        <f>Reporting_currency</f>
        <v>CNY</v>
      </c>
      <c r="E8" s="366"/>
      <c r="F8" s="366"/>
      <c r="H8" s="247">
        <v>5</v>
      </c>
      <c r="I8" s="124" t="str">
        <f t="shared" si="0"/>
        <v/>
      </c>
    </row>
    <row r="9" spans="2:9">
      <c r="B9" s="100" t="s">
        <v>57</v>
      </c>
      <c r="C9" s="338">
        <f>Normalized_FCF!C19</f>
        <v>2419747.7103907778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-0.10083068346581425</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15.3</v>
      </c>
      <c r="D21" t="str">
        <f>Market_currency</f>
        <v>HKD</v>
      </c>
      <c r="E21" s="367"/>
      <c r="F21" s="367"/>
    </row>
    <row r="22" spans="2:6">
      <c r="B22" s="100" t="s">
        <v>278</v>
      </c>
      <c r="C22" s="160">
        <f>IF(valuation_method="DCF",DCF!C12,DDM!C7)</f>
        <v>19.02655872419302</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24.887730154402931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20.997545516068115</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26.503010590287829</v>
      </c>
      <c r="D39" t="str">
        <f>Market_currency</f>
        <v>HKD</v>
      </c>
      <c r="E39" s="365"/>
      <c r="F39" s="365"/>
    </row>
    <row r="40" spans="2:6">
      <c r="B40" s="100" t="s">
        <v>147</v>
      </c>
      <c r="C40" s="167">
        <f>1-C28-C34</f>
        <v>0.24999999999999994</v>
      </c>
      <c r="D40" s="165"/>
      <c r="E40" s="365"/>
      <c r="F40" s="365"/>
    </row>
    <row r="42" spans="2:6" ht="13.15">
      <c r="B42" s="100" t="s">
        <v>120</v>
      </c>
      <c r="C42" s="154">
        <f>C27*C28+C33*C34+C39*C40</f>
        <v>24.513513335707195</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19.026558724193027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51.807153116657148</v>
      </c>
      <c r="D57" t="str">
        <f>Market_currency</f>
        <v>HKD</v>
      </c>
      <c r="E57" s="365"/>
      <c r="F57" s="365"/>
    </row>
    <row r="58" spans="2:6">
      <c r="B58" s="100" t="s">
        <v>147</v>
      </c>
      <c r="C58" s="165">
        <v>0.05</v>
      </c>
      <c r="D58" s="165"/>
      <c r="E58" s="365"/>
      <c r="F58" s="365"/>
    </row>
    <row r="60" spans="2:6" ht="13.15">
      <c r="B60" s="100" t="s">
        <v>120</v>
      </c>
      <c r="C60" s="154">
        <f>C51*C52+C57*C58+C42*(1-C52-C58)</f>
        <v>25.603847594178983</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25.551424141184757</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0.21028471148101513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0.53505308617760072</v>
      </c>
      <c r="D77" t="str">
        <f>Market_currency</f>
        <v>HKD</v>
      </c>
    </row>
    <row r="79" spans="2:6" ht="13.15">
      <c r="B79" s="109" t="s">
        <v>301</v>
      </c>
    </row>
    <row r="80" spans="2:6">
      <c r="B80" s="148" t="s">
        <v>299</v>
      </c>
      <c r="C80" s="167">
        <f>Thesis!F29</f>
        <v>0.3674</v>
      </c>
    </row>
    <row r="81" spans="2:8">
      <c r="B81" s="100" t="s">
        <v>121</v>
      </c>
      <c r="C81" s="116">
        <f>PV(C80, C76, -C77, 0)</f>
        <v>0.88672171342275774</v>
      </c>
      <c r="D81" s="116"/>
      <c r="E81" s="100"/>
      <c r="F81" s="100"/>
    </row>
    <row r="82" spans="2:8">
      <c r="B82" s="100" t="s">
        <v>122</v>
      </c>
      <c r="C82" s="116">
        <f>C60/(1+C80)^C76</f>
        <v>10.014251789566577</v>
      </c>
      <c r="D82" s="116"/>
    </row>
    <row r="83" spans="2:8" ht="13.15">
      <c r="B83" s="110" t="s">
        <v>101</v>
      </c>
      <c r="C83" s="111">
        <f>C81+C82</f>
        <v>10.900973502989334</v>
      </c>
      <c r="D83" t="str">
        <f>Market_currency</f>
        <v>HKD</v>
      </c>
      <c r="E83" s="146" t="s">
        <v>126</v>
      </c>
      <c r="F83" s="291">
        <f>(1-C83/C60)</f>
        <v>0.57424471213195072</v>
      </c>
    </row>
    <row r="84" spans="2:8">
      <c r="E84" s="120"/>
    </row>
    <row r="85" spans="2:8" ht="13.15">
      <c r="B85" s="109" t="s">
        <v>302</v>
      </c>
    </row>
    <row r="86" spans="2:8">
      <c r="B86" s="148" t="s">
        <v>300</v>
      </c>
      <c r="C86" s="116">
        <f>Market_Price</f>
        <v>15.3</v>
      </c>
      <c r="D86" t="str">
        <f>Market_currency</f>
        <v>HKD</v>
      </c>
    </row>
    <row r="87" spans="2:8" ht="13.15">
      <c r="B87" s="100" t="s">
        <v>298</v>
      </c>
      <c r="C87" s="237">
        <f ca="1">IRR(OFFSET($I$3, 0, 0, $C$76 + 1, 1))</f>
        <v>0.21706797200668793</v>
      </c>
    </row>
    <row r="88" spans="2:8">
      <c r="B88" s="100"/>
    </row>
    <row r="89" spans="2:8" ht="13.15">
      <c r="B89" s="109" t="s">
        <v>412</v>
      </c>
    </row>
    <row r="90" spans="2:8">
      <c r="B90" s="148" t="s">
        <v>413</v>
      </c>
      <c r="C90" s="167">
        <f>Thesis!F30</f>
        <v>0.21740000000000001</v>
      </c>
    </row>
    <row r="91" spans="2:8">
      <c r="B91" s="100" t="s">
        <v>121</v>
      </c>
      <c r="C91" s="116">
        <f>PV(C90, C76, -C77, 0)</f>
        <v>1.0970732887100296</v>
      </c>
      <c r="D91" s="116"/>
      <c r="E91" s="100"/>
      <c r="F91" s="100"/>
    </row>
    <row r="92" spans="2:8">
      <c r="B92" s="100" t="s">
        <v>122</v>
      </c>
      <c r="C92" s="116">
        <f>C60/(1+C90)^C76</f>
        <v>14.190749740434436</v>
      </c>
      <c r="D92" s="116"/>
    </row>
    <row r="93" spans="2:8" ht="13.15">
      <c r="B93" s="110" t="s">
        <v>101</v>
      </c>
      <c r="C93" s="111">
        <f>C91+C92</f>
        <v>15.287823029144466</v>
      </c>
      <c r="D93" t="str">
        <f>Market_currency</f>
        <v>HKD</v>
      </c>
      <c r="E93" s="146" t="s">
        <v>126</v>
      </c>
      <c r="F93" s="291">
        <f>(1-C93/C60)</f>
        <v>0.40290915367656921</v>
      </c>
    </row>
    <row r="95" spans="2:8" ht="13.15">
      <c r="B95" s="109" t="s">
        <v>397</v>
      </c>
      <c r="G95" s="2"/>
      <c r="H95" s="281"/>
    </row>
    <row r="96" spans="2:8">
      <c r="B96" s="148" t="s">
        <v>403</v>
      </c>
      <c r="C96" s="134">
        <f>Thesis!F31</f>
        <v>7.4999999999999997E-2</v>
      </c>
      <c r="G96" s="2"/>
      <c r="H96" s="281"/>
    </row>
    <row r="97" spans="2:8">
      <c r="B97" s="100" t="s">
        <v>121</v>
      </c>
      <c r="C97" s="116">
        <f>PV(C96, C76, -C77, 0)</f>
        <v>1.3914193228027807</v>
      </c>
      <c r="D97" s="116"/>
      <c r="G97" s="2"/>
      <c r="H97" s="281"/>
    </row>
    <row r="98" spans="2:8">
      <c r="B98" s="100" t="s">
        <v>122</v>
      </c>
      <c r="C98" s="116">
        <f>C60/(1+C96)^C76</f>
        <v>20.610087741047394</v>
      </c>
      <c r="D98" s="116"/>
      <c r="G98" s="2"/>
      <c r="H98" s="281"/>
    </row>
    <row r="99" spans="2:8" ht="13.15">
      <c r="B99" s="110" t="s">
        <v>398</v>
      </c>
      <c r="C99" s="111">
        <f>C97+C98</f>
        <v>22.001507063850173</v>
      </c>
      <c r="D99" t="s">
        <v>396</v>
      </c>
      <c r="E99" s="146" t="s">
        <v>126</v>
      </c>
      <c r="F99" s="291">
        <f>(1-C99/C60)</f>
        <v>0.14069528093690886</v>
      </c>
    </row>
    <row r="100" spans="2:8">
      <c r="B100" s="100"/>
    </row>
    <row r="101" spans="2:8" ht="13.15">
      <c r="B101" s="109" t="s">
        <v>422</v>
      </c>
    </row>
    <row r="102" spans="2:8">
      <c r="B102" s="148" t="s">
        <v>421</v>
      </c>
      <c r="C102" s="134">
        <f>Thesis!F32</f>
        <v>0.1174</v>
      </c>
    </row>
    <row r="103" spans="2:8">
      <c r="B103" s="100" t="s">
        <v>121</v>
      </c>
      <c r="C103" s="116">
        <f>PV(C102, C76, -C77, 0)</f>
        <v>1.2908707482552009</v>
      </c>
      <c r="D103" s="116"/>
    </row>
    <row r="104" spans="2:8">
      <c r="B104" s="100" t="s">
        <v>122</v>
      </c>
      <c r="C104" s="116">
        <f>C60/(1+C102)^C76</f>
        <v>18.351823864294836</v>
      </c>
      <c r="D104" s="116"/>
    </row>
    <row r="105" spans="2:8" ht="13.15">
      <c r="B105" s="110" t="s">
        <v>398</v>
      </c>
      <c r="C105" s="111">
        <f>C103+C104</f>
        <v>19.642694612550038</v>
      </c>
      <c r="D105" t="s">
        <v>396</v>
      </c>
      <c r="E105" s="146" t="s">
        <v>126</v>
      </c>
      <c r="F105" s="291">
        <f>(1-C105/C66)</f>
        <v>0.23124854004168027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