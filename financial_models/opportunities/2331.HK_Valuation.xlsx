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4C5ADF2-42DA-4B3B-9437-939361666219}"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D6" i="4"/>
  <c r="E6" i="4"/>
  <c r="F6" i="4"/>
  <c r="G6" i="4"/>
  <c r="H6" i="4"/>
  <c r="I6" i="4"/>
  <c r="J6" i="4"/>
  <c r="K6" i="4"/>
  <c r="L6" i="4"/>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D38" i="4" l="1"/>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I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O118" i="2"/>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84" i="2" l="1"/>
  <c r="K124" i="2"/>
  <c r="K125" i="2" s="1"/>
  <c r="K92"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<sst xmlns="http://schemas.openxmlformats.org/spreadsheetml/2006/main" count="685" uniqueCount="466">
  <si>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</si>
  <si>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</si>
  <si>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</si>
  <si>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</si>
  <si>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</si>
  <si>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</si>
  <si>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</si>
  <si>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</si>
  <si>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</si>
  <si>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</si>
  <si>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</si>
  <si>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</si>
  <si>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</si>
  <si>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</si>
  <si>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</si>
  <si>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</si>
  <si>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</si>
  <si>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</si>
  <si>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</si>
  <si>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</si>
  <si>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</si>
  <si>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</si>
  <si>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</si>
  <si>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</si>
  <si>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</si>
  <si>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</si>
  <si>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</si>
  <si>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</si>
  <si>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</si>
  <si>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</si>
  <si>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</si>
  <si>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</si>
  <si>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</si>
  <si>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</si>
  <si>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</si>
  <si>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</si>
  <si>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</si>
  <si>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</si>
  <si>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</si>
  <si>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</si>
  <si>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</si>
  <si>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</si>
  <si>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</si>
  <si>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</si>
  <si>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</si>
  <si>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</si>
  <si>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</si>
  <si>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</si>
  <si>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</si>
  <si>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</si>
  <si>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</si>
  <si>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</si>
  <si>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</si>
  <si>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</si>
  <si>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</si>
  <si>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</si>
  <si>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</si>
  <si>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</si>
  <si>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</si>
  <si>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</si>
  <si>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</si>
  <si>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</si>
  <si>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</si>
  <si>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</si>
  <si>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</si>
  <si>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</si>
  <si>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</si>
  <si>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</si>
  <si>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</si>
  <si>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</si>
  <si>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</si>
  <si>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</si>
  <si>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</si>
  <si>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</si>
  <si>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</si>
  <si>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</si>
  <si>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</si>
  <si>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</si>
  <si>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</si>
  <si>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</si>
  <si>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</si>
  <si>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</si>
  <si>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</si>
  <si>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</si>
  <si>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</si>
  <si>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</si>
  <si>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</si>
  <si>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</si>
  <si>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</si>
  <si>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</si>
  <si>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</si>
  <si>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</si>
  <si>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</si>
  <si>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</si>
  <si>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</si>
  <si>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</si>
  <si>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</si>
  <si>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</si>
  <si>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</si>
  <si>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</si>
  <si>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</si>
  <si>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</si>
  <si>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</si>
  <si>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</si>
  <si>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</si>
  <si>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</si>
  <si>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</si>
  <si>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</si>
  <si>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</si>
  <si>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</si>
  <si>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</si>
  <si>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</si>
  <si>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</si>
  <si>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</si>
  <si>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</si>
  <si>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</si>
  <si>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</si>
  <si>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</si>
  <si>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</si>
  <si>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</si>
  <si>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</si>
  <si>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</si>
  <si>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</si>
  <si>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</si>
  <si>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</si>
  <si>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</si>
  <si>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</si>
  <si>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</si>
  <si>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</si>
  <si>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</si>
  <si>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</si>
  <si>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</si>
  <si>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</si>
  <si>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</si>
  <si>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</si>
  <si>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</si>
  <si>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</si>
  <si>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</si>
  <si>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</si>
  <si>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</si>
  <si>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</si>
  <si>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</si>
  <si>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</si>
  <si>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</si>
  <si>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</si>
  <si>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</si>
  <si>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</si>
  <si>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</si>
  <si>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</si>
  <si>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</si>
  <si>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</si>
  <si>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</si>
  <si>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</si>
  <si>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</si>
  <si>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</si>
  <si>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</si>
  <si>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</si>
  <si>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</si>
  <si>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</si>
  <si>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</si>
  <si>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</si>
  <si>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</si>
  <si>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</si>
  <si>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</si>
  <si>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</si>
  <si>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</si>
  <si>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</si>
  <si>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</si>
  <si>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</si>
  <si>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</si>
  <si>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</si>
  <si>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</si>
  <si>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</si>
  <si>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</si>
  <si>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</si>
  <si>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</si>
  <si>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</si>
  <si>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</si>
  <si>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</si>
  <si>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</si>
  <si>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</si>
  <si>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</si>
  <si>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</si>
  <si>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</si>
  <si>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</si>
  <si>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</si>
  <si>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</si>
  <si>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</si>
  <si>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</si>
  <si>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</si>
  <si>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</si>
  <si>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</si>
  <si>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</si>
  <si>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</si>
  <si>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</si>
  <si>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</si>
  <si>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</si>
  <si>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</si>
  <si>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</si>
  <si>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</si>
  <si>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</si>
  <si>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</si>
  <si>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</si>
  <si>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</si>
  <si>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</si>
  <si>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</si>
  <si>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</si>
  <si>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</si>
  <si>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</si>
  <si>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</si>
  <si>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</si>
  <si>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</si>
  <si>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</si>
  <si>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</si>
  <si>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</si>
  <si>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</si>
  <si>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</si>
  <si>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</si>
  <si>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</si>
  <si>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</si>
  <si>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</si>
  <si>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</si>
  <si>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</si>
  <si>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</si>
  <si>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</si>
  <si>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</si>
  <si>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</si>
  <si>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</si>
  <si>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</si>
  <si>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</si>
  <si>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</si>
  <si>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</si>
  <si>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</si>
  <si>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</si>
  <si>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</si>
  <si>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</si>
  <si>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</si>
  <si>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</si>
  <si>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</si>
  <si>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</si>
  <si>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</si>
  <si>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</si>
  <si>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</si>
  <si>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</si>
  <si>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</si>
  <si>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</si>
  <si>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</si>
  <si>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</si>
  <si>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</si>
  <si>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</si>
  <si>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</si>
  <si>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</si>
  <si>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</si>
  <si>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</si>
  <si>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</si>
  <si>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</si>
  <si>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</si>
  <si>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</si>
  <si>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</si>
  <si>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</si>
  <si>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</si>
  <si>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</si>
  <si>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</si>
  <si>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</si>
  <si>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</si>
  <si>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</si>
  <si>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</si>
  <si>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</si>
  <si>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</si>
  <si>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</si>
  <si>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</si>
  <si>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</si>
  <si>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</si>
  <si>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</si>
  <si>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</si>
  <si>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</si>
  <si>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</si>
  <si>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</si>
  <si>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</si>
  <si>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</si>
  <si>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</si>
  <si>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</si>
  <si>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</si>
  <si>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</si>
  <si>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</si>
  <si>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</si>
  <si>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</si>
  <si>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</si>
  <si>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</si>
  <si>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</si>
  <si>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</si>
  <si>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</si>
  <si>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</si>
  <si>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</si>
  <si>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</si>
  <si>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</si>
  <si>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</si>
  <si>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</si>
  <si>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</si>
  <si>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</si>
  <si>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</si>
  <si>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</si>
  <si>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</si>
  <si>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</si>
  <si>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</si>
  <si>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</si>
  <si>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</si>
  <si>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</si>
  <si>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</si>
  <si>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</si>
  <si>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</si>
  <si>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</si>
  <si>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</si>
  <si>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</si>
  <si>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</si>
  <si>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</si>
  <si>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</si>
  <si>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</si>
  <si>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</si>
  <si>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</si>
  <si>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</si>
  <si>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</si>
  <si>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</si>
  <si>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</si>
  <si>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</si>
  <si>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</si>
  <si>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</si>
  <si>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</si>
  <si>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</si>
  <si>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</si>
  <si>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</si>
  <si>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</si>
  <si>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</si>
  <si>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</si>
  <si>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</si>
  <si>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</si>
  <si>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</si>
  <si>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</si>
  <si>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</si>
  <si>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</si>
  <si>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</si>
  <si>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</si>
  <si>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</si>
  <si>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</si>
  <si>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</si>
  <si>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</si>
  <si>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</si>
  <si>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</si>
  <si>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</si>
  <si>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</si>
  <si>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</si>
  <si>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</si>
  <si>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</si>
  <si>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</si>
  <si>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</si>
  <si>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</si>
  <si>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</si>
  <si>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</si>
  <si>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</si>
  <si>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</si>
  <si>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</si>
  <si>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</si>
  <si>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</si>
  <si>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</si>
  <si>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</si>
  <si>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</si>
  <si>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</si>
  <si>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</si>
  <si>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</si>
  <si>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</si>
  <si>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</si>
  <si>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</si>
  <si>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</si>
  <si>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</si>
  <si>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</si>
  <si>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</si>
  <si>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</si>
  <si>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</si>
  <si>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</si>
  <si>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</si>
  <si>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</si>
  <si>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</si>
  <si>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</si>
  <si>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</si>
  <si>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</si>
  <si>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</si>
  <si>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</si>
  <si>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</si>
  <si>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</si>
  <si>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</si>
  <si>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</si>
  <si>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</si>
  <si>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</si>
  <si>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</si>
  <si>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</si>
  <si>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</si>
  <si>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</si>
  <si>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</si>
  <si>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</si>
  <si>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</si>
  <si>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</si>
  <si>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</si>
  <si>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</si>
  <si>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</si>
  <si>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</si>
  <si>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</si>
  <si>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</si>
  <si>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</si>
  <si>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</si>
  <si>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</si>
  <si>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</si>
  <si>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</si>
  <si>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</si>
  <si>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</si>
  <si>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</si>
  <si>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</si>
  <si>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</si>
  <si>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</si>
  <si>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</si>
  <si>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</si>
  <si>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</si>
  <si>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</si>
  <si>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</si>
  <si>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</si>
  <si>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</si>
  <si>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</si>
  <si>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</si>
  <si>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</si>
  <si>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</si>
  <si>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</si>
  <si>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</si>
  <si>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</si>
  <si>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</si>
  <si>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</si>
  <si>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</si>
  <si>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</si>
  <si>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</si>
  <si>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</si>
  <si>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</si>
  <si>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</si>
  <si>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</si>
  <si>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</si>
  <si>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</si>
  <si>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</si>
  <si>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</si>
  <si>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</si>
  <si>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</si>
  <si>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</si>
  <si>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</si>
  <si>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</si>
  <si>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</si>
  <si>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</si>
  <si>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</si>
  <si>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</si>
  <si>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</si>
  <si>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</si>
  <si>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</si>
  <si>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李宁</t>
  </si>
  <si>
    <t>2331.HK</t>
  </si>
  <si>
    <t/>
  </si>
  <si>
    <t>CNS_02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</si>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</sst>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45778</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2584797906</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14.98</v>
      </c>
      <c r="D12" s="50"/>
      <c r="E12" s="48"/>
    </row>
    <row r="13" spans="1:10">
      <c r="B13" s="1" t="s">
        <v>416</v>
      </c>
      <c r="C13" s="48" t="s">
        <v>396</v>
      </c>
      <c r="D13" s="48"/>
      <c r="E13" s="5"/>
    </row>
    <row r="14" spans="1:10">
      <c r="B14" s="4" t="s">
        <v>420</v>
      </c>
      <c r="C14" s="35">
        <f>Thesis!C12*Common_Shares/1000000</f>
        <v>38720.272631880005</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1.0899407000000001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25.532575386723515</v>
      </c>
      <c r="D26" s="1" t="s">
        <v>399</v>
      </c>
      <c r="E26" s="301">
        <f ca="1">Scenarios!C87</f>
        <v>0.22491330216214434</v>
      </c>
    </row>
    <row r="27" spans="2:6">
      <c r="D27" s="5"/>
      <c r="E27" s="5"/>
    </row>
    <row r="28" spans="2:6">
      <c r="B28" s="45" t="s">
        <v>433</v>
      </c>
      <c r="C28" s="309" t="str">
        <f>C145&amp;" ("&amp;Market_currency&amp;")"</f>
        <v>2331.HK (HKD)</v>
      </c>
      <c r="D28" s="309" t="str">
        <f>IF(D11="","",D145&amp;" ("&amp;D13&amp;")")</f>
        <v/>
      </c>
      <c r="E28" s="305" t="s">
        <v>429</v>
      </c>
      <c r="F28" s="303">
        <v>3</v>
      </c>
    </row>
    <row r="29" spans="2:6">
      <c r="B29" s="1" t="s">
        <v>425</v>
      </c>
      <c r="C29" s="310">
        <f>C149</f>
        <v>10.875566401642567</v>
      </c>
      <c r="D29" s="310" t="str">
        <f>D149</f>
        <v/>
      </c>
      <c r="E29" s="306" t="s">
        <v>424</v>
      </c>
      <c r="F29" s="302">
        <v>0.3674</v>
      </c>
    </row>
    <row r="30" spans="2:6">
      <c r="B30" s="1" t="s">
        <v>426</v>
      </c>
      <c r="C30" s="311">
        <f>C157</f>
        <v>15.25137573780721</v>
      </c>
      <c r="D30" s="311" t="str">
        <f>D157</f>
        <v/>
      </c>
      <c r="E30" s="307" t="s">
        <v>437</v>
      </c>
      <c r="F30" s="312">
        <v>0.21740000000000001</v>
      </c>
    </row>
    <row r="31" spans="2:6">
      <c r="B31" s="1" t="s">
        <v>427</v>
      </c>
      <c r="C31" s="311">
        <f>C165</f>
        <v>21.948010179937256</v>
      </c>
      <c r="D31" s="311" t="str">
        <f>D165</f>
        <v/>
      </c>
      <c r="E31" s="307" t="s">
        <v>436</v>
      </c>
      <c r="F31" s="312">
        <v>7.4999999999999997E-2</v>
      </c>
    </row>
    <row r="32" spans="2:6">
      <c r="B32" s="1" t="s">
        <v>428</v>
      </c>
      <c r="C32" s="311">
        <f>C173</f>
        <v>19.595203970551857</v>
      </c>
      <c r="D32" s="311" t="str">
        <f>D173</f>
        <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3205414.6239021346</v>
      </c>
      <c r="D41" s="1" t="str">
        <f>Reporting_currency</f>
        <v>CNY</v>
      </c>
    </row>
    <row r="42" spans="1:6">
      <c r="B42" s="47"/>
      <c r="C42" s="76"/>
    </row>
    <row r="43" spans="1:6" ht="24.5" customHeight="1">
      <c r="B43" s="359" t="s">
        <v>233</v>
      </c>
      <c r="C43" s="359"/>
      <c r="D43" s="359"/>
      <c r="E43" s="359"/>
      <c r="F43" s="359"/>
    </row>
    <row r="44" spans="1:6">
      <c r="B44" s="47" t="s">
        <v>234</v>
      </c>
      <c r="C44" s="349">
        <f>Normalized_FCF!C9</f>
        <v>0</v>
      </c>
      <c r="D44" s="1" t="str">
        <f>Reporting_currency</f>
        <v>CNY</v>
      </c>
    </row>
    <row r="45" spans="1:6">
      <c r="B45" s="52" t="s">
        <v>235</v>
      </c>
      <c r="C45" s="349">
        <f>Normalized_FCF!C10</f>
        <v>0</v>
      </c>
      <c r="D45" s="1" t="str">
        <f>Reporting_currency</f>
        <v>CNY</v>
      </c>
    </row>
    <row r="47" spans="1:6">
      <c r="B47" s="359" t="s">
        <v>236</v>
      </c>
      <c r="C47" s="359"/>
      <c r="D47" s="359"/>
      <c r="E47" s="359"/>
      <c r="F47" s="359"/>
    </row>
    <row r="48" spans="1:6">
      <c r="B48" s="47" t="s">
        <v>237</v>
      </c>
      <c r="C48" s="349">
        <f>Normalized_FCF!C11</f>
        <v>179409.3</v>
      </c>
      <c r="D48" s="1" t="str">
        <f>Reporting_currency</f>
        <v>CNY</v>
      </c>
    </row>
    <row r="50" spans="2:6">
      <c r="B50" s="359" t="s">
        <v>240</v>
      </c>
      <c r="C50" s="359"/>
      <c r="D50" s="359"/>
      <c r="E50" s="359"/>
      <c r="F50" s="359"/>
    </row>
    <row r="51" spans="2:6">
      <c r="B51" s="47" t="s">
        <v>340</v>
      </c>
      <c r="C51" s="350">
        <f>Normalized_FCF!C48</f>
        <v>95942.533927895769</v>
      </c>
      <c r="D51" s="1" t="str">
        <f>Reporting_currency</f>
        <v>CNY</v>
      </c>
      <c r="E51" s="286"/>
      <c r="F51" s="286"/>
    </row>
    <row r="52" spans="2:6">
      <c r="B52" s="47" t="s">
        <v>341</v>
      </c>
      <c r="C52" s="350">
        <f>Normalized_FCF!C47</f>
        <v>-254421</v>
      </c>
      <c r="D52" s="1" t="str">
        <f>Reporting_currency</f>
        <v>CNY</v>
      </c>
      <c r="E52" s="286"/>
      <c r="F52" s="286"/>
    </row>
    <row r="53" spans="2:6">
      <c r="B53" s="47" t="s">
        <v>238</v>
      </c>
      <c r="C53" s="349">
        <f>Normalized_FCF!C12</f>
        <v>-158478.46607210423</v>
      </c>
      <c r="D53" s="1" t="str">
        <f>Reporting_currency</f>
        <v>CNY</v>
      </c>
    </row>
    <row r="55" spans="2:6">
      <c r="B55" s="1" t="s">
        <v>246</v>
      </c>
    </row>
    <row r="56" spans="2:6">
      <c r="B56" s="47" t="s">
        <v>265</v>
      </c>
      <c r="C56" s="349">
        <f>Normalized_FCF!C15</f>
        <v>0</v>
      </c>
      <c r="D56" s="1" t="str">
        <f>Reporting_currency</f>
        <v>CNY</v>
      </c>
    </row>
    <row r="58" spans="2:6">
      <c r="B58" s="359" t="s">
        <v>241</v>
      </c>
      <c r="C58" s="359"/>
      <c r="D58" s="359"/>
      <c r="E58" s="359"/>
      <c r="F58" s="359"/>
    </row>
    <row r="59" spans="2:6">
      <c r="B59" s="47" t="s">
        <v>239</v>
      </c>
      <c r="C59" s="349">
        <f>Normalized_FCF!C14</f>
        <v>-806586.3644575075</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2532233.8079278958</v>
      </c>
      <c r="D67" s="1" t="str">
        <f>Reporting_currency</f>
        <v>CNY</v>
      </c>
    </row>
    <row r="68" spans="1:6">
      <c r="B68" s="47" t="s">
        <v>248</v>
      </c>
      <c r="C68" s="349">
        <f>Normalized_FCF!C19</f>
        <v>2419759.0933725224</v>
      </c>
      <c r="D68" s="1" t="str">
        <f>Reporting_currency</f>
        <v>CNY</v>
      </c>
    </row>
    <row r="69" spans="1:6">
      <c r="B69" s="227" t="s">
        <v>390</v>
      </c>
      <c r="C69" s="92">
        <f>Normalized_FCF!C125</f>
        <v>6.8114032799715798E-2</v>
      </c>
      <c r="F69" s="314"/>
    </row>
    <row r="70" spans="1:6">
      <c r="B70" s="227" t="s">
        <v>308</v>
      </c>
      <c r="C70" s="92">
        <f>Normalized_FCF!C93</f>
        <v>3.5817286473525341E-2</v>
      </c>
      <c r="E70" s="47" t="s">
        <v>448</v>
      </c>
      <c r="F70" s="315">
        <f>Normalized_FCF!C92</f>
        <v>0.57313767349299605</v>
      </c>
    </row>
    <row r="72" spans="1:6">
      <c r="B72" s="210" t="s">
        <v>451</v>
      </c>
      <c r="C72" s="323" t="s">
        <v>453</v>
      </c>
      <c r="D72" s="323" t="s">
        <v>454</v>
      </c>
    </row>
    <row r="73" spans="1:6">
      <c r="B73" s="47" t="s">
        <v>452</v>
      </c>
      <c r="C73" s="92">
        <f>Normalized_FCF!C120</f>
        <v>0.12359729913385153</v>
      </c>
      <c r="D73" s="92">
        <f>Normalized_FCF!G120</f>
        <v>0.13901961550062505</v>
      </c>
    </row>
    <row r="74" spans="1:6">
      <c r="B74" s="259" t="str">
        <f>Normalized_FCF!B117</f>
        <v>Pre-tax Profit/Sales</v>
      </c>
      <c r="C74" s="322">
        <f>Normalized_FCF!C117</f>
        <v>0.12331970130816802</v>
      </c>
      <c r="D74" s="322">
        <f>Normalized_FCF!G117</f>
        <v>0.12655077369766027</v>
      </c>
    </row>
    <row r="75" spans="1:6">
      <c r="B75" s="259" t="str">
        <f>Normalized_FCF!B118</f>
        <v>Sales/Total Assets</v>
      </c>
      <c r="C75" s="324">
        <f>Normalized_FCF!C118</f>
        <v>0.73266920679685343</v>
      </c>
      <c r="D75" s="324">
        <f>Normalized_FCF!G118</f>
        <v>0.80305021176246283</v>
      </c>
    </row>
    <row r="76" spans="1:6">
      <c r="B76" s="259" t="str">
        <f>Normalized_FCF!B119</f>
        <v>Total Assets/Equity</v>
      </c>
      <c r="C76" s="324">
        <f>Normalized_FCF!C119</f>
        <v>1.3679448142367923</v>
      </c>
      <c r="D76" s="324">
        <f>Normalized_FCF!G119</f>
        <v>1.3679448142367923</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13.604642817863239</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1936137</v>
      </c>
      <c r="D102" s="1" t="str">
        <f>Reporting_currency</f>
        <v>CNY</v>
      </c>
    </row>
    <row r="103" spans="2:6">
      <c r="B103" s="47" t="s">
        <v>281</v>
      </c>
      <c r="C103" s="223">
        <f>C102*scaling_factor*Exchange_Rate/Common_Shares</f>
        <v>0.81641760548373798</v>
      </c>
      <c r="D103" s="1" t="str">
        <f>Market_currency</f>
        <v>HKD</v>
      </c>
    </row>
    <row r="104" spans="2:6">
      <c r="B104" s="296" t="s">
        <v>404</v>
      </c>
      <c r="C104" s="325">
        <f>IF(BS!G31/BS!G27&gt;300%,"nm",BS!G31/BS!G27)</f>
        <v>7.4171010848313429E-2</v>
      </c>
    </row>
    <row r="105" spans="2:6">
      <c r="B105" s="296" t="s">
        <v>406</v>
      </c>
      <c r="C105" s="326">
        <f>IF(BS!C50&gt;30,"nm",BS!C50)</f>
        <v>0.60402076709908736</v>
      </c>
    </row>
    <row r="107" spans="2:6">
      <c r="B107" s="1" t="s">
        <v>254</v>
      </c>
    </row>
    <row r="108" spans="2:6">
      <c r="B108" s="47" t="s">
        <v>264</v>
      </c>
      <c r="C108" s="349">
        <f>BS!C66</f>
        <v>18164188</v>
      </c>
      <c r="D108" s="1" t="str">
        <f>Reporting_currency</f>
        <v>CNY</v>
      </c>
    </row>
    <row r="109" spans="2:6">
      <c r="B109" s="47" t="s">
        <v>266</v>
      </c>
      <c r="C109" s="349">
        <f>DCF!C8</f>
        <v>14106873.00445218</v>
      </c>
      <c r="D109" s="1" t="str">
        <f>Reporting_currency</f>
        <v>CNY</v>
      </c>
    </row>
    <row r="110" spans="2:6">
      <c r="B110" s="47" t="s">
        <v>282</v>
      </c>
      <c r="C110" s="223">
        <f>C109*scaling_factor*Exchange_Rate/Common_Shares</f>
        <v>5.9484940782382827</v>
      </c>
      <c r="D110" s="1" t="str">
        <f>Market_currency</f>
        <v>HKD</v>
      </c>
    </row>
    <row r="112" spans="2:6">
      <c r="B112" s="1" t="s">
        <v>256</v>
      </c>
    </row>
    <row r="113" spans="1:6">
      <c r="B113" s="47" t="s">
        <v>257</v>
      </c>
      <c r="C113" s="349">
        <f>DCF!C9</f>
        <v>561572.19999999995</v>
      </c>
      <c r="D113" s="1" t="str">
        <f>Reporting_currency</f>
        <v>CNY</v>
      </c>
    </row>
    <row r="114" spans="1:6">
      <c r="B114" s="47" t="s">
        <v>283</v>
      </c>
      <c r="C114" s="223">
        <f>C113*scaling_factor*Exchange_Rate/Common_Shares</f>
        <v>0.23680009773597366</v>
      </c>
      <c r="D114" s="1" t="str">
        <f>Market_currency</f>
        <v>HKD</v>
      </c>
    </row>
    <row r="116" spans="1:6" ht="24.5" customHeight="1">
      <c r="B116" s="358" t="s">
        <v>366</v>
      </c>
      <c r="C116" s="358"/>
      <c r="D116" s="358"/>
      <c r="E116" s="358"/>
      <c r="F116" s="358"/>
    </row>
    <row r="118" spans="1:6">
      <c r="B118" s="47" t="s">
        <v>449</v>
      </c>
      <c r="C118" s="223">
        <f>IF(valuation_method="DCF",DCF!C12,DDM!C7)</f>
        <v>18.973519388353761</v>
      </c>
      <c r="D118" s="1" t="str">
        <f>Market_currency</f>
        <v>HKD</v>
      </c>
    </row>
    <row r="119" spans="1:6">
      <c r="B119" s="296" t="s">
        <v>405</v>
      </c>
      <c r="C119" s="223">
        <f>BS!D47</f>
        <v>4.5949796091576278</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30</v>
      </c>
      <c r="E126" s="231" t="str">
        <f>ROUND(IF(valuation_method="DCF",DCF!E74,DDM!E69),2)&amp;" "&amp;Market_currency</f>
        <v>51.66 HKD</v>
      </c>
      <c r="F126" s="232">
        <f>DCF!F74</f>
        <v>0.05</v>
      </c>
    </row>
    <row r="127" spans="1:6">
      <c r="B127" s="218" t="str">
        <f>DCF!B75</f>
        <v>Optimistic</v>
      </c>
      <c r="C127" s="219">
        <f>DCF!C75</f>
        <v>0.06</v>
      </c>
      <c r="D127" s="220">
        <f>DCF!D75</f>
        <v>20</v>
      </c>
      <c r="E127" s="231" t="str">
        <f>ROUND(IF(valuation_method="DCF",DCF!E75,DDM!E70),2)&amp;" "&amp;Market_currency</f>
        <v>26.43 HKD</v>
      </c>
      <c r="F127" s="221">
        <f>DCF!F75</f>
        <v>0.22499999999999992</v>
      </c>
    </row>
    <row r="128" spans="1:6">
      <c r="B128" s="218" t="str">
        <f>DCF!B76</f>
        <v>Base</v>
      </c>
      <c r="C128" s="219">
        <f>DCF!C76</f>
        <v>0.05</v>
      </c>
      <c r="D128" s="220">
        <f>DCF!D76</f>
        <v>20</v>
      </c>
      <c r="E128" s="231" t="str">
        <f>ROUND(IF(valuation_method="DCF",DCF!E76,DDM!E71),2)&amp;" "&amp;Market_currency</f>
        <v>24.82 HKD</v>
      </c>
      <c r="F128" s="221">
        <f>DCF!F76</f>
        <v>0.495</v>
      </c>
    </row>
    <row r="129" spans="1:6">
      <c r="B129" s="218" t="str">
        <f>DCF!B77</f>
        <v>Pessimistic</v>
      </c>
      <c r="C129" s="219">
        <f>DCF!C77</f>
        <v>0.02</v>
      </c>
      <c r="D129" s="220">
        <f>DCF!D77</f>
        <v>20</v>
      </c>
      <c r="E129" s="231" t="str">
        <f>ROUND(IF(valuation_method="DCF",DCF!E77,DDM!E72),2)&amp;" "&amp;Market_currency</f>
        <v>20.94 HKD</v>
      </c>
      <c r="F129" s="221">
        <f>DCF!F77</f>
        <v>0.18</v>
      </c>
    </row>
    <row r="130" spans="1:6">
      <c r="B130" s="218" t="str">
        <f>DCF!B78</f>
        <v>Devil's advocate</v>
      </c>
      <c r="C130" s="219">
        <f>DCF!C78</f>
        <v>0</v>
      </c>
      <c r="D130" s="220">
        <f>DCF!D78</f>
        <v>30</v>
      </c>
      <c r="E130" s="231" t="str">
        <f>ROUND(IF(valuation_method="DCF",DCF!E78,DDM!E73),2)&amp;" "&amp;Market_currency</f>
        <v>18.97 HKD</v>
      </c>
      <c r="F130" s="221">
        <f>DCF!F78</f>
        <v>0.05</v>
      </c>
    </row>
    <row r="132" spans="1:6">
      <c r="B132" s="211" t="s">
        <v>258</v>
      </c>
      <c r="C132" s="217">
        <f>Scenarios!C60</f>
        <v>25.532575386723515</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0.53654295137340957</v>
      </c>
      <c r="D143" s="212" t="str">
        <f>Market_currency</f>
        <v>HKD</v>
      </c>
    </row>
    <row r="145" spans="2:4">
      <c r="B145" s="210" t="s">
        <v>408</v>
      </c>
      <c r="C145" s="241" t="str">
        <f>C11</f>
        <v>2331.HK</v>
      </c>
      <c r="D145" s="241" t="str">
        <f>IF(D11="","",D11)</f>
        <v/>
      </c>
    </row>
    <row r="146" spans="2:4">
      <c r="B146" s="1" t="s">
        <v>407</v>
      </c>
      <c r="C146" s="297">
        <f>F29</f>
        <v>0.3674</v>
      </c>
    </row>
    <row r="147" spans="2:4">
      <c r="B147" s="212" t="str">
        <f>"PV("&amp;C141&amp;" yrs of Dividends)"</f>
        <v>PV(3 yrs of Dividends)</v>
      </c>
      <c r="C147" s="216">
        <f>Scenarios!C81</f>
        <v>0.88919080640310932</v>
      </c>
    </row>
    <row r="148" spans="2:4">
      <c r="B148" s="212" t="str">
        <f>"+ PV(Equity Value realized at year "&amp;C141&amp;")"</f>
        <v>+ PV(Equity Value realized at year 3)</v>
      </c>
      <c r="C148" s="216">
        <f>Scenarios!C82</f>
        <v>9.9863755952394584</v>
      </c>
    </row>
    <row r="149" spans="2:4">
      <c r="B149" s="80" t="s">
        <v>260</v>
      </c>
      <c r="C149" s="215">
        <f>Scenarios!C83</f>
        <v>10.875566401642567</v>
      </c>
      <c r="D149" s="300" t="str">
        <f>IF($D$11="","",C149*$E$25)</f>
        <v/>
      </c>
    </row>
    <row r="150" spans="2:4">
      <c r="B150" s="259" t="s">
        <v>416</v>
      </c>
      <c r="C150" s="298" t="str">
        <f>Market_currency</f>
        <v>HKD</v>
      </c>
      <c r="D150" s="298" t="str">
        <f>IF($D$11="","",D$13)</f>
        <v/>
      </c>
    </row>
    <row r="151" spans="2:4">
      <c r="B151" s="214" t="s">
        <v>262</v>
      </c>
      <c r="C151" s="92">
        <f>Scenarios!F83</f>
        <v>0.57405133493514837</v>
      </c>
    </row>
    <row r="153" spans="2:4">
      <c r="B153" s="210" t="s">
        <v>411</v>
      </c>
    </row>
    <row r="154" spans="2:4">
      <c r="B154" s="1" t="s">
        <v>410</v>
      </c>
      <c r="C154" s="297">
        <f>Scenarios!C90</f>
        <v>0.21740000000000001</v>
      </c>
    </row>
    <row r="155" spans="2:4">
      <c r="B155" s="212" t="str">
        <f>"PV("&amp;C141&amp;" yrs of Dividends)"</f>
        <v>PV(3 yrs of Dividends)</v>
      </c>
      <c r="C155" s="216">
        <f>Scenarios!C91</f>
        <v>1.1001281095349638</v>
      </c>
    </row>
    <row r="156" spans="2:4">
      <c r="B156" s="212" t="str">
        <f>"+ PV(Equity Value realized at year "&amp;C141&amp;")"</f>
        <v>+ PV(Equity Value realized at year 3)</v>
      </c>
      <c r="C156" s="216">
        <f>Scenarios!C92</f>
        <v>14.151247628272246</v>
      </c>
    </row>
    <row r="157" spans="2:4">
      <c r="B157" s="80" t="s">
        <v>260</v>
      </c>
      <c r="C157" s="215">
        <f>Scenarios!C93</f>
        <v>15.25137573780721</v>
      </c>
      <c r="D157" s="300" t="str">
        <f>IF($D$11="","",C157*$E$25)</f>
        <v/>
      </c>
    </row>
    <row r="158" spans="2:4">
      <c r="B158" s="259" t="s">
        <v>416</v>
      </c>
      <c r="C158" s="298" t="str">
        <f>Market_currency</f>
        <v>HKD</v>
      </c>
      <c r="D158" s="298" t="str">
        <f>IF($D$11="","",D$13)</f>
        <v/>
      </c>
    </row>
    <row r="159" spans="2:4">
      <c r="B159" s="214" t="s">
        <v>262</v>
      </c>
      <c r="C159" s="92">
        <f>Scenarios!F93</f>
        <v>0.40266990278866832</v>
      </c>
    </row>
    <row r="161" spans="2:4">
      <c r="B161" s="210" t="s">
        <v>400</v>
      </c>
    </row>
    <row r="162" spans="2:4">
      <c r="B162" s="1" t="s">
        <v>409</v>
      </c>
      <c r="C162" s="92">
        <f>Scenarios!C96</f>
        <v>7.4999999999999997E-2</v>
      </c>
    </row>
    <row r="163" spans="2:4">
      <c r="B163" s="212" t="str">
        <f>"PV("&amp;C141&amp;" yrs of Dividends)"</f>
        <v>PV(3 yrs of Dividends)</v>
      </c>
      <c r="C163" s="216">
        <f>Scenarios!C97</f>
        <v>1.3952937555934208</v>
      </c>
    </row>
    <row r="164" spans="2:4">
      <c r="B164" s="212" t="str">
        <f>"+ PV(Equity Value realized at year "&amp;C141&amp;")"</f>
        <v>+ PV(Equity Value realized at year 3)</v>
      </c>
      <c r="C164" s="216">
        <f>Scenarios!C98</f>
        <v>20.552716424343835</v>
      </c>
    </row>
    <row r="165" spans="2:4">
      <c r="B165" s="80" t="s">
        <v>401</v>
      </c>
      <c r="C165" s="215">
        <f>Scenarios!C99</f>
        <v>21.948010179937256</v>
      </c>
      <c r="D165" s="300" t="str">
        <f>IF($D$11="","",C165*$E$25)</f>
        <v/>
      </c>
    </row>
    <row r="166" spans="2:4">
      <c r="B166" s="259" t="s">
        <v>416</v>
      </c>
      <c r="C166" s="298" t="str">
        <f>Market_currency</f>
        <v>HKD</v>
      </c>
      <c r="D166" s="298" t="str">
        <f>IF($D$11="","",D$13)</f>
        <v/>
      </c>
    </row>
    <row r="167" spans="2:4">
      <c r="B167" s="214" t="s">
        <v>262</v>
      </c>
      <c r="C167" s="92">
        <f>Scenarios!F99</f>
        <v>0.14039183875866157</v>
      </c>
    </row>
    <row r="169" spans="2:4">
      <c r="B169" s="210" t="s">
        <v>432</v>
      </c>
    </row>
    <row r="170" spans="2:4">
      <c r="B170" s="1" t="s">
        <v>423</v>
      </c>
      <c r="C170" s="92">
        <f>F32</f>
        <v>0.1174</v>
      </c>
    </row>
    <row r="171" spans="2:4">
      <c r="B171" s="212" t="str">
        <f>"PV("&amp;C141&amp;" yrs of Dividends)"</f>
        <v>PV(3 yrs of Dividends)</v>
      </c>
      <c r="C171" s="216">
        <f>Scenarios!C103</f>
        <v>1.2944652016838365</v>
      </c>
    </row>
    <row r="172" spans="2:4">
      <c r="B172" s="212" t="str">
        <f>"+ PV(Equity Value realized at year "&amp;C141&amp;")"</f>
        <v>+ PV(Equity Value realized at year 3)</v>
      </c>
      <c r="C172" s="216">
        <f>Scenarios!C104</f>
        <v>18.300738768868023</v>
      </c>
    </row>
    <row r="173" spans="2:4">
      <c r="B173" s="80" t="s">
        <v>401</v>
      </c>
      <c r="C173" s="215">
        <f>Scenarios!C105</f>
        <v>19.595203970551857</v>
      </c>
      <c r="D173" s="300" t="str">
        <f>IF($D$11="","",C173*$E$25)</f>
        <v/>
      </c>
    </row>
    <row r="174" spans="2:4">
      <c r="B174" s="259" t="s">
        <v>416</v>
      </c>
      <c r="C174" s="298" t="str">
        <f>Market_currency</f>
        <v>HKD</v>
      </c>
      <c r="D174" s="298" t="str">
        <f>IF($D$11="","",D$13)</f>
        <v/>
      </c>
    </row>
    <row r="175" spans="2:4">
      <c r="B175" s="214" t="s">
        <v>262</v>
      </c>
      <c r="C175" s="92">
        <f>Scenarios!F105</f>
        <v>0.23096642973721948</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49</v>
      </c>
      <c r="C8" s="351"/>
      <c r="D8" s="351"/>
      <c r="E8" s="351"/>
      <c r="F8" s="351"/>
      <c r="G8" s="351"/>
      <c r="H8" s="351"/>
      <c r="I8" s="351"/>
      <c r="J8" s="351"/>
      <c r="K8" s="351"/>
      <c r="L8" s="351"/>
      <c r="M8" s="351"/>
    </row>
    <row r="9" spans="2:13">
      <c r="B9" s="40" t="s">
        <v>159</v>
      </c>
      <c r="C9" s="351">
        <v>256299</v>
      </c>
      <c r="D9" s="351">
        <v>377972</v>
      </c>
      <c r="E9" s="351">
        <v>201155</v>
      </c>
      <c r="F9" s="351">
        <v>159222</v>
      </c>
      <c r="G9" s="351">
        <v>83487</v>
      </c>
      <c r="H9" s="351">
        <v>343469</v>
      </c>
      <c r="I9" s="351">
        <v>63633</v>
      </c>
      <c r="J9" s="351">
        <v>73806</v>
      </c>
      <c r="K9" s="351">
        <v>9716</v>
      </c>
      <c r="L9" s="351">
        <v>6948</v>
      </c>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254421</v>
      </c>
      <c r="D12" s="351">
        <v>181446</v>
      </c>
      <c r="E12" s="351">
        <v>120561</v>
      </c>
      <c r="F12" s="351">
        <v>112458</v>
      </c>
      <c r="G12" s="351"/>
      <c r="H12" s="351"/>
      <c r="I12" s="351"/>
      <c r="J12" s="351"/>
      <c r="K12" s="351"/>
      <c r="L12" s="351"/>
      <c r="M12" s="351"/>
    </row>
    <row r="13" spans="2:13">
      <c r="B13" s="40" t="s">
        <v>67</v>
      </c>
      <c r="C13" s="351">
        <v>429525</v>
      </c>
      <c r="D13" s="351">
        <v>500556</v>
      </c>
      <c r="E13" s="351">
        <v>447748</v>
      </c>
      <c r="F13" s="351">
        <v>145097</v>
      </c>
      <c r="G13" s="351"/>
      <c r="H13" s="351"/>
      <c r="I13" s="351"/>
      <c r="J13" s="351"/>
      <c r="K13" s="351"/>
      <c r="L13" s="351"/>
      <c r="M13" s="351"/>
    </row>
    <row r="14" spans="2:13">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44</v>
      </c>
      <c r="C16" s="351">
        <v>0</v>
      </c>
      <c r="D16" s="351">
        <v>52</v>
      </c>
      <c r="E16" s="351">
        <v>-63</v>
      </c>
      <c r="F16" s="351">
        <v>7</v>
      </c>
      <c r="G16" s="351">
        <v>0</v>
      </c>
      <c r="H16" s="351">
        <v>4</v>
      </c>
      <c r="I16" s="351">
        <v>0</v>
      </c>
      <c r="J16" s="351">
        <v>0</v>
      </c>
      <c r="K16" s="351">
        <v>57615</v>
      </c>
      <c r="L16" s="351">
        <v>47296</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371</v>
      </c>
      <c r="C22" s="351"/>
      <c r="D22" s="351">
        <v>4687936</v>
      </c>
      <c r="E22" s="351">
        <v>3913604</v>
      </c>
      <c r="F22" s="351">
        <v>6525335</v>
      </c>
      <c r="G22" s="351">
        <v>2763336</v>
      </c>
      <c r="H22" s="351">
        <v>3503469</v>
      </c>
      <c r="I22" s="351">
        <v>1671869</v>
      </c>
      <c r="J22" s="351">
        <v>1159143</v>
      </c>
      <c r="K22" s="351">
        <v>995476</v>
      </c>
      <c r="L22" s="351">
        <v>687043</v>
      </c>
      <c r="M22" s="351"/>
    </row>
    <row r="23" spans="2:13">
      <c r="B23" s="27" t="s">
        <v>373</v>
      </c>
      <c r="C23" s="351"/>
      <c r="D23" s="351">
        <v>-2449105</v>
      </c>
      <c r="E23" s="351">
        <v>-9481433</v>
      </c>
      <c r="F23" s="351">
        <v>-6538700</v>
      </c>
      <c r="G23" s="351">
        <v>-991555</v>
      </c>
      <c r="H23" s="351">
        <v>-573343</v>
      </c>
      <c r="I23" s="351">
        <v>-482937</v>
      </c>
      <c r="J23" s="351">
        <v>-342516</v>
      </c>
      <c r="K23" s="351">
        <v>-320306</v>
      </c>
      <c r="L23" s="351">
        <v>-362745</v>
      </c>
      <c r="M23" s="351"/>
    </row>
    <row r="24" spans="2:13">
      <c r="B24" s="27" t="s">
        <v>372</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0.53654295137340957</v>
      </c>
      <c r="D25" s="39"/>
      <c r="E25" s="39"/>
      <c r="F25" s="39"/>
      <c r="G25" s="39"/>
      <c r="H25" s="39"/>
      <c r="I25" s="39"/>
      <c r="J25" s="39"/>
      <c r="K25" s="39"/>
      <c r="L25" s="39"/>
      <c r="M25" s="39"/>
    </row>
    <row r="27" spans="2:13">
      <c r="B27" s="16" t="s">
        <v>28</v>
      </c>
      <c r="C27" s="97" t="s">
        <v>463</v>
      </c>
    </row>
    <row r="28" spans="2:13">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172</v>
      </c>
      <c r="C32" s="333">
        <f>BS!G28</f>
        <v>0</v>
      </c>
      <c r="D32" s="351">
        <v>0</v>
      </c>
      <c r="E32" s="351">
        <v>2498</v>
      </c>
      <c r="F32" s="351">
        <v>2561</v>
      </c>
      <c r="G32" s="351">
        <v>2554</v>
      </c>
      <c r="H32" s="351">
        <v>2554</v>
      </c>
      <c r="I32" s="351">
        <v>2550</v>
      </c>
      <c r="J32" s="351">
        <v>2550</v>
      </c>
      <c r="K32" s="351">
        <v>2550</v>
      </c>
      <c r="L32" s="351">
        <v>230637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168</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68</v>
      </c>
    </row>
    <row r="51" spans="2:13">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393</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36</v>
      </c>
      <c r="C65" s="73">
        <f>IF(C$4="","",C25)</f>
        <v>0.53654295137340957</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168</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1004591+245432</f>
        <v>1250023</v>
      </c>
      <c r="D4" s="261">
        <v>0.6</v>
      </c>
      <c r="E4" s="25"/>
      <c r="F4" s="4" t="s">
        <v>77</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166519</v>
      </c>
      <c r="D15" s="261">
        <v>0.4</v>
      </c>
      <c r="F15" s="4" t="s">
        <v>78</v>
      </c>
      <c r="G15" s="19">
        <v>2377970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450316</v>
      </c>
      <c r="H17" s="261">
        <v>0.6</v>
      </c>
    </row>
    <row r="18" spans="2:8" ht="15" customHeight="1">
      <c r="B18" s="4" t="s">
        <v>173</v>
      </c>
      <c r="C18" s="19">
        <v>0</v>
      </c>
      <c r="D18" s="261">
        <v>0.6</v>
      </c>
      <c r="F18" s="4" t="s">
        <v>181</v>
      </c>
      <c r="G18" s="19">
        <v>1743938</v>
      </c>
      <c r="H18" s="261">
        <v>0.1</v>
      </c>
    </row>
    <row r="19" spans="2:8" ht="15" customHeight="1">
      <c r="B19" s="4" t="s">
        <v>26</v>
      </c>
      <c r="C19" s="19">
        <f>4610454+1576667+150864</f>
        <v>6337985</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234736</v>
      </c>
      <c r="D21" s="261">
        <v>0.05</v>
      </c>
      <c r="F21" s="1" t="s">
        <v>180</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200</v>
      </c>
      <c r="C26" s="182" t="s">
        <v>136</v>
      </c>
      <c r="F26" s="184" t="s">
        <v>196</v>
      </c>
      <c r="G26" s="185" t="s">
        <v>136</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244</v>
      </c>
      <c r="G28" s="12">
        <v>0</v>
      </c>
      <c r="H28" s="188"/>
    </row>
    <row r="29" spans="2:8" ht="15" customHeight="1">
      <c r="B29" s="4" t="s">
        <v>7</v>
      </c>
      <c r="C29" s="19">
        <v>0</v>
      </c>
      <c r="F29" s="190" t="s">
        <v>75</v>
      </c>
      <c r="G29" s="14">
        <f>G27-G28</f>
        <v>26103689</v>
      </c>
      <c r="H29" s="188">
        <f>H27-G28</f>
        <v>10897009.050000001</v>
      </c>
    </row>
    <row r="30" spans="2:8" ht="15" customHeight="1">
      <c r="B30" s="2" t="s">
        <v>8</v>
      </c>
      <c r="C30" s="19">
        <v>0</v>
      </c>
      <c r="F30" s="187" t="s">
        <v>23</v>
      </c>
      <c r="G30" s="85">
        <f>C33+C42</f>
        <v>9604717</v>
      </c>
      <c r="H30" s="188"/>
    </row>
    <row r="31" spans="2:8" ht="15" customHeight="1">
      <c r="B31" s="80" t="s">
        <v>203</v>
      </c>
      <c r="C31" s="81">
        <f>SUM(C27:C30)</f>
        <v>551610</v>
      </c>
      <c r="F31" s="190" t="s">
        <v>76</v>
      </c>
      <c r="G31" s="191">
        <f>C31+C40</f>
        <v>1936137</v>
      </c>
      <c r="H31" s="188"/>
    </row>
    <row r="32" spans="2:8" ht="15" customHeight="1">
      <c r="B32" s="4" t="s">
        <v>9</v>
      </c>
      <c r="C32" s="21">
        <f>C33-C31</f>
        <v>7034336</v>
      </c>
      <c r="F32" s="192" t="s">
        <v>74</v>
      </c>
      <c r="G32" s="193">
        <f>G35+G40</f>
        <v>35708406</v>
      </c>
      <c r="H32" s="188">
        <f>H35+H40</f>
        <v>20501726.050000001</v>
      </c>
    </row>
    <row r="33" spans="2:8" ht="15" customHeight="1">
      <c r="B33" s="83" t="s">
        <v>4</v>
      </c>
      <c r="C33" s="84">
        <v>7585946</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12436138</v>
      </c>
      <c r="H35" s="200">
        <f>D12+D24</f>
        <v>3660440.05</v>
      </c>
    </row>
    <row r="36" spans="2:8" ht="15" customHeight="1">
      <c r="B36" s="4" t="s">
        <v>13</v>
      </c>
      <c r="C36" s="19">
        <v>0</v>
      </c>
      <c r="F36" s="190" t="s">
        <v>197</v>
      </c>
      <c r="G36" s="191">
        <f>C4+C15</f>
        <v>1416542</v>
      </c>
      <c r="H36" s="195"/>
    </row>
    <row r="37" spans="2:8" ht="15" customHeight="1">
      <c r="B37" s="4" t="s">
        <v>14</v>
      </c>
      <c r="C37" s="19">
        <v>1384527</v>
      </c>
      <c r="F37" s="190" t="s">
        <v>198</v>
      </c>
      <c r="G37" s="191">
        <f>C6</f>
        <v>2598226</v>
      </c>
      <c r="H37" s="195"/>
    </row>
    <row r="38" spans="2:8" ht="15" customHeight="1">
      <c r="B38" s="4" t="s">
        <v>15</v>
      </c>
      <c r="C38" s="19">
        <v>0</v>
      </c>
      <c r="F38" s="190" t="s">
        <v>199</v>
      </c>
      <c r="G38" s="191">
        <f>C7+C17</f>
        <v>0</v>
      </c>
      <c r="H38" s="195"/>
    </row>
    <row r="39" spans="2:8" ht="15" customHeight="1">
      <c r="B39" s="2" t="s">
        <v>16</v>
      </c>
      <c r="C39" s="19">
        <v>0</v>
      </c>
      <c r="F39" s="190" t="s">
        <v>79</v>
      </c>
      <c r="G39" s="191">
        <f>C7+C17+C19+C20</f>
        <v>6337985</v>
      </c>
      <c r="H39" s="188">
        <f>C7*D7+C17*D17+C19*D19+C20*D20</f>
        <v>633798.5</v>
      </c>
    </row>
    <row r="40" spans="2:8" ht="15" customHeight="1">
      <c r="B40" s="80" t="s">
        <v>204</v>
      </c>
      <c r="C40" s="81">
        <f>SUM(C36:C39)</f>
        <v>1384527</v>
      </c>
      <c r="F40" s="199" t="s">
        <v>138</v>
      </c>
      <c r="G40" s="193">
        <f>G12+G24</f>
        <v>23272268</v>
      </c>
      <c r="H40" s="200">
        <f>H12+H24</f>
        <v>16841286</v>
      </c>
    </row>
    <row r="41" spans="2:8" ht="15" customHeight="1">
      <c r="B41" s="4" t="s">
        <v>17</v>
      </c>
      <c r="C41" s="21">
        <f>C42-C40</f>
        <v>634244</v>
      </c>
      <c r="F41" s="190" t="s">
        <v>191</v>
      </c>
      <c r="G41" s="191">
        <f>C70</f>
        <v>19908126</v>
      </c>
      <c r="H41" s="200">
        <f>H40-H42</f>
        <v>16279713.800000001</v>
      </c>
    </row>
    <row r="42" spans="2:8" ht="15" customHeight="1">
      <c r="B42" s="83" t="s">
        <v>22</v>
      </c>
      <c r="C42" s="84">
        <v>2018771</v>
      </c>
      <c r="F42" s="201" t="s">
        <v>192</v>
      </c>
      <c r="G42" s="202">
        <f>C82</f>
        <v>3364142</v>
      </c>
      <c r="H42" s="203">
        <f>D82</f>
        <v>561572.19999999995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26103689</v>
      </c>
      <c r="D46" s="76">
        <f>H29</f>
        <v>10897009.050000001</v>
      </c>
      <c r="F46" s="253"/>
    </row>
    <row r="47" spans="2:8" ht="15" customHeight="1">
      <c r="B47" s="1" t="str">
        <f>"Equity per share ("&amp;Market_currency&amp;")"</f>
        <v>Equity per share (HKD)</v>
      </c>
      <c r="C47" s="147">
        <f>C46*H1/Common_Shares*Exchange_Rate</f>
        <v>11.007233097488552</v>
      </c>
      <c r="D47" s="147">
        <f>D46*H1/Common_Shares*Exchange_Rate</f>
        <v>4.5949796091576278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0.60402076709908736</v>
      </c>
      <c r="D50" s="95">
        <f>G31/Normalized_FCF!G8</f>
        <v>0.54859123183168057</v>
      </c>
      <c r="F50" s="253"/>
    </row>
    <row r="51" spans="2:8" ht="15" customHeight="1">
      <c r="B51" s="1" t="s">
        <v>176</v>
      </c>
      <c r="C51" s="181"/>
      <c r="D51" s="92">
        <f>G29/G32</f>
        <v>0.73102364188421065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0.25775000437452</v>
      </c>
      <c r="D54" s="92">
        <f>Normalized_FCF!G8/G35</f>
        <v>0.28379300712166428</v>
      </c>
      <c r="F54" s="253"/>
    </row>
    <row r="55" spans="2:8" ht="15" customHeight="1">
      <c r="B55" s="1" t="s">
        <v>141</v>
      </c>
      <c r="C55" s="92">
        <f>Normalized_FCF!C11/G40</f>
        <v>7.709145494543118E-3</v>
      </c>
      <c r="D55" s="92">
        <f>Normalized_FCF!G11/G40</f>
        <v>1.1013064992204455E-2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0.17749280099481338</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18164188</v>
      </c>
      <c r="D66" s="76">
        <f>C66-D75</f>
        <v>14106873.00445218</v>
      </c>
      <c r="F66" s="5" t="s">
        <v>226</v>
      </c>
    </row>
    <row r="67" spans="2:6" ht="15" customHeight="1">
      <c r="B67" s="105" t="s">
        <v>177</v>
      </c>
      <c r="C67" s="20">
        <f>G6+G16</f>
        <v>0</v>
      </c>
      <c r="F67" s="253"/>
    </row>
    <row r="68" spans="2:6" ht="15" customHeight="1">
      <c r="B68" s="105" t="s">
        <v>181</v>
      </c>
      <c r="C68" s="20">
        <f>G18</f>
        <v>1743938</v>
      </c>
      <c r="F68" s="253"/>
    </row>
    <row r="69" spans="2:6" ht="15" customHeight="1">
      <c r="B69" s="105" t="s">
        <v>179</v>
      </c>
      <c r="C69" s="20">
        <f>G8+G20</f>
        <v>0</v>
      </c>
      <c r="F69" s="253"/>
    </row>
    <row r="70" spans="2:6" ht="15" customHeight="1">
      <c r="B70" s="80" t="s">
        <v>188</v>
      </c>
      <c r="C70" s="81">
        <f>SUM(C66:C69)</f>
        <v>19908126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-2211100.7580990875</v>
      </c>
      <c r="D73" s="349">
        <f>(Normalized_FCF!C25+Normalized_FCF!C35-Normalized_FCF!C91)/12</f>
        <v>-2028657.4977739097</v>
      </c>
      <c r="F73" s="1" t="s">
        <v>351</v>
      </c>
    </row>
    <row r="74" spans="2:6" ht="15" customHeight="1">
      <c r="B74" s="257" t="s">
        <v>321</v>
      </c>
      <c r="C74" s="258">
        <f>-$C$66/C73</f>
        <v>8.2149978617962169</v>
      </c>
      <c r="D74" s="258">
        <f>-$C$66/D73</f>
        <v>8.9537972870886104</v>
      </c>
      <c r="F74" s="253" t="s">
        <v>319</v>
      </c>
    </row>
    <row r="75" spans="2:6" ht="15" customHeight="1">
      <c r="B75" s="80" t="s">
        <v>320</v>
      </c>
      <c r="C75" s="320"/>
      <c r="D75" s="321">
        <f>MAX(-D73*D76,G5)</f>
        <v>4057314.9955478194</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450316</v>
      </c>
      <c r="D79" s="76">
        <f>G7*H7+G17*H17</f>
        <v>270189.59999999998</v>
      </c>
      <c r="F79" s="253"/>
    </row>
    <row r="80" spans="2:6" ht="15" customHeight="1">
      <c r="B80" s="105" t="s">
        <v>182</v>
      </c>
      <c r="C80" s="20">
        <f>G19</f>
        <v>0</v>
      </c>
      <c r="D80" s="76">
        <f>G19*H19</f>
        <v>0</v>
      </c>
      <c r="F80" s="253"/>
    </row>
    <row r="81" spans="2:8" ht="15" customHeight="1">
      <c r="B81" s="105" t="s">
        <v>180</v>
      </c>
      <c r="C81" s="20">
        <f>G9+G21</f>
        <v>2913826</v>
      </c>
      <c r="D81" s="76">
        <f>G9*H9+G21*H21</f>
        <v>291382.60000000003</v>
      </c>
      <c r="F81" s="253"/>
    </row>
    <row r="82" spans="2:8" ht="15" customHeight="1">
      <c r="B82" s="80" t="s">
        <v>189</v>
      </c>
      <c r="C82" s="81">
        <f>SUM(C79:C81)</f>
        <v>3364142</v>
      </c>
      <c r="D82" s="81">
        <f>SUM(D79:D81)</f>
        <v>561572.19999999995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-2110274.5170759</v>
      </c>
      <c r="D86" s="223">
        <f>C86*scaling_factor/Common_Shares</f>
        <v>-0.81641760548373798</v>
      </c>
      <c r="E86" s="240" t="str">
        <f>Market_currency</f>
        <v>HKD</v>
      </c>
    </row>
    <row r="87" spans="2:8" ht="15" customHeight="1">
      <c r="B87" s="238" t="s">
        <v>287</v>
      </c>
      <c r="C87" s="76">
        <f>DCF!C8*Exchange_Rate</f>
        <v>15375655.037283713</v>
      </c>
      <c r="D87" s="223">
        <f>C87*scaling_factor/Common_Shares</f>
        <v>5.9484940782382827</v>
      </c>
      <c r="E87" s="240" t="str">
        <f>Market_currency</f>
        <v>HKD</v>
      </c>
    </row>
    <row r="88" spans="2:8" ht="15" customHeight="1">
      <c r="B88" s="239" t="s">
        <v>189</v>
      </c>
      <c r="C88" s="76">
        <f>DCF!C9*Exchange_Rate</f>
        <v>612080.39676854003</v>
      </c>
      <c r="D88" s="223">
        <f>C88*scaling_factor/Common_Shares</f>
        <v>0.23680009773597366</v>
      </c>
      <c r="E88" s="240" t="str">
        <f>Market_currency</f>
        <v>HKD</v>
      </c>
    </row>
    <row r="89" spans="2:8" ht="15" customHeight="1">
      <c r="B89" s="80" t="s">
        <v>291</v>
      </c>
      <c r="C89" s="180">
        <f>SUM(C86:C88)</f>
        <v>13877460.916976353</v>
      </c>
      <c r="D89" s="242">
        <f>SUM(D86:D88)</f>
        <v>5.3688765704905181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152</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194</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68</v>
      </c>
      <c r="C12" s="328">
        <f>C50</f>
        <v>-158478.46607210423</v>
      </c>
      <c r="E12" s="268"/>
      <c r="G12" s="328">
        <f>G50</f>
        <v>-158478.46607210423</v>
      </c>
      <c r="H12" s="328">
        <f t="shared" ref="H12:Q12" si="6">H50</f>
        <v>-69637.348552908923</v>
      </c>
      <c r="I12" s="328">
        <f t="shared" si="6"/>
        <v>-20548.01430382987</v>
      </c>
      <c r="J12" s="328">
        <f t="shared" si="6"/>
        <v>-80047.840299549745</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3226345.45783003</v>
      </c>
      <c r="E13" s="268"/>
      <c r="G13" s="329">
        <f>IF(G$4="","",SUM(G8:G12))</f>
        <v>3628924.8079278958</v>
      </c>
      <c r="H13" s="329">
        <f t="shared" ref="H13:Q13" si="7">IF(H$4="","",SUM(H8:H12))</f>
        <v>3325931.9254470915</v>
      </c>
      <c r="I13" s="329">
        <f t="shared" si="7"/>
        <v>4239709.4106961703</v>
      </c>
      <c r="J13" s="329">
        <f t="shared" si="7"/>
        <v>4800547.9137004502</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63</v>
      </c>
      <c r="C14" s="328">
        <f>-SUM(C8+C11,C12)*C43</f>
        <v>-806586.3644575075</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243</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154</v>
      </c>
      <c r="C16" s="332">
        <f>SUM(C13:C15)</f>
        <v>2419759.0933725224</v>
      </c>
      <c r="D16" s="61"/>
      <c r="E16" s="276"/>
      <c r="F16" s="61"/>
      <c r="G16" s="329">
        <f>IF(G$4="","",SUM(G13:G15))</f>
        <v>2532233.8079278958</v>
      </c>
      <c r="H16" s="329">
        <f t="shared" ref="H16:Q16" si="8">IF(H$4="","",SUM(H13:H15))</f>
        <v>2256672.9254470915</v>
      </c>
      <c r="I16" s="329">
        <f t="shared" si="8"/>
        <v>2888380.4106961703</v>
      </c>
      <c r="J16" s="329">
        <f t="shared" si="8"/>
        <v>3483191.9137004502</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2419759.0933725224</v>
      </c>
      <c r="D19" s="27"/>
      <c r="E19" s="265"/>
      <c r="F19" s="27"/>
      <c r="G19" s="334">
        <f>IF(G$4="","",G16+G17)</f>
        <v>2532233.8079278958</v>
      </c>
      <c r="H19" s="334">
        <f t="shared" ref="H19:Q19" si="9">IF(H$4="","",H16+H17)</f>
        <v>2256672.9254470915</v>
      </c>
      <c r="I19" s="334">
        <f t="shared" si="9"/>
        <v>2888380.4106961703</v>
      </c>
      <c r="J19" s="334">
        <f t="shared" si="9"/>
        <v>3483191.9137004502</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0.50211018583667277</v>
      </c>
      <c r="D28" s="26"/>
      <c r="E28" s="266" t="s">
        <v>333</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333</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-1427907</v>
      </c>
      <c r="E33" s="266" t="s">
        <v>333</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0.30235949307336285</v>
      </c>
      <c r="H43" s="6">
        <f t="shared" si="18"/>
        <v>0.32165146777702308</v>
      </c>
      <c r="I43" s="6">
        <f t="shared" si="18"/>
        <v>0.3188691806823768</v>
      </c>
      <c r="J43" s="6">
        <f t="shared" si="18"/>
        <v>0.27447514671596229</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345</v>
      </c>
      <c r="C48" s="328">
        <f>BS!D75*C53</f>
        <v>95942.533927895769</v>
      </c>
      <c r="E48" s="268"/>
      <c r="G48" s="337">
        <f>IFERROR(IF(G$4="","",($C$48/$C$49)*G49),0)</f>
        <v>95942.533927895769</v>
      </c>
      <c r="H48" s="337">
        <f t="shared" ref="H48:Q48" si="19">IFERROR(IF(H$4="","",($C$48/$C$49)*H49),0)</f>
        <v>111808.65144709108</v>
      </c>
      <c r="I48" s="337">
        <f t="shared" si="19"/>
        <v>100012.98569617013</v>
      </c>
      <c r="J48" s="337">
        <f t="shared" si="19"/>
        <v>32410.159700450247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-158478.46607210423</v>
      </c>
      <c r="E50" s="268"/>
      <c r="G50" s="329">
        <f>IF(G$4="","",(G47+G48))</f>
        <v>-158478.46607210423</v>
      </c>
      <c r="H50" s="329">
        <f t="shared" ref="H50:Q50" si="20">IF(H$4="","",(H47+H48))</f>
        <v>-69637.348552908923</v>
      </c>
      <c r="I50" s="329">
        <f t="shared" si="20"/>
        <v>-20548.01430382987</v>
      </c>
      <c r="J50" s="329">
        <f t="shared" si="20"/>
        <v>-80047.840299549745</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2.3646804360316024E-2</v>
      </c>
      <c r="E53" s="265" t="s">
        <v>335</v>
      </c>
      <c r="G53" s="6">
        <f>IF(Normalized_FCF!G4="","",Normalized_FCF!G49/BS!$C$66)</f>
        <v>2.3646804360316024E-2</v>
      </c>
      <c r="H53" s="169"/>
      <c r="I53" s="169"/>
      <c r="J53" s="169"/>
      <c r="K53" s="169"/>
      <c r="L53" s="169"/>
      <c r="M53" s="169"/>
      <c r="N53" s="169"/>
      <c r="O53" s="169"/>
      <c r="P53" s="169"/>
      <c r="Q53" s="169"/>
    </row>
    <row r="54" spans="1:17" ht="15.75" customHeight="1">
      <c r="A54" s="10"/>
      <c r="B54" s="8" t="s">
        <v>87</v>
      </c>
      <c r="C54" s="82">
        <f>G54</f>
        <v>0.13140650687425529</v>
      </c>
      <c r="E54" s="265" t="s">
        <v>336</v>
      </c>
      <c r="G54" s="23">
        <f>IFERROR(ABS(Normalized_FCF!G47/BS!$G$31),0)</f>
        <v>0.13140650687425529</v>
      </c>
      <c r="H54" s="169"/>
      <c r="I54" s="169"/>
      <c r="J54" s="169"/>
      <c r="K54" s="169"/>
      <c r="L54" s="169"/>
      <c r="M54" s="169"/>
      <c r="N54" s="169"/>
      <c r="O54" s="169"/>
      <c r="P54" s="169"/>
      <c r="Q54" s="169"/>
    </row>
    <row r="55" spans="1:17" ht="15.75" customHeight="1">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160</v>
      </c>
      <c r="C62" s="343">
        <v>0</v>
      </c>
      <c r="E62" s="266" t="s">
        <v>337</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195</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152</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153</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6.057478145236524E-3</v>
      </c>
      <c r="D80" s="27"/>
      <c r="E80" s="265"/>
      <c r="F80" s="27"/>
      <c r="G80" s="6">
        <f t="shared" ref="G80:Q80" si="31">IF(G$4="","",ABS(G12/G$4))</f>
        <v>5.5265880549602402E-3</v>
      </c>
      <c r="H80" s="6">
        <f t="shared" si="31"/>
        <v>2.5232302937471807E-3</v>
      </c>
      <c r="I80" s="6">
        <f t="shared" si="31"/>
        <v>7.9633024490741665E-4</v>
      </c>
      <c r="J80" s="6">
        <f t="shared" si="31"/>
        <v>3.5462893758743189E-3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0.12331970130816802</v>
      </c>
      <c r="D81" s="27"/>
      <c r="E81" s="265"/>
      <c r="F81" s="27"/>
      <c r="G81" s="65">
        <f t="shared" ref="G81:Q81" si="32">IF(G$4="","",G13/G$4)</f>
        <v>0.12655077369766027</v>
      </c>
      <c r="H81" s="65">
        <f t="shared" si="32"/>
        <v>0.12051136873559831</v>
      </c>
      <c r="I81" s="65">
        <f t="shared" si="32"/>
        <v>0.1643082773563517</v>
      </c>
      <c r="J81" s="65">
        <f t="shared" si="32"/>
        <v>0.21267447067934561</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3.0829925327042006E-2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154</v>
      </c>
      <c r="C84" s="78">
        <f>ABS(C16/C$4)</f>
        <v>9.2489775981126024E-2</v>
      </c>
      <c r="D84" s="27"/>
      <c r="E84" s="265"/>
      <c r="F84" s="27"/>
      <c r="G84" s="65">
        <f t="shared" ref="G84:Q84" si="35">IF(G$4="","",ABS(G16/G$4))</f>
        <v>8.8306086385853522E-2</v>
      </c>
      <c r="H84" s="65">
        <f t="shared" si="35"/>
        <v>8.1767982367118963E-2</v>
      </c>
      <c r="I84" s="65">
        <f t="shared" si="35"/>
        <v>0.11193805132823748</v>
      </c>
      <c r="J84" s="65">
        <f t="shared" si="35"/>
        <v>0.15431280133808586</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9.2489775981126024E-2</v>
      </c>
      <c r="D87" s="75"/>
      <c r="E87" s="265"/>
      <c r="F87" s="75"/>
      <c r="G87" s="65">
        <f t="shared" ref="G87:Q87" si="36">IF(G$4="","",ABS(G19/G$4))</f>
        <v>8.8306086385853522E-2</v>
      </c>
      <c r="H87" s="65">
        <f t="shared" si="36"/>
        <v>8.1767982367118963E-2</v>
      </c>
      <c r="I87" s="65">
        <f t="shared" si="36"/>
        <v>0.11193805132823748</v>
      </c>
      <c r="J87" s="65">
        <f t="shared" si="36"/>
        <v>0.15431280133808586</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0.53654295137340957</v>
      </c>
      <c r="E90" s="268"/>
      <c r="G90" s="112">
        <f>Data!C65</f>
        <v>0.53654295137340957</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1386855.0971890488</v>
      </c>
      <c r="E91" s="268"/>
      <c r="G91" s="74">
        <f t="shared" ref="G91:Q91" si="37">IF(G$4="","",G90*Common_Shares/scaling_factor)</f>
        <v>1386855.0971890488</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0.57313767349299605</v>
      </c>
      <c r="E92" s="268"/>
      <c r="G92" s="170">
        <f t="shared" ref="G92:Q92" si="38">IF(G$4="","",G90/(G19*scaling_factor/Common_Shares))</f>
        <v>0.54768050756099018</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3.5817286473525341E-2</v>
      </c>
      <c r="E93" s="268"/>
      <c r="G93" s="23">
        <f t="shared" ref="G93:Q93" si="39">IF(G$4="","",G90/Market_Price)</f>
        <v>3.5817286473525341E-2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-8.7642097511117734E-2</v>
      </c>
      <c r="D96" s="27"/>
      <c r="E96" s="265"/>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164</v>
      </c>
      <c r="C97" s="77">
        <f>C13/G13-1</f>
        <v>-0.11093626112571264</v>
      </c>
      <c r="D97" s="27"/>
      <c r="E97" s="265"/>
      <c r="F97" s="27"/>
      <c r="G97" s="6">
        <f t="shared" ref="G97:Q97" si="41">IF(H5="","",G13/H13-1)</f>
        <v>9.1100145544943611E-2</v>
      </c>
      <c r="H97" s="6">
        <f t="shared" si="41"/>
        <v>-0.2155283291217438</v>
      </c>
      <c r="I97" s="6">
        <f t="shared" si="41"/>
        <v>-0.11682801902751216</v>
      </c>
      <c r="J97" s="6">
        <f t="shared" si="41"/>
        <v>1.4633345402023559</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35708406</v>
      </c>
      <c r="D101" s="26"/>
      <c r="E101" s="269"/>
      <c r="F101" s="26"/>
      <c r="G101" s="333">
        <f t="shared" ref="G101:Q101" si="42">IF(G$4="","",G105+G104)</f>
        <v>35708406</v>
      </c>
      <c r="H101" s="333">
        <f t="shared" si="42"/>
        <v>34207803</v>
      </c>
      <c r="I101" s="333">
        <f t="shared" si="42"/>
        <v>33646519</v>
      </c>
      <c r="J101" s="333">
        <f t="shared" si="42"/>
        <v>30274816</v>
      </c>
      <c r="K101" s="333">
        <f t="shared" si="42"/>
        <v>14593865</v>
      </c>
      <c r="L101" s="333">
        <f t="shared" si="42"/>
        <v>12547474</v>
      </c>
      <c r="M101" s="333">
        <f t="shared" si="42"/>
        <v>8727305</v>
      </c>
      <c r="N101" s="333">
        <f t="shared" si="42"/>
        <v>7321349</v>
      </c>
      <c r="O101" s="333">
        <f t="shared" si="42"/>
        <v>6780494</v>
      </c>
      <c r="P101" s="333">
        <f t="shared" si="42"/>
        <v>6897458</v>
      </c>
      <c r="Q101" s="333" t="str">
        <f t="shared" si="42"/>
        <v/>
      </c>
    </row>
    <row r="102" spans="1:17" ht="15.75" customHeight="1">
      <c r="A102" s="10"/>
      <c r="B102" s="93" t="s">
        <v>210</v>
      </c>
      <c r="C102" s="345">
        <f>BS!C4</f>
        <v>1250023</v>
      </c>
      <c r="D102" s="89"/>
      <c r="E102" s="270"/>
      <c r="F102" s="89"/>
      <c r="G102" s="346">
        <f>IF(G$4="","",Data!D77)</f>
        <v>1205532</v>
      </c>
      <c r="H102" s="346">
        <f>IF(H$4="","",Data!E77)</f>
        <v>1020346</v>
      </c>
      <c r="I102" s="346">
        <f>IF(I$4="","",Data!F77)</f>
        <v>902857</v>
      </c>
      <c r="J102" s="346">
        <f>IF(J$4="","",Data!G77)</f>
        <v>658796</v>
      </c>
      <c r="K102" s="346">
        <f>IF(K$4="","",Data!H77)</f>
        <v>686606</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2598226</v>
      </c>
      <c r="D103" s="89"/>
      <c r="E103" s="270"/>
      <c r="F103" s="89"/>
      <c r="G103" s="346">
        <f>IF(G$4="","",Data!D78)</f>
        <v>2493206</v>
      </c>
      <c r="H103" s="346">
        <f>IF(H$4="","",Data!E78)</f>
        <v>2428040</v>
      </c>
      <c r="I103" s="346">
        <f>IF(I$4="","",Data!F78)</f>
        <v>1772803</v>
      </c>
      <c r="J103" s="346">
        <f>IF(J$4="","",Data!G78)</f>
        <v>1345539</v>
      </c>
      <c r="K103" s="346">
        <f>IF(K$4="","",Data!H78)</f>
        <v>1407257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9604717</v>
      </c>
      <c r="D104" s="26"/>
      <c r="E104" s="269"/>
      <c r="F104" s="26"/>
      <c r="G104" s="333">
        <f>Data!C79</f>
        <v>9604717</v>
      </c>
      <c r="H104" s="333">
        <f>Data!D79</f>
        <v>9801162</v>
      </c>
      <c r="I104" s="333">
        <f>Data!E79</f>
        <v>9314591</v>
      </c>
      <c r="J104" s="333">
        <f>Data!F79</f>
        <v>9170709</v>
      </c>
      <c r="K104" s="333">
        <f>Data!G79</f>
        <v>5904448</v>
      </c>
      <c r="L104" s="333">
        <f>Data!H79</f>
        <v>5423281</v>
      </c>
      <c r="M104" s="333">
        <f>Data!I79</f>
        <v>2907715</v>
      </c>
      <c r="N104" s="333">
        <f>Data!J79</f>
        <v>2247752</v>
      </c>
      <c r="O104" s="333">
        <f>Data!K79</f>
        <v>2783345</v>
      </c>
      <c r="P104" s="333">
        <f>Data!L79</f>
        <v>3486918</v>
      </c>
      <c r="Q104" s="333" t="str">
        <f>Data!M79</f>
        <v/>
      </c>
    </row>
    <row r="105" spans="1:17" ht="15.75" customHeight="1">
      <c r="A105" s="10"/>
      <c r="B105" s="26" t="s">
        <v>30</v>
      </c>
      <c r="C105" s="344">
        <f>BS!G27</f>
        <v>26103689</v>
      </c>
      <c r="D105" s="26"/>
      <c r="E105" s="269"/>
      <c r="F105" s="26"/>
      <c r="G105" s="333">
        <f>Data!C80</f>
        <v>26103689</v>
      </c>
      <c r="H105" s="333">
        <f>Data!D80</f>
        <v>24406641</v>
      </c>
      <c r="I105" s="333">
        <f>Data!E80</f>
        <v>24331928</v>
      </c>
      <c r="J105" s="333">
        <f>Data!F80</f>
        <v>21104107</v>
      </c>
      <c r="K105" s="333">
        <f>Data!G80</f>
        <v>8689417</v>
      </c>
      <c r="L105" s="333">
        <f>Data!H80</f>
        <v>7124193</v>
      </c>
      <c r="M105" s="333">
        <f>Data!I80</f>
        <v>5819590</v>
      </c>
      <c r="N105" s="333">
        <f>Data!J80</f>
        <v>5073597</v>
      </c>
      <c r="O105" s="333">
        <f>Data!K80</f>
        <v>3997149</v>
      </c>
      <c r="P105" s="333">
        <f>Data!L80</f>
        <v>3410540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4.7779279994405725E-2</v>
      </c>
      <c r="D108" s="26"/>
      <c r="E108" s="269"/>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9.9311266706888432E-2</v>
      </c>
      <c r="D109" s="26"/>
      <c r="E109" s="269"/>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1.4709732968262565</v>
      </c>
      <c r="I113" s="295">
        <f>IF(I$4="","",Data!E$22/Data!E15)</f>
        <v>0.96304737643927274</v>
      </c>
      <c r="J113" s="295">
        <f>IF(J$4="","",Data!F$22/Data!F15)</f>
        <v>1.6269053137360105</v>
      </c>
      <c r="K113" s="295">
        <f>IF(K$4="","",Data!G$22/Data!G15)</f>
        <v>1.6269426147081751</v>
      </c>
      <c r="L113" s="295">
        <f>IF(L$4="","",Data!H$22/Data!H15)</f>
        <v>2.3369811952562229</v>
      </c>
      <c r="M113" s="295">
        <f>IF(M$4="","",Data!I$22/Data!I15)</f>
        <v>2.3374185439481701</v>
      </c>
      <c r="N113" s="295">
        <f>IF(N$4="","",Data!J$22/Data!J15)</f>
        <v>2.250085896477759</v>
      </c>
      <c r="O113" s="295">
        <f>IF(O$4="","",Data!K$22/Data!K15)</f>
        <v>1.4203453141742608</v>
      </c>
      <c r="P113" s="295">
        <f>IF(P$4="","",Data!L$22/Data!L15)</f>
        <v>11.152390228065904</v>
      </c>
      <c r="Q113" s="295" t="str">
        <f>IF(Q$4="","",Data!M$22/Data!M15)</f>
        <v/>
      </c>
    </row>
    <row r="114" spans="1:17" ht="15.75" customHeight="1">
      <c r="A114" s="10"/>
      <c r="B114" s="2" t="s">
        <v>392</v>
      </c>
      <c r="C114" s="169"/>
      <c r="E114" s="268"/>
      <c r="G114" s="295">
        <f>IF(G$4="","",Data!C$22/G19)</f>
        <v>0</v>
      </c>
      <c r="H114" s="295">
        <f>IF(H$4="","",Data!D$22/H19)</f>
        <v>2.0773661735101587</v>
      </c>
      <c r="I114" s="295">
        <f>IF(I$4="","",Data!E$22/I19)</f>
        <v>1.3549475635228829</v>
      </c>
      <c r="J114" s="295">
        <f>IF(J$4="","",Data!F$22/J19)</f>
        <v>1.8733779710310758</v>
      </c>
      <c r="K114" s="295">
        <f>IF(K$4="","",Data!G$22/K19)</f>
        <v>1.9746300057985322</v>
      </c>
      <c r="L114" s="295">
        <f>IF(L$4="","",Data!H$22/L19)</f>
        <v>2.5408832696503736</v>
      </c>
      <c r="M114" s="295">
        <f>IF(M$4="","",Data!I$22/M19)</f>
        <v>2.8191980169637287</v>
      </c>
      <c r="N114" s="295">
        <f>IF(N$4="","",Data!J$22/N19)</f>
        <v>2.5561117493864103</v>
      </c>
      <c r="O114" s="295">
        <f>IF(O$4="","",Data!K$22/O19)</f>
        <v>4.3015244745575218</v>
      </c>
      <c r="P114" s="295">
        <f>IF(P$4="","",Data!L$22/P19)</f>
        <v>57.096567771960444</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0.12331970130816802</v>
      </c>
      <c r="E117" s="268"/>
      <c r="G117" s="23">
        <f t="shared" ref="G117:Q117" si="45">IF(G4="","",IF(valuation_method="DDM",G13/(G4+G12),G81))</f>
        <v>0.12655077369766027</v>
      </c>
      <c r="H117" s="23">
        <f t="shared" si="45"/>
        <v>0.12051136873559831</v>
      </c>
      <c r="I117" s="23">
        <f t="shared" si="45"/>
        <v>0.1643082773563517</v>
      </c>
      <c r="J117" s="23">
        <f t="shared" si="45"/>
        <v>0.21267447067934561</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83</v>
      </c>
      <c r="C118" s="42">
        <f>IF(valuation_method="DDM",(C4+C12)/C101,C4/C101)</f>
        <v>0.73266920679685343</v>
      </c>
      <c r="E118" s="268"/>
      <c r="G118" s="42">
        <f t="shared" ref="G118:Q118" si="46">IF(G4="","",IF(valuation_method="DDM",(G4+G12)/G101,G4/G101))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91</v>
      </c>
      <c r="C119" s="15">
        <f>C101/C105</f>
        <v>1.3679448142367923</v>
      </c>
      <c r="D119" s="11"/>
      <c r="E119" s="272"/>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222</v>
      </c>
      <c r="C120" s="102">
        <f>C13/C105</f>
        <v>0.12359729913385153</v>
      </c>
      <c r="D120" s="103"/>
      <c r="E120" s="271"/>
      <c r="F120" s="103"/>
      <c r="G120" s="102">
        <f>IF(G$4="","",G13/G105)</f>
        <v>0.13901961550062505</v>
      </c>
      <c r="H120" s="102">
        <f t="shared" ref="H120:Q120" si="48">IF(H$4="","",H13/H105)</f>
        <v>0.13627159613840722</v>
      </c>
      <c r="I120" s="102">
        <f t="shared" si="48"/>
        <v>0.1742446965442348</v>
      </c>
      <c r="J120" s="102">
        <f t="shared" si="48"/>
        <v>0.22746984336747583</v>
      </c>
      <c r="K120" s="102">
        <f t="shared" si="48"/>
        <v>0.22427288666201659</v>
      </c>
      <c r="L120" s="102">
        <f t="shared" si="48"/>
        <v>0.24371125557659654</v>
      </c>
      <c r="M120" s="102">
        <f t="shared" si="48"/>
        <v>0.12510984450794643</v>
      </c>
      <c r="N120" s="102">
        <f t="shared" si="48"/>
        <v>9.3789081001112232E-2</v>
      </c>
      <c r="O120" s="102">
        <f t="shared" si="48"/>
        <v>8.0425823505703695E-2</v>
      </c>
      <c r="P120" s="102">
        <f t="shared" si="48"/>
        <v>3.902519835568561E-2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1.0203482113397428</v>
      </c>
      <c r="D124" s="27"/>
      <c r="E124" s="265"/>
      <c r="F124" s="27"/>
      <c r="G124" s="177">
        <f t="shared" ref="G124:Q124" si="49">IF(G$4="","",G16*$C$3/Common_Shares*Exchange_Rate)</f>
        <v>1.0677758144147138</v>
      </c>
      <c r="H124" s="177">
        <f t="shared" si="49"/>
        <v>0.95157910114495858</v>
      </c>
      <c r="I124" s="177">
        <f t="shared" si="49"/>
        <v>1.21795338791971</v>
      </c>
      <c r="J124" s="177">
        <f t="shared" si="49"/>
        <v>1.4687696178646661</v>
      </c>
      <c r="K124" s="177">
        <f t="shared" si="49"/>
        <v>0.59009813182497373</v>
      </c>
      <c r="L124" s="177">
        <f t="shared" si="49"/>
        <v>0.58141983334462466</v>
      </c>
      <c r="M124" s="177">
        <f t="shared" si="49"/>
        <v>0.25006501739289172</v>
      </c>
      <c r="N124" s="177">
        <f t="shared" si="49"/>
        <v>0.1912200631035717</v>
      </c>
      <c r="O124" s="177">
        <f t="shared" si="49"/>
        <v>9.7585360917883696E-2</v>
      </c>
      <c r="P124" s="177">
        <f t="shared" si="49"/>
        <v>5.0739968539343129E-3</v>
      </c>
      <c r="Q124" s="177" t="str">
        <f t="shared" si="49"/>
        <v/>
      </c>
    </row>
    <row r="125" spans="1:17" ht="15.75" customHeight="1">
      <c r="A125" s="10"/>
      <c r="B125" s="27" t="s">
        <v>269</v>
      </c>
      <c r="C125" s="77">
        <f>C19*Exchange_Rate*$C$3/(Market_Price*Common_Shares)</f>
        <v>6.8114032799715798E-2</v>
      </c>
      <c r="D125" s="27"/>
      <c r="E125" s="265"/>
      <c r="F125" s="27"/>
      <c r="G125" s="77">
        <f t="shared" ref="G125" si="50">IF(G$4="","",G124/Market_Price)</f>
        <v>7.1280094420207857E-2</v>
      </c>
      <c r="H125" s="77">
        <f t="shared" ref="H125" si="51">IF(H$4="","",H124/Market_Price)</f>
        <v>6.3523304482306975E-2</v>
      </c>
      <c r="I125" s="77">
        <f t="shared" ref="I125" si="52">IF(I$4="","",I124/Market_Price)</f>
        <v>8.1305299594106137E-2</v>
      </c>
      <c r="J125" s="77">
        <f t="shared" ref="J125" si="53">IF(J$4="","",J124/Market_Price)</f>
        <v>9.8048706132487715E-2</v>
      </c>
      <c r="K125" s="77">
        <f t="shared" ref="K125" si="54">IF(K$4="","",K124/Market_Price)</f>
        <v>3.9392398653202515E-2</v>
      </c>
      <c r="L125" s="77">
        <f t="shared" ref="L125" si="55">IF(L$4="","",L124/Market_Price)</f>
        <v>3.8813072986957589E-2</v>
      </c>
      <c r="M125" s="77">
        <f t="shared" ref="M125" si="56">IF(M$4="","",M124/Market_Price)</f>
        <v>1.669325883797675E-2</v>
      </c>
      <c r="N125" s="77">
        <f t="shared" ref="N125" si="57">IF(N$4="","",N124/Market_Price)</f>
        <v>1.2765024239223745E-2</v>
      </c>
      <c r="O125" s="77">
        <f t="shared" ref="O125" si="58">IF(O$4="","",O124/Market_Price)</f>
        <v>6.5143765632766151E-3</v>
      </c>
      <c r="P125" s="77">
        <f t="shared" ref="P125" si="59">IF(P$4="","",P124/Market_Price)</f>
        <v>3.387180810370035E-4</v>
      </c>
      <c r="Q125" s="77" t="str">
        <f t="shared" ref="Q125" si="60">IF(Q$4="","",Q124/Market_Price)</f>
        <v/>
      </c>
    </row>
    <row r="126" spans="1:17" ht="15.75" customHeight="1">
      <c r="B126" s="2" t="s">
        <v>394</v>
      </c>
      <c r="C126" s="169"/>
      <c r="G126" s="23">
        <f>IF(G$4="","",(Data!C47*$C$3)/(Market_Price*Common_Shares))</f>
        <v>7.7812416990043085E-2</v>
      </c>
      <c r="H126" s="23">
        <f>IF(H$4="","",(Data!D47*$C$3)/(Market_Price*Common_Shares))</f>
        <v>8.2307323357430143E-2</v>
      </c>
      <c r="I126" s="23">
        <f>IF(I$4="","",(Data!E47*$C$3)/(Market_Price*Common_Shares))</f>
        <v>0.10495202445072994</v>
      </c>
      <c r="J126" s="23">
        <f>IF(J$4="","",(Data!F47*$C$3)/(Market_Price*Common_Shares))</f>
        <v>0.10358625410859504</v>
      </c>
      <c r="K126" s="23">
        <f>IF(K$4="","",(Data!G47*$C$3)/(Market_Price*Common_Shares))</f>
        <v>4.3865496923220726E-2</v>
      </c>
      <c r="L126" s="23">
        <f>IF(L$4="","",(Data!H47*$C$3)/(Market_Price*Common_Shares))</f>
        <v>3.8717263544412482E-2</v>
      </c>
      <c r="M126" s="23">
        <f>IF(M$4="","",(Data!I47*$C$3)/(Market_Price*Common_Shares))</f>
        <v>1.8472571378825839E-2</v>
      </c>
      <c r="N126" s="23">
        <f>IF(N$4="","",(Data!J47*$C$3)/(Market_Price*Common_Shares))</f>
        <v>1.3304529255195676E-2</v>
      </c>
      <c r="O126" s="23">
        <f>IF(O$4="","",(Data!K47*$C$3)/(Market_Price*Common_Shares))</f>
        <v>1.8100828128543328E-2</v>
      </c>
      <c r="P126" s="23">
        <f>IF(P$4="","",(Data!L47*$C$3)/(Market_Price*Common_Shares))</f>
        <v>1.5910270205400892E-3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2419759.0933725224</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32263454.578300301</v>
      </c>
      <c r="D6" t="str">
        <f>Reporting_currency</f>
        <v>CNY</v>
      </c>
      <c r="E6" s="364" t="s">
        <v>249</v>
      </c>
      <c r="F6" s="364"/>
      <c r="H6" s="120"/>
    </row>
    <row r="7" spans="2:8">
      <c r="B7" s="148" t="s">
        <v>224</v>
      </c>
      <c r="C7" s="338">
        <f>BS!G31</f>
        <v>1936137</v>
      </c>
      <c r="D7" t="str">
        <f>Reporting_currency</f>
        <v>CNY</v>
      </c>
      <c r="E7" s="364"/>
      <c r="F7" s="364"/>
      <c r="H7" s="120"/>
    </row>
    <row r="8" spans="2:8">
      <c r="B8" s="148" t="s">
        <v>225</v>
      </c>
      <c r="C8" s="338">
        <f>BS!D66</f>
        <v>14106873.00445218</v>
      </c>
      <c r="D8" t="str">
        <f>Reporting_currency</f>
        <v>CNY</v>
      </c>
      <c r="E8" s="364"/>
      <c r="F8" s="364"/>
      <c r="H8" s="120"/>
    </row>
    <row r="9" spans="2:8">
      <c r="B9" s="205" t="s">
        <v>190</v>
      </c>
      <c r="C9" s="348">
        <f>BS!H42</f>
        <v>561572.19999999995</v>
      </c>
      <c r="D9" t="str">
        <f>Reporting_currency</f>
        <v>CNY</v>
      </c>
      <c r="E9" s="364"/>
      <c r="F9" s="364"/>
      <c r="H9" s="120"/>
    </row>
    <row r="10" spans="2:8" ht="13.15">
      <c r="B10" s="149" t="s">
        <v>227</v>
      </c>
      <c r="C10" s="347">
        <f>C6-C7+C8+C9</f>
        <v>44995762.782752484</v>
      </c>
      <c r="D10" t="str">
        <f>Reporting_currency</f>
        <v>CNY</v>
      </c>
      <c r="H10" s="120"/>
    </row>
    <row r="11" spans="2:8" ht="13.15" thickBot="1">
      <c r="B11" s="207" t="s">
        <v>166</v>
      </c>
      <c r="C11" s="208">
        <f>Exchange_Rate</f>
        <v>1.0899407000000001</v>
      </c>
      <c r="D11" t="str">
        <f>Thesis!C15</f>
        <v>CNY/HKD</v>
      </c>
      <c r="H11" s="120"/>
    </row>
    <row r="12" spans="2:8" ht="13.5" thickTop="1">
      <c r="B12" s="149" t="s">
        <v>102</v>
      </c>
      <c r="C12" s="111">
        <f>(C10*scaling_factor)/Common_Shares*Exchange_Rate</f>
        <v>18.973519388353761</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5.4247061515052201E-2</v>
      </c>
      <c r="H16" s="120"/>
    </row>
    <row r="17" spans="2:17" ht="13.25" customHeight="1">
      <c r="B17" s="118" t="s">
        <v>134</v>
      </c>
      <c r="C17" s="162">
        <f>Scenarios!C64</f>
        <v>20</v>
      </c>
      <c r="H17" s="120"/>
    </row>
    <row r="18" spans="2:17" ht="13.25" customHeight="1">
      <c r="B18" s="153" t="s">
        <v>106</v>
      </c>
      <c r="C18" s="140">
        <f>(F52-C7+C8+C9)*Exchange_Rate/Common_Shares*scaling_factor</f>
        <v>25.480297256537359</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2551023.9137623082</v>
      </c>
      <c r="D21" s="138">
        <f>IF($C$17&lt;B21,0,DCF!$C$16)</f>
        <v>5.4247061515052201E-2</v>
      </c>
      <c r="E21" s="124">
        <f t="shared" ref="E21:E50" si="0">IF($C$17&lt;B21,0,1/(1+Equity_Cost)^B21)</f>
        <v>0.93023255813953487</v>
      </c>
      <c r="F21" s="125">
        <f t="shared" ref="F21:F51" si="1">C21*E21</f>
        <v>2373045.5011742404</v>
      </c>
      <c r="H21" s="120"/>
    </row>
    <row r="22" spans="2:17">
      <c r="B22" s="122">
        <v>2</v>
      </c>
      <c r="C22" s="123">
        <f t="shared" ref="C22:C50" si="2">IF(ROW()-ROW($C$21)&lt;$C$17, $C$21*(1+D22)^(ROW()-ROW($C$21)), 0)</f>
        <v>2689409.4649385409</v>
      </c>
      <c r="D22" s="138">
        <f>IF($C$17&lt;B22,0,DCF!$C$16)</f>
        <v>5.4247061515052201E-2</v>
      </c>
      <c r="E22" s="124">
        <f t="shared" si="0"/>
        <v>0.86533261222282321</v>
      </c>
      <c r="F22" s="125">
        <f t="shared" si="1"/>
        <v>2327233.717632053</v>
      </c>
      <c r="H22" s="120"/>
    </row>
    <row r="23" spans="2:17">
      <c r="B23" s="122">
        <v>3</v>
      </c>
      <c r="C23" s="123">
        <f t="shared" si="2"/>
        <v>2835302.0256222254</v>
      </c>
      <c r="D23" s="138">
        <f>IF($C$17&lt;B23,0,DCF!$C$16)</f>
        <v>5.4247061515052201E-2</v>
      </c>
      <c r="E23" s="124">
        <f t="shared" si="0"/>
        <v>0.80496056950960304</v>
      </c>
      <c r="F23" s="125">
        <f t="shared" si="1"/>
        <v>2282306.3332765978</v>
      </c>
      <c r="G23" s="338"/>
      <c r="H23" s="339"/>
      <c r="I23" s="338"/>
      <c r="J23" s="338"/>
      <c r="K23" s="338"/>
      <c r="L23" s="338"/>
      <c r="M23" s="338"/>
      <c r="N23" s="338"/>
      <c r="O23" s="338"/>
      <c r="P23" s="338"/>
      <c r="Q23" s="338"/>
    </row>
    <row r="24" spans="2:17">
      <c r="B24" s="122">
        <v>4</v>
      </c>
      <c r="C24" s="123">
        <f t="shared" si="2"/>
        <v>2989108.829019906</v>
      </c>
      <c r="D24" s="138">
        <f>IF($C$17&lt;B24,0,DCF!$C$16)</f>
        <v>5.4247061515052201E-2</v>
      </c>
      <c r="E24" s="124">
        <f t="shared" si="0"/>
        <v>0.7488005297763749</v>
      </c>
      <c r="F24" s="125">
        <f t="shared" si="1"/>
        <v>2238246.2747293455</v>
      </c>
      <c r="G24" s="338"/>
      <c r="H24" s="339"/>
      <c r="I24" s="338"/>
      <c r="J24" s="338"/>
      <c r="K24" s="338"/>
      <c r="L24" s="338"/>
      <c r="M24" s="338"/>
      <c r="N24" s="338"/>
      <c r="O24" s="338"/>
      <c r="P24" s="338"/>
      <c r="Q24" s="338"/>
    </row>
    <row r="25" spans="2:17">
      <c r="B25" s="122">
        <v>5</v>
      </c>
      <c r="C25" s="123">
        <f t="shared" si="2"/>
        <v>3151259.1995429341</v>
      </c>
      <c r="D25" s="138">
        <f>IF($C$17&lt;B25,0,DCF!$C$16)</f>
        <v>5.4247061515052201E-2</v>
      </c>
      <c r="E25" s="124">
        <f t="shared" si="0"/>
        <v>0.69655863235011617</v>
      </c>
      <c r="F25" s="125">
        <f t="shared" si="1"/>
        <v>2195036.798214348</v>
      </c>
      <c r="G25" s="338"/>
      <c r="H25" s="339"/>
      <c r="I25" s="338"/>
      <c r="J25" s="338"/>
      <c r="K25" s="338"/>
      <c r="L25" s="338"/>
      <c r="M25" s="338"/>
      <c r="N25" s="338"/>
      <c r="O25" s="338"/>
      <c r="P25" s="338"/>
      <c r="Q25" s="338"/>
    </row>
    <row r="26" spans="2:17">
      <c r="B26" s="122">
        <v>6</v>
      </c>
      <c r="C26" s="123">
        <f t="shared" si="2"/>
        <v>3322205.7511904137</v>
      </c>
      <c r="D26" s="138">
        <f>IF($C$17&lt;B26,0,DCF!$C$16)</f>
        <v>5.4247061515052201E-2</v>
      </c>
      <c r="E26" s="124">
        <f t="shared" si="0"/>
        <v>0.64796151846522443</v>
      </c>
      <c r="F26" s="125">
        <f t="shared" si="1"/>
        <v>2152661.483195242</v>
      </c>
      <c r="H26" s="120"/>
    </row>
    <row r="27" spans="2:17">
      <c r="B27" s="122">
        <v>7</v>
      </c>
      <c r="C27" s="123">
        <f t="shared" si="2"/>
        <v>3502425.6509408997</v>
      </c>
      <c r="D27" s="138">
        <f>IF($C$17&lt;B27,0,DCF!$C$16)</f>
        <v>5.4247061515052201E-2</v>
      </c>
      <c r="E27" s="124">
        <f t="shared" si="0"/>
        <v>0.60275490089788319</v>
      </c>
      <c r="F27" s="125">
        <f t="shared" si="1"/>
        <v>2111104.2261350863</v>
      </c>
      <c r="H27" s="120"/>
    </row>
    <row r="28" spans="2:17">
      <c r="B28" s="122">
        <v>8</v>
      </c>
      <c r="C28" s="123">
        <f t="shared" si="2"/>
        <v>3692421.950679387</v>
      </c>
      <c r="D28" s="138">
        <f>IF($C$17&lt;B28,0,DCF!$C$16)</f>
        <v>5.4247061515052201E-2</v>
      </c>
      <c r="E28" s="124">
        <f t="shared" si="0"/>
        <v>0.56070223339337966</v>
      </c>
      <c r="F28" s="125">
        <f t="shared" si="1"/>
        <v>2070349.2343766717</v>
      </c>
      <c r="H28" s="120"/>
    </row>
    <row r="29" spans="2:17">
      <c r="B29" s="122">
        <v>9</v>
      </c>
      <c r="C29" s="123">
        <f t="shared" si="2"/>
        <v>3892724.9913774203</v>
      </c>
      <c r="D29" s="138">
        <f>IF($C$17&lt;B29,0,DCF!$C$16)</f>
        <v>5.4247061515052201E-2</v>
      </c>
      <c r="E29" s="124">
        <f t="shared" si="0"/>
        <v>0.52158347292407414</v>
      </c>
      <c r="F29" s="125">
        <f t="shared" si="1"/>
        <v>2030381.0201409715</v>
      </c>
      <c r="H29" s="120"/>
    </row>
    <row r="30" spans="2:17">
      <c r="B30" s="122">
        <v>10</v>
      </c>
      <c r="C30" s="123">
        <f t="shared" si="2"/>
        <v>4103893.8834458515</v>
      </c>
      <c r="D30" s="138">
        <f>IF($C$17&lt;B30,0,DCF!$C$16)</f>
        <v>5.4247061515052201E-2</v>
      </c>
      <c r="E30" s="124">
        <f t="shared" si="0"/>
        <v>0.48519392830146441</v>
      </c>
      <c r="F30" s="125">
        <f t="shared" si="1"/>
        <v>1991184.3946414448</v>
      </c>
      <c r="H30" s="120"/>
    </row>
    <row r="31" spans="2:17">
      <c r="B31" s="122">
        <v>11</v>
      </c>
      <c r="C31" s="123">
        <f t="shared" si="2"/>
        <v>4326518.0673923846</v>
      </c>
      <c r="D31" s="138">
        <f>IF($C$17&lt;B31,0,DCF!$C$16)</f>
        <v>5.4247061515052201E-2</v>
      </c>
      <c r="E31" s="124">
        <f t="shared" si="0"/>
        <v>0.45134318911764126</v>
      </c>
      <c r="F31" s="125">
        <f t="shared" si="1"/>
        <v>1952744.4623119729</v>
      </c>
      <c r="H31" s="120"/>
    </row>
    <row r="32" spans="2:17">
      <c r="B32" s="122">
        <v>12</v>
      </c>
      <c r="C32" s="123">
        <f t="shared" si="2"/>
        <v>4561218.9591402039</v>
      </c>
      <c r="D32" s="138">
        <f>IF($C$17&lt;B32,0,DCF!$C$16)</f>
        <v>5.4247061515052201E-2</v>
      </c>
      <c r="E32" s="124">
        <f t="shared" si="0"/>
        <v>0.41985412941175931</v>
      </c>
      <c r="F32" s="125">
        <f t="shared" si="1"/>
        <v>1915046.6151462214</v>
      </c>
      <c r="H32" s="120"/>
    </row>
    <row r="33" spans="2:17">
      <c r="B33" s="122">
        <v>13</v>
      </c>
      <c r="C33" s="341">
        <f t="shared" si="2"/>
        <v>4808651.6846003039</v>
      </c>
      <c r="D33" s="138">
        <f>IF($C$17&lt;B33,0,DCF!$C$16)</f>
        <v>5.4247061515052201E-2</v>
      </c>
      <c r="E33" s="124">
        <f t="shared" si="0"/>
        <v>0.39056198084814819</v>
      </c>
      <c r="F33" s="125">
        <f t="shared" si="1"/>
        <v>1878076.5271462793</v>
      </c>
      <c r="G33" s="338"/>
      <c r="H33" s="339"/>
      <c r="I33" s="338"/>
      <c r="J33" s="338"/>
      <c r="K33" s="338"/>
      <c r="L33" s="338"/>
      <c r="M33" s="338"/>
      <c r="N33" s="338"/>
      <c r="O33" s="338"/>
      <c r="P33" s="338"/>
      <c r="Q33" s="338"/>
    </row>
    <row r="34" spans="2:17">
      <c r="B34" s="122">
        <v>14</v>
      </c>
      <c r="C34" s="341">
        <f t="shared" si="2"/>
        <v>5069506.908339276</v>
      </c>
      <c r="D34" s="138">
        <f>IF($C$17&lt;B34,0,DCF!$C$16)</f>
        <v>5.4247061515052201E-2</v>
      </c>
      <c r="E34" s="124">
        <f t="shared" si="0"/>
        <v>0.36331347055641694</v>
      </c>
      <c r="F34" s="125">
        <f t="shared" si="1"/>
        <v>1841820.1488784738</v>
      </c>
      <c r="G34" s="338"/>
      <c r="H34" s="339"/>
      <c r="I34" s="338"/>
      <c r="J34" s="338"/>
      <c r="K34" s="338"/>
      <c r="L34" s="338"/>
      <c r="M34" s="338"/>
      <c r="N34" s="338"/>
      <c r="O34" s="338"/>
      <c r="P34" s="338"/>
      <c r="Q34" s="338"/>
    </row>
    <row r="35" spans="2:17">
      <c r="B35" s="122">
        <v>15</v>
      </c>
      <c r="C35" s="341">
        <f t="shared" si="2"/>
        <v>5344512.7614469388</v>
      </c>
      <c r="D35" s="138">
        <f>IF($C$17&lt;B35,0,DCF!$C$16)</f>
        <v>5.4247061515052201E-2</v>
      </c>
      <c r="E35" s="124">
        <f t="shared" si="0"/>
        <v>0.33796601912224833</v>
      </c>
      <c r="F35" s="125">
        <f t="shared" si="1"/>
        <v>1806263.7021342763</v>
      </c>
      <c r="G35" s="338"/>
      <c r="H35" s="339"/>
      <c r="I35" s="338"/>
      <c r="J35" s="338"/>
      <c r="K35" s="338"/>
      <c r="L35" s="338"/>
      <c r="M35" s="338"/>
      <c r="N35" s="338"/>
      <c r="O35" s="338"/>
      <c r="P35" s="338"/>
      <c r="Q35" s="338"/>
    </row>
    <row r="36" spans="2:17">
      <c r="B36" s="122">
        <v>16</v>
      </c>
      <c r="C36" s="123">
        <f t="shared" si="2"/>
        <v>5634436.8739851313</v>
      </c>
      <c r="D36" s="138">
        <f>IF($C$17&lt;B36,0,DCF!$C$16)</f>
        <v>5.4247061515052201E-2</v>
      </c>
      <c r="E36" s="124">
        <f t="shared" si="0"/>
        <v>0.31438699453232405</v>
      </c>
      <c r="F36" s="125">
        <f t="shared" si="1"/>
        <v>1771393.6746942885</v>
      </c>
      <c r="H36" s="120"/>
    </row>
    <row r="37" spans="2:17">
      <c r="B37" s="122">
        <v>17</v>
      </c>
      <c r="C37" s="123">
        <f t="shared" si="2"/>
        <v>5940088.5176908802</v>
      </c>
      <c r="D37" s="138">
        <f>IF($C$17&lt;B37,0,DCF!$C$16)</f>
        <v>5.4247061515052201E-2</v>
      </c>
      <c r="E37" s="124">
        <f t="shared" si="0"/>
        <v>0.29245301816960378</v>
      </c>
      <c r="F37" s="125">
        <f t="shared" si="1"/>
        <v>1737196.8151933057</v>
      </c>
      <c r="H37" s="120"/>
    </row>
    <row r="38" spans="2:17">
      <c r="B38" s="122">
        <v>18</v>
      </c>
      <c r="C38" s="123">
        <f t="shared" si="2"/>
        <v>6262320.8649149118</v>
      </c>
      <c r="D38" s="138">
        <f>IF($C$17&lt;B38,0,DCF!$C$16)</f>
        <v>5.4247061515052201E-2</v>
      </c>
      <c r="E38" s="124">
        <f t="shared" si="0"/>
        <v>0.27204931922753844</v>
      </c>
      <c r="F38" s="125">
        <f t="shared" si="1"/>
        <v>1703660.1280845115</v>
      </c>
      <c r="H38" s="120"/>
    </row>
    <row r="39" spans="2:17">
      <c r="B39" s="122">
        <v>19</v>
      </c>
      <c r="C39" s="123">
        <f t="shared" si="2"/>
        <v>6602033.3701009443</v>
      </c>
      <c r="D39" s="138">
        <f>IF($C$17&lt;B39,0,DCF!$C$16)</f>
        <v>5.4247061515052201E-2</v>
      </c>
      <c r="E39" s="124">
        <f t="shared" si="0"/>
        <v>0.25306913416515198</v>
      </c>
      <c r="F39" s="125">
        <f t="shared" si="1"/>
        <v>1670770.8687008864</v>
      </c>
      <c r="H39" s="120"/>
    </row>
    <row r="40" spans="2:17">
      <c r="B40" s="122">
        <v>20</v>
      </c>
      <c r="C40" s="123">
        <f t="shared" si="2"/>
        <v>6960174.2804532368</v>
      </c>
      <c r="D40" s="138">
        <f>IF($C$17&lt;B40,0,DCF!$C$16)</f>
        <v>5.4247061515052201E-2</v>
      </c>
      <c r="E40" s="124">
        <f t="shared" si="0"/>
        <v>0.23541314806060654</v>
      </c>
      <c r="F40" s="125">
        <f t="shared" si="1"/>
        <v>1638516.5384119635</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34013652.183497444</v>
      </c>
      <c r="D51" s="139">
        <f>Terminal_Growth</f>
        <v>0</v>
      </c>
      <c r="E51" s="124">
        <f>1/(1+Equity_Cost)^C17</f>
        <v>0.23541314806060654</v>
      </c>
      <c r="F51" s="125">
        <f t="shared" si="1"/>
        <v>8007260.9375556568</v>
      </c>
      <c r="H51" s="120"/>
    </row>
    <row r="52" spans="1:17">
      <c r="C52" s="114"/>
      <c r="E52" s="127" t="s">
        <v>100</v>
      </c>
      <c r="F52" s="137">
        <f>SUM(F21:F51)</f>
        <v>47694299.401773825</v>
      </c>
      <c r="H52" s="120"/>
    </row>
    <row r="53" spans="1:17">
      <c r="C53" s="114"/>
      <c r="H53" s="120"/>
    </row>
    <row r="54" spans="1:17" ht="13.15">
      <c r="B54" s="119" t="s">
        <v>129</v>
      </c>
      <c r="C54" s="136"/>
      <c r="D54" s="136"/>
      <c r="E54" s="117"/>
      <c r="F54" s="117"/>
      <c r="H54" s="120"/>
    </row>
    <row r="55" spans="1:17" ht="13.15">
      <c r="A55" s="133">
        <f>F52</f>
        <v>47694299.401773825</v>
      </c>
      <c r="B55" s="131">
        <f>C78</f>
        <v>0</v>
      </c>
      <c r="C55" s="131">
        <f>C77</f>
        <v>0.02</v>
      </c>
      <c r="D55" s="131">
        <f>C76</f>
        <v>0.05</v>
      </c>
      <c r="E55" s="131">
        <f>C75</f>
        <v>0.06</v>
      </c>
      <c r="F55" s="131">
        <f>C74</f>
        <v>0.1</v>
      </c>
      <c r="H55" s="120"/>
    </row>
    <row r="56" spans="1:17" ht="13.15">
      <c r="A56" s="143">
        <v>5</v>
      </c>
      <c r="B56" s="123">
        <f t="dataTable" ref="B56:F61" dt2D="1" dtr="1" r1="C16" r2="C17"/>
        <v>32263454.578300305</v>
      </c>
      <c r="C56" s="123">
        <v>33286544.961670153</v>
      </c>
      <c r="D56" s="123">
        <v>34877472.061107613</v>
      </c>
      <c r="E56" s="123">
        <v>35423449.800213777</v>
      </c>
      <c r="F56" s="123">
        <v>37690258.538703039</v>
      </c>
      <c r="H56" s="120"/>
    </row>
    <row r="57" spans="1:17" ht="13.15">
      <c r="A57" s="143">
        <v>10</v>
      </c>
      <c r="B57" s="123">
        <v>32263454.578300305</v>
      </c>
      <c r="C57" s="123">
        <v>34301070.357006647</v>
      </c>
      <c r="D57" s="123">
        <v>37745493.301857762</v>
      </c>
      <c r="E57" s="123">
        <v>39009449.041547105</v>
      </c>
      <c r="F57" s="123">
        <v>44738378.326267406</v>
      </c>
      <c r="H57" s="120"/>
    </row>
    <row r="58" spans="1:17" ht="13.15">
      <c r="A58" s="143">
        <v>15</v>
      </c>
      <c r="B58" s="123">
        <v>32263454.578300308</v>
      </c>
      <c r="C58" s="341">
        <v>35585578.314918876</v>
      </c>
      <c r="D58" s="123">
        <v>41673156.131205082</v>
      </c>
      <c r="E58" s="123">
        <v>44055142.288541757</v>
      </c>
      <c r="F58" s="123">
        <v>55835031.429366454</v>
      </c>
      <c r="G58" s="338"/>
      <c r="H58" s="339"/>
      <c r="I58" s="338"/>
      <c r="J58" s="338"/>
      <c r="K58" s="338"/>
      <c r="L58" s="338"/>
      <c r="M58" s="338"/>
      <c r="N58" s="338"/>
      <c r="O58" s="338"/>
      <c r="P58" s="338"/>
      <c r="Q58" s="338"/>
    </row>
    <row r="59" spans="1:17" ht="13.15">
      <c r="A59" s="144">
        <v>20</v>
      </c>
      <c r="B59" s="123">
        <v>32263454.578300308</v>
      </c>
      <c r="C59" s="341">
        <v>36924698.817198753</v>
      </c>
      <c r="D59" s="123">
        <v>46124710.105168156</v>
      </c>
      <c r="E59" s="123">
        <v>49944733.992193304</v>
      </c>
      <c r="F59" s="123">
        <v>70505419.895949826</v>
      </c>
      <c r="G59" s="338"/>
      <c r="H59" s="339"/>
      <c r="I59" s="338"/>
      <c r="J59" s="338"/>
      <c r="K59" s="338"/>
      <c r="L59" s="338"/>
      <c r="M59" s="338"/>
      <c r="N59" s="338"/>
      <c r="O59" s="338"/>
      <c r="P59" s="338"/>
      <c r="Q59" s="338"/>
    </row>
    <row r="60" spans="1:17" ht="13.15">
      <c r="A60" s="144">
        <v>25</v>
      </c>
      <c r="B60" s="123">
        <v>32263454.578300308</v>
      </c>
      <c r="C60" s="341">
        <v>38199232.468559533</v>
      </c>
      <c r="D60" s="123">
        <v>50750750.0290474</v>
      </c>
      <c r="E60" s="123">
        <v>56261014.824060299</v>
      </c>
      <c r="F60" s="123">
        <v>88510630.144497842</v>
      </c>
      <c r="G60" s="338"/>
      <c r="H60" s="339"/>
      <c r="I60" s="338"/>
      <c r="J60" s="338"/>
      <c r="K60" s="338"/>
      <c r="L60" s="338"/>
      <c r="M60" s="338"/>
      <c r="N60" s="338"/>
      <c r="O60" s="338"/>
      <c r="P60" s="338"/>
      <c r="Q60" s="338"/>
    </row>
    <row r="61" spans="1:17" ht="13.15">
      <c r="A61" s="144">
        <v>30</v>
      </c>
      <c r="B61" s="123">
        <v>32263454.578300308</v>
      </c>
      <c r="C61" s="341">
        <v>39349851.04642009</v>
      </c>
      <c r="D61" s="123">
        <v>55329032.036971137</v>
      </c>
      <c r="E61" s="123">
        <v>62724306.661759205</v>
      </c>
      <c r="F61" s="123">
        <v>109787239.81593566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18.973519388353761</v>
      </c>
      <c r="C65" s="124">
        <f>C12</f>
        <v>18.973519388353761</v>
      </c>
      <c r="D65" s="124">
        <f>C12</f>
        <v>18.973519388353761</v>
      </c>
      <c r="E65" s="141">
        <f>C12</f>
        <v>18.973519388353761</v>
      </c>
      <c r="F65" s="124">
        <f>C12</f>
        <v>18.973519388353761</v>
      </c>
      <c r="H65" s="120"/>
    </row>
    <row r="66" spans="1:8" ht="13.15">
      <c r="A66" s="143">
        <f t="shared" ref="A66:A71" si="3">A56</f>
        <v>5</v>
      </c>
      <c r="B66" s="124">
        <f t="shared" ref="B66:F71" si="4">(B56-$C$7+$C$8+$C$9)/Common_Shares*$C$3*Exchange_Rate</f>
        <v>18.973519388353758</v>
      </c>
      <c r="C66" s="124">
        <f t="shared" si="4"/>
        <v>19.404929459533768</v>
      </c>
      <c r="D66" s="124">
        <f t="shared" si="4"/>
        <v>20.075781208672343</v>
      </c>
      <c r="E66" s="124">
        <f t="shared" si="4"/>
        <v>20.306005535984145</v>
      </c>
      <c r="F66" s="124">
        <f t="shared" si="4"/>
        <v>21.261858640576961</v>
      </c>
      <c r="H66" s="120"/>
    </row>
    <row r="67" spans="1:8" ht="13.15">
      <c r="A67" s="143">
        <f t="shared" si="3"/>
        <v>10</v>
      </c>
      <c r="B67" s="124">
        <f t="shared" si="4"/>
        <v>18.973519388353758</v>
      </c>
      <c r="C67" s="124">
        <f t="shared" si="4"/>
        <v>19.832727902496774</v>
      </c>
      <c r="D67" s="124">
        <f t="shared" si="4"/>
        <v>21.285149674772491</v>
      </c>
      <c r="E67" s="124">
        <f t="shared" si="4"/>
        <v>21.818126276342838</v>
      </c>
      <c r="F67" s="124">
        <f t="shared" si="4"/>
        <v>24.233863762180366</v>
      </c>
      <c r="H67" s="120"/>
    </row>
    <row r="68" spans="1:8" ht="13.15">
      <c r="A68" s="143">
        <f t="shared" si="3"/>
        <v>15</v>
      </c>
      <c r="B68" s="124">
        <f t="shared" si="4"/>
        <v>18.973519388353761</v>
      </c>
      <c r="C68" s="124">
        <f t="shared" si="4"/>
        <v>20.374370829223299</v>
      </c>
      <c r="D68" s="124">
        <f t="shared" si="4"/>
        <v>22.941340885561409</v>
      </c>
      <c r="E68" s="124">
        <f t="shared" si="4"/>
        <v>23.945761251924022</v>
      </c>
      <c r="F68" s="124">
        <f t="shared" si="4"/>
        <v>28.913027971797668</v>
      </c>
      <c r="H68" s="120"/>
    </row>
    <row r="69" spans="1:8" ht="13.15">
      <c r="A69" s="144">
        <f t="shared" si="3"/>
        <v>20</v>
      </c>
      <c r="B69" s="124">
        <f t="shared" si="4"/>
        <v>18.973519388353761</v>
      </c>
      <c r="C69" s="124">
        <f t="shared" si="4"/>
        <v>20.939042416990858</v>
      </c>
      <c r="D69" s="124">
        <f t="shared" si="4"/>
        <v>24.818443092742282</v>
      </c>
      <c r="E69" s="124">
        <f t="shared" si="4"/>
        <v>26.429245817309681</v>
      </c>
      <c r="F69" s="124">
        <f t="shared" si="4"/>
        <v>35.099141569856194</v>
      </c>
      <c r="H69" s="120"/>
    </row>
    <row r="70" spans="1:8" ht="13.15">
      <c r="A70" s="144">
        <f t="shared" si="3"/>
        <v>25</v>
      </c>
      <c r="B70" s="124">
        <f t="shared" si="4"/>
        <v>18.973519388353761</v>
      </c>
      <c r="C70" s="124">
        <f t="shared" si="4"/>
        <v>21.476479443271753</v>
      </c>
      <c r="D70" s="124">
        <f t="shared" si="4"/>
        <v>26.769121395737201</v>
      </c>
      <c r="E70" s="124">
        <f t="shared" si="4"/>
        <v>29.092653867626208</v>
      </c>
      <c r="F70" s="124">
        <f t="shared" si="4"/>
        <v>42.691461037616399</v>
      </c>
    </row>
    <row r="71" spans="1:8" ht="13.15">
      <c r="A71" s="144">
        <f t="shared" si="3"/>
        <v>30</v>
      </c>
      <c r="B71" s="124">
        <f t="shared" si="4"/>
        <v>18.973519388353761</v>
      </c>
      <c r="C71" s="124">
        <f t="shared" si="4"/>
        <v>21.961664770633408</v>
      </c>
      <c r="D71" s="124">
        <f t="shared" si="4"/>
        <v>28.699661452633162</v>
      </c>
      <c r="E71" s="124">
        <f t="shared" si="4"/>
        <v>31.818052558770855</v>
      </c>
      <c r="F71" s="124">
        <f t="shared" si="4"/>
        <v>51.663242848907331</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30</v>
      </c>
      <c r="E74" s="135">
        <f>INDEX(B$65:F$71, MATCH(D74, A$65:A$71, 0), MATCH(C74, B$64:F$64, 0))</f>
        <v>51.663242848907331</v>
      </c>
      <c r="F74" s="142">
        <f>Scenarios!C58</f>
        <v>0.05</v>
      </c>
    </row>
    <row r="75" spans="1:8">
      <c r="B75" s="127" t="str">
        <f>Scenarios!B36</f>
        <v>Optimistic</v>
      </c>
      <c r="C75" s="142">
        <f>Scenarios!C38</f>
        <v>0.06</v>
      </c>
      <c r="D75" s="145">
        <f>Scenarios!C37</f>
        <v>20</v>
      </c>
      <c r="E75" s="135">
        <f>INDEX(B$65:F$71, MATCH(D75, A$65:A$71, 0), MATCH(C75, B$64:F$64, 0))</f>
        <v>26.429245817309681</v>
      </c>
      <c r="F75" s="142">
        <f>Scenarios!C40*(1-F$74-F$78)</f>
        <v>0.22499999999999992</v>
      </c>
      <c r="H75" s="120"/>
    </row>
    <row r="76" spans="1:8">
      <c r="B76" s="127" t="str">
        <f>Scenarios!B24</f>
        <v>Base</v>
      </c>
      <c r="C76" s="142">
        <f>Scenarios!C26</f>
        <v>0.05</v>
      </c>
      <c r="D76" s="145">
        <f>Scenarios!C25</f>
        <v>20</v>
      </c>
      <c r="E76" s="135">
        <f>INDEX(B$65:F$71, MATCH(D76, A$65:A$71, 0), MATCH(C76, B$64:F$64, 0))</f>
        <v>24.818443092742282</v>
      </c>
      <c r="F76" s="142">
        <f>Scenarios!C28*(1-F$74-F$78)</f>
        <v>0.495</v>
      </c>
      <c r="H76" s="120"/>
    </row>
    <row r="77" spans="1:8">
      <c r="B77" s="127" t="str">
        <f>Scenarios!B30</f>
        <v>Pessimistic</v>
      </c>
      <c r="C77" s="142">
        <f>Scenarios!C32</f>
        <v>0.02</v>
      </c>
      <c r="D77" s="145">
        <f>Scenarios!C31</f>
        <v>20</v>
      </c>
      <c r="E77" s="135">
        <f>INDEX(B$65:F$71, MATCH(D77, A$65:A$71, 0), MATCH(C77, B$64:F$64, 0))</f>
        <v>20.939042416990858</v>
      </c>
      <c r="F77" s="142">
        <f>Scenarios!C34*(1-F$74-F$78)</f>
        <v>0.18</v>
      </c>
      <c r="H77" s="120"/>
    </row>
    <row r="78" spans="1:8">
      <c r="B78" s="127" t="str">
        <f>Scenarios!B48</f>
        <v>Devil's advocate</v>
      </c>
      <c r="C78" s="142">
        <f>Scenarios!C50</f>
        <v>0</v>
      </c>
      <c r="D78" s="145">
        <f>Scenarios!C49</f>
        <v>30</v>
      </c>
      <c r="E78" s="135">
        <f>INDEX(B$65:F$71, MATCH(D78, A$65:A$71, 0), MATCH(C78, B$64:F$64, 0))</f>
        <v>18.973519388353761</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1386855.0971890488</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18491401.295853984</v>
      </c>
      <c r="D6" t="str">
        <f>Reporting_currency</f>
        <v>CNY</v>
      </c>
      <c r="E6" s="364"/>
      <c r="F6" s="364"/>
      <c r="H6" s="120"/>
    </row>
    <row r="7" spans="2:8" ht="13.15">
      <c r="B7" s="149" t="s">
        <v>444</v>
      </c>
      <c r="C7" s="111">
        <f>(C6*scaling_factor)/Common_Shares*Exchange_Rate</f>
        <v>7.7973333333333343</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5.4247061515052201E-2</v>
      </c>
      <c r="H11" s="120"/>
    </row>
    <row r="12" spans="2:8" ht="13.25" customHeight="1">
      <c r="B12" s="118" t="s">
        <v>134</v>
      </c>
      <c r="C12" s="162">
        <f>Scenarios!C64</f>
        <v>20</v>
      </c>
      <c r="H12" s="120"/>
    </row>
    <row r="13" spans="2:8" ht="13.25" customHeight="1">
      <c r="B13" s="153" t="s">
        <v>106</v>
      </c>
      <c r="C13" s="140">
        <f>F47/Common_Shares*scaling_factor</f>
        <v>10.575449529171451</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1462087.9109587267</v>
      </c>
      <c r="D16" s="138">
        <f>IF($C$12&lt;B16,0,DDM!$C$11)</f>
        <v>5.4247061515052201E-2</v>
      </c>
      <c r="E16" s="124">
        <f t="shared" ref="E16:E45" si="0">IF($C$12&lt;B16,0,1/(1+Equity_Cost)^B16)</f>
        <v>0.93023255813953487</v>
      </c>
      <c r="F16" s="125">
        <f t="shared" ref="F16:F46" si="1">C16*E16</f>
        <v>1360081.7776360249</v>
      </c>
      <c r="H16" s="120"/>
    </row>
    <row r="17" spans="2:8">
      <c r="B17" s="122">
        <v>2</v>
      </c>
      <c r="C17" s="123">
        <f t="shared" ref="C17:C45" si="2">IF(ROW()-ROW($C$16)&lt;$C$12, $C$16*(1+D17)^(ROW()-ROW($C$16)), 0)</f>
        <v>1541401.8838049187</v>
      </c>
      <c r="D17" s="138">
        <f>IF($C$12&lt;B17,0,DDM!$C$11)</f>
        <v>5.4247061515052201E-2</v>
      </c>
      <c r="E17" s="124">
        <f t="shared" si="0"/>
        <v>0.86533261222282321</v>
      </c>
      <c r="F17" s="125">
        <f t="shared" si="1"/>
        <v>1333825.3185980909</v>
      </c>
      <c r="H17" s="120"/>
    </row>
    <row r="18" spans="2:8">
      <c r="B18" s="122">
        <v>3</v>
      </c>
      <c r="C18" s="123">
        <f t="shared" si="2"/>
        <v>1625018.4066151013</v>
      </c>
      <c r="D18" s="138">
        <f>IF($C$12&lt;B18,0,DDM!$C$11)</f>
        <v>5.4247061515052201E-2</v>
      </c>
      <c r="E18" s="124">
        <f t="shared" si="0"/>
        <v>0.80496056950960304</v>
      </c>
      <c r="F18" s="125">
        <f t="shared" si="1"/>
        <v>1308075.7420524796</v>
      </c>
      <c r="H18" s="120"/>
    </row>
    <row r="19" spans="2:8">
      <c r="B19" s="122">
        <v>4</v>
      </c>
      <c r="C19" s="123">
        <f t="shared" si="2"/>
        <v>1713170.8800818427</v>
      </c>
      <c r="D19" s="138">
        <f>IF($C$12&lt;B19,0,DDM!$C$11)</f>
        <v>5.4247061515052201E-2</v>
      </c>
      <c r="E19" s="124">
        <f t="shared" si="0"/>
        <v>0.7488005297763749</v>
      </c>
      <c r="F19" s="125">
        <f t="shared" si="1"/>
        <v>1282823.2626027423</v>
      </c>
      <c r="H19" s="120"/>
    </row>
    <row r="20" spans="2:8">
      <c r="B20" s="122">
        <v>5</v>
      </c>
      <c r="C20" s="123">
        <f t="shared" si="2"/>
        <v>1806105.3661994382</v>
      </c>
      <c r="D20" s="138">
        <f>IF($C$12&lt;B20,0,DDM!$C$11)</f>
        <v>5.4247061515052201E-2</v>
      </c>
      <c r="E20" s="124">
        <f t="shared" si="0"/>
        <v>0.69655863235011617</v>
      </c>
      <c r="F20" s="125">
        <f t="shared" si="1"/>
        <v>1258058.2837600864</v>
      </c>
      <c r="H20" s="120"/>
    </row>
    <row r="21" spans="2:8">
      <c r="B21" s="122">
        <v>6</v>
      </c>
      <c r="C21" s="123">
        <f t="shared" si="2"/>
        <v>1904081.2751023248</v>
      </c>
      <c r="D21" s="138">
        <f>IF($C$12&lt;B21,0,DDM!$C$11)</f>
        <v>5.4247061515052201E-2</v>
      </c>
      <c r="E21" s="124">
        <f t="shared" si="0"/>
        <v>0.64796151846522443</v>
      </c>
      <c r="F21" s="125">
        <f t="shared" si="1"/>
        <v>1233771.3942965032</v>
      </c>
      <c r="H21" s="120"/>
    </row>
    <row r="22" spans="2:8">
      <c r="B22" s="122">
        <v>7</v>
      </c>
      <c r="C22" s="123">
        <f t="shared" si="2"/>
        <v>2007372.0891624596</v>
      </c>
      <c r="D22" s="138">
        <f>IF($C$12&lt;B22,0,DDM!$C$11)</f>
        <v>5.4247061515052201E-2</v>
      </c>
      <c r="E22" s="124">
        <f t="shared" si="0"/>
        <v>0.60275490089788319</v>
      </c>
      <c r="F22" s="125">
        <f t="shared" si="1"/>
        <v>1209953.364668295</v>
      </c>
      <c r="H22" s="120"/>
    </row>
    <row r="23" spans="2:8">
      <c r="B23" s="122">
        <v>8</v>
      </c>
      <c r="C23" s="123">
        <f t="shared" si="2"/>
        <v>2116266.1263668542</v>
      </c>
      <c r="D23" s="138">
        <f>IF($C$12&lt;B23,0,DDM!$C$11)</f>
        <v>5.4247061515052201E-2</v>
      </c>
      <c r="E23" s="124">
        <f t="shared" si="0"/>
        <v>0.56070223339337966</v>
      </c>
      <c r="F23" s="125">
        <f t="shared" si="1"/>
        <v>1186595.1435086513</v>
      </c>
      <c r="H23" s="120"/>
    </row>
    <row r="24" spans="2:8">
      <c r="B24" s="122">
        <v>9</v>
      </c>
      <c r="C24" s="123">
        <f t="shared" si="2"/>
        <v>2231067.3451060979</v>
      </c>
      <c r="D24" s="138">
        <f>IF($C$12&lt;B24,0,DDM!$C$11)</f>
        <v>5.4247061515052201E-2</v>
      </c>
      <c r="E24" s="124">
        <f t="shared" si="0"/>
        <v>0.52158347292407414</v>
      </c>
      <c r="F24" s="125">
        <f t="shared" si="1"/>
        <v>1163687.8541879323</v>
      </c>
      <c r="H24" s="120"/>
    </row>
    <row r="25" spans="2:8">
      <c r="B25" s="122">
        <v>10</v>
      </c>
      <c r="C25" s="123">
        <f t="shared" si="2"/>
        <v>2352096.1926202918</v>
      </c>
      <c r="D25" s="138">
        <f>IF($C$12&lt;B25,0,DDM!$C$11)</f>
        <v>5.4247061515052201E-2</v>
      </c>
      <c r="E25" s="124">
        <f t="shared" si="0"/>
        <v>0.48519392830146441</v>
      </c>
      <c r="F25" s="125">
        <f t="shared" si="1"/>
        <v>1141222.7914403572</v>
      </c>
      <c r="H25" s="120"/>
    </row>
    <row r="26" spans="2:8">
      <c r="B26" s="122">
        <v>11</v>
      </c>
      <c r="C26" s="123">
        <f t="shared" si="2"/>
        <v>2479690.4994706847</v>
      </c>
      <c r="D26" s="138">
        <f>IF($C$12&lt;B26,0,DDM!$C$11)</f>
        <v>5.4247061515052201E-2</v>
      </c>
      <c r="E26" s="124">
        <f t="shared" si="0"/>
        <v>0.45134318911764126</v>
      </c>
      <c r="F26" s="125">
        <f t="shared" si="1"/>
        <v>1119191.4180558156</v>
      </c>
      <c r="H26" s="120"/>
    </row>
    <row r="27" spans="2:8">
      <c r="B27" s="122">
        <v>12</v>
      </c>
      <c r="C27" s="123">
        <f t="shared" si="2"/>
        <v>2614206.4225337612</v>
      </c>
      <c r="D27" s="138">
        <f>IF($C$12&lt;B27,0,DDM!$C$11)</f>
        <v>5.4247061515052201E-2</v>
      </c>
      <c r="E27" s="124">
        <f t="shared" si="0"/>
        <v>0.41985412941175931</v>
      </c>
      <c r="F27" s="125">
        <f t="shared" si="1"/>
        <v>1097585.3616355422</v>
      </c>
      <c r="H27" s="120"/>
    </row>
    <row r="28" spans="2:8">
      <c r="B28" s="122">
        <v>13</v>
      </c>
      <c r="C28" s="123">
        <f t="shared" si="2"/>
        <v>2756019.4391499944</v>
      </c>
      <c r="D28" s="138">
        <f>IF($C$12&lt;B28,0,DDM!$C$11)</f>
        <v>5.4247061515052201E-2</v>
      </c>
      <c r="E28" s="124">
        <f t="shared" si="0"/>
        <v>0.39056198084814819</v>
      </c>
      <c r="F28" s="125">
        <f t="shared" si="1"/>
        <v>1076396.4114104242</v>
      </c>
      <c r="H28" s="120"/>
    </row>
    <row r="29" spans="2:8">
      <c r="B29" s="122">
        <v>14</v>
      </c>
      <c r="C29" s="123">
        <f t="shared" si="2"/>
        <v>2905525.3952022437</v>
      </c>
      <c r="D29" s="138">
        <f>IF($C$12&lt;B29,0,DDM!$C$11)</f>
        <v>5.4247061515052201E-2</v>
      </c>
      <c r="E29" s="124">
        <f t="shared" si="0"/>
        <v>0.36331347055641694</v>
      </c>
      <c r="F29" s="125">
        <f t="shared" si="1"/>
        <v>1055616.5151207321</v>
      </c>
      <c r="H29" s="120"/>
    </row>
    <row r="30" spans="2:8">
      <c r="B30" s="122">
        <v>15</v>
      </c>
      <c r="C30" s="123">
        <f t="shared" si="2"/>
        <v>3063141.6100493264</v>
      </c>
      <c r="D30" s="138">
        <f>IF($C$12&lt;B30,0,DDM!$C$11)</f>
        <v>5.4247061515052201E-2</v>
      </c>
      <c r="E30" s="124">
        <f t="shared" si="0"/>
        <v>0.33796601912224833</v>
      </c>
      <c r="F30" s="125">
        <f t="shared" si="1"/>
        <v>1035237.7759560852</v>
      </c>
      <c r="H30" s="120"/>
    </row>
    <row r="31" spans="2:8">
      <c r="B31" s="122">
        <v>16</v>
      </c>
      <c r="C31" s="123">
        <f t="shared" si="2"/>
        <v>3229308.0413989872</v>
      </c>
      <c r="D31" s="138">
        <f>IF($C$12&lt;B31,0,DDM!$C$11)</f>
        <v>5.4247061515052201E-2</v>
      </c>
      <c r="E31" s="124">
        <f t="shared" si="0"/>
        <v>0.31438699453232405</v>
      </c>
      <c r="F31" s="125">
        <f t="shared" si="1"/>
        <v>1015252.4495544934</v>
      </c>
      <c r="H31" s="120"/>
    </row>
    <row r="32" spans="2:8">
      <c r="B32" s="122">
        <v>17</v>
      </c>
      <c r="C32" s="123">
        <f t="shared" si="2"/>
        <v>3404488.5133718103</v>
      </c>
      <c r="D32" s="138">
        <f>IF($C$12&lt;B32,0,DDM!$C$11)</f>
        <v>5.4247061515052201E-2</v>
      </c>
      <c r="E32" s="124">
        <f t="shared" si="0"/>
        <v>0.29245301816960378</v>
      </c>
      <c r="F32" s="125">
        <f t="shared" si="1"/>
        <v>995652.94105933339</v>
      </c>
      <c r="H32" s="120"/>
    </row>
    <row r="33" spans="2:8">
      <c r="B33" s="122">
        <v>18</v>
      </c>
      <c r="C33" s="123">
        <f t="shared" si="2"/>
        <v>3589172.011183979</v>
      </c>
      <c r="D33" s="138">
        <f>IF($C$12&lt;B33,0,DDM!$C$11)</f>
        <v>5.4247061515052201E-2</v>
      </c>
      <c r="E33" s="124">
        <f t="shared" si="0"/>
        <v>0.27204931922753844</v>
      </c>
      <c r="F33" s="125">
        <f t="shared" si="1"/>
        <v>976431.80223313649</v>
      </c>
      <c r="H33" s="120"/>
    </row>
    <row r="34" spans="2:8">
      <c r="B34" s="122">
        <v>19</v>
      </c>
      <c r="C34" s="123">
        <f t="shared" si="2"/>
        <v>3783874.0460627796</v>
      </c>
      <c r="D34" s="138">
        <f>IF($C$12&lt;B34,0,DDM!$C$11)</f>
        <v>5.4247061515052201E-2</v>
      </c>
      <c r="E34" s="124">
        <f t="shared" si="0"/>
        <v>0.25306913416515198</v>
      </c>
      <c r="F34" s="125">
        <f t="shared" si="1"/>
        <v>957581.72862709803</v>
      </c>
      <c r="H34" s="120"/>
    </row>
    <row r="35" spans="2:8">
      <c r="B35" s="122">
        <v>20</v>
      </c>
      <c r="C35" s="123">
        <f t="shared" si="2"/>
        <v>3989138.094204756</v>
      </c>
      <c r="D35" s="138">
        <f>IF($C$12&lt;B35,0,DDM!$C$11)</f>
        <v>5.4247061515052201E-2</v>
      </c>
      <c r="E35" s="124">
        <f t="shared" si="0"/>
        <v>0.23541314806060654</v>
      </c>
      <c r="F35" s="125">
        <f t="shared" si="1"/>
        <v>939095.55680522998</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19494505.479449689</v>
      </c>
      <c r="D46" s="139">
        <f>Terminal_Growth</f>
        <v>0</v>
      </c>
      <c r="E46" s="124">
        <f>1/(1+Equity_Cost)^C12</f>
        <v>0.23541314806060654</v>
      </c>
      <c r="F46" s="125">
        <f t="shared" si="1"/>
        <v>4589262.9048019955</v>
      </c>
      <c r="H46" s="120"/>
    </row>
    <row r="47" spans="2:8">
      <c r="C47" s="114"/>
      <c r="E47" s="127" t="s">
        <v>100</v>
      </c>
      <c r="F47" s="137">
        <f>SUM(F16:F46)</f>
        <v>27335399.79801105</v>
      </c>
      <c r="H47" s="120"/>
    </row>
    <row r="48" spans="2:8">
      <c r="C48" s="114"/>
      <c r="H48" s="120"/>
    </row>
    <row r="49" spans="1:8" ht="13.15">
      <c r="B49" s="119" t="s">
        <v>129</v>
      </c>
      <c r="C49" s="136"/>
      <c r="D49" s="136"/>
      <c r="E49" s="117"/>
      <c r="F49" s="117"/>
      <c r="H49" s="120"/>
    </row>
    <row r="50" spans="1:8" ht="13.15">
      <c r="A50" s="133">
        <f>F47</f>
        <v>27335399.79801105</v>
      </c>
      <c r="B50" s="131">
        <f>C73</f>
        <v>0</v>
      </c>
      <c r="C50" s="131">
        <f>C72</f>
        <v>0.02</v>
      </c>
      <c r="D50" s="131">
        <f>C71</f>
        <v>0.05</v>
      </c>
      <c r="E50" s="131">
        <f>C70</f>
        <v>0.06</v>
      </c>
      <c r="F50" s="131">
        <f>C69</f>
        <v>0.1</v>
      </c>
      <c r="H50" s="120"/>
    </row>
    <row r="51" spans="1:8" ht="13.15">
      <c r="A51" s="143">
        <v>5</v>
      </c>
      <c r="B51" s="123">
        <f t="dataTable" ref="B51:F56" dt2D="1" dtr="1" r1="C11" r2="C12"/>
        <v>18491401.295853987</v>
      </c>
      <c r="C51" s="123">
        <v>19077772.937951639</v>
      </c>
      <c r="D51" s="123">
        <v>19989593.194420189</v>
      </c>
      <c r="E51" s="123">
        <v>20302513.605590459</v>
      </c>
      <c r="F51" s="123">
        <v>21601707.092221785</v>
      </c>
      <c r="H51" s="120"/>
    </row>
    <row r="52" spans="1:8" ht="13.15">
      <c r="A52" s="143">
        <v>10</v>
      </c>
      <c r="B52" s="123">
        <v>18491401.295853987</v>
      </c>
      <c r="C52" s="123">
        <v>19659235.662734356</v>
      </c>
      <c r="D52" s="123">
        <v>21633364.215872228</v>
      </c>
      <c r="E52" s="123">
        <v>22357784.867915887</v>
      </c>
      <c r="F52" s="123">
        <v>25641250.06976638</v>
      </c>
      <c r="H52" s="120"/>
    </row>
    <row r="53" spans="1:8" ht="13.15">
      <c r="A53" s="143">
        <v>15</v>
      </c>
      <c r="B53" s="123">
        <v>18491401.295853987</v>
      </c>
      <c r="C53" s="123">
        <v>20395435.56531541</v>
      </c>
      <c r="D53" s="123">
        <v>23884455.752149265</v>
      </c>
      <c r="E53" s="123">
        <v>25249661.756657727</v>
      </c>
      <c r="F53" s="123">
        <v>32001160.012835406</v>
      </c>
      <c r="H53" s="120"/>
    </row>
    <row r="54" spans="1:8" ht="13.15">
      <c r="A54" s="144">
        <v>20</v>
      </c>
      <c r="B54" s="123">
        <v>18491401.295853987</v>
      </c>
      <c r="C54" s="123">
        <v>21162935.974518873</v>
      </c>
      <c r="D54" s="123">
        <v>26435809.04021496</v>
      </c>
      <c r="E54" s="123">
        <v>28625208.643512223</v>
      </c>
      <c r="F54" s="123">
        <v>40409312.32781148</v>
      </c>
      <c r="H54" s="120"/>
    </row>
    <row r="55" spans="1:8" ht="13.15">
      <c r="A55" s="144">
        <v>25</v>
      </c>
      <c r="B55" s="123">
        <v>18491401.295853987</v>
      </c>
      <c r="C55" s="123">
        <v>21893419.226248324</v>
      </c>
      <c r="D55" s="123">
        <v>29087166.799672827</v>
      </c>
      <c r="E55" s="123">
        <v>32245307.144616876</v>
      </c>
      <c r="F55" s="123">
        <v>50728776.640416548</v>
      </c>
      <c r="H55" s="120"/>
    </row>
    <row r="56" spans="1:8" ht="13.15">
      <c r="A56" s="144">
        <v>30</v>
      </c>
      <c r="B56" s="123">
        <v>18491401.295853987</v>
      </c>
      <c r="C56" s="123">
        <v>22552882.081041139</v>
      </c>
      <c r="D56" s="123">
        <v>31711152.698289081</v>
      </c>
      <c r="E56" s="123">
        <v>35949663.191581897</v>
      </c>
      <c r="F56" s="123">
        <v>62923203.207322977</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7.7973333333333343</v>
      </c>
      <c r="C60" s="124">
        <f>C7</f>
        <v>7.7973333333333343</v>
      </c>
      <c r="D60" s="124">
        <f>C7</f>
        <v>7.7973333333333343</v>
      </c>
      <c r="E60" s="141">
        <f>C7</f>
        <v>7.7973333333333343</v>
      </c>
      <c r="F60" s="124">
        <f>C7</f>
        <v>7.7973333333333343</v>
      </c>
      <c r="H60" s="120"/>
    </row>
    <row r="61" spans="1:8" ht="13.15">
      <c r="A61" s="143">
        <f t="shared" ref="A61:A66" si="3">A51</f>
        <v>5</v>
      </c>
      <c r="B61" s="124">
        <f t="shared" ref="B61:F66" si="4">B51/Common_Shares*$C$3*Exchange_Rate</f>
        <v>7.7973333333333352</v>
      </c>
      <c r="C61" s="124">
        <f t="shared" si="4"/>
        <v>8.044590697850893</v>
      </c>
      <c r="D61" s="124">
        <f t="shared" si="4"/>
        <v>8.4290811086108874</v>
      </c>
      <c r="E61" s="124">
        <f t="shared" si="4"/>
        <v>8.5610313439478585</v>
      </c>
      <c r="F61" s="124">
        <f t="shared" si="4"/>
        <v>9.1088667685152398</v>
      </c>
      <c r="H61" s="120"/>
    </row>
    <row r="62" spans="1:8" ht="13.15">
      <c r="A62" s="143">
        <f t="shared" si="3"/>
        <v>10</v>
      </c>
      <c r="B62" s="124">
        <f t="shared" si="4"/>
        <v>7.7973333333333352</v>
      </c>
      <c r="C62" s="124">
        <f t="shared" si="4"/>
        <v>8.2897781021746351</v>
      </c>
      <c r="D62" s="124">
        <f t="shared" si="4"/>
        <v>9.1222157376673181</v>
      </c>
      <c r="E62" s="124">
        <f t="shared" si="4"/>
        <v>9.427684707117546</v>
      </c>
      <c r="F62" s="124">
        <f t="shared" si="4"/>
        <v>10.812234869520287</v>
      </c>
      <c r="H62" s="120"/>
    </row>
    <row r="63" spans="1:8" ht="13.15">
      <c r="A63" s="143">
        <f t="shared" si="3"/>
        <v>15</v>
      </c>
      <c r="B63" s="124">
        <f t="shared" si="4"/>
        <v>7.7973333333333352</v>
      </c>
      <c r="C63" s="124">
        <f t="shared" si="4"/>
        <v>8.600214069062611</v>
      </c>
      <c r="D63" s="124">
        <f t="shared" si="4"/>
        <v>10.071441315078426</v>
      </c>
      <c r="E63" s="124">
        <f t="shared" si="4"/>
        <v>10.647112467064478</v>
      </c>
      <c r="F63" s="124">
        <f t="shared" si="4"/>
        <v>13.494040158512043</v>
      </c>
      <c r="H63" s="120"/>
    </row>
    <row r="64" spans="1:8" ht="13.15">
      <c r="A64" s="144">
        <f t="shared" si="3"/>
        <v>20</v>
      </c>
      <c r="B64" s="124">
        <f t="shared" si="4"/>
        <v>7.7973333333333352</v>
      </c>
      <c r="C64" s="124">
        <f t="shared" si="4"/>
        <v>8.9238486291633077</v>
      </c>
      <c r="D64" s="124">
        <f t="shared" si="4"/>
        <v>11.147279307010635</v>
      </c>
      <c r="E64" s="124">
        <f t="shared" si="4"/>
        <v>12.070491033025377</v>
      </c>
      <c r="F64" s="124">
        <f t="shared" si="4"/>
        <v>17.039534914066696</v>
      </c>
      <c r="H64" s="120"/>
    </row>
    <row r="65" spans="1:8" ht="13.15">
      <c r="A65" s="144">
        <f t="shared" si="3"/>
        <v>25</v>
      </c>
      <c r="B65" s="124">
        <f t="shared" si="4"/>
        <v>7.7973333333333352</v>
      </c>
      <c r="C65" s="124">
        <f t="shared" si="4"/>
        <v>9.231874036054931</v>
      </c>
      <c r="D65" s="124">
        <f t="shared" si="4"/>
        <v>12.265286531322408</v>
      </c>
      <c r="E65" s="124">
        <f t="shared" si="4"/>
        <v>13.596990526546303</v>
      </c>
      <c r="F65" s="124">
        <f t="shared" si="4"/>
        <v>21.390979230234361</v>
      </c>
    </row>
    <row r="66" spans="1:8" ht="13.15">
      <c r="A66" s="144">
        <f t="shared" si="3"/>
        <v>30</v>
      </c>
      <c r="B66" s="124">
        <f t="shared" si="4"/>
        <v>7.7973333333333352</v>
      </c>
      <c r="C66" s="124">
        <f t="shared" si="4"/>
        <v>9.5099520257919306</v>
      </c>
      <c r="D66" s="124">
        <f t="shared" si="4"/>
        <v>13.371751768116797</v>
      </c>
      <c r="E66" s="124">
        <f t="shared" si="4"/>
        <v>15.159019191729806</v>
      </c>
      <c r="F66" s="124">
        <f t="shared" si="4"/>
        <v>26.533045384644421</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30</v>
      </c>
      <c r="E69" s="135">
        <f>INDEX(B$60:F$66, MATCH(D69, A$60:A$66, 0), MATCH(C69, B$59:F$59, 0))</f>
        <v>26.533045384644421</v>
      </c>
      <c r="F69" s="142">
        <f>Scenarios!C58</f>
        <v>0.05</v>
      </c>
    </row>
    <row r="70" spans="1:8">
      <c r="B70" s="127" t="str">
        <f>Scenarios!B36</f>
        <v>Optimistic</v>
      </c>
      <c r="C70" s="142">
        <f>Scenarios!C38</f>
        <v>0.06</v>
      </c>
      <c r="D70" s="145">
        <f>Scenarios!C37</f>
        <v>20</v>
      </c>
      <c r="E70" s="135">
        <f>INDEX(B$60:F$66, MATCH(D70, A$60:A$66, 0), MATCH(C70, B$59:F$59, 0))</f>
        <v>12.070491033025377</v>
      </c>
      <c r="F70" s="142">
        <f>Scenarios!C40*(1-F$69-F$73)</f>
        <v>0.22499999999999992</v>
      </c>
      <c r="H70" s="120"/>
    </row>
    <row r="71" spans="1:8">
      <c r="B71" s="127" t="str">
        <f>Scenarios!B24</f>
        <v>Base</v>
      </c>
      <c r="C71" s="142">
        <f>Scenarios!C26</f>
        <v>0.05</v>
      </c>
      <c r="D71" s="145">
        <f>Scenarios!C25</f>
        <v>20</v>
      </c>
      <c r="E71" s="135">
        <f>INDEX(B$60:F$66, MATCH(D71, A$60:A$66, 0), MATCH(C71, B$59:F$59, 0))</f>
        <v>11.147279307010635</v>
      </c>
      <c r="F71" s="142">
        <f>Scenarios!C28*(1-F$69-F$73)</f>
        <v>0.495</v>
      </c>
      <c r="H71" s="120"/>
    </row>
    <row r="72" spans="1:8">
      <c r="B72" s="127" t="str">
        <f>Scenarios!B30</f>
        <v>Pessimistic</v>
      </c>
      <c r="C72" s="142">
        <f>Scenarios!C32</f>
        <v>0.02</v>
      </c>
      <c r="D72" s="145">
        <f>Scenarios!C31</f>
        <v>20</v>
      </c>
      <c r="E72" s="135">
        <f>INDEX(B$60:F$66, MATCH(D72, A$60:A$66, 0), MATCH(C72, B$59:F$59, 0))</f>
        <v>8.9238486291633077</v>
      </c>
      <c r="F72" s="142">
        <f>Scenarios!C34*(1-F$69-F$73)</f>
        <v>0.18</v>
      </c>
      <c r="H72" s="120"/>
    </row>
    <row r="73" spans="1:8">
      <c r="B73" s="127" t="str">
        <f>Scenarios!B48</f>
        <v>Devil's advocate</v>
      </c>
      <c r="C73" s="142">
        <f>Scenarios!C50</f>
        <v>0</v>
      </c>
      <c r="D73" s="145">
        <f>Scenarios!C49</f>
        <v>30</v>
      </c>
      <c r="E73" s="135">
        <f>INDEX(B$60:F$66, MATCH(D73, A$60:A$66, 0), MATCH(C73, B$59:F$59, 0))</f>
        <v>7.7973333333333352</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-14.98</v>
      </c>
    </row>
    <row r="4" spans="2:9">
      <c r="B4" s="152" t="s">
        <v>146</v>
      </c>
      <c r="C4" s="120">
        <v>3</v>
      </c>
      <c r="D4" s="120"/>
      <c r="E4" s="155" t="s">
        <v>150</v>
      </c>
      <c r="F4" s="155"/>
      <c r="H4" s="247">
        <v>1</v>
      </c>
      <c r="I4" s="124">
        <f t="shared" ref="I4:I13" si="0">IF(ROW()-3 &lt; $C$76, $C$77, IF(ROW()-3 = $C$76, $C$77 + $C$60, ""))</f>
        <v>0.53654295137340957</v>
      </c>
    </row>
    <row r="5" spans="2:9">
      <c r="H5" s="247">
        <v>2</v>
      </c>
      <c r="I5" s="124">
        <f t="shared" si="0"/>
        <v>0.53654295137340957</v>
      </c>
    </row>
    <row r="6" spans="2:9" ht="13.15">
      <c r="B6" s="159" t="s">
        <v>95</v>
      </c>
      <c r="C6" s="107">
        <f>DCF!C3</f>
        <v>1000</v>
      </c>
      <c r="E6" s="100" t="s">
        <v>279</v>
      </c>
      <c r="F6" s="100"/>
      <c r="H6" s="247">
        <v>3</v>
      </c>
      <c r="I6" s="124">
        <f t="shared" si="0"/>
        <v>26.069118338096924</v>
      </c>
    </row>
    <row r="7" spans="2:9" ht="12.75" customHeight="1">
      <c r="B7" s="100" t="s">
        <v>275</v>
      </c>
      <c r="C7" s="338">
        <f>Normalized_FCF!G8</f>
        <v>3529289</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6"/>
      <c r="H7" s="247">
        <v>4</v>
      </c>
      <c r="I7" s="124" t="str">
        <f t="shared" si="0"/>
        <v/>
      </c>
    </row>
    <row r="8" spans="2:9">
      <c r="B8" s="100" t="s">
        <v>66</v>
      </c>
      <c r="C8" s="338">
        <f>Normalized_FCF!G19</f>
        <v>2532233.8079278958</v>
      </c>
      <c r="D8" t="str">
        <f>Reporting_currency</f>
        <v>CNY</v>
      </c>
      <c r="E8" s="366"/>
      <c r="F8" s="366"/>
      <c r="H8" s="247">
        <v>5</v>
      </c>
      <c r="I8" s="124" t="str">
        <f t="shared" si="0"/>
        <v/>
      </c>
    </row>
    <row r="9" spans="2:9">
      <c r="B9" s="100" t="s">
        <v>57</v>
      </c>
      <c r="C9" s="338">
        <f>Normalized_FCF!C19</f>
        <v>2419759.0933725224</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8.3043513409933434E-2</v>
      </c>
      <c r="D12" s="158"/>
      <c r="E12" s="366"/>
      <c r="F12" s="366"/>
      <c r="H12" s="247">
        <v>9</v>
      </c>
      <c r="I12" s="124" t="str">
        <f t="shared" si="0"/>
        <v/>
      </c>
    </row>
    <row r="13" spans="2:9">
      <c r="B13" s="148" t="s">
        <v>152</v>
      </c>
      <c r="C13" s="158">
        <f ca="1">(Normalized_FCF!G8/OFFSET(Normalized_FCF!G8, 0, $C$4))^(1/$C$4) - 1</f>
        <v>-9.2379152048964186E-2</v>
      </c>
      <c r="E13" s="366"/>
      <c r="F13" s="366"/>
      <c r="H13" s="247">
        <v>10</v>
      </c>
      <c r="I13" s="124" t="str">
        <f t="shared" si="0"/>
        <v/>
      </c>
    </row>
    <row r="14" spans="2:9">
      <c r="B14" s="100" t="s">
        <v>66</v>
      </c>
      <c r="C14" s="158">
        <f ca="1">(Normalized_FCF!G19/OFFSET(Normalized_FCF!G19, 0, $C$4))^(1/$C$4) - 1</f>
        <v>-0.100829328197656</v>
      </c>
      <c r="E14" s="366"/>
      <c r="F14" s="366"/>
    </row>
    <row r="16" spans="2:9" ht="13.9">
      <c r="B16" s="36" t="s">
        <v>162</v>
      </c>
      <c r="C16" s="37"/>
      <c r="D16" s="37"/>
      <c r="E16" s="37"/>
      <c r="F16" s="37"/>
    </row>
    <row r="17" spans="2:6" ht="13.15">
      <c r="B17" s="109" t="s">
        <v>151</v>
      </c>
      <c r="E17" s="159" t="s">
        <v>329</v>
      </c>
    </row>
    <row r="18" spans="2:6">
      <c r="B18" s="152" t="s">
        <v>133</v>
      </c>
      <c r="C18" s="150">
        <v>20</v>
      </c>
      <c r="E18" s="366" t="s">
        <v>330</v>
      </c>
      <c r="F18" s="367"/>
    </row>
    <row r="19" spans="2:6">
      <c r="E19" s="367"/>
      <c r="F19" s="367"/>
    </row>
    <row r="20" spans="2:6" ht="13.15">
      <c r="B20" s="159" t="s">
        <v>303</v>
      </c>
      <c r="E20" s="367"/>
      <c r="F20" s="367"/>
    </row>
    <row r="21" spans="2:6">
      <c r="B21" s="100" t="s">
        <v>277</v>
      </c>
      <c r="C21" s="160">
        <f>Market_Price</f>
        <v>14.98</v>
      </c>
      <c r="D21" t="str">
        <f>Market_currency</f>
        <v>HKD</v>
      </c>
      <c r="E21" s="367"/>
      <c r="F21" s="367"/>
    </row>
    <row r="22" spans="2:6">
      <c r="B22" s="100" t="s">
        <v>278</v>
      </c>
      <c r="C22" s="160">
        <f>IF(valuation_method="DCF",DCF!C12,DDM!C7)</f>
        <v>18.973519388353761</v>
      </c>
      <c r="D22" t="str">
        <f>Market_currency</f>
        <v>HKD</v>
      </c>
      <c r="E22" s="367"/>
      <c r="F22" s="367"/>
    </row>
    <row r="24" spans="2:6" ht="13.15">
      <c r="B24" s="159" t="s">
        <v>115</v>
      </c>
      <c r="E24" s="159" t="s">
        <v>149</v>
      </c>
      <c r="F24" s="159"/>
    </row>
    <row r="25" spans="2:6">
      <c r="B25" s="152" t="s">
        <v>133</v>
      </c>
      <c r="C25" s="166">
        <f>C18</f>
        <v>20</v>
      </c>
      <c r="D25" s="163"/>
      <c r="E25" s="365"/>
      <c r="F25" s="365"/>
    </row>
    <row r="26" spans="2:6">
      <c r="B26" s="118" t="s">
        <v>134</v>
      </c>
      <c r="C26" s="164">
        <v>0.05</v>
      </c>
      <c r="D26" s="164"/>
      <c r="E26" s="365"/>
      <c r="F26" s="365"/>
    </row>
    <row r="27" spans="2:6">
      <c r="B27" s="100" t="s">
        <v>113</v>
      </c>
      <c r="C27" s="160">
        <f>IF(valuation_method="DCF",DCF!E76,DDM!E71)</f>
        <v>24.818443092742282</v>
      </c>
      <c r="D27" s="160" t="str">
        <f>Market_currency</f>
        <v>HKD</v>
      </c>
      <c r="E27" s="365"/>
      <c r="F27" s="365"/>
    </row>
    <row r="28" spans="2:6">
      <c r="B28" s="100" t="s">
        <v>147</v>
      </c>
      <c r="C28" s="165">
        <v>0.55000000000000004</v>
      </c>
      <c r="D28" s="165"/>
      <c r="E28" s="365"/>
      <c r="F28" s="365"/>
    </row>
    <row r="30" spans="2:6" ht="13.15">
      <c r="B30" s="159" t="s">
        <v>116</v>
      </c>
      <c r="E30" s="159" t="s">
        <v>149</v>
      </c>
      <c r="F30" s="159"/>
    </row>
    <row r="31" spans="2:6">
      <c r="B31" s="152" t="s">
        <v>133</v>
      </c>
      <c r="C31" s="166">
        <f>C18</f>
        <v>20</v>
      </c>
      <c r="D31" s="163"/>
      <c r="E31" s="365"/>
      <c r="F31" s="365"/>
    </row>
    <row r="32" spans="2:6">
      <c r="B32" s="118" t="s">
        <v>134</v>
      </c>
      <c r="C32" s="164">
        <v>0.02</v>
      </c>
      <c r="D32" s="164"/>
      <c r="E32" s="365"/>
      <c r="F32" s="365"/>
    </row>
    <row r="33" spans="2:6">
      <c r="B33" s="100" t="s">
        <v>113</v>
      </c>
      <c r="C33" s="160">
        <f>IF(valuation_method="DCF",DCF!E77,DDM!E72)</f>
        <v>20.939042416990858</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20</v>
      </c>
      <c r="D37" s="163"/>
      <c r="E37" s="365"/>
      <c r="F37" s="365"/>
    </row>
    <row r="38" spans="2:6">
      <c r="B38" s="118" t="s">
        <v>134</v>
      </c>
      <c r="C38" s="164">
        <v>0.06</v>
      </c>
      <c r="D38" s="164"/>
      <c r="E38" s="365"/>
      <c r="F38" s="365"/>
    </row>
    <row r="39" spans="2:6">
      <c r="B39" s="100" t="s">
        <v>113</v>
      </c>
      <c r="C39" s="160">
        <f>IF(valuation_method="DCF",DCF!E75,DDM!E70)</f>
        <v>26.429245817309681</v>
      </c>
      <c r="D39" t="str">
        <f>Market_currency</f>
        <v>HKD</v>
      </c>
      <c r="E39" s="365"/>
      <c r="F39" s="365"/>
    </row>
    <row r="40" spans="2:6">
      <c r="B40" s="100" t="s">
        <v>147</v>
      </c>
      <c r="C40" s="167">
        <f>1-C28-C34</f>
        <v>0.24999999999999994</v>
      </c>
      <c r="D40" s="165"/>
      <c r="E40" s="365"/>
      <c r="F40" s="365"/>
    </row>
    <row r="42" spans="2:6" ht="13.15">
      <c r="B42" s="100" t="s">
        <v>120</v>
      </c>
      <c r="C42" s="154">
        <f>C27*C28+C33*C34+C39*C40</f>
        <v>24.445263638733845</v>
      </c>
      <c r="D42" t="str">
        <f>Market_currency</f>
        <v>HKD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18.973519388353761</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0.1</v>
      </c>
      <c r="D56" s="164"/>
      <c r="E56" s="365"/>
      <c r="F56" s="365"/>
    </row>
    <row r="57" spans="2:6">
      <c r="B57" s="100" t="s">
        <v>113</v>
      </c>
      <c r="C57" s="160">
        <f>IF(valuation_method="DCF",DCF!E74,DDM!E69)</f>
        <v>51.663242848907331</v>
      </c>
      <c r="D57" t="str">
        <f>Market_currency</f>
        <v>HKD</v>
      </c>
      <c r="E57" s="365"/>
      <c r="F57" s="365"/>
    </row>
    <row r="58" spans="2:6">
      <c r="B58" s="100" t="s">
        <v>147</v>
      </c>
      <c r="C58" s="165">
        <v>0.05</v>
      </c>
      <c r="D58" s="165"/>
      <c r="E58" s="365"/>
      <c r="F58" s="365"/>
    </row>
    <row r="60" spans="2:6" ht="13.15">
      <c r="B60" s="100" t="s">
        <v>120</v>
      </c>
      <c r="C60" s="154">
        <f>C51*C52+C57*C58+C42*(1-C52-C58)</f>
        <v>25.532575386723515</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20</v>
      </c>
      <c r="D64" s="150"/>
      <c r="E64" s="251" t="s">
        <v>395</v>
      </c>
    </row>
    <row r="65" spans="2:6">
      <c r="B65" s="118" t="s">
        <v>134</v>
      </c>
      <c r="C65" s="151">
        <v>5.4247061515052201E-2</v>
      </c>
      <c r="D65" s="151"/>
      <c r="E65" s="251" t="s">
        <v>312</v>
      </c>
    </row>
    <row r="66" spans="2:6">
      <c r="B66" s="100" t="s">
        <v>102</v>
      </c>
      <c r="C66" s="160">
        <f>IF(valuation_method="DCF",DCF!C18,DDM!C13)</f>
        <v>25.480297256537359</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0.21027555932654715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0.53654295137340957</v>
      </c>
      <c r="D77" t="str">
        <f>Market_currency</f>
        <v>HKD</v>
      </c>
    </row>
    <row r="79" spans="2:6" ht="13.15">
      <c r="B79" s="109" t="s">
        <v>301</v>
      </c>
    </row>
    <row r="80" spans="2:6">
      <c r="B80" s="148" t="s">
        <v>299</v>
      </c>
      <c r="C80" s="167">
        <f>Thesis!F29</f>
        <v>0.3674</v>
      </c>
    </row>
    <row r="81" spans="2:8">
      <c r="B81" s="100" t="s">
        <v>121</v>
      </c>
      <c r="C81" s="116">
        <f>PV(C80, C76, -C77, 0)</f>
        <v>0.88919080640310932</v>
      </c>
      <c r="D81" s="116"/>
      <c r="E81" s="100"/>
      <c r="F81" s="100"/>
    </row>
    <row r="82" spans="2:8">
      <c r="B82" s="100" t="s">
        <v>122</v>
      </c>
      <c r="C82" s="116">
        <f>C60/(1+C80)^C76</f>
        <v>9.9863755952394584</v>
      </c>
      <c r="D82" s="116"/>
    </row>
    <row r="83" spans="2:8" ht="13.15">
      <c r="B83" s="110" t="s">
        <v>101</v>
      </c>
      <c r="C83" s="111">
        <f>C81+C82</f>
        <v>10.875566401642567</v>
      </c>
      <c r="D83" t="str">
        <f>Market_currency</f>
        <v>HKD</v>
      </c>
      <c r="E83" s="146" t="s">
        <v>126</v>
      </c>
      <c r="F83" s="291">
        <f>(1-C83/C60)</f>
        <v>0.57405133493514837</v>
      </c>
    </row>
    <row r="84" spans="2:8">
      <c r="E84" s="120"/>
    </row>
    <row r="85" spans="2:8" ht="13.15">
      <c r="B85" s="109" t="s">
        <v>302</v>
      </c>
    </row>
    <row r="86" spans="2:8">
      <c r="B86" s="148" t="s">
        <v>300</v>
      </c>
      <c r="C86" s="116">
        <f>Market_Price</f>
        <v>14.98</v>
      </c>
      <c r="D86" t="str">
        <f>Market_currency</f>
        <v>HKD</v>
      </c>
    </row>
    <row r="87" spans="2:8" ht="13.15">
      <c r="B87" s="100" t="s">
        <v>298</v>
      </c>
      <c r="C87" s="237">
        <f ca="1">IRR(OFFSET($I$3, 0, 0, $C$76 + 1, 1))</f>
        <v>0.22491330216214434</v>
      </c>
    </row>
    <row r="88" spans="2:8">
      <c r="B88" s="100"/>
    </row>
    <row r="89" spans="2:8" ht="13.15">
      <c r="B89" s="109" t="s">
        <v>412</v>
      </c>
    </row>
    <row r="90" spans="2:8">
      <c r="B90" s="148" t="s">
        <v>413</v>
      </c>
      <c r="C90" s="167">
        <f>Thesis!F30</f>
        <v>0.21740000000000001</v>
      </c>
    </row>
    <row r="91" spans="2:8">
      <c r="B91" s="100" t="s">
        <v>121</v>
      </c>
      <c r="C91" s="116">
        <f>PV(C90, C76, -C77, 0)</f>
        <v>1.1001281095349638</v>
      </c>
      <c r="D91" s="116"/>
      <c r="E91" s="100"/>
      <c r="F91" s="100"/>
    </row>
    <row r="92" spans="2:8">
      <c r="B92" s="100" t="s">
        <v>122</v>
      </c>
      <c r="C92" s="116">
        <f>C60/(1+C90)^C76</f>
        <v>14.151247628272246</v>
      </c>
      <c r="D92" s="116"/>
    </row>
    <row r="93" spans="2:8" ht="13.15">
      <c r="B93" s="110" t="s">
        <v>101</v>
      </c>
      <c r="C93" s="111">
        <f>C91+C92</f>
        <v>15.25137573780721</v>
      </c>
      <c r="D93" t="str">
        <f>Market_currency</f>
        <v>HKD</v>
      </c>
      <c r="E93" s="146" t="s">
        <v>126</v>
      </c>
      <c r="F93" s="291">
        <f>(1-C93/C60)</f>
        <v>0.40266990278866832</v>
      </c>
    </row>
    <row r="95" spans="2:8" ht="13.15">
      <c r="B95" s="109" t="s">
        <v>397</v>
      </c>
      <c r="G95" s="2"/>
      <c r="H95" s="281"/>
    </row>
    <row r="96" spans="2:8">
      <c r="B96" s="148" t="s">
        <v>403</v>
      </c>
      <c r="C96" s="134">
        <f>Thesis!F31</f>
        <v>7.4999999999999997E-2</v>
      </c>
      <c r="G96" s="2"/>
      <c r="H96" s="281"/>
    </row>
    <row r="97" spans="2:8">
      <c r="B97" s="100" t="s">
        <v>121</v>
      </c>
      <c r="C97" s="116">
        <f>PV(C96, C76, -C77, 0)</f>
        <v>1.3952937555934208</v>
      </c>
      <c r="D97" s="116"/>
      <c r="G97" s="2"/>
      <c r="H97" s="281"/>
    </row>
    <row r="98" spans="2:8">
      <c r="B98" s="100" t="s">
        <v>122</v>
      </c>
      <c r="C98" s="116">
        <f>C60/(1+C96)^C76</f>
        <v>20.552716424343835</v>
      </c>
      <c r="D98" s="116"/>
      <c r="G98" s="2"/>
      <c r="H98" s="281"/>
    </row>
    <row r="99" spans="2:8" ht="13.15">
      <c r="B99" s="110" t="s">
        <v>398</v>
      </c>
      <c r="C99" s="111">
        <f>C97+C98</f>
        <v>21.948010179937256</v>
      </c>
      <c r="D99" t="s">
        <v>396</v>
      </c>
      <c r="E99" s="146" t="s">
        <v>126</v>
      </c>
      <c r="F99" s="291">
        <f>(1-C99/C60)</f>
        <v>0.14039183875866157</v>
      </c>
    </row>
    <row r="100" spans="2:8">
      <c r="B100" s="100"/>
    </row>
    <row r="101" spans="2:8" ht="13.15">
      <c r="B101" s="109" t="s">
        <v>422</v>
      </c>
    </row>
    <row r="102" spans="2:8">
      <c r="B102" s="148" t="s">
        <v>421</v>
      </c>
      <c r="C102" s="134">
        <f>Thesis!F32</f>
        <v>0.1174</v>
      </c>
    </row>
    <row r="103" spans="2:8">
      <c r="B103" s="100" t="s">
        <v>121</v>
      </c>
      <c r="C103" s="116">
        <f>PV(C102, C76, -C77, 0)</f>
        <v>1.2944652016838365</v>
      </c>
      <c r="D103" s="116"/>
    </row>
    <row r="104" spans="2:8">
      <c r="B104" s="100" t="s">
        <v>122</v>
      </c>
      <c r="C104" s="116">
        <f>C60/(1+C102)^C76</f>
        <v>18.300738768868023</v>
      </c>
      <c r="D104" s="116"/>
    </row>
    <row r="105" spans="2:8" ht="13.15">
      <c r="B105" s="110" t="s">
        <v>398</v>
      </c>
      <c r="C105" s="111">
        <f>C103+C104</f>
        <v>19.595203970551857</v>
      </c>
      <c r="D105" t="s">
        <v>396</v>
      </c>
      <c r="E105" s="146" t="s">
        <v>126</v>
      </c>
      <c r="F105" s="291">
        <f>(1-C105/C66)</f>
        <v>0.23096642973721948</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