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9854A39-8EC2-4448-86EC-0078F299E10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E118" i="6" l="1"/>
  <c r="F118" i="12"/>
  <c r="F84" i="8"/>
  <c r="F85"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12" l="1"/>
  <c r="B120" i="12"/>
  <c r="B118" i="12"/>
  <c r="B121" i="12"/>
  <c r="B119" i="12"/>
  <c r="C88" i="3"/>
  <c r="D88" i="3" s="1"/>
  <c r="C89" i="12"/>
  <c r="C90" i="12" s="1"/>
  <c r="F83" i="8"/>
  <c r="D82" i="8"/>
  <c r="B118" i="6" s="1"/>
  <c r="F55" i="8"/>
  <c r="F68" i="8" s="1"/>
  <c r="C118" i="6"/>
  <c r="C89" i="6"/>
  <c r="C90" i="6" s="1"/>
  <c r="G65" i="2"/>
  <c r="C57" i="2" l="1"/>
  <c r="D118" i="12"/>
  <c r="E119" i="6"/>
  <c r="F119" i="12"/>
  <c r="C85" i="8"/>
  <c r="C121" i="12" s="1"/>
  <c r="D24" i="9"/>
  <c r="D86" i="8"/>
  <c r="B122" i="6" s="1"/>
  <c r="D23" i="9"/>
  <c r="C84" i="8"/>
  <c r="C120" i="12" s="1"/>
  <c r="C86" i="8"/>
  <c r="C122" i="12" s="1"/>
  <c r="D83" i="8"/>
  <c r="B119" i="6" s="1"/>
  <c r="C83" i="8"/>
  <c r="C119" i="12" s="1"/>
  <c r="C15" i="8"/>
  <c r="B51" i="8" s="1"/>
  <c r="Q95" i="2"/>
  <c r="A79" i="8"/>
  <c r="A78" i="8"/>
  <c r="D122" i="12" l="1"/>
  <c r="D119" i="12"/>
  <c r="D85" i="8"/>
  <c r="B121" i="6" s="1"/>
  <c r="D84" i="8"/>
  <c r="B120" i="6" s="1"/>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7" i="9"/>
  <c r="C62" i="9"/>
  <c r="C63"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B74" i="8"/>
  <c r="E72" i="8"/>
  <c r="F71" i="8"/>
  <c r="D73" i="8"/>
  <c r="D72" i="8"/>
  <c r="C74" i="8"/>
  <c r="C71" i="8"/>
  <c r="F72" i="8"/>
  <c r="B72" i="8"/>
  <c r="E73" i="8"/>
  <c r="D74" i="8"/>
  <c r="C72" i="8"/>
  <c r="F73" i="8"/>
  <c r="B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D122" i="6"/>
  <c r="E122" i="12"/>
  <c r="E30" i="9"/>
  <c r="G29" i="8"/>
  <c r="I29" i="8" s="1"/>
  <c r="C30" i="8"/>
  <c r="C31" i="8" s="1"/>
  <c r="G23" i="8"/>
  <c r="I23" i="8" s="1"/>
  <c r="G22" i="8"/>
  <c r="I22" i="8" s="1"/>
  <c r="G24" i="8"/>
  <c r="I24" i="8" s="1"/>
  <c r="G25" i="8"/>
  <c r="I25" i="8" s="1"/>
  <c r="C46" i="12"/>
  <c r="C11" i="2"/>
  <c r="C12" i="2" s="1"/>
  <c r="C46" i="6"/>
  <c r="C76" i="2"/>
  <c r="J1" i="2"/>
  <c r="K1" i="2" s="1"/>
  <c r="L1" i="2" s="1"/>
  <c r="M1" i="2" s="1"/>
  <c r="N1" i="2" s="1"/>
  <c r="O1" i="2" s="1"/>
  <c r="P1" i="2" s="1"/>
  <c r="Q1" i="2" s="1"/>
  <c r="J29" i="8" l="1"/>
  <c r="J28" i="8"/>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0" i="6"/>
  <c r="F121" i="6"/>
  <c r="F119"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<sst xmlns="http://schemas.openxmlformats.org/spreadsheetml/2006/main" count="766" uniqueCount="557">
  <si>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</si>
  <si>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</si>
  <si>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</si>
  <si>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</si>
  <si>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</si>
  <si>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</si>
  <si>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</si>
  <si>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</si>
  <si>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</si>
  <si>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</si>
  <si>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</si>
  <si>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</si>
  <si>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</si>
  <si>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</si>
  <si>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</si>
  <si>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</si>
  <si>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</si>
  <si>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</si>
  <si>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</si>
  <si>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</si>
  <si>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</si>
  <si>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</si>
  <si>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</si>
  <si>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</si>
  <si>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</si>
  <si>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</si>
  <si>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</si>
  <si>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</si>
  <si>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</si>
  <si>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</si>
  <si>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</si>
  <si>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</si>
  <si>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</si>
  <si>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</si>
  <si>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</si>
  <si>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</si>
  <si>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</si>
  <si>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</si>
  <si>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</si>
  <si>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</si>
  <si>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</si>
  <si>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</si>
  <si>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</si>
  <si>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</si>
  <si>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</si>
  <si>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</si>
  <si>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</si>
  <si>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</si>
  <si>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</si>
  <si>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</si>
  <si>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</si>
  <si>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</si>
  <si>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</si>
  <si>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</si>
  <si>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</si>
  <si>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</si>
  <si>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</si>
  <si>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</si>
  <si>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</si>
  <si>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</si>
  <si>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</si>
  <si>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</si>
  <si>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</si>
  <si>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</si>
  <si>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</si>
  <si>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</si>
  <si>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</si>
  <si>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</si>
  <si>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</si>
  <si>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</si>
  <si>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</si>
  <si>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</si>
  <si>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</si>
  <si>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</si>
  <si>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</si>
  <si>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</si>
  <si>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</si>
  <si>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</si>
  <si>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</si>
  <si>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</si>
  <si>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</si>
  <si>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</si>
  <si>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</si>
  <si>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</si>
  <si>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</si>
  <si>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</si>
  <si>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</si>
  <si>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</si>
  <si>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</si>
  <si>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</si>
  <si>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</si>
  <si>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</si>
  <si>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</si>
  <si>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</si>
  <si>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</si>
  <si>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</si>
  <si>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</si>
  <si>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</si>
  <si>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</si>
  <si>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</si>
  <si>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</si>
  <si>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</si>
  <si>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</si>
  <si>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</si>
  <si>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</si>
  <si>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</si>
  <si>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</si>
  <si>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</si>
  <si>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</si>
  <si>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</si>
  <si>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</si>
  <si>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</si>
  <si>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</si>
  <si>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</si>
  <si>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</si>
  <si>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</si>
  <si>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</si>
  <si>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</si>
  <si>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</si>
  <si>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</si>
  <si>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</si>
  <si>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</si>
  <si>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</si>
  <si>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</si>
  <si>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</si>
  <si>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</si>
  <si>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</si>
  <si>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</si>
  <si>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</si>
  <si>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</si>
  <si>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</si>
  <si>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</si>
  <si>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</si>
  <si>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</si>
  <si>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</si>
  <si>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</si>
  <si>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</si>
  <si>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</si>
  <si>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</si>
  <si>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</si>
  <si>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</si>
  <si>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</si>
  <si>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</si>
  <si>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</si>
  <si>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</si>
  <si>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</si>
  <si>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</si>
  <si>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</si>
  <si>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</si>
  <si>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</si>
  <si>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</si>
  <si>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</si>
  <si>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</si>
  <si>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</si>
  <si>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</si>
  <si>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</si>
  <si>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</si>
  <si>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</si>
  <si>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</si>
  <si>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</si>
  <si>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</si>
  <si>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</si>
  <si>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</si>
  <si>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</si>
  <si>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</si>
  <si>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</si>
  <si>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</si>
  <si>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</si>
  <si>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</si>
  <si>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</si>
  <si>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</si>
  <si>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</si>
  <si>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</si>
  <si>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</si>
  <si>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</si>
  <si>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</si>
  <si>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</si>
  <si>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</si>
  <si>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</si>
  <si>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</si>
  <si>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</si>
  <si>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</si>
  <si>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</si>
  <si>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</si>
  <si>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</si>
  <si>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</si>
  <si>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</si>
  <si>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</si>
  <si>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</si>
  <si>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</si>
  <si>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</si>
  <si>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</si>
  <si>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</si>
  <si>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</si>
  <si>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</si>
  <si>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</si>
  <si>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</si>
  <si>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</si>
  <si>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</si>
  <si>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</si>
  <si>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</si>
  <si>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</si>
  <si>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</si>
  <si>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</si>
  <si>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</si>
  <si>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</si>
  <si>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</si>
  <si>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</si>
  <si>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</si>
  <si>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</si>
  <si>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</si>
  <si>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</si>
  <si>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</si>
  <si>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</si>
  <si>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</si>
  <si>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</si>
  <si>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</si>
  <si>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</si>
  <si>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</si>
  <si>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</si>
  <si>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</si>
  <si>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</si>
  <si>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</si>
  <si>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</si>
  <si>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</si>
  <si>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</si>
  <si>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</si>
  <si>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</si>
  <si>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</si>
  <si>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</si>
  <si>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</si>
  <si>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</si>
  <si>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</si>
  <si>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</si>
  <si>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</si>
  <si>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</si>
  <si>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</si>
  <si>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</si>
  <si>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</si>
  <si>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</si>
  <si>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</si>
  <si>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</si>
  <si>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</si>
  <si>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</si>
  <si>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</si>
  <si>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</si>
  <si>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</si>
  <si>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</si>
  <si>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</si>
  <si>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</si>
  <si>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</si>
  <si>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</si>
  <si>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</si>
  <si>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</si>
  <si>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</si>
  <si>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</si>
  <si>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</si>
  <si>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</si>
  <si>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</si>
  <si>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</si>
  <si>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</si>
  <si>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</si>
  <si>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</si>
  <si>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</si>
  <si>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</si>
  <si>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</si>
  <si>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</si>
  <si>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</si>
  <si>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</si>
  <si>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</si>
  <si>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</si>
  <si>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</si>
  <si>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</si>
  <si>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</si>
  <si>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</si>
  <si>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</si>
  <si>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</si>
  <si>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</si>
  <si>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</si>
  <si>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</si>
  <si>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</si>
  <si>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</si>
  <si>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</si>
  <si>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</si>
  <si>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</si>
  <si>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</si>
  <si>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</si>
  <si>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</si>
  <si>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</si>
  <si>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</si>
  <si>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</si>
  <si>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</si>
  <si>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</si>
  <si>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</si>
  <si>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</si>
  <si>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</si>
  <si>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</si>
  <si>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</si>
  <si>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</si>
  <si>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</si>
  <si>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</si>
  <si>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</si>
  <si>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</si>
  <si>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</si>
  <si>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</si>
  <si>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</si>
  <si>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</si>
  <si>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</si>
  <si>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</si>
  <si>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</si>
  <si>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</si>
  <si>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</si>
  <si>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</si>
  <si>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</si>
  <si>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</si>
  <si>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</si>
  <si>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</si>
  <si>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</si>
  <si>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</si>
  <si>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</si>
  <si>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</si>
  <si>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</si>
  <si>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</si>
  <si>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</si>
  <si>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</si>
  <si>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</si>
  <si>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</si>
  <si>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</si>
  <si>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</si>
  <si>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</si>
  <si>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</si>
  <si>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</si>
  <si>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</si>
  <si>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</si>
  <si>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</si>
  <si>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</si>
  <si>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</si>
  <si>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</si>
  <si>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</si>
  <si>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</si>
  <si>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</si>
  <si>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</si>
  <si>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</si>
  <si>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</si>
  <si>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</si>
  <si>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</si>
  <si>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</si>
  <si>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</si>
  <si>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</si>
  <si>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</si>
  <si>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</si>
  <si>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</si>
  <si>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</si>
  <si>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</si>
  <si>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</si>
  <si>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</si>
  <si>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</si>
  <si>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</si>
  <si>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</si>
  <si>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</si>
  <si>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</si>
  <si>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</si>
  <si>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</si>
  <si>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</si>
  <si>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</si>
  <si>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</si>
  <si>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</si>
  <si>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</si>
  <si>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</si>
  <si>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</si>
  <si>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</si>
  <si>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</si>
  <si>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</si>
  <si>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</si>
  <si>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</si>
  <si>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</si>
  <si>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</si>
  <si>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</si>
  <si>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</si>
  <si>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</si>
  <si>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</si>
  <si>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</si>
  <si>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</si>
  <si>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</si>
  <si>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</si>
  <si>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</si>
  <si>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</si>
  <si>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</si>
  <si>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</si>
  <si>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</si>
  <si>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</si>
  <si>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</si>
  <si>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</si>
  <si>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</si>
  <si>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</si>
  <si>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</si>
  <si>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</si>
  <si>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</si>
  <si>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</si>
  <si>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</si>
  <si>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</si>
  <si>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</si>
  <si>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</si>
  <si>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</si>
  <si>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</si>
  <si>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</si>
  <si>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</si>
  <si>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</si>
  <si>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</si>
  <si>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</si>
  <si>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</si>
  <si>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</si>
  <si>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</si>
  <si>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</si>
  <si>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</si>
  <si>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</si>
  <si>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</si>
  <si>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</si>
  <si>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</si>
  <si>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</si>
  <si>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</si>
  <si>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</si>
  <si>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</si>
  <si>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</si>
  <si>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</si>
  <si>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</si>
  <si>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</si>
  <si>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</si>
  <si>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</si>
  <si>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</si>
  <si>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</si>
  <si>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</si>
  <si>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</si>
  <si>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</si>
  <si>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</si>
  <si>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</si>
  <si>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</si>
  <si>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</si>
  <si>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</si>
  <si>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</si>
  <si>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</si>
  <si>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</si>
  <si>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</si>
  <si>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</si>
  <si>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</si>
  <si>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</si>
  <si>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</si>
  <si>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</si>
  <si>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</si>
  <si>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</si>
  <si>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</si>
  <si>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</si>
  <si>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</si>
  <si>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</si>
  <si>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</si>
  <si>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</si>
  <si>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</si>
  <si>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</si>
  <si>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</si>
  <si>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</si>
  <si>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</si>
  <si>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</si>
  <si>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</si>
  <si>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</si>
  <si>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</si>
  <si>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</si>
  <si>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</si>
  <si>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</si>
  <si>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</si>
  <si>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</si>
  <si>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</si>
  <si>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</si>
  <si>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</si>
  <si>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</si>
  <si>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</si>
  <si>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</si>
  <si>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</si>
  <si>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</si>
  <si>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</si>
  <si>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</si>
  <si>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</si>
  <si>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</si>
  <si>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</si>
  <si>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</si>
  <si>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</si>
  <si>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</si>
  <si>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</si>
  <si>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</si>
  <si>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</si>
  <si>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</si>
  <si>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</si>
  <si>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</si>
  <si>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</si>
  <si>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</si>
  <si>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</si>
  <si>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</si>
  <si>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</si>
  <si>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</si>
  <si>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</si>
  <si>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</si>
  <si>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</si>
  <si>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</si>
  <si>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</si>
  <si>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</si>
  <si>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</si>
  <si>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</si>
  <si>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</si>
  <si>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</si>
  <si>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</si>
  <si>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</si>
  <si>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</si>
  <si>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</si>
  <si>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</si>
  <si>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</si>
  <si>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</si>
  <si>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</si>
  <si>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</si>
  <si>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</si>
  <si>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</si>
  <si>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</si>
  <si>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</si>
  <si>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</si>
  <si>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</si>
  <si>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</si>
  <si>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</si>
  <si>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</si>
  <si>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</si>
  <si>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</si>
  <si>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</si>
  <si>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</si>
  <si>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</si>
  <si>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</si>
  <si>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</si>
  <si>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</si>
  <si>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</si>
  <si>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</si>
  <si>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</si>
  <si>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</si>
  <si>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</si>
  <si>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</si>
  <si>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</si>
  <si>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</si>
  <si>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</si>
  <si>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</si>
  <si>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</si>
  <si>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</si>
  <si>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</si>
  <si>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</si>
  <si>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</si>
  <si>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</si>
  <si>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Implied Return</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</si>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</sst>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09" zoomScaleNormal="100" workbookViewId="0">
      <selection activeCell="F117" sqref="F11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551</v>
      </c>
      <c r="E4" s="435" t="s">
        <v>540</v>
      </c>
      <c r="F4" s="436" t="s">
        <v>324</v>
      </c>
    </row>
    <row r="5" spans="1:9">
      <c r="B5" s="1" t="s">
        <v>349</v>
      </c>
      <c r="C5" s="46" t="s">
        <v>552</v>
      </c>
      <c r="E5" s="438" t="s">
        <v>542</v>
      </c>
      <c r="F5" s="437" t="s">
        <v>500</v>
      </c>
    </row>
    <row r="6" spans="1:9">
      <c r="B6" s="2" t="s">
        <v>53</v>
      </c>
      <c r="C6" s="45" t="s">
        <v>553</v>
      </c>
      <c r="D6" s="45"/>
      <c r="E6" s="45"/>
    </row>
    <row r="7" spans="1:9">
      <c r="B7" s="1" t="s">
        <v>351</v>
      </c>
      <c r="C7" s="45" t="s">
        <v>308</v>
      </c>
      <c r="D7" s="45"/>
      <c r="E7" s="45"/>
    </row>
    <row r="8" spans="1:9">
      <c r="B8" s="4" t="s">
        <v>350</v>
      </c>
      <c r="C8" s="47">
        <v>16.899999999999999</v>
      </c>
      <c r="E8" s="32"/>
    </row>
    <row r="9" spans="1:9">
      <c r="B9" s="4" t="s">
        <v>346</v>
      </c>
      <c r="C9" s="48">
        <v>2584811005</v>
      </c>
    </row>
    <row r="10" spans="1:9">
      <c r="B10" s="4" t="s">
        <v>352</v>
      </c>
      <c r="C10" s="33">
        <f>Thesis!C8*Common_Shares/1000000</f>
        <v>43683.305984500003</v>
      </c>
      <c r="D10" s="1" t="s">
        <v>531</v>
      </c>
      <c r="E10" s="307">
        <f>Scenarios!F34</f>
        <v>0.16329586530856066</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554</v>
      </c>
      <c r="D15" s="4" t="s">
        <v>353</v>
      </c>
      <c r="E15" s="256" t="str">
        <f>IF(E17=C7,C7,E17&amp;"/"&amp;C7)</f>
        <v>CNY/HKD</v>
      </c>
    </row>
    <row r="16" spans="1:9">
      <c r="B16" s="1" t="s">
        <v>320</v>
      </c>
      <c r="C16" s="422" t="s">
        <v>554</v>
      </c>
      <c r="D16" s="4" t="s">
        <v>354</v>
      </c>
      <c r="E16" s="421">
        <v>1.09146385</v>
      </c>
    </row>
    <row r="17" spans="1:6">
      <c r="B17" s="1" t="s">
        <v>535</v>
      </c>
      <c r="C17" s="420">
        <v>0</v>
      </c>
      <c r="D17" s="4" t="s">
        <v>274</v>
      </c>
      <c r="E17" s="224" t="s">
        <v>546</v>
      </c>
    </row>
    <row r="18" spans="1:6">
      <c r="B18" s="1" t="str">
        <f>"Expected Equity Value ("&amp;C7&amp;") :"</f>
        <v>Expected Equity Value (HKD) :</v>
      </c>
      <c r="C18" s="255">
        <f>C125</f>
        <v>24.720483350307113</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12.372351671972638</v>
      </c>
      <c r="D22" s="38" t="s">
        <v>408</v>
      </c>
      <c r="E22" s="79">
        <v>0.29465259038036606</v>
      </c>
    </row>
    <row r="23" spans="1:6">
      <c r="B23" s="1" t="s">
        <v>313</v>
      </c>
      <c r="C23" s="259">
        <f>E141</f>
        <v>15.406292663593069</v>
      </c>
      <c r="D23" s="38" t="s">
        <v>409</v>
      </c>
      <c r="E23" s="448">
        <v>0.20075184365903009</v>
      </c>
    </row>
    <row r="24" spans="1:6">
      <c r="B24" s="1" t="s">
        <v>315</v>
      </c>
      <c r="C24" s="259">
        <f>E144</f>
        <v>19.011322122710993</v>
      </c>
      <c r="D24" s="38" t="s">
        <v>410</v>
      </c>
      <c r="E24" s="448">
        <v>0.1174</v>
      </c>
    </row>
    <row r="25" spans="1:6">
      <c r="B25" s="1" t="s">
        <v>314</v>
      </c>
      <c r="C25" s="259">
        <f>E145</f>
        <v>21.438188417100925</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3094829.9447862767</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24452.546298984489</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-82186.233701015502</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-753160.92777131533</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2525691.1421582527</v>
      </c>
      <c r="D60" s="1" t="str">
        <f>Reporting_currency</f>
        <v>CNY</v>
      </c>
    </row>
    <row r="61" spans="2:6">
      <c r="B61" s="44" t="s">
        <v>213</v>
      </c>
      <c r="C61" s="289">
        <f>Normalized_FCF!C19</f>
        <v>2259482.7833139459</v>
      </c>
      <c r="D61" s="1" t="str">
        <f>Reporting_currency</f>
        <v>CNY</v>
      </c>
    </row>
    <row r="62" spans="2:6">
      <c r="B62" s="204" t="s">
        <v>302</v>
      </c>
      <c r="C62" s="89">
        <f>Normalized_FCF!C124</f>
        <v>5.6455062685951664E-2</v>
      </c>
      <c r="F62" s="260"/>
    </row>
    <row r="63" spans="2:6">
      <c r="B63" s="204" t="s">
        <v>332</v>
      </c>
      <c r="C63" s="89">
        <f>Normalized_FCF!C92</f>
        <v>3.17037987981535E-2</v>
      </c>
      <c r="E63" s="44" t="s">
        <v>322</v>
      </c>
      <c r="F63" s="261">
        <f>Normalized_FCF!C90</f>
        <v>0.61293971965544847</v>
      </c>
    </row>
    <row r="65" spans="1:6">
      <c r="B65" s="192" t="s">
        <v>325</v>
      </c>
      <c r="C65" s="267" t="s">
        <v>327</v>
      </c>
      <c r="D65" s="267" t="s">
        <v>328</v>
      </c>
    </row>
    <row r="66" spans="1:6">
      <c r="B66" s="44" t="s">
        <v>326</v>
      </c>
      <c r="C66" s="89">
        <f>Normalized_FCF!C119</f>
        <v>0.11088658961567498</v>
      </c>
      <c r="D66" s="89">
        <f>Normalized_FCF!G119</f>
        <v>0.13332927506517345</v>
      </c>
    </row>
    <row r="67" spans="1:6">
      <c r="B67" s="229" t="str">
        <f>Normalized_FCF!B116</f>
        <v>Pre-tax Profit/Sales</v>
      </c>
      <c r="C67" s="266">
        <f>Normalized_FCF!C116</f>
        <v>0.11515143912978261</v>
      </c>
      <c r="D67" s="266">
        <f>Normalized_FCF!G116</f>
        <v>0.12632261261441471</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-1777313</v>
      </c>
      <c r="D78" s="1" t="str">
        <f>Reporting_currency</f>
        <v>CNY</v>
      </c>
    </row>
    <row r="79" spans="1:6">
      <c r="A79" s="191"/>
      <c r="B79" s="44" t="s">
        <v>234</v>
      </c>
      <c r="C79" s="201">
        <f>C78*scaling_factor*Exchange_Rate/Common_Shares</f>
        <v>-0.75048925661590105</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15115431.616835918</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6.3826512480062174</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0.70463842699937751</v>
      </c>
      <c r="D90" s="1" t="str">
        <f>Market_currency</f>
        <v>HKD</v>
      </c>
    </row>
    <row r="91" spans="1:6">
      <c r="A91" s="191"/>
    </row>
    <row r="92" spans="1:6">
      <c r="A92" s="191"/>
      <c r="B92" s="44" t="s">
        <v>472</v>
      </c>
      <c r="C92" s="216">
        <f>DCF!F8</f>
        <v>6.3368004183896947</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5.4442671220218921</v>
      </c>
      <c r="D111" s="1" t="str">
        <f>Market_currency</f>
        <v>HKD</v>
      </c>
    </row>
    <row r="112" spans="2:6">
      <c r="B112" s="44" t="s">
        <v>323</v>
      </c>
      <c r="C112" s="216">
        <f>DCF!C11</f>
        <v>19.496670203114981</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550</v>
      </c>
    </row>
    <row r="118" spans="2:6">
      <c r="B118" s="205" t="str">
        <f>DCF!B82&amp;" ("&amp;DCF!D82&amp;"yrs)"</f>
        <v>Snowball Scenario (10yrs)</v>
      </c>
      <c r="C118" s="206">
        <f>DCF!C82</f>
        <v>0.1</v>
      </c>
      <c r="D118" s="207" t="str">
        <f>ROUND(DCF!E82,2)&amp;" "&amp;Market_currency</f>
        <v>34.69 HKD</v>
      </c>
      <c r="E118" s="208">
        <f>DCF!F82</f>
        <v>0.05</v>
      </c>
      <c r="F118" s="208">
        <f>RATE(Holding_Period,Scenarios!C$58,-DCF!E82,C$18)</f>
        <v>-8.9428495630193852E-2</v>
      </c>
    </row>
    <row r="119" spans="2:6">
      <c r="B119" s="205" t="str">
        <f>DCF!B83&amp;" ("&amp;DCF!D83&amp;"yrs)"</f>
        <v>Optimistic (10yrs)</v>
      </c>
      <c r="C119" s="198">
        <f>DCF!C83</f>
        <v>0.06</v>
      </c>
      <c r="D119" s="207" t="str">
        <f>ROUND(DCF!E83,2)&amp;" "&amp;Market_currency</f>
        <v>27.2 HKD</v>
      </c>
      <c r="E119" s="199">
        <f>DCF!F83</f>
        <v>0.22499999999999992</v>
      </c>
      <c r="F119" s="208">
        <f>RATE(Holding_Period,Scenarios!C$58,-DCF!E83,C$18)</f>
        <v>-1.0970166585394353E-2</v>
      </c>
    </row>
    <row r="120" spans="2:6">
      <c r="B120" s="205" t="str">
        <f>DCF!B84&amp;" ("&amp;DCF!D84&amp;"yrs)"</f>
        <v>Base (10yrs)</v>
      </c>
      <c r="C120" s="198">
        <f>DCF!C84</f>
        <v>0.04</v>
      </c>
      <c r="D120" s="207" t="str">
        <f>ROUND(DCF!E84,2)&amp;" "&amp;Market_currency</f>
        <v>24.22 HKD</v>
      </c>
      <c r="E120" s="199">
        <f>DCF!F84</f>
        <v>0.495</v>
      </c>
      <c r="F120" s="208">
        <f>RATE(Holding_Period,Scenarios!C$58,-DCF!E84,C$18)</f>
        <v>2.876656066628119E-2</v>
      </c>
    </row>
    <row r="121" spans="2:6">
      <c r="B121" s="205" t="str">
        <f>DCF!B85&amp;" ("&amp;DCF!D85&amp;"yrs)"</f>
        <v>Pessimistic (10yrs)</v>
      </c>
      <c r="C121" s="198">
        <f>DCF!C85</f>
        <v>0.02</v>
      </c>
      <c r="D121" s="207" t="str">
        <f>ROUND(DCF!E85,2)&amp;" "&amp;Market_currency</f>
        <v>21.68 HKD</v>
      </c>
      <c r="E121" s="199">
        <f>DCF!F85</f>
        <v>0.18</v>
      </c>
      <c r="F121" s="208">
        <f>RATE(Holding_Period,Scenarios!C$58,-DCF!E85,C$18)</f>
        <v>6.846668561491992E-2</v>
      </c>
    </row>
    <row r="122" spans="2:6">
      <c r="B122" s="205" t="str">
        <f>DCF!B86&amp;" ("&amp;DCF!D86&amp;"yrs)"</f>
        <v>Devil's advocate (10yrs)</v>
      </c>
      <c r="C122" s="198">
        <f>DCF!C86</f>
        <v>0</v>
      </c>
      <c r="D122" s="207" t="str">
        <f>ROUND(DCF!E86,2)&amp;" "&amp;Market_currency</f>
        <v>19.5 HKD</v>
      </c>
      <c r="E122" s="199">
        <f>DCF!F86</f>
        <v>0.05</v>
      </c>
      <c r="F122" s="208">
        <f>RATE(Holding_Period,Scenarios!C$58,-DCF!E86,C$18)</f>
        <v>0.10781923783923177</v>
      </c>
    </row>
    <row r="124" spans="2:6">
      <c r="B124" s="459" t="s">
        <v>357</v>
      </c>
      <c r="C124" s="459"/>
      <c r="D124" s="459"/>
      <c r="E124" s="459"/>
      <c r="F124" s="459"/>
    </row>
    <row r="125" spans="2:6">
      <c r="B125" s="193" t="s">
        <v>218</v>
      </c>
      <c r="C125" s="197">
        <f>Scenarios!C36</f>
        <v>24.720483350307113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0.53579419968879405</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0.98042386077119992</v>
      </c>
      <c r="D140" s="337">
        <f>Scenarios!D62</f>
        <v>11.391927811201437</v>
      </c>
      <c r="E140" s="338">
        <f>Scenarios!E62</f>
        <v>12.372351671972638</v>
      </c>
      <c r="F140" s="339">
        <f>E22</f>
        <v>0.29465259038036606</v>
      </c>
    </row>
    <row r="141" spans="1:6">
      <c r="B141" s="340" t="s">
        <v>313</v>
      </c>
      <c r="C141" s="337">
        <f>Scenarios!C63</f>
        <v>1.1273131110690993</v>
      </c>
      <c r="D141" s="337">
        <f>Scenarios!D63</f>
        <v>14.278979552523969</v>
      </c>
      <c r="E141" s="338">
        <f>Scenarios!E63</f>
        <v>15.406292663593069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1.2926587610289813</v>
      </c>
      <c r="D144" s="337">
        <f>Scenarios!D66</f>
        <v>17.718663361682012</v>
      </c>
      <c r="E144" s="338">
        <f>Scenarios!E66</f>
        <v>19.011322122710993</v>
      </c>
      <c r="F144" s="339">
        <f>E24</f>
        <v>0.1174</v>
      </c>
    </row>
    <row r="145" spans="1:6">
      <c r="B145" s="340" t="s">
        <v>314</v>
      </c>
      <c r="C145" s="337">
        <f>Scenarios!C67</f>
        <v>1.3996954941299977</v>
      </c>
      <c r="D145" s="337">
        <f>Scenarios!D67</f>
        <v>20.038492922970928</v>
      </c>
      <c r="E145" s="338">
        <f>Scenarios!E67</f>
        <v>21.438188417100925</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0.53579419968879405</v>
      </c>
      <c r="D25" s="37"/>
      <c r="E25" s="37"/>
      <c r="F25" s="37"/>
      <c r="G25" s="37"/>
      <c r="H25" s="37"/>
      <c r="I25" s="37"/>
      <c r="J25" s="37"/>
      <c r="K25" s="37"/>
      <c r="L25" s="37"/>
      <c r="M25" s="37"/>
    </row>
    <row r="27" spans="2:13">
      <c r="B27" s="16" t="s">
        <v>26</v>
      </c>
      <c r="C27" s="94" t="s">
        <v>555</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0.53579419968879405</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11.472268650932973</v>
      </c>
      <c r="D47" s="134">
        <f>D46*H1/Common_Shares*Exchange_Rate</f>
        <v>5.4442671220218921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15115431.616835918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-2210940.0619808971</v>
      </c>
      <c r="D73" s="289">
        <f>(Normalized_FCF!C26+Normalized_FCF!C35-Normalized_FCF!C89)/12</f>
        <v>-2037712.1915820406</v>
      </c>
      <c r="F73" s="1" t="s">
        <v>278</v>
      </c>
    </row>
    <row r="74" spans="2:6" ht="15" customHeight="1">
      <c r="B74" s="227" t="s">
        <v>259</v>
      </c>
      <c r="C74" s="228">
        <f>-$C$66/C73</f>
        <v>8.6799530796895077</v>
      </c>
      <c r="D74" s="228">
        <f>-$C$66/D73</f>
        <v>9.4178442271087306</v>
      </c>
      <c r="F74" s="223" t="s">
        <v>257</v>
      </c>
    </row>
    <row r="75" spans="2:6" ht="15" customHeight="1">
      <c r="B75" s="77" t="s">
        <v>258</v>
      </c>
      <c r="C75" s="264"/>
      <c r="D75" s="265">
        <f>MAX(-D73*D76,G5)</f>
        <v>4075424.3831640813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1939872.88963505</v>
      </c>
      <c r="D86" s="201">
        <f>C86*scaling_factor/Common_Shares</f>
        <v>0.75048925661590105</v>
      </c>
      <c r="E86" s="214" t="str">
        <f>Market_currency</f>
        <v>HKD</v>
      </c>
    </row>
    <row r="87" spans="2:8" ht="15" customHeight="1">
      <c r="B87" s="212" t="s">
        <v>240</v>
      </c>
      <c r="C87" s="73">
        <f>DCF!F5*Exchange_Rate</f>
        <v>16497947.186923457</v>
      </c>
      <c r="D87" s="201">
        <f>C87*scaling_factor/Common_Shares</f>
        <v>6.3826512480062183</v>
      </c>
      <c r="E87" s="214" t="str">
        <f>Market_currency</f>
        <v>HKD</v>
      </c>
    </row>
    <row r="88" spans="2:8" ht="15" customHeight="1">
      <c r="B88" s="213" t="s">
        <v>159</v>
      </c>
      <c r="C88" s="73">
        <f>DCF!F6*Exchange_Rate</f>
        <v>1821357.1606538801</v>
      </c>
      <c r="D88" s="201">
        <f>C88*scaling_factor/Common_Shares</f>
        <v>0.70463842699937751</v>
      </c>
      <c r="E88" s="214" t="str">
        <f>Market_currency</f>
        <v>HKD</v>
      </c>
    </row>
    <row r="89" spans="2:8" ht="15" customHeight="1">
      <c r="B89" s="77" t="s">
        <v>244</v>
      </c>
      <c r="C89" s="162">
        <f>SUM(C86:C88)</f>
        <v>20259177.23721239</v>
      </c>
      <c r="D89" s="216">
        <f>SUM(D86:D88)</f>
        <v>7.8377789316214965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-82186.233701015502</v>
      </c>
      <c r="E10" s="238"/>
      <c r="G10" s="270">
        <f>G48</f>
        <v>-163205.85784174755</v>
      </c>
      <c r="H10" s="270">
        <f t="shared" ref="H10:Q10" si="6">H48</f>
        <v>-75146.514060494228</v>
      </c>
      <c r="I10" s="270">
        <f t="shared" si="6"/>
        <v>-25475.970092373624</v>
      </c>
      <c r="J10" s="270">
        <f t="shared" si="6"/>
        <v>-81644.791265383959</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3012643.7110852613</v>
      </c>
      <c r="E11" s="238"/>
      <c r="G11" s="271">
        <f t="shared" ref="G11:Q11" si="7">IF(G$4="","",SUM(G8:G10))</f>
        <v>3622382.1421582527</v>
      </c>
      <c r="H11" s="271">
        <f t="shared" si="7"/>
        <v>3318607.485939506</v>
      </c>
      <c r="I11" s="271">
        <f t="shared" si="7"/>
        <v>4232951.0299076261</v>
      </c>
      <c r="J11" s="271">
        <f t="shared" si="7"/>
        <v>4797923.2087346157</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-753160.92777131533</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2259482.7833139459</v>
      </c>
      <c r="D14" s="58"/>
      <c r="E14" s="246"/>
      <c r="F14" s="58"/>
      <c r="G14" s="271">
        <f t="shared" ref="G14:Q14" si="8">IF(G$4="","",SUM(G11:G13))</f>
        <v>2525691.1421582527</v>
      </c>
      <c r="H14" s="271">
        <f t="shared" si="8"/>
        <v>2249348.485939506</v>
      </c>
      <c r="I14" s="271">
        <f t="shared" si="8"/>
        <v>2881622.0299076261</v>
      </c>
      <c r="J14" s="271">
        <f t="shared" si="8"/>
        <v>3480567.2087346157</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2259482.7833139459</v>
      </c>
      <c r="D19" s="26"/>
      <c r="E19" s="235"/>
      <c r="F19" s="26"/>
      <c r="G19" s="275">
        <f t="shared" ref="G19:Q19" si="9">IF(G$4="","",G14+G17)</f>
        <v>2525691.1421582527</v>
      </c>
      <c r="H19" s="275">
        <f t="shared" si="9"/>
        <v>2249348.485939506</v>
      </c>
      <c r="I19" s="275">
        <f t="shared" si="9"/>
        <v>2881622.0299076261</v>
      </c>
      <c r="J19" s="275">
        <f t="shared" si="9"/>
        <v>3480567.2087346157</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0.30275408749298333</v>
      </c>
      <c r="H41" s="6">
        <f t="shared" si="16"/>
        <v>0.32218543606922073</v>
      </c>
      <c r="I41" s="6">
        <f t="shared" si="16"/>
        <v>0.31924040473236692</v>
      </c>
      <c r="J41" s="6">
        <f t="shared" si="16"/>
        <v>0.27456650360759571</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24452.546298984489</v>
      </c>
      <c r="E46" s="238"/>
      <c r="G46" s="278">
        <f t="shared" ref="G46:Q46" si="17">IFERROR(IF(G$4="","",($C$46/$C$47)*G47),0)</f>
        <v>91215.142158252449</v>
      </c>
      <c r="H46" s="278">
        <f t="shared" si="17"/>
        <v>106299.48593950577</v>
      </c>
      <c r="I46" s="278">
        <f t="shared" si="17"/>
        <v>95085.029907626376</v>
      </c>
      <c r="J46" s="278">
        <f t="shared" si="17"/>
        <v>30813.208734616044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-82186.233701015502</v>
      </c>
      <c r="E48" s="238"/>
      <c r="G48" s="271">
        <f>IF(G$4="","",(G45+G46))</f>
        <v>-163205.85784174755</v>
      </c>
      <c r="H48" s="271">
        <f t="shared" ref="H48:Q48" si="18">IF(H$4="","",(H45+H46))</f>
        <v>-75146.514060494228</v>
      </c>
      <c r="I48" s="271">
        <f t="shared" si="18"/>
        <v>-25475.970092373624</v>
      </c>
      <c r="J48" s="271">
        <f t="shared" si="18"/>
        <v>-81644.791265383959</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3.1413814559303976E-3</v>
      </c>
      <c r="D76" s="26"/>
      <c r="E76" s="235"/>
      <c r="F76" s="26"/>
      <c r="G76" s="6">
        <f t="shared" ref="G76:Q76" si="28">IF(G$4="","",ABS(G10/G$4))</f>
        <v>5.6914454487296956E-3</v>
      </c>
      <c r="H76" s="6">
        <f t="shared" si="28"/>
        <v>2.7228486535910324E-3</v>
      </c>
      <c r="I76" s="6">
        <f t="shared" si="28"/>
        <v>9.8731124102500924E-4</v>
      </c>
      <c r="J76" s="6">
        <f t="shared" si="28"/>
        <v>3.6170376961630044E-3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0.11515143912978261</v>
      </c>
      <c r="D77" s="26"/>
      <c r="E77" s="235"/>
      <c r="F77" s="26"/>
      <c r="G77" s="62">
        <f t="shared" ref="G77:Q77" si="29">IF(G$4="","",G11/G$4)</f>
        <v>0.12632261261441471</v>
      </c>
      <c r="H77" s="62">
        <f t="shared" si="29"/>
        <v>0.12024597598250955</v>
      </c>
      <c r="I77" s="62">
        <f t="shared" si="29"/>
        <v>0.16404635895640607</v>
      </c>
      <c r="J77" s="62">
        <f t="shared" si="29"/>
        <v>0.21255819067353521</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2.8787859782445652E-2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8.6363579347336947E-2</v>
      </c>
      <c r="D80" s="26"/>
      <c r="E80" s="235"/>
      <c r="F80" s="26"/>
      <c r="G80" s="62">
        <f t="shared" ref="G80:Q80" si="32">IF(G$4="","",ABS(G14/G$4))</f>
        <v>8.8077925302607954E-2</v>
      </c>
      <c r="H80" s="62">
        <f t="shared" si="32"/>
        <v>8.1502589614030202E-2</v>
      </c>
      <c r="I80" s="62">
        <f t="shared" si="32"/>
        <v>0.11167613292829184</v>
      </c>
      <c r="J80" s="62">
        <f t="shared" si="32"/>
        <v>0.15419652133227543</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556</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8.6363579347336947E-2</v>
      </c>
      <c r="D85" s="72"/>
      <c r="E85" s="235"/>
      <c r="F85" s="72"/>
      <c r="G85" s="62">
        <f t="shared" ref="G85:Q85" si="35">IF(G$4="","",ABS(G19/G$4))</f>
        <v>8.8077925302607954E-2</v>
      </c>
      <c r="H85" s="62">
        <f t="shared" si="35"/>
        <v>8.1502589614030202E-2</v>
      </c>
      <c r="I85" s="62">
        <f t="shared" si="35"/>
        <v>0.11167613292829184</v>
      </c>
      <c r="J85" s="62">
        <f t="shared" si="35"/>
        <v>0.15419652133227543</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0.53579419968879405</v>
      </c>
      <c r="E88" s="238"/>
      <c r="G88" s="109">
        <f>Data!C65</f>
        <v>0.53579419968879405</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1384926.7437707623</v>
      </c>
      <c r="E89" s="238"/>
      <c r="G89" s="71">
        <f t="shared" ref="G89:Q89" si="36">IF(G$4="","",G88*Common_Shares/scaling_factor)</f>
        <v>1384926.7437707623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0.61293971965544847</v>
      </c>
      <c r="E90" s="238"/>
      <c r="G90" s="152">
        <f t="shared" ref="G90:Q90" si="37">IF(G$4="","",G88/(G19*scaling_factor/Common_Shares))</f>
        <v>0.54833574883875758</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3.17037987981535E-2</v>
      </c>
      <c r="E92" s="238"/>
      <c r="G92" s="22">
        <f t="shared" ref="G92:Q92" si="38">IF(G$4="","",(G88*(1-dividend_tax_rate))/Market_Price)</f>
        <v>3.17037987981535E-2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-0.1683252641891898</v>
      </c>
      <c r="D96" s="26"/>
      <c r="E96" s="235"/>
      <c r="F96" s="26"/>
      <c r="G96" s="6">
        <f t="shared" ref="G96:Q96" si="40">IF(H5="","",G11/H11-1)</f>
        <v>9.1536783878719996E-2</v>
      </c>
      <c r="H96" s="6">
        <f t="shared" si="40"/>
        <v>-0.21600617099226715</v>
      </c>
      <c r="I96" s="6">
        <f t="shared" si="40"/>
        <v>-0.11775348504921013</v>
      </c>
      <c r="J96" s="6">
        <f t="shared" si="40"/>
        <v>1.4629300552266828</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2.0857399830362655</v>
      </c>
      <c r="H113" s="254">
        <f>IF(H$4="","",Data!D$22/H19)</f>
        <v>2.0841305957275655</v>
      </c>
      <c r="I113" s="254">
        <f>IF(I$4="","",Data!E$22/I19)</f>
        <v>1.3581253750081357</v>
      </c>
      <c r="J113" s="254">
        <f>IF(J$4="","",Data!F$22/J19)</f>
        <v>1.8747906903289855</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0.11515143912978261</v>
      </c>
      <c r="E116" s="238"/>
      <c r="G116" s="22">
        <f t="shared" ref="G116:Q116" si="44">IF(G4="","",G77)</f>
        <v>0.12632261261441471</v>
      </c>
      <c r="H116" s="22">
        <f t="shared" si="44"/>
        <v>0.12024597598250955</v>
      </c>
      <c r="I116" s="22">
        <f t="shared" si="44"/>
        <v>0.16404635895640607</v>
      </c>
      <c r="J116" s="22">
        <f t="shared" si="44"/>
        <v>0.21255819067353521</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0.11088658961567498</v>
      </c>
      <c r="D119" s="100"/>
      <c r="E119" s="241"/>
      <c r="F119" s="100"/>
      <c r="G119" s="99">
        <f t="shared" ref="G119:Q119" si="47">IF(G$4="","",G11/G104)</f>
        <v>0.13332927506517345</v>
      </c>
      <c r="H119" s="99">
        <f t="shared" si="47"/>
        <v>0.13597149587030455</v>
      </c>
      <c r="I119" s="99">
        <f t="shared" si="47"/>
        <v>0.17396693882653386</v>
      </c>
      <c r="J119" s="99">
        <f t="shared" si="47"/>
        <v>0.22734547397502372</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0.95409055939258325</v>
      </c>
      <c r="D123" s="26"/>
      <c r="E123" s="235"/>
      <c r="F123" s="26"/>
      <c r="G123" s="159">
        <f t="shared" ref="G123:Q123" si="48">IF(G$4="","",G14*$C$3/Common_Shares*Exchange_Rate)</f>
        <v>1.066499861149788</v>
      </c>
      <c r="H123" s="159">
        <f t="shared" si="48"/>
        <v>0.94981124488643387</v>
      </c>
      <c r="I123" s="159">
        <f t="shared" si="48"/>
        <v>1.2167954519397415</v>
      </c>
      <c r="J123" s="159">
        <f t="shared" si="48"/>
        <v>1.4697064034781286</v>
      </c>
      <c r="K123" s="159">
        <f t="shared" si="48"/>
        <v>0.59060492468574111</v>
      </c>
      <c r="L123" s="159">
        <f t="shared" si="48"/>
        <v>0.58195533852251602</v>
      </c>
      <c r="M123" s="159">
        <f t="shared" si="48"/>
        <v>0.25041320456831623</v>
      </c>
      <c r="N123" s="159">
        <f t="shared" si="48"/>
        <v>0.19148631535408911</v>
      </c>
      <c r="O123" s="159">
        <f t="shared" si="48"/>
        <v>9.7721237465251354E-2</v>
      </c>
      <c r="P123" s="159">
        <f t="shared" si="48"/>
        <v>5.0810618190825904E-3</v>
      </c>
      <c r="Q123" s="159" t="str">
        <f t="shared" si="48"/>
        <v/>
      </c>
    </row>
    <row r="124" spans="1:17" ht="15.75" customHeight="1">
      <c r="A124" s="10"/>
      <c r="B124" s="26" t="s">
        <v>226</v>
      </c>
      <c r="C124" s="74">
        <f>C19*Exchange_Rate*$C$3/(Market_Price*Common_Shares)</f>
        <v>5.6455062685951664E-2</v>
      </c>
      <c r="D124" s="26"/>
      <c r="E124" s="235"/>
      <c r="F124" s="26"/>
      <c r="G124" s="74">
        <f t="shared" ref="G124" si="49">IF(G$4="","",G123/Market_Price)</f>
        <v>6.3106500659750778E-2</v>
      </c>
      <c r="H124" s="74">
        <f t="shared" ref="H124" si="50">IF(H$4="","",H123/Market_Price)</f>
        <v>5.6201848809848159E-2</v>
      </c>
      <c r="I124" s="74">
        <f t="shared" ref="I124" si="51">IF(I$4="","",I123/Market_Price)</f>
        <v>7.1999730884008378E-2</v>
      </c>
      <c r="J124" s="74">
        <f t="shared" ref="J124" si="52">IF(J$4="","",J123/Market_Price)</f>
        <v>8.6964875945451409E-2</v>
      </c>
      <c r="K124" s="74">
        <f t="shared" ref="K124" si="53">IF(K$4="","",K123/Market_Price)</f>
        <v>3.4947036963653325E-2</v>
      </c>
      <c r="L124" s="74">
        <f t="shared" ref="L124" si="54">IF(L$4="","",L123/Market_Price)</f>
        <v>3.443522713150983E-2</v>
      </c>
      <c r="M124" s="74">
        <f t="shared" ref="M124" si="55">IF(M$4="","",M123/Market_Price)</f>
        <v>1.4817349382740607E-2</v>
      </c>
      <c r="N124" s="74">
        <f t="shared" ref="N124" si="56">IF(N$4="","",N123/Market_Price)</f>
        <v>1.1330551204383973E-2</v>
      </c>
      <c r="O124" s="74">
        <f t="shared" ref="O124" si="57">IF(O$4="","",O123/Market_Price)</f>
        <v>5.7823217435059981E-3</v>
      </c>
      <c r="P124" s="74">
        <f t="shared" ref="P124" si="58">IF(P$4="","",P123/Market_Price)</f>
        <v>3.0065454550784563E-4</v>
      </c>
      <c r="Q124" s="74" t="str">
        <f t="shared" ref="Q124" si="59">IF(Q$4="","",Q123/Market_Price)</f>
        <v/>
      </c>
    </row>
    <row r="125" spans="1:17" ht="15.75" customHeight="1">
      <c r="B125" s="2" t="s">
        <v>306</v>
      </c>
      <c r="C125" s="151"/>
      <c r="G125" s="22">
        <f>IF(G$4="","",(Data!C47*$C$3)/(Market_Price*Common_Shares))</f>
        <v>6.8971840205250573E-2</v>
      </c>
      <c r="H125" s="22">
        <f>IF(H$4="","",(Data!D47*$C$3)/(Market_Price*Common_Shares))</f>
        <v>7.2956062463102475E-2</v>
      </c>
      <c r="I125" s="22">
        <f>IF(I$4="","",(Data!E47*$C$3)/(Market_Price*Common_Shares))</f>
        <v>9.3028009405742643E-2</v>
      </c>
      <c r="J125" s="22">
        <f>IF(J$4="","",(Data!F47*$C$3)/(Market_Price*Common_Shares))</f>
        <v>9.1817409639809999E-2</v>
      </c>
      <c r="K125" s="22">
        <f>IF(K$4="","",(Data!G47*$C$3)/(Market_Price*Common_Shares))</f>
        <v>3.8881764136685704E-2</v>
      </c>
      <c r="L125" s="22">
        <f>IF(L$4="","",(Data!H47*$C$3)/(Market_Price*Common_Shares))</f>
        <v>3.4318441935963728E-2</v>
      </c>
      <c r="M125" s="22">
        <f>IF(M$4="","",(Data!I47*$C$3)/(Market_Price*Common_Shares))</f>
        <v>1.6373829404161728E-2</v>
      </c>
      <c r="N125" s="22">
        <f>IF(N$4="","",(Data!J47*$C$3)/(Market_Price*Common_Shares))</f>
        <v>1.1792949008547812E-2</v>
      </c>
      <c r="O125" s="22">
        <f>IF(O$4="","",(Data!K47*$C$3)/(Market_Price*Common_Shares))</f>
        <v>1.6044321376424371E-2</v>
      </c>
      <c r="P125" s="22">
        <f>IF(P$4="","",(Data!L47*$C$3)/(Market_Price*Common_Shares))</f>
        <v>1.4102641412227154E-3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2259482.7833139459</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15115431.616835918</v>
      </c>
      <c r="G5" t="str">
        <f>Reporting_currency</f>
        <v>CNY</v>
      </c>
      <c r="H5" s="312" t="s">
        <v>396</v>
      </c>
      <c r="I5" s="309">
        <f>Normalized_FCF!C7</f>
        <v>-1427907</v>
      </c>
      <c r="J5" s="309"/>
    </row>
    <row r="6" spans="2:15" ht="13.25" customHeight="1">
      <c r="B6" s="136" t="s">
        <v>194</v>
      </c>
      <c r="C6" s="287">
        <f>(C4*(1+Terminal_Growth))/(Equity_Cost-Terminal_Growth)</f>
        <v>31165279.769847531</v>
      </c>
      <c r="D6" t="str">
        <f>Reporting_currency</f>
        <v>CNY</v>
      </c>
      <c r="E6" s="187" t="s">
        <v>436</v>
      </c>
      <c r="F6" s="288">
        <f>BS!H42</f>
        <v>1668728.8</v>
      </c>
      <c r="G6" t="str">
        <f>Reporting_currency</f>
        <v>CNY</v>
      </c>
      <c r="H6" s="312" t="s">
        <v>418</v>
      </c>
      <c r="I6" s="309">
        <f>I7+I8</f>
        <v>-82186.233701015502</v>
      </c>
      <c r="J6" s="309"/>
      <c r="N6" s="135"/>
    </row>
    <row r="7" spans="2:15" ht="12.75" customHeight="1">
      <c r="B7" s="322" t="s">
        <v>433</v>
      </c>
      <c r="C7" s="279">
        <f>F7</f>
        <v>15006847.416835919</v>
      </c>
      <c r="E7" s="140" t="s">
        <v>427</v>
      </c>
      <c r="F7" s="287">
        <f>SUM(F4:F6)</f>
        <v>15006847.416835919</v>
      </c>
      <c r="G7" t="str">
        <f>Reporting_currency</f>
        <v>CNY</v>
      </c>
      <c r="H7" s="316" t="s">
        <v>419</v>
      </c>
      <c r="I7" s="317">
        <f>Normalized_FCF!C9</f>
        <v>0</v>
      </c>
      <c r="J7" s="317"/>
      <c r="N7" s="308"/>
      <c r="O7" s="308"/>
    </row>
    <row r="8" spans="2:15" ht="13.15">
      <c r="B8" s="136" t="s">
        <v>429</v>
      </c>
      <c r="C8" s="287">
        <f>C6+C7</f>
        <v>46172127.186683446</v>
      </c>
      <c r="D8" t="str">
        <f>Reporting_currency</f>
        <v>CNY</v>
      </c>
      <c r="E8" s="140" t="s">
        <v>467</v>
      </c>
      <c r="F8" s="108">
        <f>FV_adjustments*scaling_factor/Common_Shares*Exchange_Rate</f>
        <v>6.3368004183896947</v>
      </c>
      <c r="G8" s="298" t="str">
        <f>Market_currency</f>
        <v>HKD</v>
      </c>
      <c r="H8" s="318" t="str">
        <f>Normalized_FCF!B10</f>
        <v>Net Interest Income</v>
      </c>
      <c r="I8" s="317">
        <f>Normalized_FCF!C10</f>
        <v>-82186.233701015502</v>
      </c>
      <c r="J8" s="317"/>
      <c r="N8" s="308"/>
      <c r="O8" s="308"/>
    </row>
    <row r="9" spans="2:15" ht="13.15" thickBot="1">
      <c r="B9" s="189" t="str">
        <f>"*"&amp;Thesis!E15</f>
        <v>*CNY/HKD</v>
      </c>
      <c r="C9" s="190">
        <f>Exchange_Rate</f>
        <v>1.09146385</v>
      </c>
      <c r="D9" t="str">
        <f>Thesis!E15</f>
        <v>CNY/HKD</v>
      </c>
      <c r="F9" s="326"/>
      <c r="H9" s="312" t="str">
        <f>Normalized_FCF!B79</f>
        <v>NCI’s Share of Profits</v>
      </c>
      <c r="I9" s="144">
        <f>Normalized_FCF!C79</f>
        <v>0</v>
      </c>
      <c r="J9" s="310"/>
      <c r="N9" s="308"/>
      <c r="O9" s="308"/>
    </row>
    <row r="10" spans="2:15" ht="13.5" thickTop="1">
      <c r="B10" s="107" t="s">
        <v>430</v>
      </c>
      <c r="C10" s="287">
        <f>C8*Exchange_Rate</f>
        <v>50395207.701867186</v>
      </c>
      <c r="D10" t="str">
        <f>Market_currency</f>
        <v>HKD</v>
      </c>
      <c r="H10" s="312" t="s">
        <v>398</v>
      </c>
      <c r="I10" s="310">
        <f>Normalized_FCF!C41</f>
        <v>0.25</v>
      </c>
      <c r="N10" s="308"/>
      <c r="O10" s="308"/>
    </row>
    <row r="11" spans="2:15" ht="13.15">
      <c r="B11" s="136" t="s">
        <v>428</v>
      </c>
      <c r="C11" s="108">
        <f>(C10*scaling_factor)/Common_Shares</f>
        <v>19.496670203114981</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21.513926264142292</v>
      </c>
      <c r="J18" t="str">
        <f>Market_currency</f>
        <v>HKD</v>
      </c>
    </row>
    <row r="19" spans="1:21">
      <c r="L19" s="279"/>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3070247.8183773211</v>
      </c>
      <c r="H21" s="303">
        <f t="shared" ref="H21:H50" si="2">IF(A21="",0%,IF(A21="I",$C$18,$F$18))</f>
        <v>0</v>
      </c>
      <c r="I21" s="281">
        <f>(G21*(1-$I$10)+C21*(H21-$I$9))</f>
        <v>2302685.8637829907</v>
      </c>
      <c r="J21" s="303">
        <f>I21/C4-1</f>
        <v>1.9120783211138193E-2</v>
      </c>
      <c r="K21" s="119">
        <f t="shared" ref="K21:K50" si="3">IF($C$15&lt;B21,0,1/(1+Equity_Cost)^B21)</f>
        <v>0.93240093240093236</v>
      </c>
      <c r="L21" s="281">
        <f t="shared" ref="L21:L50" si="4">I21*K21</f>
        <v>2147026.446417707</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3128924.1116169491</v>
      </c>
      <c r="H22" s="303">
        <f t="shared" si="2"/>
        <v>0</v>
      </c>
      <c r="I22" s="281">
        <f>IF(A22="", 0,G22*(1-$I$10)+C22*(H22-$I$9))</f>
        <v>2346693.0837127119</v>
      </c>
      <c r="J22" s="303">
        <f>IF(A22="", 0,I22/I21-1)</f>
        <v>1.91112563905802E-2</v>
      </c>
      <c r="K22" s="119">
        <f t="shared" si="3"/>
        <v>0.86937149874212816</v>
      </c>
      <c r="L22" s="281">
        <f t="shared" si="4"/>
        <v>2040148.0832751067</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3188692.5474141897</v>
      </c>
      <c r="H23" s="303">
        <f t="shared" si="2"/>
        <v>0</v>
      </c>
      <c r="I23" s="281">
        <f t="shared" ref="I23:I50" si="9">IF(A23="", 0,G23*(1-$I$10)+C23*(H23-$I$9))</f>
        <v>2391519.4105606424</v>
      </c>
      <c r="J23" s="303">
        <f t="shared" ref="J23:J50" si="10">IF(A23="", 0,I23/I22-1)</f>
        <v>1.9101912882877103E-2</v>
      </c>
      <c r="K23" s="119">
        <f t="shared" si="3"/>
        <v>0.81060279602995633</v>
      </c>
      <c r="L23" s="281">
        <f t="shared" si="4"/>
        <v>1938572.3209603697</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3249573.4538317122</v>
      </c>
      <c r="H24" s="303">
        <f t="shared" si="2"/>
        <v>0</v>
      </c>
      <c r="I24" s="281">
        <f t="shared" si="9"/>
        <v>2437180.0903737843</v>
      </c>
      <c r="J24" s="303">
        <f t="shared" si="10"/>
        <v>1.909274899108504E-2</v>
      </c>
      <c r="K24" s="119">
        <f t="shared" si="3"/>
        <v>0.75580680282513402</v>
      </c>
      <c r="L24" s="281">
        <f t="shared" si="4"/>
        <v>1842037.292014481</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3311587.5372986631</v>
      </c>
      <c r="H25" s="303">
        <f t="shared" si="2"/>
        <v>0</v>
      </c>
      <c r="I25" s="281">
        <f t="shared" si="9"/>
        <v>2483690.6529739974</v>
      </c>
      <c r="J25" s="303">
        <f t="shared" si="10"/>
        <v>1.9083761099115026E-2</v>
      </c>
      <c r="K25" s="119">
        <f t="shared" si="3"/>
        <v>0.70471496766912267</v>
      </c>
      <c r="L25" s="281">
        <f t="shared" si="4"/>
        <v>1750293.9782106727</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3374755.8896532026</v>
      </c>
      <c r="H26" s="303">
        <f t="shared" si="2"/>
        <v>0</v>
      </c>
      <c r="I26" s="281">
        <f t="shared" si="9"/>
        <v>2531066.9172399021</v>
      </c>
      <c r="J26" s="303">
        <f t="shared" si="10"/>
        <v>1.9074945669733889E-2</v>
      </c>
      <c r="K26" s="119">
        <f t="shared" si="3"/>
        <v>0.65707689293158289</v>
      </c>
      <c r="L26" s="281">
        <f t="shared" si="4"/>
        <v>1663105.5857819146</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3439099.9953161352</v>
      </c>
      <c r="H27" s="303">
        <f t="shared" si="2"/>
        <v>0</v>
      </c>
      <c r="I27" s="281">
        <f t="shared" si="9"/>
        <v>2579324.9964871015</v>
      </c>
      <c r="J27" s="303">
        <f t="shared" si="10"/>
        <v>1.9066299242623153E-2</v>
      </c>
      <c r="K27" s="119">
        <f t="shared" si="3"/>
        <v>0.61265910762851561</v>
      </c>
      <c r="L27" s="281">
        <f t="shared" si="4"/>
        <v>1580246.9506317119</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3504641.7385980464</v>
      </c>
      <c r="H28" s="303">
        <f t="shared" si="2"/>
        <v>0</v>
      </c>
      <c r="I28" s="281">
        <f t="shared" si="9"/>
        <v>2628481.3039485347</v>
      </c>
      <c r="J28" s="303">
        <f t="shared" si="10"/>
        <v>1.9057818432489659E-2</v>
      </c>
      <c r="K28" s="119">
        <f t="shared" si="3"/>
        <v>0.5712439231967511</v>
      </c>
      <c r="L28" s="281">
        <f t="shared" si="4"/>
        <v>1501503.9721168729</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3571403.4111424629</v>
      </c>
      <c r="H29" s="303">
        <f t="shared" si="2"/>
        <v>0</v>
      </c>
      <c r="I29" s="281">
        <f t="shared" si="9"/>
        <v>2678552.5583568471</v>
      </c>
      <c r="J29" s="303">
        <f t="shared" si="10"/>
        <v>1.9049499927237479E-2</v>
      </c>
      <c r="K29" s="119">
        <f t="shared" si="3"/>
        <v>0.53262836661701729</v>
      </c>
      <c r="L29" s="281">
        <f t="shared" si="4"/>
        <v>1426673.0740554405</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3639407.7195075401</v>
      </c>
      <c r="H30" s="303">
        <f t="shared" si="2"/>
        <v>0</v>
      </c>
      <c r="I30" s="281">
        <f t="shared" si="9"/>
        <v>2729555.7896306552</v>
      </c>
      <c r="J30" s="303">
        <f t="shared" si="10"/>
        <v>1.9041340486182445E-2</v>
      </c>
      <c r="K30" s="119">
        <f t="shared" si="3"/>
        <v>0.49662318565689262</v>
      </c>
      <c r="L30" s="281">
        <f t="shared" si="4"/>
        <v>1355560.691674591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3639407.7195075401</v>
      </c>
      <c r="H51" s="303">
        <f>F18</f>
        <v>0</v>
      </c>
      <c r="I51" s="281">
        <f>(G51*(1-$I$10)+C51*(H51-$I$9))/Equity_Cost</f>
        <v>37649045.374215938</v>
      </c>
      <c r="J51" s="419">
        <f>(G51*(1-$I$10)+C51*(H51-$I$9))/VLOOKUP(C15,B21:I50,8,FALSE)-1</f>
        <v>0</v>
      </c>
      <c r="K51" s="119">
        <f>1/(1+Equity_Cost)^C15</f>
        <v>0.49662318565689262</v>
      </c>
      <c r="L51" s="281">
        <f>I51*K51</f>
        <v>18697388.850684017</v>
      </c>
    </row>
    <row r="52" spans="1:21" ht="13.15">
      <c r="G52" s="111"/>
      <c r="H52" s="111"/>
      <c r="I52" s="111"/>
      <c r="J52" s="464" t="s">
        <v>423</v>
      </c>
      <c r="K52" s="464"/>
      <c r="L52" s="321">
        <f>SUM(L21:L51)</f>
        <v>35942557.245822884</v>
      </c>
    </row>
    <row r="53" spans="1:21">
      <c r="C53" s="111"/>
    </row>
    <row r="54" spans="1:21" ht="13.15">
      <c r="B54" s="115" t="s">
        <v>108</v>
      </c>
      <c r="C54" s="128"/>
      <c r="D54" s="128"/>
      <c r="E54" s="113"/>
      <c r="F54" s="113"/>
      <c r="G54" s="113"/>
      <c r="H54" s="113"/>
      <c r="I54" s="113"/>
      <c r="J54" s="113"/>
      <c r="K54" s="113"/>
      <c r="L54" s="113"/>
    </row>
    <row r="55" spans="1:21" ht="13.15">
      <c r="A55" s="125">
        <f>L52</f>
        <v>35942557.245822884</v>
      </c>
      <c r="B55" s="123">
        <f>C86</f>
        <v>0</v>
      </c>
      <c r="C55" s="123">
        <f>C85</f>
        <v>0.02</v>
      </c>
      <c r="D55" s="123">
        <f>C84</f>
        <v>0.04</v>
      </c>
      <c r="E55" s="123">
        <f>C83</f>
        <v>0.06</v>
      </c>
      <c r="F55" s="123">
        <f>C82</f>
        <v>0.1</v>
      </c>
      <c r="G55" s="123"/>
      <c r="H55" s="123"/>
      <c r="I55" s="123"/>
      <c r="J55" s="123"/>
      <c r="K55" s="123"/>
      <c r="L55" s="123"/>
    </row>
    <row r="56" spans="1:21" ht="13.15">
      <c r="A56" s="131">
        <v>5</v>
      </c>
      <c r="B56" s="118">
        <f t="dataTable" ref="B56:F65" dt2D="1" dtr="1" r1="C16" r2="C15"/>
        <v>31165279.769847531</v>
      </c>
      <c r="C56" s="118">
        <v>34068360.979683302</v>
      </c>
      <c r="D56" s="118">
        <v>37191892.250251241</v>
      </c>
      <c r="E56" s="118">
        <v>40548634.140899137</v>
      </c>
      <c r="F56" s="118">
        <v>48015250.874940179</v>
      </c>
      <c r="G56" s="299"/>
      <c r="H56" s="299"/>
      <c r="I56" s="299"/>
      <c r="J56" s="299"/>
      <c r="K56" s="299"/>
      <c r="L56" s="299"/>
    </row>
    <row r="57" spans="1:21" ht="13.15">
      <c r="A57" s="131">
        <v>6</v>
      </c>
      <c r="B57" s="118">
        <v>31165279.769847527</v>
      </c>
      <c r="C57" s="118">
        <v>34566561.753020644</v>
      </c>
      <c r="D57" s="118">
        <v>38289886.917130709</v>
      </c>
      <c r="E57" s="118">
        <v>42360199.967588075</v>
      </c>
      <c r="F57" s="118">
        <v>51648849.634840816</v>
      </c>
      <c r="G57" s="299"/>
      <c r="H57" s="299"/>
      <c r="I57" s="299"/>
      <c r="J57" s="299"/>
      <c r="K57" s="299"/>
      <c r="L57" s="299"/>
    </row>
    <row r="58" spans="1:21" ht="13.15">
      <c r="A58" s="131">
        <v>7</v>
      </c>
      <c r="B58" s="118">
        <v>31165279.769847535</v>
      </c>
      <c r="C58" s="118">
        <v>35040375.075914904</v>
      </c>
      <c r="D58" s="118">
        <v>39354609.018347189</v>
      </c>
      <c r="E58" s="118">
        <v>44150651.973453149</v>
      </c>
      <c r="F58" s="118">
        <v>55375617.593713284</v>
      </c>
      <c r="G58" s="299"/>
      <c r="H58" s="299"/>
      <c r="I58" s="299"/>
      <c r="J58" s="299"/>
      <c r="K58" s="299"/>
      <c r="L58" s="299"/>
    </row>
    <row r="59" spans="1:21" ht="13.15">
      <c r="A59" s="131">
        <v>8</v>
      </c>
      <c r="B59" s="118">
        <v>31165279.769847531</v>
      </c>
      <c r="C59" s="118">
        <v>35490994.739646494</v>
      </c>
      <c r="D59" s="118">
        <v>40387066.813466176</v>
      </c>
      <c r="E59" s="118">
        <v>45920236.240322113</v>
      </c>
      <c r="F59" s="118">
        <v>59197943.70537737</v>
      </c>
      <c r="G59" s="299"/>
      <c r="H59" s="299"/>
      <c r="I59" s="299"/>
      <c r="J59" s="299"/>
      <c r="K59" s="299"/>
      <c r="L59" s="299"/>
    </row>
    <row r="60" spans="1:21" ht="13.15">
      <c r="A60" s="131">
        <v>9</v>
      </c>
      <c r="B60" s="118">
        <v>31165279.769847527</v>
      </c>
      <c r="C60" s="118">
        <v>35919556.098160475</v>
      </c>
      <c r="D60" s="118">
        <v>41388238.008733086</v>
      </c>
      <c r="E60" s="118">
        <v>47669195.981936187</v>
      </c>
      <c r="F60" s="118">
        <v>63118278.178878963</v>
      </c>
      <c r="G60" s="299"/>
      <c r="H60" s="299"/>
      <c r="I60" s="299"/>
      <c r="J60" s="299"/>
      <c r="K60" s="299"/>
      <c r="L60" s="299"/>
    </row>
    <row r="61" spans="1:21" ht="13.15">
      <c r="A61" s="131">
        <v>10</v>
      </c>
      <c r="B61" s="118">
        <v>31165279.769847527</v>
      </c>
      <c r="C61" s="118">
        <v>36327138.928635299</v>
      </c>
      <c r="D61" s="118">
        <v>42359070.682931289</v>
      </c>
      <c r="E61" s="118">
        <v>49397771.577377617</v>
      </c>
      <c r="F61" s="118">
        <v>67139134.049137026</v>
      </c>
      <c r="G61" s="299"/>
      <c r="H61" s="299"/>
      <c r="I61" s="299"/>
      <c r="J61" s="299"/>
      <c r="K61" s="299"/>
      <c r="L61" s="299"/>
    </row>
    <row r="62" spans="1:21" ht="13.15">
      <c r="A62" s="131">
        <v>15</v>
      </c>
      <c r="B62" s="118">
        <v>31165279.769847527</v>
      </c>
      <c r="C62" s="281">
        <v>38084608.821446344</v>
      </c>
      <c r="D62" s="118">
        <v>46789375.940150231</v>
      </c>
      <c r="E62" s="118">
        <v>57743106.334345713</v>
      </c>
      <c r="F62" s="118">
        <v>88843794.868988216</v>
      </c>
      <c r="G62" s="299"/>
      <c r="H62" s="299"/>
      <c r="I62" s="299"/>
      <c r="J62" s="299"/>
      <c r="K62" s="299"/>
      <c r="L62" s="299"/>
      <c r="M62" s="279"/>
      <c r="N62" s="279"/>
      <c r="O62" s="279"/>
      <c r="P62" s="279"/>
      <c r="Q62" s="279"/>
      <c r="R62" s="279"/>
      <c r="S62" s="279"/>
      <c r="T62" s="279"/>
      <c r="U62" s="279"/>
    </row>
    <row r="63" spans="1:21" ht="13.15">
      <c r="A63" s="132">
        <v>20</v>
      </c>
      <c r="B63" s="118">
        <v>31165279.769847531</v>
      </c>
      <c r="C63" s="281">
        <v>39452029.831364691</v>
      </c>
      <c r="D63" s="118">
        <v>50587890.918461427</v>
      </c>
      <c r="E63" s="118">
        <v>65613321.110168472</v>
      </c>
      <c r="F63" s="118">
        <v>113477510.57482409</v>
      </c>
      <c r="G63" s="299"/>
      <c r="H63" s="299"/>
      <c r="I63" s="299"/>
      <c r="J63" s="299"/>
      <c r="K63" s="299"/>
      <c r="L63" s="299"/>
      <c r="M63" s="279"/>
      <c r="N63" s="279"/>
      <c r="O63" s="279"/>
      <c r="P63" s="279"/>
      <c r="Q63" s="279"/>
      <c r="R63" s="279"/>
      <c r="S63" s="279"/>
      <c r="T63" s="279"/>
      <c r="U63" s="279"/>
    </row>
    <row r="64" spans="1:21" ht="13.15">
      <c r="A64" s="132">
        <v>25</v>
      </c>
      <c r="B64" s="118">
        <v>31165279.769847523</v>
      </c>
      <c r="C64" s="281">
        <v>40515968.52301155</v>
      </c>
      <c r="D64" s="118">
        <v>53844713.01146365</v>
      </c>
      <c r="E64" s="118">
        <v>73035465.628201246</v>
      </c>
      <c r="F64" s="118">
        <v>141435558.59559503</v>
      </c>
      <c r="G64" s="299"/>
      <c r="H64" s="299"/>
      <c r="I64" s="299"/>
      <c r="J64" s="299"/>
      <c r="K64" s="299"/>
      <c r="L64" s="299"/>
      <c r="M64" s="279"/>
      <c r="N64" s="279"/>
      <c r="O64" s="279"/>
      <c r="P64" s="279"/>
      <c r="Q64" s="279"/>
      <c r="R64" s="279"/>
      <c r="S64" s="279"/>
      <c r="T64" s="279"/>
      <c r="U64" s="279"/>
    </row>
    <row r="65" spans="1:21" ht="13.15">
      <c r="A65" s="132">
        <v>30</v>
      </c>
      <c r="B65" s="118">
        <v>31165279.76984752</v>
      </c>
      <c r="C65" s="281">
        <v>41343779.073948458</v>
      </c>
      <c r="D65" s="118">
        <v>56637091.139766604</v>
      </c>
      <c r="E65" s="118">
        <v>80035049.605984747</v>
      </c>
      <c r="F65" s="118">
        <v>173166559.24794722</v>
      </c>
      <c r="G65" s="299"/>
      <c r="H65" s="299"/>
      <c r="I65" s="299"/>
      <c r="J65" s="299"/>
      <c r="K65" s="299"/>
      <c r="L65" s="299"/>
      <c r="M65" s="279"/>
      <c r="N65" s="279"/>
      <c r="O65" s="279"/>
      <c r="P65" s="279"/>
      <c r="Q65" s="279"/>
      <c r="R65" s="279"/>
      <c r="S65" s="279"/>
      <c r="T65" s="279"/>
      <c r="U65" s="279"/>
    </row>
    <row r="66" spans="1:21">
      <c r="C66" s="279"/>
      <c r="D66" s="111"/>
      <c r="E66" s="111"/>
      <c r="F66" s="111"/>
      <c r="G66" s="111"/>
      <c r="H66" s="111"/>
      <c r="I66" s="111"/>
      <c r="J66" s="111"/>
      <c r="K66" s="111"/>
      <c r="L66" s="111"/>
      <c r="M66" s="279"/>
      <c r="N66" s="279"/>
      <c r="O66" s="279"/>
      <c r="P66" s="279"/>
      <c r="Q66" s="279"/>
      <c r="R66" s="279"/>
      <c r="S66" s="279"/>
      <c r="T66" s="279"/>
      <c r="U66" s="279"/>
    </row>
    <row r="67" spans="1:21" ht="13.15">
      <c r="B67" s="115" t="s">
        <v>109</v>
      </c>
      <c r="C67" s="279"/>
      <c r="D67" s="111"/>
      <c r="E67" s="111"/>
      <c r="F67" s="111"/>
      <c r="G67" s="111"/>
      <c r="H67" s="111"/>
      <c r="I67" s="111"/>
      <c r="J67" s="111"/>
      <c r="K67" s="111"/>
      <c r="L67" s="111"/>
      <c r="M67" s="279"/>
      <c r="N67" s="279"/>
      <c r="O67" s="279"/>
      <c r="P67" s="279"/>
      <c r="Q67" s="279"/>
      <c r="R67" s="279"/>
      <c r="S67" s="279"/>
      <c r="T67" s="279"/>
      <c r="U67" s="279"/>
    </row>
    <row r="68" spans="1:21" ht="13.15">
      <c r="B68" s="124">
        <f>B55</f>
        <v>0</v>
      </c>
      <c r="C68" s="124">
        <f>C55</f>
        <v>0.02</v>
      </c>
      <c r="D68" s="124">
        <f>D55</f>
        <v>0.04</v>
      </c>
      <c r="E68" s="124">
        <f>E55</f>
        <v>0.06</v>
      </c>
      <c r="F68" s="124">
        <f>F55</f>
        <v>0.1</v>
      </c>
      <c r="G68" s="124"/>
      <c r="H68" s="124"/>
      <c r="I68" s="124"/>
      <c r="J68" s="124"/>
      <c r="K68" s="124"/>
      <c r="L68" s="124"/>
    </row>
    <row r="69" spans="1:21" ht="13.15">
      <c r="A69" s="131">
        <v>0</v>
      </c>
      <c r="B69" s="119">
        <f>C11</f>
        <v>19.496670203114981</v>
      </c>
      <c r="C69" s="119">
        <f>C11</f>
        <v>19.496670203114981</v>
      </c>
      <c r="D69" s="119">
        <f>C11</f>
        <v>19.496670203114981</v>
      </c>
      <c r="E69" s="119">
        <f>C11</f>
        <v>19.496670203114981</v>
      </c>
      <c r="F69" s="119">
        <f>C11</f>
        <v>19.496670203114981</v>
      </c>
      <c r="G69" s="300"/>
      <c r="H69" s="300"/>
      <c r="I69" s="300"/>
      <c r="J69" s="300"/>
      <c r="K69" s="300"/>
      <c r="L69" s="300"/>
    </row>
    <row r="70" spans="1:21" ht="13.15">
      <c r="A70" s="131">
        <f>A56</f>
        <v>5</v>
      </c>
      <c r="B70" s="119">
        <f t="shared" ref="B70:F74" si="11">(B56+FV_adjustments)/Common_Shares*scaling_factor*Exchange_Rate</f>
        <v>19.496670203114981</v>
      </c>
      <c r="C70" s="119">
        <f t="shared" si="11"/>
        <v>20.722527021281078</v>
      </c>
      <c r="D70" s="119">
        <f t="shared" si="11"/>
        <v>22.041471214715241</v>
      </c>
      <c r="E70" s="119">
        <f t="shared" si="11"/>
        <v>23.458891064884451</v>
      </c>
      <c r="F70" s="119">
        <f t="shared" si="11"/>
        <v>26.611749138935735</v>
      </c>
      <c r="G70" s="300"/>
      <c r="H70" s="300"/>
      <c r="I70" s="300"/>
      <c r="J70" s="300"/>
      <c r="K70" s="300"/>
      <c r="L70" s="300"/>
    </row>
    <row r="71" spans="1:21" ht="13.15">
      <c r="A71" s="131">
        <v>6</v>
      </c>
      <c r="B71" s="119">
        <f t="shared" si="11"/>
        <v>19.496670203114981</v>
      </c>
      <c r="C71" s="119">
        <f t="shared" si="11"/>
        <v>20.932897579549319</v>
      </c>
      <c r="D71" s="119">
        <f t="shared" si="11"/>
        <v>22.505111103308071</v>
      </c>
      <c r="E71" s="119">
        <f t="shared" si="11"/>
        <v>24.223843940704608</v>
      </c>
      <c r="F71" s="119">
        <f t="shared" si="11"/>
        <v>28.146074737273388</v>
      </c>
      <c r="G71" s="300"/>
      <c r="H71" s="300"/>
      <c r="I71" s="300"/>
      <c r="J71" s="300"/>
      <c r="K71" s="300"/>
      <c r="L71" s="300"/>
    </row>
    <row r="72" spans="1:21" ht="13.15">
      <c r="A72" s="131">
        <f t="shared" ref="A72" si="12">A58</f>
        <v>7</v>
      </c>
      <c r="B72" s="119">
        <f t="shared" si="11"/>
        <v>19.496670203114981</v>
      </c>
      <c r="C72" s="119">
        <f t="shared" si="11"/>
        <v>21.13297027832192</v>
      </c>
      <c r="D72" s="119">
        <f t="shared" si="11"/>
        <v>22.954701298307196</v>
      </c>
      <c r="E72" s="119">
        <f t="shared" si="11"/>
        <v>24.979881281841553</v>
      </c>
      <c r="F72" s="119">
        <f t="shared" si="11"/>
        <v>29.719742017619708</v>
      </c>
      <c r="G72" s="300"/>
      <c r="H72" s="300"/>
      <c r="I72" s="300"/>
      <c r="J72" s="300"/>
      <c r="K72" s="300"/>
      <c r="L72" s="300"/>
    </row>
    <row r="73" spans="1:21" ht="13.15">
      <c r="A73" s="131">
        <v>8</v>
      </c>
      <c r="B73" s="119">
        <f t="shared" si="11"/>
        <v>19.496670203114981</v>
      </c>
      <c r="C73" s="119">
        <f t="shared" si="11"/>
        <v>21.323249208623125</v>
      </c>
      <c r="D73" s="119">
        <f t="shared" si="11"/>
        <v>23.390667548003307</v>
      </c>
      <c r="E73" s="119">
        <f t="shared" si="11"/>
        <v>25.727106998955925</v>
      </c>
      <c r="F73" s="119">
        <f t="shared" si="11"/>
        <v>31.333759741051839</v>
      </c>
      <c r="G73" s="300"/>
      <c r="H73" s="300"/>
      <c r="I73" s="300"/>
      <c r="J73" s="300"/>
      <c r="K73" s="300"/>
      <c r="L73" s="300"/>
    </row>
    <row r="74" spans="1:21" ht="13.15">
      <c r="A74" s="131">
        <f t="shared" ref="A74" si="13">A60</f>
        <v>9</v>
      </c>
      <c r="B74" s="119">
        <f t="shared" si="11"/>
        <v>19.496670203114981</v>
      </c>
      <c r="C74" s="119">
        <f t="shared" si="11"/>
        <v>21.504213785692812</v>
      </c>
      <c r="D74" s="119">
        <f t="shared" si="11"/>
        <v>23.813422699223782</v>
      </c>
      <c r="E74" s="119">
        <f t="shared" si="11"/>
        <v>26.465623791628392</v>
      </c>
      <c r="F74" s="119">
        <f t="shared" si="11"/>
        <v>32.989162534315547</v>
      </c>
      <c r="G74" s="300"/>
      <c r="H74" s="300"/>
      <c r="I74" s="300"/>
      <c r="J74" s="300"/>
      <c r="K74" s="300"/>
      <c r="L74" s="300"/>
    </row>
    <row r="75" spans="1:21" ht="13.15">
      <c r="A75" s="131">
        <f t="shared" ref="A75:A79" si="14">A61</f>
        <v>10</v>
      </c>
      <c r="B75" s="119">
        <f t="shared" ref="B75:F79" si="15">(B61+FV_adjustments)/Common_Shares*scaling_factor*Exchange_Rate</f>
        <v>19.496670203114981</v>
      </c>
      <c r="C75" s="119">
        <f t="shared" si="15"/>
        <v>21.676319956891955</v>
      </c>
      <c r="D75" s="119">
        <f t="shared" si="15"/>
        <v>24.223367088286057</v>
      </c>
      <c r="E75" s="119">
        <f t="shared" si="15"/>
        <v>27.195533162474845</v>
      </c>
      <c r="F75" s="119">
        <f t="shared" si="15"/>
        <v>34.687011553047562</v>
      </c>
      <c r="G75" s="300"/>
      <c r="H75" s="300"/>
      <c r="I75" s="300"/>
      <c r="J75" s="300"/>
      <c r="K75" s="300"/>
      <c r="L75" s="300"/>
    </row>
    <row r="76" spans="1:21" ht="13.15">
      <c r="A76" s="131">
        <f t="shared" si="14"/>
        <v>15</v>
      </c>
      <c r="B76" s="119">
        <f t="shared" si="15"/>
        <v>19.496670203114981</v>
      </c>
      <c r="C76" s="119">
        <f t="shared" si="15"/>
        <v>22.41843025112858</v>
      </c>
      <c r="D76" s="119">
        <f t="shared" si="15"/>
        <v>26.094110451481935</v>
      </c>
      <c r="E76" s="119">
        <f t="shared" si="15"/>
        <v>30.719439237526245</v>
      </c>
      <c r="F76" s="119">
        <f t="shared" si="15"/>
        <v>43.852034688415607</v>
      </c>
      <c r="G76" s="300"/>
      <c r="H76" s="300"/>
      <c r="I76" s="300"/>
      <c r="J76" s="300"/>
      <c r="K76" s="300"/>
      <c r="L76" s="300"/>
    </row>
    <row r="77" spans="1:21" ht="13.15">
      <c r="A77" s="132">
        <f t="shared" si="14"/>
        <v>20</v>
      </c>
      <c r="B77" s="119">
        <f t="shared" si="15"/>
        <v>19.496670203114981</v>
      </c>
      <c r="C77" s="119">
        <f t="shared" si="15"/>
        <v>22.99583826942057</v>
      </c>
      <c r="D77" s="119">
        <f t="shared" si="15"/>
        <v>27.698073671419635</v>
      </c>
      <c r="E77" s="119">
        <f t="shared" si="15"/>
        <v>34.042720863505856</v>
      </c>
      <c r="F77" s="119">
        <f t="shared" si="15"/>
        <v>54.253882302066231</v>
      </c>
      <c r="G77" s="300"/>
      <c r="H77" s="300"/>
      <c r="I77" s="300"/>
      <c r="J77" s="300"/>
      <c r="K77" s="300"/>
      <c r="L77" s="300"/>
    </row>
    <row r="78" spans="1:21" ht="13.15">
      <c r="A78" s="132">
        <f t="shared" si="14"/>
        <v>25</v>
      </c>
      <c r="B78" s="119">
        <f t="shared" si="15"/>
        <v>19.496670203114981</v>
      </c>
      <c r="C78" s="119">
        <f t="shared" si="15"/>
        <v>23.445097661423524</v>
      </c>
      <c r="D78" s="119">
        <f t="shared" si="15"/>
        <v>29.073301327722994</v>
      </c>
      <c r="E78" s="119">
        <f t="shared" si="15"/>
        <v>37.17680007287089</v>
      </c>
      <c r="F78" s="119">
        <f t="shared" si="15"/>
        <v>66.059464478947874</v>
      </c>
      <c r="G78" s="300"/>
      <c r="H78" s="300"/>
      <c r="I78" s="300"/>
      <c r="J78" s="300"/>
      <c r="K78" s="300"/>
      <c r="L78" s="300"/>
    </row>
    <row r="79" spans="1:21" ht="13.15">
      <c r="A79" s="132">
        <f t="shared" si="14"/>
        <v>30</v>
      </c>
      <c r="B79" s="119">
        <f t="shared" si="15"/>
        <v>19.496670203114981</v>
      </c>
      <c r="C79" s="119">
        <f t="shared" si="15"/>
        <v>23.794649442675023</v>
      </c>
      <c r="D79" s="119">
        <f t="shared" si="15"/>
        <v>30.25241259608179</v>
      </c>
      <c r="E79" s="119">
        <f t="shared" si="15"/>
        <v>40.132448614296813</v>
      </c>
      <c r="F79" s="119">
        <f t="shared" si="15"/>
        <v>79.458215903858644</v>
      </c>
      <c r="G79" s="300"/>
      <c r="H79" s="300"/>
      <c r="I79" s="300"/>
      <c r="J79" s="300"/>
      <c r="K79" s="300"/>
      <c r="L79" s="300"/>
    </row>
    <row r="81" spans="2:12" ht="13.15">
      <c r="B81" s="153" t="s">
        <v>101</v>
      </c>
      <c r="C81" s="153" t="s">
        <v>110</v>
      </c>
      <c r="D81" s="153" t="s">
        <v>99</v>
      </c>
      <c r="E81" s="154" t="s">
        <v>100</v>
      </c>
      <c r="F81" s="154" t="s">
        <v>460</v>
      </c>
      <c r="G81" s="327"/>
      <c r="H81" s="327"/>
      <c r="I81" s="327"/>
      <c r="J81" s="327"/>
      <c r="K81" s="327"/>
      <c r="L81" s="327"/>
    </row>
    <row r="82" spans="2:12">
      <c r="B82" s="120" t="str">
        <f>Scenarios!B29</f>
        <v>Snowball Scenario</v>
      </c>
      <c r="C82" s="130">
        <f>Scenarios!C29</f>
        <v>0.1</v>
      </c>
      <c r="D82" s="133">
        <f>Scenarios!D29</f>
        <v>10</v>
      </c>
      <c r="E82" s="127">
        <f>INDEX(B$69:F$79, MATCH(D82, A$69:A$79, 0), MATCH(C82, B$68:F$68, 0))</f>
        <v>34.687011553047562</v>
      </c>
      <c r="F82" s="130">
        <f>Scenarios!F29</f>
        <v>0.05</v>
      </c>
      <c r="G82" s="301"/>
      <c r="H82" s="301"/>
      <c r="I82" s="301"/>
      <c r="J82" s="301"/>
      <c r="K82" s="301"/>
      <c r="L82" s="301"/>
    </row>
    <row r="83" spans="2:12">
      <c r="B83" s="120" t="str">
        <f>Scenarios!B22</f>
        <v>Optimistic</v>
      </c>
      <c r="C83" s="130">
        <f>Scenarios!C22</f>
        <v>0.06</v>
      </c>
      <c r="D83" s="133">
        <f>Scenarios!D22</f>
        <v>10</v>
      </c>
      <c r="E83" s="127">
        <f>INDEX(B$69:F$79, MATCH(D83, A$69:A$79, 0), MATCH(C83, B$68:F$68, 0))</f>
        <v>27.195533162474845</v>
      </c>
      <c r="F83" s="130">
        <f>Scenarios!F22*(1-F$82-F$86)</f>
        <v>0.22499999999999992</v>
      </c>
      <c r="G83" s="301"/>
      <c r="H83" s="301"/>
      <c r="I83" s="301"/>
      <c r="J83" s="301"/>
      <c r="K83" s="301"/>
      <c r="L83" s="301"/>
    </row>
    <row r="84" spans="2:12">
      <c r="B84" s="120" t="str">
        <f>Scenarios!B23</f>
        <v>Base</v>
      </c>
      <c r="C84" s="130">
        <f>Scenarios!C23</f>
        <v>0.04</v>
      </c>
      <c r="D84" s="133">
        <f>Scenarios!D23</f>
        <v>10</v>
      </c>
      <c r="E84" s="127">
        <f>INDEX(B$69:F$79, MATCH(D84, A$69:A$79, 0), MATCH(C84, B$68:F$68, 0))</f>
        <v>24.223367088286057</v>
      </c>
      <c r="F84" s="130">
        <f>Scenarios!F23*(1-F$82-F$86)</f>
        <v>0.495</v>
      </c>
      <c r="G84" s="301"/>
      <c r="H84" s="301"/>
      <c r="I84" s="301"/>
      <c r="J84" s="301"/>
      <c r="K84" s="301"/>
      <c r="L84" s="301"/>
    </row>
    <row r="85" spans="2:12">
      <c r="B85" s="120" t="str">
        <f>Scenarios!B24</f>
        <v>Pessimistic</v>
      </c>
      <c r="C85" s="130">
        <f>Scenarios!C24</f>
        <v>0.02</v>
      </c>
      <c r="D85" s="133">
        <f>Scenarios!D24</f>
        <v>10</v>
      </c>
      <c r="E85" s="127">
        <f>INDEX(B$69:F$79, MATCH(D85, A$69:A$79, 0), MATCH(C85, B$68:F$68, 0))</f>
        <v>21.676319956891955</v>
      </c>
      <c r="F85" s="130">
        <f>Scenarios!F24*(1-F$82-F$86)</f>
        <v>0.18</v>
      </c>
      <c r="G85" s="301"/>
      <c r="H85" s="301"/>
      <c r="I85" s="301"/>
      <c r="J85" s="301"/>
      <c r="K85" s="301"/>
      <c r="L85" s="301"/>
    </row>
    <row r="86" spans="2:12">
      <c r="B86" s="120" t="str">
        <f>Scenarios!B30</f>
        <v>Devil's advocate</v>
      </c>
      <c r="C86" s="130">
        <f>Scenarios!C30</f>
        <v>0</v>
      </c>
      <c r="D86" s="133">
        <f>Scenarios!D30</f>
        <v>10</v>
      </c>
      <c r="E86" s="127">
        <f>INDEX(B$69:F$79, MATCH(D86, A$69:A$79, 0), MATCH(C86, B$68:F$68, 0))</f>
        <v>19.496670203114981</v>
      </c>
      <c r="F86" s="130">
        <f>Scenarios!F30</f>
        <v>0.05</v>
      </c>
      <c r="G86" s="301"/>
      <c r="H86" s="301"/>
      <c r="I86" s="301"/>
      <c r="J86" s="301"/>
      <c r="K86" s="301"/>
      <c r="L86" s="301"/>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79"/>
      <c r="M106" s="279"/>
      <c r="N106" s="279"/>
      <c r="O106" s="279"/>
      <c r="P106" s="279"/>
      <c r="Q106" s="279"/>
      <c r="R106" s="279"/>
      <c r="S106" s="279"/>
      <c r="T106" s="279"/>
      <c r="U106" s="279"/>
    </row>
    <row r="107" spans="3:21">
      <c r="C107" s="279"/>
      <c r="M107" s="279"/>
      <c r="N107" s="279"/>
      <c r="O107" s="279"/>
      <c r="P107" s="279"/>
      <c r="Q107" s="279"/>
      <c r="R107" s="279"/>
      <c r="S107" s="279"/>
      <c r="T107" s="279"/>
      <c r="U107" s="279"/>
    </row>
    <row r="108" spans="3:21">
      <c r="C108" s="279"/>
      <c r="M108" s="279"/>
      <c r="N108" s="279"/>
      <c r="O108" s="279"/>
      <c r="P108" s="279"/>
      <c r="Q108" s="279"/>
      <c r="R108" s="279"/>
      <c r="S108" s="279"/>
      <c r="T108" s="279"/>
      <c r="U108" s="279"/>
    </row>
    <row r="109" spans="3:21">
      <c r="C109" s="279"/>
      <c r="M109" s="279"/>
      <c r="N109" s="279"/>
      <c r="O109" s="279"/>
      <c r="P109" s="279"/>
      <c r="Q109" s="279"/>
      <c r="R109" s="279"/>
      <c r="S109" s="279"/>
      <c r="T109" s="279"/>
      <c r="U109" s="279"/>
    </row>
    <row r="110" spans="3:21">
      <c r="C110" s="279"/>
      <c r="M110" s="279"/>
      <c r="N110" s="279"/>
      <c r="O110" s="279"/>
      <c r="P110" s="279"/>
      <c r="Q110" s="279"/>
      <c r="R110" s="279"/>
      <c r="S110" s="279"/>
      <c r="T110" s="279"/>
      <c r="U110" s="279"/>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H66" sqref="H6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2525691.1421582527</v>
      </c>
      <c r="D8" s="465"/>
      <c r="E8" s="465"/>
      <c r="F8" s="465"/>
      <c r="G8" s="465"/>
    </row>
    <row r="9" spans="2:7">
      <c r="B9" s="97" t="s">
        <v>54</v>
      </c>
      <c r="C9" s="452">
        <f>Normalized_FCF!C19</f>
        <v>2259482.7833139459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-6.3793584791416058E-2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549</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DCF!E83</f>
        <v>27.195533162474845</v>
      </c>
      <c r="F22" s="332">
        <f>1-F23-F24</f>
        <v>0.24999999999999994</v>
      </c>
      <c r="G22" s="332">
        <f>F22*(1-F$29-F$30)</f>
        <v>0.22499999999999992</v>
      </c>
    </row>
    <row r="23" spans="2:7">
      <c r="B23" s="306" t="s">
        <v>440</v>
      </c>
      <c r="C23" s="328">
        <v>0.04</v>
      </c>
      <c r="D23" s="329">
        <f>C18</f>
        <v>10</v>
      </c>
      <c r="E23" s="330">
        <f>DCF!E84</f>
        <v>24.223367088286057</v>
      </c>
      <c r="F23" s="331">
        <v>0.55000000000000004</v>
      </c>
      <c r="G23" s="332">
        <f t="shared" ref="G23:G24" si="0">F23*(1-F$29-F$30)</f>
        <v>0.495</v>
      </c>
    </row>
    <row r="24" spans="2:7">
      <c r="B24" s="306" t="s">
        <v>449</v>
      </c>
      <c r="C24" s="328">
        <v>0.02</v>
      </c>
      <c r="D24" s="329">
        <f>C18</f>
        <v>10</v>
      </c>
      <c r="E24" s="330">
        <f>DCF!E85</f>
        <v>21.676319956891955</v>
      </c>
      <c r="F24" s="331">
        <v>0.2</v>
      </c>
      <c r="G24" s="332">
        <f t="shared" si="0"/>
        <v>0.18</v>
      </c>
    </row>
    <row r="25" spans="2:7">
      <c r="B25" s="141" t="s">
        <v>454</v>
      </c>
      <c r="C25" s="446">
        <f>E23*F23+E24*F24+E22*F22</f>
        <v>24.456999180554433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DCF!E82</f>
        <v>34.687011553047562</v>
      </c>
      <c r="F29" s="331">
        <v>0.05</v>
      </c>
      <c r="G29" s="332">
        <f>F29</f>
        <v>0.05</v>
      </c>
    </row>
    <row r="30" spans="2:7">
      <c r="B30" s="319" t="s">
        <v>450</v>
      </c>
      <c r="C30" s="328">
        <v>0</v>
      </c>
      <c r="D30" s="329">
        <f>C18</f>
        <v>10</v>
      </c>
      <c r="E30" s="330">
        <f>DCF!E86</f>
        <v>19.496670203114981</v>
      </c>
      <c r="F30" s="331">
        <v>0.05</v>
      </c>
      <c r="G30" s="332">
        <f>F30</f>
        <v>0.05</v>
      </c>
    </row>
    <row r="31" spans="2:7">
      <c r="E31" s="333"/>
      <c r="F31" s="333"/>
    </row>
    <row r="32" spans="2:7" ht="13.15">
      <c r="B32" s="145" t="s">
        <v>459</v>
      </c>
    </row>
    <row r="33" spans="2:7">
      <c r="B33" s="97" t="s">
        <v>461</v>
      </c>
      <c r="C33" s="155">
        <f>Normalized_FCF!C88*(1-dividend_tax_rate)</f>
        <v>0.53579419968879405</v>
      </c>
      <c r="D33" t="str">
        <f>Market_currency</f>
        <v>HKD</v>
      </c>
      <c r="E33" s="97" t="s">
        <v>458</v>
      </c>
      <c r="F33" s="219">
        <f>Holding_Period</f>
        <v>3</v>
      </c>
    </row>
    <row r="34" spans="2:7">
      <c r="B34" s="97" t="s">
        <v>233</v>
      </c>
      <c r="C34" s="146">
        <f>Market_Price</f>
        <v>16.899999999999999</v>
      </c>
      <c r="D34" t="str">
        <f>Market_currency</f>
        <v>HKD</v>
      </c>
      <c r="E34" s="97" t="s">
        <v>457</v>
      </c>
      <c r="F34" s="334">
        <f>RATE(Holding_Period,$C$33,-C34,$C$36)</f>
        <v>0.16329586530856066</v>
      </c>
    </row>
    <row r="35" spans="2:7">
      <c r="B35" s="97" t="s">
        <v>437</v>
      </c>
      <c r="C35" s="324">
        <f>DCF!C11</f>
        <v>19.496670203114981</v>
      </c>
      <c r="D35" s="97" t="str">
        <f>Market_currency</f>
        <v>HKD</v>
      </c>
      <c r="E35" s="97" t="s">
        <v>457</v>
      </c>
      <c r="F35" s="334">
        <f>RATE(Holding_Period,$C$33,-C35,$C$36)</f>
        <v>0.10781923783923177</v>
      </c>
    </row>
    <row r="36" spans="2:7">
      <c r="B36" s="97" t="s">
        <v>438</v>
      </c>
      <c r="C36" s="325">
        <f>E22*G22+E23*G23+E24*G24+E30*G30+E29*G29</f>
        <v>24.720483350307113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21.513926264142292</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0.31705605511650015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0.53579419968879405</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0.98042386077119992</v>
      </c>
      <c r="D62" s="119">
        <f>C36/(1+F62)^Holding_Period</f>
        <v>11.391927811201437</v>
      </c>
      <c r="E62" s="336">
        <f>C62+D62</f>
        <v>12.372351671972638</v>
      </c>
      <c r="F62" s="305">
        <f>Thesis!E22</f>
        <v>0.29465259038036606</v>
      </c>
      <c r="G62" s="445">
        <f>(1-E62/C36)</f>
        <v>0.49951012297585473</v>
      </c>
    </row>
    <row r="63" spans="2:7" ht="13.15">
      <c r="B63" s="306" t="s">
        <v>313</v>
      </c>
      <c r="C63" s="119">
        <f>PV(F63, Holding_Period, -C58, 0)</f>
        <v>1.1273131110690993</v>
      </c>
      <c r="D63" s="119">
        <f>C36/(1+F63)^Holding_Period</f>
        <v>14.278979552523969</v>
      </c>
      <c r="E63" s="336">
        <f>C63+D63</f>
        <v>15.406292663593069</v>
      </c>
      <c r="F63" s="305">
        <f>Thesis!E23</f>
        <v>0.20075184365903009</v>
      </c>
      <c r="G63" s="445">
        <f>(1-E63/C36)</f>
        <v>0.37678028195182234</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1.2926587610289813</v>
      </c>
      <c r="D66" s="119">
        <f>C36/(1+F66)^Holding_Period</f>
        <v>17.718663361682012</v>
      </c>
      <c r="E66" s="336">
        <f>C66+D66</f>
        <v>19.011322122710993</v>
      </c>
      <c r="F66" s="305">
        <f>Thesis!E24</f>
        <v>0.1174</v>
      </c>
      <c r="G66" s="445">
        <f>(1-E66/C36)</f>
        <v>0.23094860835418063</v>
      </c>
    </row>
    <row r="67" spans="2:7" ht="13.15">
      <c r="B67" s="306" t="s">
        <v>314</v>
      </c>
      <c r="C67" s="119">
        <f>PV(F67, Holding_Period, -C58, 0)</f>
        <v>1.3996954941299977</v>
      </c>
      <c r="D67" s="119">
        <f>C36/(1+F67)^Holding_Period</f>
        <v>20.038492922970928</v>
      </c>
      <c r="E67" s="336">
        <f>C67+D67</f>
        <v>21.438188417100925</v>
      </c>
      <c r="F67" s="305">
        <f>Thesis!E25</f>
        <v>7.2499999999999995E-2</v>
      </c>
      <c r="G67" s="445">
        <f>(1-E67/C36)</f>
        <v>0.13277632506993076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16.899999999999999</v>
      </c>
    </row>
    <row r="9" spans="1:10">
      <c r="B9" s="355" t="s">
        <v>361</v>
      </c>
      <c r="C9" s="357">
        <f>Common_Shares</f>
        <v>2584811005</v>
      </c>
    </row>
    <row r="10" spans="1:10">
      <c r="B10" s="355" t="s">
        <v>367</v>
      </c>
      <c r="C10" s="361">
        <f>投资主题!C8*Common_Shares/1000000</f>
        <v>43683.305984500003</v>
      </c>
      <c r="D10" s="347" t="s">
        <v>532</v>
      </c>
      <c r="E10" s="364">
        <f>Scenarios!F34</f>
        <v>0.16329586530856066</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1.09146385</v>
      </c>
    </row>
    <row r="17" spans="1:6">
      <c r="B17" s="347" t="s">
        <v>538</v>
      </c>
      <c r="C17" s="429">
        <f>Terminal_Growth</f>
        <v>0</v>
      </c>
      <c r="D17" s="355" t="s">
        <v>339</v>
      </c>
      <c r="E17" s="348" t="str">
        <f>Reporting_currency</f>
        <v>CNY</v>
      </c>
    </row>
    <row r="18" spans="1:6">
      <c r="B18" s="347" t="str">
        <f>"预期股权价值 ("&amp;C7&amp;") :"</f>
        <v>预期股权价值 (HKD) :</v>
      </c>
      <c r="C18" s="363">
        <f>C125</f>
        <v>24.720483350307113</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12.372351671972638</v>
      </c>
      <c r="D22" s="369" t="s">
        <v>443</v>
      </c>
      <c r="E22" s="370">
        <f>Thesis!E22</f>
        <v>0.29465259038036606</v>
      </c>
    </row>
    <row r="23" spans="1:6">
      <c r="B23" s="347" t="s">
        <v>341</v>
      </c>
      <c r="C23" s="371">
        <f>E141</f>
        <v>15.406292663593069</v>
      </c>
      <c r="D23" s="369" t="s">
        <v>444</v>
      </c>
      <c r="E23" s="372">
        <f>Thesis!E23</f>
        <v>0.20075184365903009</v>
      </c>
    </row>
    <row r="24" spans="1:6">
      <c r="B24" s="347" t="s">
        <v>343</v>
      </c>
      <c r="C24" s="371">
        <f>E144</f>
        <v>19.011322122710993</v>
      </c>
      <c r="D24" s="369" t="s">
        <v>446</v>
      </c>
      <c r="E24" s="372">
        <f>Thesis!E24</f>
        <v>0.1174</v>
      </c>
    </row>
    <row r="25" spans="1:6">
      <c r="B25" s="347" t="s">
        <v>342</v>
      </c>
      <c r="C25" s="371">
        <f>E145</f>
        <v>21.438188417100925</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24452.546298984489</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-82186.233701015502</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-753160.92777131533</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2525691.1421582527</v>
      </c>
      <c r="D60" s="347" t="str">
        <f>Reporting_currency</f>
        <v>CNY</v>
      </c>
    </row>
    <row r="61" spans="2:6">
      <c r="B61" s="376" t="s">
        <v>213</v>
      </c>
      <c r="C61" s="377">
        <f>Normalized_FCF!C19</f>
        <v>2259482.7833139459</v>
      </c>
      <c r="D61" s="347" t="str">
        <f>Reporting_currency</f>
        <v>CNY</v>
      </c>
    </row>
    <row r="62" spans="2:6">
      <c r="B62" s="381" t="s">
        <v>302</v>
      </c>
      <c r="C62" s="382">
        <f>Normalized_FCF!C124</f>
        <v>5.6455062685951664E-2</v>
      </c>
      <c r="F62" s="383"/>
    </row>
    <row r="63" spans="2:6">
      <c r="B63" s="381" t="s">
        <v>332</v>
      </c>
      <c r="C63" s="382">
        <f>Normalized_FCF!C92</f>
        <v>3.17037987981535E-2</v>
      </c>
      <c r="E63" s="376" t="s">
        <v>373</v>
      </c>
      <c r="F63" s="384">
        <f>Normalized_FCF!C90</f>
        <v>0.61293971965544847</v>
      </c>
    </row>
    <row r="65" spans="1:6">
      <c r="B65" s="373" t="s">
        <v>376</v>
      </c>
      <c r="C65" s="385" t="s">
        <v>327</v>
      </c>
      <c r="D65" s="385" t="s">
        <v>374</v>
      </c>
    </row>
    <row r="66" spans="1:6">
      <c r="B66" s="376" t="s">
        <v>326</v>
      </c>
      <c r="C66" s="382">
        <f>Normalized_FCF!C119</f>
        <v>0.11088658961567498</v>
      </c>
      <c r="D66" s="382">
        <f>Normalized_FCF!G119</f>
        <v>0.13332927506517345</v>
      </c>
    </row>
    <row r="67" spans="1:6">
      <c r="B67" s="386" t="str">
        <f>Normalized_FCF!B116</f>
        <v>Pre-tax Profit/Sales</v>
      </c>
      <c r="C67" s="387">
        <f>Normalized_FCF!C116</f>
        <v>0.11515143912978261</v>
      </c>
      <c r="D67" s="387">
        <f>Normalized_FCF!G116</f>
        <v>0.12632261261441471</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-1777313</v>
      </c>
      <c r="D78" s="347" t="str">
        <f>Reporting_currency</f>
        <v>CNY</v>
      </c>
    </row>
    <row r="79" spans="1:6">
      <c r="B79" s="376" t="s">
        <v>234</v>
      </c>
      <c r="C79" s="391">
        <f>C78*scaling_factor*Exchange_Rate/Common_Shares</f>
        <v>-0.75048925661590105</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15115431.616835918</v>
      </c>
      <c r="D84" s="347" t="str">
        <f>Reporting_currency</f>
        <v>CNY</v>
      </c>
    </row>
    <row r="85" spans="1:6">
      <c r="B85" s="386" t="s">
        <v>484</v>
      </c>
      <c r="C85" s="394">
        <f>BS!C66</f>
        <v>19190856</v>
      </c>
      <c r="D85" s="395" t="str">
        <f>Reporting_currency</f>
        <v>CNY</v>
      </c>
    </row>
    <row r="86" spans="1:6">
      <c r="B86" s="376" t="s">
        <v>235</v>
      </c>
      <c r="C86" s="391">
        <f>C84*scaling_factor*Exchange_Rate/Common_Shares</f>
        <v>6.3826512480062174</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0.70463842699937751</v>
      </c>
      <c r="D90" s="347" t="str">
        <f>Market_currency</f>
        <v>HKD</v>
      </c>
    </row>
    <row r="92" spans="1:6">
      <c r="B92" s="376" t="s">
        <v>483</v>
      </c>
      <c r="C92" s="391">
        <f>DCF!F8</f>
        <v>6.3368004183896947</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5.4442671220218921</v>
      </c>
      <c r="D111" s="347" t="str">
        <f>Market_currency</f>
        <v>HKD</v>
      </c>
    </row>
    <row r="112" spans="1:6">
      <c r="A112" s="389"/>
      <c r="B112" s="376" t="s">
        <v>377</v>
      </c>
      <c r="C112" s="398">
        <f>DCF!C11</f>
        <v>19.496670203114981</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DCF!B82</f>
        <v>Snowball Scenario</v>
      </c>
      <c r="C118" s="400">
        <f>DCF!C82</f>
        <v>0.1</v>
      </c>
      <c r="D118" s="401">
        <f>DCF!D82</f>
        <v>10</v>
      </c>
      <c r="E118" s="402" t="str">
        <f>ROUND(DCF!E82,2)&amp;" "&amp;Market_currency</f>
        <v>34.69 HKD</v>
      </c>
      <c r="F118" s="403">
        <f>DCF!F82</f>
        <v>0.05</v>
      </c>
    </row>
    <row r="119" spans="1:6">
      <c r="A119" s="389"/>
      <c r="B119" s="404" t="str">
        <f>DCF!B83</f>
        <v>Optimistic</v>
      </c>
      <c r="C119" s="405">
        <f>DCF!C83</f>
        <v>0.06</v>
      </c>
      <c r="D119" s="406">
        <f>DCF!D83</f>
        <v>10</v>
      </c>
      <c r="E119" s="402" t="str">
        <f>ROUND(DCF!E83,2)&amp;" "&amp;Market_currency</f>
        <v>27.2 HKD</v>
      </c>
      <c r="F119" s="407">
        <f>DCF!F83</f>
        <v>0.22499999999999992</v>
      </c>
    </row>
    <row r="120" spans="1:6">
      <c r="B120" s="404" t="str">
        <f>DCF!B84</f>
        <v>Base</v>
      </c>
      <c r="C120" s="405">
        <f>DCF!C84</f>
        <v>0.04</v>
      </c>
      <c r="D120" s="406">
        <f>DCF!D84</f>
        <v>10</v>
      </c>
      <c r="E120" s="402" t="str">
        <f>ROUND(DCF!E84,2)&amp;" "&amp;Market_currency</f>
        <v>24.22 HKD</v>
      </c>
      <c r="F120" s="407">
        <f>DCF!F84</f>
        <v>0.495</v>
      </c>
    </row>
    <row r="121" spans="1:6">
      <c r="B121" s="404" t="str">
        <f>DCF!B85</f>
        <v>Pessimistic</v>
      </c>
      <c r="C121" s="405">
        <f>DCF!C85</f>
        <v>0.02</v>
      </c>
      <c r="D121" s="406">
        <f>DCF!D85</f>
        <v>10</v>
      </c>
      <c r="E121" s="402" t="str">
        <f>ROUND(DCF!E85,2)&amp;" "&amp;Market_currency</f>
        <v>21.68 HKD</v>
      </c>
      <c r="F121" s="407">
        <f>DCF!F85</f>
        <v>0.18</v>
      </c>
    </row>
    <row r="122" spans="1:6">
      <c r="B122" s="404" t="str">
        <f>DCF!B86</f>
        <v>Devil's advocate</v>
      </c>
      <c r="C122" s="405">
        <f>DCF!C86</f>
        <v>0</v>
      </c>
      <c r="D122" s="406">
        <f>DCF!D86</f>
        <v>10</v>
      </c>
      <c r="E122" s="402" t="str">
        <f>ROUND(DCF!E86,2)&amp;" "&amp;Market_currency</f>
        <v>19.5 HKD</v>
      </c>
      <c r="F122" s="407">
        <f>DCF!F86</f>
        <v>0.05</v>
      </c>
    </row>
    <row r="124" spans="1:6">
      <c r="B124" s="466" t="s">
        <v>522</v>
      </c>
      <c r="C124" s="466"/>
      <c r="D124" s="466"/>
      <c r="E124" s="466"/>
      <c r="F124" s="466"/>
    </row>
    <row r="125" spans="1:6">
      <c r="B125" s="376" t="s">
        <v>218</v>
      </c>
      <c r="C125" s="408">
        <f>Scenarios!C36</f>
        <v>24.720483350307113</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0.53579419968879405</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0.98042386077119992</v>
      </c>
      <c r="D140" s="413">
        <f>Scenarios!D62</f>
        <v>11.391927811201437</v>
      </c>
      <c r="E140" s="414">
        <f>Scenarios!E62</f>
        <v>12.372351671972638</v>
      </c>
      <c r="F140" s="415">
        <f>E22</f>
        <v>0.29465259038036606</v>
      </c>
    </row>
    <row r="141" spans="1:6">
      <c r="B141" s="412" t="s">
        <v>313</v>
      </c>
      <c r="C141" s="413">
        <f>Scenarios!C63</f>
        <v>1.1273131110690993</v>
      </c>
      <c r="D141" s="413">
        <f>Scenarios!D63</f>
        <v>14.278979552523969</v>
      </c>
      <c r="E141" s="414">
        <f>Scenarios!E63</f>
        <v>15.406292663593069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1.2926587610289813</v>
      </c>
      <c r="D144" s="413">
        <f>Scenarios!D66</f>
        <v>17.718663361682012</v>
      </c>
      <c r="E144" s="414">
        <f>Scenarios!E66</f>
        <v>19.011322122710993</v>
      </c>
      <c r="F144" s="415">
        <f>E24</f>
        <v>0.1174</v>
      </c>
    </row>
    <row r="145" spans="1:6">
      <c r="B145" s="412" t="s">
        <v>314</v>
      </c>
      <c r="C145" s="413">
        <f>Scenarios!C67</f>
        <v>1.3996954941299977</v>
      </c>
      <c r="D145" s="413">
        <f>Scenarios!D67</f>
        <v>20.038492922970928</v>
      </c>
      <c r="E145" s="414">
        <f>Scenarios!E67</f>
        <v>21.438188417100925</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2025-10-13T02:49:33Z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