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F0567855-2923-2647-93A7-9B25325F2F48}"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<sst xmlns="http://schemas.openxmlformats.org/spreadsheetml/2006/main" count="685" uniqueCount="466">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</sst>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45778</v>
      </c>
      <c r="D1" s="317" t="s">
        <v>451</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2584797906</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15.4</v>
      </c>
      <c r="D12" s="50"/>
      <c r="E12" s="48"/>
    </row>
    <row r="13" spans="1:10" x14ac:dyDescent="0.15">
      <c r="B13" s="1" t="s">
        <v>417</v>
      </c>
      <c r="C13" s="48" t="s">
        <v>397</v>
      </c>
      <c r="D13" s="48"/>
      <c r="E13" s="5"/>
    </row>
    <row r="14" spans="1:10" x14ac:dyDescent="0.15">
      <c r="B14" s="4" t="s">
        <v>421</v>
      </c>
      <c r="C14" s="35">
        <f>Thesis!C12*Common_Shares/1000000</f>
        <v>39805.887752399998</v>
      </c>
      <c r="D14" s="35" t="str">
        <f>IF(D11="","",Thesis!D12*Common_Shares/1000000)</f>
        <v/>
      </c>
      <c r="E14" s="5"/>
    </row>
    <row r="15" spans="1:10" x14ac:dyDescent="0.15">
      <c r="B15" s="4" t="s">
        <v>420</v>
      </c>
      <c r="C15" s="32" t="str">
        <f>IF(C25=C13,C13,C25&amp;"/"&amp;C13)</f>
        <v>CNY/HKD</v>
      </c>
      <c r="D15" s="32" t="str">
        <f>IF(D11="","",IF(C25=D13,D13,C25&amp;"/"&amp;D13))</f>
        <v/>
      </c>
      <c r="E15" s="5"/>
    </row>
    <row r="16" spans="1:10" x14ac:dyDescent="0.15">
      <c r="B16" s="4" t="s">
        <v>1</v>
      </c>
      <c r="C16" s="50">
        <v>1.0877953499999999</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462</v>
      </c>
    </row>
    <row r="22" spans="2:6" x14ac:dyDescent="0.15">
      <c r="B22" s="2" t="s">
        <v>56</v>
      </c>
      <c r="C22" s="48" t="s">
        <v>460</v>
      </c>
      <c r="D22" s="1" t="str">
        <f>IF(valuation_method="DDM","DDM Terminal Value","")</f>
        <v/>
      </c>
      <c r="E22" s="314"/>
    </row>
    <row r="23" spans="2:6" x14ac:dyDescent="0.15">
      <c r="B23" s="1" t="s">
        <v>435</v>
      </c>
      <c r="C23" s="262" t="s">
        <v>461</v>
      </c>
    </row>
    <row r="24" spans="2:6" x14ac:dyDescent="0.15">
      <c r="B24" s="1" t="s">
        <v>436</v>
      </c>
      <c r="C24" s="262" t="s">
        <v>461</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(HKD) :</v>
      </c>
      <c r="C26" s="305">
        <f>C132</f>
        <v>25.482194548009129</v>
      </c>
      <c r="D26" s="1" t="s">
        <v>400</v>
      </c>
      <c r="E26" s="302">
        <f ca="1">Scenarios!C87</f>
        <v>0.21265890903243356</v>
      </c>
    </row>
    <row r="27" spans="2:6" x14ac:dyDescent="0.15">
      <c r="D27" s="5"/>
      <c r="E27" s="5"/>
    </row>
    <row r="28" spans="2:6" x14ac:dyDescent="0.15">
      <c r="B28" s="45" t="s">
        <v>434</v>
      </c>
      <c r="C28" s="310" t="str">
        <f>C145&amp;" ("&amp;Market_currency&amp;")"</f>
        <v>2331.HK (HKD)</v>
      </c>
      <c r="D28" s="310" t="str">
        <f>IF(D11="","",D145&amp;" ("&amp;D13&amp;")")</f>
        <v/>
      </c>
      <c r="E28" s="306" t="s">
        <v>430</v>
      </c>
      <c r="F28" s="304">
        <v>3</v>
      </c>
    </row>
    <row r="29" spans="2:6" x14ac:dyDescent="0.15">
      <c r="B29" s="1" t="s">
        <v>426</v>
      </c>
      <c r="C29" s="311">
        <f>C149</f>
        <v>10.85761496270413</v>
      </c>
      <c r="D29" s="311" t="str">
        <f>D149</f>
        <v/>
      </c>
      <c r="E29" s="307" t="s">
        <v>425</v>
      </c>
      <c r="F29" s="303">
        <v>0.3674</v>
      </c>
    </row>
    <row r="30" spans="2:6" x14ac:dyDescent="0.15">
      <c r="B30" s="1" t="s">
        <v>427</v>
      </c>
      <c r="C30" s="312">
        <f>C157</f>
        <v>15.225622190292498</v>
      </c>
      <c r="D30" s="312" t="str">
        <f>D157</f>
        <v/>
      </c>
      <c r="E30" s="308" t="s">
        <v>438</v>
      </c>
      <c r="F30" s="313">
        <v>0.21740000000000001</v>
      </c>
    </row>
    <row r="31" spans="2:6" x14ac:dyDescent="0.15">
      <c r="B31" s="1" t="s">
        <v>428</v>
      </c>
      <c r="C31" s="312">
        <f>C165</f>
        <v>21.910207389671896</v>
      </c>
      <c r="D31" s="312" t="str">
        <f>D165</f>
        <v/>
      </c>
      <c r="E31" s="308" t="s">
        <v>437</v>
      </c>
      <c r="F31" s="313">
        <v>7.4999999999999997E-2</v>
      </c>
    </row>
    <row r="32" spans="2:6" x14ac:dyDescent="0.15">
      <c r="B32" s="1" t="s">
        <v>429</v>
      </c>
      <c r="C32" s="312">
        <f>C173</f>
        <v>19.56164592507805</v>
      </c>
      <c r="D32" s="312" t="str">
        <f>D173</f>
        <v/>
      </c>
      <c r="E32" s="308" t="s">
        <v>439</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v>
      </c>
    </row>
    <row r="40" spans="1:6" ht="24.5" customHeight="1" x14ac:dyDescent="0.15">
      <c r="B40" s="349" t="s">
        <v>232</v>
      </c>
      <c r="C40" s="349"/>
      <c r="D40" s="349"/>
      <c r="E40" s="349"/>
      <c r="F40" s="349"/>
    </row>
    <row r="41" spans="1:6" x14ac:dyDescent="0.15">
      <c r="B41" s="47" t="s">
        <v>233</v>
      </c>
      <c r="C41" s="76">
        <f>Normalized_FCF!C8</f>
        <v>3205414.6239021346</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9" t="s">
        <v>237</v>
      </c>
      <c r="C47" s="349"/>
      <c r="D47" s="349"/>
      <c r="E47" s="349"/>
      <c r="F47" s="349"/>
    </row>
    <row r="48" spans="1:6" x14ac:dyDescent="0.15">
      <c r="B48" s="47" t="s">
        <v>238</v>
      </c>
      <c r="C48" s="76">
        <f>Normalized_FCF!C11</f>
        <v>179409.3</v>
      </c>
      <c r="D48" s="1" t="str">
        <f>Reporting_currency</f>
        <v>CNY</v>
      </c>
    </row>
    <row r="50" spans="2:6" x14ac:dyDescent="0.15">
      <c r="B50" s="349" t="s">
        <v>241</v>
      </c>
      <c r="C50" s="349"/>
      <c r="D50" s="349"/>
      <c r="E50" s="349"/>
      <c r="F50" s="349"/>
    </row>
    <row r="51" spans="2:6" x14ac:dyDescent="0.15">
      <c r="B51" s="47" t="s">
        <v>341</v>
      </c>
      <c r="C51" s="341">
        <f>Normalized_FCF!C48</f>
        <v>95953.313542933756</v>
      </c>
      <c r="D51" s="1" t="str">
        <f>Reporting_currency</f>
        <v>CNY</v>
      </c>
      <c r="E51" s="286"/>
      <c r="F51" s="286"/>
    </row>
    <row r="52" spans="2:6" x14ac:dyDescent="0.15">
      <c r="B52" s="47" t="s">
        <v>342</v>
      </c>
      <c r="C52" s="341">
        <f>Normalized_FCF!C47</f>
        <v>-254421</v>
      </c>
      <c r="D52" s="1" t="str">
        <f>Reporting_currency</f>
        <v>CNY</v>
      </c>
      <c r="E52" s="286"/>
      <c r="F52" s="286"/>
    </row>
    <row r="53" spans="2:6" x14ac:dyDescent="0.15">
      <c r="B53" s="47" t="s">
        <v>239</v>
      </c>
      <c r="C53" s="76">
        <f>Normalized_FCF!C12</f>
        <v>-158467.68645706624</v>
      </c>
      <c r="D53" s="1" t="str">
        <f>Reporting_currency</f>
        <v>CNY</v>
      </c>
    </row>
    <row r="55" spans="2:6" x14ac:dyDescent="0.15">
      <c r="B55" s="1" t="s">
        <v>247</v>
      </c>
    </row>
    <row r="56" spans="2:6" x14ac:dyDescent="0.15">
      <c r="B56" s="47" t="s">
        <v>266</v>
      </c>
      <c r="C56" s="76">
        <f>Normalized_FCF!C15</f>
        <v>0</v>
      </c>
      <c r="D56" s="1" t="str">
        <f>Reporting_currency</f>
        <v>CNY</v>
      </c>
    </row>
    <row r="58" spans="2:6" x14ac:dyDescent="0.15">
      <c r="B58" s="349" t="s">
        <v>242</v>
      </c>
      <c r="C58" s="349"/>
      <c r="D58" s="349"/>
      <c r="E58" s="349"/>
      <c r="F58" s="349"/>
    </row>
    <row r="59" spans="2:6" x14ac:dyDescent="0.15">
      <c r="B59" s="47" t="s">
        <v>240</v>
      </c>
      <c r="C59" s="76">
        <f>Normalized_FCF!C14</f>
        <v>-806589.05936126702</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2532244.5875429339</v>
      </c>
      <c r="D67" s="1" t="str">
        <f>Reporting_currency</f>
        <v>CNY</v>
      </c>
    </row>
    <row r="68" spans="1:6" x14ac:dyDescent="0.15">
      <c r="B68" s="47" t="s">
        <v>249</v>
      </c>
      <c r="C68" s="76">
        <f>Normalized_FCF!C19</f>
        <v>2419767.1780838012</v>
      </c>
      <c r="D68" s="1" t="str">
        <f>Reporting_currency</f>
        <v>CNY</v>
      </c>
    </row>
    <row r="69" spans="1:6" x14ac:dyDescent="0.15">
      <c r="B69" s="227" t="s">
        <v>391</v>
      </c>
      <c r="C69" s="92">
        <f>Normalized_FCF!C125</f>
        <v>6.6126184668334087E-2</v>
      </c>
      <c r="F69" s="315"/>
    </row>
    <row r="70" spans="1:6" x14ac:dyDescent="0.15">
      <c r="B70" s="227" t="s">
        <v>309</v>
      </c>
      <c r="C70" s="92">
        <f>Normalized_FCF!C93</f>
        <v>3.4909163726454591E-2</v>
      </c>
      <c r="E70" s="47" t="s">
        <v>449</v>
      </c>
      <c r="F70" s="316">
        <f>Normalized_FCF!C92</f>
        <v>0.57426609692499964</v>
      </c>
    </row>
    <row r="72" spans="1:6" x14ac:dyDescent="0.15">
      <c r="B72" s="210" t="s">
        <v>452</v>
      </c>
      <c r="C72" s="345" t="s">
        <v>454</v>
      </c>
      <c r="D72" s="345" t="s">
        <v>455</v>
      </c>
    </row>
    <row r="73" spans="1:6" x14ac:dyDescent="0.15">
      <c r="B73" s="47" t="s">
        <v>453</v>
      </c>
      <c r="C73" s="92">
        <f>Normalized_FCF!C120</f>
        <v>0.12359771208755468</v>
      </c>
      <c r="D73" s="92">
        <f>Normalized_FCF!G120</f>
        <v>0.1390200284543282</v>
      </c>
    </row>
    <row r="74" spans="1:6" x14ac:dyDescent="0.15">
      <c r="B74" s="259" t="str">
        <f>Normalized_FCF!B117</f>
        <v>Pre-tax Profit/Sales</v>
      </c>
      <c r="C74" s="344">
        <f>Normalized_FCF!C117</f>
        <v>0.12332011333438285</v>
      </c>
      <c r="D74" s="344">
        <f>Normalized_FCF!G117</f>
        <v>0.1265511496130334</v>
      </c>
    </row>
    <row r="75" spans="1:6" x14ac:dyDescent="0.15">
      <c r="B75" s="259" t="str">
        <f>Normalized_FCF!B118</f>
        <v>Sales/Total Assets</v>
      </c>
      <c r="C75" s="344">
        <f>Normalized_FCF!C118</f>
        <v>0.73266920679685343</v>
      </c>
      <c r="D75" s="344">
        <f>Normalized_FCF!G118</f>
        <v>0.80305021176246283</v>
      </c>
    </row>
    <row r="76" spans="1:6" x14ac:dyDescent="0.15">
      <c r="B76" s="259" t="str">
        <f>Normalized_FCF!B119</f>
        <v>Total Assets/Equity</v>
      </c>
      <c r="C76" s="344">
        <f>Normalized_FCF!C119</f>
        <v>1.3679448142367923</v>
      </c>
      <c r="D76" s="344">
        <f>Normalized_FCF!G119</f>
        <v>1.3679448142367923</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7.4999999999999997E-2</v>
      </c>
    </row>
    <row r="85" spans="1:6" x14ac:dyDescent="0.15">
      <c r="B85" s="1" t="s">
        <v>431</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13.5779099185646</v>
      </c>
      <c r="D93" s="1" t="str">
        <f>Market_currency</f>
        <v>HKD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1936137</v>
      </c>
      <c r="D102" s="1" t="str">
        <f>Reporting_currency</f>
        <v>CNY</v>
      </c>
    </row>
    <row r="103" spans="2:6" x14ac:dyDescent="0.15">
      <c r="B103" s="47" t="s">
        <v>282</v>
      </c>
      <c r="C103" s="223">
        <f>C102*scaling_factor*Exchange_Rate/Common_Shares</f>
        <v>0.81481063593950076</v>
      </c>
      <c r="D103" s="1" t="str">
        <f>Market_currency</f>
        <v>HKD</v>
      </c>
    </row>
    <row r="104" spans="2:6" x14ac:dyDescent="0.15">
      <c r="B104" s="296" t="s">
        <v>405</v>
      </c>
      <c r="C104" s="297">
        <f>BS!G31/BS!G27</f>
        <v>7.4171010848313429E-2</v>
      </c>
    </row>
    <row r="105" spans="2:6" x14ac:dyDescent="0.15">
      <c r="B105" s="296" t="s">
        <v>407</v>
      </c>
      <c r="C105" s="298">
        <f>BS!C50</f>
        <v>0.60402076709908736</v>
      </c>
    </row>
    <row r="107" spans="2:6" x14ac:dyDescent="0.15">
      <c r="B107" s="1" t="s">
        <v>255</v>
      </c>
    </row>
    <row r="108" spans="2:6" x14ac:dyDescent="0.15">
      <c r="B108" s="47" t="s">
        <v>265</v>
      </c>
      <c r="C108" s="76">
        <f>BS!C66</f>
        <v>18164188</v>
      </c>
      <c r="D108" s="1" t="str">
        <f>Reporting_currency</f>
        <v>CNY</v>
      </c>
    </row>
    <row r="109" spans="2:6" x14ac:dyDescent="0.15">
      <c r="B109" s="47" t="s">
        <v>267</v>
      </c>
      <c r="C109" s="76">
        <f>DCF!C8</f>
        <v>14106417.145179454</v>
      </c>
      <c r="D109" s="1" t="str">
        <f>Reporting_currency</f>
        <v>CNY</v>
      </c>
    </row>
    <row r="110" spans="2:6" x14ac:dyDescent="0.15">
      <c r="B110" s="47" t="s">
        <v>283</v>
      </c>
      <c r="C110" s="223">
        <f>C109*scaling_factor*Exchange_Rate/Common_Shares</f>
        <v>5.9365937043151122</v>
      </c>
      <c r="D110" s="1" t="str">
        <f>Market_currency</f>
        <v>HKD</v>
      </c>
    </row>
    <row r="112" spans="2:6" x14ac:dyDescent="0.15">
      <c r="B112" s="1" t="s">
        <v>257</v>
      </c>
    </row>
    <row r="113" spans="1:6" x14ac:dyDescent="0.15">
      <c r="B113" s="47" t="s">
        <v>258</v>
      </c>
      <c r="C113" s="76">
        <f>DCF!C9</f>
        <v>561572.19999999995</v>
      </c>
      <c r="D113" s="1" t="str">
        <f>Reporting_currency</f>
        <v>CNY</v>
      </c>
    </row>
    <row r="114" spans="1:6" x14ac:dyDescent="0.15">
      <c r="B114" s="47" t="s">
        <v>284</v>
      </c>
      <c r="C114" s="223">
        <f>C113*scaling_factor*Exchange_Rate/Common_Shares</f>
        <v>0.236333999819199</v>
      </c>
      <c r="D114" s="1" t="str">
        <f>Market_currency</f>
        <v>HKD</v>
      </c>
    </row>
    <row r="116" spans="1:6" ht="24.5" customHeight="1" x14ac:dyDescent="0.15">
      <c r="B116" s="348" t="s">
        <v>367</v>
      </c>
      <c r="C116" s="348"/>
      <c r="D116" s="348"/>
      <c r="E116" s="348"/>
      <c r="F116" s="348"/>
    </row>
    <row r="118" spans="1:6" x14ac:dyDescent="0.15">
      <c r="B118" s="47" t="s">
        <v>450</v>
      </c>
      <c r="C118" s="223">
        <f>IF(valuation_method="DCF",DCF!C12,DDM!C7)</f>
        <v>18.936026986759408</v>
      </c>
      <c r="D118" s="1" t="str">
        <f>Market_currency</f>
        <v>HKD</v>
      </c>
    </row>
    <row r="119" spans="1:6" x14ac:dyDescent="0.15">
      <c r="B119" s="296" t="s">
        <v>406</v>
      </c>
      <c r="C119" s="223">
        <f>BS!D47</f>
        <v>4.5859352276564076</v>
      </c>
      <c r="D119" s="1" t="str">
        <f>Market_currency</f>
        <v>HKD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0.1</v>
      </c>
      <c r="D126" s="230">
        <f>DCF!D74</f>
        <v>30</v>
      </c>
      <c r="E126" s="231" t="str">
        <f>ROUND(IF(valuation_method="DCF",DCF!E74,DDM!E69),2)&amp;" "&amp;Market_currency</f>
        <v>51.56 HKD</v>
      </c>
      <c r="F126" s="232">
        <f>DCF!F74</f>
        <v>0.05</v>
      </c>
    </row>
    <row r="127" spans="1:6" x14ac:dyDescent="0.15">
      <c r="B127" s="218" t="str">
        <f>DCF!B75</f>
        <v>Optimistic</v>
      </c>
      <c r="C127" s="219">
        <f>DCF!C75</f>
        <v>0.06</v>
      </c>
      <c r="D127" s="220">
        <f>DCF!D75</f>
        <v>20</v>
      </c>
      <c r="E127" s="231" t="str">
        <f>ROUND(IF(valuation_method="DCF",DCF!E75,DDM!E70),2)&amp;" "&amp;Market_currency</f>
        <v>26.38 HKD</v>
      </c>
      <c r="F127" s="221">
        <f>DCF!F75</f>
        <v>0.22499999999999992</v>
      </c>
    </row>
    <row r="128" spans="1:6" x14ac:dyDescent="0.15">
      <c r="B128" s="218" t="str">
        <f>DCF!B76</f>
        <v>Base</v>
      </c>
      <c r="C128" s="219">
        <f>DCF!C76</f>
        <v>0.05</v>
      </c>
      <c r="D128" s="220">
        <f>DCF!D76</f>
        <v>20</v>
      </c>
      <c r="E128" s="231" t="str">
        <f>ROUND(IF(valuation_method="DCF",DCF!E76,DDM!E71),2)&amp;" "&amp;Market_currency</f>
        <v>24.77 HKD</v>
      </c>
      <c r="F128" s="221">
        <f>DCF!F76</f>
        <v>0.495</v>
      </c>
    </row>
    <row r="129" spans="1:6" x14ac:dyDescent="0.15">
      <c r="B129" s="218" t="str">
        <f>DCF!B77</f>
        <v>Pessimistic</v>
      </c>
      <c r="C129" s="219">
        <f>DCF!C77</f>
        <v>0.02</v>
      </c>
      <c r="D129" s="220">
        <f>DCF!D77</f>
        <v>20</v>
      </c>
      <c r="E129" s="231" t="str">
        <f>ROUND(IF(valuation_method="DCF",DCF!E77,DDM!E72),2)&amp;" "&amp;Market_currency</f>
        <v>20.9 HKD</v>
      </c>
      <c r="F129" s="221">
        <f>DCF!F77</f>
        <v>0.18</v>
      </c>
    </row>
    <row r="130" spans="1:6" x14ac:dyDescent="0.15">
      <c r="B130" s="218" t="str">
        <f>DCF!B78</f>
        <v>Devil's advocate</v>
      </c>
      <c r="C130" s="219">
        <f>DCF!C78</f>
        <v>0</v>
      </c>
      <c r="D130" s="220">
        <f>DCF!D78</f>
        <v>30</v>
      </c>
      <c r="E130" s="231" t="str">
        <f>ROUND(IF(valuation_method="DCF",DCF!E78,DDM!E73),2)&amp;" "&amp;Market_currency</f>
        <v>18.94 HKD</v>
      </c>
      <c r="F130" s="221">
        <f>DCF!F78</f>
        <v>0.05</v>
      </c>
    </row>
    <row r="132" spans="1:6" x14ac:dyDescent="0.15">
      <c r="B132" s="211" t="s">
        <v>259</v>
      </c>
      <c r="C132" s="217">
        <f>Scenarios!C60</f>
        <v>25.482194548009129</v>
      </c>
      <c r="D132" s="212" t="str">
        <f>Market_currency</f>
        <v>HKD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0.53760112138740068</v>
      </c>
      <c r="D143" s="212" t="str">
        <f>Market_currency</f>
        <v>HKD</v>
      </c>
    </row>
    <row r="145" spans="2:4" x14ac:dyDescent="0.15">
      <c r="B145" s="210" t="s">
        <v>409</v>
      </c>
      <c r="C145" s="241" t="str">
        <f>C11</f>
        <v>2331.HK</v>
      </c>
      <c r="D145" s="241" t="str">
        <f>IF(D11="","",D11)</f>
        <v/>
      </c>
    </row>
    <row r="146" spans="2:4" x14ac:dyDescent="0.15">
      <c r="B146" s="1" t="s">
        <v>408</v>
      </c>
      <c r="C146" s="297">
        <f>F29</f>
        <v>0.3674</v>
      </c>
    </row>
    <row r="147" spans="2:4" x14ac:dyDescent="0.15">
      <c r="B147" s="212" t="str">
        <f>"PV("&amp;C141&amp;" yrs of Dividends)"</f>
        <v>PV(3 yrs of Dividends)</v>
      </c>
      <c r="C147" s="216">
        <f>Scenarios!C81</f>
        <v>0.89094446852026854</v>
      </c>
    </row>
    <row r="148" spans="2:4" x14ac:dyDescent="0.15">
      <c r="B148" s="212" t="str">
        <f>"+ PV(Equity Value realized at year "&amp;C141&amp;")"</f>
        <v>+ PV(Equity Value realized at year 3)</v>
      </c>
      <c r="C148" s="216">
        <f>Scenarios!C82</f>
        <v>9.9666704941838606</v>
      </c>
    </row>
    <row r="149" spans="2:4" x14ac:dyDescent="0.15">
      <c r="B149" s="80" t="s">
        <v>261</v>
      </c>
      <c r="C149" s="215">
        <f>Scenarios!C83</f>
        <v>10.85761496270413</v>
      </c>
      <c r="D149" s="301" t="str">
        <f>IF($D$11="","",C149*$E$25)</f>
        <v/>
      </c>
    </row>
    <row r="150" spans="2:4" x14ac:dyDescent="0.15">
      <c r="B150" s="259" t="s">
        <v>417</v>
      </c>
      <c r="C150" s="299" t="str">
        <f>Market_currency</f>
        <v>HKD</v>
      </c>
      <c r="D150" s="299" t="str">
        <f>IF($D$11="","",D$13)</f>
        <v/>
      </c>
    </row>
    <row r="151" spans="2:4" x14ac:dyDescent="0.15">
      <c r="B151" s="214" t="s">
        <v>263</v>
      </c>
      <c r="C151" s="92">
        <f>Scenarios!F83</f>
        <v>0.57391366186110482</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1.1022977822034401</v>
      </c>
    </row>
    <row r="156" spans="2:4" x14ac:dyDescent="0.15">
      <c r="B156" s="212" t="str">
        <f>"+ PV(Equity Value realized at year "&amp;C141&amp;")"</f>
        <v>+ PV(Equity Value realized at year 3)</v>
      </c>
      <c r="C156" s="216">
        <f>Scenarios!C92</f>
        <v>14.123324408089058</v>
      </c>
    </row>
    <row r="157" spans="2:4" x14ac:dyDescent="0.15">
      <c r="B157" s="80" t="s">
        <v>261</v>
      </c>
      <c r="C157" s="215">
        <f>Scenarios!C93</f>
        <v>15.225622190292498</v>
      </c>
      <c r="D157" s="301" t="str">
        <f>IF($D$11="","",C157*$E$25)</f>
        <v/>
      </c>
    </row>
    <row r="158" spans="2:4" x14ac:dyDescent="0.15">
      <c r="B158" s="259" t="s">
        <v>417</v>
      </c>
      <c r="C158" s="299" t="str">
        <f>Market_currency</f>
        <v>HKD</v>
      </c>
      <c r="D158" s="299" t="str">
        <f>IF($D$11="","",D$13)</f>
        <v/>
      </c>
    </row>
    <row r="159" spans="2:4" x14ac:dyDescent="0.15">
      <c r="B159" s="214" t="s">
        <v>263</v>
      </c>
      <c r="C159" s="92">
        <f>Scenarios!F93</f>
        <v>0.40249957037228401</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1.3980455539519654</v>
      </c>
    </row>
    <row r="164" spans="2:4" x14ac:dyDescent="0.15">
      <c r="B164" s="212" t="str">
        <f>"+ PV(Equity Value realized at year "&amp;C141&amp;")"</f>
        <v>+ PV(Equity Value realized at year 3)</v>
      </c>
      <c r="C164" s="216">
        <f>Scenarios!C98</f>
        <v>20.51216183571993</v>
      </c>
    </row>
    <row r="165" spans="2:4" x14ac:dyDescent="0.15">
      <c r="B165" s="80" t="s">
        <v>402</v>
      </c>
      <c r="C165" s="215">
        <f>Scenarios!C99</f>
        <v>21.910207389671896</v>
      </c>
      <c r="D165" s="301" t="str">
        <f>IF($D$11="","",C165*$E$25)</f>
        <v/>
      </c>
    </row>
    <row r="166" spans="2:4" x14ac:dyDescent="0.15">
      <c r="B166" s="259" t="s">
        <v>417</v>
      </c>
      <c r="C166" s="299" t="str">
        <f>Market_currency</f>
        <v>HKD</v>
      </c>
      <c r="D166" s="299" t="str">
        <f>IF($D$11="","",D$13)</f>
        <v/>
      </c>
    </row>
    <row r="167" spans="2:4" x14ac:dyDescent="0.15">
      <c r="B167" s="214" t="s">
        <v>263</v>
      </c>
      <c r="C167" s="92">
        <f>Scenarios!F99</f>
        <v>0.14017580595766643</v>
      </c>
    </row>
    <row r="169" spans="2:4" x14ac:dyDescent="0.15">
      <c r="B169" s="210" t="s">
        <v>433</v>
      </c>
    </row>
    <row r="170" spans="2:4" x14ac:dyDescent="0.15">
      <c r="B170" s="1" t="s">
        <v>424</v>
      </c>
      <c r="C170" s="92">
        <f>F32</f>
        <v>0.1174</v>
      </c>
    </row>
    <row r="171" spans="2:4" x14ac:dyDescent="0.15">
      <c r="B171" s="212" t="str">
        <f>"PV("&amp;C141&amp;" yrs of Dividends)"</f>
        <v>PV(3 yrs of Dividends)</v>
      </c>
      <c r="C171" s="216">
        <f>Scenarios!C103</f>
        <v>1.297018145967366</v>
      </c>
    </row>
    <row r="172" spans="2:4" x14ac:dyDescent="0.15">
      <c r="B172" s="212" t="str">
        <f>"+ PV(Equity Value realized at year "&amp;C141&amp;")"</f>
        <v>+ PV(Equity Value realized at year 3)</v>
      </c>
      <c r="C172" s="216">
        <f>Scenarios!C104</f>
        <v>18.264627779110683</v>
      </c>
    </row>
    <row r="173" spans="2:4" x14ac:dyDescent="0.15">
      <c r="B173" s="80" t="s">
        <v>402</v>
      </c>
      <c r="C173" s="215">
        <f>Scenarios!C105</f>
        <v>19.56164592507805</v>
      </c>
      <c r="D173" s="301" t="str">
        <f>IF($D$11="","",C173*$E$25)</f>
        <v/>
      </c>
    </row>
    <row r="174" spans="2:4" x14ac:dyDescent="0.15">
      <c r="B174" s="259" t="s">
        <v>417</v>
      </c>
      <c r="C174" s="299" t="str">
        <f>Market_currency</f>
        <v>HKD</v>
      </c>
      <c r="D174" s="299" t="str">
        <f>IF($D$11="","",D$13)</f>
        <v/>
      </c>
    </row>
    <row r="175" spans="2:4" x14ac:dyDescent="0.15">
      <c r="B175" s="214" t="s">
        <v>263</v>
      </c>
      <c r="C175" s="92">
        <f>Scenarios!F105</f>
        <v>0.23076558398553959</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335">
        <v>28675643</v>
      </c>
      <c r="D4" s="335">
        <v>27598491</v>
      </c>
      <c r="E4" s="335">
        <v>25803383</v>
      </c>
      <c r="F4" s="335">
        <v>22572281</v>
      </c>
      <c r="G4" s="335">
        <v>14456971</v>
      </c>
      <c r="H4" s="335">
        <v>13869630</v>
      </c>
      <c r="I4" s="335">
        <v>10510898</v>
      </c>
      <c r="J4" s="335">
        <v>8873912</v>
      </c>
      <c r="K4" s="335">
        <v>8015293</v>
      </c>
      <c r="L4" s="335">
        <v>7089495</v>
      </c>
      <c r="M4" s="335"/>
    </row>
    <row r="5" spans="2:13" x14ac:dyDescent="0.15">
      <c r="B5" s="40" t="s">
        <v>43</v>
      </c>
      <c r="C5" s="335">
        <v>14519540</v>
      </c>
      <c r="D5" s="335">
        <v>14246436</v>
      </c>
      <c r="E5" s="335">
        <v>13318590</v>
      </c>
      <c r="F5" s="335">
        <v>10603183</v>
      </c>
      <c r="G5" s="335">
        <v>7362627</v>
      </c>
      <c r="H5" s="335">
        <v>7064168</v>
      </c>
      <c r="I5" s="335">
        <v>5458124</v>
      </c>
      <c r="J5" s="335">
        <v>4697429</v>
      </c>
      <c r="K5" s="335">
        <v>4310065</v>
      </c>
      <c r="L5" s="335">
        <v>3896836</v>
      </c>
      <c r="M5" s="335"/>
    </row>
    <row r="6" spans="2:13" x14ac:dyDescent="0.15">
      <c r="B6" s="40" t="s">
        <v>54</v>
      </c>
      <c r="C6" s="335">
        <f>1427907+C7</f>
        <v>10626814</v>
      </c>
      <c r="D6" s="335">
        <f>1256152+D7</f>
        <v>10336273</v>
      </c>
      <c r="E6" s="335">
        <f>1113218+E7</f>
        <v>8427521</v>
      </c>
      <c r="F6" s="335">
        <f>1110675+F7</f>
        <v>7248752</v>
      </c>
      <c r="G6" s="335">
        <f>805058+G7</f>
        <v>5229776</v>
      </c>
      <c r="H6" s="335">
        <f>968264+H7</f>
        <v>5413334</v>
      </c>
      <c r="I6" s="335">
        <f>679873+I7</f>
        <v>4388319</v>
      </c>
      <c r="J6" s="335">
        <f>501066+J7</f>
        <v>3774441</v>
      </c>
      <c r="K6" s="335">
        <f>424129+K7</f>
        <v>3393470</v>
      </c>
      <c r="L6" s="335">
        <f>346149+L7</f>
        <v>3066510</v>
      </c>
      <c r="M6" s="335"/>
    </row>
    <row r="7" spans="2:13" x14ac:dyDescent="0.15">
      <c r="B7" s="69" t="s">
        <v>61</v>
      </c>
      <c r="C7" s="336">
        <v>9198907</v>
      </c>
      <c r="D7" s="336">
        <v>9080121</v>
      </c>
      <c r="E7" s="336">
        <v>7314303</v>
      </c>
      <c r="F7" s="336">
        <v>6138077</v>
      </c>
      <c r="G7" s="336">
        <v>4424718</v>
      </c>
      <c r="H7" s="336">
        <v>4445070</v>
      </c>
      <c r="I7" s="336">
        <v>3708446</v>
      </c>
      <c r="J7" s="336">
        <v>3273375</v>
      </c>
      <c r="K7" s="336">
        <v>2969341</v>
      </c>
      <c r="L7" s="336">
        <v>2720361</v>
      </c>
      <c r="M7" s="336"/>
    </row>
    <row r="8" spans="2:13" x14ac:dyDescent="0.15">
      <c r="B8" s="40" t="s">
        <v>49</v>
      </c>
      <c r="C8" s="335"/>
      <c r="D8" s="335"/>
      <c r="E8" s="335"/>
      <c r="F8" s="335"/>
      <c r="G8" s="335"/>
      <c r="H8" s="335"/>
      <c r="I8" s="335"/>
      <c r="J8" s="335"/>
      <c r="K8" s="335"/>
      <c r="L8" s="335"/>
      <c r="M8" s="335"/>
    </row>
    <row r="9" spans="2:13" x14ac:dyDescent="0.15">
      <c r="B9" s="40" t="s">
        <v>160</v>
      </c>
      <c r="C9" s="335">
        <v>256299</v>
      </c>
      <c r="D9" s="335">
        <v>377972</v>
      </c>
      <c r="E9" s="335">
        <v>201155</v>
      </c>
      <c r="F9" s="335">
        <v>159222</v>
      </c>
      <c r="G9" s="335">
        <v>83487</v>
      </c>
      <c r="H9" s="335">
        <v>343469</v>
      </c>
      <c r="I9" s="335">
        <v>63633</v>
      </c>
      <c r="J9" s="335">
        <v>73806</v>
      </c>
      <c r="K9" s="335">
        <v>9716</v>
      </c>
      <c r="L9" s="335">
        <v>6948</v>
      </c>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254421</v>
      </c>
      <c r="D12" s="335">
        <v>181446</v>
      </c>
      <c r="E12" s="335">
        <v>120561</v>
      </c>
      <c r="F12" s="335">
        <v>112458</v>
      </c>
      <c r="G12" s="335"/>
      <c r="H12" s="335"/>
      <c r="I12" s="335"/>
      <c r="J12" s="335"/>
      <c r="K12" s="335"/>
      <c r="L12" s="335"/>
      <c r="M12" s="335"/>
    </row>
    <row r="13" spans="2:13" x14ac:dyDescent="0.15">
      <c r="B13" s="40" t="s">
        <v>67</v>
      </c>
      <c r="C13" s="335">
        <v>429525</v>
      </c>
      <c r="D13" s="335">
        <v>500556</v>
      </c>
      <c r="E13" s="335">
        <v>447748</v>
      </c>
      <c r="F13" s="335">
        <v>145097</v>
      </c>
      <c r="G13" s="335"/>
      <c r="H13" s="335"/>
      <c r="I13" s="335"/>
      <c r="J13" s="335"/>
      <c r="K13" s="335"/>
      <c r="L13" s="335"/>
      <c r="M13" s="335"/>
    </row>
    <row r="14" spans="2:13" x14ac:dyDescent="0.15">
      <c r="B14" s="40" t="s">
        <v>50</v>
      </c>
      <c r="C14" s="335">
        <v>1096691</v>
      </c>
      <c r="D14" s="335">
        <v>1069207</v>
      </c>
      <c r="E14" s="335">
        <v>1351329</v>
      </c>
      <c r="F14" s="335">
        <v>1317349</v>
      </c>
      <c r="G14" s="335">
        <v>549381</v>
      </c>
      <c r="H14" s="335">
        <v>357403</v>
      </c>
      <c r="I14" s="335">
        <v>135058</v>
      </c>
      <c r="J14" s="335">
        <v>22369</v>
      </c>
      <c r="K14" s="335">
        <v>32435</v>
      </c>
      <c r="L14" s="335">
        <v>73768</v>
      </c>
      <c r="M14" s="335"/>
    </row>
    <row r="15" spans="2:13" x14ac:dyDescent="0.15">
      <c r="B15" s="43" t="s">
        <v>42</v>
      </c>
      <c r="C15" s="337">
        <v>3012918</v>
      </c>
      <c r="D15" s="337">
        <v>3186962</v>
      </c>
      <c r="E15" s="337">
        <v>4063771</v>
      </c>
      <c r="F15" s="337">
        <v>4010888</v>
      </c>
      <c r="G15" s="337">
        <v>1698484</v>
      </c>
      <c r="H15" s="337">
        <v>1499143</v>
      </c>
      <c r="I15" s="337">
        <v>715263</v>
      </c>
      <c r="J15" s="337">
        <v>515155</v>
      </c>
      <c r="K15" s="337">
        <v>700869</v>
      </c>
      <c r="L15" s="337">
        <v>61605</v>
      </c>
      <c r="M15" s="337"/>
    </row>
    <row r="16" spans="2:13" x14ac:dyDescent="0.15">
      <c r="B16" s="28" t="s">
        <v>44</v>
      </c>
      <c r="C16" s="335">
        <v>0</v>
      </c>
      <c r="D16" s="335">
        <v>52</v>
      </c>
      <c r="E16" s="335">
        <v>-63</v>
      </c>
      <c r="F16" s="335">
        <v>7</v>
      </c>
      <c r="G16" s="335">
        <v>0</v>
      </c>
      <c r="H16" s="335">
        <v>4</v>
      </c>
      <c r="I16" s="335">
        <v>0</v>
      </c>
      <c r="J16" s="335">
        <v>0</v>
      </c>
      <c r="K16" s="335">
        <v>57615</v>
      </c>
      <c r="L16" s="335">
        <v>47296</v>
      </c>
      <c r="M16" s="335"/>
    </row>
    <row r="18" spans="2:13" x14ac:dyDescent="0.15">
      <c r="B18" s="16" t="s">
        <v>51</v>
      </c>
      <c r="C18" s="9"/>
    </row>
    <row r="19" spans="2:13" ht="13" x14ac:dyDescent="0.15">
      <c r="B19" s="27" t="s">
        <v>47</v>
      </c>
      <c r="C19" s="335"/>
      <c r="D19" s="335"/>
      <c r="E19" s="335"/>
      <c r="F19" s="335"/>
      <c r="G19" s="335"/>
      <c r="H19" s="335"/>
      <c r="I19" s="335"/>
      <c r="J19" s="335"/>
      <c r="K19" s="335"/>
      <c r="L19" s="335"/>
      <c r="M19" s="335"/>
    </row>
    <row r="20" spans="2:13" ht="13" x14ac:dyDescent="0.15">
      <c r="B20" s="27" t="s">
        <v>53</v>
      </c>
      <c r="C20" s="335">
        <v>-1815.2739999999999</v>
      </c>
      <c r="D20" s="335">
        <v>-1815.2739999999999</v>
      </c>
      <c r="E20" s="335">
        <v>-1830.425</v>
      </c>
      <c r="F20" s="335">
        <v>-1027.7539999999999</v>
      </c>
      <c r="G20" s="335">
        <v>-745.63400000000001</v>
      </c>
      <c r="H20" s="335">
        <v>-649.02099999999996</v>
      </c>
      <c r="I20" s="335"/>
      <c r="J20" s="335"/>
      <c r="K20" s="335"/>
      <c r="L20" s="335"/>
      <c r="M20" s="335"/>
    </row>
    <row r="21" spans="2:13" ht="13" x14ac:dyDescent="0.15">
      <c r="B21" s="27" t="s">
        <v>52</v>
      </c>
      <c r="C21" s="335">
        <v>-31.047000000000001</v>
      </c>
      <c r="D21" s="335">
        <v>-31.047000000000001</v>
      </c>
      <c r="E21" s="335">
        <v>-1133.2159999999999</v>
      </c>
      <c r="F21" s="335">
        <v>826.13499999999999</v>
      </c>
      <c r="G21" s="335">
        <v>141.60300000000001</v>
      </c>
      <c r="H21" s="335"/>
      <c r="I21" s="335"/>
      <c r="J21" s="335"/>
      <c r="K21" s="335"/>
      <c r="L21" s="335"/>
      <c r="M21" s="335"/>
    </row>
    <row r="22" spans="2:13" ht="13" x14ac:dyDescent="0.15">
      <c r="B22" s="27" t="s">
        <v>372</v>
      </c>
      <c r="C22" s="335"/>
      <c r="D22" s="335">
        <v>4687936</v>
      </c>
      <c r="E22" s="335">
        <v>3913604</v>
      </c>
      <c r="F22" s="335">
        <v>6525335</v>
      </c>
      <c r="G22" s="335">
        <v>2763336</v>
      </c>
      <c r="H22" s="335">
        <v>3503469</v>
      </c>
      <c r="I22" s="335">
        <v>1671869</v>
      </c>
      <c r="J22" s="335">
        <v>1159143</v>
      </c>
      <c r="K22" s="335">
        <v>995476</v>
      </c>
      <c r="L22" s="335">
        <v>687043</v>
      </c>
      <c r="M22" s="335"/>
    </row>
    <row r="23" spans="2:13" ht="13" x14ac:dyDescent="0.15">
      <c r="B23" s="27" t="s">
        <v>374</v>
      </c>
      <c r="C23" s="335"/>
      <c r="D23" s="335">
        <v>-2449105</v>
      </c>
      <c r="E23" s="335">
        <v>-9481433</v>
      </c>
      <c r="F23" s="335">
        <v>-6538700</v>
      </c>
      <c r="G23" s="335">
        <v>-991555</v>
      </c>
      <c r="H23" s="335">
        <v>-573343</v>
      </c>
      <c r="I23" s="335">
        <v>-482937</v>
      </c>
      <c r="J23" s="335">
        <v>-342516</v>
      </c>
      <c r="K23" s="335">
        <v>-320306</v>
      </c>
      <c r="L23" s="335">
        <v>-362745</v>
      </c>
      <c r="M23" s="335"/>
    </row>
    <row r="24" spans="2:13" ht="13" x14ac:dyDescent="0.15">
      <c r="B24" s="27" t="s">
        <v>373</v>
      </c>
      <c r="C24" s="335"/>
      <c r="D24" s="335">
        <v>-4216951</v>
      </c>
      <c r="E24" s="335">
        <v>-1887435</v>
      </c>
      <c r="F24" s="335">
        <v>7596150</v>
      </c>
      <c r="G24" s="335">
        <v>-513491</v>
      </c>
      <c r="H24" s="335">
        <v>-648624</v>
      </c>
      <c r="I24" s="335">
        <v>-65643</v>
      </c>
      <c r="J24" s="335">
        <v>-232493</v>
      </c>
      <c r="K24" s="335">
        <v>-509027</v>
      </c>
      <c r="L24" s="335">
        <v>636375</v>
      </c>
      <c r="M24" s="335"/>
    </row>
    <row r="25" spans="2:13" x14ac:dyDescent="0.15">
      <c r="B25" s="24" t="str">
        <f>"Dividend per share ("&amp;Market_currency&amp;")"</f>
        <v>Dividend per share (HKD)</v>
      </c>
      <c r="C25" s="39">
        <f>(0.2073+0.3775)/Exchange_Rate</f>
        <v>0.53760112138740068</v>
      </c>
      <c r="D25" s="39"/>
      <c r="E25" s="39"/>
      <c r="F25" s="39"/>
      <c r="G25" s="39"/>
      <c r="H25" s="39"/>
      <c r="I25" s="39"/>
      <c r="J25" s="39"/>
      <c r="K25" s="39"/>
      <c r="L25" s="39"/>
      <c r="M25" s="39"/>
    </row>
    <row r="27" spans="2:13" x14ac:dyDescent="0.15">
      <c r="B27" s="16" t="s">
        <v>28</v>
      </c>
      <c r="C27" s="97" t="s">
        <v>463</v>
      </c>
    </row>
    <row r="28" spans="2:13" ht="13" x14ac:dyDescent="0.15">
      <c r="B28" s="26" t="s">
        <v>24</v>
      </c>
      <c r="C28" s="324">
        <f>BS!C4</f>
        <v>1250023</v>
      </c>
      <c r="D28" s="335">
        <v>1205532</v>
      </c>
      <c r="E28" s="335">
        <v>1020346</v>
      </c>
      <c r="F28" s="335">
        <v>902857</v>
      </c>
      <c r="G28" s="335">
        <v>658796</v>
      </c>
      <c r="H28" s="335">
        <v>686606</v>
      </c>
      <c r="I28" s="335">
        <v>928895</v>
      </c>
      <c r="J28" s="335">
        <v>1138034</v>
      </c>
      <c r="K28" s="335">
        <v>1370254</v>
      </c>
      <c r="L28" s="335">
        <v>1439513</v>
      </c>
      <c r="M28" s="335"/>
    </row>
    <row r="29" spans="2:13" ht="13" x14ac:dyDescent="0.15">
      <c r="B29" s="26" t="s">
        <v>32</v>
      </c>
      <c r="C29" s="324">
        <f>BS!C6</f>
        <v>2598226</v>
      </c>
      <c r="D29" s="335">
        <v>2493206</v>
      </c>
      <c r="E29" s="335">
        <v>2428040</v>
      </c>
      <c r="F29" s="335">
        <v>1772803</v>
      </c>
      <c r="G29" s="335">
        <v>1345539</v>
      </c>
      <c r="H29" s="335">
        <v>1407257</v>
      </c>
      <c r="I29" s="335">
        <v>1239741</v>
      </c>
      <c r="J29" s="335">
        <v>1102538</v>
      </c>
      <c r="K29" s="335">
        <v>965422</v>
      </c>
      <c r="L29" s="335">
        <v>959652</v>
      </c>
      <c r="M29" s="335"/>
    </row>
    <row r="30" spans="2:13" ht="13" x14ac:dyDescent="0.15">
      <c r="B30" s="29" t="s">
        <v>40</v>
      </c>
      <c r="C30" s="325">
        <f>BS!C33+BS!C42</f>
        <v>9604717</v>
      </c>
      <c r="D30" s="337">
        <v>9801162</v>
      </c>
      <c r="E30" s="337">
        <v>9314591</v>
      </c>
      <c r="F30" s="337">
        <v>9170709</v>
      </c>
      <c r="G30" s="337">
        <v>5904448</v>
      </c>
      <c r="H30" s="337">
        <v>5423281</v>
      </c>
      <c r="I30" s="337">
        <v>2907715</v>
      </c>
      <c r="J30" s="337">
        <v>2247752</v>
      </c>
      <c r="K30" s="337">
        <v>2783345</v>
      </c>
      <c r="L30" s="337">
        <v>3486918</v>
      </c>
      <c r="M30" s="337"/>
    </row>
    <row r="31" spans="2:13" ht="13" x14ac:dyDescent="0.15">
      <c r="B31" s="29" t="s">
        <v>30</v>
      </c>
      <c r="C31" s="325">
        <f>BS!G27</f>
        <v>26103689</v>
      </c>
      <c r="D31" s="337">
        <v>24406641</v>
      </c>
      <c r="E31" s="337">
        <v>24331928</v>
      </c>
      <c r="F31" s="337">
        <v>21104107</v>
      </c>
      <c r="G31" s="337">
        <v>8689417</v>
      </c>
      <c r="H31" s="337">
        <v>7124193</v>
      </c>
      <c r="I31" s="337">
        <v>5819590</v>
      </c>
      <c r="J31" s="337">
        <v>5073597</v>
      </c>
      <c r="K31" s="337">
        <v>3997149</v>
      </c>
      <c r="L31" s="337">
        <v>3410540</v>
      </c>
      <c r="M31" s="337"/>
    </row>
    <row r="32" spans="2:13" ht="13" x14ac:dyDescent="0.15">
      <c r="B32" s="26" t="s">
        <v>173</v>
      </c>
      <c r="C32" s="324">
        <f>BS!G28</f>
        <v>0</v>
      </c>
      <c r="D32" s="335">
        <v>0</v>
      </c>
      <c r="E32" s="335">
        <v>2498</v>
      </c>
      <c r="F32" s="335">
        <v>2561</v>
      </c>
      <c r="G32" s="335">
        <v>2554</v>
      </c>
      <c r="H32" s="335">
        <v>2554</v>
      </c>
      <c r="I32" s="335">
        <v>2550</v>
      </c>
      <c r="J32" s="335">
        <v>2550</v>
      </c>
      <c r="K32" s="335">
        <v>2550</v>
      </c>
      <c r="L32" s="335">
        <v>230637</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28675643</v>
      </c>
      <c r="D36" s="324">
        <f t="shared" si="1"/>
        <v>27598491</v>
      </c>
      <c r="E36" s="324">
        <f t="shared" si="1"/>
        <v>25803383</v>
      </c>
      <c r="F36" s="324">
        <f t="shared" si="1"/>
        <v>22572281</v>
      </c>
      <c r="G36" s="324">
        <f t="shared" si="1"/>
        <v>14456971</v>
      </c>
      <c r="H36" s="324">
        <f t="shared" si="1"/>
        <v>13869630</v>
      </c>
      <c r="I36" s="324">
        <f t="shared" si="1"/>
        <v>10510898</v>
      </c>
      <c r="J36" s="324">
        <f t="shared" si="1"/>
        <v>8873912</v>
      </c>
      <c r="K36" s="324">
        <f t="shared" si="1"/>
        <v>8015293</v>
      </c>
      <c r="L36" s="324">
        <f t="shared" si="1"/>
        <v>7089495</v>
      </c>
      <c r="M36" s="324" t="str">
        <f t="shared" si="1"/>
        <v/>
      </c>
    </row>
    <row r="37" spans="2:13" x14ac:dyDescent="0.15">
      <c r="B37" s="40" t="s">
        <v>43</v>
      </c>
      <c r="C37" s="324">
        <f t="shared" ref="C37:M37" si="2">IF(C$4="","",-C5)</f>
        <v>-14519540</v>
      </c>
      <c r="D37" s="324">
        <f t="shared" si="2"/>
        <v>-14246436</v>
      </c>
      <c r="E37" s="324">
        <f t="shared" si="2"/>
        <v>-13318590</v>
      </c>
      <c r="F37" s="324">
        <f t="shared" si="2"/>
        <v>-10603183</v>
      </c>
      <c r="G37" s="324">
        <f t="shared" si="2"/>
        <v>-7362627</v>
      </c>
      <c r="H37" s="324">
        <f t="shared" si="2"/>
        <v>-7064168</v>
      </c>
      <c r="I37" s="324">
        <f t="shared" si="2"/>
        <v>-5458124</v>
      </c>
      <c r="J37" s="324">
        <f t="shared" si="2"/>
        <v>-4697429</v>
      </c>
      <c r="K37" s="324">
        <f t="shared" si="2"/>
        <v>-4310065</v>
      </c>
      <c r="L37" s="324">
        <f t="shared" si="2"/>
        <v>-3896836</v>
      </c>
      <c r="M37" s="324" t="str">
        <f t="shared" si="2"/>
        <v/>
      </c>
    </row>
    <row r="38" spans="2:13" ht="13" x14ac:dyDescent="0.15">
      <c r="B38" s="31" t="s">
        <v>58</v>
      </c>
      <c r="C38" s="320">
        <f>IF(C36="","",C36+C37)</f>
        <v>14156103</v>
      </c>
      <c r="D38" s="320">
        <f t="shared" ref="D38" si="3">IF(D36="","",D36+D37)</f>
        <v>13352055</v>
      </c>
      <c r="E38" s="320">
        <f t="shared" ref="E38" si="4">IF(E36="","",E36+E37)</f>
        <v>12484793</v>
      </c>
      <c r="F38" s="320">
        <f t="shared" ref="F38" si="5">IF(F36="","",F36+F37)</f>
        <v>11969098</v>
      </c>
      <c r="G38" s="320">
        <f t="shared" ref="G38" si="6">IF(G36="","",G36+G37)</f>
        <v>7094344</v>
      </c>
      <c r="H38" s="320">
        <f t="shared" ref="H38" si="7">IF(H36="","",H36+H37)</f>
        <v>6805462</v>
      </c>
      <c r="I38" s="320">
        <f t="shared" ref="I38" si="8">IF(I36="","",I36+I37)</f>
        <v>5052774</v>
      </c>
      <c r="J38" s="320">
        <f t="shared" ref="J38" si="9">IF(J36="","",J36+J37)</f>
        <v>4176483</v>
      </c>
      <c r="K38" s="320">
        <f t="shared" ref="K38" si="10">IF(K36="","",K36+K37)</f>
        <v>3705228</v>
      </c>
      <c r="L38" s="320">
        <f t="shared" ref="L38" si="11">IF(L36="","",L36+L37)</f>
        <v>3192659</v>
      </c>
      <c r="M38" s="320" t="str">
        <f t="shared" ref="M38" si="12">IF(M36="","",M36+M37)</f>
        <v/>
      </c>
    </row>
    <row r="39" spans="2:13" x14ac:dyDescent="0.15">
      <c r="B39" s="40" t="s">
        <v>54</v>
      </c>
      <c r="C39" s="324">
        <f t="shared" ref="C39:M39" si="13">IF(C$4="","",-C6)</f>
        <v>-10626814</v>
      </c>
      <c r="D39" s="324">
        <f t="shared" si="13"/>
        <v>-10336273</v>
      </c>
      <c r="E39" s="324">
        <f t="shared" si="13"/>
        <v>-8427521</v>
      </c>
      <c r="F39" s="324">
        <f t="shared" si="13"/>
        <v>-7248752</v>
      </c>
      <c r="G39" s="324">
        <f t="shared" si="13"/>
        <v>-5229776</v>
      </c>
      <c r="H39" s="324">
        <f t="shared" si="13"/>
        <v>-5413334</v>
      </c>
      <c r="I39" s="324">
        <f t="shared" si="13"/>
        <v>-4388319</v>
      </c>
      <c r="J39" s="324">
        <f t="shared" si="13"/>
        <v>-3774441</v>
      </c>
      <c r="K39" s="324">
        <f t="shared" si="13"/>
        <v>-3393470</v>
      </c>
      <c r="L39" s="324">
        <f t="shared" si="13"/>
        <v>-3066510</v>
      </c>
      <c r="M39" s="324" t="str">
        <f t="shared" si="13"/>
        <v/>
      </c>
    </row>
    <row r="40" spans="2:13" x14ac:dyDescent="0.15">
      <c r="B40" s="69" t="s">
        <v>61</v>
      </c>
      <c r="C40" s="334">
        <f t="shared" ref="C40:M40" si="14">IF(C$4="","",-C7)</f>
        <v>-9198907</v>
      </c>
      <c r="D40" s="334">
        <f t="shared" si="14"/>
        <v>-9080121</v>
      </c>
      <c r="E40" s="334">
        <f t="shared" si="14"/>
        <v>-7314303</v>
      </c>
      <c r="F40" s="334">
        <f t="shared" si="14"/>
        <v>-6138077</v>
      </c>
      <c r="G40" s="334">
        <f t="shared" si="14"/>
        <v>-4424718</v>
      </c>
      <c r="H40" s="334">
        <f t="shared" si="14"/>
        <v>-4445070</v>
      </c>
      <c r="I40" s="334">
        <f t="shared" si="14"/>
        <v>-3708446</v>
      </c>
      <c r="J40" s="334">
        <f t="shared" si="14"/>
        <v>-3273375</v>
      </c>
      <c r="K40" s="334">
        <f t="shared" si="14"/>
        <v>-2969341</v>
      </c>
      <c r="L40" s="334">
        <f t="shared" si="14"/>
        <v>-2720361</v>
      </c>
      <c r="M40" s="334" t="str">
        <f t="shared" si="14"/>
        <v/>
      </c>
    </row>
    <row r="41" spans="2:13" x14ac:dyDescent="0.15">
      <c r="B41" s="69" t="s">
        <v>64</v>
      </c>
      <c r="C41" s="334">
        <f>IF(C$4="","",C39-C40)</f>
        <v>-1427907</v>
      </c>
      <c r="D41" s="334">
        <f t="shared" ref="D41:M41" si="15">IF(D$4="","",D39-D40)</f>
        <v>-1256152</v>
      </c>
      <c r="E41" s="334">
        <f t="shared" si="15"/>
        <v>-1113218</v>
      </c>
      <c r="F41" s="334">
        <f t="shared" si="15"/>
        <v>-1110675</v>
      </c>
      <c r="G41" s="334">
        <f t="shared" si="15"/>
        <v>-805058</v>
      </c>
      <c r="H41" s="334">
        <f t="shared" si="15"/>
        <v>-968264</v>
      </c>
      <c r="I41" s="334">
        <f t="shared" si="15"/>
        <v>-679873</v>
      </c>
      <c r="J41" s="334">
        <f t="shared" si="15"/>
        <v>-501066</v>
      </c>
      <c r="K41" s="334">
        <f t="shared" si="15"/>
        <v>-424129</v>
      </c>
      <c r="L41" s="334">
        <f t="shared" si="15"/>
        <v>-346149</v>
      </c>
      <c r="M41" s="334" t="str">
        <f t="shared" si="15"/>
        <v/>
      </c>
    </row>
    <row r="42" spans="2:13" x14ac:dyDescent="0.15">
      <c r="B42" s="40" t="s">
        <v>49</v>
      </c>
      <c r="C42" s="324">
        <f t="shared" ref="C42:M42" si="16">IF(C$4="","",-C8)</f>
        <v>0</v>
      </c>
      <c r="D42" s="324">
        <f t="shared" si="16"/>
        <v>0</v>
      </c>
      <c r="E42" s="324">
        <f t="shared" si="16"/>
        <v>0</v>
      </c>
      <c r="F42" s="324">
        <f t="shared" si="16"/>
        <v>0</v>
      </c>
      <c r="G42" s="324">
        <f t="shared" si="16"/>
        <v>0</v>
      </c>
      <c r="H42" s="324">
        <f t="shared" si="16"/>
        <v>0</v>
      </c>
      <c r="I42" s="324">
        <f t="shared" si="16"/>
        <v>0</v>
      </c>
      <c r="J42" s="324">
        <f t="shared" si="16"/>
        <v>0</v>
      </c>
      <c r="K42" s="324">
        <f t="shared" si="16"/>
        <v>0</v>
      </c>
      <c r="L42" s="324">
        <f t="shared" si="16"/>
        <v>0</v>
      </c>
      <c r="M42" s="324" t="str">
        <f t="shared" si="16"/>
        <v/>
      </c>
    </row>
    <row r="43" spans="2:13" x14ac:dyDescent="0.15">
      <c r="B43" s="43" t="s">
        <v>153</v>
      </c>
      <c r="C43" s="325">
        <f>IF(C$4="","",C38+C39+C42)</f>
        <v>3529289</v>
      </c>
      <c r="D43" s="325">
        <f t="shared" ref="D43:M43" si="17">IF(D$4="","",D38+D39+D42)</f>
        <v>3015782</v>
      </c>
      <c r="E43" s="325">
        <f t="shared" si="17"/>
        <v>4057272</v>
      </c>
      <c r="F43" s="325">
        <f t="shared" si="17"/>
        <v>4720346</v>
      </c>
      <c r="G43" s="325">
        <f t="shared" si="17"/>
        <v>1864568</v>
      </c>
      <c r="H43" s="325">
        <f t="shared" si="17"/>
        <v>1392128</v>
      </c>
      <c r="I43" s="325">
        <f t="shared" si="17"/>
        <v>664455</v>
      </c>
      <c r="J43" s="325">
        <f t="shared" si="17"/>
        <v>402042</v>
      </c>
      <c r="K43" s="325">
        <f t="shared" si="17"/>
        <v>311758</v>
      </c>
      <c r="L43" s="325">
        <f t="shared" si="17"/>
        <v>126149</v>
      </c>
      <c r="M43" s="325" t="str">
        <f t="shared" si="17"/>
        <v/>
      </c>
    </row>
    <row r="44" spans="2:13" x14ac:dyDescent="0.15">
      <c r="B44" s="43" t="s">
        <v>169</v>
      </c>
      <c r="C44" s="180">
        <f t="shared" ref="C44:M44" si="18">IF(C$4="","",C47-C46-C45-C43)</f>
        <v>405216</v>
      </c>
      <c r="D44" s="180">
        <f t="shared" si="18"/>
        <v>921277</v>
      </c>
      <c r="E44" s="180">
        <f t="shared" si="18"/>
        <v>1030641</v>
      </c>
      <c r="F44" s="180">
        <f t="shared" si="18"/>
        <v>575252</v>
      </c>
      <c r="G44" s="180">
        <f t="shared" si="18"/>
        <v>383297</v>
      </c>
      <c r="H44" s="180">
        <f t="shared" si="18"/>
        <v>464418</v>
      </c>
      <c r="I44" s="180">
        <f t="shared" si="18"/>
        <v>185866</v>
      </c>
      <c r="J44" s="180">
        <f t="shared" si="18"/>
        <v>135482</v>
      </c>
      <c r="K44" s="180">
        <f t="shared" si="18"/>
        <v>421546</v>
      </c>
      <c r="L44" s="180">
        <f t="shared" si="18"/>
        <v>9224</v>
      </c>
      <c r="M44" s="180" t="str">
        <f t="shared" si="18"/>
        <v/>
      </c>
    </row>
    <row r="45" spans="2:13" x14ac:dyDescent="0.15">
      <c r="B45" s="40" t="s">
        <v>68</v>
      </c>
      <c r="C45" s="76">
        <f t="shared" ref="C45:M45" si="19">IF(C$4="","",C51+C52)</f>
        <v>175104</v>
      </c>
      <c r="D45" s="76">
        <f t="shared" si="19"/>
        <v>319110</v>
      </c>
      <c r="E45" s="76">
        <f t="shared" si="19"/>
        <v>327187</v>
      </c>
      <c r="F45" s="76">
        <f t="shared" si="19"/>
        <v>32639</v>
      </c>
      <c r="G45" s="76">
        <f t="shared" si="19"/>
        <v>0</v>
      </c>
      <c r="H45" s="76">
        <f t="shared" si="19"/>
        <v>0</v>
      </c>
      <c r="I45" s="76">
        <f t="shared" si="19"/>
        <v>0</v>
      </c>
      <c r="J45" s="76">
        <f t="shared" si="19"/>
        <v>0</v>
      </c>
      <c r="K45" s="76">
        <f t="shared" si="19"/>
        <v>0</v>
      </c>
      <c r="L45" s="76">
        <f t="shared" si="19"/>
        <v>0</v>
      </c>
      <c r="M45" s="76" t="str">
        <f t="shared" si="19"/>
        <v/>
      </c>
    </row>
    <row r="46" spans="2:13" x14ac:dyDescent="0.15">
      <c r="B46" s="40" t="s">
        <v>50</v>
      </c>
      <c r="C46" s="324">
        <f t="shared" ref="C46:M46" si="20">IF(C$4="","",-C14)</f>
        <v>-1096691</v>
      </c>
      <c r="D46" s="324">
        <f t="shared" si="20"/>
        <v>-1069207</v>
      </c>
      <c r="E46" s="324">
        <f t="shared" si="20"/>
        <v>-1351329</v>
      </c>
      <c r="F46" s="324">
        <f t="shared" si="20"/>
        <v>-1317349</v>
      </c>
      <c r="G46" s="324">
        <f t="shared" si="20"/>
        <v>-549381</v>
      </c>
      <c r="H46" s="324">
        <f t="shared" si="20"/>
        <v>-357403</v>
      </c>
      <c r="I46" s="324">
        <f t="shared" si="20"/>
        <v>-135058</v>
      </c>
      <c r="J46" s="324">
        <f t="shared" si="20"/>
        <v>-22369</v>
      </c>
      <c r="K46" s="324">
        <f t="shared" si="20"/>
        <v>-32435</v>
      </c>
      <c r="L46" s="324">
        <f t="shared" si="20"/>
        <v>-73768</v>
      </c>
      <c r="M46" s="324" t="str">
        <f t="shared" si="20"/>
        <v/>
      </c>
    </row>
    <row r="47" spans="2:13" x14ac:dyDescent="0.15">
      <c r="B47" s="43" t="s">
        <v>42</v>
      </c>
      <c r="C47" s="325">
        <f t="shared" ref="C47:M47" si="21">IF(C$4="","",C15)</f>
        <v>3012918</v>
      </c>
      <c r="D47" s="325">
        <f t="shared" si="21"/>
        <v>3186962</v>
      </c>
      <c r="E47" s="325">
        <f t="shared" si="21"/>
        <v>4063771</v>
      </c>
      <c r="F47" s="325">
        <f t="shared" si="21"/>
        <v>4010888</v>
      </c>
      <c r="G47" s="325">
        <f t="shared" si="21"/>
        <v>1698484</v>
      </c>
      <c r="H47" s="325">
        <f t="shared" si="21"/>
        <v>1499143</v>
      </c>
      <c r="I47" s="325">
        <f t="shared" si="21"/>
        <v>715263</v>
      </c>
      <c r="J47" s="325">
        <f t="shared" si="21"/>
        <v>515155</v>
      </c>
      <c r="K47" s="325">
        <f t="shared" si="21"/>
        <v>700869</v>
      </c>
      <c r="L47" s="325">
        <f t="shared" si="21"/>
        <v>61605</v>
      </c>
      <c r="M47" s="325" t="str">
        <f t="shared" si="21"/>
        <v/>
      </c>
    </row>
    <row r="48" spans="2:13" x14ac:dyDescent="0.15">
      <c r="B48" s="28" t="s">
        <v>44</v>
      </c>
      <c r="C48" s="324">
        <f t="shared" ref="C48:M48" si="22">IF(C$4="","",MIN(-C16,0))</f>
        <v>0</v>
      </c>
      <c r="D48" s="324">
        <f t="shared" si="22"/>
        <v>-52</v>
      </c>
      <c r="E48" s="324">
        <f t="shared" si="22"/>
        <v>0</v>
      </c>
      <c r="F48" s="324">
        <f t="shared" si="22"/>
        <v>-7</v>
      </c>
      <c r="G48" s="324">
        <f t="shared" si="22"/>
        <v>0</v>
      </c>
      <c r="H48" s="324">
        <f t="shared" si="22"/>
        <v>-4</v>
      </c>
      <c r="I48" s="324">
        <f t="shared" si="22"/>
        <v>0</v>
      </c>
      <c r="J48" s="324">
        <f t="shared" si="22"/>
        <v>0</v>
      </c>
      <c r="K48" s="324">
        <f t="shared" si="22"/>
        <v>-57615</v>
      </c>
      <c r="L48" s="324">
        <f t="shared" si="22"/>
        <v>-47296</v>
      </c>
      <c r="M48" s="324" t="str">
        <f t="shared" si="22"/>
        <v/>
      </c>
    </row>
    <row r="50" spans="2:13" x14ac:dyDescent="0.15">
      <c r="B50" s="16" t="s">
        <v>68</v>
      </c>
    </row>
    <row r="51" spans="2:13" x14ac:dyDescent="0.15">
      <c r="B51" s="40" t="s">
        <v>39</v>
      </c>
      <c r="C51" s="324">
        <f t="shared" ref="C51:M51" si="23">IF(C$4="","",-C12)</f>
        <v>-254421</v>
      </c>
      <c r="D51" s="324">
        <f t="shared" si="23"/>
        <v>-181446</v>
      </c>
      <c r="E51" s="324">
        <f t="shared" si="23"/>
        <v>-120561</v>
      </c>
      <c r="F51" s="324">
        <f t="shared" si="23"/>
        <v>-112458</v>
      </c>
      <c r="G51" s="324">
        <f t="shared" si="23"/>
        <v>0</v>
      </c>
      <c r="H51" s="324">
        <f t="shared" si="23"/>
        <v>0</v>
      </c>
      <c r="I51" s="324">
        <f t="shared" si="23"/>
        <v>0</v>
      </c>
      <c r="J51" s="324">
        <f t="shared" si="23"/>
        <v>0</v>
      </c>
      <c r="K51" s="324">
        <f t="shared" si="23"/>
        <v>0</v>
      </c>
      <c r="L51" s="324">
        <f t="shared" si="23"/>
        <v>0</v>
      </c>
      <c r="M51" s="324" t="str">
        <f t="shared" si="23"/>
        <v/>
      </c>
    </row>
    <row r="52" spans="2:13" x14ac:dyDescent="0.15">
      <c r="B52" s="40" t="s">
        <v>67</v>
      </c>
      <c r="C52" s="324">
        <f t="shared" ref="C52:M52" si="24">IF(C$4="","",C13)</f>
        <v>429525</v>
      </c>
      <c r="D52" s="324">
        <f t="shared" si="24"/>
        <v>500556</v>
      </c>
      <c r="E52" s="324">
        <f t="shared" si="24"/>
        <v>447748</v>
      </c>
      <c r="F52" s="324">
        <f t="shared" si="24"/>
        <v>145097</v>
      </c>
      <c r="G52" s="324">
        <f t="shared" si="24"/>
        <v>0</v>
      </c>
      <c r="H52" s="324">
        <f t="shared" si="24"/>
        <v>0</v>
      </c>
      <c r="I52" s="324">
        <f t="shared" si="24"/>
        <v>0</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256299</v>
      </c>
      <c r="D55" s="76">
        <f t="shared" si="25"/>
        <v>377972</v>
      </c>
      <c r="E55" s="76">
        <f t="shared" si="25"/>
        <v>201155</v>
      </c>
      <c r="F55" s="76">
        <f t="shared" si="25"/>
        <v>159222</v>
      </c>
      <c r="G55" s="76">
        <f t="shared" si="25"/>
        <v>83487</v>
      </c>
      <c r="H55" s="76">
        <f t="shared" si="25"/>
        <v>343469</v>
      </c>
      <c r="I55" s="76">
        <f t="shared" si="25"/>
        <v>63633</v>
      </c>
      <c r="J55" s="76">
        <f t="shared" si="25"/>
        <v>73806</v>
      </c>
      <c r="K55" s="76">
        <f t="shared" si="25"/>
        <v>9716</v>
      </c>
      <c r="L55" s="76">
        <f t="shared" si="25"/>
        <v>6948</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148917</v>
      </c>
      <c r="D58" s="76">
        <f t="shared" ref="D58:M58" si="28">IF(D$4="","",D44-D55-D56-D57)</f>
        <v>543305</v>
      </c>
      <c r="E58" s="76">
        <f t="shared" si="28"/>
        <v>829486</v>
      </c>
      <c r="F58" s="76">
        <f t="shared" si="28"/>
        <v>416030</v>
      </c>
      <c r="G58" s="76">
        <f t="shared" si="28"/>
        <v>299810</v>
      </c>
      <c r="H58" s="76">
        <f t="shared" si="28"/>
        <v>120949</v>
      </c>
      <c r="I58" s="76">
        <f t="shared" si="28"/>
        <v>122233</v>
      </c>
      <c r="J58" s="76">
        <f t="shared" si="28"/>
        <v>61676</v>
      </c>
      <c r="K58" s="76">
        <f t="shared" si="28"/>
        <v>411830</v>
      </c>
      <c r="L58" s="76">
        <f t="shared" si="28"/>
        <v>2276</v>
      </c>
      <c r="M58" s="76" t="str">
        <f t="shared" si="28"/>
        <v/>
      </c>
    </row>
    <row r="60" spans="2:13" x14ac:dyDescent="0.15">
      <c r="B60" s="16" t="s">
        <v>51</v>
      </c>
      <c r="C60" s="9"/>
    </row>
    <row r="61" spans="2:13" ht="13" x14ac:dyDescent="0.15">
      <c r="B61" s="27" t="s">
        <v>47</v>
      </c>
      <c r="C61" s="324">
        <f>IF(C$4="","",-C19)</f>
        <v>0</v>
      </c>
      <c r="D61" s="324">
        <f t="shared" ref="D61:M61" si="29">IF(D$4="","",-D19)</f>
        <v>0</v>
      </c>
      <c r="E61" s="324">
        <f t="shared" si="29"/>
        <v>0</v>
      </c>
      <c r="F61" s="324">
        <f t="shared" si="29"/>
        <v>0</v>
      </c>
      <c r="G61" s="324">
        <f t="shared" si="29"/>
        <v>0</v>
      </c>
      <c r="H61" s="324">
        <f t="shared" si="29"/>
        <v>0</v>
      </c>
      <c r="I61" s="324">
        <f t="shared" si="29"/>
        <v>0</v>
      </c>
      <c r="J61" s="324">
        <f t="shared" si="29"/>
        <v>0</v>
      </c>
      <c r="K61" s="324">
        <f t="shared" si="29"/>
        <v>0</v>
      </c>
      <c r="L61" s="324">
        <f t="shared" si="29"/>
        <v>0</v>
      </c>
      <c r="M61" s="324" t="str">
        <f t="shared" si="29"/>
        <v/>
      </c>
    </row>
    <row r="62" spans="2:13" ht="13" x14ac:dyDescent="0.15">
      <c r="B62" s="27" t="s">
        <v>53</v>
      </c>
      <c r="C62" s="324">
        <f>IF(C$4="","",IF(C20=0,C61,-C20))</f>
        <v>1815.2739999999999</v>
      </c>
      <c r="D62" s="324">
        <f t="shared" ref="D62:M62" si="30">IF(D$4="","",IF(D20=0,D61,-D20))</f>
        <v>1815.2739999999999</v>
      </c>
      <c r="E62" s="324">
        <f t="shared" si="30"/>
        <v>1830.425</v>
      </c>
      <c r="F62" s="324">
        <f t="shared" si="30"/>
        <v>1027.7539999999999</v>
      </c>
      <c r="G62" s="324">
        <f t="shared" si="30"/>
        <v>745.63400000000001</v>
      </c>
      <c r="H62" s="324">
        <f t="shared" si="30"/>
        <v>649.02099999999996</v>
      </c>
      <c r="I62" s="324">
        <f t="shared" si="30"/>
        <v>0</v>
      </c>
      <c r="J62" s="324">
        <f t="shared" si="30"/>
        <v>0</v>
      </c>
      <c r="K62" s="324">
        <f t="shared" si="30"/>
        <v>0</v>
      </c>
      <c r="L62" s="324">
        <f t="shared" si="30"/>
        <v>0</v>
      </c>
      <c r="M62" s="324" t="str">
        <f t="shared" si="30"/>
        <v/>
      </c>
    </row>
    <row r="63" spans="2:13" ht="13" x14ac:dyDescent="0.15">
      <c r="B63" s="27" t="s">
        <v>52</v>
      </c>
      <c r="C63" s="324">
        <f>IF(C$4="","",-C21)</f>
        <v>31.047000000000001</v>
      </c>
      <c r="D63" s="324">
        <f t="shared" ref="D63:M63" si="31">IF(D$4="","",-D21)</f>
        <v>31.047000000000001</v>
      </c>
      <c r="E63" s="324">
        <f t="shared" si="31"/>
        <v>1133.2159999999999</v>
      </c>
      <c r="F63" s="324">
        <f t="shared" si="31"/>
        <v>-826.13499999999999</v>
      </c>
      <c r="G63" s="324">
        <f t="shared" si="31"/>
        <v>-141.60300000000001</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0</v>
      </c>
      <c r="D64" s="324">
        <f t="shared" ref="D64:M64" si="32">IF(D$4="","",D22+D23+D24)</f>
        <v>-1978120</v>
      </c>
      <c r="E64" s="324">
        <f t="shared" si="32"/>
        <v>-7455264</v>
      </c>
      <c r="F64" s="324">
        <f t="shared" si="32"/>
        <v>7582785</v>
      </c>
      <c r="G64" s="324">
        <f t="shared" si="32"/>
        <v>1258290</v>
      </c>
      <c r="H64" s="324">
        <f t="shared" si="32"/>
        <v>2281502</v>
      </c>
      <c r="I64" s="324">
        <f t="shared" si="32"/>
        <v>1123289</v>
      </c>
      <c r="J64" s="324">
        <f t="shared" si="32"/>
        <v>584134</v>
      </c>
      <c r="K64" s="324">
        <f t="shared" si="32"/>
        <v>166143</v>
      </c>
      <c r="L64" s="324">
        <f t="shared" si="32"/>
        <v>960673</v>
      </c>
      <c r="M64" s="324" t="str">
        <f t="shared" si="32"/>
        <v/>
      </c>
    </row>
    <row r="65" spans="2:13" x14ac:dyDescent="0.15">
      <c r="B65" s="24" t="s">
        <v>36</v>
      </c>
      <c r="C65" s="73">
        <f>IF(C$4="","",C25)</f>
        <v>0.53760112138740068</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ht="13" x14ac:dyDescent="0.15">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x14ac:dyDescent="0.15">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x14ac:dyDescent="0.15">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x14ac:dyDescent="0.15">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35708406</v>
      </c>
      <c r="D76" s="76">
        <f t="shared" ref="D76:M76" si="39">IF(D$4="","",D79+D80)</f>
        <v>34207803</v>
      </c>
      <c r="E76" s="76">
        <f t="shared" si="39"/>
        <v>33646519</v>
      </c>
      <c r="F76" s="76">
        <f t="shared" si="39"/>
        <v>30274816</v>
      </c>
      <c r="G76" s="76">
        <f t="shared" si="39"/>
        <v>14593865</v>
      </c>
      <c r="H76" s="76">
        <f t="shared" si="39"/>
        <v>12547474</v>
      </c>
      <c r="I76" s="76">
        <f t="shared" si="39"/>
        <v>8727305</v>
      </c>
      <c r="J76" s="76">
        <f t="shared" si="39"/>
        <v>7321349</v>
      </c>
      <c r="K76" s="76">
        <f t="shared" si="39"/>
        <v>6780494</v>
      </c>
      <c r="L76" s="76">
        <f t="shared" si="39"/>
        <v>6897458</v>
      </c>
      <c r="M76" s="76" t="str">
        <f t="shared" si="39"/>
        <v/>
      </c>
    </row>
    <row r="77" spans="2:13" ht="13" x14ac:dyDescent="0.15">
      <c r="B77" s="93" t="s">
        <v>86</v>
      </c>
      <c r="C77" s="334">
        <f t="shared" ref="C77:H78" si="40">IF(C$4="","",C28)</f>
        <v>1250023</v>
      </c>
      <c r="D77" s="334">
        <f t="shared" si="40"/>
        <v>1205532</v>
      </c>
      <c r="E77" s="334">
        <f t="shared" si="40"/>
        <v>1020346</v>
      </c>
      <c r="F77" s="334">
        <f t="shared" si="40"/>
        <v>902857</v>
      </c>
      <c r="G77" s="334">
        <f t="shared" si="40"/>
        <v>658796</v>
      </c>
      <c r="H77" s="334">
        <f t="shared" si="40"/>
        <v>686606</v>
      </c>
      <c r="I77" s="338"/>
      <c r="J77" s="338"/>
      <c r="K77" s="338"/>
      <c r="L77" s="338"/>
      <c r="M77" s="338"/>
    </row>
    <row r="78" spans="2:13" ht="13" x14ac:dyDescent="0.15">
      <c r="B78" s="93" t="s">
        <v>87</v>
      </c>
      <c r="C78" s="334">
        <f t="shared" si="40"/>
        <v>2598226</v>
      </c>
      <c r="D78" s="334">
        <f t="shared" si="40"/>
        <v>2493206</v>
      </c>
      <c r="E78" s="334">
        <f t="shared" si="40"/>
        <v>2428040</v>
      </c>
      <c r="F78" s="334">
        <f t="shared" si="40"/>
        <v>1772803</v>
      </c>
      <c r="G78" s="334">
        <f t="shared" si="40"/>
        <v>1345539</v>
      </c>
      <c r="H78" s="334">
        <f t="shared" si="40"/>
        <v>1407257</v>
      </c>
      <c r="I78" s="338"/>
      <c r="J78" s="338"/>
      <c r="K78" s="338"/>
      <c r="L78" s="338"/>
      <c r="M78" s="338"/>
    </row>
    <row r="79" spans="2:13" ht="13" x14ac:dyDescent="0.15">
      <c r="B79" s="26" t="s">
        <v>40</v>
      </c>
      <c r="C79" s="324">
        <f t="shared" ref="C79:M79" si="41">IF(C$4="","",C30)</f>
        <v>9604717</v>
      </c>
      <c r="D79" s="324">
        <f t="shared" si="41"/>
        <v>9801162</v>
      </c>
      <c r="E79" s="324">
        <f t="shared" si="41"/>
        <v>9314591</v>
      </c>
      <c r="F79" s="324">
        <f t="shared" si="41"/>
        <v>9170709</v>
      </c>
      <c r="G79" s="324">
        <f t="shared" si="41"/>
        <v>5904448</v>
      </c>
      <c r="H79" s="324">
        <f t="shared" si="41"/>
        <v>5423281</v>
      </c>
      <c r="I79" s="324">
        <f t="shared" si="41"/>
        <v>2907715</v>
      </c>
      <c r="J79" s="324">
        <f t="shared" si="41"/>
        <v>2247752</v>
      </c>
      <c r="K79" s="324">
        <f t="shared" si="41"/>
        <v>2783345</v>
      </c>
      <c r="L79" s="324">
        <f t="shared" si="41"/>
        <v>3486918</v>
      </c>
      <c r="M79" s="324" t="str">
        <f t="shared" si="41"/>
        <v/>
      </c>
    </row>
    <row r="80" spans="2:13" ht="13" x14ac:dyDescent="0.15">
      <c r="B80" s="26" t="s">
        <v>30</v>
      </c>
      <c r="C80" s="324">
        <f t="shared" ref="C80:M80" si="42">IF(C$4="","",C31)</f>
        <v>26103689</v>
      </c>
      <c r="D80" s="324">
        <f t="shared" si="42"/>
        <v>24406641</v>
      </c>
      <c r="E80" s="324">
        <f t="shared" si="42"/>
        <v>24331928</v>
      </c>
      <c r="F80" s="324">
        <f t="shared" si="42"/>
        <v>21104107</v>
      </c>
      <c r="G80" s="324">
        <f t="shared" si="42"/>
        <v>8689417</v>
      </c>
      <c r="H80" s="324">
        <f t="shared" si="42"/>
        <v>7124193</v>
      </c>
      <c r="I80" s="324">
        <f t="shared" si="42"/>
        <v>5819590</v>
      </c>
      <c r="J80" s="324">
        <f t="shared" si="42"/>
        <v>5073597</v>
      </c>
      <c r="K80" s="324">
        <f t="shared" si="42"/>
        <v>3997149</v>
      </c>
      <c r="L80" s="324">
        <f t="shared" si="42"/>
        <v>3410540</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1004591+245432</f>
        <v>1250023</v>
      </c>
      <c r="D4" s="261">
        <v>0.6</v>
      </c>
      <c r="E4" s="25"/>
      <c r="F4" s="4" t="s">
        <v>78</v>
      </c>
      <c r="G4" s="19">
        <f>8264361+7498596</f>
        <v>15762957</v>
      </c>
      <c r="H4" s="261">
        <v>0.9</v>
      </c>
    </row>
    <row r="5" spans="2:8" ht="15" customHeight="1" x14ac:dyDescent="0.15">
      <c r="B5" s="1" t="s">
        <v>33</v>
      </c>
      <c r="C5" s="19">
        <v>0</v>
      </c>
      <c r="D5" s="261">
        <v>0.6</v>
      </c>
      <c r="E5" s="25"/>
      <c r="F5" s="1" t="s">
        <v>29</v>
      </c>
      <c r="G5" s="19">
        <v>23261</v>
      </c>
      <c r="H5" s="261">
        <v>0.7</v>
      </c>
    </row>
    <row r="6" spans="2:8" ht="15" customHeight="1" x14ac:dyDescent="0.15">
      <c r="B6" s="4" t="s">
        <v>10</v>
      </c>
      <c r="C6" s="19">
        <v>2598226</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0</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893775</v>
      </c>
      <c r="D11" s="261">
        <v>0.05</v>
      </c>
      <c r="H11" s="262"/>
    </row>
    <row r="12" spans="2:8" ht="15" customHeight="1" x14ac:dyDescent="0.15">
      <c r="B12" s="80" t="s">
        <v>72</v>
      </c>
      <c r="C12" s="81">
        <f>SUM(C4:C11)</f>
        <v>4742024</v>
      </c>
      <c r="D12" s="20">
        <f>C4*D4+C5*D5+C9*D9+C6*D6+C8*D8+C7*D7+C10*D10+C11*D11</f>
        <v>2093815.5499999998</v>
      </c>
      <c r="F12" s="80" t="s">
        <v>70</v>
      </c>
      <c r="G12" s="81">
        <f>SUM(G4:G9)</f>
        <v>15786218</v>
      </c>
      <c r="H12" s="20">
        <f>G4*H4+G5*H5+G6*H6+G7*H7+G8*H8+G9*H9</f>
        <v>14202944</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166519</v>
      </c>
      <c r="D15" s="261">
        <v>0.4</v>
      </c>
      <c r="F15" s="4" t="s">
        <v>79</v>
      </c>
      <c r="G15" s="19">
        <v>2377970</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450316</v>
      </c>
      <c r="H17" s="261">
        <v>0.6</v>
      </c>
    </row>
    <row r="18" spans="2:8" ht="15" customHeight="1" x14ac:dyDescent="0.15">
      <c r="B18" s="4" t="s">
        <v>174</v>
      </c>
      <c r="C18" s="19">
        <v>0</v>
      </c>
      <c r="D18" s="261">
        <v>0.6</v>
      </c>
      <c r="F18" s="4" t="s">
        <v>182</v>
      </c>
      <c r="G18" s="19">
        <v>1743938</v>
      </c>
      <c r="H18" s="261">
        <v>0.1</v>
      </c>
    </row>
    <row r="19" spans="2:8" ht="15" customHeight="1" x14ac:dyDescent="0.15">
      <c r="B19" s="4" t="s">
        <v>26</v>
      </c>
      <c r="C19" s="19">
        <f>4610454+1576667+150864</f>
        <v>6337985</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234736</v>
      </c>
      <c r="D21" s="261">
        <v>0.05</v>
      </c>
      <c r="F21" s="1" t="s">
        <v>181</v>
      </c>
      <c r="G21" s="19">
        <v>2913826</v>
      </c>
      <c r="H21" s="261">
        <v>0.1</v>
      </c>
    </row>
    <row r="22" spans="2:8" ht="15" customHeight="1" x14ac:dyDescent="0.15">
      <c r="B22" s="4" t="s">
        <v>20</v>
      </c>
      <c r="C22" s="19">
        <v>949424</v>
      </c>
      <c r="D22" s="261">
        <v>0.9</v>
      </c>
      <c r="H22" s="262"/>
    </row>
    <row r="23" spans="2:8" ht="15" customHeight="1" x14ac:dyDescent="0.15">
      <c r="B23" s="4" t="s">
        <v>21</v>
      </c>
      <c r="C23" s="19">
        <v>5450</v>
      </c>
      <c r="D23" s="261">
        <v>0</v>
      </c>
      <c r="H23" s="262"/>
    </row>
    <row r="24" spans="2:8" ht="15" customHeight="1" x14ac:dyDescent="0.15">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x14ac:dyDescent="0.15">
      <c r="B26" s="16" t="s">
        <v>201</v>
      </c>
      <c r="C26" s="182" t="s">
        <v>137</v>
      </c>
      <c r="F26" s="184" t="s">
        <v>197</v>
      </c>
      <c r="G26" s="185" t="s">
        <v>137</v>
      </c>
      <c r="H26" s="186" t="s">
        <v>35</v>
      </c>
    </row>
    <row r="27" spans="2:8" ht="15" customHeight="1" x14ac:dyDescent="0.15">
      <c r="B27" s="4" t="s">
        <v>5</v>
      </c>
      <c r="C27" s="19">
        <v>0</v>
      </c>
      <c r="F27" s="187" t="s">
        <v>30</v>
      </c>
      <c r="G27" s="85">
        <f>G32-G30</f>
        <v>26103689</v>
      </c>
      <c r="H27" s="188">
        <f>H32-G30</f>
        <v>10897009.050000001</v>
      </c>
    </row>
    <row r="28" spans="2:8" ht="15" customHeight="1" x14ac:dyDescent="0.15">
      <c r="B28" s="4" t="s">
        <v>6</v>
      </c>
      <c r="C28" s="19">
        <v>551610</v>
      </c>
      <c r="F28" s="189" t="s">
        <v>245</v>
      </c>
      <c r="G28" s="12">
        <v>0</v>
      </c>
      <c r="H28" s="188"/>
    </row>
    <row r="29" spans="2:8" ht="15" customHeight="1" x14ac:dyDescent="0.15">
      <c r="B29" s="4" t="s">
        <v>7</v>
      </c>
      <c r="C29" s="19">
        <v>0</v>
      </c>
      <c r="F29" s="190" t="s">
        <v>76</v>
      </c>
      <c r="G29" s="14">
        <f>G27-G28</f>
        <v>26103689</v>
      </c>
      <c r="H29" s="188">
        <f>H27-G28</f>
        <v>10897009.050000001</v>
      </c>
    </row>
    <row r="30" spans="2:8" ht="15" customHeight="1" x14ac:dyDescent="0.15">
      <c r="B30" s="2" t="s">
        <v>8</v>
      </c>
      <c r="C30" s="19">
        <v>0</v>
      </c>
      <c r="F30" s="187" t="s">
        <v>23</v>
      </c>
      <c r="G30" s="85">
        <f>C33+C42</f>
        <v>9604717</v>
      </c>
      <c r="H30" s="188"/>
    </row>
    <row r="31" spans="2:8" ht="15" customHeight="1" x14ac:dyDescent="0.15">
      <c r="B31" s="80" t="s">
        <v>204</v>
      </c>
      <c r="C31" s="81">
        <f>SUM(C27:C30)</f>
        <v>551610</v>
      </c>
      <c r="F31" s="190" t="s">
        <v>77</v>
      </c>
      <c r="G31" s="191">
        <f>C31+C40</f>
        <v>1936137</v>
      </c>
      <c r="H31" s="188"/>
    </row>
    <row r="32" spans="2:8" ht="15" customHeight="1" x14ac:dyDescent="0.15">
      <c r="B32" s="4" t="s">
        <v>9</v>
      </c>
      <c r="C32" s="21">
        <f>C33-C31</f>
        <v>7034336</v>
      </c>
      <c r="F32" s="192" t="s">
        <v>75</v>
      </c>
      <c r="G32" s="193">
        <f>G35+G40</f>
        <v>35708406</v>
      </c>
      <c r="H32" s="188">
        <f>H35+H40</f>
        <v>20501726.050000001</v>
      </c>
    </row>
    <row r="33" spans="2:8" ht="15" customHeight="1" x14ac:dyDescent="0.15">
      <c r="B33" s="83" t="s">
        <v>4</v>
      </c>
      <c r="C33" s="84">
        <v>7585946</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12436138</v>
      </c>
      <c r="H35" s="200">
        <f>D12+D24</f>
        <v>3660440.05</v>
      </c>
    </row>
    <row r="36" spans="2:8" ht="15" customHeight="1" x14ac:dyDescent="0.15">
      <c r="B36" s="4" t="s">
        <v>13</v>
      </c>
      <c r="C36" s="19">
        <v>0</v>
      </c>
      <c r="F36" s="190" t="s">
        <v>198</v>
      </c>
      <c r="G36" s="191">
        <f>C4+C15</f>
        <v>1416542</v>
      </c>
      <c r="H36" s="195"/>
    </row>
    <row r="37" spans="2:8" ht="15" customHeight="1" x14ac:dyDescent="0.15">
      <c r="B37" s="4" t="s">
        <v>14</v>
      </c>
      <c r="C37" s="19">
        <v>1384527</v>
      </c>
      <c r="F37" s="190" t="s">
        <v>199</v>
      </c>
      <c r="G37" s="191">
        <f>C6</f>
        <v>2598226</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6337985</v>
      </c>
      <c r="H39" s="188">
        <f>C7*D7+C17*D17+C19*D19+C20*D20</f>
        <v>633798.5</v>
      </c>
    </row>
    <row r="40" spans="2:8" ht="15" customHeight="1" x14ac:dyDescent="0.15">
      <c r="B40" s="80" t="s">
        <v>205</v>
      </c>
      <c r="C40" s="81">
        <f>SUM(C36:C39)</f>
        <v>1384527</v>
      </c>
      <c r="F40" s="199" t="s">
        <v>139</v>
      </c>
      <c r="G40" s="193">
        <f>G12+G24</f>
        <v>23272268</v>
      </c>
      <c r="H40" s="200">
        <f>H12+H24</f>
        <v>16841286</v>
      </c>
    </row>
    <row r="41" spans="2:8" ht="15" customHeight="1" x14ac:dyDescent="0.15">
      <c r="B41" s="4" t="s">
        <v>17</v>
      </c>
      <c r="C41" s="21">
        <f>C42-C40</f>
        <v>634244</v>
      </c>
      <c r="F41" s="190" t="s">
        <v>192</v>
      </c>
      <c r="G41" s="191">
        <f>C70</f>
        <v>19908126</v>
      </c>
      <c r="H41" s="200">
        <f>H40-H42</f>
        <v>16279713.800000001</v>
      </c>
    </row>
    <row r="42" spans="2:8" ht="15" customHeight="1" x14ac:dyDescent="0.15">
      <c r="B42" s="83" t="s">
        <v>22</v>
      </c>
      <c r="C42" s="84">
        <v>2018771</v>
      </c>
      <c r="F42" s="201" t="s">
        <v>193</v>
      </c>
      <c r="G42" s="202">
        <f>C82</f>
        <v>3364142</v>
      </c>
      <c r="H42" s="203">
        <f>D82</f>
        <v>561572.19999999995</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26103689</v>
      </c>
      <c r="D46" s="76">
        <f>H29</f>
        <v>10897009.050000001</v>
      </c>
      <c r="F46" s="253"/>
    </row>
    <row r="47" spans="2:8" ht="15" customHeight="1" x14ac:dyDescent="0.15">
      <c r="B47" s="1" t="str">
        <f>"Equity per share ("&amp;Market_currency&amp;")"</f>
        <v>Equity per share (HKD)</v>
      </c>
      <c r="C47" s="147">
        <f>C46*H1/Common_Shares*Exchange_Rate</f>
        <v>10.985567361429975</v>
      </c>
      <c r="D47" s="147">
        <f>D46*H1/Common_Shares*Exchange_Rate</f>
        <v>4.5859352276564076</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0.60402076709908736</v>
      </c>
      <c r="D50" s="95">
        <f>G31/Normalized_FCF!G8</f>
        <v>0.54859123183168057</v>
      </c>
      <c r="F50" s="253"/>
    </row>
    <row r="51" spans="2:8" ht="15" customHeight="1" x14ac:dyDescent="0.15">
      <c r="B51" s="1" t="s">
        <v>177</v>
      </c>
      <c r="C51" s="181"/>
      <c r="D51" s="92">
        <f>G29/G32</f>
        <v>0.73102364188421065</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0.25775000437452</v>
      </c>
      <c r="D54" s="92">
        <f>Normalized_FCF!G8/G35</f>
        <v>0.28379300712166428</v>
      </c>
      <c r="F54" s="253"/>
    </row>
    <row r="55" spans="2:8" ht="15" customHeight="1" x14ac:dyDescent="0.15">
      <c r="B55" s="1" t="s">
        <v>142</v>
      </c>
      <c r="C55" s="92">
        <f>Normalized_FCF!C11/G40</f>
        <v>7.709145494543118E-3</v>
      </c>
      <c r="D55" s="92">
        <f>Normalized_FCF!G11/G40</f>
        <v>1.1013064992204455E-2</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v>
      </c>
      <c r="F58" s="5"/>
    </row>
    <row r="59" spans="2:8" ht="15" customHeight="1" x14ac:dyDescent="0.15">
      <c r="B59" s="1" t="s">
        <v>93</v>
      </c>
      <c r="C59" s="98"/>
      <c r="D59" s="92">
        <f>G39/G32</f>
        <v>0.17749280099481338</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0</v>
      </c>
      <c r="D62" s="92">
        <f>G28/G29</f>
        <v>0</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18164188</v>
      </c>
      <c r="D66" s="76">
        <f>C66-D75</f>
        <v>14106417.145179454</v>
      </c>
      <c r="F66" s="5" t="s">
        <v>227</v>
      </c>
    </row>
    <row r="67" spans="2:6" ht="15" customHeight="1" x14ac:dyDescent="0.15">
      <c r="B67" s="105" t="s">
        <v>178</v>
      </c>
      <c r="C67" s="20">
        <f>G6+G16</f>
        <v>0</v>
      </c>
      <c r="F67" s="253"/>
    </row>
    <row r="68" spans="2:6" ht="15" customHeight="1" x14ac:dyDescent="0.15">
      <c r="B68" s="105" t="s">
        <v>182</v>
      </c>
      <c r="C68" s="20">
        <f>G18</f>
        <v>1743938</v>
      </c>
      <c r="F68" s="253"/>
    </row>
    <row r="69" spans="2:6" ht="15" customHeight="1" x14ac:dyDescent="0.15">
      <c r="B69" s="105" t="s">
        <v>180</v>
      </c>
      <c r="C69" s="20">
        <f>G8+G20</f>
        <v>0</v>
      </c>
      <c r="F69" s="253"/>
    </row>
    <row r="70" spans="2:6" ht="15" customHeight="1" x14ac:dyDescent="0.15">
      <c r="B70" s="80" t="s">
        <v>189</v>
      </c>
      <c r="C70" s="81">
        <f>SUM(C66:C69)</f>
        <v>19908126</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-2211328.6877354505</v>
      </c>
      <c r="D73" s="76">
        <f>(Normalized_FCF!C25+Normalized_FCF!C35-Normalized_FCF!C91)/12</f>
        <v>-2028885.4274102726</v>
      </c>
      <c r="F73" s="1" t="s">
        <v>352</v>
      </c>
    </row>
    <row r="74" spans="2:6" ht="15" customHeight="1" x14ac:dyDescent="0.15">
      <c r="B74" s="257" t="s">
        <v>322</v>
      </c>
      <c r="C74" s="258">
        <f>-$C$66/C73</f>
        <v>8.2141511122895761</v>
      </c>
      <c r="D74" s="258">
        <f>-$C$66/D73</f>
        <v>8.9527913969914454</v>
      </c>
      <c r="F74" s="253" t="s">
        <v>320</v>
      </c>
    </row>
    <row r="75" spans="2:6" ht="15" customHeight="1" x14ac:dyDescent="0.15">
      <c r="B75" s="80" t="s">
        <v>321</v>
      </c>
      <c r="C75" s="342"/>
      <c r="D75" s="343">
        <f>MAX(-D73*D76,G5)</f>
        <v>4057770.8548205453</v>
      </c>
      <c r="F75" s="253" t="s">
        <v>353</v>
      </c>
    </row>
    <row r="76" spans="2:6" ht="15" customHeight="1" x14ac:dyDescent="0.15">
      <c r="B76" s="259" t="s">
        <v>323</v>
      </c>
      <c r="C76" s="260"/>
      <c r="D76" s="290">
        <f>IF(D74&lt;=3,1,IF(D74&gt;18,6,2))</f>
        <v>2</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450316</v>
      </c>
      <c r="D79" s="76">
        <f>G7*H7+G17*H17</f>
        <v>270189.59999999998</v>
      </c>
      <c r="F79" s="253"/>
    </row>
    <row r="80" spans="2:6" ht="15" customHeight="1" x14ac:dyDescent="0.15">
      <c r="B80" s="105" t="s">
        <v>183</v>
      </c>
      <c r="C80" s="20">
        <f>G19</f>
        <v>0</v>
      </c>
      <c r="D80" s="76">
        <f>G19*H19</f>
        <v>0</v>
      </c>
      <c r="F80" s="253"/>
    </row>
    <row r="81" spans="2:8" ht="15" customHeight="1" x14ac:dyDescent="0.15">
      <c r="B81" s="105" t="s">
        <v>181</v>
      </c>
      <c r="C81" s="20">
        <f>G9+G21</f>
        <v>2913826</v>
      </c>
      <c r="D81" s="76">
        <f>G9*H9+G21*H21</f>
        <v>291382.60000000003</v>
      </c>
      <c r="F81" s="253"/>
    </row>
    <row r="82" spans="2:8" ht="15" customHeight="1" x14ac:dyDescent="0.15">
      <c r="B82" s="80" t="s">
        <v>190</v>
      </c>
      <c r="C82" s="81">
        <f>SUM(C79:C81)</f>
        <v>3364142</v>
      </c>
      <c r="D82" s="81">
        <f>SUM(D79:D81)</f>
        <v>561572.19999999995</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-2106120.8255629498</v>
      </c>
      <c r="D86" s="223">
        <f>C86*scaling_factor/Common_Shares</f>
        <v>-0.81481063593950065</v>
      </c>
      <c r="E86" s="240" t="str">
        <f>Market_currency</f>
        <v>HKD</v>
      </c>
    </row>
    <row r="87" spans="2:8" ht="15" customHeight="1" x14ac:dyDescent="0.15">
      <c r="B87" s="238" t="s">
        <v>288</v>
      </c>
      <c r="C87" s="76">
        <f>DCF!C8*Exchange_Rate</f>
        <v>15344894.975686485</v>
      </c>
      <c r="D87" s="223">
        <f>C87*scaling_factor/Common_Shares</f>
        <v>5.9365937043151122</v>
      </c>
      <c r="E87" s="240" t="str">
        <f>Market_currency</f>
        <v>HKD</v>
      </c>
    </row>
    <row r="88" spans="2:8" ht="15" customHeight="1" x14ac:dyDescent="0.15">
      <c r="B88" s="239" t="s">
        <v>190</v>
      </c>
      <c r="C88" s="76">
        <f>DCF!C9*Exchange_Rate</f>
        <v>610875.62784926989</v>
      </c>
      <c r="D88" s="223">
        <f>C88*scaling_factor/Common_Shares</f>
        <v>0.23633399981919898</v>
      </c>
      <c r="E88" s="240" t="str">
        <f>Market_currency</f>
        <v>HKD</v>
      </c>
    </row>
    <row r="89" spans="2:8" ht="15" customHeight="1" x14ac:dyDescent="0.15">
      <c r="B89" s="80" t="s">
        <v>292</v>
      </c>
      <c r="C89" s="180">
        <f>SUM(C86:C88)</f>
        <v>13849649.777972804</v>
      </c>
      <c r="D89" s="242">
        <f>SUM(D86:D88)</f>
        <v>5.3581170681948107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18">
        <f>AVERAGE(G4:J4)</f>
        <v>26162449.5</v>
      </c>
      <c r="D4" s="57"/>
      <c r="E4" s="266"/>
      <c r="F4" s="57"/>
      <c r="G4" s="324">
        <f>Data!C36</f>
        <v>28675643</v>
      </c>
      <c r="H4" s="324">
        <f>Data!D36</f>
        <v>27598491</v>
      </c>
      <c r="I4" s="324">
        <f>Data!E36</f>
        <v>25803383</v>
      </c>
      <c r="J4" s="324">
        <f>Data!F36</f>
        <v>22572281</v>
      </c>
      <c r="K4" s="324">
        <f>Data!G36</f>
        <v>14456971</v>
      </c>
      <c r="L4" s="324">
        <f>Data!H36</f>
        <v>13869630</v>
      </c>
      <c r="M4" s="324">
        <f>Data!I36</f>
        <v>10510898</v>
      </c>
      <c r="N4" s="324">
        <f>Data!J36</f>
        <v>8873912</v>
      </c>
      <c r="O4" s="324">
        <f>Data!K36</f>
        <v>8015293</v>
      </c>
      <c r="P4" s="324">
        <f>Data!L36</f>
        <v>7089495</v>
      </c>
      <c r="Q4" s="324" t="str">
        <f>Data!M36</f>
        <v/>
      </c>
    </row>
    <row r="5" spans="1:17" ht="15.75" customHeight="1" x14ac:dyDescent="0.15">
      <c r="A5" s="10"/>
      <c r="B5" s="2" t="s">
        <v>46</v>
      </c>
      <c r="C5" s="319">
        <f>C25</f>
        <v>-21529127.876097865</v>
      </c>
      <c r="E5" s="268"/>
      <c r="G5" s="324">
        <f t="shared" ref="G5:Q5" si="1">G25</f>
        <v>-23718447</v>
      </c>
      <c r="H5" s="324">
        <f t="shared" si="1"/>
        <v>-23326557</v>
      </c>
      <c r="I5" s="324">
        <f t="shared" si="1"/>
        <v>-20632893</v>
      </c>
      <c r="J5" s="324">
        <f t="shared" si="1"/>
        <v>-16741260</v>
      </c>
      <c r="K5" s="324">
        <f t="shared" si="1"/>
        <v>-11787345</v>
      </c>
      <c r="L5" s="324">
        <f t="shared" si="1"/>
        <v>-11509238</v>
      </c>
      <c r="M5" s="324">
        <f t="shared" si="1"/>
        <v>-9166570</v>
      </c>
      <c r="N5" s="324">
        <f t="shared" si="1"/>
        <v>-7970804</v>
      </c>
      <c r="O5" s="324">
        <f t="shared" si="1"/>
        <v>-7279406</v>
      </c>
      <c r="P5" s="324">
        <f t="shared" si="1"/>
        <v>-6617197</v>
      </c>
      <c r="Q5" s="324" t="str">
        <f t="shared" si="1"/>
        <v/>
      </c>
    </row>
    <row r="6" spans="1:17" ht="15.75" customHeight="1" x14ac:dyDescent="0.15">
      <c r="A6" s="10"/>
      <c r="B6" s="31" t="s">
        <v>48</v>
      </c>
      <c r="C6" s="320">
        <f>C4+C5</f>
        <v>4633321.6239021346</v>
      </c>
      <c r="E6" s="268"/>
      <c r="G6" s="320">
        <f>IF(G4="","",G4+G5)</f>
        <v>4957196</v>
      </c>
      <c r="H6" s="320">
        <f t="shared" ref="H6:Q6" si="2">IF(H4="","",H4+H5)</f>
        <v>4271934</v>
      </c>
      <c r="I6" s="320">
        <f t="shared" si="2"/>
        <v>5170490</v>
      </c>
      <c r="J6" s="320">
        <f t="shared" si="2"/>
        <v>5831021</v>
      </c>
      <c r="K6" s="320">
        <f t="shared" si="2"/>
        <v>2669626</v>
      </c>
      <c r="L6" s="320">
        <f t="shared" si="2"/>
        <v>2360392</v>
      </c>
      <c r="M6" s="320">
        <f t="shared" si="2"/>
        <v>1344328</v>
      </c>
      <c r="N6" s="320">
        <f t="shared" si="2"/>
        <v>903108</v>
      </c>
      <c r="O6" s="320">
        <f t="shared" si="2"/>
        <v>735887</v>
      </c>
      <c r="P6" s="320">
        <f t="shared" si="2"/>
        <v>472298</v>
      </c>
      <c r="Q6" s="320" t="str">
        <f t="shared" si="2"/>
        <v/>
      </c>
    </row>
    <row r="7" spans="1:17" ht="15.75" customHeight="1" x14ac:dyDescent="0.15">
      <c r="A7" s="10"/>
      <c r="B7" s="8" t="s">
        <v>45</v>
      </c>
      <c r="C7" s="319">
        <f>C35</f>
        <v>-1427907</v>
      </c>
      <c r="E7" s="268"/>
      <c r="G7" s="319">
        <f t="shared" ref="G7:Q7" si="3">G35</f>
        <v>-1427907</v>
      </c>
      <c r="H7" s="319">
        <f t="shared" si="3"/>
        <v>-1256152</v>
      </c>
      <c r="I7" s="319">
        <f t="shared" si="3"/>
        <v>-1113218</v>
      </c>
      <c r="J7" s="319">
        <f t="shared" si="3"/>
        <v>-1110675</v>
      </c>
      <c r="K7" s="319">
        <f t="shared" si="3"/>
        <v>-805058</v>
      </c>
      <c r="L7" s="319">
        <f t="shared" si="3"/>
        <v>-968264</v>
      </c>
      <c r="M7" s="319">
        <f t="shared" si="3"/>
        <v>-679873</v>
      </c>
      <c r="N7" s="319">
        <f t="shared" si="3"/>
        <v>-501066</v>
      </c>
      <c r="O7" s="319">
        <f t="shared" si="3"/>
        <v>-424129</v>
      </c>
      <c r="P7" s="319">
        <f t="shared" si="3"/>
        <v>-346149</v>
      </c>
      <c r="Q7" s="319" t="str">
        <f t="shared" si="3"/>
        <v/>
      </c>
    </row>
    <row r="8" spans="1:17" ht="15.75" customHeight="1" x14ac:dyDescent="0.15">
      <c r="A8" s="10"/>
      <c r="B8" s="29" t="s">
        <v>153</v>
      </c>
      <c r="C8" s="321">
        <f>C6+C7</f>
        <v>3205414.6239021346</v>
      </c>
      <c r="D8" s="59"/>
      <c r="E8" s="274"/>
      <c r="F8" s="59"/>
      <c r="G8" s="320">
        <f>IF(G$4="","",G6+G7)</f>
        <v>3529289</v>
      </c>
      <c r="H8" s="320">
        <f t="shared" ref="H8:Q8" si="4">IF(H$4="","",H6+H7)</f>
        <v>3015782</v>
      </c>
      <c r="I8" s="320">
        <f t="shared" si="4"/>
        <v>4057272</v>
      </c>
      <c r="J8" s="320">
        <f t="shared" si="4"/>
        <v>4720346</v>
      </c>
      <c r="K8" s="320">
        <f t="shared" si="4"/>
        <v>1864568</v>
      </c>
      <c r="L8" s="320">
        <f t="shared" si="4"/>
        <v>1392128</v>
      </c>
      <c r="M8" s="320">
        <f t="shared" si="4"/>
        <v>664455</v>
      </c>
      <c r="N8" s="320">
        <f t="shared" si="4"/>
        <v>402042</v>
      </c>
      <c r="O8" s="320">
        <f t="shared" si="4"/>
        <v>311758</v>
      </c>
      <c r="P8" s="320">
        <f t="shared" si="4"/>
        <v>126149</v>
      </c>
      <c r="Q8" s="320" t="str">
        <f t="shared" si="4"/>
        <v/>
      </c>
    </row>
    <row r="9" spans="1:17" ht="15.75" customHeight="1" x14ac:dyDescent="0.15">
      <c r="A9" s="10"/>
      <c r="B9" s="2" t="s">
        <v>65</v>
      </c>
      <c r="C9" s="319">
        <f>BS!$G$39*BS!D58</f>
        <v>0</v>
      </c>
      <c r="E9" s="268"/>
      <c r="G9" s="319">
        <f>IF(Data!C61="","",-Data!C61)</f>
        <v>0</v>
      </c>
      <c r="H9" s="319">
        <f>IF(Data!D61="","",-Data!D61)</f>
        <v>0</v>
      </c>
      <c r="I9" s="319">
        <f>IF(Data!E61="","",-Data!E61)</f>
        <v>0</v>
      </c>
      <c r="J9" s="319">
        <f>IF(Data!F61="","",-Data!F61)</f>
        <v>0</v>
      </c>
      <c r="K9" s="319">
        <f>IF(Data!G61="","",-Data!G61)</f>
        <v>0</v>
      </c>
      <c r="L9" s="319">
        <f>IF(Data!H61="","",-Data!H61)</f>
        <v>0</v>
      </c>
      <c r="M9" s="319">
        <f>IF(Data!I61="","",-Data!I61)</f>
        <v>0</v>
      </c>
      <c r="N9" s="319">
        <f>IF(Data!J61="","",-Data!J61)</f>
        <v>0</v>
      </c>
      <c r="O9" s="319">
        <f>IF(Data!K61="","",-Data!K61)</f>
        <v>0</v>
      </c>
      <c r="P9" s="319">
        <f>IF(Data!L61="","",-Data!L61)</f>
        <v>0</v>
      </c>
      <c r="Q9" s="319" t="str">
        <f>IF(Data!M61="","",-Data!M61)</f>
        <v/>
      </c>
    </row>
    <row r="10" spans="1:17" ht="15.75" customHeight="1" x14ac:dyDescent="0.15">
      <c r="A10" s="10"/>
      <c r="B10" s="2" t="s">
        <v>81</v>
      </c>
      <c r="C10" s="319">
        <f>-C4*C78</f>
        <v>0</v>
      </c>
      <c r="E10" s="268"/>
      <c r="G10" s="319">
        <f>Data!C62</f>
        <v>1815.2739999999999</v>
      </c>
      <c r="H10" s="319">
        <f>Data!D62</f>
        <v>1815.2739999999999</v>
      </c>
      <c r="I10" s="319">
        <f>Data!E62</f>
        <v>1830.425</v>
      </c>
      <c r="J10" s="319">
        <f>Data!F62</f>
        <v>1027.7539999999999</v>
      </c>
      <c r="K10" s="319">
        <f>Data!G62</f>
        <v>745.63400000000001</v>
      </c>
      <c r="L10" s="319">
        <f>Data!H62</f>
        <v>649.02099999999996</v>
      </c>
      <c r="M10" s="319">
        <f>Data!I62</f>
        <v>0</v>
      </c>
      <c r="N10" s="319">
        <f>Data!J62</f>
        <v>0</v>
      </c>
      <c r="O10" s="319">
        <f>Data!K62</f>
        <v>0</v>
      </c>
      <c r="P10" s="319">
        <f>Data!L62</f>
        <v>0</v>
      </c>
      <c r="Q10" s="319" t="str">
        <f>Data!M62</f>
        <v/>
      </c>
    </row>
    <row r="11" spans="1:17" ht="15.75" customHeight="1" x14ac:dyDescent="0.15">
      <c r="A11" s="10"/>
      <c r="B11" s="31" t="s">
        <v>195</v>
      </c>
      <c r="C11" s="322">
        <f>C63</f>
        <v>179409.3</v>
      </c>
      <c r="D11" s="168"/>
      <c r="E11" s="267"/>
      <c r="F11" s="168"/>
      <c r="G11" s="325">
        <f>G61</f>
        <v>256299</v>
      </c>
      <c r="H11" s="325">
        <f t="shared" ref="H11:Q11" si="5">H61</f>
        <v>377972</v>
      </c>
      <c r="I11" s="325">
        <f t="shared" si="5"/>
        <v>201155</v>
      </c>
      <c r="J11" s="325">
        <f t="shared" si="5"/>
        <v>159222</v>
      </c>
      <c r="K11" s="325">
        <f t="shared" si="5"/>
        <v>83487</v>
      </c>
      <c r="L11" s="325">
        <f t="shared" si="5"/>
        <v>343469</v>
      </c>
      <c r="M11" s="325">
        <f t="shared" si="5"/>
        <v>63633</v>
      </c>
      <c r="N11" s="325">
        <f t="shared" si="5"/>
        <v>73806</v>
      </c>
      <c r="O11" s="325">
        <f t="shared" si="5"/>
        <v>9716</v>
      </c>
      <c r="P11" s="325">
        <f t="shared" si="5"/>
        <v>6948</v>
      </c>
      <c r="Q11" s="325" t="str">
        <f t="shared" si="5"/>
        <v/>
      </c>
    </row>
    <row r="12" spans="1:17" ht="15.75" customHeight="1" x14ac:dyDescent="0.15">
      <c r="A12" s="10"/>
      <c r="B12" s="2" t="s">
        <v>68</v>
      </c>
      <c r="C12" s="319">
        <f>C50</f>
        <v>-158467.68645706624</v>
      </c>
      <c r="E12" s="268"/>
      <c r="G12" s="319">
        <f>G50</f>
        <v>-158467.68645706624</v>
      </c>
      <c r="H12" s="319">
        <f t="shared" ref="H12:Q12" si="6">H50</f>
        <v>-69624.786301619824</v>
      </c>
      <c r="I12" s="319">
        <f t="shared" si="6"/>
        <v>-20536.7773535382</v>
      </c>
      <c r="J12" s="319">
        <f t="shared" si="6"/>
        <v>-80044.198858881195</v>
      </c>
      <c r="K12" s="319">
        <f t="shared" si="6"/>
        <v>0</v>
      </c>
      <c r="L12" s="319">
        <f t="shared" si="6"/>
        <v>0</v>
      </c>
      <c r="M12" s="319">
        <f t="shared" si="6"/>
        <v>0</v>
      </c>
      <c r="N12" s="319">
        <f t="shared" si="6"/>
        <v>0</v>
      </c>
      <c r="O12" s="319">
        <f t="shared" si="6"/>
        <v>0</v>
      </c>
      <c r="P12" s="319">
        <f t="shared" si="6"/>
        <v>0</v>
      </c>
      <c r="Q12" s="319" t="str">
        <f t="shared" si="6"/>
        <v/>
      </c>
    </row>
    <row r="13" spans="1:17" ht="15.75" customHeight="1" x14ac:dyDescent="0.15">
      <c r="A13" s="10"/>
      <c r="B13" s="70" t="s">
        <v>165</v>
      </c>
      <c r="C13" s="320">
        <f>SUM(C8:C12)</f>
        <v>3226356.2374450681</v>
      </c>
      <c r="E13" s="268"/>
      <c r="G13" s="320">
        <f>IF(G$4="","",SUM(G8:G12))</f>
        <v>3628935.5875429339</v>
      </c>
      <c r="H13" s="320">
        <f t="shared" ref="H13:Q13" si="7">IF(H$4="","",SUM(H8:H12))</f>
        <v>3325944.4876983804</v>
      </c>
      <c r="I13" s="320">
        <f t="shared" si="7"/>
        <v>4239720.6476464616</v>
      </c>
      <c r="J13" s="320">
        <f t="shared" si="7"/>
        <v>4800551.5551411184</v>
      </c>
      <c r="K13" s="320">
        <f t="shared" si="7"/>
        <v>1948800.6340000001</v>
      </c>
      <c r="L13" s="320">
        <f t="shared" si="7"/>
        <v>1736246.0209999999</v>
      </c>
      <c r="M13" s="320">
        <f t="shared" si="7"/>
        <v>728088</v>
      </c>
      <c r="N13" s="320">
        <f t="shared" si="7"/>
        <v>475848</v>
      </c>
      <c r="O13" s="320">
        <f t="shared" si="7"/>
        <v>321474</v>
      </c>
      <c r="P13" s="320">
        <f t="shared" si="7"/>
        <v>133097</v>
      </c>
      <c r="Q13" s="320" t="str">
        <f t="shared" si="7"/>
        <v/>
      </c>
    </row>
    <row r="14" spans="1:17" ht="15.75" customHeight="1" x14ac:dyDescent="0.15">
      <c r="A14" s="10"/>
      <c r="B14" s="2" t="s">
        <v>63</v>
      </c>
      <c r="C14" s="319">
        <f>-SUM(C8+C11,C12)*C43</f>
        <v>-806589.05936126702</v>
      </c>
      <c r="E14" s="268"/>
      <c r="G14" s="319">
        <f>Data!C46</f>
        <v>-1096691</v>
      </c>
      <c r="H14" s="319">
        <f>Data!D46</f>
        <v>-1069207</v>
      </c>
      <c r="I14" s="319">
        <f>Data!E46</f>
        <v>-1351329</v>
      </c>
      <c r="J14" s="319">
        <f>Data!F46</f>
        <v>-1317349</v>
      </c>
      <c r="K14" s="319">
        <f>Data!G46</f>
        <v>-549381</v>
      </c>
      <c r="L14" s="319">
        <f>Data!H46</f>
        <v>-357403</v>
      </c>
      <c r="M14" s="319">
        <f>Data!I46</f>
        <v>-135058</v>
      </c>
      <c r="N14" s="319">
        <f>Data!J46</f>
        <v>-22369</v>
      </c>
      <c r="O14" s="319">
        <f>Data!K46</f>
        <v>-32435</v>
      </c>
      <c r="P14" s="319">
        <f>Data!L46</f>
        <v>-73768</v>
      </c>
      <c r="Q14" s="319" t="str">
        <f>Data!M46</f>
        <v/>
      </c>
    </row>
    <row r="15" spans="1:17" ht="15.75" customHeight="1" x14ac:dyDescent="0.15">
      <c r="A15" s="10"/>
      <c r="B15" s="40" t="s">
        <v>244</v>
      </c>
      <c r="C15" s="319">
        <f>-C4*C83</f>
        <v>0</v>
      </c>
      <c r="D15" s="60"/>
      <c r="E15" s="275"/>
      <c r="F15" s="60"/>
      <c r="G15" s="324">
        <f>Data!C48</f>
        <v>0</v>
      </c>
      <c r="H15" s="324">
        <f>Data!D48</f>
        <v>-52</v>
      </c>
      <c r="I15" s="324">
        <f>Data!E48</f>
        <v>0</v>
      </c>
      <c r="J15" s="324">
        <f>Data!F48</f>
        <v>-7</v>
      </c>
      <c r="K15" s="324">
        <f>Data!G48</f>
        <v>0</v>
      </c>
      <c r="L15" s="324">
        <f>Data!H48</f>
        <v>-4</v>
      </c>
      <c r="M15" s="324">
        <f>Data!I48</f>
        <v>0</v>
      </c>
      <c r="N15" s="324">
        <f>Data!J48</f>
        <v>0</v>
      </c>
      <c r="O15" s="324">
        <f>Data!K48</f>
        <v>-57615</v>
      </c>
      <c r="P15" s="324">
        <f>Data!L48</f>
        <v>-47296</v>
      </c>
      <c r="Q15" s="324" t="str">
        <f>Data!M48</f>
        <v/>
      </c>
    </row>
    <row r="16" spans="1:17" ht="15.75" customHeight="1" x14ac:dyDescent="0.15">
      <c r="A16" s="10"/>
      <c r="B16" s="41" t="s">
        <v>155</v>
      </c>
      <c r="C16" s="323">
        <f>SUM(C13:C15)</f>
        <v>2419767.1780838012</v>
      </c>
      <c r="D16" s="61"/>
      <c r="E16" s="276"/>
      <c r="F16" s="61"/>
      <c r="G16" s="320">
        <f>IF(G$4="","",SUM(G13:G15))</f>
        <v>2532244.5875429339</v>
      </c>
      <c r="H16" s="320">
        <f t="shared" ref="H16:Q16" si="8">IF(H$4="","",SUM(H13:H15))</f>
        <v>2256685.4876983804</v>
      </c>
      <c r="I16" s="320">
        <f t="shared" si="8"/>
        <v>2888391.6476464616</v>
      </c>
      <c r="J16" s="320">
        <f t="shared" si="8"/>
        <v>3483195.5551411184</v>
      </c>
      <c r="K16" s="320">
        <f t="shared" si="8"/>
        <v>1399419.6340000001</v>
      </c>
      <c r="L16" s="320">
        <f t="shared" si="8"/>
        <v>1378839.0209999999</v>
      </c>
      <c r="M16" s="320">
        <f t="shared" si="8"/>
        <v>593030</v>
      </c>
      <c r="N16" s="320">
        <f t="shared" si="8"/>
        <v>453479</v>
      </c>
      <c r="O16" s="320">
        <f t="shared" si="8"/>
        <v>231424</v>
      </c>
      <c r="P16" s="320">
        <f t="shared" si="8"/>
        <v>12033</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2419767.1780838012</v>
      </c>
      <c r="D19" s="27"/>
      <c r="E19" s="265"/>
      <c r="F19" s="27"/>
      <c r="G19" s="325">
        <f>IF(G$4="","",G16+G17)</f>
        <v>2532244.5875429339</v>
      </c>
      <c r="H19" s="325">
        <f t="shared" ref="H19:Q19" si="9">IF(H$4="","",H16+H17)</f>
        <v>2256685.4876983804</v>
      </c>
      <c r="I19" s="325">
        <f t="shared" si="9"/>
        <v>2888391.6476464616</v>
      </c>
      <c r="J19" s="325">
        <f t="shared" si="9"/>
        <v>3483195.5551411184</v>
      </c>
      <c r="K19" s="325">
        <f t="shared" si="9"/>
        <v>1399419.6340000001</v>
      </c>
      <c r="L19" s="325">
        <f t="shared" si="9"/>
        <v>1378839.0209999999</v>
      </c>
      <c r="M19" s="325">
        <f t="shared" si="9"/>
        <v>593030</v>
      </c>
      <c r="N19" s="325">
        <f t="shared" si="9"/>
        <v>453479</v>
      </c>
      <c r="O19" s="325">
        <f t="shared" si="9"/>
        <v>231424</v>
      </c>
      <c r="P19" s="325">
        <f t="shared" si="9"/>
        <v>12033</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-13136432.380387567</v>
      </c>
      <c r="D23" s="58"/>
      <c r="E23" s="267"/>
      <c r="F23" s="58"/>
      <c r="G23" s="324">
        <f>Data!C37</f>
        <v>-14519540</v>
      </c>
      <c r="H23" s="324">
        <f>Data!D37</f>
        <v>-14246436</v>
      </c>
      <c r="I23" s="324">
        <f>Data!E37</f>
        <v>-13318590</v>
      </c>
      <c r="J23" s="324">
        <f>Data!F37</f>
        <v>-10603183</v>
      </c>
      <c r="K23" s="324">
        <f>Data!G37</f>
        <v>-7362627</v>
      </c>
      <c r="L23" s="324">
        <f>Data!H37</f>
        <v>-7064168</v>
      </c>
      <c r="M23" s="324">
        <f>Data!I37</f>
        <v>-5458124</v>
      </c>
      <c r="N23" s="324">
        <f>Data!J37</f>
        <v>-4697429</v>
      </c>
      <c r="O23" s="324">
        <f>Data!K37</f>
        <v>-4310065</v>
      </c>
      <c r="P23" s="324">
        <f>Data!L37</f>
        <v>-3896836</v>
      </c>
      <c r="Q23" s="324" t="str">
        <f>Data!M37</f>
        <v/>
      </c>
    </row>
    <row r="24" spans="1:17" ht="15.75" customHeight="1" x14ac:dyDescent="0.2">
      <c r="A24" s="10"/>
      <c r="B24" s="68" t="s">
        <v>62</v>
      </c>
      <c r="C24" s="319">
        <f>-C4*C29</f>
        <v>-8392695.4957102966</v>
      </c>
      <c r="D24" s="27"/>
      <c r="E24" s="265"/>
      <c r="F24" s="27"/>
      <c r="G24" s="324">
        <f>Data!C40</f>
        <v>-9198907</v>
      </c>
      <c r="H24" s="324">
        <f>Data!D40</f>
        <v>-9080121</v>
      </c>
      <c r="I24" s="324">
        <f>Data!E40</f>
        <v>-7314303</v>
      </c>
      <c r="J24" s="324">
        <f>Data!F40</f>
        <v>-6138077</v>
      </c>
      <c r="K24" s="324">
        <f>Data!G40</f>
        <v>-4424718</v>
      </c>
      <c r="L24" s="324">
        <f>Data!H40</f>
        <v>-4445070</v>
      </c>
      <c r="M24" s="324">
        <f>Data!I40</f>
        <v>-3708446</v>
      </c>
      <c r="N24" s="324">
        <f>Data!J40</f>
        <v>-3273375</v>
      </c>
      <c r="O24" s="324">
        <f>Data!K40</f>
        <v>-2969341</v>
      </c>
      <c r="P24" s="324">
        <f>Data!L40</f>
        <v>-2720361</v>
      </c>
      <c r="Q24" s="324" t="str">
        <f>Data!M40</f>
        <v/>
      </c>
    </row>
    <row r="25" spans="1:17" ht="15.75" customHeight="1" x14ac:dyDescent="0.15">
      <c r="A25" s="10"/>
      <c r="B25" s="70" t="s">
        <v>46</v>
      </c>
      <c r="C25" s="320">
        <f>C23+C24</f>
        <v>-21529127.876097865</v>
      </c>
      <c r="D25" s="9"/>
      <c r="E25" s="273"/>
      <c r="F25" s="9"/>
      <c r="G25" s="320">
        <f t="shared" ref="G25:Q25" si="10">IF(G$4="","",G23+G24)</f>
        <v>-23718447</v>
      </c>
      <c r="H25" s="320">
        <f t="shared" si="10"/>
        <v>-23326557</v>
      </c>
      <c r="I25" s="320">
        <f t="shared" si="10"/>
        <v>-20632893</v>
      </c>
      <c r="J25" s="320">
        <f t="shared" si="10"/>
        <v>-16741260</v>
      </c>
      <c r="K25" s="320">
        <f t="shared" si="10"/>
        <v>-11787345</v>
      </c>
      <c r="L25" s="320">
        <f t="shared" si="10"/>
        <v>-11509238</v>
      </c>
      <c r="M25" s="320">
        <f t="shared" si="10"/>
        <v>-9166570</v>
      </c>
      <c r="N25" s="320">
        <f t="shared" si="10"/>
        <v>-7970804</v>
      </c>
      <c r="O25" s="320">
        <f t="shared" si="10"/>
        <v>-7279406</v>
      </c>
      <c r="P25" s="320">
        <f t="shared" si="10"/>
        <v>-6617197</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0.50211018583667277</v>
      </c>
      <c r="D28" s="26"/>
      <c r="E28" s="266"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x14ac:dyDescent="0.2">
      <c r="A29" s="10"/>
      <c r="B29" s="68" t="str">
        <f>B24</f>
        <v>Selling Expenses</v>
      </c>
      <c r="C29" s="63">
        <f>G29</f>
        <v>0.32079165583139668</v>
      </c>
      <c r="D29" s="26"/>
      <c r="E29" s="266"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x14ac:dyDescent="0.15">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G33</f>
        <v>-1427907</v>
      </c>
      <c r="E33" s="266" t="s">
        <v>334</v>
      </c>
      <c r="G33" s="319">
        <f>Data!C41</f>
        <v>-1427907</v>
      </c>
      <c r="H33" s="319">
        <f>Data!D41</f>
        <v>-1256152</v>
      </c>
      <c r="I33" s="319">
        <f>Data!E41</f>
        <v>-1113218</v>
      </c>
      <c r="J33" s="319">
        <f>Data!F41</f>
        <v>-1110675</v>
      </c>
      <c r="K33" s="319">
        <f>Data!G41</f>
        <v>-805058</v>
      </c>
      <c r="L33" s="319">
        <f>Data!H41</f>
        <v>-968264</v>
      </c>
      <c r="M33" s="319">
        <f>Data!I41</f>
        <v>-679873</v>
      </c>
      <c r="N33" s="319">
        <f>Data!J41</f>
        <v>-501066</v>
      </c>
      <c r="O33" s="319">
        <f>Data!K41</f>
        <v>-424129</v>
      </c>
      <c r="P33" s="319">
        <f>Data!L41</f>
        <v>-346149</v>
      </c>
      <c r="Q33" s="319" t="str">
        <f>Data!M41</f>
        <v/>
      </c>
    </row>
    <row r="34" spans="1:17" ht="15.75" customHeight="1" x14ac:dyDescent="0.15">
      <c r="A34" s="10"/>
      <c r="B34" s="27" t="s">
        <v>49</v>
      </c>
      <c r="C34" s="329">
        <f>AVERAGE(G34:J34)</f>
        <v>0</v>
      </c>
      <c r="D34" s="58"/>
      <c r="E34" s="266" t="s">
        <v>334</v>
      </c>
      <c r="F34" s="58"/>
      <c r="G34" s="324">
        <f>Data!C42</f>
        <v>0</v>
      </c>
      <c r="H34" s="324">
        <f>Data!D42</f>
        <v>0</v>
      </c>
      <c r="I34" s="324">
        <f>Data!E42</f>
        <v>0</v>
      </c>
      <c r="J34" s="324">
        <f>Data!F42</f>
        <v>0</v>
      </c>
      <c r="K34" s="324">
        <f>Data!G42</f>
        <v>0</v>
      </c>
      <c r="L34" s="324">
        <f>Data!H42</f>
        <v>0</v>
      </c>
      <c r="M34" s="324">
        <f>Data!I42</f>
        <v>0</v>
      </c>
      <c r="N34" s="324">
        <f>Data!J42</f>
        <v>0</v>
      </c>
      <c r="O34" s="324">
        <f>Data!K42</f>
        <v>0</v>
      </c>
      <c r="P34" s="324">
        <f>Data!L42</f>
        <v>0</v>
      </c>
      <c r="Q34" s="324" t="str">
        <f>Data!M42</f>
        <v/>
      </c>
    </row>
    <row r="35" spans="1:17" ht="15.75" customHeight="1" x14ac:dyDescent="0.15">
      <c r="A35" s="10"/>
      <c r="B35" s="70" t="s">
        <v>45</v>
      </c>
      <c r="C35" s="320">
        <f>C33+C34</f>
        <v>-1427907</v>
      </c>
      <c r="D35" s="58"/>
      <c r="E35" s="267"/>
      <c r="F35" s="58"/>
      <c r="G35" s="320">
        <f t="shared" ref="G35:Q35" si="14">IF(G4="","",G33+G34)</f>
        <v>-1427907</v>
      </c>
      <c r="H35" s="320">
        <f t="shared" si="14"/>
        <v>-1256152</v>
      </c>
      <c r="I35" s="320">
        <f t="shared" si="14"/>
        <v>-1113218</v>
      </c>
      <c r="J35" s="320">
        <f t="shared" si="14"/>
        <v>-1110675</v>
      </c>
      <c r="K35" s="320">
        <f t="shared" si="14"/>
        <v>-805058</v>
      </c>
      <c r="L35" s="320">
        <f t="shared" si="14"/>
        <v>-968264</v>
      </c>
      <c r="M35" s="320">
        <f t="shared" si="14"/>
        <v>-679873</v>
      </c>
      <c r="N35" s="320">
        <f t="shared" si="14"/>
        <v>-501066</v>
      </c>
      <c r="O35" s="320">
        <f t="shared" si="14"/>
        <v>-424129</v>
      </c>
      <c r="P35" s="320">
        <f t="shared" si="14"/>
        <v>-346149</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0.30235859447649904</v>
      </c>
      <c r="H43" s="6">
        <f t="shared" si="18"/>
        <v>0.32165025222061544</v>
      </c>
      <c r="I43" s="6">
        <f t="shared" si="18"/>
        <v>0.31886833518687208</v>
      </c>
      <c r="J43" s="6">
        <f t="shared" si="18"/>
        <v>0.27447493846926885</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-254421</v>
      </c>
      <c r="E47" s="268"/>
      <c r="G47" s="319">
        <f>Data!C51</f>
        <v>-254421</v>
      </c>
      <c r="H47" s="319">
        <f>Data!D51</f>
        <v>-181446</v>
      </c>
      <c r="I47" s="319">
        <f>Data!E51</f>
        <v>-120561</v>
      </c>
      <c r="J47" s="319">
        <f>Data!F51</f>
        <v>-112458</v>
      </c>
      <c r="K47" s="319">
        <f>Data!G51</f>
        <v>0</v>
      </c>
      <c r="L47" s="319">
        <f>Data!H51</f>
        <v>0</v>
      </c>
      <c r="M47" s="319">
        <f>Data!I51</f>
        <v>0</v>
      </c>
      <c r="N47" s="319">
        <f>Data!J51</f>
        <v>0</v>
      </c>
      <c r="O47" s="319">
        <f>Data!K51</f>
        <v>0</v>
      </c>
      <c r="P47" s="319">
        <f>Data!L51</f>
        <v>0</v>
      </c>
      <c r="Q47" s="319" t="str">
        <f>Data!M51</f>
        <v/>
      </c>
    </row>
    <row r="48" spans="1:17" ht="15.75" customHeight="1" x14ac:dyDescent="0.15">
      <c r="A48" s="10"/>
      <c r="B48" s="2" t="s">
        <v>346</v>
      </c>
      <c r="C48" s="319">
        <f>BS!D75*C53</f>
        <v>95953.313542933756</v>
      </c>
      <c r="E48" s="268"/>
      <c r="G48" s="328">
        <f>IFERROR(IF(G$4="","",($C$48/$C$49)*G49),0)</f>
        <v>95953.313542933756</v>
      </c>
      <c r="H48" s="328">
        <f t="shared" ref="H48:Q48" si="19">IFERROR(IF(H$4="","",($C$48/$C$49)*H49),0)</f>
        <v>111821.21369838018</v>
      </c>
      <c r="I48" s="328">
        <f t="shared" si="19"/>
        <v>100024.2226464618</v>
      </c>
      <c r="J48" s="328">
        <f t="shared" si="19"/>
        <v>32413.801141118813</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15">
      <c r="A49" s="10"/>
      <c r="B49" s="287" t="s">
        <v>343</v>
      </c>
      <c r="C49" s="330">
        <f>BS!$C$66*C53</f>
        <v>429525</v>
      </c>
      <c r="D49" s="288"/>
      <c r="E49" s="289"/>
      <c r="F49" s="288"/>
      <c r="G49" s="330">
        <f>Data!C52</f>
        <v>429525</v>
      </c>
      <c r="H49" s="330">
        <f>Data!D52</f>
        <v>500556</v>
      </c>
      <c r="I49" s="330">
        <f>Data!E52</f>
        <v>447748</v>
      </c>
      <c r="J49" s="330">
        <f>Data!F52</f>
        <v>145097</v>
      </c>
      <c r="K49" s="330">
        <f>Data!G52</f>
        <v>0</v>
      </c>
      <c r="L49" s="330">
        <f>Data!H52</f>
        <v>0</v>
      </c>
      <c r="M49" s="330">
        <f>Data!I52</f>
        <v>0</v>
      </c>
      <c r="N49" s="330">
        <f>Data!J52</f>
        <v>0</v>
      </c>
      <c r="O49" s="330">
        <f>Data!K52</f>
        <v>0</v>
      </c>
      <c r="P49" s="330">
        <f>Data!L52</f>
        <v>0</v>
      </c>
      <c r="Q49" s="330" t="str">
        <f>Data!M52</f>
        <v/>
      </c>
    </row>
    <row r="50" spans="1:17" ht="15.75" customHeight="1" x14ac:dyDescent="0.15">
      <c r="A50" s="10"/>
      <c r="B50" s="70" t="s">
        <v>68</v>
      </c>
      <c r="C50" s="320">
        <f>C47+C48</f>
        <v>-158467.68645706624</v>
      </c>
      <c r="E50" s="268"/>
      <c r="G50" s="320">
        <f>IF(G$4="","",(G47+G48))</f>
        <v>-158467.68645706624</v>
      </c>
      <c r="H50" s="320">
        <f t="shared" ref="H50:Q50" si="20">IF(H$4="","",(H47+H48))</f>
        <v>-69624.786301619824</v>
      </c>
      <c r="I50" s="320">
        <f t="shared" si="20"/>
        <v>-20536.7773535382</v>
      </c>
      <c r="J50" s="320">
        <f t="shared" si="20"/>
        <v>-80044.198858881195</v>
      </c>
      <c r="K50" s="320">
        <f t="shared" si="20"/>
        <v>0</v>
      </c>
      <c r="L50" s="320">
        <f t="shared" si="20"/>
        <v>0</v>
      </c>
      <c r="M50" s="320">
        <f t="shared" si="20"/>
        <v>0</v>
      </c>
      <c r="N50" s="320">
        <f t="shared" si="20"/>
        <v>0</v>
      </c>
      <c r="O50" s="320">
        <f t="shared" si="20"/>
        <v>0</v>
      </c>
      <c r="P50" s="320">
        <f t="shared" si="20"/>
        <v>0</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2.3646804360316024E-2</v>
      </c>
      <c r="E53" s="265" t="s">
        <v>336</v>
      </c>
      <c r="G53" s="6">
        <f>IF(Normalized_FCF!G4="","",Normalized_FCF!G49/BS!$C$66)</f>
        <v>2.3646804360316024E-2</v>
      </c>
      <c r="H53" s="169"/>
      <c r="I53" s="169"/>
      <c r="J53" s="169"/>
      <c r="K53" s="169"/>
      <c r="L53" s="169"/>
      <c r="M53" s="169"/>
      <c r="N53" s="169"/>
      <c r="O53" s="169"/>
      <c r="P53" s="169"/>
      <c r="Q53" s="169"/>
    </row>
    <row r="54" spans="1:17" ht="15.75" customHeight="1" x14ac:dyDescent="0.15">
      <c r="A54" s="10"/>
      <c r="B54" s="8" t="s">
        <v>88</v>
      </c>
      <c r="C54" s="82">
        <f>G54</f>
        <v>0.13140650687425529</v>
      </c>
      <c r="E54" s="265" t="s">
        <v>337</v>
      </c>
      <c r="G54" s="23">
        <f>IFERROR(ABS(Normalized_FCF!G47/BS!$G$31),0)</f>
        <v>0.13140650687425529</v>
      </c>
      <c r="H54" s="169"/>
      <c r="I54" s="169"/>
      <c r="J54" s="169"/>
      <c r="K54" s="169"/>
      <c r="L54" s="169"/>
      <c r="M54" s="169"/>
      <c r="N54" s="169"/>
      <c r="O54" s="169"/>
      <c r="P54" s="169"/>
      <c r="Q54" s="169"/>
    </row>
    <row r="55" spans="1:17" ht="15.75" customHeight="1" x14ac:dyDescent="0.15">
      <c r="A55" s="10"/>
      <c r="B55" s="26" t="s">
        <v>91</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179409.3</v>
      </c>
      <c r="E59" s="268"/>
      <c r="G59" s="319">
        <f>Data!C55</f>
        <v>256299</v>
      </c>
      <c r="H59" s="319">
        <f>Data!D55</f>
        <v>377972</v>
      </c>
      <c r="I59" s="319">
        <f>Data!E55</f>
        <v>201155</v>
      </c>
      <c r="J59" s="319">
        <f>Data!F55</f>
        <v>159222</v>
      </c>
      <c r="K59" s="319">
        <f>Data!G55</f>
        <v>83487</v>
      </c>
      <c r="L59" s="319">
        <f>Data!H55</f>
        <v>343469</v>
      </c>
      <c r="M59" s="319">
        <f>Data!I55</f>
        <v>63633</v>
      </c>
      <c r="N59" s="319">
        <f>Data!J55</f>
        <v>73806</v>
      </c>
      <c r="O59" s="319">
        <f>Data!K55</f>
        <v>9716</v>
      </c>
      <c r="P59" s="319">
        <f>Data!L55</f>
        <v>6948</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179409.3</v>
      </c>
      <c r="E61" s="268"/>
      <c r="G61" s="320">
        <f t="shared" ref="G61:Q61" si="22">IF(G4="","",SUM(G58:G60))</f>
        <v>256299</v>
      </c>
      <c r="H61" s="320">
        <f t="shared" si="22"/>
        <v>377972</v>
      </c>
      <c r="I61" s="320">
        <f t="shared" si="22"/>
        <v>201155</v>
      </c>
      <c r="J61" s="320">
        <f t="shared" si="22"/>
        <v>159222</v>
      </c>
      <c r="K61" s="320">
        <f t="shared" si="22"/>
        <v>83487</v>
      </c>
      <c r="L61" s="320">
        <f t="shared" si="22"/>
        <v>343469</v>
      </c>
      <c r="M61" s="320">
        <f t="shared" si="22"/>
        <v>63633</v>
      </c>
      <c r="N61" s="320">
        <f t="shared" si="22"/>
        <v>73806</v>
      </c>
      <c r="O61" s="320">
        <f t="shared" si="22"/>
        <v>9716</v>
      </c>
      <c r="P61" s="320">
        <f t="shared" si="22"/>
        <v>6948</v>
      </c>
      <c r="Q61" s="320" t="str">
        <f t="shared" si="22"/>
        <v/>
      </c>
    </row>
    <row r="62" spans="1:17" ht="15.75" customHeight="1" x14ac:dyDescent="0.15">
      <c r="A62" s="10"/>
      <c r="B62" s="40" t="s">
        <v>161</v>
      </c>
      <c r="C62" s="331">
        <v>0</v>
      </c>
      <c r="E62" s="266" t="s">
        <v>338</v>
      </c>
      <c r="G62" s="319">
        <f>Data!C58</f>
        <v>148917</v>
      </c>
      <c r="H62" s="319">
        <f>Data!D58</f>
        <v>543305</v>
      </c>
      <c r="I62" s="319">
        <f>Data!E58</f>
        <v>829486</v>
      </c>
      <c r="J62" s="319">
        <f>Data!F58</f>
        <v>416030</v>
      </c>
      <c r="K62" s="319">
        <f>Data!G58</f>
        <v>299810</v>
      </c>
      <c r="L62" s="319">
        <f>Data!H58</f>
        <v>120949</v>
      </c>
      <c r="M62" s="319">
        <f>Data!I58</f>
        <v>122233</v>
      </c>
      <c r="N62" s="319">
        <f>Data!J58</f>
        <v>61676</v>
      </c>
      <c r="O62" s="319">
        <f>Data!K58</f>
        <v>411830</v>
      </c>
      <c r="P62" s="319">
        <f>Data!L58</f>
        <v>2276</v>
      </c>
      <c r="Q62" s="319" t="str">
        <f>Data!M58</f>
        <v/>
      </c>
    </row>
    <row r="63" spans="1:17" ht="15.75" customHeight="1" x14ac:dyDescent="0.15">
      <c r="A63" s="10"/>
      <c r="B63" s="31" t="s">
        <v>196</v>
      </c>
      <c r="C63" s="320">
        <f>C61+C62</f>
        <v>179409.3</v>
      </c>
      <c r="E63" s="268"/>
      <c r="G63" s="320">
        <f t="shared" ref="G63:Q63" si="23">IF(G4="","",G61+G62)</f>
        <v>405216</v>
      </c>
      <c r="H63" s="320">
        <f t="shared" si="23"/>
        <v>921277</v>
      </c>
      <c r="I63" s="320">
        <f t="shared" si="23"/>
        <v>1030641</v>
      </c>
      <c r="J63" s="320">
        <f t="shared" si="23"/>
        <v>575252</v>
      </c>
      <c r="K63" s="320">
        <f t="shared" si="23"/>
        <v>383297</v>
      </c>
      <c r="L63" s="320">
        <f t="shared" si="23"/>
        <v>464418</v>
      </c>
      <c r="M63" s="320">
        <f t="shared" si="23"/>
        <v>185866</v>
      </c>
      <c r="N63" s="320">
        <f t="shared" si="23"/>
        <v>135482</v>
      </c>
      <c r="O63" s="320">
        <f t="shared" si="23"/>
        <v>421546</v>
      </c>
      <c r="P63" s="320">
        <f t="shared" si="23"/>
        <v>9224</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G67*0.7</f>
        <v>0.10287596233352332</v>
      </c>
      <c r="E67" s="268"/>
      <c r="G67" s="23">
        <f>IFERROR(G59/BS!$C$68,0)</f>
        <v>0.1469656604764619</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x14ac:dyDescent="0.15">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x14ac:dyDescent="0.15">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x14ac:dyDescent="0.15">
      <c r="A76" s="10"/>
      <c r="B76" s="29" t="s">
        <v>153</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x14ac:dyDescent="0.15">
      <c r="A79" s="10"/>
      <c r="B79" s="31" t="s">
        <v>154</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x14ac:dyDescent="0.15">
      <c r="A80" s="10"/>
      <c r="B80" s="2" t="s">
        <v>68</v>
      </c>
      <c r="C80" s="77">
        <f>ABS(C12/C$4)</f>
        <v>6.0570661190217012E-3</v>
      </c>
      <c r="D80" s="27"/>
      <c r="E80" s="265"/>
      <c r="F80" s="27"/>
      <c r="G80" s="6">
        <f t="shared" ref="G80:Q80" si="31">IF(G$4="","",ABS(G12/G$4))</f>
        <v>5.5262121395871135E-3</v>
      </c>
      <c r="H80" s="6">
        <f t="shared" si="31"/>
        <v>2.5227751148285543E-3</v>
      </c>
      <c r="I80" s="6">
        <f t="shared" si="31"/>
        <v>7.9589476130080311E-4</v>
      </c>
      <c r="J80" s="6">
        <f t="shared" si="31"/>
        <v>3.5461280523169632E-3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165</v>
      </c>
      <c r="C81" s="78">
        <f>C13/C4</f>
        <v>0.12332011333438285</v>
      </c>
      <c r="D81" s="27"/>
      <c r="E81" s="265"/>
      <c r="F81" s="27"/>
      <c r="G81" s="65">
        <f t="shared" ref="G81:Q81" si="32">IF(G$4="","",G13/G$4)</f>
        <v>0.1265511496130334</v>
      </c>
      <c r="H81" s="65">
        <f t="shared" si="32"/>
        <v>0.12051182391451694</v>
      </c>
      <c r="I81" s="65">
        <f t="shared" si="32"/>
        <v>0.16430871283995829</v>
      </c>
      <c r="J81" s="65">
        <f t="shared" si="32"/>
        <v>0.21267463200290296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x14ac:dyDescent="0.15">
      <c r="A82" s="10"/>
      <c r="B82" s="2" t="s">
        <v>63</v>
      </c>
      <c r="C82" s="77">
        <f>ABS(C14/C$4)</f>
        <v>3.0830028333595712E-2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x14ac:dyDescent="0.15">
      <c r="A84" s="10"/>
      <c r="B84" s="41" t="s">
        <v>155</v>
      </c>
      <c r="C84" s="78">
        <f>ABS(C16/C$4)</f>
        <v>9.2490085000787148E-2</v>
      </c>
      <c r="D84" s="27"/>
      <c r="E84" s="265"/>
      <c r="F84" s="27"/>
      <c r="G84" s="65">
        <f t="shared" ref="G84:Q84" si="35">IF(G$4="","",ABS(G16/G$4))</f>
        <v>8.8306462301226643E-2</v>
      </c>
      <c r="H84" s="65">
        <f t="shared" si="35"/>
        <v>8.176843754603759E-2</v>
      </c>
      <c r="I84" s="65">
        <f t="shared" si="35"/>
        <v>0.11193848681184408</v>
      </c>
      <c r="J84" s="65">
        <f t="shared" si="35"/>
        <v>0.15431296266164321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9.2490085000787148E-2</v>
      </c>
      <c r="D87" s="75"/>
      <c r="E87" s="265"/>
      <c r="F87" s="75"/>
      <c r="G87" s="65">
        <f t="shared" ref="G87:Q87" si="36">IF(G$4="","",ABS(G19/G$4))</f>
        <v>8.8306462301226643E-2</v>
      </c>
      <c r="H87" s="65">
        <f t="shared" si="36"/>
        <v>8.176843754603759E-2</v>
      </c>
      <c r="I87" s="65">
        <f t="shared" si="36"/>
        <v>0.11193848681184408</v>
      </c>
      <c r="J87" s="65">
        <f t="shared" si="36"/>
        <v>0.15431296266164321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(HKD)</v>
      </c>
      <c r="C90" s="113">
        <f>G90</f>
        <v>0.53760112138740068</v>
      </c>
      <c r="E90" s="268"/>
      <c r="G90" s="112">
        <f>Data!C65</f>
        <v>0.53760112138740068</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(HKD)</v>
      </c>
      <c r="C91" s="74">
        <f>C90*Common_Shares/scaling_factor</f>
        <v>1389590.2528254052</v>
      </c>
      <c r="E91" s="268"/>
      <c r="G91" s="74">
        <f t="shared" ref="G91:Q91" si="37">IF(G$4="","",G90*Common_Shares/scaling_factor)</f>
        <v>1389590.2528254052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0.57426609692499964</v>
      </c>
      <c r="E92" s="268"/>
      <c r="G92" s="170">
        <f t="shared" ref="G92:Q92" si="38">IF(G$4="","",G90/(G19*scaling_factor/Common_Shares))</f>
        <v>0.54875830702189021</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3.4909163726454591E-2</v>
      </c>
      <c r="E93" s="268"/>
      <c r="G93" s="23">
        <f t="shared" ref="G93:Q93" si="39">IF(G$4="","",G90/Market_Price)</f>
        <v>3.4909163726454591E-2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x14ac:dyDescent="0.15">
      <c r="A97" s="10"/>
      <c r="B97" s="70" t="s">
        <v>165</v>
      </c>
      <c r="C97" s="77">
        <f>C13/G13-1</f>
        <v>-0.11093593159377146</v>
      </c>
      <c r="D97" s="27"/>
      <c r="E97" s="265"/>
      <c r="F97" s="27"/>
      <c r="G97" s="6">
        <f t="shared" ref="G97:Q97" si="41">IF(H5="","",G13/H13-1)</f>
        <v>9.1099265476384916E-2</v>
      </c>
      <c r="H97" s="6">
        <f t="shared" si="41"/>
        <v>-0.21552744529414536</v>
      </c>
      <c r="I97" s="6">
        <f t="shared" si="41"/>
        <v>-0.11682634819201942</v>
      </c>
      <c r="J97" s="6">
        <f t="shared" si="41"/>
        <v>1.4633364087570992</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35708406</v>
      </c>
      <c r="D101" s="26"/>
      <c r="E101" s="269"/>
      <c r="F101" s="26"/>
      <c r="G101" s="324">
        <f t="shared" ref="G101:Q101" si="42">IF(G$4="","",G105+G104)</f>
        <v>35708406</v>
      </c>
      <c r="H101" s="324">
        <f t="shared" si="42"/>
        <v>34207803</v>
      </c>
      <c r="I101" s="324">
        <f t="shared" si="42"/>
        <v>33646519</v>
      </c>
      <c r="J101" s="324">
        <f t="shared" si="42"/>
        <v>30274816</v>
      </c>
      <c r="K101" s="324">
        <f t="shared" si="42"/>
        <v>14593865</v>
      </c>
      <c r="L101" s="324">
        <f t="shared" si="42"/>
        <v>12547474</v>
      </c>
      <c r="M101" s="324">
        <f t="shared" si="42"/>
        <v>8727305</v>
      </c>
      <c r="N101" s="324">
        <f t="shared" si="42"/>
        <v>7321349</v>
      </c>
      <c r="O101" s="324">
        <f t="shared" si="42"/>
        <v>6780494</v>
      </c>
      <c r="P101" s="324">
        <f t="shared" si="42"/>
        <v>6897458</v>
      </c>
      <c r="Q101" s="324" t="str">
        <f t="shared" si="42"/>
        <v/>
      </c>
    </row>
    <row r="102" spans="1:17" ht="15.75" customHeight="1" x14ac:dyDescent="0.15">
      <c r="A102" s="10"/>
      <c r="B102" s="93" t="s">
        <v>211</v>
      </c>
      <c r="C102" s="333">
        <f>BS!C4</f>
        <v>1250023</v>
      </c>
      <c r="D102" s="89"/>
      <c r="E102" s="270"/>
      <c r="F102" s="89"/>
      <c r="G102" s="334">
        <f>IF(G$4="","",Data!D77)</f>
        <v>1205532</v>
      </c>
      <c r="H102" s="334">
        <f>IF(H$4="","",Data!E77)</f>
        <v>1020346</v>
      </c>
      <c r="I102" s="334">
        <f>IF(I$4="","",Data!F77)</f>
        <v>902857</v>
      </c>
      <c r="J102" s="334">
        <f>IF(J$4="","",Data!G77)</f>
        <v>658796</v>
      </c>
      <c r="K102" s="334">
        <f>IF(K$4="","",Data!H77)</f>
        <v>686606</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2598226</v>
      </c>
      <c r="D103" s="89"/>
      <c r="E103" s="270"/>
      <c r="F103" s="89"/>
      <c r="G103" s="334">
        <f>IF(G$4="","",Data!D78)</f>
        <v>2493206</v>
      </c>
      <c r="H103" s="334">
        <f>IF(H$4="","",Data!E78)</f>
        <v>2428040</v>
      </c>
      <c r="I103" s="334">
        <f>IF(I$4="","",Data!F78)</f>
        <v>1772803</v>
      </c>
      <c r="J103" s="334">
        <f>IF(J$4="","",Data!G78)</f>
        <v>1345539</v>
      </c>
      <c r="K103" s="334">
        <f>IF(K$4="","",Data!H78)</f>
        <v>1407257</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9604717</v>
      </c>
      <c r="D104" s="26"/>
      <c r="E104" s="269"/>
      <c r="F104" s="26"/>
      <c r="G104" s="324">
        <f>Data!C79</f>
        <v>9604717</v>
      </c>
      <c r="H104" s="324">
        <f>Data!D79</f>
        <v>9801162</v>
      </c>
      <c r="I104" s="324">
        <f>Data!E79</f>
        <v>9314591</v>
      </c>
      <c r="J104" s="324">
        <f>Data!F79</f>
        <v>9170709</v>
      </c>
      <c r="K104" s="324">
        <f>Data!G79</f>
        <v>5904448</v>
      </c>
      <c r="L104" s="324">
        <f>Data!H79</f>
        <v>5423281</v>
      </c>
      <c r="M104" s="324">
        <f>Data!I79</f>
        <v>2907715</v>
      </c>
      <c r="N104" s="324">
        <f>Data!J79</f>
        <v>2247752</v>
      </c>
      <c r="O104" s="324">
        <f>Data!K79</f>
        <v>2783345</v>
      </c>
      <c r="P104" s="324">
        <f>Data!L79</f>
        <v>3486918</v>
      </c>
      <c r="Q104" s="324" t="str">
        <f>Data!M79</f>
        <v/>
      </c>
    </row>
    <row r="105" spans="1:17" ht="15.75" customHeight="1" x14ac:dyDescent="0.15">
      <c r="A105" s="10"/>
      <c r="B105" s="26" t="s">
        <v>30</v>
      </c>
      <c r="C105" s="332">
        <f>BS!G27</f>
        <v>26103689</v>
      </c>
      <c r="D105" s="26"/>
      <c r="E105" s="269"/>
      <c r="F105" s="26"/>
      <c r="G105" s="324">
        <f>Data!C80</f>
        <v>26103689</v>
      </c>
      <c r="H105" s="324">
        <f>Data!D80</f>
        <v>24406641</v>
      </c>
      <c r="I105" s="324">
        <f>Data!E80</f>
        <v>24331928</v>
      </c>
      <c r="J105" s="324">
        <f>Data!F80</f>
        <v>21104107</v>
      </c>
      <c r="K105" s="324">
        <f>Data!G80</f>
        <v>8689417</v>
      </c>
      <c r="L105" s="324">
        <f>Data!H80</f>
        <v>7124193</v>
      </c>
      <c r="M105" s="324">
        <f>Data!I80</f>
        <v>5819590</v>
      </c>
      <c r="N105" s="324">
        <f>Data!J80</f>
        <v>5073597</v>
      </c>
      <c r="O105" s="324">
        <f>Data!K80</f>
        <v>3997149</v>
      </c>
      <c r="P105" s="324">
        <f>Data!L80</f>
        <v>3410540</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x14ac:dyDescent="0.15">
      <c r="A114" s="10"/>
      <c r="B114" s="2" t="s">
        <v>393</v>
      </c>
      <c r="C114" s="169"/>
      <c r="E114" s="268"/>
      <c r="G114" s="295">
        <f>IF(G$4="","",Data!C$22/G19)</f>
        <v>0</v>
      </c>
      <c r="H114" s="295">
        <f>IF(H$4="","",Data!D$22/H19)</f>
        <v>2.0773546094725321</v>
      </c>
      <c r="I114" s="295">
        <f>IF(I$4="","",Data!E$22/I19)</f>
        <v>1.3549422922576684</v>
      </c>
      <c r="J114" s="295">
        <f>IF(J$4="","",Data!F$22/J19)</f>
        <v>1.8733760125436403</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0.12332011333438285</v>
      </c>
      <c r="E117" s="268"/>
      <c r="G117" s="23">
        <f t="shared" ref="G117:Q117" si="45">G81</f>
        <v>0.1265511496130334</v>
      </c>
      <c r="H117" s="23">
        <f t="shared" si="45"/>
        <v>0.12051182391451694</v>
      </c>
      <c r="I117" s="23">
        <f t="shared" si="45"/>
        <v>0.16430871283995829</v>
      </c>
      <c r="J117" s="23">
        <f t="shared" si="45"/>
        <v>0.21267463200290296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x14ac:dyDescent="0.15">
      <c r="B118" s="7" t="s">
        <v>84</v>
      </c>
      <c r="C118" s="42">
        <f>C4/C101</f>
        <v>0.73266920679685343</v>
      </c>
      <c r="E118" s="268"/>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x14ac:dyDescent="0.15">
      <c r="B119" s="7" t="s">
        <v>92</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x14ac:dyDescent="0.15">
      <c r="A120" s="10"/>
      <c r="B120" s="70" t="s">
        <v>223</v>
      </c>
      <c r="C120" s="102">
        <f>C13/C105</f>
        <v>0.12359771208755468</v>
      </c>
      <c r="D120" s="103"/>
      <c r="E120" s="271"/>
      <c r="F120" s="103"/>
      <c r="G120" s="102">
        <f>IF(G$4="","",G13/G105)</f>
        <v>0.1390200284543282</v>
      </c>
      <c r="H120" s="102">
        <f t="shared" ref="H120:Q120" si="48">IF(H$4="","",H13/H105)</f>
        <v>0.13627211084468283</v>
      </c>
      <c r="I120" s="102">
        <f t="shared" si="48"/>
        <v>0.17424515836338417</v>
      </c>
      <c r="J120" s="102">
        <f t="shared" si="48"/>
        <v>0.22747001591401703</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1.0183432438923452</v>
      </c>
      <c r="D124" s="27"/>
      <c r="E124" s="265"/>
      <c r="F124" s="27"/>
      <c r="G124" s="177">
        <f t="shared" ref="G124:Q124" si="49">IF(G$4="","",G16*$C$3/Common_Shares*Exchange_Rate)</f>
        <v>1.0656786284907611</v>
      </c>
      <c r="H124" s="177">
        <f t="shared" si="49"/>
        <v>0.94971137752491674</v>
      </c>
      <c r="I124" s="177">
        <f t="shared" si="49"/>
        <v>1.2155607972272393</v>
      </c>
      <c r="J124" s="177">
        <f t="shared" si="49"/>
        <v>1.4658801445280871</v>
      </c>
      <c r="K124" s="177">
        <f t="shared" si="49"/>
        <v>0.58893663099551496</v>
      </c>
      <c r="L124" s="177">
        <f t="shared" si="49"/>
        <v>0.58027541416708039</v>
      </c>
      <c r="M124" s="177">
        <f t="shared" si="49"/>
        <v>0.24957280989475544</v>
      </c>
      <c r="N124" s="177">
        <f t="shared" si="49"/>
        <v>0.19084368119363912</v>
      </c>
      <c r="O124" s="177">
        <f t="shared" si="49"/>
        <v>9.7393281886386671E-2</v>
      </c>
      <c r="P124" s="177">
        <f t="shared" si="49"/>
        <v>5.0640096141233871E-3</v>
      </c>
      <c r="Q124" s="177" t="str">
        <f t="shared" si="49"/>
        <v/>
      </c>
    </row>
    <row r="125" spans="1:17" ht="15.75" customHeight="1" x14ac:dyDescent="0.15">
      <c r="A125" s="10"/>
      <c r="B125" s="27" t="s">
        <v>270</v>
      </c>
      <c r="C125" s="77">
        <f>C19*Exchange_Rate*$C$3/(Market_Price*Common_Shares)</f>
        <v>6.6126184668334087E-2</v>
      </c>
      <c r="D125" s="27"/>
      <c r="E125" s="265"/>
      <c r="F125" s="27"/>
      <c r="G125" s="77">
        <f t="shared" ref="G125" si="50">IF(G$4="","",G124/Market_Price)</f>
        <v>6.9199910940958509E-2</v>
      </c>
      <c r="H125" s="77">
        <f t="shared" ref="H125" si="51">IF(H$4="","",H124/Market_Price)</f>
        <v>6.1669569969150434E-2</v>
      </c>
      <c r="I125" s="77">
        <f t="shared" ref="I125" si="52">IF(I$4="","",I124/Market_Price)</f>
        <v>7.8932519300470086E-2</v>
      </c>
      <c r="J125" s="77">
        <f t="shared" ref="J125" si="53">IF(J$4="","",J124/Market_Price)</f>
        <v>9.5187022371953714E-2</v>
      </c>
      <c r="K125" s="77">
        <f t="shared" ref="K125" si="54">IF(K$4="","",K124/Market_Price)</f>
        <v>3.8242638376332141E-2</v>
      </c>
      <c r="L125" s="77">
        <f t="shared" ref="L125" si="55">IF(L$4="","",L124/Market_Price)</f>
        <v>3.7680221699161062E-2</v>
      </c>
      <c r="M125" s="77">
        <f t="shared" ref="M125" si="56">IF(M$4="","",M124/Market_Price)</f>
        <v>1.6206026616542562E-2</v>
      </c>
      <c r="N125" s="77">
        <f t="shared" ref="N125" si="57">IF(N$4="","",N124/Market_Price)</f>
        <v>1.2392446830755787E-2</v>
      </c>
      <c r="O125" s="77">
        <f t="shared" ref="O125" si="58">IF(O$4="","",O124/Market_Price)</f>
        <v>6.3242390835316015E-3</v>
      </c>
      <c r="P125" s="77">
        <f t="shared" ref="P125" si="59">IF(P$4="","",P124/Market_Price)</f>
        <v>3.2883179312489526E-4</v>
      </c>
      <c r="Q125" s="77" t="str">
        <f t="shared" ref="Q125" si="60">IF(Q$4="","",Q124/Market_Price)</f>
        <v/>
      </c>
    </row>
    <row r="126" spans="1:17" ht="15.75" customHeight="1" x14ac:dyDescent="0.15">
      <c r="B126" s="2" t="s">
        <v>395</v>
      </c>
      <c r="C126" s="169"/>
      <c r="G126" s="23">
        <f>IF(G$4="","",(Data!C47*$C$3)/(Market_Price*Common_Shares))</f>
        <v>7.5690260163041923E-2</v>
      </c>
      <c r="H126" s="23">
        <f>IF(H$4="","",(Data!D47*$C$3)/(Market_Price*Common_Shares))</f>
        <v>8.0062578174954782E-2</v>
      </c>
      <c r="I126" s="23">
        <f>IF(I$4="","",(Data!E47*$C$3)/(Market_Price*Common_Shares))</f>
        <v>0.10208969651116459</v>
      </c>
      <c r="J126" s="23">
        <f>IF(J$4="","",(Data!F47*$C$3)/(Market_Price*Common_Shares))</f>
        <v>0.10076117445108791</v>
      </c>
      <c r="K126" s="23">
        <f>IF(K$4="","",(Data!G47*$C$3)/(Market_Price*Common_Shares))</f>
        <v>4.2669165188951072E-2</v>
      </c>
      <c r="L126" s="23">
        <f>IF(L$4="","",(Data!H47*$C$3)/(Market_Price*Common_Shares))</f>
        <v>3.7661338175019418E-2</v>
      </c>
      <c r="M126" s="23">
        <f>IF(M$4="","",(Data!I47*$C$3)/(Market_Price*Common_Shares))</f>
        <v>1.7968773977585135E-2</v>
      </c>
      <c r="N126" s="23">
        <f>IF(N$4="","",(Data!J47*$C$3)/(Market_Price*Common_Shares))</f>
        <v>1.2941678457326704E-2</v>
      </c>
      <c r="O126" s="23">
        <f>IF(O$4="","",(Data!K47*$C$3)/(Market_Price*Common_Shares))</f>
        <v>1.7607169179583056E-2</v>
      </c>
      <c r="P126" s="23">
        <f>IF(P$4="","",(Data!L47*$C$3)/(Market_Price*Common_Shares))</f>
        <v>1.5476353745253596E-3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v>
      </c>
      <c r="E3" s="109" t="s">
        <v>125</v>
      </c>
      <c r="H3" s="120"/>
    </row>
    <row r="4" spans="2:8" x14ac:dyDescent="0.15">
      <c r="B4" s="100" t="s">
        <v>129</v>
      </c>
      <c r="C4" s="114">
        <f>Normalized_FCF!C19</f>
        <v>2419767.1780838012</v>
      </c>
      <c r="D4" t="str">
        <f>Reporting_currency</f>
        <v>CNY</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32263562.374450684</v>
      </c>
      <c r="D6" t="str">
        <f>Reporting_currency</f>
        <v>CNY</v>
      </c>
      <c r="E6" s="354" t="s">
        <v>250</v>
      </c>
      <c r="F6" s="354"/>
      <c r="H6" s="120"/>
    </row>
    <row r="7" spans="2:8" x14ac:dyDescent="0.15">
      <c r="B7" s="148" t="s">
        <v>225</v>
      </c>
      <c r="C7" s="114">
        <f>BS!G31</f>
        <v>1936137</v>
      </c>
      <c r="D7" t="str">
        <f>Reporting_currency</f>
        <v>CNY</v>
      </c>
      <c r="E7" s="354"/>
      <c r="F7" s="354"/>
      <c r="H7" s="120"/>
    </row>
    <row r="8" spans="2:8" x14ac:dyDescent="0.15">
      <c r="B8" s="148" t="s">
        <v>226</v>
      </c>
      <c r="C8" s="114">
        <f>BS!D66</f>
        <v>14106417.145179454</v>
      </c>
      <c r="D8" t="str">
        <f>Reporting_currency</f>
        <v>CNY</v>
      </c>
      <c r="E8" s="354"/>
      <c r="F8" s="354"/>
      <c r="H8" s="120"/>
    </row>
    <row r="9" spans="2:8" x14ac:dyDescent="0.15">
      <c r="B9" s="205" t="s">
        <v>191</v>
      </c>
      <c r="C9" s="340">
        <f>BS!H42</f>
        <v>561572.19999999995</v>
      </c>
      <c r="D9" t="str">
        <f>Reporting_currency</f>
        <v>CNY</v>
      </c>
      <c r="E9" s="354"/>
      <c r="F9" s="354"/>
      <c r="H9" s="120"/>
    </row>
    <row r="10" spans="2:8" x14ac:dyDescent="0.15">
      <c r="B10" s="149" t="s">
        <v>228</v>
      </c>
      <c r="C10" s="339">
        <f>C6-C7+C8+C9</f>
        <v>44995414.719630137</v>
      </c>
      <c r="D10" t="str">
        <f>Reporting_currency</f>
        <v>CNY</v>
      </c>
      <c r="H10" s="120"/>
    </row>
    <row r="11" spans="2:8" ht="14" thickBot="1" x14ac:dyDescent="0.2">
      <c r="B11" s="207" t="s">
        <v>167</v>
      </c>
      <c r="C11" s="208">
        <f>Exchange_Rate</f>
        <v>1.0877953499999999</v>
      </c>
      <c r="D11" t="str">
        <f>Thesis!C15</f>
        <v>CNY/HKD</v>
      </c>
      <c r="H11" s="120"/>
    </row>
    <row r="12" spans="2:8" ht="14" thickTop="1" x14ac:dyDescent="0.15">
      <c r="B12" s="149" t="s">
        <v>103</v>
      </c>
      <c r="C12" s="111">
        <f>(C10*scaling_factor)/Common_Shares*Exchange_Rate</f>
        <v>18.936026986759408</v>
      </c>
      <c r="D12" t="str">
        <f>Market_currency</f>
        <v>HKD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5.4247061515052201E-2</v>
      </c>
      <c r="H16" s="120"/>
    </row>
    <row r="17" spans="2:8" ht="13.25" customHeight="1" x14ac:dyDescent="0.15">
      <c r="B17" s="118" t="s">
        <v>135</v>
      </c>
      <c r="C17" s="162">
        <f>Scenarios!C64</f>
        <v>20</v>
      </c>
      <c r="H17" s="120"/>
    </row>
    <row r="18" spans="2:8" ht="13.25" customHeight="1" x14ac:dyDescent="0.15">
      <c r="B18" s="153" t="s">
        <v>107</v>
      </c>
      <c r="C18" s="140">
        <f>(F52-C7+C8+C9)*Exchange_Rate/Common_Shares*scaling_factor</f>
        <v>25.430019143488664</v>
      </c>
      <c r="D18" t="str">
        <f>Market_currency</f>
        <v>HKD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2551032.4370454173</v>
      </c>
      <c r="D21" s="138">
        <f>IF($C$17&lt;B21,0,DCF!$C$16)</f>
        <v>5.4247061515052201E-2</v>
      </c>
      <c r="E21" s="124">
        <f t="shared" ref="E21:E50" si="0">IF($C$17&lt;B21,0,1/(1+Equity_Cost)^B21)</f>
        <v>0.93023255813953487</v>
      </c>
      <c r="F21" s="125">
        <f t="shared" ref="F21:F51" si="1">C21*E21</f>
        <v>2373053.4298096905</v>
      </c>
      <c r="H21" s="120"/>
    </row>
    <row r="22" spans="2:8" x14ac:dyDescent="0.15">
      <c r="B22" s="122">
        <v>2</v>
      </c>
      <c r="C22" s="123">
        <f t="shared" ref="C22:C50" si="2">IF(ROW()-ROW($C$21)&lt;$C$17, $C$21*(1+D22)^(ROW()-ROW($C$21)), 0)</f>
        <v>2689418.4505847134</v>
      </c>
      <c r="D22" s="138">
        <f>IF($C$17&lt;B22,0,DCF!$C$16)</f>
        <v>5.4247061515052201E-2</v>
      </c>
      <c r="E22" s="124">
        <f t="shared" si="0"/>
        <v>0.86533261222282321</v>
      </c>
      <c r="F22" s="125">
        <f t="shared" si="1"/>
        <v>2327241.4932047278</v>
      </c>
      <c r="H22" s="120"/>
    </row>
    <row r="23" spans="2:8" x14ac:dyDescent="0.15">
      <c r="B23" s="122">
        <v>3</v>
      </c>
      <c r="C23" s="123">
        <f t="shared" si="2"/>
        <v>2835311.4987132982</v>
      </c>
      <c r="D23" s="138">
        <f>IF($C$17&lt;B23,0,DCF!$C$16)</f>
        <v>5.4247061515052201E-2</v>
      </c>
      <c r="E23" s="124">
        <f t="shared" si="0"/>
        <v>0.80496056950960304</v>
      </c>
      <c r="F23" s="125">
        <f t="shared" si="1"/>
        <v>2282313.9587413827</v>
      </c>
      <c r="H23" s="120"/>
    </row>
    <row r="24" spans="2:8" x14ac:dyDescent="0.15">
      <c r="B24" s="122">
        <v>4</v>
      </c>
      <c r="C24" s="123">
        <f t="shared" si="2"/>
        <v>2989118.815998333</v>
      </c>
      <c r="D24" s="138">
        <f>IF($C$17&lt;B24,0,DCF!$C$16)</f>
        <v>5.4247061515052201E-2</v>
      </c>
      <c r="E24" s="124">
        <f t="shared" si="0"/>
        <v>0.7488005297763749</v>
      </c>
      <c r="F24" s="125">
        <f t="shared" si="1"/>
        <v>2238253.7529840823</v>
      </c>
      <c r="H24" s="120"/>
    </row>
    <row r="25" spans="2:8" x14ac:dyDescent="0.15">
      <c r="B25" s="122">
        <v>5</v>
      </c>
      <c r="C25" s="123">
        <f t="shared" si="2"/>
        <v>3151269.7282855944</v>
      </c>
      <c r="D25" s="138">
        <f>IF($C$17&lt;B25,0,DCF!$C$16)</f>
        <v>5.4247061515052201E-2</v>
      </c>
      <c r="E25" s="124">
        <f t="shared" si="0"/>
        <v>0.69655863235011617</v>
      </c>
      <c r="F25" s="125">
        <f t="shared" si="1"/>
        <v>2195044.132100936</v>
      </c>
      <c r="H25" s="120"/>
    </row>
    <row r="26" spans="2:8" x14ac:dyDescent="0.15">
      <c r="B26" s="122">
        <v>6</v>
      </c>
      <c r="C26" s="123">
        <f t="shared" si="2"/>
        <v>3322216.8510864242</v>
      </c>
      <c r="D26" s="138">
        <f>IF($C$17&lt;B26,0,DCF!$C$16)</f>
        <v>5.4247061515052201E-2</v>
      </c>
      <c r="E26" s="124">
        <f t="shared" si="0"/>
        <v>0.64796151846522443</v>
      </c>
      <c r="F26" s="125">
        <f t="shared" si="1"/>
        <v>2152668.6755007156</v>
      </c>
      <c r="H26" s="120"/>
    </row>
    <row r="27" spans="2:8" x14ac:dyDescent="0.15">
      <c r="B27" s="122">
        <v>7</v>
      </c>
      <c r="C27" s="123">
        <f t="shared" si="2"/>
        <v>3502437.3529736525</v>
      </c>
      <c r="D27" s="138">
        <f>IF($C$17&lt;B27,0,DCF!$C$16)</f>
        <v>5.4247061515052201E-2</v>
      </c>
      <c r="E27" s="124">
        <f t="shared" si="0"/>
        <v>0.60275490089788319</v>
      </c>
      <c r="F27" s="125">
        <f t="shared" si="1"/>
        <v>2111111.2795926784</v>
      </c>
      <c r="H27" s="120"/>
    </row>
    <row r="28" spans="2:8" x14ac:dyDescent="0.15">
      <c r="B28" s="122">
        <v>8</v>
      </c>
      <c r="C28" s="123">
        <f t="shared" si="2"/>
        <v>3692434.2875130302</v>
      </c>
      <c r="D28" s="138">
        <f>IF($C$17&lt;B28,0,DCF!$C$16)</f>
        <v>5.4247061515052201E-2</v>
      </c>
      <c r="E28" s="124">
        <f t="shared" si="0"/>
        <v>0.56070223339337966</v>
      </c>
      <c r="F28" s="125">
        <f t="shared" si="1"/>
        <v>2070356.1516668487</v>
      </c>
      <c r="H28" s="120"/>
    </row>
    <row r="29" spans="2:8" x14ac:dyDescent="0.15">
      <c r="B29" s="122">
        <v>9</v>
      </c>
      <c r="C29" s="123">
        <f t="shared" si="2"/>
        <v>3892737.9974480369</v>
      </c>
      <c r="D29" s="138">
        <f>IF($C$17&lt;B29,0,DCF!$C$16)</f>
        <v>5.4247061515052201E-2</v>
      </c>
      <c r="E29" s="124">
        <f t="shared" si="0"/>
        <v>0.52158347292407414</v>
      </c>
      <c r="F29" s="125">
        <f t="shared" si="1"/>
        <v>2030387.8038924527</v>
      </c>
      <c r="H29" s="120"/>
    </row>
    <row r="30" spans="2:8" x14ac:dyDescent="0.15">
      <c r="B30" s="122">
        <v>10</v>
      </c>
      <c r="C30" s="123">
        <f t="shared" si="2"/>
        <v>4103907.5950575811</v>
      </c>
      <c r="D30" s="138">
        <f>IF($C$17&lt;B30,0,DCF!$C$16)</f>
        <v>5.4247061515052201E-2</v>
      </c>
      <c r="E30" s="124">
        <f t="shared" si="0"/>
        <v>0.48519392830146441</v>
      </c>
      <c r="F30" s="125">
        <f t="shared" si="1"/>
        <v>1991191.0474322033</v>
      </c>
      <c r="H30" s="120"/>
    </row>
    <row r="31" spans="2:8" x14ac:dyDescent="0.15">
      <c r="B31" s="122">
        <v>11</v>
      </c>
      <c r="C31" s="123">
        <f t="shared" si="2"/>
        <v>4326532.5228187591</v>
      </c>
      <c r="D31" s="138">
        <f>IF($C$17&lt;B31,0,DCF!$C$16)</f>
        <v>5.4247061515052201E-2</v>
      </c>
      <c r="E31" s="124">
        <f t="shared" si="0"/>
        <v>0.45134318911764126</v>
      </c>
      <c r="F31" s="125">
        <f t="shared" si="1"/>
        <v>1952750.9866702128</v>
      </c>
      <c r="H31" s="120"/>
    </row>
    <row r="32" spans="2:8" x14ac:dyDescent="0.15">
      <c r="B32" s="122">
        <v>12</v>
      </c>
      <c r="C32" s="123">
        <f t="shared" si="2"/>
        <v>4561234.1987309819</v>
      </c>
      <c r="D32" s="138">
        <f>IF($C$17&lt;B32,0,DCF!$C$16)</f>
        <v>5.4247061515052201E-2</v>
      </c>
      <c r="E32" s="124">
        <f t="shared" si="0"/>
        <v>0.41985412941175931</v>
      </c>
      <c r="F32" s="125">
        <f t="shared" si="1"/>
        <v>1915053.01355134</v>
      </c>
      <c r="H32" s="120"/>
    </row>
    <row r="33" spans="2:8" x14ac:dyDescent="0.15">
      <c r="B33" s="122">
        <v>13</v>
      </c>
      <c r="C33" s="123">
        <f t="shared" si="2"/>
        <v>4808667.7508941013</v>
      </c>
      <c r="D33" s="138">
        <f>IF($C$17&lt;B33,0,DCF!$C$16)</f>
        <v>5.4247061515052201E-2</v>
      </c>
      <c r="E33" s="124">
        <f t="shared" si="0"/>
        <v>0.39056198084814819</v>
      </c>
      <c r="F33" s="125">
        <f t="shared" si="1"/>
        <v>1878082.8020298099</v>
      </c>
      <c r="H33" s="120"/>
    </row>
    <row r="34" spans="2:8" x14ac:dyDescent="0.15">
      <c r="B34" s="122">
        <v>14</v>
      </c>
      <c r="C34" s="123">
        <f t="shared" si="2"/>
        <v>5069523.8461823007</v>
      </c>
      <c r="D34" s="138">
        <f>IF($C$17&lt;B34,0,DCF!$C$16)</f>
        <v>5.4247061515052201E-2</v>
      </c>
      <c r="E34" s="124">
        <f t="shared" si="0"/>
        <v>0.36331347055641694</v>
      </c>
      <c r="F34" s="125">
        <f t="shared" si="1"/>
        <v>1841826.3026250068</v>
      </c>
      <c r="H34" s="120"/>
    </row>
    <row r="35" spans="2:8" x14ac:dyDescent="0.15">
      <c r="B35" s="122">
        <v>15</v>
      </c>
      <c r="C35" s="123">
        <f t="shared" si="2"/>
        <v>5344530.6181181762</v>
      </c>
      <c r="D35" s="138">
        <f>IF($C$17&lt;B35,0,DCF!$C$16)</f>
        <v>5.4247061515052201E-2</v>
      </c>
      <c r="E35" s="124">
        <f t="shared" si="0"/>
        <v>0.33796601912224833</v>
      </c>
      <c r="F35" s="125">
        <f t="shared" si="1"/>
        <v>1806269.7370823692</v>
      </c>
      <c r="H35" s="120"/>
    </row>
    <row r="36" spans="2:8" x14ac:dyDescent="0.15">
      <c r="B36" s="122">
        <v>16</v>
      </c>
      <c r="C36" s="123">
        <f t="shared" si="2"/>
        <v>5634455.6993283117</v>
      </c>
      <c r="D36" s="138">
        <f>IF($C$17&lt;B36,0,DCF!$C$16)</f>
        <v>5.4247061515052201E-2</v>
      </c>
      <c r="E36" s="124">
        <f t="shared" si="0"/>
        <v>0.31438699453232405</v>
      </c>
      <c r="F36" s="125">
        <f t="shared" si="1"/>
        <v>1771399.593137352</v>
      </c>
      <c r="H36" s="120"/>
    </row>
    <row r="37" spans="2:8" x14ac:dyDescent="0.15">
      <c r="B37" s="122">
        <v>17</v>
      </c>
      <c r="C37" s="123">
        <f t="shared" si="2"/>
        <v>5940108.3642536094</v>
      </c>
      <c r="D37" s="138">
        <f>IF($C$17&lt;B37,0,DCF!$C$16)</f>
        <v>5.4247061515052201E-2</v>
      </c>
      <c r="E37" s="124">
        <f t="shared" si="0"/>
        <v>0.29245301816960378</v>
      </c>
      <c r="F37" s="125">
        <f t="shared" si="1"/>
        <v>1737202.6193804762</v>
      </c>
      <c r="H37" s="120"/>
    </row>
    <row r="38" spans="2:8" x14ac:dyDescent="0.15">
      <c r="B38" s="122">
        <v>18</v>
      </c>
      <c r="C38" s="123">
        <f t="shared" si="2"/>
        <v>6262341.7880953504</v>
      </c>
      <c r="D38" s="138">
        <f>IF($C$17&lt;B38,0,DCF!$C$16)</f>
        <v>5.4247061515052201E-2</v>
      </c>
      <c r="E38" s="124">
        <f t="shared" si="0"/>
        <v>0.27204931922753844</v>
      </c>
      <c r="F38" s="125">
        <f t="shared" si="1"/>
        <v>1703665.8202215058</v>
      </c>
      <c r="H38" s="120"/>
    </row>
    <row r="39" spans="2:8" x14ac:dyDescent="0.15">
      <c r="B39" s="122">
        <v>19</v>
      </c>
      <c r="C39" s="123">
        <f t="shared" si="2"/>
        <v>6602055.4283024399</v>
      </c>
      <c r="D39" s="138">
        <f>IF($C$17&lt;B39,0,DCF!$C$16)</f>
        <v>5.4247061515052201E-2</v>
      </c>
      <c r="E39" s="124">
        <f t="shared" si="0"/>
        <v>0.25306913416515198</v>
      </c>
      <c r="F39" s="125">
        <f t="shared" si="1"/>
        <v>1670776.45095084</v>
      </c>
      <c r="H39" s="120"/>
    </row>
    <row r="40" spans="2:8" x14ac:dyDescent="0.15">
      <c r="B40" s="122">
        <v>20</v>
      </c>
      <c r="C40" s="123">
        <f t="shared" si="2"/>
        <v>6960197.5352473455</v>
      </c>
      <c r="D40" s="138">
        <f>IF($C$17&lt;B40,0,DCF!$C$16)</f>
        <v>5.4247061515052201E-2</v>
      </c>
      <c r="E40" s="124">
        <f t="shared" si="0"/>
        <v>0.23541314806060654</v>
      </c>
      <c r="F40" s="125">
        <f t="shared" si="1"/>
        <v>1638522.0128962521</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34013765.827272229</v>
      </c>
      <c r="D51" s="139">
        <f>Terminal_Growth</f>
        <v>0</v>
      </c>
      <c r="E51" s="124">
        <f>1/(1+Equity_Cost)^C17</f>
        <v>0.23541314806060654</v>
      </c>
      <c r="F51" s="125">
        <f t="shared" si="1"/>
        <v>8007287.6907944363</v>
      </c>
      <c r="H51" s="120"/>
    </row>
    <row r="52" spans="1:8" x14ac:dyDescent="0.15">
      <c r="C52" s="114"/>
      <c r="E52" s="127" t="s">
        <v>101</v>
      </c>
      <c r="F52" s="137">
        <f>SUM(F21:F51)</f>
        <v>47694458.754265323</v>
      </c>
      <c r="H52" s="120"/>
    </row>
    <row r="53" spans="1:8" x14ac:dyDescent="0.15">
      <c r="C53" s="114"/>
      <c r="H53" s="120"/>
    </row>
    <row r="54" spans="1:8" x14ac:dyDescent="0.15">
      <c r="B54" s="119" t="s">
        <v>130</v>
      </c>
      <c r="C54" s="136"/>
      <c r="D54" s="136"/>
      <c r="E54" s="117"/>
      <c r="F54" s="117"/>
      <c r="H54" s="120"/>
    </row>
    <row r="55" spans="1:8" x14ac:dyDescent="0.15">
      <c r="A55" s="133">
        <f>F52</f>
        <v>47694458.754265323</v>
      </c>
      <c r="B55" s="131">
        <f>C78</f>
        <v>0</v>
      </c>
      <c r="C55" s="131">
        <f>C77</f>
        <v>0.02</v>
      </c>
      <c r="D55" s="131">
        <f>C76</f>
        <v>0.05</v>
      </c>
      <c r="E55" s="131">
        <f>C75</f>
        <v>0.06</v>
      </c>
      <c r="F55" s="131">
        <f>C74</f>
        <v>0.1</v>
      </c>
      <c r="H55" s="120"/>
    </row>
    <row r="56" spans="1:8" x14ac:dyDescent="0.15">
      <c r="A56" s="143">
        <v>5</v>
      </c>
      <c r="B56" s="123">
        <f t="dataTable" ref="B56:F61" dt2D="1" dtr="1" r1="C16" r2="C17"/>
        <v>32263562.374450687</v>
      </c>
      <c r="C56" s="123">
        <v>33286656.176090717</v>
      </c>
      <c r="D56" s="123">
        <v>34877588.591010332</v>
      </c>
      <c r="E56" s="123">
        <v>35423568.154294938</v>
      </c>
      <c r="F56" s="123">
        <v>37690384.466469631</v>
      </c>
      <c r="H56" s="120"/>
    </row>
    <row r="57" spans="1:8" x14ac:dyDescent="0.15">
      <c r="A57" s="143">
        <v>10</v>
      </c>
      <c r="B57" s="123">
        <v>32263562.374450691</v>
      </c>
      <c r="C57" s="123">
        <v>34301184.961080723</v>
      </c>
      <c r="D57" s="123">
        <v>37745619.414170459</v>
      </c>
      <c r="E57" s="123">
        <v>39009579.376890615</v>
      </c>
      <c r="F57" s="123">
        <v>44738527.802664801</v>
      </c>
      <c r="H57" s="120"/>
    </row>
    <row r="58" spans="1:8" x14ac:dyDescent="0.15">
      <c r="A58" s="143">
        <v>15</v>
      </c>
      <c r="B58" s="123">
        <v>32263562.374450691</v>
      </c>
      <c r="C58" s="123">
        <v>35585697.210691243</v>
      </c>
      <c r="D58" s="123">
        <v>41673295.366319977</v>
      </c>
      <c r="E58" s="123">
        <v>44055289.482163936</v>
      </c>
      <c r="F58" s="123">
        <v>55835217.981039956</v>
      </c>
      <c r="H58" s="120"/>
    </row>
    <row r="59" spans="1:8" x14ac:dyDescent="0.15">
      <c r="A59" s="144">
        <v>20</v>
      </c>
      <c r="B59" s="123">
        <v>32263562.374450691</v>
      </c>
      <c r="C59" s="123">
        <v>36924822.187136613</v>
      </c>
      <c r="D59" s="123">
        <v>46124864.213469684</v>
      </c>
      <c r="E59" s="123">
        <v>49944900.863662176</v>
      </c>
      <c r="F59" s="123">
        <v>70505655.463186666</v>
      </c>
      <c r="H59" s="120"/>
    </row>
    <row r="60" spans="1:8" x14ac:dyDescent="0.15">
      <c r="A60" s="144">
        <v>25</v>
      </c>
      <c r="B60" s="123">
        <v>32263562.374450691</v>
      </c>
      <c r="C60" s="123">
        <v>38199360.096870318</v>
      </c>
      <c r="D60" s="123">
        <v>50750919.593514487</v>
      </c>
      <c r="E60" s="123">
        <v>56261202.798996463</v>
      </c>
      <c r="F60" s="123">
        <v>88510925.869345725</v>
      </c>
      <c r="H60" s="120"/>
    </row>
    <row r="61" spans="1:8" x14ac:dyDescent="0.15">
      <c r="A61" s="144">
        <v>30</v>
      </c>
      <c r="B61" s="123">
        <v>32263562.374450695</v>
      </c>
      <c r="C61" s="123">
        <v>39349982.519088358</v>
      </c>
      <c r="D61" s="123">
        <v>55329216.89803873</v>
      </c>
      <c r="E61" s="123">
        <v>62724516.231344432</v>
      </c>
      <c r="F61" s="123">
        <v>109787606.62854041</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0.02</v>
      </c>
      <c r="D64" s="132">
        <f>D55</f>
        <v>0.05</v>
      </c>
      <c r="E64" s="132">
        <f>E55</f>
        <v>0.06</v>
      </c>
      <c r="F64" s="132">
        <f>F55</f>
        <v>0.1</v>
      </c>
      <c r="H64" s="120"/>
    </row>
    <row r="65" spans="1:8" x14ac:dyDescent="0.15">
      <c r="A65" s="143">
        <v>0</v>
      </c>
      <c r="B65" s="124">
        <f>C12</f>
        <v>18.936026986759408</v>
      </c>
      <c r="C65" s="124">
        <f>C12</f>
        <v>18.936026986759408</v>
      </c>
      <c r="D65" s="124">
        <f>C12</f>
        <v>18.936026986759408</v>
      </c>
      <c r="E65" s="141">
        <f>C12</f>
        <v>18.936026986759408</v>
      </c>
      <c r="F65" s="124">
        <f>C12</f>
        <v>18.936026986759408</v>
      </c>
      <c r="H65" s="120"/>
    </row>
    <row r="66" spans="1:8" x14ac:dyDescent="0.15">
      <c r="A66" s="143">
        <f t="shared" ref="A66:A71" si="3">A56</f>
        <v>5</v>
      </c>
      <c r="B66" s="124">
        <f t="shared" ref="B66:F71" si="4">(B56-$C$7+$C$8+$C$9)/Common_Shares*$C$3*Exchange_Rate</f>
        <v>18.936026986759416</v>
      </c>
      <c r="C66" s="124">
        <f t="shared" si="4"/>
        <v>19.366589344247586</v>
      </c>
      <c r="D66" s="124">
        <f t="shared" si="4"/>
        <v>20.036122880736695</v>
      </c>
      <c r="E66" s="124">
        <f t="shared" si="4"/>
        <v>20.265894821033221</v>
      </c>
      <c r="F66" s="124">
        <f t="shared" si="4"/>
        <v>21.219869690002252</v>
      </c>
      <c r="H66" s="120"/>
    </row>
    <row r="67" spans="1:8" x14ac:dyDescent="0.15">
      <c r="A67" s="143">
        <f t="shared" si="3"/>
        <v>10</v>
      </c>
      <c r="B67" s="124">
        <f t="shared" si="4"/>
        <v>18.936026986759416</v>
      </c>
      <c r="C67" s="124">
        <f t="shared" si="4"/>
        <v>19.793547170308774</v>
      </c>
      <c r="D67" s="124">
        <f t="shared" si="4"/>
        <v>21.243114957698808</v>
      </c>
      <c r="E67" s="124">
        <f t="shared" si="4"/>
        <v>21.775044269016178</v>
      </c>
      <c r="F67" s="124">
        <f t="shared" si="4"/>
        <v>24.186034870440384</v>
      </c>
      <c r="H67" s="120"/>
    </row>
    <row r="68" spans="1:8" x14ac:dyDescent="0.15">
      <c r="A68" s="143">
        <f t="shared" si="3"/>
        <v>15</v>
      </c>
      <c r="B68" s="124">
        <f t="shared" si="4"/>
        <v>18.936026986759416</v>
      </c>
      <c r="C68" s="124">
        <f t="shared" si="4"/>
        <v>20.334125777595979</v>
      </c>
      <c r="D68" s="124">
        <f t="shared" si="4"/>
        <v>22.896051780007994</v>
      </c>
      <c r="E68" s="124">
        <f t="shared" si="4"/>
        <v>23.898498476876526</v>
      </c>
      <c r="F68" s="124">
        <f t="shared" si="4"/>
        <v>28.856004599372518</v>
      </c>
      <c r="H68" s="120"/>
    </row>
    <row r="69" spans="1:8" x14ac:dyDescent="0.15">
      <c r="A69" s="144">
        <f t="shared" si="3"/>
        <v>20</v>
      </c>
      <c r="B69" s="124">
        <f t="shared" si="4"/>
        <v>18.936026986759416</v>
      </c>
      <c r="C69" s="124">
        <f t="shared" si="4"/>
        <v>20.897687794984172</v>
      </c>
      <c r="D69" s="124">
        <f t="shared" si="4"/>
        <v>24.769465512235886</v>
      </c>
      <c r="E69" s="124">
        <f t="shared" si="4"/>
        <v>26.377103035952203</v>
      </c>
      <c r="F69" s="124">
        <f t="shared" si="4"/>
        <v>35.029962585991562</v>
      </c>
      <c r="H69" s="120"/>
    </row>
    <row r="70" spans="1:8" x14ac:dyDescent="0.15">
      <c r="A70" s="144">
        <f t="shared" si="3"/>
        <v>25</v>
      </c>
      <c r="B70" s="124">
        <f t="shared" si="4"/>
        <v>18.936026986759416</v>
      </c>
      <c r="C70" s="124">
        <f t="shared" si="4"/>
        <v>21.434068766350929</v>
      </c>
      <c r="D70" s="124">
        <f t="shared" si="4"/>
        <v>26.716310764460111</v>
      </c>
      <c r="E70" s="124">
        <f t="shared" si="4"/>
        <v>29.035277533271159</v>
      </c>
      <c r="F70" s="124">
        <f t="shared" si="4"/>
        <v>42.60736327091476</v>
      </c>
    </row>
    <row r="71" spans="1:8" x14ac:dyDescent="0.15">
      <c r="A71" s="144">
        <f t="shared" si="3"/>
        <v>30</v>
      </c>
      <c r="B71" s="124">
        <f t="shared" si="4"/>
        <v>18.936026986759416</v>
      </c>
      <c r="C71" s="124">
        <f t="shared" si="4"/>
        <v>21.918300712527117</v>
      </c>
      <c r="D71" s="124">
        <f t="shared" si="4"/>
        <v>28.643057341907625</v>
      </c>
      <c r="E71" s="124">
        <f t="shared" si="4"/>
        <v>31.755320860828952</v>
      </c>
      <c r="F71" s="124">
        <f t="shared" si="4"/>
        <v>51.561515678560063</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0.1</v>
      </c>
      <c r="D74" s="145">
        <f>Scenarios!C55</f>
        <v>30</v>
      </c>
      <c r="E74" s="135">
        <f>INDEX(B$65:F$71, MATCH(D74, A$65:A$71, 0), MATCH(C74, B$64:F$64, 0))</f>
        <v>51.561515678560063</v>
      </c>
      <c r="F74" s="142">
        <f>Scenarios!C58</f>
        <v>0.05</v>
      </c>
    </row>
    <row r="75" spans="1:8" x14ac:dyDescent="0.15">
      <c r="B75" s="127" t="str">
        <f>Scenarios!B36</f>
        <v>Optimistic</v>
      </c>
      <c r="C75" s="142">
        <f>Scenarios!C38</f>
        <v>0.06</v>
      </c>
      <c r="D75" s="145">
        <f>Scenarios!C37</f>
        <v>20</v>
      </c>
      <c r="E75" s="135">
        <f>INDEX(B$65:F$71, MATCH(D75, A$65:A$71, 0), MATCH(C75, B$64:F$64, 0))</f>
        <v>26.377103035952203</v>
      </c>
      <c r="F75" s="142">
        <f>Scenarios!C40*(1-F$74-F$78)</f>
        <v>0.22499999999999992</v>
      </c>
      <c r="H75" s="120"/>
    </row>
    <row r="76" spans="1:8" x14ac:dyDescent="0.15">
      <c r="B76" s="127" t="str">
        <f>Scenarios!B24</f>
        <v>Base</v>
      </c>
      <c r="C76" s="142">
        <f>Scenarios!C26</f>
        <v>0.05</v>
      </c>
      <c r="D76" s="145">
        <f>Scenarios!C25</f>
        <v>20</v>
      </c>
      <c r="E76" s="135">
        <f>INDEX(B$65:F$71, MATCH(D76, A$65:A$71, 0), MATCH(C76, B$64:F$64, 0))</f>
        <v>24.769465512235886</v>
      </c>
      <c r="F76" s="142">
        <f>Scenarios!C28*(1-F$74-F$78)</f>
        <v>0.495</v>
      </c>
      <c r="H76" s="120"/>
    </row>
    <row r="77" spans="1:8" x14ac:dyDescent="0.15">
      <c r="B77" s="127" t="str">
        <f>Scenarios!B30</f>
        <v>Pessimistic</v>
      </c>
      <c r="C77" s="142">
        <f>Scenarios!C32</f>
        <v>0.02</v>
      </c>
      <c r="D77" s="145">
        <f>Scenarios!C31</f>
        <v>20</v>
      </c>
      <c r="E77" s="135">
        <f>INDEX(B$65:F$71, MATCH(D77, A$65:A$71, 0), MATCH(C77, B$64:F$64, 0))</f>
        <v>20.897687794984172</v>
      </c>
      <c r="F77" s="142">
        <f>Scenarios!C34*(1-F$74-F$78)</f>
        <v>0.18</v>
      </c>
      <c r="H77" s="120"/>
    </row>
    <row r="78" spans="1:8" x14ac:dyDescent="0.15">
      <c r="B78" s="127" t="str">
        <f>Scenarios!B48</f>
        <v>Devil's advocate</v>
      </c>
      <c r="C78" s="142">
        <f>Scenarios!C50</f>
        <v>0</v>
      </c>
      <c r="D78" s="145">
        <f>Scenarios!C49</f>
        <v>30</v>
      </c>
      <c r="E78" s="135">
        <f>INDEX(B$65:F$71, MATCH(D78, A$65:A$71, 0), MATCH(C78, B$64:F$64, 0))</f>
        <v>18.936026986759416</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1000</v>
      </c>
      <c r="E3" s="109" t="s">
        <v>125</v>
      </c>
      <c r="H3" s="120"/>
    </row>
    <row r="4" spans="2:8" x14ac:dyDescent="0.15">
      <c r="B4" s="100" t="s">
        <v>441</v>
      </c>
      <c r="C4" s="114">
        <f>Normalized_FCF!C91</f>
        <v>1389590.2528254052</v>
      </c>
      <c r="D4" t="str">
        <f>Market_currency</f>
        <v>HKD</v>
      </c>
      <c r="E4" s="100" t="s">
        <v>251</v>
      </c>
      <c r="F4" s="134">
        <f>Thesis!E22</f>
        <v>0</v>
      </c>
      <c r="H4" s="120"/>
    </row>
    <row r="5" spans="2:8" x14ac:dyDescent="0.15">
      <c r="B5" s="205" t="s">
        <v>124</v>
      </c>
      <c r="C5" s="206">
        <f>Equity_Cost</f>
        <v>7.4999999999999997E-2</v>
      </c>
      <c r="E5" s="148"/>
      <c r="H5" s="120"/>
    </row>
    <row r="6" spans="2:8" ht="13.25" customHeight="1" x14ac:dyDescent="0.15">
      <c r="B6" s="149" t="s">
        <v>442</v>
      </c>
      <c r="C6" s="339">
        <f>(C4*(1+Terminal_Growth))/(Equity_Cost-Terminal_Growth)</f>
        <v>18527870.037672069</v>
      </c>
      <c r="D6" t="str">
        <f>Reporting_currency</f>
        <v>CNY</v>
      </c>
      <c r="E6" s="354"/>
      <c r="F6" s="354"/>
      <c r="H6" s="120"/>
    </row>
    <row r="7" spans="2:8" x14ac:dyDescent="0.15">
      <c r="B7" s="149" t="s">
        <v>445</v>
      </c>
      <c r="C7" s="111">
        <f>(C6*scaling_factor)/Common_Shares*Exchange_Rate</f>
        <v>7.7973333333333343</v>
      </c>
      <c r="D7" t="str">
        <f>Market_currency</f>
        <v>HKD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5.4247061515052201E-2</v>
      </c>
      <c r="H11" s="120"/>
    </row>
    <row r="12" spans="2:8" ht="13.25" customHeight="1" x14ac:dyDescent="0.15">
      <c r="B12" s="118" t="s">
        <v>135</v>
      </c>
      <c r="C12" s="162">
        <f>Scenarios!C64</f>
        <v>20</v>
      </c>
      <c r="H12" s="120"/>
    </row>
    <row r="13" spans="2:8" ht="13.25" customHeight="1" x14ac:dyDescent="0.15">
      <c r="B13" s="153" t="s">
        <v>107</v>
      </c>
      <c r="C13" s="140">
        <f>F47/Common_Shares*scaling_factor</f>
        <v>10.596306430837201</v>
      </c>
      <c r="D13" t="str">
        <f>Market_currency</f>
        <v>HKD</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1464971.4407511419</v>
      </c>
      <c r="D16" s="138">
        <f>IF($C$12&lt;B16,0,DDM!$C$11)</f>
        <v>5.4247061515052201E-2</v>
      </c>
      <c r="E16" s="124">
        <f t="shared" ref="E16:E45" si="0">IF($C$12&lt;B16,0,1/(1+Equity_Cost)^B16)</f>
        <v>0.93023255813953487</v>
      </c>
      <c r="F16" s="125">
        <f t="shared" ref="F16:F46" si="1">C16*E16</f>
        <v>1362764.1309312948</v>
      </c>
      <c r="H16" s="120"/>
    </row>
    <row r="17" spans="2:8" x14ac:dyDescent="0.15">
      <c r="B17" s="122">
        <v>2</v>
      </c>
      <c r="C17" s="123">
        <f t="shared" ref="C17:C45" si="2">IF(ROW()-ROW($C$16)&lt;$C$12, $C$16*(1+D17)^(ROW()-ROW($C$16)), 0)</f>
        <v>1544441.8366153636</v>
      </c>
      <c r="D17" s="138">
        <f>IF($C$12&lt;B17,0,DDM!$C$11)</f>
        <v>5.4247061515052201E-2</v>
      </c>
      <c r="E17" s="124">
        <f t="shared" si="0"/>
        <v>0.86533261222282321</v>
      </c>
      <c r="F17" s="125">
        <f t="shared" si="1"/>
        <v>1336455.8889045874</v>
      </c>
      <c r="H17" s="120"/>
    </row>
    <row r="18" spans="2:8" x14ac:dyDescent="0.15">
      <c r="B18" s="122">
        <v>3</v>
      </c>
      <c r="C18" s="123">
        <f t="shared" si="2"/>
        <v>1628223.2679326572</v>
      </c>
      <c r="D18" s="138">
        <f>IF($C$12&lt;B18,0,DDM!$C$11)</f>
        <v>5.4247061515052201E-2</v>
      </c>
      <c r="E18" s="124">
        <f t="shared" si="0"/>
        <v>0.80496056950960304</v>
      </c>
      <c r="F18" s="125">
        <f t="shared" si="1"/>
        <v>1310655.5290438586</v>
      </c>
      <c r="H18" s="120"/>
    </row>
    <row r="19" spans="2:8" x14ac:dyDescent="0.15">
      <c r="B19" s="122">
        <v>4</v>
      </c>
      <c r="C19" s="123">
        <f t="shared" si="2"/>
        <v>1716549.5957084391</v>
      </c>
      <c r="D19" s="138">
        <f>IF($C$12&lt;B19,0,DDM!$C$11)</f>
        <v>5.4247061515052201E-2</v>
      </c>
      <c r="E19" s="124">
        <f t="shared" si="0"/>
        <v>0.7488005297763749</v>
      </c>
      <c r="F19" s="125">
        <f t="shared" si="1"/>
        <v>1285353.2466539014</v>
      </c>
      <c r="H19" s="120"/>
    </row>
    <row r="20" spans="2:8" x14ac:dyDescent="0.15">
      <c r="B20" s="122">
        <v>5</v>
      </c>
      <c r="C20" s="123">
        <f t="shared" si="2"/>
        <v>1809667.3672204725</v>
      </c>
      <c r="D20" s="138">
        <f>IF($C$12&lt;B20,0,DDM!$C$11)</f>
        <v>5.4247061515052201E-2</v>
      </c>
      <c r="E20" s="124">
        <f t="shared" si="0"/>
        <v>0.69655863235011617</v>
      </c>
      <c r="F20" s="125">
        <f t="shared" si="1"/>
        <v>1260539.4263197279</v>
      </c>
      <c r="H20" s="120"/>
    </row>
    <row r="21" spans="2:8" x14ac:dyDescent="0.15">
      <c r="B21" s="122">
        <v>6</v>
      </c>
      <c r="C21" s="123">
        <f t="shared" si="2"/>
        <v>1907836.504211864</v>
      </c>
      <c r="D21" s="138">
        <f>IF($C$12&lt;B21,0,DDM!$C$11)</f>
        <v>5.4247061515052201E-2</v>
      </c>
      <c r="E21" s="124">
        <f t="shared" si="0"/>
        <v>0.64796151846522443</v>
      </c>
      <c r="F21" s="125">
        <f t="shared" si="1"/>
        <v>1236204.6382525049</v>
      </c>
      <c r="H21" s="120"/>
    </row>
    <row r="22" spans="2:8" x14ac:dyDescent="0.15">
      <c r="B22" s="122">
        <v>7</v>
      </c>
      <c r="C22" s="123">
        <f t="shared" si="2"/>
        <v>2011331.0284165069</v>
      </c>
      <c r="D22" s="138">
        <f>IF($C$12&lt;B22,0,DDM!$C$11)</f>
        <v>5.4247061515052201E-2</v>
      </c>
      <c r="E22" s="124">
        <f t="shared" si="0"/>
        <v>0.60275490089788319</v>
      </c>
      <c r="F22" s="125">
        <f t="shared" si="1"/>
        <v>1212339.6347060292</v>
      </c>
      <c r="H22" s="120"/>
    </row>
    <row r="23" spans="2:8" x14ac:dyDescent="0.15">
      <c r="B23" s="122">
        <v>8</v>
      </c>
      <c r="C23" s="123">
        <f t="shared" si="2"/>
        <v>2120439.8264421499</v>
      </c>
      <c r="D23" s="138">
        <f>IF($C$12&lt;B23,0,DDM!$C$11)</f>
        <v>5.4247061515052201E-2</v>
      </c>
      <c r="E23" s="124">
        <f t="shared" si="0"/>
        <v>0.56070223339337966</v>
      </c>
      <c r="F23" s="125">
        <f t="shared" si="1"/>
        <v>1188935.3464623839</v>
      </c>
      <c r="H23" s="120"/>
    </row>
    <row r="24" spans="2:8" x14ac:dyDescent="0.15">
      <c r="B24" s="122">
        <v>9</v>
      </c>
      <c r="C24" s="123">
        <f t="shared" si="2"/>
        <v>2235467.4561461238</v>
      </c>
      <c r="D24" s="138">
        <f>IF($C$12&lt;B24,0,DDM!$C$11)</f>
        <v>5.4247061515052201E-2</v>
      </c>
      <c r="E24" s="124">
        <f t="shared" si="0"/>
        <v>0.52158347292407414</v>
      </c>
      <c r="F24" s="125">
        <f t="shared" si="1"/>
        <v>1165982.8793854406</v>
      </c>
      <c r="H24" s="120"/>
    </row>
    <row r="25" spans="2:8" x14ac:dyDescent="0.15">
      <c r="B25" s="122">
        <v>10</v>
      </c>
      <c r="C25" s="123">
        <f t="shared" si="2"/>
        <v>2356734.9967545797</v>
      </c>
      <c r="D25" s="138">
        <f>IF($C$12&lt;B25,0,DDM!$C$11)</f>
        <v>5.4247061515052201E-2</v>
      </c>
      <c r="E25" s="124">
        <f t="shared" si="0"/>
        <v>0.48519392830146441</v>
      </c>
      <c r="F25" s="125">
        <f t="shared" si="1"/>
        <v>1143473.5110408934</v>
      </c>
      <c r="H25" s="120"/>
    </row>
    <row r="26" spans="2:8" x14ac:dyDescent="0.15">
      <c r="B26" s="122">
        <v>11</v>
      </c>
      <c r="C26" s="123">
        <f t="shared" si="2"/>
        <v>2484580.9450982013</v>
      </c>
      <c r="D26" s="138">
        <f>IF($C$12&lt;B26,0,DDM!$C$11)</f>
        <v>5.4247061515052201E-2</v>
      </c>
      <c r="E26" s="124">
        <f t="shared" si="0"/>
        <v>0.45134318911764126</v>
      </c>
      <c r="F26" s="125">
        <f t="shared" si="1"/>
        <v>1121398.6873815453</v>
      </c>
      <c r="H26" s="120"/>
    </row>
    <row r="27" spans="2:8" x14ac:dyDescent="0.15">
      <c r="B27" s="122">
        <v>12</v>
      </c>
      <c r="C27" s="123">
        <f t="shared" si="2"/>
        <v>2619362.1604660694</v>
      </c>
      <c r="D27" s="138">
        <f>IF($C$12&lt;B27,0,DDM!$C$11)</f>
        <v>5.4247061515052201E-2</v>
      </c>
      <c r="E27" s="124">
        <f t="shared" si="0"/>
        <v>0.41985412941175931</v>
      </c>
      <c r="F27" s="125">
        <f t="shared" si="1"/>
        <v>1099750.0194965866</v>
      </c>
      <c r="H27" s="120"/>
    </row>
    <row r="28" spans="2:8" x14ac:dyDescent="0.15">
      <c r="B28" s="122">
        <v>13</v>
      </c>
      <c r="C28" s="123">
        <f t="shared" si="2"/>
        <v>2761454.8607150721</v>
      </c>
      <c r="D28" s="138">
        <f>IF($C$12&lt;B28,0,DDM!$C$11)</f>
        <v>5.4247061515052201E-2</v>
      </c>
      <c r="E28" s="124">
        <f t="shared" si="0"/>
        <v>0.39056198084814819</v>
      </c>
      <c r="F28" s="125">
        <f t="shared" si="1"/>
        <v>1078519.2804236258</v>
      </c>
      <c r="H28" s="120"/>
    </row>
    <row r="29" spans="2:8" x14ac:dyDescent="0.15">
      <c r="B29" s="122">
        <v>14</v>
      </c>
      <c r="C29" s="123">
        <f t="shared" si="2"/>
        <v>2911255.6724153222</v>
      </c>
      <c r="D29" s="138">
        <f>IF($C$12&lt;B29,0,DDM!$C$11)</f>
        <v>5.4247061515052201E-2</v>
      </c>
      <c r="E29" s="124">
        <f t="shared" si="0"/>
        <v>0.36331347055641694</v>
      </c>
      <c r="F29" s="125">
        <f t="shared" si="1"/>
        <v>1057698.4020222661</v>
      </c>
      <c r="H29" s="120"/>
    </row>
    <row r="30" spans="2:8" x14ac:dyDescent="0.15">
      <c r="B30" s="122">
        <v>15</v>
      </c>
      <c r="C30" s="123">
        <f t="shared" si="2"/>
        <v>3069182.7379628811</v>
      </c>
      <c r="D30" s="138">
        <f>IF($C$12&lt;B30,0,DDM!$C$11)</f>
        <v>5.4247061515052201E-2</v>
      </c>
      <c r="E30" s="124">
        <f t="shared" si="0"/>
        <v>0.33796601912224833</v>
      </c>
      <c r="F30" s="125">
        <f t="shared" si="1"/>
        <v>1037279.4719080376</v>
      </c>
      <c r="H30" s="120"/>
    </row>
    <row r="31" spans="2:8" x14ac:dyDescent="0.15">
      <c r="B31" s="122">
        <v>16</v>
      </c>
      <c r="C31" s="123">
        <f t="shared" si="2"/>
        <v>3235676.8827500893</v>
      </c>
      <c r="D31" s="138">
        <f>IF($C$12&lt;B31,0,DDM!$C$11)</f>
        <v>5.4247061515052201E-2</v>
      </c>
      <c r="E31" s="124">
        <f t="shared" si="0"/>
        <v>0.31438699453232405</v>
      </c>
      <c r="F31" s="125">
        <f t="shared" si="1"/>
        <v>1017254.7304455197</v>
      </c>
      <c r="H31" s="120"/>
    </row>
    <row r="32" spans="2:8" x14ac:dyDescent="0.15">
      <c r="B32" s="122">
        <v>17</v>
      </c>
      <c r="C32" s="123">
        <f t="shared" si="2"/>
        <v>3411202.845651465</v>
      </c>
      <c r="D32" s="138">
        <f>IF($C$12&lt;B32,0,DDM!$C$11)</f>
        <v>5.4247061515052201E-2</v>
      </c>
      <c r="E32" s="124">
        <f t="shared" si="0"/>
        <v>0.29245301816960378</v>
      </c>
      <c r="F32" s="125">
        <f t="shared" si="1"/>
        <v>997616.56779951206</v>
      </c>
      <c r="H32" s="120"/>
    </row>
    <row r="33" spans="2:8" x14ac:dyDescent="0.15">
      <c r="B33" s="122">
        <v>18</v>
      </c>
      <c r="C33" s="123">
        <f t="shared" si="2"/>
        <v>3596250.5762598407</v>
      </c>
      <c r="D33" s="138">
        <f>IF($C$12&lt;B33,0,DDM!$C$11)</f>
        <v>5.4247061515052201E-2</v>
      </c>
      <c r="E33" s="124">
        <f t="shared" si="0"/>
        <v>0.27204931922753844</v>
      </c>
      <c r="F33" s="125">
        <f t="shared" si="1"/>
        <v>978357.52104313252</v>
      </c>
      <c r="H33" s="120"/>
    </row>
    <row r="34" spans="2:8" x14ac:dyDescent="0.15">
      <c r="B34" s="122">
        <v>19</v>
      </c>
      <c r="C34" s="123">
        <f t="shared" si="2"/>
        <v>3791336.6024937495</v>
      </c>
      <c r="D34" s="138">
        <f>IF($C$12&lt;B34,0,DDM!$C$11)</f>
        <v>5.4247061515052201E-2</v>
      </c>
      <c r="E34" s="124">
        <f t="shared" si="0"/>
        <v>0.25306913416515198</v>
      </c>
      <c r="F34" s="125">
        <f t="shared" si="1"/>
        <v>959470.2713217421</v>
      </c>
      <c r="H34" s="120"/>
    </row>
    <row r="35" spans="2:8" x14ac:dyDescent="0.15">
      <c r="B35" s="122">
        <v>20</v>
      </c>
      <c r="C35" s="123">
        <f t="shared" si="2"/>
        <v>3997005.4723934964</v>
      </c>
      <c r="D35" s="138">
        <f>IF($C$12&lt;B35,0,DDM!$C$11)</f>
        <v>5.4247061515052201E-2</v>
      </c>
      <c r="E35" s="124">
        <f t="shared" si="0"/>
        <v>0.23541314806060654</v>
      </c>
      <c r="F35" s="125">
        <f t="shared" si="1"/>
        <v>940947.6410716247</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19532952.543348558</v>
      </c>
      <c r="D46" s="139">
        <f>Terminal_Growth</f>
        <v>0</v>
      </c>
      <c r="E46" s="124">
        <f>1/(1+Equity_Cost)^C12</f>
        <v>0.23541314806060654</v>
      </c>
      <c r="F46" s="125">
        <f t="shared" si="1"/>
        <v>4598313.8491481151</v>
      </c>
      <c r="H46" s="120"/>
    </row>
    <row r="47" spans="2:8" x14ac:dyDescent="0.15">
      <c r="C47" s="114"/>
      <c r="E47" s="127" t="s">
        <v>101</v>
      </c>
      <c r="F47" s="137">
        <f>SUM(F16:F46)</f>
        <v>27389310.673762329</v>
      </c>
      <c r="H47" s="120"/>
    </row>
    <row r="48" spans="2:8" x14ac:dyDescent="0.15">
      <c r="C48" s="114"/>
      <c r="H48" s="120"/>
    </row>
    <row r="49" spans="1:8" x14ac:dyDescent="0.15">
      <c r="B49" s="119" t="s">
        <v>130</v>
      </c>
      <c r="C49" s="136"/>
      <c r="D49" s="136"/>
      <c r="E49" s="117"/>
      <c r="F49" s="117"/>
      <c r="H49" s="120"/>
    </row>
    <row r="50" spans="1:8" x14ac:dyDescent="0.15">
      <c r="A50" s="133">
        <f>F47</f>
        <v>27389310.673762329</v>
      </c>
      <c r="B50" s="131">
        <f>C73</f>
        <v>0</v>
      </c>
      <c r="C50" s="131">
        <f>C72</f>
        <v>0.02</v>
      </c>
      <c r="D50" s="131">
        <f>C71</f>
        <v>0.05</v>
      </c>
      <c r="E50" s="131">
        <f>C70</f>
        <v>0.06</v>
      </c>
      <c r="F50" s="131">
        <f>C69</f>
        <v>0.1</v>
      </c>
      <c r="H50" s="120"/>
    </row>
    <row r="51" spans="1:8" x14ac:dyDescent="0.15">
      <c r="A51" s="143">
        <v>5</v>
      </c>
      <c r="B51" s="123">
        <f t="dataTable" ref="B51:F56" dt2D="1" dtr="1" r1="C11" r2="C12"/>
        <v>18527870.037672069</v>
      </c>
      <c r="C51" s="123">
        <v>19115398.121928051</v>
      </c>
      <c r="D51" s="123">
        <v>20029016.670315403</v>
      </c>
      <c r="E51" s="123">
        <v>20342554.223123673</v>
      </c>
      <c r="F51" s="123">
        <v>21644309.979162149</v>
      </c>
      <c r="H51" s="120"/>
    </row>
    <row r="52" spans="1:8" x14ac:dyDescent="0.15">
      <c r="A52" s="143">
        <v>10</v>
      </c>
      <c r="B52" s="123">
        <v>18527870.037672073</v>
      </c>
      <c r="C52" s="123">
        <v>19698007.607502326</v>
      </c>
      <c r="D52" s="123">
        <v>21676029.536992162</v>
      </c>
      <c r="E52" s="123">
        <v>22401878.891452938</v>
      </c>
      <c r="F52" s="123">
        <v>25691819.743406903</v>
      </c>
      <c r="H52" s="120"/>
    </row>
    <row r="53" spans="1:8" x14ac:dyDescent="0.15">
      <c r="A53" s="143">
        <v>15</v>
      </c>
      <c r="B53" s="123">
        <v>18527870.037672073</v>
      </c>
      <c r="C53" s="123">
        <v>20435659.443538509</v>
      </c>
      <c r="D53" s="123">
        <v>23931560.676019251</v>
      </c>
      <c r="E53" s="123">
        <v>25299459.139823277</v>
      </c>
      <c r="F53" s="123">
        <v>32064272.700928383</v>
      </c>
      <c r="H53" s="120"/>
    </row>
    <row r="54" spans="1:8" x14ac:dyDescent="0.15">
      <c r="A54" s="144">
        <v>20</v>
      </c>
      <c r="B54" s="123">
        <v>18527870.037672073</v>
      </c>
      <c r="C54" s="123">
        <v>21204673.517056577</v>
      </c>
      <c r="D54" s="123">
        <v>26487945.743064839</v>
      </c>
      <c r="E54" s="123">
        <v>28681663.280281328</v>
      </c>
      <c r="F54" s="123">
        <v>40489007.573982991</v>
      </c>
      <c r="H54" s="120"/>
    </row>
    <row r="55" spans="1:8" x14ac:dyDescent="0.15">
      <c r="A55" s="144">
        <v>25</v>
      </c>
      <c r="B55" s="123">
        <v>18527870.037672073</v>
      </c>
      <c r="C55" s="123">
        <v>21936597.427862298</v>
      </c>
      <c r="D55" s="123">
        <v>29144532.51032206</v>
      </c>
      <c r="E55" s="123">
        <v>32308901.33968557</v>
      </c>
      <c r="F55" s="123">
        <v>50828823.934207171</v>
      </c>
      <c r="H55" s="120"/>
    </row>
    <row r="56" spans="1:8" x14ac:dyDescent="0.15">
      <c r="A56" s="144">
        <v>30</v>
      </c>
      <c r="B56" s="123">
        <v>18527870.037672076</v>
      </c>
      <c r="C56" s="123">
        <v>22597360.875303835</v>
      </c>
      <c r="D56" s="123">
        <v>31773693.433953449</v>
      </c>
      <c r="E56" s="123">
        <v>36020563.117682964</v>
      </c>
      <c r="F56" s="123">
        <v>63047300.349309139</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0.02</v>
      </c>
      <c r="D59" s="132">
        <f>D50</f>
        <v>0.05</v>
      </c>
      <c r="E59" s="132">
        <f>E50</f>
        <v>0.06</v>
      </c>
      <c r="F59" s="132">
        <f>F50</f>
        <v>0.1</v>
      </c>
      <c r="H59" s="120"/>
    </row>
    <row r="60" spans="1:8" x14ac:dyDescent="0.15">
      <c r="A60" s="143">
        <v>0</v>
      </c>
      <c r="B60" s="124">
        <f>C7</f>
        <v>7.7973333333333343</v>
      </c>
      <c r="C60" s="124">
        <f>C7</f>
        <v>7.7973333333333343</v>
      </c>
      <c r="D60" s="124">
        <f>C7</f>
        <v>7.7973333333333343</v>
      </c>
      <c r="E60" s="141">
        <f>C7</f>
        <v>7.7973333333333343</v>
      </c>
      <c r="F60" s="124">
        <f>C7</f>
        <v>7.7973333333333343</v>
      </c>
      <c r="H60" s="120"/>
    </row>
    <row r="61" spans="1:8" x14ac:dyDescent="0.15">
      <c r="A61" s="143">
        <f t="shared" ref="A61:A66" si="3">A51</f>
        <v>5</v>
      </c>
      <c r="B61" s="124">
        <f t="shared" ref="B61:F66" si="4">B51/Common_Shares*$C$3*Exchange_Rate</f>
        <v>7.7973333333333334</v>
      </c>
      <c r="C61" s="124">
        <f t="shared" si="4"/>
        <v>8.044590697850893</v>
      </c>
      <c r="D61" s="124">
        <f t="shared" si="4"/>
        <v>8.4290811086108874</v>
      </c>
      <c r="E61" s="124">
        <f t="shared" si="4"/>
        <v>8.5610313439478603</v>
      </c>
      <c r="F61" s="124">
        <f t="shared" si="4"/>
        <v>9.1088667685152398</v>
      </c>
      <c r="H61" s="120"/>
    </row>
    <row r="62" spans="1:8" x14ac:dyDescent="0.15">
      <c r="A62" s="143">
        <f t="shared" si="3"/>
        <v>10</v>
      </c>
      <c r="B62" s="124">
        <f t="shared" si="4"/>
        <v>7.7973333333333352</v>
      </c>
      <c r="C62" s="124">
        <f t="shared" si="4"/>
        <v>8.2897781021746368</v>
      </c>
      <c r="D62" s="124">
        <f t="shared" si="4"/>
        <v>9.1222157376673163</v>
      </c>
      <c r="E62" s="124">
        <f t="shared" si="4"/>
        <v>9.427684707117546</v>
      </c>
      <c r="F62" s="124">
        <f t="shared" si="4"/>
        <v>10.812234869520287</v>
      </c>
      <c r="H62" s="120"/>
    </row>
    <row r="63" spans="1:8" x14ac:dyDescent="0.15">
      <c r="A63" s="143">
        <f t="shared" si="3"/>
        <v>15</v>
      </c>
      <c r="B63" s="124">
        <f t="shared" si="4"/>
        <v>7.7973333333333352</v>
      </c>
      <c r="C63" s="124">
        <f t="shared" si="4"/>
        <v>8.600214069062611</v>
      </c>
      <c r="D63" s="124">
        <f t="shared" si="4"/>
        <v>10.071441315078422</v>
      </c>
      <c r="E63" s="124">
        <f t="shared" si="4"/>
        <v>10.647112467064478</v>
      </c>
      <c r="F63" s="124">
        <f t="shared" si="4"/>
        <v>13.494040158512043</v>
      </c>
      <c r="H63" s="120"/>
    </row>
    <row r="64" spans="1:8" x14ac:dyDescent="0.15">
      <c r="A64" s="144">
        <f t="shared" si="3"/>
        <v>20</v>
      </c>
      <c r="B64" s="124">
        <f t="shared" si="4"/>
        <v>7.7973333333333352</v>
      </c>
      <c r="C64" s="124">
        <f t="shared" si="4"/>
        <v>8.9238486291633059</v>
      </c>
      <c r="D64" s="124">
        <f t="shared" si="4"/>
        <v>11.147279307010637</v>
      </c>
      <c r="E64" s="124">
        <f t="shared" si="4"/>
        <v>12.070491033025377</v>
      </c>
      <c r="F64" s="124">
        <f t="shared" si="4"/>
        <v>17.039534914066692</v>
      </c>
      <c r="H64" s="120"/>
    </row>
    <row r="65" spans="1:8" x14ac:dyDescent="0.15">
      <c r="A65" s="144">
        <f t="shared" si="3"/>
        <v>25</v>
      </c>
      <c r="B65" s="124">
        <f t="shared" si="4"/>
        <v>7.7973333333333352</v>
      </c>
      <c r="C65" s="124">
        <f t="shared" si="4"/>
        <v>9.2318740360549363</v>
      </c>
      <c r="D65" s="124">
        <f t="shared" si="4"/>
        <v>12.265286531322406</v>
      </c>
      <c r="E65" s="124">
        <f t="shared" si="4"/>
        <v>13.596990526546307</v>
      </c>
      <c r="F65" s="124">
        <f t="shared" si="4"/>
        <v>21.390979230234358</v>
      </c>
    </row>
    <row r="66" spans="1:8" x14ac:dyDescent="0.15">
      <c r="A66" s="144">
        <f t="shared" si="3"/>
        <v>30</v>
      </c>
      <c r="B66" s="124">
        <f t="shared" si="4"/>
        <v>7.7973333333333361</v>
      </c>
      <c r="C66" s="124">
        <f t="shared" si="4"/>
        <v>9.5099520257919306</v>
      </c>
      <c r="D66" s="124">
        <f t="shared" si="4"/>
        <v>13.371751768116797</v>
      </c>
      <c r="E66" s="124">
        <f t="shared" si="4"/>
        <v>15.159019191729811</v>
      </c>
      <c r="F66" s="124">
        <f t="shared" si="4"/>
        <v>26.533045384644414</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0.1</v>
      </c>
      <c r="D69" s="145">
        <f>Scenarios!C55</f>
        <v>30</v>
      </c>
      <c r="E69" s="135">
        <f>INDEX(B$60:F$66, MATCH(D69, A$60:A$66, 0), MATCH(C69, B$59:F$59, 0))</f>
        <v>26.533045384644414</v>
      </c>
      <c r="F69" s="142">
        <f>Scenarios!C58</f>
        <v>0.05</v>
      </c>
    </row>
    <row r="70" spans="1:8" x14ac:dyDescent="0.15">
      <c r="B70" s="127" t="str">
        <f>Scenarios!B36</f>
        <v>Optimistic</v>
      </c>
      <c r="C70" s="142">
        <f>Scenarios!C38</f>
        <v>0.06</v>
      </c>
      <c r="D70" s="145">
        <f>Scenarios!C37</f>
        <v>20</v>
      </c>
      <c r="E70" s="135">
        <f>INDEX(B$60:F$66, MATCH(D70, A$60:A$66, 0), MATCH(C70, B$59:F$59, 0))</f>
        <v>12.070491033025377</v>
      </c>
      <c r="F70" s="142">
        <f>Scenarios!C40*(1-F$69-F$73)</f>
        <v>0.22499999999999992</v>
      </c>
      <c r="H70" s="120"/>
    </row>
    <row r="71" spans="1:8" x14ac:dyDescent="0.15">
      <c r="B71" s="127" t="str">
        <f>Scenarios!B24</f>
        <v>Base</v>
      </c>
      <c r="C71" s="142">
        <f>Scenarios!C26</f>
        <v>0.05</v>
      </c>
      <c r="D71" s="145">
        <f>Scenarios!C25</f>
        <v>20</v>
      </c>
      <c r="E71" s="135">
        <f>INDEX(B$60:F$66, MATCH(D71, A$60:A$66, 0), MATCH(C71, B$59:F$59, 0))</f>
        <v>11.147279307010637</v>
      </c>
      <c r="F71" s="142">
        <f>Scenarios!C28*(1-F$69-F$73)</f>
        <v>0.495</v>
      </c>
      <c r="H71" s="120"/>
    </row>
    <row r="72" spans="1:8" x14ac:dyDescent="0.15">
      <c r="B72" s="127" t="str">
        <f>Scenarios!B30</f>
        <v>Pessimistic</v>
      </c>
      <c r="C72" s="142">
        <f>Scenarios!C32</f>
        <v>0.02</v>
      </c>
      <c r="D72" s="145">
        <f>Scenarios!C31</f>
        <v>20</v>
      </c>
      <c r="E72" s="135">
        <f>INDEX(B$60:F$66, MATCH(D72, A$60:A$66, 0), MATCH(C72, B$59:F$59, 0))</f>
        <v>8.9238486291633059</v>
      </c>
      <c r="F72" s="142">
        <f>Scenarios!C34*(1-F$69-F$73)</f>
        <v>0.18</v>
      </c>
      <c r="H72" s="120"/>
    </row>
    <row r="73" spans="1:8" x14ac:dyDescent="0.15">
      <c r="B73" s="127" t="str">
        <f>Scenarios!B48</f>
        <v>Devil's advocate</v>
      </c>
      <c r="C73" s="142">
        <f>Scenarios!C50</f>
        <v>0</v>
      </c>
      <c r="D73" s="145">
        <f>Scenarios!C49</f>
        <v>30</v>
      </c>
      <c r="E73" s="135">
        <f>INDEX(B$60:F$66, MATCH(D73, A$60:A$66, 0), MATCH(C73, B$59:F$59, 0))</f>
        <v>7.7973333333333361</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-15.4</v>
      </c>
    </row>
    <row r="4" spans="2:9" x14ac:dyDescent="0.15">
      <c r="B4" s="152" t="s">
        <v>147</v>
      </c>
      <c r="C4" s="120">
        <v>3</v>
      </c>
      <c r="D4" s="120"/>
      <c r="E4" s="155" t="s">
        <v>151</v>
      </c>
      <c r="F4" s="155"/>
      <c r="H4" s="247">
        <v>1</v>
      </c>
      <c r="I4" s="124">
        <f t="shared" ref="I4:I13" si="0">IF(ROW()-3 &lt; $C$76, $C$77, IF(ROW()-3 = $C$76, $C$77 + $C$60, ""))</f>
        <v>0.53760112138740068</v>
      </c>
    </row>
    <row r="5" spans="2:9" x14ac:dyDescent="0.15">
      <c r="H5" s="247">
        <v>2</v>
      </c>
      <c r="I5" s="124">
        <f t="shared" si="0"/>
        <v>0.53760112138740068</v>
      </c>
    </row>
    <row r="6" spans="2:9" x14ac:dyDescent="0.15">
      <c r="B6" s="159" t="s">
        <v>96</v>
      </c>
      <c r="C6" s="107">
        <f>DCF!C3</f>
        <v>1000</v>
      </c>
      <c r="E6" s="100" t="s">
        <v>280</v>
      </c>
      <c r="F6" s="100"/>
      <c r="H6" s="247">
        <v>3</v>
      </c>
      <c r="I6" s="124">
        <f t="shared" si="0"/>
        <v>26.01979566939653</v>
      </c>
    </row>
    <row r="7" spans="2:9" ht="12.75" customHeight="1" x14ac:dyDescent="0.15">
      <c r="B7" s="100" t="s">
        <v>276</v>
      </c>
      <c r="C7" s="114">
        <f>Normalized_FCF!G8</f>
        <v>3529289</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6"/>
      <c r="H7" s="247">
        <v>4</v>
      </c>
      <c r="I7" s="124" t="str">
        <f t="shared" si="0"/>
        <v/>
      </c>
    </row>
    <row r="8" spans="2:9" x14ac:dyDescent="0.15">
      <c r="B8" s="100" t="s">
        <v>66</v>
      </c>
      <c r="C8" s="114">
        <f>Normalized_FCF!G19</f>
        <v>2532244.5875429339</v>
      </c>
      <c r="D8" t="str">
        <f>Reporting_currency</f>
        <v>CNY</v>
      </c>
      <c r="E8" s="356"/>
      <c r="F8" s="356"/>
      <c r="H8" s="247">
        <v>5</v>
      </c>
      <c r="I8" s="124" t="str">
        <f t="shared" si="0"/>
        <v/>
      </c>
    </row>
    <row r="9" spans="2:9" x14ac:dyDescent="0.15">
      <c r="B9" s="100" t="s">
        <v>57</v>
      </c>
      <c r="C9" s="114">
        <f>Normalized_FCF!C19</f>
        <v>2419767.1780838012</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8.3043513409933434E-2</v>
      </c>
      <c r="D12" s="158"/>
      <c r="E12" s="356"/>
      <c r="F12" s="356"/>
      <c r="H12" s="247">
        <v>9</v>
      </c>
      <c r="I12" s="124" t="str">
        <f t="shared" si="0"/>
        <v/>
      </c>
    </row>
    <row r="13" spans="2:9" x14ac:dyDescent="0.15">
      <c r="B13" s="148" t="s">
        <v>153</v>
      </c>
      <c r="C13" s="158">
        <f ca="1">(Normalized_FCF!G8/OFFSET(Normalized_FCF!G8, 0, $C$4))^(1/$C$4) - 1</f>
        <v>-9.2379152048964186E-2</v>
      </c>
      <c r="E13" s="356"/>
      <c r="F13" s="356"/>
      <c r="H13" s="247">
        <v>10</v>
      </c>
      <c r="I13" s="124" t="str">
        <f t="shared" si="0"/>
        <v/>
      </c>
    </row>
    <row r="14" spans="2:9" x14ac:dyDescent="0.15">
      <c r="B14" s="100" t="s">
        <v>66</v>
      </c>
      <c r="C14" s="158">
        <f ca="1">(Normalized_FCF!G19/OFFSET(Normalized_FCF!G19, 0, $C$4))^(1/$C$4) - 1</f>
        <v>-0.10082836562948327</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20</v>
      </c>
      <c r="E18" s="356" t="s">
        <v>331</v>
      </c>
      <c r="F18" s="357"/>
    </row>
    <row r="19" spans="2:6" x14ac:dyDescent="0.15">
      <c r="E19" s="357"/>
      <c r="F19" s="357"/>
    </row>
    <row r="20" spans="2:6" x14ac:dyDescent="0.15">
      <c r="B20" s="159" t="s">
        <v>304</v>
      </c>
      <c r="E20" s="357"/>
      <c r="F20" s="357"/>
    </row>
    <row r="21" spans="2:6" x14ac:dyDescent="0.15">
      <c r="B21" s="100" t="s">
        <v>278</v>
      </c>
      <c r="C21" s="160">
        <f>Market_Price</f>
        <v>15.4</v>
      </c>
      <c r="D21" t="str">
        <f>Market_currency</f>
        <v>HKD</v>
      </c>
      <c r="E21" s="357"/>
      <c r="F21" s="357"/>
    </row>
    <row r="22" spans="2:6" x14ac:dyDescent="0.15">
      <c r="B22" s="100" t="s">
        <v>279</v>
      </c>
      <c r="C22" s="160">
        <f>IF(valuation_method="DCF",DCF!C12,DDM!C7)</f>
        <v>18.936026986759408</v>
      </c>
      <c r="D22" t="str">
        <f>Market_currency</f>
        <v>HKD</v>
      </c>
      <c r="E22" s="357"/>
      <c r="F22" s="357"/>
    </row>
    <row r="24" spans="2:6" x14ac:dyDescent="0.15">
      <c r="B24" s="159" t="s">
        <v>116</v>
      </c>
      <c r="E24" s="159" t="s">
        <v>150</v>
      </c>
      <c r="F24" s="159"/>
    </row>
    <row r="25" spans="2:6" x14ac:dyDescent="0.15">
      <c r="B25" s="152" t="s">
        <v>134</v>
      </c>
      <c r="C25" s="166">
        <f>C18</f>
        <v>20</v>
      </c>
      <c r="D25" s="163"/>
      <c r="E25" s="355"/>
      <c r="F25" s="355"/>
    </row>
    <row r="26" spans="2:6" ht="14" x14ac:dyDescent="0.15">
      <c r="B26" s="118" t="s">
        <v>135</v>
      </c>
      <c r="C26" s="164">
        <v>0.05</v>
      </c>
      <c r="D26" s="164"/>
      <c r="E26" s="355"/>
      <c r="F26" s="355"/>
    </row>
    <row r="27" spans="2:6" x14ac:dyDescent="0.15">
      <c r="B27" s="100" t="s">
        <v>114</v>
      </c>
      <c r="C27" s="160">
        <f>IF(valuation_method="DCF",DCF!E76,DDM!E71)</f>
        <v>24.769465512235886</v>
      </c>
      <c r="D27" s="160" t="str">
        <f>Market_currency</f>
        <v>HKD</v>
      </c>
      <c r="E27" s="355"/>
      <c r="F27" s="355"/>
    </row>
    <row r="28" spans="2:6" x14ac:dyDescent="0.15">
      <c r="B28" s="100" t="s">
        <v>148</v>
      </c>
      <c r="C28" s="165">
        <v>0.55000000000000004</v>
      </c>
      <c r="D28" s="165"/>
      <c r="E28" s="355"/>
      <c r="F28" s="355"/>
    </row>
    <row r="30" spans="2:6" x14ac:dyDescent="0.15">
      <c r="B30" s="159" t="s">
        <v>117</v>
      </c>
      <c r="E30" s="159" t="s">
        <v>150</v>
      </c>
      <c r="F30" s="159"/>
    </row>
    <row r="31" spans="2:6" x14ac:dyDescent="0.15">
      <c r="B31" s="152" t="s">
        <v>134</v>
      </c>
      <c r="C31" s="166">
        <f>C18</f>
        <v>20</v>
      </c>
      <c r="D31" s="163"/>
      <c r="E31" s="355"/>
      <c r="F31" s="355"/>
    </row>
    <row r="32" spans="2:6" ht="14" x14ac:dyDescent="0.15">
      <c r="B32" s="118" t="s">
        <v>135</v>
      </c>
      <c r="C32" s="164">
        <v>0.02</v>
      </c>
      <c r="D32" s="164"/>
      <c r="E32" s="355"/>
      <c r="F32" s="355"/>
    </row>
    <row r="33" spans="2:6" x14ac:dyDescent="0.15">
      <c r="B33" s="100" t="s">
        <v>114</v>
      </c>
      <c r="C33" s="160">
        <f>IF(valuation_method="DCF",DCF!E77,DDM!E72)</f>
        <v>20.897687794984172</v>
      </c>
      <c r="D33" t="str">
        <f>Market_currency</f>
        <v>HKD</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20</v>
      </c>
      <c r="D37" s="163"/>
      <c r="E37" s="355"/>
      <c r="F37" s="355"/>
    </row>
    <row r="38" spans="2:6" ht="14" x14ac:dyDescent="0.15">
      <c r="B38" s="118" t="s">
        <v>135</v>
      </c>
      <c r="C38" s="164">
        <v>0.06</v>
      </c>
      <c r="D38" s="164"/>
      <c r="E38" s="355"/>
      <c r="F38" s="355"/>
    </row>
    <row r="39" spans="2:6" x14ac:dyDescent="0.15">
      <c r="B39" s="100" t="s">
        <v>114</v>
      </c>
      <c r="C39" s="160">
        <f>IF(valuation_method="DCF",DCF!E75,DDM!E70)</f>
        <v>26.377103035952203</v>
      </c>
      <c r="D39" t="str">
        <f>Market_currency</f>
        <v>HKD</v>
      </c>
      <c r="E39" s="355"/>
      <c r="F39" s="355"/>
    </row>
    <row r="40" spans="2:6" x14ac:dyDescent="0.15">
      <c r="B40" s="100" t="s">
        <v>148</v>
      </c>
      <c r="C40" s="167">
        <f>1-C28-C34</f>
        <v>0.24999999999999994</v>
      </c>
      <c r="D40" s="165"/>
      <c r="E40" s="355"/>
      <c r="F40" s="355"/>
    </row>
    <row r="42" spans="2:6" x14ac:dyDescent="0.15">
      <c r="B42" s="100" t="s">
        <v>121</v>
      </c>
      <c r="C42" s="154">
        <f>C27*C28+C33*C34+C39*C40</f>
        <v>24.397019349714618</v>
      </c>
      <c r="D42" t="str">
        <f>Market_currency</f>
        <v>HKD</v>
      </c>
    </row>
    <row r="44" spans="2:6" ht="16" x14ac:dyDescent="0.25">
      <c r="B44" s="36" t="s">
        <v>162</v>
      </c>
      <c r="C44" s="37"/>
      <c r="D44" s="37"/>
      <c r="E44" s="37"/>
      <c r="F44" s="37"/>
    </row>
    <row r="45" spans="2:6" x14ac:dyDescent="0.15">
      <c r="B45" s="109" t="s">
        <v>152</v>
      </c>
    </row>
    <row r="46" spans="2:6" x14ac:dyDescent="0.15">
      <c r="B46" s="152" t="s">
        <v>134</v>
      </c>
      <c r="C46" s="150">
        <v>30</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30</v>
      </c>
      <c r="D49" s="163"/>
      <c r="E49" s="355"/>
      <c r="F49" s="355"/>
    </row>
    <row r="50" spans="2:6" ht="14" x14ac:dyDescent="0.15">
      <c r="B50" s="118" t="s">
        <v>135</v>
      </c>
      <c r="C50" s="164">
        <v>0</v>
      </c>
      <c r="D50" s="164"/>
      <c r="E50" s="355"/>
      <c r="F50" s="355"/>
    </row>
    <row r="51" spans="2:6" x14ac:dyDescent="0.15">
      <c r="B51" s="100" t="s">
        <v>114</v>
      </c>
      <c r="C51" s="160">
        <f>IF(valuation_method="DCF",DCF!E78,DDM!E73)</f>
        <v>18.936026986759416</v>
      </c>
      <c r="D51" t="str">
        <f>Market_currency</f>
        <v>HKD</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30</v>
      </c>
      <c r="D55" s="163"/>
      <c r="E55" s="355"/>
      <c r="F55" s="355"/>
    </row>
    <row r="56" spans="2:6" ht="14" x14ac:dyDescent="0.15">
      <c r="B56" s="118" t="s">
        <v>135</v>
      </c>
      <c r="C56" s="164">
        <v>0.1</v>
      </c>
      <c r="D56" s="164"/>
      <c r="E56" s="355"/>
      <c r="F56" s="355"/>
    </row>
    <row r="57" spans="2:6" x14ac:dyDescent="0.15">
      <c r="B57" s="100" t="s">
        <v>114</v>
      </c>
      <c r="C57" s="160">
        <f>IF(valuation_method="DCF",DCF!E74,DDM!E69)</f>
        <v>51.561515678560063</v>
      </c>
      <c r="D57" t="str">
        <f>Market_currency</f>
        <v>HKD</v>
      </c>
      <c r="E57" s="355"/>
      <c r="F57" s="355"/>
    </row>
    <row r="58" spans="2:6" x14ac:dyDescent="0.15">
      <c r="B58" s="100" t="s">
        <v>148</v>
      </c>
      <c r="C58" s="165">
        <v>0.05</v>
      </c>
      <c r="D58" s="165"/>
      <c r="E58" s="355"/>
      <c r="F58" s="355"/>
    </row>
    <row r="60" spans="2:6" x14ac:dyDescent="0.15">
      <c r="B60" s="100" t="s">
        <v>121</v>
      </c>
      <c r="C60" s="154">
        <f>C51*C52+C57*C58+C42*(1-C52-C58)</f>
        <v>25.482194548009129</v>
      </c>
      <c r="D60" t="str">
        <f>Market_currency</f>
        <v>HKD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20</v>
      </c>
      <c r="D64" s="150"/>
      <c r="E64" s="251" t="s">
        <v>396</v>
      </c>
    </row>
    <row r="65" spans="2:6" ht="14" x14ac:dyDescent="0.15">
      <c r="B65" s="118" t="s">
        <v>135</v>
      </c>
      <c r="C65" s="151">
        <v>5.4247061515052201E-2</v>
      </c>
      <c r="D65" s="151"/>
      <c r="E65" s="251" t="s">
        <v>313</v>
      </c>
    </row>
    <row r="66" spans="2:6" x14ac:dyDescent="0.15">
      <c r="B66" s="100" t="s">
        <v>103</v>
      </c>
      <c r="C66" s="160">
        <f>IF(valuation_method="DCF",DCF!C18,DDM!C13)</f>
        <v>25.430019143488664</v>
      </c>
      <c r="D66" s="160" t="str">
        <f>Market_currency</f>
        <v>HKD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0.21026905897370715</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0.53760112138740068</v>
      </c>
      <c r="D77" t="str">
        <f>Market_currency</f>
        <v>HKD</v>
      </c>
    </row>
    <row r="79" spans="2:6" x14ac:dyDescent="0.15">
      <c r="B79" s="109" t="s">
        <v>302</v>
      </c>
    </row>
    <row r="80" spans="2:6" x14ac:dyDescent="0.15">
      <c r="B80" s="148" t="s">
        <v>300</v>
      </c>
      <c r="C80" s="167">
        <f>Thesis!F29</f>
        <v>0.3674</v>
      </c>
    </row>
    <row r="81" spans="2:8" x14ac:dyDescent="0.15">
      <c r="B81" s="100" t="s">
        <v>122</v>
      </c>
      <c r="C81" s="116">
        <f>PV(C80, C76, -C77, 0)</f>
        <v>0.89094446852026854</v>
      </c>
      <c r="D81" s="116"/>
      <c r="E81" s="100"/>
      <c r="F81" s="100"/>
    </row>
    <row r="82" spans="2:8" x14ac:dyDescent="0.15">
      <c r="B82" s="100" t="s">
        <v>123</v>
      </c>
      <c r="C82" s="116">
        <f>C60/(1+C80)^C76</f>
        <v>9.9666704941838606</v>
      </c>
      <c r="D82" s="116"/>
    </row>
    <row r="83" spans="2:8" x14ac:dyDescent="0.15">
      <c r="B83" s="110" t="s">
        <v>102</v>
      </c>
      <c r="C83" s="111">
        <f>C81+C82</f>
        <v>10.85761496270413</v>
      </c>
      <c r="D83" t="str">
        <f>Market_currency</f>
        <v>HKD</v>
      </c>
      <c r="E83" s="146" t="s">
        <v>127</v>
      </c>
      <c r="F83" s="291">
        <f>(1-C83/C60)</f>
        <v>0.57391366186110482</v>
      </c>
    </row>
    <row r="84" spans="2:8" x14ac:dyDescent="0.15">
      <c r="E84" s="120"/>
    </row>
    <row r="85" spans="2:8" x14ac:dyDescent="0.15">
      <c r="B85" s="109" t="s">
        <v>303</v>
      </c>
    </row>
    <row r="86" spans="2:8" x14ac:dyDescent="0.15">
      <c r="B86" s="148" t="s">
        <v>301</v>
      </c>
      <c r="C86" s="116">
        <f>Market_Price</f>
        <v>15.4</v>
      </c>
      <c r="D86" t="str">
        <f>Market_currency</f>
        <v>HKD</v>
      </c>
    </row>
    <row r="87" spans="2:8" x14ac:dyDescent="0.15">
      <c r="B87" s="100" t="s">
        <v>299</v>
      </c>
      <c r="C87" s="237">
        <f ca="1">IRR(OFFSET($I$3, 0, 0, $C$76 + 1, 1))</f>
        <v>0.21265890903243356</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1.1022977822034401</v>
      </c>
      <c r="D91" s="116"/>
      <c r="E91" s="100"/>
      <c r="F91" s="100"/>
    </row>
    <row r="92" spans="2:8" x14ac:dyDescent="0.15">
      <c r="B92" s="100" t="s">
        <v>123</v>
      </c>
      <c r="C92" s="116">
        <f>C60/(1+C90)^C76</f>
        <v>14.123324408089058</v>
      </c>
      <c r="D92" s="116"/>
    </row>
    <row r="93" spans="2:8" x14ac:dyDescent="0.15">
      <c r="B93" s="110" t="s">
        <v>102</v>
      </c>
      <c r="C93" s="111">
        <f>C91+C92</f>
        <v>15.225622190292498</v>
      </c>
      <c r="D93" t="str">
        <f>Market_currency</f>
        <v>HKD</v>
      </c>
      <c r="E93" s="146" t="s">
        <v>127</v>
      </c>
      <c r="F93" s="291">
        <f>(1-C93/C60)</f>
        <v>0.40249957037228401</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1.3980455539519654</v>
      </c>
      <c r="D97" s="116"/>
      <c r="G97" s="2"/>
      <c r="H97" s="281"/>
    </row>
    <row r="98" spans="2:8" x14ac:dyDescent="0.15">
      <c r="B98" s="100" t="s">
        <v>123</v>
      </c>
      <c r="C98" s="116">
        <f>C60/(1+C96)^C76</f>
        <v>20.51216183571993</v>
      </c>
      <c r="D98" s="116"/>
      <c r="G98" s="2"/>
      <c r="H98" s="281"/>
    </row>
    <row r="99" spans="2:8" x14ac:dyDescent="0.15">
      <c r="B99" s="110" t="s">
        <v>399</v>
      </c>
      <c r="C99" s="111">
        <f>C97+C98</f>
        <v>21.910207389671896</v>
      </c>
      <c r="D99" t="s">
        <v>397</v>
      </c>
      <c r="E99" s="146" t="s">
        <v>127</v>
      </c>
      <c r="F99" s="291">
        <f>(1-C99/C60)</f>
        <v>0.14017580595766643</v>
      </c>
    </row>
    <row r="100" spans="2:8" x14ac:dyDescent="0.15">
      <c r="B100" s="100"/>
    </row>
    <row r="101" spans="2:8" x14ac:dyDescent="0.15">
      <c r="B101" s="109" t="s">
        <v>423</v>
      </c>
    </row>
    <row r="102" spans="2:8" x14ac:dyDescent="0.15">
      <c r="B102" s="148" t="s">
        <v>422</v>
      </c>
      <c r="C102" s="134">
        <f>Thesis!F32</f>
        <v>0.1174</v>
      </c>
    </row>
    <row r="103" spans="2:8" x14ac:dyDescent="0.15">
      <c r="B103" s="100" t="s">
        <v>122</v>
      </c>
      <c r="C103" s="116">
        <f>PV(C102, C76, -C77, 0)</f>
        <v>1.297018145967366</v>
      </c>
      <c r="D103" s="116"/>
    </row>
    <row r="104" spans="2:8" x14ac:dyDescent="0.15">
      <c r="B104" s="100" t="s">
        <v>123</v>
      </c>
      <c r="C104" s="116">
        <f>C60/(1+C102)^C76</f>
        <v>18.264627779110683</v>
      </c>
      <c r="D104" s="116"/>
    </row>
    <row r="105" spans="2:8" x14ac:dyDescent="0.15">
      <c r="B105" s="110" t="s">
        <v>399</v>
      </c>
      <c r="C105" s="111">
        <f>C103+C104</f>
        <v>19.56164592507805</v>
      </c>
      <c r="D105" t="s">
        <v>397</v>
      </c>
      <c r="E105" s="146" t="s">
        <v>127</v>
      </c>
      <c r="F105" s="291">
        <f>(1-C105/C66)</f>
        <v>0.23076558398553959</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