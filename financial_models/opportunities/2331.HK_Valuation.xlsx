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AC5D9F-ED7A-43C9-9F1D-8DC57B224622}" xr6:coauthVersionLast="47" xr6:coauthVersionMax="47" xr10:uidLastSave="{00000000-0000-0000-0000-000000000000}"/>
  <bookViews>
    <workbookView xWindow="735" yWindow="735" windowWidth="12690" windowHeight="7643"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7" i="9"/>
  <c r="C62" i="9"/>
  <c r="C63"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E71" i="8" l="1"/>
  <c r="C73" i="8"/>
  <c r="F74" i="8"/>
  <c r="C72" i="8"/>
  <c r="F72" i="8"/>
  <c r="D71" i="8"/>
  <c r="E74" i="8"/>
  <c r="F71" i="8"/>
  <c r="D73" i="8"/>
  <c r="B72" i="8"/>
  <c r="E73" i="8"/>
  <c r="F73" i="8"/>
  <c r="D72" i="8"/>
  <c r="B74" i="8"/>
  <c r="B71" i="8"/>
  <c r="E72" i="8"/>
  <c r="C74" i="8"/>
  <c r="C71" i="8"/>
  <c r="D74" i="8"/>
  <c r="B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<sst xmlns="http://schemas.openxmlformats.org/spreadsheetml/2006/main" count="766" uniqueCount="556">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</sst>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E5" s="441" t="s">
        <v>542</v>
      </c>
      <c r="F5" s="440" t="s">
        <v>500</v>
      </c>
    </row>
    <row r="6" spans="1:9">
      <c r="B6" s="2" t="s">
        <v>53</v>
      </c>
      <c r="C6" s="45" t="s">
        <v>552</v>
      </c>
      <c r="D6" s="45"/>
      <c r="E6" s="45"/>
    </row>
    <row r="7" spans="1:9">
      <c r="B7" s="1" t="s">
        <v>351</v>
      </c>
      <c r="C7" s="45" t="s">
        <v>308</v>
      </c>
      <c r="D7" s="45"/>
      <c r="E7" s="45"/>
    </row>
    <row r="8" spans="1:9">
      <c r="B8" s="4" t="s">
        <v>350</v>
      </c>
      <c r="C8" s="47">
        <v>17.28</v>
      </c>
      <c r="E8" s="32"/>
    </row>
    <row r="9" spans="1:9">
      <c r="B9" s="4" t="s">
        <v>346</v>
      </c>
      <c r="C9" s="48">
        <v>2584811005</v>
      </c>
    </row>
    <row r="10" spans="1:9">
      <c r="B10" s="4" t="s">
        <v>352</v>
      </c>
      <c r="C10" s="33">
        <f>Thesis!C8*Common_Shares/1000000</f>
        <v>44665.534166400001</v>
      </c>
      <c r="D10" s="1" t="s">
        <v>531</v>
      </c>
      <c r="E10" s="310">
        <f>Scenarios!F34</f>
        <v>0.15490105769033463</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553</v>
      </c>
      <c r="D15" s="4" t="s">
        <v>353</v>
      </c>
      <c r="E15" s="259" t="str">
        <f>IF(E17=C7,C7,E17&amp;"/"&amp;C7)</f>
        <v>CNY/HKD</v>
      </c>
    </row>
    <row r="16" spans="1:9">
      <c r="B16" s="1" t="s">
        <v>320</v>
      </c>
      <c r="C16" s="425" t="s">
        <v>553</v>
      </c>
      <c r="D16" s="4" t="s">
        <v>354</v>
      </c>
      <c r="E16" s="424">
        <v>1.0928174399999999</v>
      </c>
    </row>
    <row r="17" spans="1:6">
      <c r="B17" s="1" t="s">
        <v>535</v>
      </c>
      <c r="C17" s="423">
        <v>0</v>
      </c>
      <c r="D17" s="4" t="s">
        <v>274</v>
      </c>
      <c r="E17" s="227" t="s">
        <v>546</v>
      </c>
    </row>
    <row r="18" spans="1:6">
      <c r="B18" s="1" t="str">
        <f>"Expected Equity Value ("&amp;C7&amp;") :"</f>
        <v>Expected Equity Value (HKD) :</v>
      </c>
      <c r="C18" s="258">
        <f>C125</f>
        <v>24.751254081019567</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12.385317355602849</v>
      </c>
      <c r="D22" s="38" t="s">
        <v>408</v>
      </c>
      <c r="E22" s="79">
        <v>0.29465259038036606</v>
      </c>
    </row>
    <row r="23" spans="1:6">
      <c r="B23" s="1" t="s">
        <v>313</v>
      </c>
      <c r="C23" s="262">
        <f>E141</f>
        <v>15.422670053694841</v>
      </c>
      <c r="D23" s="38" t="s">
        <v>409</v>
      </c>
      <c r="E23" s="451">
        <v>0.20075184365903009</v>
      </c>
    </row>
    <row r="24" spans="1:6">
      <c r="B24" s="1" t="s">
        <v>315</v>
      </c>
      <c r="C24" s="262">
        <f>E144</f>
        <v>19.031776245476706</v>
      </c>
      <c r="D24" s="38" t="s">
        <v>410</v>
      </c>
      <c r="E24" s="451">
        <v>0.1174</v>
      </c>
    </row>
    <row r="25" spans="1:6">
      <c r="B25" s="1" t="s">
        <v>314</v>
      </c>
      <c r="C25" s="262">
        <f>E145</f>
        <v>21.461397560903798</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3094829.9447862767</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0</v>
      </c>
      <c r="D41" s="1" t="str">
        <f>Reporting_currency</f>
        <v>CNY</v>
      </c>
    </row>
    <row r="43" spans="2:6">
      <c r="B43" s="460" t="s">
        <v>205</v>
      </c>
      <c r="C43" s="460"/>
      <c r="D43" s="460"/>
      <c r="E43" s="460"/>
      <c r="F43" s="460"/>
    </row>
    <row r="44" spans="2:6">
      <c r="B44" s="44" t="s">
        <v>267</v>
      </c>
      <c r="C44" s="293">
        <f>Normalized_FCF!C46</f>
        <v>24450.830895365834</v>
      </c>
      <c r="D44" s="1" t="str">
        <f>Reporting_currency</f>
        <v>CNY</v>
      </c>
      <c r="E44" s="250"/>
      <c r="F44" s="250"/>
    </row>
    <row r="45" spans="2:6">
      <c r="B45" s="44" t="s">
        <v>268</v>
      </c>
      <c r="C45" s="293">
        <f>Normalized_FCF!C45</f>
        <v>-106638.78</v>
      </c>
      <c r="D45" s="1" t="str">
        <f>Reporting_currency</f>
        <v>CNY</v>
      </c>
      <c r="E45" s="250"/>
      <c r="F45" s="250"/>
    </row>
    <row r="46" spans="2:6">
      <c r="B46" s="44" t="s">
        <v>203</v>
      </c>
      <c r="C46" s="292">
        <f>Normalized_FCF!C10</f>
        <v>-82187.949104634172</v>
      </c>
      <c r="D46" s="1" t="str">
        <f>Reporting_currency</f>
        <v>CNY</v>
      </c>
    </row>
    <row r="48" spans="2:6">
      <c r="B48" s="1" t="s">
        <v>211</v>
      </c>
    </row>
    <row r="49" spans="2:6">
      <c r="B49" s="44" t="s">
        <v>223</v>
      </c>
      <c r="C49" s="292">
        <f>Normalized_FCF!C13</f>
        <v>0</v>
      </c>
      <c r="D49" s="1" t="str">
        <f>Reporting_currency</f>
        <v>CNY</v>
      </c>
    </row>
    <row r="51" spans="2:6">
      <c r="B51" s="460" t="s">
        <v>206</v>
      </c>
      <c r="C51" s="460"/>
      <c r="D51" s="460"/>
      <c r="E51" s="460"/>
      <c r="F51" s="460"/>
    </row>
    <row r="52" spans="2:6">
      <c r="B52" s="44" t="s">
        <v>204</v>
      </c>
      <c r="C52" s="292">
        <f>Normalized_FCF!C12</f>
        <v>-753160.49892041064</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2525684.7432015538</v>
      </c>
      <c r="D60" s="1" t="str">
        <f>Reporting_currency</f>
        <v>CNY</v>
      </c>
    </row>
    <row r="61" spans="2:6">
      <c r="B61" s="44" t="s">
        <v>213</v>
      </c>
      <c r="C61" s="292">
        <f>Normalized_FCF!C19</f>
        <v>2259481.4967612317</v>
      </c>
      <c r="D61" s="1" t="str">
        <f>Reporting_currency</f>
        <v>CNY</v>
      </c>
    </row>
    <row r="62" spans="2:6">
      <c r="B62" s="206" t="s">
        <v>302</v>
      </c>
      <c r="C62" s="89">
        <f>Normalized_FCF!C124</f>
        <v>5.5282016236927779E-2</v>
      </c>
      <c r="F62" s="263"/>
    </row>
    <row r="63" spans="2:6">
      <c r="B63" s="206" t="s">
        <v>332</v>
      </c>
      <c r="C63" s="89">
        <f>Normalized_FCF!C92</f>
        <v>3.0968203245907742E-2</v>
      </c>
      <c r="E63" s="44" t="s">
        <v>322</v>
      </c>
      <c r="F63" s="264">
        <f>Normalized_FCF!C90</f>
        <v>0.61218086633363611</v>
      </c>
    </row>
    <row r="65" spans="1:6">
      <c r="B65" s="192" t="s">
        <v>325</v>
      </c>
      <c r="C65" s="270" t="s">
        <v>327</v>
      </c>
      <c r="D65" s="270" t="s">
        <v>328</v>
      </c>
    </row>
    <row r="66" spans="1:6">
      <c r="B66" s="44" t="s">
        <v>326</v>
      </c>
      <c r="C66" s="89">
        <f>Normalized_FCF!C119</f>
        <v>0.11088652647669296</v>
      </c>
      <c r="D66" s="89">
        <f>Normalized_FCF!G119</f>
        <v>0.13332903953832279</v>
      </c>
    </row>
    <row r="67" spans="1:6">
      <c r="B67" s="232" t="str">
        <f>Normalized_FCF!B116</f>
        <v>Pre-tax Profit/Sales</v>
      </c>
      <c r="C67" s="269">
        <f>Normalized_FCF!C116</f>
        <v>0.11515137356238921</v>
      </c>
      <c r="D67" s="269">
        <f>Normalized_FCF!G116</f>
        <v>0.12632238946486932</v>
      </c>
    </row>
    <row r="68" spans="1:6">
      <c r="B68" s="232" t="str">
        <f>Normalized_FCF!B117</f>
        <v>Sales/Total Assets</v>
      </c>
      <c r="C68" s="271">
        <f>Normalized_FCF!C117</f>
        <v>0.71131521233544359</v>
      </c>
      <c r="D68" s="271">
        <f>Normalized_FCF!G117</f>
        <v>0.77964492924870721</v>
      </c>
    </row>
    <row r="69" spans="1:6">
      <c r="B69" s="232" t="str">
        <f>Normalized_FCF!B118</f>
        <v>Total Assets/Equity</v>
      </c>
      <c r="C69" s="271">
        <f>Normalized_FCF!C118</f>
        <v>1.3537783359692717</v>
      </c>
      <c r="D69" s="271">
        <f>Normalized_FCF!G118</f>
        <v>1.3537783359692717</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-1777313</v>
      </c>
      <c r="D78" s="1" t="str">
        <f>Reporting_currency</f>
        <v>CNY</v>
      </c>
    </row>
    <row r="79" spans="1:6">
      <c r="A79" s="191"/>
      <c r="B79" s="44" t="s">
        <v>234</v>
      </c>
      <c r="C79" s="203">
        <f>C78*scaling_factor*Exchange_Rate/Common_Shares</f>
        <v>-0.75141998350425621</v>
      </c>
      <c r="D79" s="1" t="str">
        <f>Market_currency</f>
        <v>HKD</v>
      </c>
    </row>
    <row r="80" spans="1:6">
      <c r="A80" s="191"/>
      <c r="B80" s="232" t="s">
        <v>309</v>
      </c>
      <c r="C80" s="344">
        <f>IF(BS!G31/BS!G27&gt;300%,"nm",BS!G31/BS!G27)</f>
        <v>6.5417684980282262E-2</v>
      </c>
    </row>
    <row r="81" spans="1:6">
      <c r="A81" s="191"/>
      <c r="B81" s="232" t="s">
        <v>311</v>
      </c>
      <c r="C81" s="345">
        <f>IF(BS!C50&gt;30,"nm",BS!C50)</f>
        <v>0.5742845428370501</v>
      </c>
    </row>
    <row r="82" spans="1:6">
      <c r="A82" s="191"/>
    </row>
    <row r="83" spans="1:6">
      <c r="A83" s="191"/>
      <c r="B83" s="1" t="s">
        <v>469</v>
      </c>
    </row>
    <row r="84" spans="1:6">
      <c r="A84" s="191"/>
      <c r="B84" s="1" t="s">
        <v>224</v>
      </c>
      <c r="C84" s="292">
        <f>DCF!F5</f>
        <v>15115717.517439028</v>
      </c>
      <c r="D84" s="1" t="str">
        <f>Reporting_currency</f>
        <v>CNY</v>
      </c>
    </row>
    <row r="85" spans="1:6">
      <c r="A85" s="191"/>
      <c r="B85" s="232" t="s">
        <v>222</v>
      </c>
      <c r="C85" s="298">
        <f>BS!C66</f>
        <v>19190856</v>
      </c>
      <c r="D85" s="346" t="str">
        <f>Reporting_currency</f>
        <v>CNY</v>
      </c>
    </row>
    <row r="86" spans="1:6">
      <c r="A86" s="191"/>
      <c r="B86" s="44" t="s">
        <v>235</v>
      </c>
      <c r="C86" s="203">
        <f>C84*scaling_factor*Exchange_Rate/Common_Shares</f>
        <v>6.3906876321779169</v>
      </c>
      <c r="D86" s="1" t="str">
        <f>Market_currency</f>
        <v>HKD</v>
      </c>
    </row>
    <row r="87" spans="1:6">
      <c r="A87" s="191"/>
    </row>
    <row r="88" spans="1:6">
      <c r="A88" s="191"/>
      <c r="B88" s="1" t="s">
        <v>216</v>
      </c>
    </row>
    <row r="89" spans="1:6">
      <c r="A89" s="191"/>
      <c r="B89" s="1" t="s">
        <v>217</v>
      </c>
      <c r="C89" s="292">
        <f>DCF!F6</f>
        <v>1668728.8</v>
      </c>
      <c r="D89" s="1" t="str">
        <f>Reporting_currency</f>
        <v>CNY</v>
      </c>
    </row>
    <row r="90" spans="1:6">
      <c r="A90" s="191"/>
      <c r="B90" s="44" t="s">
        <v>236</v>
      </c>
      <c r="C90" s="203">
        <f>C89*scaling_factor*Exchange_Rate/Common_Shares</f>
        <v>0.70551229151481876</v>
      </c>
      <c r="D90" s="1" t="str">
        <f>Market_currency</f>
        <v>HKD</v>
      </c>
    </row>
    <row r="91" spans="1:6">
      <c r="A91" s="191"/>
    </row>
    <row r="92" spans="1:6">
      <c r="A92" s="191"/>
      <c r="B92" s="44" t="s">
        <v>472</v>
      </c>
      <c r="C92" s="219">
        <f>DCF!F8</f>
        <v>6.3447799401884808</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5.4510188852925641</v>
      </c>
      <c r="D111" s="1" t="str">
        <f>Market_currency</f>
        <v>HKD</v>
      </c>
    </row>
    <row r="112" spans="2:6">
      <c r="B112" s="44" t="s">
        <v>323</v>
      </c>
      <c r="C112" s="219">
        <f>DCF!C11</f>
        <v>19.520962568796921</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0.1</v>
      </c>
      <c r="D118" s="209">
        <f>DCF!D82</f>
        <v>10</v>
      </c>
      <c r="E118" s="210" t="str">
        <f>ROUND(DCF!E82,2)&amp;" "&amp;Market_currency</f>
        <v>34.73 HKD</v>
      </c>
      <c r="F118" s="211">
        <f>DCF!F82</f>
        <v>0.05</v>
      </c>
    </row>
    <row r="119" spans="2:6">
      <c r="B119" s="198" t="str">
        <f>DCF!B83</f>
        <v>Optimistic</v>
      </c>
      <c r="C119" s="199">
        <f>DCF!C83</f>
        <v>0.06</v>
      </c>
      <c r="D119" s="200">
        <f>DCF!D83</f>
        <v>10</v>
      </c>
      <c r="E119" s="210" t="str">
        <f>ROUND(DCF!E83,2)&amp;" "&amp;Market_currency</f>
        <v>27.23 HKD</v>
      </c>
      <c r="F119" s="201">
        <f>DCF!F83</f>
        <v>0.22499999999999992</v>
      </c>
    </row>
    <row r="120" spans="2:6">
      <c r="B120" s="198" t="str">
        <f>DCF!B84</f>
        <v>Base</v>
      </c>
      <c r="C120" s="199">
        <f>DCF!C84</f>
        <v>0.04</v>
      </c>
      <c r="D120" s="200">
        <f>DCF!D84</f>
        <v>10</v>
      </c>
      <c r="E120" s="210" t="str">
        <f>ROUND(DCF!E84,2)&amp;" "&amp;Market_currency</f>
        <v>24.25 HKD</v>
      </c>
      <c r="F120" s="201">
        <f>DCF!F84</f>
        <v>0.495</v>
      </c>
    </row>
    <row r="121" spans="2:6">
      <c r="B121" s="198" t="str">
        <f>DCF!B85</f>
        <v>Pessimistic</v>
      </c>
      <c r="C121" s="199">
        <f>DCF!C85</f>
        <v>0.02</v>
      </c>
      <c r="D121" s="200">
        <f>DCF!D85</f>
        <v>10</v>
      </c>
      <c r="E121" s="210" t="str">
        <f>ROUND(DCF!E85,2)&amp;" "&amp;Market_currency</f>
        <v>21.7 HKD</v>
      </c>
      <c r="F121" s="201">
        <f>DCF!F85</f>
        <v>0.18</v>
      </c>
    </row>
    <row r="122" spans="2:6">
      <c r="B122" s="198" t="str">
        <f>DCF!B86</f>
        <v>Devil's advocate</v>
      </c>
      <c r="C122" s="199">
        <f>DCF!C86</f>
        <v>0</v>
      </c>
      <c r="D122" s="200">
        <f>DCF!D86</f>
        <v>10</v>
      </c>
      <c r="E122" s="210" t="str">
        <f>ROUND(DCF!E86,2)&amp;" "&amp;Market_currency</f>
        <v>19.52 HKD</v>
      </c>
      <c r="F122" s="201">
        <f>DCF!F86</f>
        <v>0.05</v>
      </c>
    </row>
    <row r="124" spans="2:6">
      <c r="B124" s="460" t="s">
        <v>357</v>
      </c>
      <c r="C124" s="460"/>
      <c r="D124" s="460"/>
      <c r="E124" s="460"/>
      <c r="F124" s="460"/>
    </row>
    <row r="125" spans="2:6">
      <c r="B125" s="193" t="s">
        <v>218</v>
      </c>
      <c r="C125" s="197">
        <f>Scenarios!C36</f>
        <v>24.751254081019567</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0.53513055208928584</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0.97920948416525799</v>
      </c>
      <c r="D140" s="340">
        <f>Scenarios!D62</f>
        <v>11.406107871437591</v>
      </c>
      <c r="E140" s="341">
        <f>Scenarios!E62</f>
        <v>12.385317355602849</v>
      </c>
      <c r="F140" s="342">
        <f>E22</f>
        <v>0.29465259038036606</v>
      </c>
    </row>
    <row r="141" spans="1:6">
      <c r="B141" s="343" t="s">
        <v>313</v>
      </c>
      <c r="C141" s="340">
        <f>Scenarios!C63</f>
        <v>1.1259167939001384</v>
      </c>
      <c r="D141" s="340">
        <f>Scenarios!D63</f>
        <v>14.296753259794702</v>
      </c>
      <c r="E141" s="341">
        <f>Scenarios!E63</f>
        <v>15.422670053694841</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1.2910576427558862</v>
      </c>
      <c r="D144" s="340">
        <f>Scenarios!D66</f>
        <v>17.740718602720822</v>
      </c>
      <c r="E144" s="341">
        <f>Scenarios!E66</f>
        <v>19.031776245476706</v>
      </c>
      <c r="F144" s="342">
        <f>E24</f>
        <v>0.1174</v>
      </c>
    </row>
    <row r="145" spans="1:6">
      <c r="B145" s="343" t="s">
        <v>314</v>
      </c>
      <c r="C145" s="340">
        <f>Scenarios!C67</f>
        <v>1.3979617975814698</v>
      </c>
      <c r="D145" s="340">
        <f>Scenarios!D67</f>
        <v>20.063435763322328</v>
      </c>
      <c r="E145" s="341">
        <f>Scenarios!E67</f>
        <v>21.461397560903798</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28675643</v>
      </c>
      <c r="D4" s="294">
        <v>27598491</v>
      </c>
      <c r="E4" s="294">
        <v>25803383</v>
      </c>
      <c r="F4" s="294">
        <v>22572281</v>
      </c>
      <c r="G4" s="294">
        <v>14456971</v>
      </c>
      <c r="H4" s="294">
        <v>13869630</v>
      </c>
      <c r="I4" s="294">
        <v>10510898</v>
      </c>
      <c r="J4" s="294">
        <v>8873912</v>
      </c>
      <c r="K4" s="294">
        <v>8015293</v>
      </c>
      <c r="L4" s="294">
        <v>7089495</v>
      </c>
      <c r="M4" s="294"/>
    </row>
    <row r="5" spans="2:13">
      <c r="B5" s="38" t="s">
        <v>40</v>
      </c>
      <c r="C5" s="294">
        <v>14519540</v>
      </c>
      <c r="D5" s="294">
        <v>14246436</v>
      </c>
      <c r="E5" s="294">
        <v>13318590</v>
      </c>
      <c r="F5" s="294">
        <v>10603183</v>
      </c>
      <c r="G5" s="294">
        <v>7362627</v>
      </c>
      <c r="H5" s="294">
        <v>7064168</v>
      </c>
      <c r="I5" s="294">
        <v>5458124</v>
      </c>
      <c r="J5" s="294">
        <v>4697429</v>
      </c>
      <c r="K5" s="294">
        <v>4310065</v>
      </c>
      <c r="L5" s="294">
        <v>3896836</v>
      </c>
      <c r="M5" s="294"/>
    </row>
    <row r="6" spans="2:13">
      <c r="B6" s="38" t="s">
        <v>51</v>
      </c>
      <c r="C6" s="294">
        <v>10626814</v>
      </c>
      <c r="D6" s="294">
        <v>10336273</v>
      </c>
      <c r="E6" s="294">
        <v>8427521</v>
      </c>
      <c r="F6" s="294">
        <v>7248752</v>
      </c>
      <c r="G6" s="294">
        <v>5229776</v>
      </c>
      <c r="H6" s="294">
        <v>5413334</v>
      </c>
      <c r="I6" s="294">
        <v>4388319</v>
      </c>
      <c r="J6" s="294">
        <v>3774441</v>
      </c>
      <c r="K6" s="294">
        <v>3393470</v>
      </c>
      <c r="L6" s="294">
        <v>3066510</v>
      </c>
      <c r="M6" s="294"/>
    </row>
    <row r="7" spans="2:13">
      <c r="B7" s="66" t="s">
        <v>58</v>
      </c>
      <c r="C7" s="295">
        <v>9198907</v>
      </c>
      <c r="D7" s="295">
        <v>9080121</v>
      </c>
      <c r="E7" s="295">
        <v>7314303</v>
      </c>
      <c r="F7" s="295">
        <v>6138077</v>
      </c>
      <c r="G7" s="295">
        <v>4424718</v>
      </c>
      <c r="H7" s="295">
        <v>4445070</v>
      </c>
      <c r="I7" s="295">
        <v>3708446</v>
      </c>
      <c r="J7" s="295">
        <v>3273375</v>
      </c>
      <c r="K7" s="295">
        <v>2969341</v>
      </c>
      <c r="L7" s="295">
        <v>2720361</v>
      </c>
      <c r="M7" s="295"/>
    </row>
    <row r="8" spans="2:13">
      <c r="B8" s="38" t="s">
        <v>46</v>
      </c>
      <c r="C8" s="294"/>
      <c r="D8" s="294"/>
      <c r="E8" s="294"/>
      <c r="F8" s="294"/>
      <c r="G8" s="294"/>
      <c r="H8" s="294"/>
      <c r="I8" s="294"/>
      <c r="J8" s="294"/>
      <c r="K8" s="294"/>
      <c r="L8" s="294"/>
      <c r="M8" s="294"/>
    </row>
    <row r="9" spans="2:13">
      <c r="B9" s="38" t="s">
        <v>134</v>
      </c>
      <c r="C9" s="294">
        <v>256299</v>
      </c>
      <c r="D9" s="294">
        <v>377972</v>
      </c>
      <c r="E9" s="294">
        <v>201155</v>
      </c>
      <c r="F9" s="294">
        <v>159222</v>
      </c>
      <c r="G9" s="294">
        <v>83487</v>
      </c>
      <c r="H9" s="294">
        <v>343469</v>
      </c>
      <c r="I9" s="294">
        <v>63633</v>
      </c>
      <c r="J9" s="294">
        <v>73806</v>
      </c>
      <c r="K9" s="294">
        <v>9716</v>
      </c>
      <c r="L9" s="294">
        <v>6948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254421</v>
      </c>
      <c r="D12" s="294">
        <v>181446</v>
      </c>
      <c r="E12" s="294">
        <v>120561</v>
      </c>
      <c r="F12" s="294">
        <v>112458</v>
      </c>
      <c r="G12" s="294"/>
      <c r="H12" s="294"/>
      <c r="I12" s="294"/>
      <c r="J12" s="294"/>
      <c r="K12" s="294"/>
      <c r="L12" s="294"/>
      <c r="M12" s="294"/>
    </row>
    <row r="13" spans="2:13">
      <c r="B13" s="38" t="s">
        <v>64</v>
      </c>
      <c r="C13" s="294">
        <v>429525</v>
      </c>
      <c r="D13" s="294">
        <v>500556</v>
      </c>
      <c r="E13" s="294">
        <v>447748</v>
      </c>
      <c r="F13" s="294">
        <v>145097</v>
      </c>
      <c r="G13" s="294"/>
      <c r="H13" s="294"/>
      <c r="I13" s="294"/>
      <c r="J13" s="294"/>
      <c r="K13" s="294"/>
      <c r="L13" s="294"/>
      <c r="M13" s="294"/>
    </row>
    <row r="14" spans="2:13">
      <c r="B14" s="38" t="s">
        <v>47</v>
      </c>
      <c r="C14" s="294">
        <v>1096691</v>
      </c>
      <c r="D14" s="294">
        <v>1069207</v>
      </c>
      <c r="E14" s="294">
        <v>1351329</v>
      </c>
      <c r="F14" s="294">
        <v>1317349</v>
      </c>
      <c r="G14" s="294">
        <v>549381</v>
      </c>
      <c r="H14" s="294">
        <v>357403</v>
      </c>
      <c r="I14" s="294">
        <v>135058</v>
      </c>
      <c r="J14" s="294">
        <v>22369</v>
      </c>
      <c r="K14" s="294">
        <v>32435</v>
      </c>
      <c r="L14" s="294">
        <v>73768</v>
      </c>
      <c r="M14" s="294"/>
    </row>
    <row r="15" spans="2:13">
      <c r="B15" s="41" t="s">
        <v>39</v>
      </c>
      <c r="C15" s="296">
        <v>3012918</v>
      </c>
      <c r="D15" s="296">
        <v>3186962</v>
      </c>
      <c r="E15" s="296">
        <v>4063771</v>
      </c>
      <c r="F15" s="296">
        <v>4010888</v>
      </c>
      <c r="G15" s="296">
        <v>1698484</v>
      </c>
      <c r="H15" s="296">
        <v>1499143</v>
      </c>
      <c r="I15" s="296">
        <v>715263</v>
      </c>
      <c r="J15" s="296">
        <v>515155</v>
      </c>
      <c r="K15" s="296">
        <v>700869</v>
      </c>
      <c r="L15" s="296">
        <v>61605</v>
      </c>
      <c r="M15" s="296"/>
    </row>
    <row r="16" spans="2:13">
      <c r="B16" s="27" t="s">
        <v>41</v>
      </c>
      <c r="C16" s="294">
        <v>0</v>
      </c>
      <c r="D16" s="294">
        <v>52</v>
      </c>
      <c r="E16" s="294">
        <v>-63</v>
      </c>
      <c r="F16" s="294">
        <v>7</v>
      </c>
      <c r="G16" s="294">
        <v>0</v>
      </c>
      <c r="H16" s="294">
        <v>4</v>
      </c>
      <c r="I16" s="294">
        <v>0</v>
      </c>
      <c r="J16" s="294">
        <v>0</v>
      </c>
      <c r="K16" s="294">
        <v>57615</v>
      </c>
      <c r="L16" s="294">
        <v>47296</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v>-1815.2739999999999</v>
      </c>
      <c r="D20" s="294">
        <v>-1815.2739999999999</v>
      </c>
      <c r="E20" s="294">
        <v>-1830.425</v>
      </c>
      <c r="F20" s="294">
        <v>-1027.7539999999999</v>
      </c>
      <c r="G20" s="294">
        <v>-745.63400000000001</v>
      </c>
      <c r="H20" s="294">
        <v>-649.02099999999996</v>
      </c>
      <c r="I20" s="294"/>
      <c r="J20" s="294"/>
      <c r="K20" s="294"/>
      <c r="L20" s="294"/>
      <c r="M20" s="294"/>
    </row>
    <row r="21" spans="2:13">
      <c r="B21" s="26" t="s">
        <v>49</v>
      </c>
      <c r="C21" s="294">
        <v>-31.047000000000001</v>
      </c>
      <c r="D21" s="294">
        <v>-31.047000000000001</v>
      </c>
      <c r="E21" s="294">
        <v>-1133.2159999999999</v>
      </c>
      <c r="F21" s="294">
        <v>826.13499999999999</v>
      </c>
      <c r="G21" s="294">
        <v>141.60300000000001</v>
      </c>
      <c r="H21" s="294"/>
      <c r="I21" s="294"/>
      <c r="J21" s="294"/>
      <c r="K21" s="294"/>
      <c r="L21" s="294"/>
      <c r="M21" s="294"/>
    </row>
    <row r="22" spans="2:13">
      <c r="B22" s="26" t="s">
        <v>286</v>
      </c>
      <c r="C22" s="294">
        <v>5267935</v>
      </c>
      <c r="D22" s="294">
        <v>4687936</v>
      </c>
      <c r="E22" s="294">
        <v>3913604</v>
      </c>
      <c r="F22" s="294">
        <v>6525335</v>
      </c>
      <c r="G22" s="294">
        <v>2763336</v>
      </c>
      <c r="H22" s="294">
        <v>3503469</v>
      </c>
      <c r="I22" s="294">
        <v>1671869</v>
      </c>
      <c r="J22" s="294">
        <v>1159143</v>
      </c>
      <c r="K22" s="294">
        <v>995476</v>
      </c>
      <c r="L22" s="294">
        <v>687043</v>
      </c>
      <c r="M22" s="294"/>
    </row>
    <row r="23" spans="2:13">
      <c r="B23" s="26" t="s">
        <v>288</v>
      </c>
      <c r="C23" s="294">
        <v>-839616</v>
      </c>
      <c r="D23" s="294">
        <v>-2449105</v>
      </c>
      <c r="E23" s="294">
        <v>-9481433</v>
      </c>
      <c r="F23" s="294">
        <v>-6538700</v>
      </c>
      <c r="G23" s="294">
        <v>-991555</v>
      </c>
      <c r="H23" s="294">
        <v>-573343</v>
      </c>
      <c r="I23" s="294">
        <v>-482937</v>
      </c>
      <c r="J23" s="294">
        <v>-342516</v>
      </c>
      <c r="K23" s="294">
        <v>-320306</v>
      </c>
      <c r="L23" s="294">
        <v>-362745</v>
      </c>
      <c r="M23" s="294"/>
    </row>
    <row r="24" spans="2:13">
      <c r="B24" s="26" t="s">
        <v>287</v>
      </c>
      <c r="C24" s="294">
        <v>-2324279</v>
      </c>
      <c r="D24" s="294">
        <v>-4216951</v>
      </c>
      <c r="E24" s="294">
        <v>-1887435</v>
      </c>
      <c r="F24" s="294">
        <v>7596150</v>
      </c>
      <c r="G24" s="294">
        <v>-513491</v>
      </c>
      <c r="H24" s="294">
        <v>-648624</v>
      </c>
      <c r="I24" s="294">
        <v>-65643</v>
      </c>
      <c r="J24" s="294">
        <v>-232493</v>
      </c>
      <c r="K24" s="294">
        <v>-509027</v>
      </c>
      <c r="L24" s="294">
        <v>636375</v>
      </c>
      <c r="M24" s="294"/>
    </row>
    <row r="25" spans="2:13">
      <c r="B25" s="23" t="str">
        <f>"Dividend per share ("&amp;Market_currency&amp;")"</f>
        <v>Dividend per share (HKD)</v>
      </c>
      <c r="C25" s="37">
        <f>(0.2073+0.3775)/Exchange_Rate</f>
        <v>0.53513055208928584</v>
      </c>
      <c r="D25" s="37"/>
      <c r="E25" s="37"/>
      <c r="F25" s="37"/>
      <c r="G25" s="37"/>
      <c r="H25" s="37"/>
      <c r="I25" s="37"/>
      <c r="J25" s="37"/>
      <c r="K25" s="37"/>
      <c r="L25" s="37"/>
      <c r="M25" s="37"/>
    </row>
    <row r="27" spans="2:13">
      <c r="B27" s="16" t="s">
        <v>26</v>
      </c>
      <c r="C27" s="94" t="s">
        <v>554</v>
      </c>
    </row>
    <row r="28" spans="2:13">
      <c r="B28" s="25" t="s">
        <v>22</v>
      </c>
      <c r="C28" s="277">
        <f>BS!C4</f>
        <v>1597813</v>
      </c>
      <c r="D28" s="294">
        <v>1205532</v>
      </c>
      <c r="E28" s="294">
        <v>1020346</v>
      </c>
      <c r="F28" s="294">
        <v>902857</v>
      </c>
      <c r="G28" s="294">
        <v>658796</v>
      </c>
      <c r="H28" s="294">
        <v>686606</v>
      </c>
      <c r="I28" s="294">
        <v>928895</v>
      </c>
      <c r="J28" s="294">
        <v>1138034</v>
      </c>
      <c r="K28" s="294">
        <v>1370254</v>
      </c>
      <c r="L28" s="294">
        <v>1439513</v>
      </c>
      <c r="M28" s="294"/>
    </row>
    <row r="29" spans="2:13">
      <c r="B29" s="25" t="s">
        <v>30</v>
      </c>
      <c r="C29" s="277">
        <f>BS!C6</f>
        <v>2428290</v>
      </c>
      <c r="D29" s="294">
        <v>2493206</v>
      </c>
      <c r="E29" s="294">
        <v>2428040</v>
      </c>
      <c r="F29" s="294">
        <v>1772803</v>
      </c>
      <c r="G29" s="294">
        <v>1345539</v>
      </c>
      <c r="H29" s="294">
        <v>1407257</v>
      </c>
      <c r="I29" s="294">
        <v>1239741</v>
      </c>
      <c r="J29" s="294">
        <v>1102538</v>
      </c>
      <c r="K29" s="294">
        <v>965422</v>
      </c>
      <c r="L29" s="294">
        <v>959652</v>
      </c>
      <c r="M29" s="294"/>
    </row>
    <row r="30" spans="2:13">
      <c r="B30" s="28" t="s">
        <v>38</v>
      </c>
      <c r="C30" s="278">
        <f>BS!C33+BS!C42</f>
        <v>9611695</v>
      </c>
      <c r="D30" s="296">
        <v>9801162</v>
      </c>
      <c r="E30" s="296">
        <v>9314591</v>
      </c>
      <c r="F30" s="296">
        <v>9170709</v>
      </c>
      <c r="G30" s="296">
        <v>5904448</v>
      </c>
      <c r="H30" s="296">
        <v>5423281</v>
      </c>
      <c r="I30" s="296">
        <v>2907715</v>
      </c>
      <c r="J30" s="296">
        <v>2247752</v>
      </c>
      <c r="K30" s="296">
        <v>2783345</v>
      </c>
      <c r="L30" s="296">
        <v>3486918</v>
      </c>
      <c r="M30" s="296"/>
    </row>
    <row r="31" spans="2:13">
      <c r="B31" s="28" t="s">
        <v>28</v>
      </c>
      <c r="C31" s="278">
        <f>BS!G27</f>
        <v>27168693</v>
      </c>
      <c r="D31" s="296">
        <v>24406641</v>
      </c>
      <c r="E31" s="296">
        <v>24331928</v>
      </c>
      <c r="F31" s="296">
        <v>21104107</v>
      </c>
      <c r="G31" s="296">
        <v>8689417</v>
      </c>
      <c r="H31" s="296">
        <v>7124193</v>
      </c>
      <c r="I31" s="296">
        <v>5819590</v>
      </c>
      <c r="J31" s="296">
        <v>5073597</v>
      </c>
      <c r="K31" s="296">
        <v>3997149</v>
      </c>
      <c r="L31" s="296">
        <v>3410540</v>
      </c>
      <c r="M31" s="296">
        <v>2649769</v>
      </c>
    </row>
    <row r="32" spans="2:13">
      <c r="B32" s="25" t="s">
        <v>143</v>
      </c>
      <c r="C32" s="277">
        <f>BS!G28</f>
        <v>0</v>
      </c>
      <c r="D32" s="294">
        <v>0</v>
      </c>
      <c r="E32" s="294">
        <v>2498</v>
      </c>
      <c r="F32" s="294">
        <v>2561</v>
      </c>
      <c r="G32" s="294">
        <v>2554</v>
      </c>
      <c r="H32" s="294">
        <v>2554</v>
      </c>
      <c r="I32" s="294">
        <v>2550</v>
      </c>
      <c r="J32" s="294">
        <v>2550</v>
      </c>
      <c r="K32" s="294">
        <v>2550</v>
      </c>
      <c r="L32" s="294">
        <v>230637</v>
      </c>
      <c r="M32" s="294">
        <v>413840</v>
      </c>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28675643</v>
      </c>
      <c r="D36" s="277">
        <f t="shared" si="1"/>
        <v>27598491</v>
      </c>
      <c r="E36" s="277">
        <f t="shared" si="1"/>
        <v>25803383</v>
      </c>
      <c r="F36" s="277">
        <f t="shared" si="1"/>
        <v>22572281</v>
      </c>
      <c r="G36" s="277">
        <f t="shared" si="1"/>
        <v>14456971</v>
      </c>
      <c r="H36" s="277">
        <f t="shared" si="1"/>
        <v>13869630</v>
      </c>
      <c r="I36" s="277">
        <f t="shared" si="1"/>
        <v>10510898</v>
      </c>
      <c r="J36" s="277">
        <f t="shared" si="1"/>
        <v>8873912</v>
      </c>
      <c r="K36" s="277">
        <f t="shared" si="1"/>
        <v>8015293</v>
      </c>
      <c r="L36" s="277">
        <f t="shared" si="1"/>
        <v>7089495</v>
      </c>
      <c r="M36" s="277" t="str">
        <f t="shared" si="1"/>
        <v/>
      </c>
    </row>
    <row r="37" spans="2:13">
      <c r="B37" s="38" t="s">
        <v>40</v>
      </c>
      <c r="C37" s="277">
        <f t="shared" ref="C37:M37" si="2">IF(C$4="","",-C5)</f>
        <v>-14519540</v>
      </c>
      <c r="D37" s="277">
        <f t="shared" si="2"/>
        <v>-14246436</v>
      </c>
      <c r="E37" s="277">
        <f t="shared" si="2"/>
        <v>-13318590</v>
      </c>
      <c r="F37" s="277">
        <f t="shared" si="2"/>
        <v>-10603183</v>
      </c>
      <c r="G37" s="277">
        <f t="shared" si="2"/>
        <v>-7362627</v>
      </c>
      <c r="H37" s="277">
        <f t="shared" si="2"/>
        <v>-7064168</v>
      </c>
      <c r="I37" s="277">
        <f t="shared" si="2"/>
        <v>-5458124</v>
      </c>
      <c r="J37" s="277">
        <f t="shared" si="2"/>
        <v>-4697429</v>
      </c>
      <c r="K37" s="277">
        <f t="shared" si="2"/>
        <v>-4310065</v>
      </c>
      <c r="L37" s="277">
        <f t="shared" si="2"/>
        <v>-3896836</v>
      </c>
      <c r="M37" s="277" t="str">
        <f t="shared" si="2"/>
        <v/>
      </c>
    </row>
    <row r="38" spans="2:13">
      <c r="B38" s="30" t="s">
        <v>55</v>
      </c>
      <c r="C38" s="274">
        <f>IF(C36="","",C36+C37)</f>
        <v>14156103</v>
      </c>
      <c r="D38" s="274">
        <f t="shared" ref="D38" si="3">IF(D36="","",D36+D37)</f>
        <v>13352055</v>
      </c>
      <c r="E38" s="274">
        <f t="shared" ref="E38" si="4">IF(E36="","",E36+E37)</f>
        <v>12484793</v>
      </c>
      <c r="F38" s="274">
        <f t="shared" ref="F38" si="5">IF(F36="","",F36+F37)</f>
        <v>11969098</v>
      </c>
      <c r="G38" s="274">
        <f t="shared" ref="G38" si="6">IF(G36="","",G36+G37)</f>
        <v>7094344</v>
      </c>
      <c r="H38" s="274">
        <f t="shared" ref="H38" si="7">IF(H36="","",H36+H37)</f>
        <v>6805462</v>
      </c>
      <c r="I38" s="274">
        <f t="shared" ref="I38" si="8">IF(I36="","",I36+I37)</f>
        <v>5052774</v>
      </c>
      <c r="J38" s="274">
        <f t="shared" ref="J38" si="9">IF(J36="","",J36+J37)</f>
        <v>4176483</v>
      </c>
      <c r="K38" s="274">
        <f t="shared" ref="K38" si="10">IF(K36="","",K36+K37)</f>
        <v>3705228</v>
      </c>
      <c r="L38" s="274">
        <f t="shared" ref="L38" si="11">IF(L36="","",L36+L37)</f>
        <v>3192659</v>
      </c>
      <c r="M38" s="274" t="str">
        <f t="shared" ref="M38" si="12">IF(M36="","",M36+M37)</f>
        <v/>
      </c>
    </row>
    <row r="39" spans="2:13">
      <c r="B39" s="38" t="s">
        <v>51</v>
      </c>
      <c r="C39" s="277">
        <f t="shared" ref="C39:M39" si="13">IF(C$4="","",-C6)</f>
        <v>-10626814</v>
      </c>
      <c r="D39" s="277">
        <f t="shared" si="13"/>
        <v>-10336273</v>
      </c>
      <c r="E39" s="277">
        <f t="shared" si="13"/>
        <v>-8427521</v>
      </c>
      <c r="F39" s="277">
        <f t="shared" si="13"/>
        <v>-7248752</v>
      </c>
      <c r="G39" s="277">
        <f t="shared" si="13"/>
        <v>-5229776</v>
      </c>
      <c r="H39" s="277">
        <f t="shared" si="13"/>
        <v>-5413334</v>
      </c>
      <c r="I39" s="277">
        <f t="shared" si="13"/>
        <v>-4388319</v>
      </c>
      <c r="J39" s="277">
        <f t="shared" si="13"/>
        <v>-3774441</v>
      </c>
      <c r="K39" s="277">
        <f t="shared" si="13"/>
        <v>-3393470</v>
      </c>
      <c r="L39" s="277">
        <f t="shared" si="13"/>
        <v>-3066510</v>
      </c>
      <c r="M39" s="277" t="str">
        <f t="shared" si="13"/>
        <v/>
      </c>
    </row>
    <row r="40" spans="2:13">
      <c r="B40" s="66" t="s">
        <v>58</v>
      </c>
      <c r="C40" s="289">
        <f t="shared" ref="C40:M40" si="14">IF(C$4="","",-C7)</f>
        <v>-9198907</v>
      </c>
      <c r="D40" s="289">
        <f t="shared" si="14"/>
        <v>-9080121</v>
      </c>
      <c r="E40" s="289">
        <f t="shared" si="14"/>
        <v>-7314303</v>
      </c>
      <c r="F40" s="289">
        <f t="shared" si="14"/>
        <v>-6138077</v>
      </c>
      <c r="G40" s="289">
        <f t="shared" si="14"/>
        <v>-4424718</v>
      </c>
      <c r="H40" s="289">
        <f t="shared" si="14"/>
        <v>-4445070</v>
      </c>
      <c r="I40" s="289">
        <f t="shared" si="14"/>
        <v>-3708446</v>
      </c>
      <c r="J40" s="289">
        <f t="shared" si="14"/>
        <v>-3273375</v>
      </c>
      <c r="K40" s="289">
        <f t="shared" si="14"/>
        <v>-2969341</v>
      </c>
      <c r="L40" s="289">
        <f t="shared" si="14"/>
        <v>-2720361</v>
      </c>
      <c r="M40" s="289" t="str">
        <f t="shared" si="14"/>
        <v/>
      </c>
    </row>
    <row r="41" spans="2:13">
      <c r="B41" s="66" t="s">
        <v>61</v>
      </c>
      <c r="C41" s="289">
        <f>IF(C$4="","",C39-C40)</f>
        <v>-1427907</v>
      </c>
      <c r="D41" s="289">
        <f t="shared" ref="D41:M41" si="15">IF(D$4="","",D39-D40)</f>
        <v>-1256152</v>
      </c>
      <c r="E41" s="289">
        <f t="shared" si="15"/>
        <v>-1113218</v>
      </c>
      <c r="F41" s="289">
        <f t="shared" si="15"/>
        <v>-1110675</v>
      </c>
      <c r="G41" s="289">
        <f t="shared" si="15"/>
        <v>-805058</v>
      </c>
      <c r="H41" s="289">
        <f t="shared" si="15"/>
        <v>-968264</v>
      </c>
      <c r="I41" s="289">
        <f t="shared" si="15"/>
        <v>-679873</v>
      </c>
      <c r="J41" s="289">
        <f t="shared" si="15"/>
        <v>-501066</v>
      </c>
      <c r="K41" s="289">
        <f t="shared" si="15"/>
        <v>-424129</v>
      </c>
      <c r="L41" s="289">
        <f t="shared" si="15"/>
        <v>-346149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3529289</v>
      </c>
      <c r="D43" s="278">
        <f t="shared" ref="D43:M43" si="17">IF(D$4="","",D38+D39+D42)</f>
        <v>3015782</v>
      </c>
      <c r="E43" s="278">
        <f t="shared" si="17"/>
        <v>4057272</v>
      </c>
      <c r="F43" s="278">
        <f t="shared" si="17"/>
        <v>4720346</v>
      </c>
      <c r="G43" s="278">
        <f t="shared" si="17"/>
        <v>1864568</v>
      </c>
      <c r="H43" s="278">
        <f t="shared" si="17"/>
        <v>1392128</v>
      </c>
      <c r="I43" s="278">
        <f t="shared" si="17"/>
        <v>664455</v>
      </c>
      <c r="J43" s="278">
        <f t="shared" si="17"/>
        <v>402042</v>
      </c>
      <c r="K43" s="278">
        <f t="shared" si="17"/>
        <v>311758</v>
      </c>
      <c r="L43" s="278">
        <f t="shared" si="17"/>
        <v>126149</v>
      </c>
      <c r="M43" s="278" t="str">
        <f t="shared" si="17"/>
        <v/>
      </c>
    </row>
    <row r="44" spans="2:13">
      <c r="B44" s="41" t="s">
        <v>139</v>
      </c>
      <c r="C44" s="297">
        <f t="shared" ref="C44:M44" si="18">IF(C$4="","",C47-C46-C45-C43)</f>
        <v>405216</v>
      </c>
      <c r="D44" s="297">
        <f t="shared" si="18"/>
        <v>921277</v>
      </c>
      <c r="E44" s="297">
        <f t="shared" si="18"/>
        <v>1030641</v>
      </c>
      <c r="F44" s="297">
        <f t="shared" si="18"/>
        <v>575252</v>
      </c>
      <c r="G44" s="297">
        <f t="shared" si="18"/>
        <v>383297</v>
      </c>
      <c r="H44" s="297">
        <f t="shared" si="18"/>
        <v>464418</v>
      </c>
      <c r="I44" s="297">
        <f t="shared" si="18"/>
        <v>185866</v>
      </c>
      <c r="J44" s="297">
        <f t="shared" si="18"/>
        <v>135482</v>
      </c>
      <c r="K44" s="297">
        <f t="shared" si="18"/>
        <v>421546</v>
      </c>
      <c r="L44" s="297">
        <f t="shared" si="18"/>
        <v>9224</v>
      </c>
      <c r="M44" s="297" t="str">
        <f t="shared" si="18"/>
        <v/>
      </c>
    </row>
    <row r="45" spans="2:13">
      <c r="B45" s="38" t="s">
        <v>65</v>
      </c>
      <c r="C45" s="292">
        <f t="shared" ref="C45:M45" si="19">IF(C$4="","",C51+C52)</f>
        <v>175104</v>
      </c>
      <c r="D45" s="292">
        <f t="shared" si="19"/>
        <v>319110</v>
      </c>
      <c r="E45" s="292">
        <f t="shared" si="19"/>
        <v>327187</v>
      </c>
      <c r="F45" s="292">
        <f t="shared" si="19"/>
        <v>32639</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-1096691</v>
      </c>
      <c r="D46" s="277">
        <f t="shared" ref="D46:M46" si="20">IF(D$4="","",-D14)</f>
        <v>-1069207</v>
      </c>
      <c r="E46" s="277">
        <f t="shared" si="20"/>
        <v>-1351329</v>
      </c>
      <c r="F46" s="277">
        <f t="shared" si="20"/>
        <v>-1317349</v>
      </c>
      <c r="G46" s="277">
        <f t="shared" si="20"/>
        <v>-549381</v>
      </c>
      <c r="H46" s="277">
        <f t="shared" si="20"/>
        <v>-357403</v>
      </c>
      <c r="I46" s="277">
        <f t="shared" si="20"/>
        <v>-135058</v>
      </c>
      <c r="J46" s="277">
        <f t="shared" si="20"/>
        <v>-22369</v>
      </c>
      <c r="K46" s="277">
        <f t="shared" si="20"/>
        <v>-32435</v>
      </c>
      <c r="L46" s="277">
        <f t="shared" si="20"/>
        <v>-73768</v>
      </c>
      <c r="M46" s="277" t="str">
        <f t="shared" si="20"/>
        <v/>
      </c>
    </row>
    <row r="47" spans="2:13">
      <c r="B47" s="41" t="s">
        <v>39</v>
      </c>
      <c r="C47" s="278">
        <f t="shared" ref="C47:M47" si="21">IF(C$4="","",C15)</f>
        <v>3012918</v>
      </c>
      <c r="D47" s="278">
        <f t="shared" si="21"/>
        <v>3186962</v>
      </c>
      <c r="E47" s="278">
        <f t="shared" si="21"/>
        <v>4063771</v>
      </c>
      <c r="F47" s="278">
        <f t="shared" si="21"/>
        <v>4010888</v>
      </c>
      <c r="G47" s="278">
        <f t="shared" si="21"/>
        <v>1698484</v>
      </c>
      <c r="H47" s="278">
        <f t="shared" si="21"/>
        <v>1499143</v>
      </c>
      <c r="I47" s="278">
        <f t="shared" si="21"/>
        <v>715263</v>
      </c>
      <c r="J47" s="278">
        <f t="shared" si="21"/>
        <v>515155</v>
      </c>
      <c r="K47" s="278">
        <f t="shared" si="21"/>
        <v>700869</v>
      </c>
      <c r="L47" s="278">
        <f t="shared" si="21"/>
        <v>61605</v>
      </c>
      <c r="M47" s="278" t="str">
        <f t="shared" si="21"/>
        <v/>
      </c>
    </row>
    <row r="48" spans="2:13">
      <c r="B48" s="27" t="s">
        <v>41</v>
      </c>
      <c r="C48" s="277">
        <f t="shared" ref="C48:M48" si="22">IF(C$4="","",MIN(-C16,0))</f>
        <v>0</v>
      </c>
      <c r="D48" s="277">
        <f t="shared" si="22"/>
        <v>-52</v>
      </c>
      <c r="E48" s="277">
        <f t="shared" si="22"/>
        <v>0</v>
      </c>
      <c r="F48" s="277">
        <f t="shared" si="22"/>
        <v>-7</v>
      </c>
      <c r="G48" s="277">
        <f t="shared" si="22"/>
        <v>0</v>
      </c>
      <c r="H48" s="277">
        <f t="shared" si="22"/>
        <v>-4</v>
      </c>
      <c r="I48" s="277">
        <f t="shared" si="22"/>
        <v>0</v>
      </c>
      <c r="J48" s="277">
        <f t="shared" si="22"/>
        <v>0</v>
      </c>
      <c r="K48" s="277">
        <f t="shared" si="22"/>
        <v>-57615</v>
      </c>
      <c r="L48" s="277">
        <f t="shared" si="22"/>
        <v>-47296</v>
      </c>
      <c r="M48" s="277" t="str">
        <f t="shared" si="22"/>
        <v/>
      </c>
    </row>
    <row r="50" spans="2:13">
      <c r="B50" s="16" t="s">
        <v>65</v>
      </c>
    </row>
    <row r="51" spans="2:13">
      <c r="B51" s="38" t="s">
        <v>37</v>
      </c>
      <c r="C51" s="277">
        <f t="shared" ref="C51:M51" si="23">IF(C$4="","",-C12)</f>
        <v>-254421</v>
      </c>
      <c r="D51" s="277">
        <f t="shared" si="23"/>
        <v>-181446</v>
      </c>
      <c r="E51" s="277">
        <f t="shared" si="23"/>
        <v>-120561</v>
      </c>
      <c r="F51" s="277">
        <f t="shared" si="23"/>
        <v>-112458</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429525</v>
      </c>
      <c r="D52" s="277">
        <f t="shared" ref="D52:M52" si="24">IF(D$4="","",D13)</f>
        <v>500556</v>
      </c>
      <c r="E52" s="277">
        <f t="shared" si="24"/>
        <v>447748</v>
      </c>
      <c r="F52" s="277">
        <f t="shared" si="24"/>
        <v>145097</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256299</v>
      </c>
      <c r="D55" s="292">
        <f t="shared" si="25"/>
        <v>377972</v>
      </c>
      <c r="E55" s="292">
        <f t="shared" si="25"/>
        <v>201155</v>
      </c>
      <c r="F55" s="292">
        <f t="shared" si="25"/>
        <v>159222</v>
      </c>
      <c r="G55" s="292">
        <f t="shared" si="25"/>
        <v>83487</v>
      </c>
      <c r="H55" s="292">
        <f t="shared" si="25"/>
        <v>343469</v>
      </c>
      <c r="I55" s="292">
        <f t="shared" si="25"/>
        <v>63633</v>
      </c>
      <c r="J55" s="292">
        <f t="shared" si="25"/>
        <v>73806</v>
      </c>
      <c r="K55" s="292">
        <f t="shared" si="25"/>
        <v>9716</v>
      </c>
      <c r="L55" s="292">
        <f t="shared" si="25"/>
        <v>6948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148917</v>
      </c>
      <c r="D58" s="292">
        <f t="shared" ref="D58:M58" si="28">IF(D$4="","",D44-D55-D56-D57)</f>
        <v>543305</v>
      </c>
      <c r="E58" s="292">
        <f t="shared" si="28"/>
        <v>829486</v>
      </c>
      <c r="F58" s="292">
        <f t="shared" si="28"/>
        <v>416030</v>
      </c>
      <c r="G58" s="292">
        <f t="shared" si="28"/>
        <v>299810</v>
      </c>
      <c r="H58" s="292">
        <f t="shared" si="28"/>
        <v>120949</v>
      </c>
      <c r="I58" s="292">
        <f t="shared" si="28"/>
        <v>122233</v>
      </c>
      <c r="J58" s="292">
        <f t="shared" si="28"/>
        <v>61676</v>
      </c>
      <c r="K58" s="292">
        <f t="shared" si="28"/>
        <v>411830</v>
      </c>
      <c r="L58" s="292">
        <f t="shared" si="28"/>
        <v>2276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1815.2739999999999</v>
      </c>
      <c r="D62" s="277">
        <f t="shared" ref="D62:M62" si="30">IF(D$4="","",IF(D20=0,D61,-D20))</f>
        <v>1815.2739999999999</v>
      </c>
      <c r="E62" s="277">
        <f t="shared" si="30"/>
        <v>1830.425</v>
      </c>
      <c r="F62" s="277">
        <f t="shared" si="30"/>
        <v>1027.7539999999999</v>
      </c>
      <c r="G62" s="277">
        <f t="shared" si="30"/>
        <v>745.63400000000001</v>
      </c>
      <c r="H62" s="277">
        <f t="shared" si="30"/>
        <v>649.02099999999996</v>
      </c>
      <c r="I62" s="277">
        <f t="shared" si="30"/>
        <v>0</v>
      </c>
      <c r="J62" s="277">
        <f t="shared" si="30"/>
        <v>0</v>
      </c>
      <c r="K62" s="277">
        <f t="shared" si="30"/>
        <v>0</v>
      </c>
      <c r="L62" s="277">
        <f t="shared" si="30"/>
        <v>0</v>
      </c>
      <c r="M62" s="277" t="str">
        <f t="shared" si="30"/>
        <v/>
      </c>
    </row>
    <row r="63" spans="2:13">
      <c r="B63" s="26" t="s">
        <v>49</v>
      </c>
      <c r="C63" s="277">
        <f>IF(C$4="","",-C21)</f>
        <v>31.047000000000001</v>
      </c>
      <c r="D63" s="277">
        <f t="shared" ref="D63:M63" si="31">IF(D$4="","",-D21)</f>
        <v>31.047000000000001</v>
      </c>
      <c r="E63" s="277">
        <f t="shared" si="31"/>
        <v>1133.2159999999999</v>
      </c>
      <c r="F63" s="277">
        <f t="shared" si="31"/>
        <v>-826.13499999999999</v>
      </c>
      <c r="G63" s="277">
        <f t="shared" si="31"/>
        <v>-141.60300000000001</v>
      </c>
      <c r="H63" s="277">
        <f t="shared" si="31"/>
        <v>0</v>
      </c>
      <c r="I63" s="277">
        <f t="shared" si="31"/>
        <v>0</v>
      </c>
      <c r="J63" s="277">
        <f t="shared" si="31"/>
        <v>0</v>
      </c>
      <c r="K63" s="277">
        <f t="shared" si="31"/>
        <v>0</v>
      </c>
      <c r="L63" s="277">
        <f t="shared" si="31"/>
        <v>0</v>
      </c>
      <c r="M63" s="277" t="str">
        <f t="shared" si="31"/>
        <v/>
      </c>
    </row>
    <row r="64" spans="2:13">
      <c r="B64" s="26" t="s">
        <v>305</v>
      </c>
      <c r="C64" s="277">
        <f>IF(C$4="","",C22+C23+C24)</f>
        <v>2104040</v>
      </c>
      <c r="D64" s="277">
        <f t="shared" ref="D64:M64" si="32">IF(D$4="","",D22+D23+D24)</f>
        <v>-1978120</v>
      </c>
      <c r="E64" s="277">
        <f t="shared" si="32"/>
        <v>-7455264</v>
      </c>
      <c r="F64" s="277">
        <f t="shared" si="32"/>
        <v>7582785</v>
      </c>
      <c r="G64" s="277">
        <f t="shared" si="32"/>
        <v>1258290</v>
      </c>
      <c r="H64" s="277">
        <f t="shared" si="32"/>
        <v>2281502</v>
      </c>
      <c r="I64" s="277">
        <f t="shared" si="32"/>
        <v>1123289</v>
      </c>
      <c r="J64" s="277">
        <f t="shared" si="32"/>
        <v>584134</v>
      </c>
      <c r="K64" s="277">
        <f t="shared" si="32"/>
        <v>166143</v>
      </c>
      <c r="L64" s="277">
        <f t="shared" si="32"/>
        <v>960673</v>
      </c>
      <c r="M64" s="277" t="str">
        <f t="shared" si="32"/>
        <v/>
      </c>
    </row>
    <row r="65" spans="2:13">
      <c r="B65" s="23" t="s">
        <v>34</v>
      </c>
      <c r="C65" s="70">
        <f>IF(C$4="","",C25)</f>
        <v>0.53513055208928584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2">
        <f t="shared" ref="D76:M76" si="39">IF(D$4="","",D79+D80)</f>
        <v>34207803</v>
      </c>
      <c r="E76" s="292">
        <f t="shared" si="39"/>
        <v>33646519</v>
      </c>
      <c r="F76" s="292">
        <f t="shared" si="39"/>
        <v>30274816</v>
      </c>
      <c r="G76" s="292">
        <f t="shared" si="39"/>
        <v>14593865</v>
      </c>
      <c r="H76" s="292">
        <f t="shared" si="39"/>
        <v>12547474</v>
      </c>
      <c r="I76" s="292">
        <f t="shared" si="39"/>
        <v>8727305</v>
      </c>
      <c r="J76" s="292">
        <f t="shared" si="39"/>
        <v>7321349</v>
      </c>
      <c r="K76" s="292">
        <f t="shared" si="39"/>
        <v>6780494</v>
      </c>
      <c r="L76" s="292">
        <f t="shared" si="39"/>
        <v>6897458</v>
      </c>
      <c r="M76" s="292" t="str">
        <f t="shared" si="39"/>
        <v/>
      </c>
    </row>
    <row r="77" spans="2:13">
      <c r="B77" s="90" t="s">
        <v>82</v>
      </c>
      <c r="C77" s="266">
        <f t="shared" ref="C77:H78" si="40">IF(C$4="","",C28)</f>
        <v>1597813</v>
      </c>
      <c r="D77" s="289">
        <f t="shared" si="40"/>
        <v>1205532</v>
      </c>
      <c r="E77" s="289">
        <f t="shared" si="40"/>
        <v>1020346</v>
      </c>
      <c r="F77" s="289">
        <f t="shared" si="40"/>
        <v>902857</v>
      </c>
      <c r="G77" s="289">
        <f t="shared" si="40"/>
        <v>658796</v>
      </c>
      <c r="H77" s="289">
        <f t="shared" si="40"/>
        <v>686606</v>
      </c>
      <c r="I77" s="298"/>
      <c r="J77" s="298"/>
      <c r="K77" s="298"/>
      <c r="L77" s="298"/>
      <c r="M77" s="298"/>
    </row>
    <row r="78" spans="2:13">
      <c r="B78" s="90" t="s">
        <v>83</v>
      </c>
      <c r="C78" s="266">
        <f t="shared" si="40"/>
        <v>2428290</v>
      </c>
      <c r="D78" s="289">
        <f t="shared" si="40"/>
        <v>2493206</v>
      </c>
      <c r="E78" s="289">
        <f t="shared" si="40"/>
        <v>2428040</v>
      </c>
      <c r="F78" s="289">
        <f t="shared" si="40"/>
        <v>1772803</v>
      </c>
      <c r="G78" s="289">
        <f t="shared" si="40"/>
        <v>1345539</v>
      </c>
      <c r="H78" s="289">
        <f t="shared" si="40"/>
        <v>1407257</v>
      </c>
      <c r="I78" s="298"/>
      <c r="J78" s="298"/>
      <c r="K78" s="298"/>
      <c r="L78" s="298"/>
      <c r="M78" s="298"/>
    </row>
    <row r="79" spans="2:13">
      <c r="B79" s="25" t="s">
        <v>38</v>
      </c>
      <c r="C79" s="265">
        <f t="shared" ref="C79:M79" si="41">IF(C$4="","",C30)</f>
        <v>9611695</v>
      </c>
      <c r="D79" s="277">
        <f t="shared" si="41"/>
        <v>9801162</v>
      </c>
      <c r="E79" s="277">
        <f t="shared" si="41"/>
        <v>9314591</v>
      </c>
      <c r="F79" s="277">
        <f t="shared" si="41"/>
        <v>9170709</v>
      </c>
      <c r="G79" s="277">
        <f t="shared" si="41"/>
        <v>5904448</v>
      </c>
      <c r="H79" s="277">
        <f t="shared" si="41"/>
        <v>5423281</v>
      </c>
      <c r="I79" s="277">
        <f t="shared" si="41"/>
        <v>2907715</v>
      </c>
      <c r="J79" s="277">
        <f t="shared" si="41"/>
        <v>2247752</v>
      </c>
      <c r="K79" s="277">
        <f t="shared" si="41"/>
        <v>2783345</v>
      </c>
      <c r="L79" s="277">
        <f t="shared" si="41"/>
        <v>3486918</v>
      </c>
      <c r="M79" s="277" t="str">
        <f t="shared" si="41"/>
        <v/>
      </c>
    </row>
    <row r="80" spans="2:13">
      <c r="B80" s="25" t="s">
        <v>28</v>
      </c>
      <c r="C80" s="265">
        <f t="shared" ref="C80:M80" si="42">IF(C$4="","",C31)</f>
        <v>27168693</v>
      </c>
      <c r="D80" s="277">
        <f t="shared" si="42"/>
        <v>24406641</v>
      </c>
      <c r="E80" s="277">
        <f t="shared" si="42"/>
        <v>24331928</v>
      </c>
      <c r="F80" s="277">
        <f t="shared" si="42"/>
        <v>21104107</v>
      </c>
      <c r="G80" s="277">
        <f t="shared" si="42"/>
        <v>8689417</v>
      </c>
      <c r="H80" s="277">
        <f t="shared" si="42"/>
        <v>7124193</v>
      </c>
      <c r="I80" s="277">
        <f t="shared" si="42"/>
        <v>5819590</v>
      </c>
      <c r="J80" s="277">
        <f t="shared" si="42"/>
        <v>5073597</v>
      </c>
      <c r="K80" s="277">
        <f t="shared" si="42"/>
        <v>3997149</v>
      </c>
      <c r="L80" s="277">
        <f t="shared" si="42"/>
        <v>3410540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4">
        <v>0.6</v>
      </c>
      <c r="E4" s="24"/>
      <c r="F4" s="4" t="s">
        <v>74</v>
      </c>
      <c r="G4" s="18">
        <f>5254388+11798043</f>
        <v>17052431</v>
      </c>
      <c r="H4" s="234">
        <v>0.9</v>
      </c>
    </row>
    <row r="5" spans="2:8" ht="15" customHeight="1">
      <c r="B5" s="1" t="s">
        <v>31</v>
      </c>
      <c r="C5" s="18">
        <v>0</v>
      </c>
      <c r="D5" s="234">
        <v>0.6</v>
      </c>
      <c r="E5" s="24"/>
      <c r="F5" s="1" t="s">
        <v>27</v>
      </c>
      <c r="G5" s="18">
        <v>400</v>
      </c>
      <c r="H5" s="234">
        <v>0.7</v>
      </c>
    </row>
    <row r="6" spans="2:8" ht="15" customHeight="1">
      <c r="B6" s="4" t="s">
        <v>8</v>
      </c>
      <c r="C6" s="18">
        <v>2428290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1064042</f>
        <v>1064042</v>
      </c>
      <c r="D11" s="234">
        <v>0.05</v>
      </c>
      <c r="H11" s="235"/>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4">
        <v>0.4</v>
      </c>
      <c r="F15" s="4" t="s">
        <v>75</v>
      </c>
      <c r="G15" s="18">
        <v>2138025</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1876402+448521</f>
        <v>2324923</v>
      </c>
      <c r="H17" s="234">
        <v>0.6</v>
      </c>
    </row>
    <row r="18" spans="2:8" ht="15" customHeight="1">
      <c r="B18" s="4" t="s">
        <v>144</v>
      </c>
      <c r="C18" s="18">
        <v>0</v>
      </c>
      <c r="D18" s="234">
        <v>0.6</v>
      </c>
      <c r="F18" s="4" t="s">
        <v>151</v>
      </c>
      <c r="G18" s="18">
        <v>0</v>
      </c>
      <c r="H18" s="234">
        <v>0.1</v>
      </c>
    </row>
    <row r="19" spans="2:8" ht="15" customHeight="1">
      <c r="B19" s="4" t="s">
        <v>24</v>
      </c>
      <c r="C19" s="18">
        <f>4615327+1392122+148969</f>
        <v>6156418</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156064</v>
      </c>
      <c r="D21" s="234">
        <v>0.05</v>
      </c>
      <c r="F21" s="1" t="s">
        <v>150</v>
      </c>
      <c r="G21" s="18">
        <v>2737750</v>
      </c>
      <c r="H21" s="234">
        <v>0.1</v>
      </c>
    </row>
    <row r="22" spans="2:8" ht="15" customHeight="1">
      <c r="B22" s="4" t="s">
        <v>18</v>
      </c>
      <c r="C22" s="18">
        <v>963833</v>
      </c>
      <c r="D22" s="234">
        <v>0.9</v>
      </c>
      <c r="H22" s="235"/>
    </row>
    <row r="23" spans="2:8" ht="15" customHeight="1">
      <c r="B23" s="4" t="s">
        <v>19</v>
      </c>
      <c r="C23" s="18">
        <f>7165</f>
        <v>7165</v>
      </c>
      <c r="D23" s="234">
        <v>0</v>
      </c>
      <c r="H23" s="235"/>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4">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27168693</v>
      </c>
      <c r="D46" s="73">
        <f>H29</f>
        <v>12893144.899999999</v>
      </c>
      <c r="F46" s="226"/>
    </row>
    <row r="47" spans="2:8" ht="15" customHeight="1">
      <c r="B47" s="1" t="str">
        <f>"Equity per share ("&amp;Market_currency&amp;")"</f>
        <v>Equity per share (HKD)</v>
      </c>
      <c r="C47" s="134">
        <f>C46*H1/Common_Shares*Exchange_Rate</f>
        <v>11.486496101638936</v>
      </c>
      <c r="D47" s="134">
        <f>D46*H1/Common_Shares*Exchange_Rate</f>
        <v>5.4510188852925641</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0.5742845428370501</v>
      </c>
      <c r="D50" s="92">
        <f>G31/Normalized_FCF!G8</f>
        <v>0.50358953318926281</v>
      </c>
      <c r="F50" s="226"/>
    </row>
    <row r="51" spans="2:8" ht="15" customHeight="1">
      <c r="B51" s="1" t="s">
        <v>146</v>
      </c>
      <c r="C51" s="163"/>
      <c r="D51" s="89">
        <f>G29/G32</f>
        <v>0.73867336581658682</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0.24705554239784105</v>
      </c>
      <c r="D54" s="89">
        <f>Normalized_FCF!G8/G35</f>
        <v>0.28173774447369448</v>
      </c>
      <c r="F54" s="226"/>
    </row>
    <row r="55" spans="2:8" ht="15" customHeight="1">
      <c r="B55" s="1" t="s">
        <v>118</v>
      </c>
      <c r="C55" s="89">
        <f>Normalized_FCF!C9/G40</f>
        <v>0</v>
      </c>
      <c r="D55" s="89">
        <f>Normalized_FCF!G9/G40</f>
        <v>1.0567493085233082E-2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0.16738317170552958</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19190856</v>
      </c>
      <c r="D66" s="73">
        <f>C66-D75</f>
        <v>15115717.517439028</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19190856</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-2210797.1116793426</v>
      </c>
      <c r="D73" s="292">
        <f>(Normalized_FCF!C26+Normalized_FCF!C35-Normalized_FCF!C89)/12</f>
        <v>-2037569.2412804861</v>
      </c>
      <c r="F73" s="1" t="s">
        <v>278</v>
      </c>
    </row>
    <row r="74" spans="2:6" ht="15" customHeight="1">
      <c r="B74" s="230" t="s">
        <v>259</v>
      </c>
      <c r="C74" s="231">
        <f>-$C$66/C73</f>
        <v>8.6805143260850581</v>
      </c>
      <c r="D74" s="231">
        <f>-$C$66/D73</f>
        <v>9.4185049573774169</v>
      </c>
      <c r="F74" s="226" t="s">
        <v>257</v>
      </c>
    </row>
    <row r="75" spans="2:6" ht="15" customHeight="1">
      <c r="B75" s="77" t="s">
        <v>258</v>
      </c>
      <c r="C75" s="267"/>
      <c r="D75" s="268">
        <f>MAX(-D73*D76,G5)</f>
        <v>4075138.4825609722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2324923</v>
      </c>
      <c r="D79" s="73">
        <f>G7*H7+G17*H17</f>
        <v>1394953.8</v>
      </c>
      <c r="F79" s="226"/>
    </row>
    <row r="80" spans="2:6" ht="15" customHeight="1">
      <c r="B80" s="102" t="s">
        <v>152</v>
      </c>
      <c r="C80" s="19">
        <f>G19</f>
        <v>0</v>
      </c>
      <c r="D80" s="73">
        <f>G19*H19</f>
        <v>0</v>
      </c>
      <c r="F80" s="226"/>
    </row>
    <row r="81" spans="2:8" ht="15" customHeight="1">
      <c r="B81" s="102" t="s">
        <v>150</v>
      </c>
      <c r="C81" s="19">
        <f>G9+G21</f>
        <v>2737750</v>
      </c>
      <c r="D81" s="73">
        <f>G9*H9+G21*H21</f>
        <v>273775</v>
      </c>
      <c r="F81" s="226"/>
    </row>
    <row r="82" spans="2:8" ht="15" customHeight="1">
      <c r="B82" s="77" t="s">
        <v>159</v>
      </c>
      <c r="C82" s="78">
        <f>SUM(C79:C81)</f>
        <v>5062673</v>
      </c>
      <c r="D82" s="78">
        <f>SUM(D79:D81)</f>
        <v>1668728.8</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1942278.6427387199</v>
      </c>
      <c r="D86" s="203">
        <f>C86*scaling_factor/Common_Shares</f>
        <v>0.75141998350425621</v>
      </c>
      <c r="E86" s="217" t="str">
        <f>Market_currency</f>
        <v>HKD</v>
      </c>
    </row>
    <row r="87" spans="2:8" ht="15" customHeight="1">
      <c r="B87" s="215" t="s">
        <v>240</v>
      </c>
      <c r="C87" s="73">
        <f>DCF!F5*Exchange_Rate</f>
        <v>16518719.721170872</v>
      </c>
      <c r="D87" s="203">
        <f>C87*scaling_factor/Common_Shares</f>
        <v>6.3906876321779169</v>
      </c>
      <c r="E87" s="217" t="str">
        <f>Market_currency</f>
        <v>HKD</v>
      </c>
    </row>
    <row r="88" spans="2:8" ht="15" customHeight="1">
      <c r="B88" s="216" t="s">
        <v>159</v>
      </c>
      <c r="C88" s="73">
        <f>DCF!F6*Exchange_Rate</f>
        <v>1823615.935270272</v>
      </c>
      <c r="D88" s="203">
        <f>C88*scaling_factor/Common_Shares</f>
        <v>0.70551229151481887</v>
      </c>
      <c r="E88" s="217" t="str">
        <f>Market_currency</f>
        <v>HKD</v>
      </c>
    </row>
    <row r="89" spans="2:8" ht="15" customHeight="1">
      <c r="B89" s="77" t="s">
        <v>244</v>
      </c>
      <c r="C89" s="162">
        <f>SUM(C86:C88)</f>
        <v>20284614.299179863</v>
      </c>
      <c r="D89" s="219">
        <f>SUM(D86:D88)</f>
        <v>7.8476199071969921</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AVERAGE(G4:J4)</f>
        <v>26162449.5</v>
      </c>
      <c r="D4" s="54"/>
      <c r="E4" s="239"/>
      <c r="F4" s="54"/>
      <c r="G4" s="277">
        <f>Data!C36</f>
        <v>28675643</v>
      </c>
      <c r="H4" s="277">
        <f>Data!D36</f>
        <v>27598491</v>
      </c>
      <c r="I4" s="277">
        <f>Data!E36</f>
        <v>25803383</v>
      </c>
      <c r="J4" s="277">
        <f>Data!F36</f>
        <v>22572281</v>
      </c>
      <c r="K4" s="277">
        <f>Data!G36</f>
        <v>14456971</v>
      </c>
      <c r="L4" s="277">
        <f>Data!H36</f>
        <v>13869630</v>
      </c>
      <c r="M4" s="277">
        <f>Data!I36</f>
        <v>10510898</v>
      </c>
      <c r="N4" s="277">
        <f>Data!J36</f>
        <v>8873912</v>
      </c>
      <c r="O4" s="277">
        <f>Data!K36</f>
        <v>8015293</v>
      </c>
      <c r="P4" s="277">
        <f>Data!L36</f>
        <v>7089495</v>
      </c>
      <c r="Q4" s="277" t="str">
        <f>Data!M36</f>
        <v/>
      </c>
    </row>
    <row r="5" spans="1:17" ht="15.75" customHeight="1">
      <c r="A5" s="10"/>
      <c r="B5" s="2" t="s">
        <v>43</v>
      </c>
      <c r="C5" s="273">
        <f>C26</f>
        <v>-21639712.555213723</v>
      </c>
      <c r="E5" s="241"/>
      <c r="G5" s="277">
        <f t="shared" ref="G5:Q5" si="1">G26</f>
        <v>-23718447</v>
      </c>
      <c r="H5" s="277">
        <f t="shared" si="1"/>
        <v>-23326557</v>
      </c>
      <c r="I5" s="277">
        <f t="shared" si="1"/>
        <v>-20632893</v>
      </c>
      <c r="J5" s="277">
        <f t="shared" si="1"/>
        <v>-16741260</v>
      </c>
      <c r="K5" s="277">
        <f t="shared" si="1"/>
        <v>-11787345</v>
      </c>
      <c r="L5" s="277">
        <f t="shared" si="1"/>
        <v>-11509238</v>
      </c>
      <c r="M5" s="277">
        <f t="shared" si="1"/>
        <v>-9166570</v>
      </c>
      <c r="N5" s="277">
        <f t="shared" si="1"/>
        <v>-7970804</v>
      </c>
      <c r="O5" s="277">
        <f t="shared" si="1"/>
        <v>-7279406</v>
      </c>
      <c r="P5" s="277">
        <f t="shared" si="1"/>
        <v>-6617197</v>
      </c>
      <c r="Q5" s="277" t="str">
        <f t="shared" si="1"/>
        <v/>
      </c>
    </row>
    <row r="6" spans="1:17" ht="15.75" customHeight="1">
      <c r="A6" s="10"/>
      <c r="B6" s="30" t="s">
        <v>45</v>
      </c>
      <c r="C6" s="274">
        <f>C4+C5</f>
        <v>4522736.9447862767</v>
      </c>
      <c r="E6" s="241"/>
      <c r="G6" s="274">
        <f>IF(G4="","",G4+G5)</f>
        <v>4957196</v>
      </c>
      <c r="H6" s="274">
        <f t="shared" ref="H6:Q6" si="2">IF(H4="","",H4+H5)</f>
        <v>4271934</v>
      </c>
      <c r="I6" s="274">
        <f t="shared" si="2"/>
        <v>5170490</v>
      </c>
      <c r="J6" s="274">
        <f t="shared" si="2"/>
        <v>5831021</v>
      </c>
      <c r="K6" s="274">
        <f t="shared" si="2"/>
        <v>2669626</v>
      </c>
      <c r="L6" s="274">
        <f t="shared" si="2"/>
        <v>2360392</v>
      </c>
      <c r="M6" s="274">
        <f t="shared" si="2"/>
        <v>1344328</v>
      </c>
      <c r="N6" s="274">
        <f t="shared" si="2"/>
        <v>903108</v>
      </c>
      <c r="O6" s="274">
        <f t="shared" si="2"/>
        <v>735887</v>
      </c>
      <c r="P6" s="274">
        <f t="shared" si="2"/>
        <v>472298</v>
      </c>
      <c r="Q6" s="274" t="str">
        <f t="shared" si="2"/>
        <v/>
      </c>
    </row>
    <row r="7" spans="1:17" ht="15.75" customHeight="1">
      <c r="A7" s="10"/>
      <c r="B7" s="8" t="s">
        <v>42</v>
      </c>
      <c r="C7" s="273">
        <f>C35</f>
        <v>-1427907</v>
      </c>
      <c r="E7" s="241"/>
      <c r="G7" s="273">
        <f t="shared" ref="G7:Q7" si="3">G35</f>
        <v>-1427907</v>
      </c>
      <c r="H7" s="273">
        <f t="shared" si="3"/>
        <v>-1256152</v>
      </c>
      <c r="I7" s="273">
        <f t="shared" si="3"/>
        <v>-1113218</v>
      </c>
      <c r="J7" s="273">
        <f t="shared" si="3"/>
        <v>-1110675</v>
      </c>
      <c r="K7" s="273">
        <f t="shared" si="3"/>
        <v>-805058</v>
      </c>
      <c r="L7" s="273">
        <f t="shared" si="3"/>
        <v>-968264</v>
      </c>
      <c r="M7" s="273">
        <f t="shared" si="3"/>
        <v>-679873</v>
      </c>
      <c r="N7" s="273">
        <f t="shared" si="3"/>
        <v>-501066</v>
      </c>
      <c r="O7" s="273">
        <f t="shared" si="3"/>
        <v>-424129</v>
      </c>
      <c r="P7" s="273">
        <f t="shared" si="3"/>
        <v>-346149</v>
      </c>
      <c r="Q7" s="273" t="str">
        <f t="shared" si="3"/>
        <v/>
      </c>
    </row>
    <row r="8" spans="1:17" ht="15.75" customHeight="1">
      <c r="A8" s="10"/>
      <c r="B8" s="28" t="s">
        <v>127</v>
      </c>
      <c r="C8" s="275">
        <f>C6+C7</f>
        <v>3094829.9447862767</v>
      </c>
      <c r="D8" s="56"/>
      <c r="E8" s="247"/>
      <c r="F8" s="56"/>
      <c r="G8" s="274">
        <f>IF(G$4="","",G6+G7)</f>
        <v>3529289</v>
      </c>
      <c r="H8" s="274">
        <f t="shared" ref="H8:Q8" si="4">IF(H$4="","",H6+H7)</f>
        <v>3015782</v>
      </c>
      <c r="I8" s="274">
        <f t="shared" si="4"/>
        <v>4057272</v>
      </c>
      <c r="J8" s="274">
        <f t="shared" si="4"/>
        <v>4720346</v>
      </c>
      <c r="K8" s="274">
        <f t="shared" si="4"/>
        <v>1864568</v>
      </c>
      <c r="L8" s="274">
        <f t="shared" si="4"/>
        <v>1392128</v>
      </c>
      <c r="M8" s="274">
        <f t="shared" si="4"/>
        <v>664455</v>
      </c>
      <c r="N8" s="274">
        <f t="shared" si="4"/>
        <v>402042</v>
      </c>
      <c r="O8" s="274">
        <f t="shared" si="4"/>
        <v>311758</v>
      </c>
      <c r="P8" s="274">
        <f t="shared" si="4"/>
        <v>126149</v>
      </c>
      <c r="Q8" s="274" t="str">
        <f t="shared" si="4"/>
        <v/>
      </c>
    </row>
    <row r="9" spans="1:17" ht="15.75" customHeight="1">
      <c r="A9" s="10"/>
      <c r="B9" s="26" t="s">
        <v>417</v>
      </c>
      <c r="C9" s="307">
        <f>C61</f>
        <v>0</v>
      </c>
      <c r="D9" s="55"/>
      <c r="E9" s="240"/>
      <c r="F9" s="55"/>
      <c r="G9" s="277">
        <f>G59</f>
        <v>256299</v>
      </c>
      <c r="H9" s="277">
        <f t="shared" ref="H9:Q9" si="5">H59</f>
        <v>377972</v>
      </c>
      <c r="I9" s="277">
        <f t="shared" si="5"/>
        <v>201155</v>
      </c>
      <c r="J9" s="277">
        <f t="shared" si="5"/>
        <v>159222</v>
      </c>
      <c r="K9" s="277">
        <f t="shared" si="5"/>
        <v>83487</v>
      </c>
      <c r="L9" s="277">
        <f t="shared" si="5"/>
        <v>343469</v>
      </c>
      <c r="M9" s="277">
        <f t="shared" si="5"/>
        <v>63633</v>
      </c>
      <c r="N9" s="277">
        <f t="shared" si="5"/>
        <v>73806</v>
      </c>
      <c r="O9" s="277">
        <f t="shared" si="5"/>
        <v>9716</v>
      </c>
      <c r="P9" s="277">
        <f t="shared" si="5"/>
        <v>6948</v>
      </c>
      <c r="Q9" s="277" t="str">
        <f t="shared" si="5"/>
        <v/>
      </c>
    </row>
    <row r="10" spans="1:17" ht="15.75" customHeight="1">
      <c r="A10" s="10"/>
      <c r="B10" s="2" t="s">
        <v>65</v>
      </c>
      <c r="C10" s="273">
        <f>C48</f>
        <v>-82187.949104634172</v>
      </c>
      <c r="E10" s="241"/>
      <c r="G10" s="273">
        <f>G48</f>
        <v>-163212.256798446</v>
      </c>
      <c r="H10" s="273">
        <f t="shared" ref="H10:Q10" si="6">H48</f>
        <v>-75153.971219377083</v>
      </c>
      <c r="I10" s="273">
        <f t="shared" si="6"/>
        <v>-25482.640530797056</v>
      </c>
      <c r="J10" s="273">
        <f t="shared" si="6"/>
        <v>-81646.952884428436</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3012641.9956816426</v>
      </c>
      <c r="E11" s="241"/>
      <c r="G11" s="274">
        <f t="shared" ref="G11:Q11" si="7">IF(G$4="","",SUM(G8:G10))</f>
        <v>3622375.7432015538</v>
      </c>
      <c r="H11" s="274">
        <f t="shared" si="7"/>
        <v>3318600.0287806229</v>
      </c>
      <c r="I11" s="274">
        <f t="shared" si="7"/>
        <v>4232944.3594692033</v>
      </c>
      <c r="J11" s="274">
        <f t="shared" si="7"/>
        <v>4797921.0471155718</v>
      </c>
      <c r="K11" s="274">
        <f t="shared" si="7"/>
        <v>1948055</v>
      </c>
      <c r="L11" s="274">
        <f t="shared" si="7"/>
        <v>1735597</v>
      </c>
      <c r="M11" s="274">
        <f t="shared" si="7"/>
        <v>728088</v>
      </c>
      <c r="N11" s="274">
        <f t="shared" si="7"/>
        <v>475848</v>
      </c>
      <c r="O11" s="274">
        <f t="shared" si="7"/>
        <v>321474</v>
      </c>
      <c r="P11" s="274">
        <f t="shared" si="7"/>
        <v>133097</v>
      </c>
      <c r="Q11" s="274" t="str">
        <f t="shared" si="7"/>
        <v/>
      </c>
    </row>
    <row r="12" spans="1:17" ht="15.75" customHeight="1">
      <c r="A12" s="10"/>
      <c r="B12" s="2" t="s">
        <v>60</v>
      </c>
      <c r="C12" s="273">
        <f>-C11*C41</f>
        <v>-753160.49892041064</v>
      </c>
      <c r="E12" s="241"/>
      <c r="G12" s="273">
        <f>Data!C46</f>
        <v>-1096691</v>
      </c>
      <c r="H12" s="273">
        <f>Data!D46</f>
        <v>-1069207</v>
      </c>
      <c r="I12" s="273">
        <f>Data!E46</f>
        <v>-1351329</v>
      </c>
      <c r="J12" s="273">
        <f>Data!F46</f>
        <v>-1317349</v>
      </c>
      <c r="K12" s="273">
        <f>Data!G46</f>
        <v>-549381</v>
      </c>
      <c r="L12" s="273">
        <f>Data!H46</f>
        <v>-357403</v>
      </c>
      <c r="M12" s="273">
        <f>Data!I46</f>
        <v>-135058</v>
      </c>
      <c r="N12" s="273">
        <f>Data!J46</f>
        <v>-22369</v>
      </c>
      <c r="O12" s="273">
        <f>Data!K46</f>
        <v>-32435</v>
      </c>
      <c r="P12" s="273">
        <f>Data!L46</f>
        <v>-73768</v>
      </c>
      <c r="Q12" s="273" t="str">
        <f>Data!M46</f>
        <v/>
      </c>
    </row>
    <row r="13" spans="1:17" ht="15.75" customHeight="1">
      <c r="A13" s="10"/>
      <c r="B13" s="38" t="s">
        <v>208</v>
      </c>
      <c r="C13" s="273">
        <f>-C4*C79</f>
        <v>0</v>
      </c>
      <c r="D13" s="57"/>
      <c r="E13" s="248"/>
      <c r="F13" s="57"/>
      <c r="G13" s="277">
        <f>Data!C48</f>
        <v>0</v>
      </c>
      <c r="H13" s="277">
        <f>Data!D48</f>
        <v>-52</v>
      </c>
      <c r="I13" s="277">
        <f>Data!E48</f>
        <v>0</v>
      </c>
      <c r="J13" s="277">
        <f>Data!F48</f>
        <v>-7</v>
      </c>
      <c r="K13" s="277">
        <f>Data!G48</f>
        <v>0</v>
      </c>
      <c r="L13" s="277">
        <f>Data!H48</f>
        <v>-4</v>
      </c>
      <c r="M13" s="277">
        <f>Data!I48</f>
        <v>0</v>
      </c>
      <c r="N13" s="277">
        <f>Data!J48</f>
        <v>0</v>
      </c>
      <c r="O13" s="277">
        <f>Data!K48</f>
        <v>-57615</v>
      </c>
      <c r="P13" s="277">
        <f>Data!L48</f>
        <v>-47296</v>
      </c>
      <c r="Q13" s="277" t="str">
        <f>Data!M48</f>
        <v/>
      </c>
    </row>
    <row r="14" spans="1:17" ht="15.75" customHeight="1">
      <c r="A14" s="10"/>
      <c r="B14" s="39" t="s">
        <v>129</v>
      </c>
      <c r="C14" s="276">
        <f>SUM(C11:C13)</f>
        <v>2259481.4967612317</v>
      </c>
      <c r="D14" s="58"/>
      <c r="E14" s="249"/>
      <c r="F14" s="58"/>
      <c r="G14" s="274">
        <f t="shared" ref="G14:Q14" si="8">IF(G$4="","",SUM(G11:G13))</f>
        <v>2525684.7432015538</v>
      </c>
      <c r="H14" s="274">
        <f t="shared" si="8"/>
        <v>2249341.0287806229</v>
      </c>
      <c r="I14" s="274">
        <f t="shared" si="8"/>
        <v>2881615.3594692033</v>
      </c>
      <c r="J14" s="274">
        <f t="shared" si="8"/>
        <v>3480565.0471155718</v>
      </c>
      <c r="K14" s="274">
        <f t="shared" si="8"/>
        <v>1398674</v>
      </c>
      <c r="L14" s="274">
        <f t="shared" si="8"/>
        <v>1378190</v>
      </c>
      <c r="M14" s="274">
        <f t="shared" si="8"/>
        <v>593030</v>
      </c>
      <c r="N14" s="274">
        <f t="shared" si="8"/>
        <v>453479</v>
      </c>
      <c r="O14" s="274">
        <f t="shared" si="8"/>
        <v>231424</v>
      </c>
      <c r="P14" s="274">
        <f t="shared" si="8"/>
        <v>12033</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1815.2739999999999</v>
      </c>
      <c r="H16" s="273">
        <f>Data!D62</f>
        <v>1815.2739999999999</v>
      </c>
      <c r="I16" s="273">
        <f>Data!E62</f>
        <v>1830.425</v>
      </c>
      <c r="J16" s="273">
        <f>Data!F62</f>
        <v>1027.7539999999999</v>
      </c>
      <c r="K16" s="273">
        <f>Data!G62</f>
        <v>745.63400000000001</v>
      </c>
      <c r="L16" s="273">
        <f>Data!H62</f>
        <v>649.02099999999996</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2259481.4967612317</v>
      </c>
      <c r="D19" s="26"/>
      <c r="E19" s="238"/>
      <c r="F19" s="26"/>
      <c r="G19" s="278">
        <f t="shared" ref="G19:Q19" si="9">IF(G$4="","",G14+G17)</f>
        <v>2525684.7432015538</v>
      </c>
      <c r="H19" s="278">
        <f t="shared" si="9"/>
        <v>2249341.0287806229</v>
      </c>
      <c r="I19" s="278">
        <f t="shared" si="9"/>
        <v>2881615.3594692033</v>
      </c>
      <c r="J19" s="278">
        <f t="shared" si="9"/>
        <v>3480565.0471155718</v>
      </c>
      <c r="K19" s="278">
        <f t="shared" si="9"/>
        <v>1398674</v>
      </c>
      <c r="L19" s="278">
        <f t="shared" si="9"/>
        <v>1378190</v>
      </c>
      <c r="M19" s="278">
        <f t="shared" si="9"/>
        <v>593030</v>
      </c>
      <c r="N19" s="278">
        <f t="shared" si="9"/>
        <v>453479</v>
      </c>
      <c r="O19" s="278">
        <f t="shared" si="9"/>
        <v>231424</v>
      </c>
      <c r="P19" s="278">
        <f t="shared" si="9"/>
        <v>12033</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-13247017.059503427</v>
      </c>
      <c r="D23" s="55"/>
      <c r="E23" s="240"/>
      <c r="F23" s="55"/>
      <c r="G23" s="277">
        <f>Data!C37</f>
        <v>-14519540</v>
      </c>
      <c r="H23" s="277">
        <f>Data!D37</f>
        <v>-14246436</v>
      </c>
      <c r="I23" s="277">
        <f>Data!E37</f>
        <v>-13318590</v>
      </c>
      <c r="J23" s="277">
        <f>Data!F37</f>
        <v>-10603183</v>
      </c>
      <c r="K23" s="277">
        <f>Data!G37</f>
        <v>-7362627</v>
      </c>
      <c r="L23" s="277">
        <f>Data!H37</f>
        <v>-7064168</v>
      </c>
      <c r="M23" s="277">
        <f>Data!I37</f>
        <v>-5458124</v>
      </c>
      <c r="N23" s="277">
        <f>Data!J37</f>
        <v>-4697429</v>
      </c>
      <c r="O23" s="277">
        <f>Data!K37</f>
        <v>-4310065</v>
      </c>
      <c r="P23" s="277">
        <f>Data!L37</f>
        <v>-3896836</v>
      </c>
      <c r="Q23" s="277" t="str">
        <f>Data!M37</f>
        <v/>
      </c>
    </row>
    <row r="24" spans="1:17" ht="15.75" customHeight="1">
      <c r="A24" s="10"/>
      <c r="B24" s="65" t="s">
        <v>59</v>
      </c>
      <c r="C24" s="273">
        <f>-C4*C30</f>
        <v>-8392695.4957102966</v>
      </c>
      <c r="D24" s="26"/>
      <c r="E24" s="238"/>
      <c r="F24" s="26"/>
      <c r="G24" s="277">
        <f>Data!C40</f>
        <v>-9198907</v>
      </c>
      <c r="H24" s="277">
        <f>Data!D40</f>
        <v>-9080121</v>
      </c>
      <c r="I24" s="277">
        <f>Data!E40</f>
        <v>-7314303</v>
      </c>
      <c r="J24" s="277">
        <f>Data!F40</f>
        <v>-6138077</v>
      </c>
      <c r="K24" s="277">
        <f>Data!G40</f>
        <v>-4424718</v>
      </c>
      <c r="L24" s="277">
        <f>Data!H40</f>
        <v>-4445070</v>
      </c>
      <c r="M24" s="277">
        <f>Data!I40</f>
        <v>-3708446</v>
      </c>
      <c r="N24" s="277">
        <f>Data!J40</f>
        <v>-3273375</v>
      </c>
      <c r="O24" s="277">
        <f>Data!K40</f>
        <v>-2969341</v>
      </c>
      <c r="P24" s="277">
        <f>Data!L40</f>
        <v>-2720361</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-21639712.555213723</v>
      </c>
      <c r="D26" s="9"/>
      <c r="E26" s="246"/>
      <c r="F26" s="9"/>
      <c r="G26" s="274">
        <f>IF(G$4="","",SUM(G23:G25))</f>
        <v>-23718447</v>
      </c>
      <c r="H26" s="274">
        <f t="shared" ref="H26:Q26" si="10">IF(H$4="","",SUM(H23:H25))</f>
        <v>-23326557</v>
      </c>
      <c r="I26" s="274">
        <f t="shared" si="10"/>
        <v>-20632893</v>
      </c>
      <c r="J26" s="274">
        <f t="shared" si="10"/>
        <v>-16741260</v>
      </c>
      <c r="K26" s="274">
        <f t="shared" si="10"/>
        <v>-11787345</v>
      </c>
      <c r="L26" s="274">
        <f t="shared" si="10"/>
        <v>-11509238</v>
      </c>
      <c r="M26" s="274">
        <f t="shared" si="10"/>
        <v>-9166570</v>
      </c>
      <c r="N26" s="274">
        <f t="shared" si="10"/>
        <v>-7970804</v>
      </c>
      <c r="O26" s="274">
        <f t="shared" si="10"/>
        <v>-7279406</v>
      </c>
      <c r="P26" s="274">
        <f t="shared" si="10"/>
        <v>-6617197</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0.50633703313993694</v>
      </c>
      <c r="D29" s="25"/>
      <c r="E29" s="239"/>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9"/>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1"/>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-1427907</v>
      </c>
      <c r="D35" s="55"/>
      <c r="E35" s="240"/>
      <c r="F35" s="55"/>
      <c r="G35" s="274">
        <f>IF(G4="","",Data!C41)</f>
        <v>-1427907</v>
      </c>
      <c r="H35" s="274">
        <f>IF(H4="","",Data!D41)</f>
        <v>-1256152</v>
      </c>
      <c r="I35" s="274">
        <f>IF(I4="","",Data!E41)</f>
        <v>-1113218</v>
      </c>
      <c r="J35" s="274">
        <f>IF(J4="","",Data!F41)</f>
        <v>-1110675</v>
      </c>
      <c r="K35" s="274">
        <f>IF(K4="","",Data!G41)</f>
        <v>-805058</v>
      </c>
      <c r="L35" s="274">
        <f>IF(L4="","",Data!H41)</f>
        <v>-968264</v>
      </c>
      <c r="M35" s="274">
        <f>IF(M4="","",Data!I41)</f>
        <v>-679873</v>
      </c>
      <c r="N35" s="274">
        <f>IF(N4="","",Data!J41)</f>
        <v>-501066</v>
      </c>
      <c r="O35" s="274">
        <f>IF(O4="","",Data!K41)</f>
        <v>-424129</v>
      </c>
      <c r="P35" s="274">
        <f>IF(P4="","",Data!L41)</f>
        <v>-346149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5.4578490442953362E-2</v>
      </c>
      <c r="E38" s="241"/>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0.30275462231058192</v>
      </c>
      <c r="H41" s="6">
        <f t="shared" si="16"/>
        <v>0.32218616004558598</v>
      </c>
      <c r="I41" s="6">
        <f t="shared" si="16"/>
        <v>0.31924090780381814</v>
      </c>
      <c r="J41" s="6">
        <f t="shared" si="16"/>
        <v>0.27456662730871068</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-106638.78</v>
      </c>
      <c r="E45" s="241"/>
      <c r="G45" s="273">
        <f>Data!C51</f>
        <v>-254421</v>
      </c>
      <c r="H45" s="273">
        <f>Data!D51</f>
        <v>-181446</v>
      </c>
      <c r="I45" s="273">
        <f>Data!E51</f>
        <v>-120561</v>
      </c>
      <c r="J45" s="273">
        <f>Data!F51</f>
        <v>-112458</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24450.830895365834</v>
      </c>
      <c r="E46" s="241"/>
      <c r="G46" s="281">
        <f t="shared" ref="G46:Q46" si="17">IFERROR(IF(G$4="","",($C$46/$C$47)*G47),0)</f>
        <v>91208.743201553996</v>
      </c>
      <c r="H46" s="281">
        <f t="shared" si="17"/>
        <v>106292.02878062292</v>
      </c>
      <c r="I46" s="281">
        <f t="shared" si="17"/>
        <v>95078.359469202944</v>
      </c>
      <c r="J46" s="281">
        <f t="shared" si="17"/>
        <v>30811.047115571571</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115145.136</v>
      </c>
      <c r="D47" s="252"/>
      <c r="E47" s="253"/>
      <c r="F47" s="252"/>
      <c r="G47" s="285">
        <f>Data!C52</f>
        <v>429525</v>
      </c>
      <c r="H47" s="285">
        <f>Data!D52</f>
        <v>500556</v>
      </c>
      <c r="I47" s="285">
        <f>Data!E52</f>
        <v>447748</v>
      </c>
      <c r="J47" s="285">
        <f>Data!F52</f>
        <v>145097</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-82187.949104634172</v>
      </c>
      <c r="E48" s="241"/>
      <c r="G48" s="274">
        <f>IF(G$4="","",(G45+G46))</f>
        <v>-163212.256798446</v>
      </c>
      <c r="H48" s="274">
        <f t="shared" ref="H48:Q48" si="18">IF(H$4="","",(H45+H46))</f>
        <v>-75153.971219377083</v>
      </c>
      <c r="I48" s="274">
        <f t="shared" si="18"/>
        <v>-25482.640530797056</v>
      </c>
      <c r="J48" s="274">
        <f t="shared" si="18"/>
        <v>-81646.952884428436</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8"/>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41"/>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256299</v>
      </c>
      <c r="H57" s="273">
        <f>Data!D55</f>
        <v>377972</v>
      </c>
      <c r="I57" s="273">
        <f>Data!E55</f>
        <v>201155</v>
      </c>
      <c r="J57" s="273">
        <f>Data!F55</f>
        <v>159222</v>
      </c>
      <c r="K57" s="273">
        <f>Data!G55</f>
        <v>83487</v>
      </c>
      <c r="L57" s="273">
        <f>Data!H55</f>
        <v>343469</v>
      </c>
      <c r="M57" s="273">
        <f>Data!I55</f>
        <v>63633</v>
      </c>
      <c r="N57" s="273">
        <f>Data!J55</f>
        <v>73806</v>
      </c>
      <c r="O57" s="273">
        <f>Data!K55</f>
        <v>9716</v>
      </c>
      <c r="P57" s="273">
        <f>Data!L55</f>
        <v>6948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256299</v>
      </c>
      <c r="H59" s="274">
        <f t="shared" si="20"/>
        <v>377972</v>
      </c>
      <c r="I59" s="274">
        <f t="shared" si="20"/>
        <v>201155</v>
      </c>
      <c r="J59" s="274">
        <f t="shared" si="20"/>
        <v>159222</v>
      </c>
      <c r="K59" s="274">
        <f t="shared" si="20"/>
        <v>83487</v>
      </c>
      <c r="L59" s="274">
        <f t="shared" si="20"/>
        <v>343469</v>
      </c>
      <c r="M59" s="274">
        <f t="shared" si="20"/>
        <v>63633</v>
      </c>
      <c r="N59" s="274">
        <f t="shared" si="20"/>
        <v>73806</v>
      </c>
      <c r="O59" s="274">
        <f t="shared" si="20"/>
        <v>9716</v>
      </c>
      <c r="P59" s="274">
        <f t="shared" si="20"/>
        <v>6948</v>
      </c>
      <c r="Q59" s="274" t="str">
        <f t="shared" si="20"/>
        <v/>
      </c>
    </row>
    <row r="60" spans="1:17" ht="15.75" customHeight="1">
      <c r="A60" s="10"/>
      <c r="B60" s="38" t="s">
        <v>135</v>
      </c>
      <c r="C60" s="286">
        <v>0</v>
      </c>
      <c r="E60" s="239" t="s">
        <v>264</v>
      </c>
      <c r="G60" s="273">
        <f>Data!C58</f>
        <v>148917</v>
      </c>
      <c r="H60" s="273">
        <f>Data!D58</f>
        <v>543305</v>
      </c>
      <c r="I60" s="273">
        <f>Data!E58</f>
        <v>829486</v>
      </c>
      <c r="J60" s="273">
        <f>Data!F58</f>
        <v>416030</v>
      </c>
      <c r="K60" s="273">
        <f>Data!G58</f>
        <v>299810</v>
      </c>
      <c r="L60" s="273">
        <f>Data!H58</f>
        <v>120949</v>
      </c>
      <c r="M60" s="273">
        <f>Data!I58</f>
        <v>122233</v>
      </c>
      <c r="N60" s="273">
        <f>Data!J58</f>
        <v>61676</v>
      </c>
      <c r="O60" s="273">
        <f>Data!K58</f>
        <v>411830</v>
      </c>
      <c r="P60" s="273">
        <f>Data!L58</f>
        <v>2276</v>
      </c>
      <c r="Q60" s="273" t="str">
        <f>Data!M58</f>
        <v/>
      </c>
    </row>
    <row r="61" spans="1:17" ht="15.75" customHeight="1">
      <c r="A61" s="10"/>
      <c r="B61" s="30" t="s">
        <v>164</v>
      </c>
      <c r="C61" s="274">
        <f>C59+C60</f>
        <v>0</v>
      </c>
      <c r="E61" s="241"/>
      <c r="G61" s="274">
        <f t="shared" ref="G61:Q61" si="21">IF(G4="","",G59+G60)</f>
        <v>405216</v>
      </c>
      <c r="H61" s="274">
        <f t="shared" si="21"/>
        <v>921277</v>
      </c>
      <c r="I61" s="274">
        <f t="shared" si="21"/>
        <v>1030641</v>
      </c>
      <c r="J61" s="274">
        <f t="shared" si="21"/>
        <v>575252</v>
      </c>
      <c r="K61" s="274">
        <f t="shared" si="21"/>
        <v>383297</v>
      </c>
      <c r="L61" s="274">
        <f t="shared" si="21"/>
        <v>464418</v>
      </c>
      <c r="M61" s="274">
        <f t="shared" si="21"/>
        <v>185866</v>
      </c>
      <c r="N61" s="274">
        <f t="shared" si="21"/>
        <v>135482</v>
      </c>
      <c r="O61" s="274">
        <f t="shared" si="21"/>
        <v>421546</v>
      </c>
      <c r="P61" s="274">
        <f t="shared" si="21"/>
        <v>9224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8"/>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8"/>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8"/>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8"/>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8"/>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3.1414470233237972E-3</v>
      </c>
      <c r="D76" s="26"/>
      <c r="E76" s="238"/>
      <c r="F76" s="26"/>
      <c r="G76" s="6">
        <f t="shared" ref="G76:Q76" si="28">IF(G$4="","",ABS(G10/G$4))</f>
        <v>5.6916685982750593E-3</v>
      </c>
      <c r="H76" s="6">
        <f t="shared" si="28"/>
        <v>2.7231188552800617E-3</v>
      </c>
      <c r="I76" s="6">
        <f t="shared" si="28"/>
        <v>9.8756975125304522E-4</v>
      </c>
      <c r="J76" s="6">
        <f t="shared" si="28"/>
        <v>3.6171334604787365E-3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0.11515137356238921</v>
      </c>
      <c r="D77" s="26"/>
      <c r="E77" s="238"/>
      <c r="F77" s="26"/>
      <c r="G77" s="62">
        <f t="shared" ref="G77:Q77" si="29">IF(G$4="","",G11/G$4)</f>
        <v>0.12632238946486932</v>
      </c>
      <c r="H77" s="62">
        <f t="shared" si="29"/>
        <v>0.12024570578082051</v>
      </c>
      <c r="I77" s="62">
        <f t="shared" si="29"/>
        <v>0.16404610044617807</v>
      </c>
      <c r="J77" s="62">
        <f t="shared" si="29"/>
        <v>0.21255809490921948</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2.8787843390597301E-2</v>
      </c>
      <c r="D78" s="26"/>
      <c r="E78" s="238"/>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8.6363530171791894E-2</v>
      </c>
      <c r="D80" s="26"/>
      <c r="E80" s="238"/>
      <c r="F80" s="26"/>
      <c r="G80" s="62">
        <f t="shared" ref="G80:Q80" si="32">IF(G$4="","",ABS(G14/G$4))</f>
        <v>8.807770215306257E-2</v>
      </c>
      <c r="H80" s="62">
        <f t="shared" si="32"/>
        <v>8.1502319412341165E-2</v>
      </c>
      <c r="I80" s="62">
        <f t="shared" si="32"/>
        <v>0.11167587441806384</v>
      </c>
      <c r="J80" s="62">
        <f t="shared" si="32"/>
        <v>0.15419642556795973</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8.6363530171791894E-2</v>
      </c>
      <c r="D85" s="72"/>
      <c r="E85" s="238"/>
      <c r="F85" s="72"/>
      <c r="G85" s="62">
        <f t="shared" ref="G85:Q85" si="35">IF(G$4="","",ABS(G19/G$4))</f>
        <v>8.807770215306257E-2</v>
      </c>
      <c r="H85" s="62">
        <f t="shared" si="35"/>
        <v>8.1502319412341165E-2</v>
      </c>
      <c r="I85" s="62">
        <f t="shared" si="35"/>
        <v>0.11167587441806384</v>
      </c>
      <c r="J85" s="62">
        <f t="shared" si="35"/>
        <v>0.15419642556795973</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0.53513055208928584</v>
      </c>
      <c r="E88" s="241"/>
      <c r="G88" s="109">
        <f>Data!C65</f>
        <v>0.53513055208928584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1383211.3401521118</v>
      </c>
      <c r="E89" s="241"/>
      <c r="G89" s="71">
        <f t="shared" ref="G89:Q89" si="36">IF(G$4="","",G88*Common_Shares/scaling_factor)</f>
        <v>1383211.3401521118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0.61218086633363611</v>
      </c>
      <c r="E90" s="241"/>
      <c r="G90" s="152">
        <f t="shared" ref="G90:Q90" si="37">IF(G$4="","",G88/(G19*scaling_factor/Common_Shares))</f>
        <v>0.54765795449148391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3.0968203245907742E-2</v>
      </c>
      <c r="E92" s="241"/>
      <c r="G92" s="22">
        <f t="shared" ref="G92:Q92" si="38">IF(G$4="","",(G88*(1-dividend_tax_rate))/Market_Price)</f>
        <v>3.0968203245907742E-2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-8.7642097511117734E-2</v>
      </c>
      <c r="D95" s="26"/>
      <c r="E95" s="238"/>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-0.1683242685865084</v>
      </c>
      <c r="D96" s="26"/>
      <c r="E96" s="238"/>
      <c r="F96" s="26"/>
      <c r="G96" s="6">
        <f t="shared" ref="G96:Q96" si="40">IF(H5="","",G11/H11-1)</f>
        <v>9.1537308439230358E-2</v>
      </c>
      <c r="H96" s="6">
        <f t="shared" si="40"/>
        <v>-0.21600669723975208</v>
      </c>
      <c r="I96" s="6">
        <f t="shared" si="40"/>
        <v>-0.11775447784536242</v>
      </c>
      <c r="J96" s="6">
        <f t="shared" si="40"/>
        <v>1.4629289455973122</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36780388</v>
      </c>
      <c r="D100" s="25"/>
      <c r="E100" s="242"/>
      <c r="F100" s="25"/>
      <c r="G100" s="277">
        <f t="shared" ref="G100:Q100" si="41">IF(G$4="","",G104+G103)</f>
        <v>36780388</v>
      </c>
      <c r="H100" s="277">
        <f t="shared" si="41"/>
        <v>34207803</v>
      </c>
      <c r="I100" s="277">
        <f t="shared" si="41"/>
        <v>33646519</v>
      </c>
      <c r="J100" s="277">
        <f t="shared" si="41"/>
        <v>30274816</v>
      </c>
      <c r="K100" s="277">
        <f t="shared" si="41"/>
        <v>14593865</v>
      </c>
      <c r="L100" s="277">
        <f t="shared" si="41"/>
        <v>12547474</v>
      </c>
      <c r="M100" s="277">
        <f t="shared" si="41"/>
        <v>8727305</v>
      </c>
      <c r="N100" s="277">
        <f t="shared" si="41"/>
        <v>7321349</v>
      </c>
      <c r="O100" s="277">
        <f t="shared" si="41"/>
        <v>6780494</v>
      </c>
      <c r="P100" s="277">
        <f t="shared" si="41"/>
        <v>6897458</v>
      </c>
      <c r="Q100" s="277" t="str">
        <f t="shared" si="41"/>
        <v/>
      </c>
    </row>
    <row r="101" spans="1:17" ht="15.75" customHeight="1">
      <c r="A101" s="10"/>
      <c r="B101" s="90" t="s">
        <v>179</v>
      </c>
      <c r="C101" s="288">
        <f>BS!C4</f>
        <v>1597813</v>
      </c>
      <c r="D101" s="86"/>
      <c r="E101" s="243"/>
      <c r="F101" s="86"/>
      <c r="G101" s="289">
        <f>IF(G$4="","",Data!D77)</f>
        <v>1205532</v>
      </c>
      <c r="H101" s="289">
        <f>IF(H$4="","",Data!E77)</f>
        <v>1020346</v>
      </c>
      <c r="I101" s="289">
        <f>IF(I$4="","",Data!F77)</f>
        <v>902857</v>
      </c>
      <c r="J101" s="289">
        <f>IF(J$4="","",Data!G77)</f>
        <v>658796</v>
      </c>
      <c r="K101" s="289">
        <f>IF(K$4="","",Data!H77)</f>
        <v>686606</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2428290</v>
      </c>
      <c r="D102" s="86"/>
      <c r="E102" s="243"/>
      <c r="F102" s="86"/>
      <c r="G102" s="289">
        <f>IF(G$4="","",Data!D78)</f>
        <v>2493206</v>
      </c>
      <c r="H102" s="289">
        <f>IF(H$4="","",Data!E78)</f>
        <v>2428040</v>
      </c>
      <c r="I102" s="289">
        <f>IF(I$4="","",Data!F78)</f>
        <v>1772803</v>
      </c>
      <c r="J102" s="289">
        <f>IF(J$4="","",Data!G78)</f>
        <v>1345539</v>
      </c>
      <c r="K102" s="289">
        <f>IF(K$4="","",Data!H78)</f>
        <v>1407257</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9611695</v>
      </c>
      <c r="D103" s="25"/>
      <c r="E103" s="242"/>
      <c r="F103" s="25"/>
      <c r="G103" s="277">
        <f>Data!C79</f>
        <v>9611695</v>
      </c>
      <c r="H103" s="277">
        <f>Data!D79</f>
        <v>9801162</v>
      </c>
      <c r="I103" s="277">
        <f>Data!E79</f>
        <v>9314591</v>
      </c>
      <c r="J103" s="277">
        <f>Data!F79</f>
        <v>9170709</v>
      </c>
      <c r="K103" s="277">
        <f>Data!G79</f>
        <v>5904448</v>
      </c>
      <c r="L103" s="277">
        <f>Data!H79</f>
        <v>5423281</v>
      </c>
      <c r="M103" s="277">
        <f>Data!I79</f>
        <v>2907715</v>
      </c>
      <c r="N103" s="277">
        <f>Data!J79</f>
        <v>2247752</v>
      </c>
      <c r="O103" s="277">
        <f>Data!K79</f>
        <v>2783345</v>
      </c>
      <c r="P103" s="277">
        <f>Data!L79</f>
        <v>3486918</v>
      </c>
      <c r="Q103" s="277" t="str">
        <f>Data!M79</f>
        <v/>
      </c>
    </row>
    <row r="104" spans="1:17" ht="15.75" customHeight="1">
      <c r="A104" s="10"/>
      <c r="B104" s="25" t="s">
        <v>28</v>
      </c>
      <c r="C104" s="287">
        <f>BS!G27</f>
        <v>27168693</v>
      </c>
      <c r="D104" s="25"/>
      <c r="E104" s="242"/>
      <c r="F104" s="25"/>
      <c r="G104" s="277">
        <f>Data!C80</f>
        <v>27168693</v>
      </c>
      <c r="H104" s="277">
        <f>Data!D80</f>
        <v>24406641</v>
      </c>
      <c r="I104" s="277">
        <f>Data!E80</f>
        <v>24331928</v>
      </c>
      <c r="J104" s="277">
        <f>Data!F80</f>
        <v>21104107</v>
      </c>
      <c r="K104" s="277">
        <f>Data!G80</f>
        <v>8689417</v>
      </c>
      <c r="L104" s="277">
        <f>Data!H80</f>
        <v>7124193</v>
      </c>
      <c r="M104" s="277">
        <f>Data!I80</f>
        <v>5819590</v>
      </c>
      <c r="N104" s="277">
        <f>Data!J80</f>
        <v>5073597</v>
      </c>
      <c r="O104" s="277">
        <f>Data!K80</f>
        <v>3997149</v>
      </c>
      <c r="P104" s="277">
        <f>Data!L80</f>
        <v>3410540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2"/>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2"/>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1.748449509744374</v>
      </c>
      <c r="H112" s="257">
        <f>IF(H$4="","",Data!D$22/Data!D15)</f>
        <v>1.4709732968262565</v>
      </c>
      <c r="I112" s="257">
        <f>IF(I$4="","",Data!E$22/Data!E15)</f>
        <v>0.96304737643927274</v>
      </c>
      <c r="J112" s="257">
        <f>IF(J$4="","",Data!F$22/Data!F15)</f>
        <v>1.6269053137360105</v>
      </c>
      <c r="K112" s="257">
        <f>IF(K$4="","",Data!G$22/Data!G15)</f>
        <v>1.6269426147081751</v>
      </c>
      <c r="L112" s="257">
        <f>IF(L$4="","",Data!H$22/Data!H15)</f>
        <v>2.3369811952562229</v>
      </c>
      <c r="M112" s="257">
        <f>IF(M$4="","",Data!I$22/Data!I15)</f>
        <v>2.3374185439481701</v>
      </c>
      <c r="N112" s="257">
        <f>IF(N$4="","",Data!J$22/Data!J15)</f>
        <v>2.250085896477759</v>
      </c>
      <c r="O112" s="257">
        <f>IF(O$4="","",Data!K$22/Data!K15)</f>
        <v>1.4203453141742608</v>
      </c>
      <c r="P112" s="257">
        <f>IF(P$4="","",Data!L$22/Data!L15)</f>
        <v>11.152390228065904</v>
      </c>
      <c r="Q112" s="257" t="str">
        <f>IF(Q$4="","",Data!M$22/Data!M15)</f>
        <v/>
      </c>
    </row>
    <row r="113" spans="1:17" ht="15.75" customHeight="1">
      <c r="A113" s="10"/>
      <c r="B113" s="2" t="s">
        <v>304</v>
      </c>
      <c r="C113" s="151"/>
      <c r="E113" s="241"/>
      <c r="G113" s="257">
        <f>IF(G$4="","",Data!C$22/G19)</f>
        <v>2.0857452673695032</v>
      </c>
      <c r="H113" s="257">
        <f>IF(H$4="","",Data!D$22/H19)</f>
        <v>2.0841375051702808</v>
      </c>
      <c r="I113" s="257">
        <f>IF(I$4="","",Data!E$22/I19)</f>
        <v>1.3581285188321908</v>
      </c>
      <c r="J113" s="257">
        <f>IF(J$4="","",Data!F$22/J19)</f>
        <v>1.8747918546753501</v>
      </c>
      <c r="K113" s="257">
        <f>IF(K$4="","",Data!G$22/K19)</f>
        <v>1.9756826823119611</v>
      </c>
      <c r="L113" s="257">
        <f>IF(L$4="","",Data!H$22/L19)</f>
        <v>2.5420798293413824</v>
      </c>
      <c r="M113" s="257">
        <f>IF(M$4="","",Data!I$22/M19)</f>
        <v>2.8191980169637287</v>
      </c>
      <c r="N113" s="257">
        <f>IF(N$4="","",Data!J$22/N19)</f>
        <v>2.5561117493864103</v>
      </c>
      <c r="O113" s="257">
        <f>IF(O$4="","",Data!K$22/O19)</f>
        <v>4.3015244745575218</v>
      </c>
      <c r="P113" s="257">
        <f>IF(P$4="","",Data!L$22/P19)</f>
        <v>57.096567771960444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0.11515137356238921</v>
      </c>
      <c r="E116" s="241"/>
      <c r="G116" s="22">
        <f t="shared" ref="G116:Q116" si="44">IF(G4="","",G77)</f>
        <v>0.12632238946486932</v>
      </c>
      <c r="H116" s="22">
        <f t="shared" si="44"/>
        <v>0.12024570578082051</v>
      </c>
      <c r="I116" s="22">
        <f t="shared" si="44"/>
        <v>0.16404610044617807</v>
      </c>
      <c r="J116" s="22">
        <f t="shared" si="44"/>
        <v>0.21255809490921948</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1"/>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5"/>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0.11088652647669296</v>
      </c>
      <c r="D119" s="100"/>
      <c r="E119" s="244"/>
      <c r="F119" s="100"/>
      <c r="G119" s="99">
        <f t="shared" ref="G119:Q119" si="47">IF(G$4="","",G11/G104)</f>
        <v>0.13332903953832279</v>
      </c>
      <c r="H119" s="99">
        <f t="shared" si="47"/>
        <v>0.13597119033219782</v>
      </c>
      <c r="I119" s="99">
        <f t="shared" si="47"/>
        <v>0.17396666468309471</v>
      </c>
      <c r="J119" s="99">
        <f t="shared" si="47"/>
        <v>0.22734537154856027</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0.95527324057411211</v>
      </c>
      <c r="D123" s="26"/>
      <c r="E123" s="238"/>
      <c r="F123" s="26"/>
      <c r="G123" s="159">
        <f t="shared" ref="G123:Q123" si="48">IF(G$4="","",G14*$C$3/Common_Shares*Exchange_Rate)</f>
        <v>1.0678197864267369</v>
      </c>
      <c r="H123" s="159">
        <f t="shared" si="48"/>
        <v>0.95098601019729356</v>
      </c>
      <c r="I123" s="159">
        <f t="shared" si="48"/>
        <v>1.2183016530447703</v>
      </c>
      <c r="J123" s="159">
        <f t="shared" si="48"/>
        <v>1.4715281609311772</v>
      </c>
      <c r="K123" s="159">
        <f t="shared" si="48"/>
        <v>0.59133736939291615</v>
      </c>
      <c r="L123" s="159">
        <f t="shared" si="48"/>
        <v>0.58267705635739497</v>
      </c>
      <c r="M123" s="159">
        <f t="shared" si="48"/>
        <v>0.25072375705209438</v>
      </c>
      <c r="N123" s="159">
        <f t="shared" si="48"/>
        <v>0.19172378905658519</v>
      </c>
      <c r="O123" s="159">
        <f t="shared" si="48"/>
        <v>9.7842427452277114E-2</v>
      </c>
      <c r="P123" s="159">
        <f t="shared" si="48"/>
        <v>5.0873631496009507E-3</v>
      </c>
      <c r="Q123" s="159" t="str">
        <f t="shared" si="48"/>
        <v/>
      </c>
    </row>
    <row r="124" spans="1:17" ht="15.75" customHeight="1">
      <c r="A124" s="10"/>
      <c r="B124" s="26" t="s">
        <v>226</v>
      </c>
      <c r="C124" s="74">
        <f>C19*Exchange_Rate*$C$3/(Market_Price*Common_Shares)</f>
        <v>5.5282016236927779E-2</v>
      </c>
      <c r="D124" s="26"/>
      <c r="E124" s="238"/>
      <c r="F124" s="26"/>
      <c r="G124" s="74">
        <f t="shared" ref="G124" si="49">IF(G$4="","",G123/Market_Price)</f>
        <v>6.1795126529325048E-2</v>
      </c>
      <c r="H124" s="74">
        <f t="shared" ref="H124" si="50">IF(H$4="","",H123/Market_Price)</f>
        <v>5.5033912627158191E-2</v>
      </c>
      <c r="I124" s="74">
        <f t="shared" ref="I124" si="51">IF(I$4="","",I123/Market_Price)</f>
        <v>7.0503567884535309E-2</v>
      </c>
      <c r="J124" s="74">
        <f t="shared" ref="J124" si="52">IF(J$4="","",J123/Market_Price)</f>
        <v>8.5157879683517193E-2</v>
      </c>
      <c r="K124" s="74">
        <f t="shared" ref="K124" si="53">IF(K$4="","",K123/Market_Price)</f>
        <v>3.4220912580608574E-2</v>
      </c>
      <c r="L124" s="74">
        <f t="shared" ref="L124" si="54">IF(L$4="","",L123/Market_Price)</f>
        <v>3.3719737057719613E-2</v>
      </c>
      <c r="M124" s="74">
        <f t="shared" ref="M124" si="55">IF(M$4="","",M123/Market_Price)</f>
        <v>1.450947668125546E-2</v>
      </c>
      <c r="N124" s="74">
        <f t="shared" ref="N124" si="56">IF(N$4="","",N123/Market_Price)</f>
        <v>1.1095126681515346E-2</v>
      </c>
      <c r="O124" s="74">
        <f t="shared" ref="O124" si="57">IF(O$4="","",O123/Market_Price)</f>
        <v>5.6621775145993701E-3</v>
      </c>
      <c r="P124" s="74">
        <f t="shared" ref="P124" si="58">IF(P$4="","",P123/Market_Price)</f>
        <v>2.944075896759809E-4</v>
      </c>
      <c r="Q124" s="74" t="str">
        <f t="shared" ref="Q124" si="59">IF(Q$4="","",Q123/Market_Price)</f>
        <v/>
      </c>
    </row>
    <row r="125" spans="1:17" ht="15.75" customHeight="1">
      <c r="B125" s="2" t="s">
        <v>306</v>
      </c>
      <c r="C125" s="151"/>
      <c r="G125" s="22">
        <f>IF(G$4="","",(Data!C47*$C$3)/(Market_Price*Common_Shares))</f>
        <v>6.7455098348885106E-2</v>
      </c>
      <c r="H125" s="22">
        <f>IF(H$4="","",(Data!D47*$C$3)/(Market_Price*Common_Shares))</f>
        <v>7.1351704608011102E-2</v>
      </c>
      <c r="I125" s="22">
        <f>IF(I$4="","",(Data!E47*$C$3)/(Market_Price*Common_Shares))</f>
        <v>9.0982254569273766E-2</v>
      </c>
      <c r="J125" s="22">
        <f>IF(J$4="","",(Data!F47*$C$3)/(Market_Price*Common_Shares))</f>
        <v>8.9798276788934539E-2</v>
      </c>
      <c r="K125" s="22">
        <f>IF(K$4="","",(Data!G47*$C$3)/(Market_Price*Common_Shares))</f>
        <v>3.8026725342013214E-2</v>
      </c>
      <c r="L125" s="22">
        <f>IF(L$4="","",(Data!H47*$C$3)/(Market_Price*Common_Shares))</f>
        <v>3.356375397672378E-2</v>
      </c>
      <c r="M125" s="22">
        <f>IF(M$4="","",(Data!I47*$C$3)/(Market_Price*Common_Shares))</f>
        <v>1.6013756766801689E-2</v>
      </c>
      <c r="N125" s="22">
        <f>IF(N$4="","",(Data!J47*$C$3)/(Market_Price*Common_Shares))</f>
        <v>1.1533613324332061E-2</v>
      </c>
      <c r="O125" s="22">
        <f>IF(O$4="","",(Data!K47*$C$3)/(Market_Price*Common_Shares))</f>
        <v>1.5691494864674298E-2</v>
      </c>
      <c r="P125" s="22">
        <f>IF(P$4="","",(Data!L47*$C$3)/(Market_Price*Common_Shares))</f>
        <v>1.3792513881171233E-3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2259481.4967612317</v>
      </c>
      <c r="D4" t="str">
        <f>Reporting_currency</f>
        <v>CNY</v>
      </c>
      <c r="E4" s="135" t="s">
        <v>434</v>
      </c>
      <c r="F4" s="282">
        <f>-BS!G31</f>
        <v>-1777313</v>
      </c>
      <c r="G4" t="str">
        <f>Reporting_currency</f>
        <v>CNY</v>
      </c>
      <c r="H4" s="315" t="s">
        <v>394</v>
      </c>
      <c r="I4" s="312">
        <f>Normalized_FCF!C4</f>
        <v>26162449.5</v>
      </c>
      <c r="J4" s="312"/>
    </row>
    <row r="5" spans="2:15">
      <c r="B5" s="187" t="s">
        <v>105</v>
      </c>
      <c r="C5" s="188">
        <f>Equity_Cost</f>
        <v>7.2499999999999995E-2</v>
      </c>
      <c r="E5" s="135" t="s">
        <v>435</v>
      </c>
      <c r="F5" s="282">
        <f>BS!D66</f>
        <v>15115717.517439028</v>
      </c>
      <c r="G5" t="str">
        <f>Reporting_currency</f>
        <v>CNY</v>
      </c>
      <c r="H5" s="315" t="s">
        <v>396</v>
      </c>
      <c r="I5" s="312">
        <f>Normalized_FCF!C7</f>
        <v>-1427907</v>
      </c>
      <c r="J5" s="312"/>
    </row>
    <row r="6" spans="2:15" ht="13.25" customHeight="1">
      <c r="B6" s="136" t="s">
        <v>194</v>
      </c>
      <c r="C6" s="290">
        <f>(C4*(1+Terminal_Growth))/(Equity_Cost-Terminal_Growth)</f>
        <v>31165262.024292853</v>
      </c>
      <c r="D6" t="str">
        <f>Reporting_currency</f>
        <v>CNY</v>
      </c>
      <c r="E6" s="187" t="s">
        <v>436</v>
      </c>
      <c r="F6" s="291">
        <f>BS!H42</f>
        <v>1668728.8</v>
      </c>
      <c r="G6" t="str">
        <f>Reporting_currency</f>
        <v>CNY</v>
      </c>
      <c r="H6" s="315" t="s">
        <v>418</v>
      </c>
      <c r="I6" s="312">
        <f>I7+I8</f>
        <v>-82187.949104634172</v>
      </c>
      <c r="J6" s="312"/>
      <c r="N6" s="135"/>
    </row>
    <row r="7" spans="2:15" ht="12.75" customHeight="1">
      <c r="B7" s="325" t="s">
        <v>433</v>
      </c>
      <c r="C7" s="282">
        <f>F7</f>
        <v>15007133.317439029</v>
      </c>
      <c r="E7" s="140" t="s">
        <v>427</v>
      </c>
      <c r="F7" s="290">
        <f>SUM(F4:F6)</f>
        <v>15007133.317439029</v>
      </c>
      <c r="G7" t="str">
        <f>Reporting_currency</f>
        <v>CNY</v>
      </c>
      <c r="H7" s="319" t="s">
        <v>419</v>
      </c>
      <c r="I7" s="320">
        <f>Normalized_FCF!C9</f>
        <v>0</v>
      </c>
      <c r="J7" s="320"/>
      <c r="N7" s="311"/>
      <c r="O7" s="311"/>
    </row>
    <row r="8" spans="2:15" ht="13.15">
      <c r="B8" s="136" t="s">
        <v>429</v>
      </c>
      <c r="C8" s="290">
        <f>C6+C7</f>
        <v>46172395.341731884</v>
      </c>
      <c r="D8" t="str">
        <f>Reporting_currency</f>
        <v>CNY</v>
      </c>
      <c r="E8" s="140" t="s">
        <v>467</v>
      </c>
      <c r="F8" s="108">
        <f>FV_adjustments*scaling_factor/Common_Shares*Exchange_Rate</f>
        <v>6.3447799401884808</v>
      </c>
      <c r="G8" s="301" t="str">
        <f>Market_currency</f>
        <v>HKD</v>
      </c>
      <c r="H8" s="321" t="str">
        <f>Normalized_FCF!B10</f>
        <v>Net Interest Income</v>
      </c>
      <c r="I8" s="320">
        <f>Normalized_FCF!C10</f>
        <v>-82187.949104634172</v>
      </c>
      <c r="J8" s="320"/>
      <c r="N8" s="311"/>
      <c r="O8" s="311"/>
    </row>
    <row r="9" spans="2:15" ht="13.15" thickBot="1">
      <c r="B9" s="189" t="str">
        <f>"*"&amp;Thesis!E15</f>
        <v>*CNY/HKD</v>
      </c>
      <c r="C9" s="190">
        <f>Exchange_Rate</f>
        <v>1.0928174399999999</v>
      </c>
      <c r="D9" t="str">
        <f>Thesis!E15</f>
        <v>CNY/HKD</v>
      </c>
      <c r="F9" s="329"/>
      <c r="H9" s="315" t="str">
        <f>Normalized_FCF!B79</f>
        <v>NCI’s Share of Profits</v>
      </c>
      <c r="I9" s="144">
        <f>Normalized_FCF!C79</f>
        <v>0</v>
      </c>
      <c r="J9" s="313"/>
      <c r="N9" s="311"/>
      <c r="O9" s="311"/>
    </row>
    <row r="10" spans="2:15" ht="13.5" thickTop="1">
      <c r="B10" s="107" t="s">
        <v>430</v>
      </c>
      <c r="C10" s="290">
        <f>C8*Exchange_Rate</f>
        <v>50457998.876019359</v>
      </c>
      <c r="D10" t="str">
        <f>Market_currency</f>
        <v>HKD</v>
      </c>
      <c r="H10" s="315" t="s">
        <v>398</v>
      </c>
      <c r="I10" s="313">
        <f>Normalized_FCF!C41</f>
        <v>0.25</v>
      </c>
      <c r="N10" s="311"/>
      <c r="O10" s="311"/>
    </row>
    <row r="11" spans="2:15" ht="13.15">
      <c r="B11" s="136" t="s">
        <v>428</v>
      </c>
      <c r="C11" s="108">
        <f>(C10*scaling_factor)/Common_Shares</f>
        <v>19.520962568796921</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10</v>
      </c>
      <c r="E15" s="315" t="str">
        <f>IF(F14="II","Change year","Terminal Year")</f>
        <v>Terminal Year</v>
      </c>
      <c r="F15" s="317">
        <f>IF(F14="II",_xlfn.CEILING.MATH(C15/2),C15+1)</f>
        <v>11</v>
      </c>
      <c r="H15" s="97" t="s">
        <v>432</v>
      </c>
      <c r="I15" s="126">
        <f>Terminal_Growth</f>
        <v>0</v>
      </c>
      <c r="J15" s="126"/>
    </row>
    <row r="16" spans="2:15" ht="13.25" customHeight="1">
      <c r="B16" s="114" t="s">
        <v>425</v>
      </c>
      <c r="C16" s="147">
        <f>Scenarios!C46</f>
        <v>1.8613012126595999E-2</v>
      </c>
      <c r="E16" s="315" t="s">
        <v>401</v>
      </c>
      <c r="F16" s="318">
        <f>Scenarios!C41</f>
        <v>1.8613012126595999E-2</v>
      </c>
    </row>
    <row r="17" spans="1:21" ht="13.25" customHeight="1">
      <c r="B17" s="315" t="s">
        <v>395</v>
      </c>
      <c r="C17" s="313">
        <f>Normalized_FCF!C32</f>
        <v>0.82712868897133363</v>
      </c>
      <c r="E17" s="315" t="s">
        <v>402</v>
      </c>
      <c r="F17" s="318">
        <f>Scenarios!C40</f>
        <v>0.82712868897133363</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21.540720350455334</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26649411.489804953</v>
      </c>
      <c r="D21" s="306">
        <f t="shared" ref="D21:D50" si="1">IF(A21="",0,IF(A21="I",$C$16,$F$16))</f>
        <v>1.8613012126595999E-2</v>
      </c>
      <c r="E21" s="306">
        <f>$C$17</f>
        <v>0.82712868897133363</v>
      </c>
      <c r="F21" s="284">
        <f>I5*(1+D21)</f>
        <v>-1454484.6503066511</v>
      </c>
      <c r="G21" s="284">
        <f>C21*(1-E21)+F21+$I$6</f>
        <v>3070246.1029737024</v>
      </c>
      <c r="H21" s="306">
        <f t="shared" ref="H21:H50" si="2">IF(A21="",0%,IF(A21="I",$C$18,$F$18))</f>
        <v>0</v>
      </c>
      <c r="I21" s="284">
        <f>(G21*(1-$I$10)+C21*(H21-$I$9))</f>
        <v>2302684.5772302765</v>
      </c>
      <c r="J21" s="306">
        <f>I21/C4-1</f>
        <v>1.9120794098545391E-2</v>
      </c>
      <c r="K21" s="119">
        <f t="shared" ref="K21:K50" si="3">IF($C$15&lt;B21,0,1/(1+Equity_Cost)^B21)</f>
        <v>0.93240093240093236</v>
      </c>
      <c r="L21" s="284">
        <f t="shared" ref="L21:L50" si="4">I21*K21</f>
        <v>2147025.2468347568</v>
      </c>
    </row>
    <row r="22" spans="1:21">
      <c r="A22" s="309" t="str">
        <f t="shared" si="0"/>
        <v>I</v>
      </c>
      <c r="B22" s="117">
        <v>2</v>
      </c>
      <c r="C22" s="284">
        <f t="shared" ref="C22:C50" si="5">IF(A22="",0,C21*(1+D22))</f>
        <v>27145437.309031337</v>
      </c>
      <c r="D22" s="306">
        <f t="shared" si="1"/>
        <v>1.8613012126595999E-2</v>
      </c>
      <c r="E22" s="306">
        <f t="shared" ref="E22:E50" si="6">IF($C$15&lt;B22,0,IF(B22&gt;=$F$15,$F$17,$C$17))</f>
        <v>0.82712868897133363</v>
      </c>
      <c r="F22" s="284">
        <f t="shared" ref="F22:F50" si="7">IF(A22="",0,F21*(1+D22))</f>
        <v>-1481556.9907407565</v>
      </c>
      <c r="G22" s="284">
        <f t="shared" ref="G22:G50" si="8">IF(A22="", 0,C22*(1-E22)+F22+$I$6)</f>
        <v>3128922.3962133303</v>
      </c>
      <c r="H22" s="306">
        <f t="shared" si="2"/>
        <v>0</v>
      </c>
      <c r="I22" s="284">
        <f>IF(A22="", 0,G22*(1-$I$10)+C22*(H22-$I$9))</f>
        <v>2346691.7971599977</v>
      </c>
      <c r="J22" s="306">
        <f>IF(A22="", 0,I22/I21-1)</f>
        <v>1.9111267068394611E-2</v>
      </c>
      <c r="K22" s="119">
        <f t="shared" si="3"/>
        <v>0.86937149874212816</v>
      </c>
      <c r="L22" s="284">
        <f t="shared" si="4"/>
        <v>2040146.9647828455</v>
      </c>
    </row>
    <row r="23" spans="1:21">
      <c r="A23" s="309" t="str">
        <f t="shared" si="0"/>
        <v>I</v>
      </c>
      <c r="B23" s="117">
        <v>3</v>
      </c>
      <c r="C23" s="284">
        <f t="shared" si="5"/>
        <v>27650695.662846088</v>
      </c>
      <c r="D23" s="306">
        <f t="shared" si="1"/>
        <v>1.8613012126595999E-2</v>
      </c>
      <c r="E23" s="306">
        <f t="shared" si="6"/>
        <v>0.82712868897133363</v>
      </c>
      <c r="F23" s="284">
        <f t="shared" si="7"/>
        <v>-1509133.2289756571</v>
      </c>
      <c r="G23" s="284">
        <f t="shared" si="8"/>
        <v>3188690.8320105709</v>
      </c>
      <c r="H23" s="306">
        <f t="shared" si="2"/>
        <v>0</v>
      </c>
      <c r="I23" s="284">
        <f t="shared" ref="I23:I50" si="9">IF(A23="", 0,G23*(1-$I$10)+C23*(H23-$I$9))</f>
        <v>2391518.1240079282</v>
      </c>
      <c r="J23" s="306">
        <f t="shared" ref="J23:J50" si="10">IF(A23="", 0,I23/I22-1)</f>
        <v>1.9101923355329342E-2</v>
      </c>
      <c r="K23" s="119">
        <f t="shared" si="3"/>
        <v>0.81060279602995633</v>
      </c>
      <c r="L23" s="284">
        <f t="shared" si="4"/>
        <v>1938571.2780771423</v>
      </c>
      <c r="N23" s="282"/>
      <c r="O23" s="282"/>
      <c r="P23" s="282"/>
      <c r="Q23" s="282"/>
      <c r="R23" s="282"/>
      <c r="S23" s="282"/>
      <c r="T23" s="282"/>
      <c r="U23" s="282"/>
    </row>
    <row r="24" spans="1:21">
      <c r="A24" s="309" t="str">
        <f t="shared" si="0"/>
        <v>I</v>
      </c>
      <c r="B24" s="117">
        <v>4</v>
      </c>
      <c r="C24" s="284">
        <f t="shared" si="5"/>
        <v>28165358.396527458</v>
      </c>
      <c r="D24" s="306">
        <f t="shared" si="1"/>
        <v>1.8613012126595999E-2</v>
      </c>
      <c r="E24" s="306">
        <f t="shared" si="6"/>
        <v>0.82712868897133363</v>
      </c>
      <c r="F24" s="284">
        <f t="shared" si="7"/>
        <v>-1537222.74406723</v>
      </c>
      <c r="G24" s="284">
        <f t="shared" si="8"/>
        <v>3249571.7384280935</v>
      </c>
      <c r="H24" s="306">
        <f t="shared" si="2"/>
        <v>0</v>
      </c>
      <c r="I24" s="284">
        <f t="shared" si="9"/>
        <v>2437178.8038210701</v>
      </c>
      <c r="J24" s="306">
        <f t="shared" si="10"/>
        <v>1.909275926231313E-2</v>
      </c>
      <c r="K24" s="119">
        <f t="shared" si="3"/>
        <v>0.75580680282513402</v>
      </c>
      <c r="L24" s="284">
        <f t="shared" si="4"/>
        <v>1842036.3196291875</v>
      </c>
      <c r="N24" s="282"/>
      <c r="O24" s="282"/>
      <c r="P24" s="282"/>
      <c r="Q24" s="282"/>
      <c r="R24" s="282"/>
      <c r="S24" s="282"/>
      <c r="T24" s="282"/>
      <c r="U24" s="282"/>
    </row>
    <row r="25" spans="1:21">
      <c r="A25" s="309" t="str">
        <f t="shared" si="0"/>
        <v>I</v>
      </c>
      <c r="B25" s="117">
        <v>5</v>
      </c>
      <c r="C25" s="284">
        <f t="shared" si="5"/>
        <v>28689600.553911943</v>
      </c>
      <c r="D25" s="306">
        <f t="shared" si="1"/>
        <v>1.8613012126595999E-2</v>
      </c>
      <c r="E25" s="306">
        <f t="shared" si="6"/>
        <v>0.82712868897133363</v>
      </c>
      <c r="F25" s="284">
        <f t="shared" si="7"/>
        <v>-1565835.0896438325</v>
      </c>
      <c r="G25" s="284">
        <f t="shared" si="8"/>
        <v>3311585.8218950443</v>
      </c>
      <c r="H25" s="306">
        <f t="shared" si="2"/>
        <v>0</v>
      </c>
      <c r="I25" s="284">
        <f t="shared" si="9"/>
        <v>2483689.3664212832</v>
      </c>
      <c r="J25" s="306">
        <f t="shared" si="10"/>
        <v>1.9083771173166619E-2</v>
      </c>
      <c r="K25" s="119">
        <f t="shared" si="3"/>
        <v>0.70471496766912267</v>
      </c>
      <c r="L25" s="284">
        <f t="shared" si="4"/>
        <v>1750293.0715577183</v>
      </c>
      <c r="N25" s="282"/>
      <c r="O25" s="282"/>
      <c r="P25" s="282"/>
      <c r="Q25" s="282"/>
      <c r="R25" s="282"/>
      <c r="S25" s="282"/>
      <c r="T25" s="282"/>
      <c r="U25" s="282"/>
    </row>
    <row r="26" spans="1:21">
      <c r="A26" s="309" t="str">
        <f t="shared" si="0"/>
        <v>I</v>
      </c>
      <c r="B26" s="117">
        <v>6</v>
      </c>
      <c r="C26" s="284">
        <f t="shared" si="5"/>
        <v>29223600.436929099</v>
      </c>
      <c r="D26" s="306">
        <f t="shared" si="1"/>
        <v>1.8613012126595999E-2</v>
      </c>
      <c r="E26" s="306">
        <f t="shared" si="6"/>
        <v>0.82712868897133363</v>
      </c>
      <c r="F26" s="284">
        <f t="shared" si="7"/>
        <v>-1594979.9971556226</v>
      </c>
      <c r="G26" s="284">
        <f t="shared" si="8"/>
        <v>3374754.1742495839</v>
      </c>
      <c r="H26" s="306">
        <f t="shared" si="2"/>
        <v>0</v>
      </c>
      <c r="I26" s="284">
        <f t="shared" si="9"/>
        <v>2531065.6306871879</v>
      </c>
      <c r="J26" s="306">
        <f t="shared" si="10"/>
        <v>1.907495555056804E-2</v>
      </c>
      <c r="K26" s="119">
        <f t="shared" si="3"/>
        <v>0.65707689293158289</v>
      </c>
      <c r="L26" s="284">
        <f t="shared" si="4"/>
        <v>1663104.7404178546</v>
      </c>
    </row>
    <row r="27" spans="1:21">
      <c r="A27" s="309" t="str">
        <f t="shared" si="0"/>
        <v>I</v>
      </c>
      <c r="B27" s="117">
        <v>7</v>
      </c>
      <c r="C27" s="284">
        <f t="shared" si="5"/>
        <v>29767539.666244455</v>
      </c>
      <c r="D27" s="306">
        <f t="shared" si="1"/>
        <v>1.8613012126595999E-2</v>
      </c>
      <c r="E27" s="306">
        <f t="shared" si="6"/>
        <v>0.82712868897133363</v>
      </c>
      <c r="F27" s="284">
        <f t="shared" si="7"/>
        <v>-1624667.3791843581</v>
      </c>
      <c r="G27" s="284">
        <f t="shared" si="8"/>
        <v>3439098.2799125165</v>
      </c>
      <c r="H27" s="306">
        <f t="shared" si="2"/>
        <v>0</v>
      </c>
      <c r="I27" s="284">
        <f t="shared" si="9"/>
        <v>2579323.7099343874</v>
      </c>
      <c r="J27" s="306">
        <f t="shared" si="10"/>
        <v>1.9066308934113874E-2</v>
      </c>
      <c r="K27" s="119">
        <f t="shared" si="3"/>
        <v>0.61265910762851561</v>
      </c>
      <c r="L27" s="284">
        <f t="shared" si="4"/>
        <v>1580246.1624134739</v>
      </c>
    </row>
    <row r="28" spans="1:21">
      <c r="A28" s="309" t="str">
        <f t="shared" si="0"/>
        <v>I</v>
      </c>
      <c r="B28" s="117">
        <v>8</v>
      </c>
      <c r="C28" s="284">
        <f t="shared" si="5"/>
        <v>30321603.243031189</v>
      </c>
      <c r="D28" s="306">
        <f t="shared" si="1"/>
        <v>1.8613012126595999E-2</v>
      </c>
      <c r="E28" s="306">
        <f t="shared" si="6"/>
        <v>0.82712868897133363</v>
      </c>
      <c r="F28" s="284">
        <f t="shared" si="7"/>
        <v>-1654907.3328148013</v>
      </c>
      <c r="G28" s="284">
        <f t="shared" si="8"/>
        <v>3504640.0231944276</v>
      </c>
      <c r="H28" s="306">
        <f t="shared" si="2"/>
        <v>0</v>
      </c>
      <c r="I28" s="284">
        <f t="shared" si="9"/>
        <v>2628480.0173958205</v>
      </c>
      <c r="J28" s="306">
        <f t="shared" si="10"/>
        <v>1.9057827938426364E-2</v>
      </c>
      <c r="K28" s="119">
        <f t="shared" si="3"/>
        <v>0.5712439231967511</v>
      </c>
      <c r="L28" s="284">
        <f t="shared" si="4"/>
        <v>1501503.237181453</v>
      </c>
    </row>
    <row r="29" spans="1:21">
      <c r="A29" s="309" t="str">
        <f t="shared" si="0"/>
        <v>I</v>
      </c>
      <c r="B29" s="117">
        <v>9</v>
      </c>
      <c r="C29" s="284">
        <f t="shared" si="5"/>
        <v>30885979.61189156</v>
      </c>
      <c r="D29" s="306">
        <f t="shared" si="1"/>
        <v>1.8613012126595999E-2</v>
      </c>
      <c r="E29" s="306">
        <f t="shared" si="6"/>
        <v>0.82712868897133363</v>
      </c>
      <c r="F29" s="284">
        <f t="shared" si="7"/>
        <v>-1685710.1430688757</v>
      </c>
      <c r="G29" s="284">
        <f t="shared" si="8"/>
        <v>3571401.6957388441</v>
      </c>
      <c r="H29" s="306">
        <f t="shared" si="2"/>
        <v>0</v>
      </c>
      <c r="I29" s="284">
        <f t="shared" si="9"/>
        <v>2678551.271804133</v>
      </c>
      <c r="J29" s="306">
        <f t="shared" si="10"/>
        <v>1.9049509251328089E-2</v>
      </c>
      <c r="K29" s="119">
        <f t="shared" si="3"/>
        <v>0.53262836661701729</v>
      </c>
      <c r="L29" s="284">
        <f t="shared" si="4"/>
        <v>1426672.3888009696</v>
      </c>
    </row>
    <row r="30" spans="1:21">
      <c r="A30" s="309" t="str">
        <f t="shared" si="0"/>
        <v>I</v>
      </c>
      <c r="B30" s="117">
        <v>10</v>
      </c>
      <c r="C30" s="284">
        <f t="shared" si="5"/>
        <v>31460860.724949494</v>
      </c>
      <c r="D30" s="306">
        <f t="shared" si="1"/>
        <v>1.8613012126595999E-2</v>
      </c>
      <c r="E30" s="306">
        <f t="shared" si="6"/>
        <v>0.82712868897133363</v>
      </c>
      <c r="F30" s="284">
        <f t="shared" si="7"/>
        <v>-1717086.2864037424</v>
      </c>
      <c r="G30" s="284">
        <f t="shared" si="8"/>
        <v>3639406.0041039214</v>
      </c>
      <c r="H30" s="306">
        <f t="shared" si="2"/>
        <v>0</v>
      </c>
      <c r="I30" s="284">
        <f t="shared" si="9"/>
        <v>2729554.503077941</v>
      </c>
      <c r="J30" s="306">
        <f t="shared" si="10"/>
        <v>1.9041349632054949E-2</v>
      </c>
      <c r="K30" s="119">
        <f t="shared" si="3"/>
        <v>0.49662318565689262</v>
      </c>
      <c r="L30" s="284">
        <f t="shared" si="4"/>
        <v>1355560.0527426836</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31460860.724949494</v>
      </c>
      <c r="D51" s="308">
        <f>Terminal_Growth</f>
        <v>0</v>
      </c>
      <c r="E51" s="308">
        <f>F17</f>
        <v>0.82712868897133363</v>
      </c>
      <c r="F51" s="284">
        <f>VLOOKUP(C15,B21:F50,5,FALSE)*(1+Terminal_Growth)</f>
        <v>-1717086.2864037424</v>
      </c>
      <c r="G51" s="284">
        <f>C51*(1-E51)+F51+$I$6</f>
        <v>3639406.0041039214</v>
      </c>
      <c r="H51" s="306">
        <f>F18</f>
        <v>0</v>
      </c>
      <c r="I51" s="284">
        <f>(G51*(1-$I$10)+C51*(H51-$I$9))/Equity_Cost</f>
        <v>37649027.62866126</v>
      </c>
      <c r="J51" s="422">
        <f>(G51*(1-$I$10)+C51*(H51-$I$9))/VLOOKUP(C15,B21:I50,8,FALSE)-1</f>
        <v>0</v>
      </c>
      <c r="K51" s="119">
        <f>1/(1+Equity_Cost)^C15</f>
        <v>0.49662318565689262</v>
      </c>
      <c r="L51" s="284">
        <f>I51*K51</f>
        <v>18697380.037830122</v>
      </c>
    </row>
    <row r="52" spans="1:21" ht="13.15">
      <c r="G52" s="111"/>
      <c r="H52" s="111"/>
      <c r="I52" s="111"/>
      <c r="J52" s="467" t="s">
        <v>423</v>
      </c>
      <c r="K52" s="467"/>
      <c r="L52" s="324">
        <f>SUM(L21:L51)</f>
        <v>35942539.500268206</v>
      </c>
    </row>
    <row r="53" spans="1:21">
      <c r="C53" s="111"/>
    </row>
    <row r="54" spans="1:21" ht="13.15">
      <c r="B54" s="115" t="s">
        <v>108</v>
      </c>
      <c r="C54" s="128"/>
      <c r="D54" s="128"/>
      <c r="E54" s="113"/>
      <c r="F54" s="113"/>
      <c r="G54" s="113"/>
      <c r="H54" s="113"/>
      <c r="I54" s="113"/>
      <c r="J54" s="113"/>
      <c r="K54" s="113"/>
      <c r="L54" s="113"/>
    </row>
    <row r="55" spans="1:21" ht="13.15">
      <c r="A55" s="125">
        <f>L52</f>
        <v>35942539.500268206</v>
      </c>
      <c r="B55" s="123">
        <f>C86</f>
        <v>0</v>
      </c>
      <c r="C55" s="123">
        <f>C85</f>
        <v>0.02</v>
      </c>
      <c r="D55" s="123">
        <f>C84</f>
        <v>0.04</v>
      </c>
      <c r="E55" s="123">
        <f>C83</f>
        <v>0.06</v>
      </c>
      <c r="F55" s="123">
        <f>C82</f>
        <v>0.1</v>
      </c>
      <c r="G55" s="123"/>
      <c r="H55" s="123"/>
      <c r="I55" s="123"/>
      <c r="J55" s="123"/>
      <c r="K55" s="123"/>
      <c r="L55" s="123"/>
    </row>
    <row r="56" spans="1:21" ht="13.15">
      <c r="A56" s="131">
        <v>5</v>
      </c>
      <c r="B56" s="118">
        <f t="dataTable" ref="B56:F65" dt2D="1" dtr="1" r1="C16" r2="C15"/>
        <v>31165262.024292856</v>
      </c>
      <c r="C56" s="118">
        <v>34068343.234128624</v>
      </c>
      <c r="D56" s="118">
        <v>37191874.50469657</v>
      </c>
      <c r="E56" s="118">
        <v>40548616.395344466</v>
      </c>
      <c r="F56" s="118">
        <v>48015233.129385501</v>
      </c>
      <c r="G56" s="302"/>
      <c r="H56" s="302"/>
      <c r="I56" s="302"/>
      <c r="J56" s="302"/>
      <c r="K56" s="302"/>
      <c r="L56" s="302"/>
    </row>
    <row r="57" spans="1:21" ht="13.15">
      <c r="A57" s="131">
        <v>6</v>
      </c>
      <c r="B57" s="118">
        <v>31165262.024292849</v>
      </c>
      <c r="C57" s="118">
        <v>34566544.007465959</v>
      </c>
      <c r="D57" s="118">
        <v>38289869.171576038</v>
      </c>
      <c r="E57" s="118">
        <v>42360182.222033404</v>
      </c>
      <c r="F57" s="118">
        <v>51648831.889286146</v>
      </c>
      <c r="G57" s="302"/>
      <c r="H57" s="302"/>
      <c r="I57" s="302"/>
      <c r="J57" s="302"/>
      <c r="K57" s="302"/>
      <c r="L57" s="302"/>
    </row>
    <row r="58" spans="1:21" ht="13.15">
      <c r="A58" s="131">
        <v>7</v>
      </c>
      <c r="B58" s="118">
        <v>31165262.024292856</v>
      </c>
      <c r="C58" s="118">
        <v>35040357.330360226</v>
      </c>
      <c r="D58" s="118">
        <v>39354591.272792511</v>
      </c>
      <c r="E58" s="118">
        <v>44150634.227898479</v>
      </c>
      <c r="F58" s="118">
        <v>55375599.848158613</v>
      </c>
      <c r="G58" s="302"/>
      <c r="H58" s="302"/>
      <c r="I58" s="302"/>
      <c r="J58" s="302"/>
      <c r="K58" s="302"/>
      <c r="L58" s="302"/>
    </row>
    <row r="59" spans="1:21" ht="13.15">
      <c r="A59" s="131">
        <v>8</v>
      </c>
      <c r="B59" s="118">
        <v>31165262.024292856</v>
      </c>
      <c r="C59" s="118">
        <v>35490976.994091824</v>
      </c>
      <c r="D59" s="118">
        <v>40387049.067911506</v>
      </c>
      <c r="E59" s="118">
        <v>45920218.494767435</v>
      </c>
      <c r="F59" s="118">
        <v>59197925.959822699</v>
      </c>
      <c r="G59" s="302"/>
      <c r="H59" s="302"/>
      <c r="I59" s="302"/>
      <c r="J59" s="302"/>
      <c r="K59" s="302"/>
      <c r="L59" s="302"/>
    </row>
    <row r="60" spans="1:21" ht="13.15">
      <c r="A60" s="131">
        <v>9</v>
      </c>
      <c r="B60" s="118">
        <v>31165262.024292853</v>
      </c>
      <c r="C60" s="118">
        <v>35919538.352605797</v>
      </c>
      <c r="D60" s="118">
        <v>41388220.263178416</v>
      </c>
      <c r="E60" s="118">
        <v>47669178.236381516</v>
      </c>
      <c r="F60" s="118">
        <v>63118260.433324277</v>
      </c>
      <c r="G60" s="302"/>
      <c r="H60" s="302"/>
      <c r="I60" s="302"/>
      <c r="J60" s="302"/>
      <c r="K60" s="302"/>
      <c r="L60" s="302"/>
    </row>
    <row r="61" spans="1:21" ht="13.15">
      <c r="A61" s="131">
        <v>10</v>
      </c>
      <c r="B61" s="118">
        <v>31165262.024292856</v>
      </c>
      <c r="C61" s="118">
        <v>36327121.183080629</v>
      </c>
      <c r="D61" s="118">
        <v>42359052.937376618</v>
      </c>
      <c r="E61" s="118">
        <v>49397753.831822947</v>
      </c>
      <c r="F61" s="118">
        <v>67139116.30358234</v>
      </c>
      <c r="G61" s="302"/>
      <c r="H61" s="302"/>
      <c r="I61" s="302"/>
      <c r="J61" s="302"/>
      <c r="K61" s="302"/>
      <c r="L61" s="302"/>
    </row>
    <row r="62" spans="1:21" ht="13.15">
      <c r="A62" s="131">
        <v>15</v>
      </c>
      <c r="B62" s="118">
        <v>31165262.024292856</v>
      </c>
      <c r="C62" s="284">
        <v>38084591.075891666</v>
      </c>
      <c r="D62" s="118">
        <v>46789358.19459556</v>
      </c>
      <c r="E62" s="118">
        <v>57743088.588791028</v>
      </c>
      <c r="F62" s="118">
        <v>88843777.12343353</v>
      </c>
      <c r="G62" s="302"/>
      <c r="H62" s="302"/>
      <c r="I62" s="302"/>
      <c r="J62" s="302"/>
      <c r="K62" s="302"/>
      <c r="L62" s="302"/>
      <c r="M62" s="282"/>
      <c r="N62" s="282"/>
      <c r="O62" s="282"/>
      <c r="P62" s="282"/>
      <c r="Q62" s="282"/>
      <c r="R62" s="282"/>
      <c r="S62" s="282"/>
      <c r="T62" s="282"/>
      <c r="U62" s="282"/>
    </row>
    <row r="63" spans="1:21" ht="13.15">
      <c r="A63" s="132">
        <v>20</v>
      </c>
      <c r="B63" s="118">
        <v>31165262.024292853</v>
      </c>
      <c r="C63" s="284">
        <v>39452012.085810021</v>
      </c>
      <c r="D63" s="118">
        <v>50587873.172906756</v>
      </c>
      <c r="E63" s="118">
        <v>65613303.364613801</v>
      </c>
      <c r="F63" s="118">
        <v>113477492.82926941</v>
      </c>
      <c r="G63" s="302"/>
      <c r="H63" s="302"/>
      <c r="I63" s="302"/>
      <c r="J63" s="302"/>
      <c r="K63" s="302"/>
      <c r="L63" s="302"/>
      <c r="M63" s="282"/>
      <c r="N63" s="282"/>
      <c r="O63" s="282"/>
      <c r="P63" s="282"/>
      <c r="Q63" s="282"/>
      <c r="R63" s="282"/>
      <c r="S63" s="282"/>
      <c r="T63" s="282"/>
      <c r="U63" s="282"/>
    </row>
    <row r="64" spans="1:21" ht="13.15">
      <c r="A64" s="132">
        <v>25</v>
      </c>
      <c r="B64" s="118">
        <v>31165262.024292856</v>
      </c>
      <c r="C64" s="284">
        <v>40515950.777456865</v>
      </c>
      <c r="D64" s="118">
        <v>53844695.265908986</v>
      </c>
      <c r="E64" s="118">
        <v>73035447.882646561</v>
      </c>
      <c r="F64" s="118">
        <v>141435540.85004035</v>
      </c>
      <c r="G64" s="302"/>
      <c r="H64" s="302"/>
      <c r="I64" s="302"/>
      <c r="J64" s="302"/>
      <c r="K64" s="302"/>
      <c r="L64" s="302"/>
      <c r="M64" s="282"/>
      <c r="N64" s="282"/>
      <c r="O64" s="282"/>
      <c r="P64" s="282"/>
      <c r="Q64" s="282"/>
      <c r="R64" s="282"/>
      <c r="S64" s="282"/>
      <c r="T64" s="282"/>
      <c r="U64" s="282"/>
    </row>
    <row r="65" spans="1:21" ht="13.15">
      <c r="A65" s="132">
        <v>30</v>
      </c>
      <c r="B65" s="118">
        <v>31165262.024292853</v>
      </c>
      <c r="C65" s="284">
        <v>41343761.32839378</v>
      </c>
      <c r="D65" s="118">
        <v>56637073.39421194</v>
      </c>
      <c r="E65" s="118">
        <v>80035031.860430062</v>
      </c>
      <c r="F65" s="118">
        <v>173166541.50239247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0.02</v>
      </c>
      <c r="D68" s="124">
        <f>D55</f>
        <v>0.04</v>
      </c>
      <c r="E68" s="124">
        <f>E55</f>
        <v>0.06</v>
      </c>
      <c r="F68" s="124">
        <f>F55</f>
        <v>0.1</v>
      </c>
      <c r="G68" s="124"/>
      <c r="H68" s="124"/>
      <c r="I68" s="124"/>
      <c r="J68" s="124"/>
      <c r="K68" s="124"/>
      <c r="L68" s="124"/>
    </row>
    <row r="69" spans="1:21" ht="13.15">
      <c r="A69" s="131">
        <v>0</v>
      </c>
      <c r="B69" s="119">
        <f>C11</f>
        <v>19.520962568796921</v>
      </c>
      <c r="C69" s="119">
        <f>C11</f>
        <v>19.520962568796921</v>
      </c>
      <c r="D69" s="119">
        <f>C11</f>
        <v>19.520962568796921</v>
      </c>
      <c r="E69" s="119">
        <f>C11</f>
        <v>19.520962568796921</v>
      </c>
      <c r="F69" s="119">
        <f>C11</f>
        <v>19.520962568796921</v>
      </c>
      <c r="G69" s="303"/>
      <c r="H69" s="303"/>
      <c r="I69" s="303"/>
      <c r="J69" s="303"/>
      <c r="K69" s="303"/>
      <c r="L69" s="303"/>
    </row>
    <row r="70" spans="1:21" ht="13.15">
      <c r="A70" s="131">
        <f>A56</f>
        <v>5</v>
      </c>
      <c r="B70" s="119">
        <f t="shared" ref="B70:F74" si="11">(B56+FV_adjustments)/Common_Shares*scaling_factor*Exchange_Rate</f>
        <v>19.520962568796925</v>
      </c>
      <c r="C70" s="119">
        <f t="shared" si="11"/>
        <v>20.748339645770034</v>
      </c>
      <c r="D70" s="119">
        <f t="shared" si="11"/>
        <v>22.068919541266887</v>
      </c>
      <c r="E70" s="119">
        <f t="shared" si="11"/>
        <v>23.488097219086541</v>
      </c>
      <c r="F70" s="119">
        <f t="shared" si="11"/>
        <v>26.644865342160934</v>
      </c>
      <c r="G70" s="303"/>
      <c r="H70" s="303"/>
      <c r="I70" s="303"/>
      <c r="J70" s="303"/>
      <c r="K70" s="303"/>
      <c r="L70" s="303"/>
    </row>
    <row r="71" spans="1:21" ht="13.15">
      <c r="A71" s="131">
        <v>6</v>
      </c>
      <c r="B71" s="119">
        <f t="shared" si="11"/>
        <v>19.520962568796921</v>
      </c>
      <c r="C71" s="119">
        <f t="shared" si="11"/>
        <v>20.958971097226783</v>
      </c>
      <c r="D71" s="119">
        <f t="shared" si="11"/>
        <v>22.533134417585423</v>
      </c>
      <c r="E71" s="119">
        <f t="shared" si="11"/>
        <v>24.253998758999586</v>
      </c>
      <c r="F71" s="119">
        <f t="shared" si="11"/>
        <v>28.181093750002226</v>
      </c>
      <c r="G71" s="303"/>
      <c r="H71" s="303"/>
      <c r="I71" s="303"/>
      <c r="J71" s="303"/>
      <c r="K71" s="303"/>
      <c r="L71" s="303"/>
    </row>
    <row r="72" spans="1:21" ht="13.15">
      <c r="A72" s="131">
        <f t="shared" ref="A72" si="12">A58</f>
        <v>7</v>
      </c>
      <c r="B72" s="119">
        <f t="shared" si="11"/>
        <v>19.520962568796925</v>
      </c>
      <c r="C72" s="119">
        <f t="shared" si="11"/>
        <v>21.15929191819265</v>
      </c>
      <c r="D72" s="119">
        <f t="shared" si="11"/>
        <v>22.983282176439772</v>
      </c>
      <c r="E72" s="119">
        <f t="shared" si="11"/>
        <v>25.010973707538362</v>
      </c>
      <c r="F72" s="119">
        <f t="shared" si="11"/>
        <v>29.756712629839456</v>
      </c>
      <c r="G72" s="303"/>
      <c r="H72" s="303"/>
      <c r="I72" s="303"/>
      <c r="J72" s="303"/>
      <c r="K72" s="303"/>
      <c r="L72" s="303"/>
    </row>
    <row r="73" spans="1:21" ht="13.15">
      <c r="A73" s="131">
        <v>8</v>
      </c>
      <c r="B73" s="119">
        <f t="shared" si="11"/>
        <v>19.520962568796925</v>
      </c>
      <c r="C73" s="119">
        <f t="shared" si="11"/>
        <v>21.349806824845498</v>
      </c>
      <c r="D73" s="119">
        <f t="shared" si="11"/>
        <v>23.419789094116712</v>
      </c>
      <c r="E73" s="119">
        <f t="shared" si="11"/>
        <v>25.759126104229356</v>
      </c>
      <c r="F73" s="119">
        <f t="shared" si="11"/>
        <v>31.372731993775076</v>
      </c>
      <c r="G73" s="303"/>
      <c r="H73" s="303"/>
      <c r="I73" s="303"/>
      <c r="J73" s="303"/>
      <c r="K73" s="303"/>
      <c r="L73" s="303"/>
    </row>
    <row r="74" spans="1:21" ht="13.15">
      <c r="A74" s="131">
        <f t="shared" ref="A74" si="13">A60</f>
        <v>9</v>
      </c>
      <c r="B74" s="119">
        <f t="shared" si="11"/>
        <v>19.520962568796925</v>
      </c>
      <c r="C74" s="119">
        <f t="shared" si="11"/>
        <v>21.530995826976877</v>
      </c>
      <c r="D74" s="119">
        <f t="shared" si="11"/>
        <v>23.843068529439805</v>
      </c>
      <c r="E74" s="119">
        <f t="shared" si="11"/>
        <v>26.498558776017198</v>
      </c>
      <c r="F74" s="119">
        <f t="shared" si="11"/>
        <v>33.030187751657749</v>
      </c>
      <c r="G74" s="303"/>
      <c r="H74" s="303"/>
      <c r="I74" s="303"/>
      <c r="J74" s="303"/>
      <c r="K74" s="303"/>
      <c r="L74" s="303"/>
    </row>
    <row r="75" spans="1:21" ht="13.15">
      <c r="A75" s="131">
        <f t="shared" ref="A75:A79" si="14">A61</f>
        <v>10</v>
      </c>
      <c r="B75" s="119">
        <f t="shared" ref="B75:F79" si="15">(B61+FV_adjustments)/Common_Shares*scaling_factor*Exchange_Rate</f>
        <v>19.520962568796925</v>
      </c>
      <c r="C75" s="119">
        <f t="shared" si="15"/>
        <v>21.703315437395535</v>
      </c>
      <c r="D75" s="119">
        <f t="shared" si="15"/>
        <v>24.253521315207653</v>
      </c>
      <c r="E75" s="119">
        <f t="shared" si="15"/>
        <v>27.229373351397253</v>
      </c>
      <c r="F75" s="119">
        <f t="shared" si="15"/>
        <v>34.730142375127166</v>
      </c>
      <c r="G75" s="303"/>
      <c r="H75" s="303"/>
      <c r="I75" s="303"/>
      <c r="J75" s="303"/>
      <c r="K75" s="303"/>
      <c r="L75" s="303"/>
    </row>
    <row r="76" spans="1:21" ht="13.15">
      <c r="A76" s="131">
        <f t="shared" si="14"/>
        <v>15</v>
      </c>
      <c r="B76" s="119">
        <f t="shared" si="15"/>
        <v>19.520962568796925</v>
      </c>
      <c r="C76" s="119">
        <f t="shared" si="15"/>
        <v>22.446346067265061</v>
      </c>
      <c r="D76" s="119">
        <f t="shared" si="15"/>
        <v>26.126584699821549</v>
      </c>
      <c r="E76" s="119">
        <f t="shared" si="15"/>
        <v>30.757649634425881</v>
      </c>
      <c r="F76" s="119">
        <f t="shared" si="15"/>
        <v>43.906531607197181</v>
      </c>
      <c r="G76" s="303"/>
      <c r="H76" s="303"/>
      <c r="I76" s="303"/>
      <c r="J76" s="303"/>
      <c r="K76" s="303"/>
      <c r="L76" s="303"/>
    </row>
    <row r="77" spans="1:21" ht="13.15">
      <c r="A77" s="132">
        <f t="shared" si="14"/>
        <v>20</v>
      </c>
      <c r="B77" s="119">
        <f t="shared" si="15"/>
        <v>19.520962568796925</v>
      </c>
      <c r="C77" s="119">
        <f t="shared" si="15"/>
        <v>23.024470163986475</v>
      </c>
      <c r="D77" s="119">
        <f t="shared" si="15"/>
        <v>27.732537091067925</v>
      </c>
      <c r="E77" s="119">
        <f t="shared" si="15"/>
        <v>34.085052661930725</v>
      </c>
      <c r="F77" s="119">
        <f t="shared" si="15"/>
        <v>54.321279178012077</v>
      </c>
      <c r="G77" s="303"/>
      <c r="H77" s="303"/>
      <c r="I77" s="303"/>
      <c r="J77" s="303"/>
      <c r="K77" s="303"/>
      <c r="L77" s="303"/>
    </row>
    <row r="78" spans="1:21" ht="13.15">
      <c r="A78" s="132">
        <f t="shared" si="14"/>
        <v>25</v>
      </c>
      <c r="B78" s="119">
        <f t="shared" si="15"/>
        <v>19.520962568796925</v>
      </c>
      <c r="C78" s="119">
        <f t="shared" si="15"/>
        <v>23.474286709595948</v>
      </c>
      <c r="D78" s="119">
        <f t="shared" si="15"/>
        <v>29.109470249943172</v>
      </c>
      <c r="E78" s="119">
        <f t="shared" si="15"/>
        <v>37.223018631518741</v>
      </c>
      <c r="F78" s="119">
        <f t="shared" si="15"/>
        <v>66.141502167760592</v>
      </c>
      <c r="G78" s="303"/>
      <c r="H78" s="303"/>
      <c r="I78" s="303"/>
      <c r="J78" s="303"/>
      <c r="K78" s="303"/>
      <c r="L78" s="303"/>
    </row>
    <row r="79" spans="1:21" ht="13.15">
      <c r="A79" s="132">
        <f t="shared" si="14"/>
        <v>30</v>
      </c>
      <c r="B79" s="119">
        <f t="shared" si="15"/>
        <v>19.520962568796925</v>
      </c>
      <c r="C79" s="119">
        <f t="shared" si="15"/>
        <v>23.824271991045901</v>
      </c>
      <c r="D79" s="119">
        <f t="shared" si="15"/>
        <v>30.290043805139721</v>
      </c>
      <c r="E79" s="119">
        <f t="shared" si="15"/>
        <v>40.182332650559125</v>
      </c>
      <c r="F79" s="119">
        <f t="shared" si="15"/>
        <v>79.55687019059279</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0.1</v>
      </c>
      <c r="D82" s="133">
        <f>Scenarios!D29</f>
        <v>10</v>
      </c>
      <c r="E82" s="127">
        <f>INDEX(B$69:F$79, MATCH(D82, A$69:A$79, 0), MATCH(C82, B$68:F$68, 0))</f>
        <v>34.730142375127166</v>
      </c>
      <c r="F82" s="130">
        <f>Scenarios!F29</f>
        <v>0.05</v>
      </c>
      <c r="G82" s="304"/>
      <c r="H82" s="304"/>
      <c r="I82" s="304"/>
      <c r="J82" s="304"/>
      <c r="K82" s="304"/>
      <c r="L82" s="304"/>
    </row>
    <row r="83" spans="2:12">
      <c r="B83" s="120" t="str">
        <f>Scenarios!B22</f>
        <v>Optimistic</v>
      </c>
      <c r="C83" s="130">
        <f>Scenarios!C22</f>
        <v>0.06</v>
      </c>
      <c r="D83" s="133">
        <f>Scenarios!D22</f>
        <v>10</v>
      </c>
      <c r="E83" s="127">
        <f>INDEX(B$69:F$79, MATCH(D83, A$69:A$79, 0), MATCH(C83, B$68:F$68, 0))</f>
        <v>27.229373351397253</v>
      </c>
      <c r="F83" s="130">
        <f>Scenarios!F22*(1-F$82-F$86)</f>
        <v>0.22499999999999992</v>
      </c>
      <c r="G83" s="304"/>
      <c r="H83" s="304"/>
      <c r="I83" s="304"/>
      <c r="J83" s="304"/>
      <c r="K83" s="304"/>
      <c r="L83" s="304"/>
    </row>
    <row r="84" spans="2:12">
      <c r="B84" s="120" t="str">
        <f>Scenarios!B23</f>
        <v>Base</v>
      </c>
      <c r="C84" s="130">
        <f>Scenarios!C23</f>
        <v>0.04</v>
      </c>
      <c r="D84" s="133">
        <f>Scenarios!D23</f>
        <v>10</v>
      </c>
      <c r="E84" s="127">
        <f>INDEX(B$69:F$79, MATCH(D84, A$69:A$79, 0), MATCH(C84, B$68:F$68, 0))</f>
        <v>24.253521315207653</v>
      </c>
      <c r="F84" s="130">
        <f>Scenarios!F23*(1-F$82-F$86)</f>
        <v>0.495</v>
      </c>
      <c r="G84" s="304"/>
      <c r="H84" s="304"/>
      <c r="I84" s="304"/>
      <c r="J84" s="304"/>
      <c r="K84" s="304"/>
      <c r="L84" s="304"/>
    </row>
    <row r="85" spans="2:12">
      <c r="B85" s="120" t="str">
        <f>Scenarios!B24</f>
        <v>Pessimistic</v>
      </c>
      <c r="C85" s="130">
        <f>Scenarios!C24</f>
        <v>0.02</v>
      </c>
      <c r="D85" s="133">
        <f>Scenarios!D24</f>
        <v>10</v>
      </c>
      <c r="E85" s="127">
        <f>INDEX(B$69:F$79, MATCH(D85, A$69:A$79, 0), MATCH(C85, B$68:F$68, 0))</f>
        <v>21.703315437395535</v>
      </c>
      <c r="F85" s="130">
        <f>Scenarios!F24*(1-F$82-F$86)</f>
        <v>0.18</v>
      </c>
      <c r="G85" s="304"/>
      <c r="H85" s="304"/>
      <c r="I85" s="304"/>
      <c r="J85" s="304"/>
      <c r="K85" s="304"/>
      <c r="L85" s="304"/>
    </row>
    <row r="86" spans="2:12">
      <c r="B86" s="120" t="str">
        <f>Scenarios!B30</f>
        <v>Devil's advocate</v>
      </c>
      <c r="C86" s="130">
        <f>Scenarios!C30</f>
        <v>0</v>
      </c>
      <c r="D86" s="133">
        <f>Scenarios!D30</f>
        <v>10</v>
      </c>
      <c r="E86" s="127">
        <f>INDEX(B$69:F$79, MATCH(D86, A$69:A$79, 0), MATCH(C86, B$68:F$68, 0))</f>
        <v>19.520962568796925</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3529289</v>
      </c>
      <c r="D7" s="468"/>
      <c r="E7" s="468"/>
      <c r="F7" s="468"/>
      <c r="G7" s="468"/>
    </row>
    <row r="8" spans="2:7">
      <c r="B8" s="97" t="s">
        <v>63</v>
      </c>
      <c r="C8" s="455">
        <f>Normalized_FCF!G19</f>
        <v>2525684.7432015538</v>
      </c>
      <c r="D8" s="468"/>
      <c r="E8" s="468"/>
      <c r="F8" s="468"/>
      <c r="G8" s="468"/>
    </row>
    <row r="9" spans="2:7">
      <c r="B9" s="97" t="s">
        <v>54</v>
      </c>
      <c r="C9" s="455">
        <f>Normalized_FCF!C19</f>
        <v>2259481.4967612317</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5.4188460915165049E-2</v>
      </c>
      <c r="D12" s="468"/>
      <c r="E12" s="468"/>
      <c r="F12" s="468"/>
      <c r="G12" s="468"/>
    </row>
    <row r="13" spans="2:7">
      <c r="B13" s="135" t="s">
        <v>127</v>
      </c>
      <c r="C13" s="255">
        <f ca="1">(Normalized_FCF!G8/OFFSET(Normalized_FCF!G8, 0, $C$4))^(1/$C$4) - 1</f>
        <v>-6.733313165064081E-2</v>
      </c>
      <c r="D13" s="468"/>
      <c r="E13" s="468"/>
      <c r="F13" s="468"/>
      <c r="G13" s="468"/>
    </row>
    <row r="14" spans="2:7">
      <c r="B14" s="97" t="s">
        <v>63</v>
      </c>
      <c r="C14" s="255">
        <f ca="1">(Normalized_FCF!G19/OFFSET(Normalized_FCF!G19, 0, $C$4))^(1/$C$4) - 1</f>
        <v>-6.3793687178029357E-2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0.06</v>
      </c>
      <c r="D22" s="332">
        <f>C18</f>
        <v>10</v>
      </c>
      <c r="E22" s="333">
        <f>DCF!E83</f>
        <v>27.229373351397253</v>
      </c>
      <c r="F22" s="335">
        <f>1-F23-F24</f>
        <v>0.24999999999999994</v>
      </c>
      <c r="G22" s="335">
        <f>F22*(1-F$29-F$30)</f>
        <v>0.22499999999999992</v>
      </c>
    </row>
    <row r="23" spans="2:7">
      <c r="B23" s="309" t="s">
        <v>440</v>
      </c>
      <c r="C23" s="331">
        <v>0.04</v>
      </c>
      <c r="D23" s="332">
        <f>C18</f>
        <v>10</v>
      </c>
      <c r="E23" s="333">
        <f>DCF!E84</f>
        <v>24.253521315207653</v>
      </c>
      <c r="F23" s="334">
        <v>0.55000000000000004</v>
      </c>
      <c r="G23" s="335">
        <f t="shared" ref="G23:G24" si="0">F23*(1-F$29-F$30)</f>
        <v>0.495</v>
      </c>
    </row>
    <row r="24" spans="2:7">
      <c r="B24" s="309" t="s">
        <v>449</v>
      </c>
      <c r="C24" s="331">
        <v>0.02</v>
      </c>
      <c r="D24" s="332">
        <f>C18</f>
        <v>10</v>
      </c>
      <c r="E24" s="333">
        <f>DCF!E85</f>
        <v>21.703315437395535</v>
      </c>
      <c r="F24" s="334">
        <v>0.2</v>
      </c>
      <c r="G24" s="335">
        <f t="shared" si="0"/>
        <v>0.18</v>
      </c>
    </row>
    <row r="25" spans="2:7">
      <c r="B25" s="141" t="s">
        <v>454</v>
      </c>
      <c r="C25" s="449">
        <f>E23*F23+E24*F24+E22*F22</f>
        <v>24.487443148692627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0.1</v>
      </c>
      <c r="D29" s="332">
        <f>C18</f>
        <v>10</v>
      </c>
      <c r="E29" s="333">
        <f>DCF!E82</f>
        <v>34.730142375127166</v>
      </c>
      <c r="F29" s="334">
        <v>0.05</v>
      </c>
      <c r="G29" s="335">
        <f>F29</f>
        <v>0.05</v>
      </c>
    </row>
    <row r="30" spans="2:7">
      <c r="B30" s="322" t="s">
        <v>450</v>
      </c>
      <c r="C30" s="331">
        <v>0</v>
      </c>
      <c r="D30" s="332">
        <f>C18</f>
        <v>10</v>
      </c>
      <c r="E30" s="333">
        <f>DCF!E86</f>
        <v>19.520962568796925</v>
      </c>
      <c r="F30" s="334">
        <v>0.05</v>
      </c>
      <c r="G30" s="335">
        <f>F30</f>
        <v>0.05</v>
      </c>
    </row>
    <row r="31" spans="2:7">
      <c r="E31" s="336"/>
      <c r="F31" s="336"/>
    </row>
    <row r="32" spans="2:7" ht="13.15">
      <c r="B32" s="145" t="s">
        <v>459</v>
      </c>
    </row>
    <row r="33" spans="2:7">
      <c r="B33" s="97" t="s">
        <v>461</v>
      </c>
      <c r="C33" s="155">
        <f>Normalized_FCF!C88*(1-dividend_tax_rate)</f>
        <v>0.53513055208928584</v>
      </c>
      <c r="D33" t="str">
        <f>Market_currency</f>
        <v>HKD</v>
      </c>
      <c r="E33" s="97" t="s">
        <v>458</v>
      </c>
      <c r="F33" s="222">
        <f>Holding_Period</f>
        <v>3</v>
      </c>
    </row>
    <row r="34" spans="2:7">
      <c r="B34" s="97" t="s">
        <v>233</v>
      </c>
      <c r="C34" s="146">
        <f>Market_Price</f>
        <v>17.28</v>
      </c>
      <c r="D34" t="str">
        <f>Market_currency</f>
        <v>HKD</v>
      </c>
      <c r="E34" s="97" t="s">
        <v>457</v>
      </c>
      <c r="F34" s="337">
        <f>RATE(Holding_Period,$C$33,-C34,$C$36)</f>
        <v>0.15490105769033463</v>
      </c>
    </row>
    <row r="35" spans="2:7">
      <c r="B35" s="97" t="s">
        <v>437</v>
      </c>
      <c r="C35" s="327">
        <f>DCF!C11</f>
        <v>19.520962568796921</v>
      </c>
      <c r="D35" s="97" t="str">
        <f>Market_currency</f>
        <v>HKD</v>
      </c>
      <c r="E35" s="97" t="s">
        <v>457</v>
      </c>
      <c r="F35" s="337">
        <f>RATE(Holding_Period,$C$33,-C35,$C$36)</f>
        <v>0.10775551254938912</v>
      </c>
    </row>
    <row r="36" spans="2:7">
      <c r="B36" s="97" t="s">
        <v>438</v>
      </c>
      <c r="C36" s="328">
        <f>E22*G22+E23*G23+E24*G24+E30*G30+E29*G29</f>
        <v>24.751254081019567</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1.8613012126595999E-2</v>
      </c>
      <c r="D46" s="138"/>
      <c r="E46" s="224" t="s">
        <v>252</v>
      </c>
    </row>
    <row r="47" spans="2:7">
      <c r="B47" s="97" t="s">
        <v>96</v>
      </c>
      <c r="C47" s="146">
        <f>DCF!I18</f>
        <v>21.540720350455334</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0.31705948642072718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0.53513055208928584</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0.97920948416525799</v>
      </c>
      <c r="D62" s="119">
        <f>C36/(1+F62)^Holding_Period</f>
        <v>11.406107871437591</v>
      </c>
      <c r="E62" s="339">
        <f>C62+D62</f>
        <v>12.385317355602849</v>
      </c>
      <c r="F62" s="308">
        <f>Thesis!E22</f>
        <v>0.29465259038036606</v>
      </c>
      <c r="G62" s="448">
        <f>(1-E62/C36)</f>
        <v>0.49960849195514112</v>
      </c>
    </row>
    <row r="63" spans="2:7" ht="13.15">
      <c r="B63" s="309" t="s">
        <v>313</v>
      </c>
      <c r="C63" s="119">
        <f>PV(F63, Holding_Period, -C58, 0)</f>
        <v>1.1259167939001384</v>
      </c>
      <c r="D63" s="119">
        <f>C36/(1+F63)^Holding_Period</f>
        <v>14.296753259794702</v>
      </c>
      <c r="E63" s="339">
        <f>C63+D63</f>
        <v>15.422670053694841</v>
      </c>
      <c r="F63" s="308">
        <f>Thesis!E23</f>
        <v>0.20075184365903009</v>
      </c>
      <c r="G63" s="448">
        <f>(1-E63/C36)</f>
        <v>0.37689338878704837</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1.2910576427558862</v>
      </c>
      <c r="D66" s="119">
        <f>C36/(1+F66)^Holding_Period</f>
        <v>17.740718602720822</v>
      </c>
      <c r="E66" s="339">
        <f>C66+D66</f>
        <v>19.031776245476706</v>
      </c>
      <c r="F66" s="308">
        <f>Thesis!E24</f>
        <v>0.1174</v>
      </c>
      <c r="G66" s="448">
        <f>(1-E66/C47)</f>
        <v>0.11647447551240286</v>
      </c>
    </row>
    <row r="67" spans="2:7" ht="13.15">
      <c r="B67" s="309" t="s">
        <v>314</v>
      </c>
      <c r="C67" s="119">
        <f>PV(F67, Holding_Period, -C58, 0)</f>
        <v>1.3979617975814698</v>
      </c>
      <c r="D67" s="119">
        <f>C36/(1+F67)^Holding_Period</f>
        <v>20.063435763322328</v>
      </c>
      <c r="E67" s="339">
        <f>C67+D67</f>
        <v>21.461397560903798</v>
      </c>
      <c r="F67" s="308">
        <f>Thesis!E25</f>
        <v>7.2499999999999995E-2</v>
      </c>
      <c r="G67" s="448">
        <f>(1-E67/C36)</f>
        <v>0.13291676087793014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李宁</v>
      </c>
      <c r="D4" s="356"/>
      <c r="E4" s="442" t="s">
        <v>543</v>
      </c>
      <c r="F4" s="445" t="str">
        <f>Thesis!F4</f>
        <v>INT</v>
      </c>
    </row>
    <row r="5" spans="1:10">
      <c r="B5" s="350" t="s">
        <v>364</v>
      </c>
      <c r="C5" s="362" t="str">
        <f>Thesis!C5</f>
        <v>2331.HK</v>
      </c>
      <c r="E5" s="446" t="s">
        <v>544</v>
      </c>
      <c r="F5" s="447" t="str">
        <f>Thesis!F5</f>
        <v>Y</v>
      </c>
    </row>
    <row r="6" spans="1:10">
      <c r="B6" s="357" t="s">
        <v>336</v>
      </c>
      <c r="C6" s="359" t="str">
        <f>Thesis!C6</f>
        <v>CNS_02</v>
      </c>
      <c r="E6" s="361"/>
    </row>
    <row r="7" spans="1:10">
      <c r="B7" s="350" t="s">
        <v>366</v>
      </c>
      <c r="C7" s="359" t="str">
        <f>Market_currency</f>
        <v>HKD</v>
      </c>
      <c r="D7" s="361"/>
      <c r="E7" s="361"/>
    </row>
    <row r="8" spans="1:10">
      <c r="B8" s="358" t="s">
        <v>365</v>
      </c>
      <c r="C8" s="363">
        <f>Market_Price</f>
        <v>17.28</v>
      </c>
    </row>
    <row r="9" spans="1:10">
      <c r="B9" s="358" t="s">
        <v>361</v>
      </c>
      <c r="C9" s="360">
        <f>Common_Shares</f>
        <v>2584811005</v>
      </c>
    </row>
    <row r="10" spans="1:10">
      <c r="B10" s="358" t="s">
        <v>367</v>
      </c>
      <c r="C10" s="364">
        <f>投资主题!C8*Common_Shares/1000000</f>
        <v>44665.534166400001</v>
      </c>
      <c r="D10" s="350" t="s">
        <v>532</v>
      </c>
      <c r="E10" s="367">
        <f>Scenarios!F34</f>
        <v>0.15490105769033463</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1.0928174399999999</v>
      </c>
    </row>
    <row r="17" spans="1:6">
      <c r="B17" s="350" t="s">
        <v>538</v>
      </c>
      <c r="C17" s="432">
        <f>Terminal_Growth</f>
        <v>0</v>
      </c>
      <c r="D17" s="358" t="s">
        <v>339</v>
      </c>
      <c r="E17" s="351" t="str">
        <f>Reporting_currency</f>
        <v>CNY</v>
      </c>
    </row>
    <row r="18" spans="1:6">
      <c r="B18" s="350" t="str">
        <f>"预期股权价值 ("&amp;C7&amp;") :"</f>
        <v>预期股权价值 (HKD) :</v>
      </c>
      <c r="C18" s="366">
        <f>C125</f>
        <v>24.751254081019567</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12.385317355602849</v>
      </c>
      <c r="D22" s="372" t="s">
        <v>443</v>
      </c>
      <c r="E22" s="373">
        <f>Thesis!E22</f>
        <v>0.29465259038036606</v>
      </c>
    </row>
    <row r="23" spans="1:6">
      <c r="B23" s="350" t="s">
        <v>341</v>
      </c>
      <c r="C23" s="374">
        <f>E141</f>
        <v>15.422670053694841</v>
      </c>
      <c r="D23" s="372" t="s">
        <v>444</v>
      </c>
      <c r="E23" s="375">
        <f>Thesis!E23</f>
        <v>0.20075184365903009</v>
      </c>
    </row>
    <row r="24" spans="1:6">
      <c r="B24" s="350" t="s">
        <v>343</v>
      </c>
      <c r="C24" s="374">
        <f>E144</f>
        <v>19.031776245476706</v>
      </c>
      <c r="D24" s="372" t="s">
        <v>446</v>
      </c>
      <c r="E24" s="375">
        <f>Thesis!E24</f>
        <v>0.1174</v>
      </c>
    </row>
    <row r="25" spans="1:6">
      <c r="B25" s="350" t="s">
        <v>342</v>
      </c>
      <c r="C25" s="374">
        <f>E145</f>
        <v>21.461397560903798</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3094829.9447862767</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0</v>
      </c>
      <c r="D41" s="350" t="str">
        <f>Reporting_currency</f>
        <v>CNY</v>
      </c>
    </row>
    <row r="43" spans="2:6">
      <c r="B43" s="469" t="s">
        <v>507</v>
      </c>
      <c r="C43" s="469"/>
      <c r="D43" s="469"/>
      <c r="E43" s="469"/>
      <c r="F43" s="469"/>
    </row>
    <row r="44" spans="2:6">
      <c r="B44" s="379" t="s">
        <v>267</v>
      </c>
      <c r="C44" s="383">
        <f>Normalized_FCF!C46</f>
        <v>24450.830895365834</v>
      </c>
      <c r="D44" s="350" t="str">
        <f>Reporting_currency</f>
        <v>CNY</v>
      </c>
      <c r="E44" s="378"/>
      <c r="F44" s="378"/>
    </row>
    <row r="45" spans="2:6">
      <c r="B45" s="379" t="s">
        <v>268</v>
      </c>
      <c r="C45" s="383">
        <f>Normalized_FCF!C45</f>
        <v>-106638.78</v>
      </c>
      <c r="D45" s="350" t="str">
        <f>Reporting_currency</f>
        <v>CNY</v>
      </c>
      <c r="E45" s="378"/>
      <c r="F45" s="378"/>
    </row>
    <row r="46" spans="2:6">
      <c r="B46" s="379" t="s">
        <v>203</v>
      </c>
      <c r="C46" s="380">
        <f>Normalized_FCF!C10</f>
        <v>-82187.949104634172</v>
      </c>
      <c r="D46" s="350" t="str">
        <f>Reporting_currency</f>
        <v>CNY</v>
      </c>
    </row>
    <row r="48" spans="2:6">
      <c r="B48" s="350" t="s">
        <v>508</v>
      </c>
    </row>
    <row r="49" spans="2:6">
      <c r="B49" s="379" t="s">
        <v>223</v>
      </c>
      <c r="C49" s="380">
        <f>Normalized_FCF!C13</f>
        <v>0</v>
      </c>
      <c r="D49" s="350" t="str">
        <f>Reporting_currency</f>
        <v>CNY</v>
      </c>
    </row>
    <row r="51" spans="2:6">
      <c r="B51" s="469" t="s">
        <v>509</v>
      </c>
      <c r="C51" s="469"/>
      <c r="D51" s="469"/>
      <c r="E51" s="469"/>
      <c r="F51" s="469"/>
    </row>
    <row r="52" spans="2:6">
      <c r="B52" s="379" t="s">
        <v>499</v>
      </c>
      <c r="C52" s="380">
        <f>Normalized_FCF!C12</f>
        <v>-753160.49892041064</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2525684.7432015538</v>
      </c>
      <c r="D60" s="350" t="str">
        <f>Reporting_currency</f>
        <v>CNY</v>
      </c>
    </row>
    <row r="61" spans="2:6">
      <c r="B61" s="379" t="s">
        <v>213</v>
      </c>
      <c r="C61" s="380">
        <f>Normalized_FCF!C19</f>
        <v>2259481.4967612317</v>
      </c>
      <c r="D61" s="350" t="str">
        <f>Reporting_currency</f>
        <v>CNY</v>
      </c>
    </row>
    <row r="62" spans="2:6">
      <c r="B62" s="384" t="s">
        <v>302</v>
      </c>
      <c r="C62" s="385">
        <f>Normalized_FCF!C124</f>
        <v>5.5282016236927779E-2</v>
      </c>
      <c r="F62" s="386"/>
    </row>
    <row r="63" spans="2:6">
      <c r="B63" s="384" t="s">
        <v>332</v>
      </c>
      <c r="C63" s="385">
        <f>Normalized_FCF!C92</f>
        <v>3.0968203245907742E-2</v>
      </c>
      <c r="E63" s="379" t="s">
        <v>373</v>
      </c>
      <c r="F63" s="387">
        <f>Normalized_FCF!C90</f>
        <v>0.61218086633363611</v>
      </c>
    </row>
    <row r="65" spans="1:6">
      <c r="B65" s="376" t="s">
        <v>376</v>
      </c>
      <c r="C65" s="388" t="s">
        <v>327</v>
      </c>
      <c r="D65" s="388" t="s">
        <v>374</v>
      </c>
    </row>
    <row r="66" spans="1:6">
      <c r="B66" s="379" t="s">
        <v>326</v>
      </c>
      <c r="C66" s="385">
        <f>Normalized_FCF!C119</f>
        <v>0.11088652647669296</v>
      </c>
      <c r="D66" s="385">
        <f>Normalized_FCF!G119</f>
        <v>0.13332903953832279</v>
      </c>
    </row>
    <row r="67" spans="1:6">
      <c r="B67" s="389" t="str">
        <f>Normalized_FCF!B116</f>
        <v>Pre-tax Profit/Sales</v>
      </c>
      <c r="C67" s="390">
        <f>Normalized_FCF!C116</f>
        <v>0.11515137356238921</v>
      </c>
      <c r="D67" s="390">
        <f>Normalized_FCF!G116</f>
        <v>0.12632238946486932</v>
      </c>
    </row>
    <row r="68" spans="1:6">
      <c r="B68" s="389" t="str">
        <f>Normalized_FCF!B117</f>
        <v>Sales/Total Assets</v>
      </c>
      <c r="C68" s="391">
        <f>Normalized_FCF!C117</f>
        <v>0.71131521233544359</v>
      </c>
      <c r="D68" s="391">
        <f>Normalized_FCF!G117</f>
        <v>0.77964492924870721</v>
      </c>
    </row>
    <row r="69" spans="1:6">
      <c r="B69" s="389" t="str">
        <f>Normalized_FCF!B118</f>
        <v>Total Assets/Equity</v>
      </c>
      <c r="C69" s="391">
        <f>Normalized_FCF!C118</f>
        <v>1.3537783359692717</v>
      </c>
      <c r="D69" s="391">
        <f>Normalized_FCF!G118</f>
        <v>1.3537783359692717</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-1777313</v>
      </c>
      <c r="D78" s="350" t="str">
        <f>Reporting_currency</f>
        <v>CNY</v>
      </c>
    </row>
    <row r="79" spans="1:6">
      <c r="B79" s="379" t="s">
        <v>234</v>
      </c>
      <c r="C79" s="394">
        <f>C78*scaling_factor*Exchange_Rate/Common_Shares</f>
        <v>-0.75141998350425621</v>
      </c>
      <c r="D79" s="350" t="str">
        <f>Market_currency</f>
        <v>HKD</v>
      </c>
    </row>
    <row r="80" spans="1:6">
      <c r="B80" s="389" t="s">
        <v>309</v>
      </c>
      <c r="C80" s="395">
        <f>IF(BS!G31/BS!G27&gt;300%,"nm",BS!G31/BS!G27)</f>
        <v>6.5417684980282262E-2</v>
      </c>
    </row>
    <row r="81" spans="1:6">
      <c r="B81" s="389" t="s">
        <v>311</v>
      </c>
      <c r="C81" s="396">
        <f>IF(BS!C50&gt;30,"nm",BS!C50)</f>
        <v>0.5742845428370501</v>
      </c>
    </row>
    <row r="83" spans="1:6">
      <c r="B83" s="350" t="s">
        <v>515</v>
      </c>
    </row>
    <row r="84" spans="1:6">
      <c r="B84" s="350" t="s">
        <v>224</v>
      </c>
      <c r="C84" s="380">
        <f>DCF!F5</f>
        <v>15115717.517439028</v>
      </c>
      <c r="D84" s="350" t="str">
        <f>Reporting_currency</f>
        <v>CNY</v>
      </c>
    </row>
    <row r="85" spans="1:6">
      <c r="B85" s="389" t="s">
        <v>484</v>
      </c>
      <c r="C85" s="397">
        <f>BS!C66</f>
        <v>19190856</v>
      </c>
      <c r="D85" s="398" t="str">
        <f>Reporting_currency</f>
        <v>CNY</v>
      </c>
    </row>
    <row r="86" spans="1:6">
      <c r="B86" s="379" t="s">
        <v>235</v>
      </c>
      <c r="C86" s="394">
        <f>C84*scaling_factor*Exchange_Rate/Common_Shares</f>
        <v>6.3906876321779169</v>
      </c>
      <c r="D86" s="350" t="str">
        <f>Market_currency</f>
        <v>HKD</v>
      </c>
    </row>
    <row r="88" spans="1:6">
      <c r="B88" s="350" t="s">
        <v>516</v>
      </c>
    </row>
    <row r="89" spans="1:6">
      <c r="B89" s="350" t="s">
        <v>217</v>
      </c>
      <c r="C89" s="380">
        <f>DCF!F6</f>
        <v>1668728.8</v>
      </c>
      <c r="D89" s="350" t="str">
        <f>Reporting_currency</f>
        <v>CNY</v>
      </c>
    </row>
    <row r="90" spans="1:6">
      <c r="B90" s="379" t="s">
        <v>236</v>
      </c>
      <c r="C90" s="394">
        <f>C89*scaling_factor*Exchange_Rate/Common_Shares</f>
        <v>0.70551229151481876</v>
      </c>
      <c r="D90" s="350" t="str">
        <f>Market_currency</f>
        <v>HKD</v>
      </c>
    </row>
    <row r="92" spans="1:6">
      <c r="B92" s="379" t="s">
        <v>483</v>
      </c>
      <c r="C92" s="394">
        <f>DCF!F8</f>
        <v>6.3447799401884808</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5.4510188852925641</v>
      </c>
      <c r="D111" s="350" t="str">
        <f>Market_currency</f>
        <v>HKD</v>
      </c>
    </row>
    <row r="112" spans="1:6">
      <c r="A112" s="392"/>
      <c r="B112" s="379" t="s">
        <v>377</v>
      </c>
      <c r="C112" s="401">
        <f>DCF!C11</f>
        <v>19.520962568796921</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0.1</v>
      </c>
      <c r="D118" s="404">
        <f>DCF!D82</f>
        <v>10</v>
      </c>
      <c r="E118" s="405" t="str">
        <f>ROUND(DCF!E82,2)&amp;" "&amp;Market_currency</f>
        <v>34.73 HKD</v>
      </c>
      <c r="F118" s="406">
        <f>DCF!F82</f>
        <v>0.05</v>
      </c>
    </row>
    <row r="119" spans="1:6">
      <c r="A119" s="392"/>
      <c r="B119" s="407" t="str">
        <f>DCF!B83</f>
        <v>Optimistic</v>
      </c>
      <c r="C119" s="408">
        <f>DCF!C83</f>
        <v>0.06</v>
      </c>
      <c r="D119" s="409">
        <f>DCF!D83</f>
        <v>10</v>
      </c>
      <c r="E119" s="405" t="str">
        <f>ROUND(DCF!E83,2)&amp;" "&amp;Market_currency</f>
        <v>27.23 HKD</v>
      </c>
      <c r="F119" s="410">
        <f>DCF!F83</f>
        <v>0.22499999999999992</v>
      </c>
    </row>
    <row r="120" spans="1:6">
      <c r="B120" s="407" t="str">
        <f>DCF!B84</f>
        <v>Base</v>
      </c>
      <c r="C120" s="408">
        <f>DCF!C84</f>
        <v>0.04</v>
      </c>
      <c r="D120" s="409">
        <f>DCF!D84</f>
        <v>10</v>
      </c>
      <c r="E120" s="405" t="str">
        <f>ROUND(DCF!E84,2)&amp;" "&amp;Market_currency</f>
        <v>24.25 HKD</v>
      </c>
      <c r="F120" s="410">
        <f>DCF!F84</f>
        <v>0.495</v>
      </c>
    </row>
    <row r="121" spans="1:6">
      <c r="B121" s="407" t="str">
        <f>DCF!B85</f>
        <v>Pessimistic</v>
      </c>
      <c r="C121" s="408">
        <f>DCF!C85</f>
        <v>0.02</v>
      </c>
      <c r="D121" s="409">
        <f>DCF!D85</f>
        <v>10</v>
      </c>
      <c r="E121" s="405" t="str">
        <f>ROUND(DCF!E85,2)&amp;" "&amp;Market_currency</f>
        <v>21.7 HKD</v>
      </c>
      <c r="F121" s="410">
        <f>DCF!F85</f>
        <v>0.18</v>
      </c>
    </row>
    <row r="122" spans="1:6">
      <c r="B122" s="407" t="str">
        <f>DCF!B86</f>
        <v>Devil's advocate</v>
      </c>
      <c r="C122" s="408">
        <f>DCF!C86</f>
        <v>0</v>
      </c>
      <c r="D122" s="409">
        <f>DCF!D86</f>
        <v>10</v>
      </c>
      <c r="E122" s="405" t="str">
        <f>ROUND(DCF!E86,2)&amp;" "&amp;Market_currency</f>
        <v>19.52 HKD</v>
      </c>
      <c r="F122" s="410">
        <f>DCF!F86</f>
        <v>0.05</v>
      </c>
    </row>
    <row r="124" spans="1:6">
      <c r="B124" s="469" t="s">
        <v>522</v>
      </c>
      <c r="C124" s="469"/>
      <c r="D124" s="469"/>
      <c r="E124" s="469"/>
      <c r="F124" s="469"/>
    </row>
    <row r="125" spans="1:6">
      <c r="B125" s="379" t="s">
        <v>218</v>
      </c>
      <c r="C125" s="411">
        <f>Scenarios!C36</f>
        <v>24.751254081019567</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0.53513055208928584</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0.97920948416525799</v>
      </c>
      <c r="D140" s="416">
        <f>Scenarios!D62</f>
        <v>11.406107871437591</v>
      </c>
      <c r="E140" s="417">
        <f>Scenarios!E62</f>
        <v>12.385317355602849</v>
      </c>
      <c r="F140" s="418">
        <f>E22</f>
        <v>0.29465259038036606</v>
      </c>
    </row>
    <row r="141" spans="1:6">
      <c r="B141" s="415" t="s">
        <v>313</v>
      </c>
      <c r="C141" s="416">
        <f>Scenarios!C63</f>
        <v>1.1259167939001384</v>
      </c>
      <c r="D141" s="416">
        <f>Scenarios!D63</f>
        <v>14.296753259794702</v>
      </c>
      <c r="E141" s="417">
        <f>Scenarios!E63</f>
        <v>15.422670053694841</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1.2910576427558862</v>
      </c>
      <c r="D144" s="416">
        <f>Scenarios!D66</f>
        <v>17.740718602720822</v>
      </c>
      <c r="E144" s="417">
        <f>Scenarios!E66</f>
        <v>19.031776245476706</v>
      </c>
      <c r="F144" s="418">
        <f>E24</f>
        <v>0.1174</v>
      </c>
    </row>
    <row r="145" spans="1:6">
      <c r="B145" s="415" t="s">
        <v>314</v>
      </c>
      <c r="C145" s="416">
        <f>Scenarios!C67</f>
        <v>1.3979617975814698</v>
      </c>
      <c r="D145" s="416">
        <f>Scenarios!D67</f>
        <v>20.063435763322328</v>
      </c>
      <c r="E145" s="417">
        <f>Scenarios!E67</f>
        <v>21.461397560903798</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2025-10-08T06:45:56Z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