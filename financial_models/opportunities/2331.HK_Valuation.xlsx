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C69F02-60F3-4D7F-B5A9-C907D8BE8E62}" xr6:coauthVersionLast="47" xr6:coauthVersionMax="47" xr10:uidLastSave="{00000000-0000-0000-0000-000000000000}"/>
  <bookViews>
    <workbookView xWindow="1837" yWindow="1837" windowWidth="12691"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2" i="9"/>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<sst xmlns="http://schemas.openxmlformats.org/spreadsheetml/2006/main" count="766" uniqueCount="556">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</sst>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17.28</v>
      </c>
      <c r="E8" s="32"/>
    </row>
    <row r="9" spans="1:9">
      <c r="B9" s="4" t="s">
        <v>346</v>
      </c>
      <c r="C9" s="48">
        <v>2584811005</v>
      </c>
    </row>
    <row r="10" spans="1:9">
      <c r="B10" s="4" t="s">
        <v>352</v>
      </c>
      <c r="C10" s="33">
        <f>Thesis!C8*Common_Shares/1000000</f>
        <v>44665.534166400001</v>
      </c>
      <c r="D10" s="1" t="s">
        <v>531</v>
      </c>
      <c r="E10" s="310">
        <f>Scenarios!F34</f>
        <v>0.15513076110032606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1.09355365</v>
      </c>
    </row>
    <row r="17" spans="1:6">
      <c r="B17" s="1" t="s">
        <v>535</v>
      </c>
      <c r="C17" s="423">
        <v>0</v>
      </c>
      <c r="D17" s="4" t="s">
        <v>274</v>
      </c>
      <c r="E17" s="227" t="s">
        <v>546</v>
      </c>
    </row>
    <row r="18" spans="1:6">
      <c r="B18" s="1" t="str">
        <f>"Expected Equity Value ("&amp;C7&amp;") :"</f>
        <v>Expected Equity Value (HKD) :</v>
      </c>
      <c r="C18" s="258">
        <f>C125</f>
        <v>24.767990108662961</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12.392370580334187</v>
      </c>
      <c r="D22" s="38" t="s">
        <v>408</v>
      </c>
      <c r="E22" s="79">
        <v>0.29465259038036606</v>
      </c>
    </row>
    <row r="23" spans="1:6">
      <c r="B23" s="1" t="s">
        <v>313</v>
      </c>
      <c r="C23" s="262">
        <f>E141</f>
        <v>15.431579075525329</v>
      </c>
      <c r="D23" s="38" t="s">
        <v>409</v>
      </c>
      <c r="E23" s="451">
        <v>0.20075184365903009</v>
      </c>
    </row>
    <row r="24" spans="1:6">
      <c r="B24" s="1" t="s">
        <v>315</v>
      </c>
      <c r="C24" s="262">
        <f>E144</f>
        <v>19.042902792179028</v>
      </c>
      <c r="D24" s="38" t="s">
        <v>410</v>
      </c>
      <c r="E24" s="451">
        <v>0.1174</v>
      </c>
    </row>
    <row r="25" spans="1:6">
      <c r="B25" s="1" t="s">
        <v>314</v>
      </c>
      <c r="C25" s="262">
        <f>E145</f>
        <v>21.474022685878328</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3094829.9447862767</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267</v>
      </c>
      <c r="C44" s="293">
        <f>Normalized_FCF!C46</f>
        <v>24449.899679946517</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-82188.880320053489</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-753160.26611655578</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2525681.2694959603</v>
      </c>
      <c r="D60" s="1" t="str">
        <f>Reporting_currency</f>
        <v>CNY</v>
      </c>
    </row>
    <row r="61" spans="2:6">
      <c r="B61" s="44" t="s">
        <v>213</v>
      </c>
      <c r="C61" s="292">
        <f>Normalized_FCF!C19</f>
        <v>2259480.7983496673</v>
      </c>
      <c r="D61" s="1" t="str">
        <f>Reporting_currency</f>
        <v>CNY</v>
      </c>
    </row>
    <row r="62" spans="2:6">
      <c r="B62" s="206" t="s">
        <v>302</v>
      </c>
      <c r="C62" s="89">
        <f>Normalized_FCF!C124</f>
        <v>5.5319241564089912E-2</v>
      </c>
      <c r="F62" s="263"/>
    </row>
    <row r="63" spans="2:6">
      <c r="B63" s="206" t="s">
        <v>332</v>
      </c>
      <c r="C63" s="89">
        <f>Normalized_FCF!C92</f>
        <v>3.0947354610898682E-2</v>
      </c>
      <c r="E63" s="44" t="s">
        <v>322</v>
      </c>
      <c r="F63" s="264">
        <f>Normalized_FCF!C90</f>
        <v>0.61176891865707106</v>
      </c>
    </row>
    <row r="65" spans="1:6">
      <c r="B65" s="192" t="s">
        <v>325</v>
      </c>
      <c r="C65" s="270" t="s">
        <v>327</v>
      </c>
      <c r="D65" s="270" t="s">
        <v>328</v>
      </c>
    </row>
    <row r="66" spans="1:6">
      <c r="B66" s="44" t="s">
        <v>326</v>
      </c>
      <c r="C66" s="89">
        <f>Normalized_FCF!C119</f>
        <v>0.11088649220138132</v>
      </c>
      <c r="D66" s="89">
        <f>Normalized_FCF!G119</f>
        <v>0.13332891168139596</v>
      </c>
    </row>
    <row r="67" spans="1:6">
      <c r="B67" s="232" t="str">
        <f>Normalized_FCF!B116</f>
        <v>Pre-tax Profit/Sales</v>
      </c>
      <c r="C67" s="269">
        <f>Normalized_FCF!C116</f>
        <v>0.11515133796880231</v>
      </c>
      <c r="D67" s="269">
        <f>Normalized_FCF!G116</f>
        <v>0.12632226832702445</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-1777313</v>
      </c>
      <c r="D78" s="1" t="str">
        <f>Reporting_currency</f>
        <v>CNY</v>
      </c>
    </row>
    <row r="79" spans="1:6">
      <c r="A79" s="191"/>
      <c r="B79" s="44" t="s">
        <v>234</v>
      </c>
      <c r="C79" s="203">
        <f>C78*scaling_factor*Exchange_Rate/Common_Shares</f>
        <v>-0.75192620063239402</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15115872.720008913</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6.3950585764010919</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0.70598758151763596</v>
      </c>
      <c r="D90" s="1" t="str">
        <f>Market_currency</f>
        <v>HKD</v>
      </c>
    </row>
    <row r="91" spans="1:6">
      <c r="A91" s="191"/>
    </row>
    <row r="92" spans="1:6">
      <c r="A92" s="191"/>
      <c r="B92" s="44" t="s">
        <v>472</v>
      </c>
      <c r="C92" s="219">
        <f>DCF!F8</f>
        <v>6.3491199572863346</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5.45469113142138</v>
      </c>
      <c r="D111" s="1" t="str">
        <f>Market_currency</f>
        <v>HKD</v>
      </c>
    </row>
    <row r="112" spans="2:6">
      <c r="B112" s="44" t="s">
        <v>323</v>
      </c>
      <c r="C112" s="219">
        <f>DCF!C11</f>
        <v>19.534175050079075</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34.75 HKD</v>
      </c>
      <c r="F118" s="211">
        <f>DCF!F82</f>
        <v>0.05</v>
      </c>
    </row>
    <row r="119" spans="2:6">
      <c r="B119" s="198" t="str">
        <f>DCF!B83</f>
        <v>Optimistic</v>
      </c>
      <c r="C119" s="199">
        <f>DCF!C83</f>
        <v>0.06</v>
      </c>
      <c r="D119" s="200">
        <f>DCF!D83</f>
        <v>10</v>
      </c>
      <c r="E119" s="210" t="str">
        <f>ROUND(DCF!E83,2)&amp;" "&amp;Market_currency</f>
        <v>27.25 HKD</v>
      </c>
      <c r="F119" s="201">
        <f>DCF!F83</f>
        <v>0.22499999999999992</v>
      </c>
    </row>
    <row r="120" spans="2:6">
      <c r="B120" s="198" t="str">
        <f>DCF!B84</f>
        <v>Base</v>
      </c>
      <c r="C120" s="199">
        <f>DCF!C84</f>
        <v>0.04</v>
      </c>
      <c r="D120" s="200">
        <f>DCF!D84</f>
        <v>10</v>
      </c>
      <c r="E120" s="210" t="str">
        <f>ROUND(DCF!E84,2)&amp;" "&amp;Market_currency</f>
        <v>24.27 HKD</v>
      </c>
      <c r="F120" s="201">
        <f>DCF!F84</f>
        <v>0.495</v>
      </c>
    </row>
    <row r="121" spans="2:6">
      <c r="B121" s="198" t="str">
        <f>DCF!B85</f>
        <v>Pessimistic</v>
      </c>
      <c r="C121" s="199">
        <f>DCF!C85</f>
        <v>0.02</v>
      </c>
      <c r="D121" s="200">
        <f>DCF!D85</f>
        <v>10</v>
      </c>
      <c r="E121" s="210" t="str">
        <f>ROUND(DCF!E85,2)&amp;" "&amp;Market_currency</f>
        <v>21.72 HKD</v>
      </c>
      <c r="F121" s="201">
        <f>DCF!F85</f>
        <v>0.18</v>
      </c>
    </row>
    <row r="122" spans="2:6">
      <c r="B122" s="198" t="str">
        <f>DCF!B86</f>
        <v>Devil's advocate</v>
      </c>
      <c r="C122" s="199">
        <f>DCF!C86</f>
        <v>0</v>
      </c>
      <c r="D122" s="200">
        <f>DCF!D86</f>
        <v>10</v>
      </c>
      <c r="E122" s="210" t="str">
        <f>ROUND(DCF!E86,2)&amp;" "&amp;Market_currency</f>
        <v>19.53 HKD</v>
      </c>
      <c r="F122" s="201">
        <f>DCF!F86</f>
        <v>0.05</v>
      </c>
    </row>
    <row r="124" spans="2:6">
      <c r="B124" s="462" t="s">
        <v>357</v>
      </c>
      <c r="C124" s="462"/>
      <c r="D124" s="462"/>
      <c r="E124" s="462"/>
      <c r="F124" s="462"/>
    </row>
    <row r="125" spans="2:6">
      <c r="B125" s="193" t="s">
        <v>218</v>
      </c>
      <c r="C125" s="197">
        <f>Scenarios!C36</f>
        <v>24.767990108662961</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0.53477028767632928</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0.97855025376139315</v>
      </c>
      <c r="D140" s="340">
        <f>Scenarios!D62</f>
        <v>11.413820326572795</v>
      </c>
      <c r="E140" s="341">
        <f>Scenarios!E62</f>
        <v>12.392370580334187</v>
      </c>
      <c r="F140" s="342">
        <f>E22</f>
        <v>0.29465259038036606</v>
      </c>
    </row>
    <row r="141" spans="1:6">
      <c r="B141" s="343" t="s">
        <v>313</v>
      </c>
      <c r="C141" s="340">
        <f>Scenarios!C63</f>
        <v>1.1251587961532172</v>
      </c>
      <c r="D141" s="340">
        <f>Scenarios!D63</f>
        <v>14.306420279372112</v>
      </c>
      <c r="E141" s="341">
        <f>Scenarios!E63</f>
        <v>15.431579075525329</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1.2901884677070226</v>
      </c>
      <c r="D144" s="340">
        <f>Scenarios!D66</f>
        <v>17.752714324472006</v>
      </c>
      <c r="E144" s="341">
        <f>Scenarios!E66</f>
        <v>19.042902792179028</v>
      </c>
      <c r="F144" s="342">
        <f>E24</f>
        <v>0.1174</v>
      </c>
    </row>
    <row r="145" spans="1:6">
      <c r="B145" s="343" t="s">
        <v>314</v>
      </c>
      <c r="C145" s="340">
        <f>Scenarios!C67</f>
        <v>1.3970206517538299</v>
      </c>
      <c r="D145" s="340">
        <f>Scenarios!D67</f>
        <v>20.077002034124497</v>
      </c>
      <c r="E145" s="341">
        <f>Scenarios!E67</f>
        <v>21.474022685878328</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0.53477028767632928</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0.53477028767632928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11.494234332184551</v>
      </c>
      <c r="D47" s="134">
        <f>D46*H1/Common_Shares*Exchange_Rate</f>
        <v>5.45469113142138</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15115872.720008913</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-2210719.5103943995</v>
      </c>
      <c r="D73" s="292">
        <f>(Normalized_FCF!C26+Normalized_FCF!C35-Normalized_FCF!C89)/12</f>
        <v>-2037491.6399955431</v>
      </c>
      <c r="F73" s="1" t="s">
        <v>278</v>
      </c>
    </row>
    <row r="74" spans="2:6" ht="15" customHeight="1">
      <c r="B74" s="230" t="s">
        <v>259</v>
      </c>
      <c r="C74" s="231">
        <f>-$C$66/C73</f>
        <v>8.6808190318889835</v>
      </c>
      <c r="D74" s="231">
        <f>-$C$66/D73</f>
        <v>9.4188636769287459</v>
      </c>
      <c r="F74" s="226" t="s">
        <v>257</v>
      </c>
    </row>
    <row r="75" spans="2:6" ht="15" customHeight="1">
      <c r="B75" s="77" t="s">
        <v>258</v>
      </c>
      <c r="C75" s="267"/>
      <c r="D75" s="268">
        <f>MAX(-D73*D76,G5)</f>
        <v>4074983.2799910861</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1943587.1183424501</v>
      </c>
      <c r="D86" s="203">
        <f>C86*scaling_factor/Common_Shares</f>
        <v>0.75192620063239402</v>
      </c>
      <c r="E86" s="217" t="str">
        <f>Market_currency</f>
        <v>HKD</v>
      </c>
    </row>
    <row r="87" spans="2:8" ht="15" customHeight="1">
      <c r="B87" s="215" t="s">
        <v>240</v>
      </c>
      <c r="C87" s="73">
        <f>DCF!F5*Exchange_Rate</f>
        <v>16530017.785901176</v>
      </c>
      <c r="D87" s="203">
        <f>C87*scaling_factor/Common_Shares</f>
        <v>6.3950585764010919</v>
      </c>
      <c r="E87" s="217" t="str">
        <f>Market_currency</f>
        <v>HKD</v>
      </c>
    </row>
    <row r="88" spans="2:8" ht="15" customHeight="1">
      <c r="B88" s="216" t="s">
        <v>159</v>
      </c>
      <c r="C88" s="73">
        <f>DCF!F6*Exchange_Rate</f>
        <v>1824844.4701001202</v>
      </c>
      <c r="D88" s="203">
        <f>C88*scaling_factor/Common_Shares</f>
        <v>0.70598758151763596</v>
      </c>
      <c r="E88" s="217" t="str">
        <f>Market_currency</f>
        <v>HKD</v>
      </c>
    </row>
    <row r="89" spans="2:8" ht="15" customHeight="1">
      <c r="B89" s="77" t="s">
        <v>244</v>
      </c>
      <c r="C89" s="162">
        <f>SUM(C86:C88)</f>
        <v>20298449.374343745</v>
      </c>
      <c r="D89" s="219">
        <f>SUM(D86:D88)</f>
        <v>7.8529723585511224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-82188.880320053489</v>
      </c>
      <c r="E10" s="241"/>
      <c r="G10" s="273">
        <f>G48</f>
        <v>-163215.73050403947</v>
      </c>
      <c r="H10" s="273">
        <f t="shared" ref="H10:Q10" si="6">H48</f>
        <v>-75158.019375309887</v>
      </c>
      <c r="I10" s="273">
        <f t="shared" si="6"/>
        <v>-25486.261611600406</v>
      </c>
      <c r="J10" s="273">
        <f t="shared" si="6"/>
        <v>-81648.126330119587</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3012641.0644662231</v>
      </c>
      <c r="E11" s="241"/>
      <c r="G11" s="274">
        <f t="shared" ref="G11:Q11" si="7">IF(G$4="","",SUM(G8:G10))</f>
        <v>3622372.2694959603</v>
      </c>
      <c r="H11" s="274">
        <f t="shared" si="7"/>
        <v>3318595.9806246902</v>
      </c>
      <c r="I11" s="274">
        <f t="shared" si="7"/>
        <v>4232940.7383883996</v>
      </c>
      <c r="J11" s="274">
        <f t="shared" si="7"/>
        <v>4797919.8736698804</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-753160.26611655578</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2259480.7983496673</v>
      </c>
      <c r="D14" s="58"/>
      <c r="E14" s="249"/>
      <c r="F14" s="58"/>
      <c r="G14" s="274">
        <f t="shared" ref="G14:Q14" si="8">IF(G$4="","",SUM(G11:G13))</f>
        <v>2525681.2694959603</v>
      </c>
      <c r="H14" s="274">
        <f t="shared" si="8"/>
        <v>2249336.9806246902</v>
      </c>
      <c r="I14" s="274">
        <f t="shared" si="8"/>
        <v>2881611.7383883996</v>
      </c>
      <c r="J14" s="274">
        <f t="shared" si="8"/>
        <v>3480563.8736698804</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2259480.7983496673</v>
      </c>
      <c r="D19" s="26"/>
      <c r="E19" s="238"/>
      <c r="F19" s="26"/>
      <c r="G19" s="278">
        <f t="shared" ref="G19:Q19" si="9">IF(G$4="","",G14+G17)</f>
        <v>2525681.2694959603</v>
      </c>
      <c r="H19" s="278">
        <f t="shared" si="9"/>
        <v>2249336.9806246902</v>
      </c>
      <c r="I19" s="278">
        <f t="shared" si="9"/>
        <v>2881611.7383883996</v>
      </c>
      <c r="J19" s="278">
        <f t="shared" si="9"/>
        <v>3480563.8736698804</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0.30275491263977694</v>
      </c>
      <c r="H41" s="6">
        <f t="shared" si="16"/>
        <v>0.32218655306113314</v>
      </c>
      <c r="I41" s="6">
        <f t="shared" si="16"/>
        <v>0.31924118089933129</v>
      </c>
      <c r="J41" s="6">
        <f t="shared" si="16"/>
        <v>0.27456669446052523</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24449.899679946517</v>
      </c>
      <c r="E46" s="241"/>
      <c r="G46" s="281">
        <f t="shared" ref="G46:Q46" si="17">IFERROR(IF(G$4="","",($C$46/$C$47)*G47),0)</f>
        <v>91205.269495960529</v>
      </c>
      <c r="H46" s="281">
        <f t="shared" si="17"/>
        <v>106287.98062469011</v>
      </c>
      <c r="I46" s="281">
        <f t="shared" si="17"/>
        <v>95074.738388399594</v>
      </c>
      <c r="J46" s="281">
        <f t="shared" si="17"/>
        <v>30809.873669880417</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-82188.880320053489</v>
      </c>
      <c r="E48" s="241"/>
      <c r="G48" s="274">
        <f>IF(G$4="","",(G45+G46))</f>
        <v>-163215.73050403947</v>
      </c>
      <c r="H48" s="274">
        <f t="shared" ref="H48:Q48" si="18">IF(H$4="","",(H45+H46))</f>
        <v>-75158.019375309887</v>
      </c>
      <c r="I48" s="274">
        <f t="shared" si="18"/>
        <v>-25486.261611600406</v>
      </c>
      <c r="J48" s="274">
        <f t="shared" si="18"/>
        <v>-81648.126330119587</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3.1414826169106794E-3</v>
      </c>
      <c r="D76" s="26"/>
      <c r="E76" s="238"/>
      <c r="F76" s="26"/>
      <c r="G76" s="6">
        <f t="shared" ref="G76:Q76" si="28">IF(G$4="","",ABS(G10/G$4))</f>
        <v>5.691789736119935E-3</v>
      </c>
      <c r="H76" s="6">
        <f t="shared" si="28"/>
        <v>2.7232655356160553E-3</v>
      </c>
      <c r="I76" s="6">
        <f t="shared" si="28"/>
        <v>9.8771008482106417E-4</v>
      </c>
      <c r="J76" s="6">
        <f t="shared" si="28"/>
        <v>3.6171854466156782E-3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0.11515133796880231</v>
      </c>
      <c r="D77" s="26"/>
      <c r="E77" s="238"/>
      <c r="F77" s="26"/>
      <c r="G77" s="62">
        <f t="shared" ref="G77:Q77" si="29">IF(G$4="","",G11/G$4)</f>
        <v>0.12632226832702445</v>
      </c>
      <c r="H77" s="62">
        <f t="shared" si="29"/>
        <v>0.12024555910048453</v>
      </c>
      <c r="I77" s="62">
        <f t="shared" si="29"/>
        <v>0.16404596011261002</v>
      </c>
      <c r="J77" s="62">
        <f t="shared" si="29"/>
        <v>0.21255804292308253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2.8787834492200577E-2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8.6363503476601738E-2</v>
      </c>
      <c r="D80" s="26"/>
      <c r="E80" s="238"/>
      <c r="F80" s="26"/>
      <c r="G80" s="62">
        <f t="shared" ref="G80:Q80" si="32">IF(G$4="","",ABS(G14/G$4))</f>
        <v>8.8077581015217704E-2</v>
      </c>
      <c r="H80" s="62">
        <f t="shared" si="32"/>
        <v>8.1502172732005176E-2</v>
      </c>
      <c r="I80" s="62">
        <f t="shared" si="32"/>
        <v>0.1116757340844958</v>
      </c>
      <c r="J80" s="62">
        <f t="shared" si="32"/>
        <v>0.15419637358182278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8.6363503476601738E-2</v>
      </c>
      <c r="D85" s="72"/>
      <c r="E85" s="238"/>
      <c r="F85" s="72"/>
      <c r="G85" s="62">
        <f t="shared" ref="G85:Q85" si="35">IF(G$4="","",ABS(G19/G$4))</f>
        <v>8.8077581015217704E-2</v>
      </c>
      <c r="H85" s="62">
        <f t="shared" si="35"/>
        <v>8.1502172732005176E-2</v>
      </c>
      <c r="I85" s="62">
        <f t="shared" si="35"/>
        <v>0.1116757340844958</v>
      </c>
      <c r="J85" s="62">
        <f t="shared" si="35"/>
        <v>0.15419637358182278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0.53477028767632928</v>
      </c>
      <c r="E88" s="241"/>
      <c r="G88" s="109">
        <f>Data!C65</f>
        <v>0.53477028767632928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1382280.1247327919</v>
      </c>
      <c r="E89" s="241"/>
      <c r="G89" s="71">
        <f t="shared" ref="G89:Q89" si="36">IF(G$4="","",G88*Common_Shares/scaling_factor)</f>
        <v>1382280.1247327919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0.61176891865707106</v>
      </c>
      <c r="E90" s="241"/>
      <c r="G90" s="152">
        <f t="shared" ref="G90:Q90" si="37">IF(G$4="","",G88/(G19*scaling_factor/Common_Shares))</f>
        <v>0.54729000900760838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3.0947354610898682E-2</v>
      </c>
      <c r="E92" s="241"/>
      <c r="G92" s="22">
        <f t="shared" ref="G92:Q92" si="38">IF(G$4="","",(G88*(1-dividend_tax_rate))/Market_Price)</f>
        <v>3.0947354610898682E-2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-0.1683237281171488</v>
      </c>
      <c r="D96" s="26"/>
      <c r="E96" s="238"/>
      <c r="F96" s="26"/>
      <c r="G96" s="6">
        <f t="shared" ref="G96:Q96" si="40">IF(H5="","",G11/H11-1)</f>
        <v>9.1537593200509804E-2</v>
      </c>
      <c r="H96" s="6">
        <f t="shared" si="40"/>
        <v>-0.2160069829165211</v>
      </c>
      <c r="I96" s="6">
        <f t="shared" si="40"/>
        <v>-0.11775501679008538</v>
      </c>
      <c r="J96" s="6">
        <f t="shared" si="40"/>
        <v>1.4629283432294677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2.0857481360073988</v>
      </c>
      <c r="H113" s="257">
        <f>IF(H$4="","",Data!D$22/H19)</f>
        <v>2.0841412560149424</v>
      </c>
      <c r="I113" s="257">
        <f>IF(I$4="","",Data!E$22/I19)</f>
        <v>1.3581302254788714</v>
      </c>
      <c r="J113" s="257">
        <f>IF(J$4="","",Data!F$22/J19)</f>
        <v>1.8747924867471935</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0.11515133796880231</v>
      </c>
      <c r="E116" s="241"/>
      <c r="G116" s="22">
        <f t="shared" ref="G116:Q116" si="44">IF(G4="","",G77)</f>
        <v>0.12632226832702445</v>
      </c>
      <c r="H116" s="22">
        <f t="shared" si="44"/>
        <v>0.12024555910048453</v>
      </c>
      <c r="I116" s="22">
        <f t="shared" si="44"/>
        <v>0.16404596011261002</v>
      </c>
      <c r="J116" s="22">
        <f t="shared" si="44"/>
        <v>0.21255804292308253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0.11088649220138132</v>
      </c>
      <c r="D119" s="100"/>
      <c r="E119" s="244"/>
      <c r="F119" s="100"/>
      <c r="G119" s="99">
        <f t="shared" ref="G119:Q119" si="47">IF(G$4="","",G11/G104)</f>
        <v>0.13332891168139596</v>
      </c>
      <c r="H119" s="99">
        <f t="shared" si="47"/>
        <v>0.13597102446931106</v>
      </c>
      <c r="I119" s="99">
        <f t="shared" si="47"/>
        <v>0.17396651586295997</v>
      </c>
      <c r="J119" s="99">
        <f t="shared" si="47"/>
        <v>0.22734531594584317</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0.95591649422747371</v>
      </c>
      <c r="D123" s="26"/>
      <c r="E123" s="238"/>
      <c r="F123" s="26"/>
      <c r="G123" s="159">
        <f t="shared" ref="G123:Q123" si="48">IF(G$4="","",G14*$C$3/Common_Shares*Exchange_Rate)</f>
        <v>1.0685376863729119</v>
      </c>
      <c r="H123" s="159">
        <f t="shared" si="48"/>
        <v>0.95162495845304906</v>
      </c>
      <c r="I123" s="159">
        <f t="shared" si="48"/>
        <v>1.2191208673678176</v>
      </c>
      <c r="J123" s="159">
        <f t="shared" si="48"/>
        <v>1.4725190045799255</v>
      </c>
      <c r="K123" s="159">
        <f t="shared" si="48"/>
        <v>0.5917357419561512</v>
      </c>
      <c r="L123" s="159">
        <f t="shared" si="48"/>
        <v>0.58306959463502439</v>
      </c>
      <c r="M123" s="159">
        <f t="shared" si="48"/>
        <v>0.25089266480413336</v>
      </c>
      <c r="N123" s="159">
        <f t="shared" si="48"/>
        <v>0.19185294966985411</v>
      </c>
      <c r="O123" s="159">
        <f t="shared" si="48"/>
        <v>9.7908342005685642E-2</v>
      </c>
      <c r="P123" s="159">
        <f t="shared" si="48"/>
        <v>5.0907904078851601E-3</v>
      </c>
      <c r="Q123" s="159" t="str">
        <f t="shared" si="48"/>
        <v/>
      </c>
    </row>
    <row r="124" spans="1:17" ht="15.75" customHeight="1">
      <c r="A124" s="10"/>
      <c r="B124" s="26" t="s">
        <v>226</v>
      </c>
      <c r="C124" s="74">
        <f>C19*Exchange_Rate*$C$3/(Market_Price*Common_Shares)</f>
        <v>5.5319241564089912E-2</v>
      </c>
      <c r="D124" s="26"/>
      <c r="E124" s="238"/>
      <c r="F124" s="26"/>
      <c r="G124" s="74">
        <f t="shared" ref="G124" si="49">IF(G$4="","",G123/Market_Price)</f>
        <v>6.1836671665099062E-2</v>
      </c>
      <c r="H124" s="74">
        <f t="shared" ref="H124" si="50">IF(H$4="","",H123/Market_Price)</f>
        <v>5.5070888799366259E-2</v>
      </c>
      <c r="I124" s="74">
        <f t="shared" ref="I124" si="51">IF(I$4="","",I123/Market_Price)</f>
        <v>7.055097612082277E-2</v>
      </c>
      <c r="J124" s="74">
        <f t="shared" ref="J124" si="52">IF(J$4="","",J123/Market_Price)</f>
        <v>8.5215220172449382E-2</v>
      </c>
      <c r="K124" s="74">
        <f t="shared" ref="K124" si="53">IF(K$4="","",K123/Market_Price)</f>
        <v>3.4243966548388377E-2</v>
      </c>
      <c r="L124" s="74">
        <f t="shared" ref="L124" si="54">IF(L$4="","",L123/Market_Price)</f>
        <v>3.3742453393230579E-2</v>
      </c>
      <c r="M124" s="74">
        <f t="shared" ref="M124" si="55">IF(M$4="","",M123/Market_Price)</f>
        <v>1.4519251435424383E-2</v>
      </c>
      <c r="N124" s="74">
        <f t="shared" ref="N124" si="56">IF(N$4="","",N123/Market_Price)</f>
        <v>1.1102601254042483E-2</v>
      </c>
      <c r="O124" s="74">
        <f t="shared" ref="O124" si="57">IF(O$4="","",O123/Market_Price)</f>
        <v>5.6659920142179184E-3</v>
      </c>
      <c r="P124" s="74">
        <f t="shared" ref="P124" si="58">IF(P$4="","",P123/Market_Price)</f>
        <v>2.9460592638224303E-4</v>
      </c>
      <c r="Q124" s="74" t="str">
        <f t="shared" ref="Q124" si="59">IF(Q$4="","",Q123/Market_Price)</f>
        <v/>
      </c>
    </row>
    <row r="125" spans="1:17" ht="15.75" customHeight="1">
      <c r="B125" s="2" t="s">
        <v>306</v>
      </c>
      <c r="C125" s="151"/>
      <c r="G125" s="22">
        <f>IF(G$4="","",(Data!C47*$C$3)/(Market_Price*Common_Shares))</f>
        <v>6.7455098348885106E-2</v>
      </c>
      <c r="H125" s="22">
        <f>IF(H$4="","",(Data!D47*$C$3)/(Market_Price*Common_Shares))</f>
        <v>7.1351704608011102E-2</v>
      </c>
      <c r="I125" s="22">
        <f>IF(I$4="","",(Data!E47*$C$3)/(Market_Price*Common_Shares))</f>
        <v>9.0982254569273766E-2</v>
      </c>
      <c r="J125" s="22">
        <f>IF(J$4="","",(Data!F47*$C$3)/(Market_Price*Common_Shares))</f>
        <v>8.9798276788934539E-2</v>
      </c>
      <c r="K125" s="22">
        <f>IF(K$4="","",(Data!G47*$C$3)/(Market_Price*Common_Shares))</f>
        <v>3.8026725342013214E-2</v>
      </c>
      <c r="L125" s="22">
        <f>IF(L$4="","",(Data!H47*$C$3)/(Market_Price*Common_Shares))</f>
        <v>3.356375397672378E-2</v>
      </c>
      <c r="M125" s="22">
        <f>IF(M$4="","",(Data!I47*$C$3)/(Market_Price*Common_Shares))</f>
        <v>1.6013756766801689E-2</v>
      </c>
      <c r="N125" s="22">
        <f>IF(N$4="","",(Data!J47*$C$3)/(Market_Price*Common_Shares))</f>
        <v>1.1533613324332061E-2</v>
      </c>
      <c r="O125" s="22">
        <f>IF(O$4="","",(Data!K47*$C$3)/(Market_Price*Common_Shares))</f>
        <v>1.5691494864674298E-2</v>
      </c>
      <c r="P125" s="22">
        <f>IF(P$4="","",(Data!L47*$C$3)/(Market_Price*Common_Shares))</f>
        <v>1.3792513881171233E-3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2259480.7983496673</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15115872.720008913</v>
      </c>
      <c r="G5" t="str">
        <f>Reporting_currency</f>
        <v>CNY</v>
      </c>
      <c r="H5" s="315" t="s">
        <v>396</v>
      </c>
      <c r="I5" s="312">
        <f>Normalized_FCF!C7</f>
        <v>-1427907</v>
      </c>
      <c r="J5" s="312"/>
    </row>
    <row r="6" spans="2:15" ht="13.25" customHeight="1">
      <c r="B6" s="136" t="s">
        <v>194</v>
      </c>
      <c r="C6" s="290">
        <f>(C4*(1+Terminal_Growth))/(Equity_Cost-Terminal_Growth)</f>
        <v>31165252.391029898</v>
      </c>
      <c r="D6" t="str">
        <f>Reporting_currency</f>
        <v>CNY</v>
      </c>
      <c r="E6" s="187" t="s">
        <v>436</v>
      </c>
      <c r="F6" s="291">
        <f>BS!H42</f>
        <v>1668728.8</v>
      </c>
      <c r="G6" t="str">
        <f>Reporting_currency</f>
        <v>CNY</v>
      </c>
      <c r="H6" s="315" t="s">
        <v>418</v>
      </c>
      <c r="I6" s="312">
        <f>I7+I8</f>
        <v>-82188.880320053489</v>
      </c>
      <c r="J6" s="312"/>
      <c r="N6" s="135"/>
    </row>
    <row r="7" spans="2:15" ht="12.75" customHeight="1">
      <c r="B7" s="325" t="s">
        <v>433</v>
      </c>
      <c r="C7" s="282">
        <f>F7</f>
        <v>15007288.520008914</v>
      </c>
      <c r="E7" s="140" t="s">
        <v>427</v>
      </c>
      <c r="F7" s="290">
        <f>SUM(F4:F6)</f>
        <v>15007288.520008914</v>
      </c>
      <c r="G7" t="str">
        <f>Reporting_currency</f>
        <v>CNY</v>
      </c>
      <c r="H7" s="319" t="s">
        <v>419</v>
      </c>
      <c r="I7" s="320">
        <f>Normalized_FCF!C9</f>
        <v>0</v>
      </c>
      <c r="J7" s="320"/>
      <c r="N7" s="311"/>
      <c r="O7" s="311"/>
    </row>
    <row r="8" spans="2:15" ht="13.15">
      <c r="B8" s="136" t="s">
        <v>429</v>
      </c>
      <c r="C8" s="290">
        <f>C6+C7</f>
        <v>46172540.911038816</v>
      </c>
      <c r="D8" t="str">
        <f>Reporting_currency</f>
        <v>CNY</v>
      </c>
      <c r="E8" s="140" t="s">
        <v>467</v>
      </c>
      <c r="F8" s="108">
        <f>FV_adjustments*scaling_factor/Common_Shares*Exchange_Rate</f>
        <v>6.3491199572863346</v>
      </c>
      <c r="G8" s="301" t="str">
        <f>Market_currency</f>
        <v>HKD</v>
      </c>
      <c r="H8" s="321" t="str">
        <f>Normalized_FCF!B10</f>
        <v>Net Interest Income</v>
      </c>
      <c r="I8" s="320">
        <f>Normalized_FCF!C10</f>
        <v>-82188.880320053489</v>
      </c>
      <c r="J8" s="320"/>
      <c r="N8" s="311"/>
      <c r="O8" s="311"/>
    </row>
    <row r="9" spans="2:15" ht="13.15" thickBot="1">
      <c r="B9" s="189" t="str">
        <f>"*"&amp;Thesis!E15</f>
        <v>*CNY/HKD</v>
      </c>
      <c r="C9" s="190">
        <f>Exchange_Rate</f>
        <v>1.09355365</v>
      </c>
      <c r="D9" t="str">
        <f>Thesis!E15</f>
        <v>CNY/HKD</v>
      </c>
      <c r="F9" s="329"/>
      <c r="H9" s="315" t="str">
        <f>Normalized_FCF!B79</f>
        <v>NCI’s Share of Profits</v>
      </c>
      <c r="I9" s="144">
        <f>Normalized_FCF!C79</f>
        <v>0</v>
      </c>
      <c r="J9" s="313"/>
      <c r="N9" s="311"/>
      <c r="O9" s="311"/>
    </row>
    <row r="10" spans="2:15" ht="13.5" thickTop="1">
      <c r="B10" s="107" t="s">
        <v>430</v>
      </c>
      <c r="C10" s="290">
        <f>C8*Exchange_Rate</f>
        <v>50492150.643040821</v>
      </c>
      <c r="D10" t="str">
        <f>Market_currency</f>
        <v>HKD</v>
      </c>
      <c r="H10" s="315" t="s">
        <v>398</v>
      </c>
      <c r="I10" s="313">
        <f>Normalized_FCF!C41</f>
        <v>0.25</v>
      </c>
      <c r="N10" s="311"/>
      <c r="O10" s="311"/>
    </row>
    <row r="11" spans="2:15" ht="13.15">
      <c r="B11" s="136" t="s">
        <v>428</v>
      </c>
      <c r="C11" s="108">
        <f>(C10*scaling_factor)/Common_Shares</f>
        <v>19.534175050079075</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21.555293503540483</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3070245.1717582829</v>
      </c>
      <c r="H21" s="306">
        <f t="shared" ref="H21:H50" si="2">IF(A21="",0%,IF(A21="I",$C$18,$F$18))</f>
        <v>0</v>
      </c>
      <c r="I21" s="284">
        <f>(G21*(1-$I$10)+C21*(H21-$I$9))</f>
        <v>2302683.8788187122</v>
      </c>
      <c r="J21" s="306">
        <f>I21/C4-1</f>
        <v>1.9120800008834093E-2</v>
      </c>
      <c r="K21" s="119">
        <f t="shared" ref="K21:K50" si="3">IF($C$15&lt;B21,0,1/(1+Equity_Cost)^B21)</f>
        <v>0.93240093240093236</v>
      </c>
      <c r="L21" s="284">
        <f t="shared" ref="L21:L50" si="4">I21*K21</f>
        <v>2147024.5956351627</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3128921.4649979109</v>
      </c>
      <c r="H22" s="306">
        <f t="shared" si="2"/>
        <v>0</v>
      </c>
      <c r="I22" s="284">
        <f>IF(A22="", 0,G22*(1-$I$10)+C22*(H22-$I$9))</f>
        <v>2346691.0987484334</v>
      </c>
      <c r="J22" s="306">
        <f>IF(A22="", 0,I22/I21-1)</f>
        <v>1.9111272864904549E-2</v>
      </c>
      <c r="K22" s="119">
        <f t="shared" si="3"/>
        <v>0.86937149874212816</v>
      </c>
      <c r="L22" s="284">
        <f t="shared" si="4"/>
        <v>2040146.3576037369</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3188689.9007951515</v>
      </c>
      <c r="H23" s="306">
        <f t="shared" si="2"/>
        <v>0</v>
      </c>
      <c r="I23" s="284">
        <f t="shared" ref="I23:I50" si="9">IF(A23="", 0,G23*(1-$I$10)+C23*(H23-$I$9))</f>
        <v>2391517.4255963638</v>
      </c>
      <c r="J23" s="306">
        <f t="shared" ref="J23:J50" si="10">IF(A23="", 0,I23/I22-1)</f>
        <v>1.9101929040357124E-2</v>
      </c>
      <c r="K23" s="119">
        <f t="shared" si="3"/>
        <v>0.81060279602995633</v>
      </c>
      <c r="L23" s="284">
        <f t="shared" si="4"/>
        <v>1938570.7119427756</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3249570.8072126741</v>
      </c>
      <c r="H24" s="306">
        <f t="shared" si="2"/>
        <v>0</v>
      </c>
      <c r="I24" s="284">
        <f t="shared" si="9"/>
        <v>2437178.1054095058</v>
      </c>
      <c r="J24" s="306">
        <f t="shared" si="10"/>
        <v>1.9092764838105181E-2</v>
      </c>
      <c r="K24" s="119">
        <f t="shared" si="3"/>
        <v>0.75580680282513402</v>
      </c>
      <c r="L24" s="284">
        <f t="shared" si="4"/>
        <v>1842035.791764976</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3311584.8906796249</v>
      </c>
      <c r="H25" s="306">
        <f t="shared" si="2"/>
        <v>0</v>
      </c>
      <c r="I25" s="284">
        <f t="shared" si="9"/>
        <v>2483688.6680097189</v>
      </c>
      <c r="J25" s="306">
        <f t="shared" si="10"/>
        <v>1.9083776641920069E-2</v>
      </c>
      <c r="K25" s="119">
        <f t="shared" si="3"/>
        <v>0.70471496766912267</v>
      </c>
      <c r="L25" s="284">
        <f t="shared" si="4"/>
        <v>1750292.5793766354</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3374753.2430341644</v>
      </c>
      <c r="H26" s="306">
        <f t="shared" si="2"/>
        <v>0</v>
      </c>
      <c r="I26" s="284">
        <f t="shared" si="9"/>
        <v>2531064.9322756231</v>
      </c>
      <c r="J26" s="306">
        <f t="shared" si="10"/>
        <v>1.9074960914432504E-2</v>
      </c>
      <c r="K26" s="119">
        <f t="shared" si="3"/>
        <v>0.65707689293158289</v>
      </c>
      <c r="L26" s="284">
        <f t="shared" si="4"/>
        <v>1663104.2815077538</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3439097.348697097</v>
      </c>
      <c r="H27" s="306">
        <f t="shared" si="2"/>
        <v>0</v>
      </c>
      <c r="I27" s="284">
        <f t="shared" si="9"/>
        <v>2579323.011522823</v>
      </c>
      <c r="J27" s="306">
        <f t="shared" si="10"/>
        <v>1.9066314195192113E-2</v>
      </c>
      <c r="K27" s="119">
        <f t="shared" si="3"/>
        <v>0.61265910762851561</v>
      </c>
      <c r="L27" s="284">
        <f t="shared" si="4"/>
        <v>1580245.7345252682</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3504639.0919790082</v>
      </c>
      <c r="H28" s="306">
        <f t="shared" si="2"/>
        <v>0</v>
      </c>
      <c r="I28" s="284">
        <f t="shared" si="9"/>
        <v>2628479.3189842561</v>
      </c>
      <c r="J28" s="306">
        <f t="shared" si="10"/>
        <v>1.9057833098775623E-2</v>
      </c>
      <c r="K28" s="119">
        <f t="shared" si="3"/>
        <v>0.5712439231967511</v>
      </c>
      <c r="L28" s="284">
        <f t="shared" si="4"/>
        <v>1501502.8382180911</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3571400.7645234247</v>
      </c>
      <c r="H29" s="306">
        <f t="shared" si="2"/>
        <v>0</v>
      </c>
      <c r="I29" s="284">
        <f t="shared" si="9"/>
        <v>2678550.5733925686</v>
      </c>
      <c r="J29" s="306">
        <f t="shared" si="10"/>
        <v>1.904951431296098E-2</v>
      </c>
      <c r="K29" s="119">
        <f t="shared" si="3"/>
        <v>0.53262836661701729</v>
      </c>
      <c r="L29" s="284">
        <f t="shared" si="4"/>
        <v>1426672.0168071589</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3639405.0728885019</v>
      </c>
      <c r="H30" s="306">
        <f t="shared" si="2"/>
        <v>0</v>
      </c>
      <c r="I30" s="284">
        <f t="shared" si="9"/>
        <v>2729553.8046663767</v>
      </c>
      <c r="J30" s="306">
        <f t="shared" si="10"/>
        <v>1.9041354596941229E-2</v>
      </c>
      <c r="K30" s="119">
        <f t="shared" si="3"/>
        <v>0.49662318565689262</v>
      </c>
      <c r="L30" s="284">
        <f t="shared" si="4"/>
        <v>1355559.7058953077</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3639405.0728885019</v>
      </c>
      <c r="H51" s="306">
        <f>F18</f>
        <v>0</v>
      </c>
      <c r="I51" s="284">
        <f>(G51*(1-$I$10)+C51*(H51-$I$9))/Equity_Cost</f>
        <v>37649017.995398298</v>
      </c>
      <c r="J51" s="422">
        <f>(G51*(1-$I$10)+C51*(H51-$I$9))/VLOOKUP(C15,B21:I50,8,FALSE)-1</f>
        <v>0</v>
      </c>
      <c r="K51" s="119">
        <f>1/(1+Equity_Cost)^C15</f>
        <v>0.49662318565689262</v>
      </c>
      <c r="L51" s="284">
        <f>I51*K51</f>
        <v>18697375.253728379</v>
      </c>
    </row>
    <row r="52" spans="1:21" ht="13.15">
      <c r="G52" s="111"/>
      <c r="H52" s="111"/>
      <c r="I52" s="111"/>
      <c r="J52" s="467" t="s">
        <v>423</v>
      </c>
      <c r="K52" s="467"/>
      <c r="L52" s="324">
        <f>SUM(L21:L51)</f>
        <v>35942529.867005244</v>
      </c>
    </row>
    <row r="53" spans="1:21">
      <c r="C53" s="111"/>
    </row>
    <row r="54" spans="1:21" ht="13.15">
      <c r="B54" s="115" t="s">
        <v>108</v>
      </c>
      <c r="C54" s="128"/>
      <c r="D54" s="128"/>
      <c r="E54" s="113"/>
      <c r="F54" s="113"/>
      <c r="G54" s="113"/>
      <c r="H54" s="113"/>
      <c r="I54" s="113"/>
      <c r="J54" s="113"/>
      <c r="K54" s="113"/>
      <c r="L54" s="113"/>
    </row>
    <row r="55" spans="1:21" ht="13.15">
      <c r="A55" s="125">
        <f>L52</f>
        <v>35942529.867005244</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31165252.391029898</v>
      </c>
      <c r="C56" s="118">
        <v>34068333.600865662</v>
      </c>
      <c r="D56" s="118">
        <v>37191864.871433608</v>
      </c>
      <c r="E56" s="118">
        <v>40548606.762081511</v>
      </c>
      <c r="F56" s="118">
        <v>48015223.496122539</v>
      </c>
      <c r="G56" s="302"/>
      <c r="H56" s="302"/>
      <c r="I56" s="302"/>
      <c r="J56" s="302"/>
      <c r="K56" s="302"/>
      <c r="L56" s="302"/>
    </row>
    <row r="57" spans="1:21" ht="13.15">
      <c r="A57" s="131">
        <v>6</v>
      </c>
      <c r="B57" s="118">
        <v>31165252.391029898</v>
      </c>
      <c r="C57" s="118">
        <v>34566534.374203004</v>
      </c>
      <c r="D57" s="118">
        <v>38289859.538313083</v>
      </c>
      <c r="E57" s="118">
        <v>42360172.588770442</v>
      </c>
      <c r="F57" s="118">
        <v>51648822.256023183</v>
      </c>
      <c r="G57" s="302"/>
      <c r="H57" s="302"/>
      <c r="I57" s="302"/>
      <c r="J57" s="302"/>
      <c r="K57" s="302"/>
      <c r="L57" s="302"/>
    </row>
    <row r="58" spans="1:21" ht="13.15">
      <c r="A58" s="131">
        <v>7</v>
      </c>
      <c r="B58" s="118">
        <v>31165252.391029902</v>
      </c>
      <c r="C58" s="118">
        <v>35040347.697097264</v>
      </c>
      <c r="D58" s="118">
        <v>39354581.639529556</v>
      </c>
      <c r="E58" s="118">
        <v>44150624.594635516</v>
      </c>
      <c r="F58" s="118">
        <v>55375590.214895651</v>
      </c>
      <c r="G58" s="302"/>
      <c r="H58" s="302"/>
      <c r="I58" s="302"/>
      <c r="J58" s="302"/>
      <c r="K58" s="302"/>
      <c r="L58" s="302"/>
    </row>
    <row r="59" spans="1:21" ht="13.15">
      <c r="A59" s="131">
        <v>8</v>
      </c>
      <c r="B59" s="118">
        <v>31165252.391029902</v>
      </c>
      <c r="C59" s="118">
        <v>35490967.360828862</v>
      </c>
      <c r="D59" s="118">
        <v>40387039.434648544</v>
      </c>
      <c r="E59" s="118">
        <v>45920208.86150448</v>
      </c>
      <c r="F59" s="118">
        <v>59197916.326559737</v>
      </c>
      <c r="G59" s="302"/>
      <c r="H59" s="302"/>
      <c r="I59" s="302"/>
      <c r="J59" s="302"/>
      <c r="K59" s="302"/>
      <c r="L59" s="302"/>
    </row>
    <row r="60" spans="1:21" ht="13.15">
      <c r="A60" s="131">
        <v>9</v>
      </c>
      <c r="B60" s="118">
        <v>31165252.391029894</v>
      </c>
      <c r="C60" s="118">
        <v>35919528.719342843</v>
      </c>
      <c r="D60" s="118">
        <v>41388210.629915446</v>
      </c>
      <c r="E60" s="118">
        <v>47669168.603118554</v>
      </c>
      <c r="F60" s="118">
        <v>63118250.800061323</v>
      </c>
      <c r="G60" s="302"/>
      <c r="H60" s="302"/>
      <c r="I60" s="302"/>
      <c r="J60" s="302"/>
      <c r="K60" s="302"/>
      <c r="L60" s="302"/>
    </row>
    <row r="61" spans="1:21" ht="13.15">
      <c r="A61" s="131">
        <v>10</v>
      </c>
      <c r="B61" s="118">
        <v>31165252.391029898</v>
      </c>
      <c r="C61" s="118">
        <v>36327111.549817666</v>
      </c>
      <c r="D61" s="118">
        <v>42359043.304113656</v>
      </c>
      <c r="E61" s="118">
        <v>49397744.198559985</v>
      </c>
      <c r="F61" s="118">
        <v>67139106.670319378</v>
      </c>
      <c r="G61" s="302"/>
      <c r="H61" s="302"/>
      <c r="I61" s="302"/>
      <c r="J61" s="302"/>
      <c r="K61" s="302"/>
      <c r="L61" s="302"/>
    </row>
    <row r="62" spans="1:21" ht="13.15">
      <c r="A62" s="131">
        <v>15</v>
      </c>
      <c r="B62" s="118">
        <v>31165252.391029902</v>
      </c>
      <c r="C62" s="284">
        <v>38084581.442628711</v>
      </c>
      <c r="D62" s="118">
        <v>46789348.561332598</v>
      </c>
      <c r="E62" s="118">
        <v>57743078.955528073</v>
      </c>
      <c r="F62" s="118">
        <v>88843767.490170568</v>
      </c>
      <c r="G62" s="302"/>
      <c r="H62" s="302"/>
      <c r="I62" s="302"/>
      <c r="J62" s="302"/>
      <c r="K62" s="302"/>
      <c r="L62" s="302"/>
      <c r="M62" s="282"/>
      <c r="N62" s="282"/>
      <c r="O62" s="282"/>
      <c r="P62" s="282"/>
      <c r="Q62" s="282"/>
      <c r="R62" s="282"/>
      <c r="S62" s="282"/>
      <c r="T62" s="282"/>
      <c r="U62" s="282"/>
    </row>
    <row r="63" spans="1:21" ht="13.15">
      <c r="A63" s="132">
        <v>20</v>
      </c>
      <c r="B63" s="118">
        <v>31165252.391029898</v>
      </c>
      <c r="C63" s="284">
        <v>39452002.452547058</v>
      </c>
      <c r="D63" s="118">
        <v>50587863.539643794</v>
      </c>
      <c r="E63" s="118">
        <v>65613293.731350839</v>
      </c>
      <c r="F63" s="118">
        <v>113477483.19600645</v>
      </c>
      <c r="G63" s="302"/>
      <c r="H63" s="302"/>
      <c r="I63" s="302"/>
      <c r="J63" s="302"/>
      <c r="K63" s="302"/>
      <c r="L63" s="302"/>
      <c r="M63" s="282"/>
      <c r="N63" s="282"/>
      <c r="O63" s="282"/>
      <c r="P63" s="282"/>
      <c r="Q63" s="282"/>
      <c r="R63" s="282"/>
      <c r="S63" s="282"/>
      <c r="T63" s="282"/>
      <c r="U63" s="282"/>
    </row>
    <row r="64" spans="1:21" ht="13.15">
      <c r="A64" s="132">
        <v>25</v>
      </c>
      <c r="B64" s="118">
        <v>31165252.391029894</v>
      </c>
      <c r="C64" s="284">
        <v>40515941.144193918</v>
      </c>
      <c r="D64" s="118">
        <v>53844685.632646017</v>
      </c>
      <c r="E64" s="118">
        <v>73035438.249383613</v>
      </c>
      <c r="F64" s="118">
        <v>141435531.21677738</v>
      </c>
      <c r="G64" s="302"/>
      <c r="H64" s="302"/>
      <c r="I64" s="302"/>
      <c r="J64" s="302"/>
      <c r="K64" s="302"/>
      <c r="L64" s="302"/>
      <c r="M64" s="282"/>
      <c r="N64" s="282"/>
      <c r="O64" s="282"/>
      <c r="P64" s="282"/>
      <c r="Q64" s="282"/>
      <c r="R64" s="282"/>
      <c r="S64" s="282"/>
      <c r="T64" s="282"/>
      <c r="U64" s="282"/>
    </row>
    <row r="65" spans="1:21" ht="13.15">
      <c r="A65" s="132">
        <v>30</v>
      </c>
      <c r="B65" s="118">
        <v>31165252.391029894</v>
      </c>
      <c r="C65" s="284">
        <v>41343751.695130832</v>
      </c>
      <c r="D65" s="118">
        <v>56637063.760948963</v>
      </c>
      <c r="E65" s="118">
        <v>80035022.2271671</v>
      </c>
      <c r="F65" s="118">
        <v>173166531.86912954</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19.534175050079075</v>
      </c>
      <c r="C69" s="119">
        <f>C11</f>
        <v>19.534175050079075</v>
      </c>
      <c r="D69" s="119">
        <f>C11</f>
        <v>19.534175050079075</v>
      </c>
      <c r="E69" s="119">
        <f>C11</f>
        <v>19.534175050079075</v>
      </c>
      <c r="F69" s="119">
        <f>C11</f>
        <v>19.534175050079075</v>
      </c>
      <c r="G69" s="303"/>
      <c r="H69" s="303"/>
      <c r="I69" s="303"/>
      <c r="J69" s="303"/>
      <c r="K69" s="303"/>
      <c r="L69" s="303"/>
    </row>
    <row r="70" spans="1:21" ht="13.15">
      <c r="A70" s="131">
        <f>A56</f>
        <v>5</v>
      </c>
      <c r="B70" s="119">
        <f t="shared" ref="B70:F74" si="11">(B56+FV_adjustments)/Common_Shares*scaling_factor*Exchange_Rate</f>
        <v>19.534175050079078</v>
      </c>
      <c r="C70" s="119">
        <f t="shared" si="11"/>
        <v>20.762378987280403</v>
      </c>
      <c r="D70" s="119">
        <f t="shared" si="11"/>
        <v>22.083848531943968</v>
      </c>
      <c r="E70" s="119">
        <f t="shared" si="11"/>
        <v>23.503982282351728</v>
      </c>
      <c r="F70" s="119">
        <f t="shared" si="11"/>
        <v>26.662877059133152</v>
      </c>
      <c r="G70" s="303"/>
      <c r="H70" s="303"/>
      <c r="I70" s="303"/>
      <c r="J70" s="303"/>
      <c r="K70" s="303"/>
      <c r="L70" s="303"/>
    </row>
    <row r="71" spans="1:21" ht="13.15">
      <c r="A71" s="131">
        <v>6</v>
      </c>
      <c r="B71" s="119">
        <f t="shared" si="11"/>
        <v>19.534175050079078</v>
      </c>
      <c r="C71" s="119">
        <f t="shared" si="11"/>
        <v>20.973152337077355</v>
      </c>
      <c r="D71" s="119">
        <f t="shared" si="11"/>
        <v>22.548376140857712</v>
      </c>
      <c r="E71" s="119">
        <f t="shared" si="11"/>
        <v>24.270399795337728</v>
      </c>
      <c r="F71" s="119">
        <f t="shared" si="11"/>
        <v>28.200140394378362</v>
      </c>
      <c r="G71" s="303"/>
      <c r="H71" s="303"/>
      <c r="I71" s="303"/>
      <c r="J71" s="303"/>
      <c r="K71" s="303"/>
      <c r="L71" s="303"/>
    </row>
    <row r="72" spans="1:21" ht="13.15">
      <c r="A72" s="131">
        <f t="shared" ref="A72" si="12">A58</f>
        <v>7</v>
      </c>
      <c r="B72" s="119">
        <f t="shared" si="11"/>
        <v>19.534175050079078</v>
      </c>
      <c r="C72" s="119">
        <f t="shared" si="11"/>
        <v>21.173608110310816</v>
      </c>
      <c r="D72" s="119">
        <f t="shared" si="11"/>
        <v>22.998827155561951</v>
      </c>
      <c r="E72" s="119">
        <f t="shared" si="11"/>
        <v>25.027884703277284</v>
      </c>
      <c r="F72" s="119">
        <f t="shared" si="11"/>
        <v>29.776820738219605</v>
      </c>
      <c r="G72" s="303"/>
      <c r="H72" s="303"/>
      <c r="I72" s="303"/>
      <c r="J72" s="303"/>
      <c r="K72" s="303"/>
      <c r="L72" s="303"/>
    </row>
    <row r="73" spans="1:21" ht="13.15">
      <c r="A73" s="131">
        <v>8</v>
      </c>
      <c r="B73" s="119">
        <f t="shared" si="11"/>
        <v>19.534175050079078</v>
      </c>
      <c r="C73" s="119">
        <f t="shared" si="11"/>
        <v>21.364251363176212</v>
      </c>
      <c r="D73" s="119">
        <f t="shared" si="11"/>
        <v>23.435628139517576</v>
      </c>
      <c r="E73" s="119">
        <f t="shared" si="11"/>
        <v>25.776541115786301</v>
      </c>
      <c r="F73" s="119">
        <f t="shared" si="11"/>
        <v>31.393928783184997</v>
      </c>
      <c r="G73" s="303"/>
      <c r="H73" s="303"/>
      <c r="I73" s="303"/>
      <c r="J73" s="303"/>
      <c r="K73" s="303"/>
      <c r="L73" s="303"/>
    </row>
    <row r="74" spans="1:21" ht="13.15">
      <c r="A74" s="131">
        <f t="shared" ref="A74" si="13">A60</f>
        <v>9</v>
      </c>
      <c r="B74" s="119">
        <f t="shared" si="11"/>
        <v>19.534175050079075</v>
      </c>
      <c r="C74" s="119">
        <f t="shared" si="11"/>
        <v>21.545562428838409</v>
      </c>
      <c r="D74" s="119">
        <f t="shared" si="11"/>
        <v>23.859192730019998</v>
      </c>
      <c r="E74" s="119">
        <f t="shared" si="11"/>
        <v>26.516471929081927</v>
      </c>
      <c r="F74" s="119">
        <f t="shared" si="11"/>
        <v>33.05250113699563</v>
      </c>
      <c r="G74" s="303"/>
      <c r="H74" s="303"/>
      <c r="I74" s="303"/>
      <c r="J74" s="303"/>
      <c r="K74" s="303"/>
      <c r="L74" s="303"/>
    </row>
    <row r="75" spans="1:21" ht="13.15">
      <c r="A75" s="131">
        <f t="shared" ref="A75:A79" si="14">A61</f>
        <v>10</v>
      </c>
      <c r="B75" s="119">
        <f t="shared" ref="B75:F79" si="15">(B61+FV_adjustments)/Common_Shares*scaling_factor*Exchange_Rate</f>
        <v>19.534175050079078</v>
      </c>
      <c r="C75" s="119">
        <f t="shared" si="15"/>
        <v>21.717998127649999</v>
      </c>
      <c r="D75" s="119">
        <f t="shared" si="15"/>
        <v>24.269922029901135</v>
      </c>
      <c r="E75" s="119">
        <f t="shared" si="15"/>
        <v>27.247778840124692</v>
      </c>
      <c r="F75" s="119">
        <f t="shared" si="15"/>
        <v>34.753600987057837</v>
      </c>
      <c r="G75" s="303"/>
      <c r="H75" s="303"/>
      <c r="I75" s="303"/>
      <c r="J75" s="303"/>
      <c r="K75" s="303"/>
      <c r="L75" s="303"/>
    </row>
    <row r="76" spans="1:21" ht="13.15">
      <c r="A76" s="131">
        <f t="shared" si="14"/>
        <v>15</v>
      </c>
      <c r="B76" s="119">
        <f t="shared" si="15"/>
        <v>19.534175050079078</v>
      </c>
      <c r="C76" s="119">
        <f t="shared" si="15"/>
        <v>22.461529322902177</v>
      </c>
      <c r="D76" s="119">
        <f t="shared" si="15"/>
        <v>26.144247261136353</v>
      </c>
      <c r="E76" s="119">
        <f t="shared" si="15"/>
        <v>30.778432054731503</v>
      </c>
      <c r="F76" s="119">
        <f t="shared" si="15"/>
        <v>43.936172175298452</v>
      </c>
      <c r="G76" s="303"/>
      <c r="H76" s="303"/>
      <c r="I76" s="303"/>
      <c r="J76" s="303"/>
      <c r="K76" s="303"/>
      <c r="L76" s="303"/>
    </row>
    <row r="77" spans="1:21" ht="13.15">
      <c r="A77" s="132">
        <f t="shared" si="14"/>
        <v>20</v>
      </c>
      <c r="B77" s="119">
        <f t="shared" si="15"/>
        <v>19.534175050079078</v>
      </c>
      <c r="C77" s="119">
        <f t="shared" si="15"/>
        <v>23.040042890660253</v>
      </c>
      <c r="D77" s="119">
        <f t="shared" si="15"/>
        <v>27.751281551487452</v>
      </c>
      <c r="E77" s="119">
        <f t="shared" si="15"/>
        <v>34.108076689382436</v>
      </c>
      <c r="F77" s="119">
        <f t="shared" si="15"/>
        <v>54.357935960376089</v>
      </c>
      <c r="G77" s="303"/>
      <c r="H77" s="303"/>
      <c r="I77" s="303"/>
      <c r="J77" s="303"/>
      <c r="K77" s="303"/>
      <c r="L77" s="303"/>
    </row>
    <row r="78" spans="1:21" ht="13.15">
      <c r="A78" s="132">
        <f t="shared" si="14"/>
        <v>25</v>
      </c>
      <c r="B78" s="119">
        <f t="shared" si="15"/>
        <v>19.534175050079075</v>
      </c>
      <c r="C78" s="119">
        <f t="shared" si="15"/>
        <v>23.490162468987666</v>
      </c>
      <c r="D78" s="119">
        <f t="shared" si="15"/>
        <v>29.129142323634397</v>
      </c>
      <c r="E78" s="119">
        <f t="shared" si="15"/>
        <v>37.248156646029877</v>
      </c>
      <c r="F78" s="119">
        <f t="shared" si="15"/>
        <v>66.186122006028342</v>
      </c>
      <c r="G78" s="303"/>
      <c r="H78" s="303"/>
      <c r="I78" s="303"/>
      <c r="J78" s="303"/>
      <c r="K78" s="303"/>
      <c r="L78" s="303"/>
    </row>
    <row r="79" spans="1:21" ht="13.15">
      <c r="A79" s="132">
        <f t="shared" si="14"/>
        <v>30</v>
      </c>
      <c r="B79" s="119">
        <f t="shared" si="15"/>
        <v>19.534175050079075</v>
      </c>
      <c r="C79" s="119">
        <f t="shared" si="15"/>
        <v>23.840383528761269</v>
      </c>
      <c r="D79" s="119">
        <f t="shared" si="15"/>
        <v>30.310511208430619</v>
      </c>
      <c r="E79" s="119">
        <f t="shared" si="15"/>
        <v>40.209464297761521</v>
      </c>
      <c r="F79" s="119">
        <f t="shared" si="15"/>
        <v>79.610527703160557</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34.753600987057837</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27.247778840124692</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24.269922029901135</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21.717998127649999</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19.534175050079078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2525681.2694959603</v>
      </c>
      <c r="D8" s="468"/>
      <c r="E8" s="468"/>
      <c r="F8" s="468"/>
      <c r="G8" s="468"/>
    </row>
    <row r="9" spans="2:7">
      <c r="B9" s="97" t="s">
        <v>54</v>
      </c>
      <c r="C9" s="455">
        <f>Normalized_FCF!C19</f>
        <v>2259480.7983496673</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-6.3793742759316707E-2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27.247778840124692</v>
      </c>
      <c r="F22" s="335">
        <f>1-F23-F24</f>
        <v>0.24999999999999994</v>
      </c>
      <c r="G22" s="335">
        <f>F22*(1-F$29-F$30)</f>
        <v>0.22499999999999992</v>
      </c>
    </row>
    <row r="23" spans="2:7">
      <c r="B23" s="309" t="s">
        <v>440</v>
      </c>
      <c r="C23" s="331">
        <v>0.04</v>
      </c>
      <c r="D23" s="332">
        <f>C18</f>
        <v>10</v>
      </c>
      <c r="E23" s="333">
        <f>DCF!E84</f>
        <v>24.269922029901135</v>
      </c>
      <c r="F23" s="334">
        <v>0.55000000000000004</v>
      </c>
      <c r="G23" s="335">
        <f t="shared" ref="G23:G24" si="0">F23*(1-F$29-F$30)</f>
        <v>0.495</v>
      </c>
    </row>
    <row r="24" spans="2:7">
      <c r="B24" s="309" t="s">
        <v>449</v>
      </c>
      <c r="C24" s="331">
        <v>0.02</v>
      </c>
      <c r="D24" s="332">
        <f>C18</f>
        <v>10</v>
      </c>
      <c r="E24" s="333">
        <f>DCF!E85</f>
        <v>21.717998127649999</v>
      </c>
      <c r="F24" s="334">
        <v>0.2</v>
      </c>
      <c r="G24" s="335">
        <f t="shared" si="0"/>
        <v>0.18</v>
      </c>
    </row>
    <row r="25" spans="2:7">
      <c r="B25" s="141" t="s">
        <v>454</v>
      </c>
      <c r="C25" s="449">
        <f>E23*F23+E24*F24+E22*F22</f>
        <v>24.504001452006797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34.753600987057837</v>
      </c>
      <c r="F29" s="334">
        <v>0.05</v>
      </c>
      <c r="G29" s="335">
        <f>F29</f>
        <v>0.05</v>
      </c>
    </row>
    <row r="30" spans="2:7">
      <c r="B30" s="322" t="s">
        <v>450</v>
      </c>
      <c r="C30" s="331">
        <v>0</v>
      </c>
      <c r="D30" s="332">
        <f>C18</f>
        <v>10</v>
      </c>
      <c r="E30" s="333">
        <f>DCF!E86</f>
        <v>19.534175050079078</v>
      </c>
      <c r="F30" s="334">
        <v>0.05</v>
      </c>
      <c r="G30" s="335">
        <f>F30</f>
        <v>0.05</v>
      </c>
    </row>
    <row r="31" spans="2:7">
      <c r="E31" s="336"/>
      <c r="F31" s="336"/>
    </row>
    <row r="32" spans="2:7" ht="13.15">
      <c r="B32" s="145" t="s">
        <v>459</v>
      </c>
    </row>
    <row r="33" spans="2:7">
      <c r="B33" s="97" t="s">
        <v>461</v>
      </c>
      <c r="C33" s="155">
        <f>Normalized_FCF!C88*(1-dividend_tax_rate)</f>
        <v>0.53477028767632928</v>
      </c>
      <c r="D33" t="str">
        <f>Market_currency</f>
        <v>HKD</v>
      </c>
      <c r="E33" s="97" t="s">
        <v>458</v>
      </c>
      <c r="F33" s="222">
        <f>Holding_Period</f>
        <v>3</v>
      </c>
    </row>
    <row r="34" spans="2:7">
      <c r="B34" s="97" t="s">
        <v>233</v>
      </c>
      <c r="C34" s="146">
        <f>Market_Price</f>
        <v>17.28</v>
      </c>
      <c r="D34" t="str">
        <f>Market_currency</f>
        <v>HKD</v>
      </c>
      <c r="E34" s="97" t="s">
        <v>457</v>
      </c>
      <c r="F34" s="337">
        <f>RATE(Holding_Period,$C$33,-C34,$C$36)</f>
        <v>0.15513076110032606</v>
      </c>
    </row>
    <row r="35" spans="2:7">
      <c r="B35" s="97" t="s">
        <v>437</v>
      </c>
      <c r="C35" s="327">
        <f>DCF!C11</f>
        <v>19.534175050079075</v>
      </c>
      <c r="D35" s="97" t="str">
        <f>Market_currency</f>
        <v>HKD</v>
      </c>
      <c r="E35" s="97" t="s">
        <v>457</v>
      </c>
      <c r="F35" s="337">
        <f>RATE(Holding_Period,$C$33,-C35,$C$36)</f>
        <v>0.10772095217806023</v>
      </c>
    </row>
    <row r="36" spans="2:7">
      <c r="B36" s="97" t="s">
        <v>438</v>
      </c>
      <c r="C36" s="328">
        <f>E22*G22+E23*G23+E24*G24+E30*G30+E29*G29</f>
        <v>24.767990108662961</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21.555293503540483</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0.31706134910819561</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0.53477028767632928</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0.97855025376139315</v>
      </c>
      <c r="D62" s="119">
        <f>C36/(1+F62)^Holding_Period</f>
        <v>11.413820326572795</v>
      </c>
      <c r="E62" s="339">
        <f>C62+D62</f>
        <v>12.392370580334187</v>
      </c>
      <c r="F62" s="308">
        <f>Thesis!E22</f>
        <v>0.29465259038036606</v>
      </c>
      <c r="G62" s="448">
        <f>(1-E62/C36)</f>
        <v>0.49966184070786679</v>
      </c>
    </row>
    <row r="63" spans="2:7" ht="13.15">
      <c r="B63" s="309" t="s">
        <v>313</v>
      </c>
      <c r="C63" s="119">
        <f>PV(F63, Holding_Period, -C58, 0)</f>
        <v>1.1251587961532172</v>
      </c>
      <c r="D63" s="119">
        <f>C36/(1+F63)^Holding_Period</f>
        <v>14.306420279372112</v>
      </c>
      <c r="E63" s="339">
        <f>C63+D63</f>
        <v>15.431579075525329</v>
      </c>
      <c r="F63" s="308">
        <f>Thesis!E23</f>
        <v>0.20075184365903009</v>
      </c>
      <c r="G63" s="448">
        <f>(1-E63/C36)</f>
        <v>0.3769547303667603</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1.2901884677070226</v>
      </c>
      <c r="D66" s="119">
        <f>C36/(1+F66)^Holding_Period</f>
        <v>17.752714324472006</v>
      </c>
      <c r="E66" s="339">
        <f>C66+D66</f>
        <v>19.042902792179028</v>
      </c>
      <c r="F66" s="308">
        <f>Thesis!E24</f>
        <v>0.1174</v>
      </c>
      <c r="G66" s="448">
        <f>(1-E66/C47)</f>
        <v>0.11655562523186203</v>
      </c>
    </row>
    <row r="67" spans="2:7" ht="13.15">
      <c r="B67" s="309" t="s">
        <v>314</v>
      </c>
      <c r="C67" s="119">
        <f>PV(F67, Holding_Period, -C58, 0)</f>
        <v>1.3970206517538299</v>
      </c>
      <c r="D67" s="119">
        <f>C36/(1+F67)^Holding_Period</f>
        <v>20.077002034124497</v>
      </c>
      <c r="E67" s="339">
        <f>C67+D67</f>
        <v>21.474022685878328</v>
      </c>
      <c r="F67" s="308">
        <f>Thesis!E25</f>
        <v>7.2499999999999995E-2</v>
      </c>
      <c r="G67" s="448">
        <f>(1-E67/C36)</f>
        <v>0.13299292386395611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17.28</v>
      </c>
    </row>
    <row r="9" spans="1:10">
      <c r="B9" s="358" t="s">
        <v>361</v>
      </c>
      <c r="C9" s="360">
        <f>Common_Shares</f>
        <v>2584811005</v>
      </c>
    </row>
    <row r="10" spans="1:10">
      <c r="B10" s="358" t="s">
        <v>367</v>
      </c>
      <c r="C10" s="364">
        <f>投资主题!C8*Common_Shares/1000000</f>
        <v>44665.534166400001</v>
      </c>
      <c r="D10" s="350" t="s">
        <v>532</v>
      </c>
      <c r="E10" s="367">
        <f>Scenarios!F34</f>
        <v>0.15513076110032606</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1.09355365</v>
      </c>
    </row>
    <row r="17" spans="1:6">
      <c r="B17" s="350" t="s">
        <v>538</v>
      </c>
      <c r="C17" s="432">
        <f>Terminal_Growth</f>
        <v>0</v>
      </c>
      <c r="D17" s="358" t="s">
        <v>339</v>
      </c>
      <c r="E17" s="351" t="str">
        <f>Reporting_currency</f>
        <v>CNY</v>
      </c>
    </row>
    <row r="18" spans="1:6">
      <c r="B18" s="350" t="str">
        <f>"预期股权价值 ("&amp;C7&amp;") :"</f>
        <v>预期股权价值 (HKD) :</v>
      </c>
      <c r="C18" s="366">
        <f>C125</f>
        <v>24.767990108662961</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12.392370580334187</v>
      </c>
      <c r="D22" s="372" t="s">
        <v>443</v>
      </c>
      <c r="E22" s="373">
        <f>Thesis!E22</f>
        <v>0.29465259038036606</v>
      </c>
    </row>
    <row r="23" spans="1:6">
      <c r="B23" s="350" t="s">
        <v>341</v>
      </c>
      <c r="C23" s="374">
        <f>E141</f>
        <v>15.431579075525329</v>
      </c>
      <c r="D23" s="372" t="s">
        <v>444</v>
      </c>
      <c r="E23" s="375">
        <f>Thesis!E23</f>
        <v>0.20075184365903009</v>
      </c>
    </row>
    <row r="24" spans="1:6">
      <c r="B24" s="350" t="s">
        <v>343</v>
      </c>
      <c r="C24" s="374">
        <f>E144</f>
        <v>19.042902792179028</v>
      </c>
      <c r="D24" s="372" t="s">
        <v>446</v>
      </c>
      <c r="E24" s="375">
        <f>Thesis!E24</f>
        <v>0.1174</v>
      </c>
    </row>
    <row r="25" spans="1:6">
      <c r="B25" s="350" t="s">
        <v>342</v>
      </c>
      <c r="C25" s="374">
        <f>E145</f>
        <v>21.474022685878328</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24449.899679946517</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-82188.880320053489</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-753160.26611655578</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2525681.2694959603</v>
      </c>
      <c r="D60" s="350" t="str">
        <f>Reporting_currency</f>
        <v>CNY</v>
      </c>
    </row>
    <row r="61" spans="2:6">
      <c r="B61" s="379" t="s">
        <v>213</v>
      </c>
      <c r="C61" s="380">
        <f>Normalized_FCF!C19</f>
        <v>2259480.7983496673</v>
      </c>
      <c r="D61" s="350" t="str">
        <f>Reporting_currency</f>
        <v>CNY</v>
      </c>
    </row>
    <row r="62" spans="2:6">
      <c r="B62" s="384" t="s">
        <v>302</v>
      </c>
      <c r="C62" s="385">
        <f>Normalized_FCF!C124</f>
        <v>5.5319241564089912E-2</v>
      </c>
      <c r="F62" s="386"/>
    </row>
    <row r="63" spans="2:6">
      <c r="B63" s="384" t="s">
        <v>332</v>
      </c>
      <c r="C63" s="385">
        <f>Normalized_FCF!C92</f>
        <v>3.0947354610898682E-2</v>
      </c>
      <c r="E63" s="379" t="s">
        <v>373</v>
      </c>
      <c r="F63" s="387">
        <f>Normalized_FCF!C90</f>
        <v>0.61176891865707106</v>
      </c>
    </row>
    <row r="65" spans="1:6">
      <c r="B65" s="376" t="s">
        <v>376</v>
      </c>
      <c r="C65" s="388" t="s">
        <v>327</v>
      </c>
      <c r="D65" s="388" t="s">
        <v>374</v>
      </c>
    </row>
    <row r="66" spans="1:6">
      <c r="B66" s="379" t="s">
        <v>326</v>
      </c>
      <c r="C66" s="385">
        <f>Normalized_FCF!C119</f>
        <v>0.11088649220138132</v>
      </c>
      <c r="D66" s="385">
        <f>Normalized_FCF!G119</f>
        <v>0.13332891168139596</v>
      </c>
    </row>
    <row r="67" spans="1:6">
      <c r="B67" s="389" t="str">
        <f>Normalized_FCF!B116</f>
        <v>Pre-tax Profit/Sales</v>
      </c>
      <c r="C67" s="390">
        <f>Normalized_FCF!C116</f>
        <v>0.11515133796880231</v>
      </c>
      <c r="D67" s="390">
        <f>Normalized_FCF!G116</f>
        <v>0.12632226832702445</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-1777313</v>
      </c>
      <c r="D78" s="350" t="str">
        <f>Reporting_currency</f>
        <v>CNY</v>
      </c>
    </row>
    <row r="79" spans="1:6">
      <c r="B79" s="379" t="s">
        <v>234</v>
      </c>
      <c r="C79" s="394">
        <f>C78*scaling_factor*Exchange_Rate/Common_Shares</f>
        <v>-0.75192620063239402</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15115872.720008913</v>
      </c>
      <c r="D84" s="350" t="str">
        <f>Reporting_currency</f>
        <v>CNY</v>
      </c>
    </row>
    <row r="85" spans="1:6">
      <c r="B85" s="389" t="s">
        <v>484</v>
      </c>
      <c r="C85" s="397">
        <f>BS!C66</f>
        <v>19190856</v>
      </c>
      <c r="D85" s="398" t="str">
        <f>Reporting_currency</f>
        <v>CNY</v>
      </c>
    </row>
    <row r="86" spans="1:6">
      <c r="B86" s="379" t="s">
        <v>235</v>
      </c>
      <c r="C86" s="394">
        <f>C84*scaling_factor*Exchange_Rate/Common_Shares</f>
        <v>6.3950585764010919</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0.70598758151763596</v>
      </c>
      <c r="D90" s="350" t="str">
        <f>Market_currency</f>
        <v>HKD</v>
      </c>
    </row>
    <row r="92" spans="1:6">
      <c r="B92" s="379" t="s">
        <v>483</v>
      </c>
      <c r="C92" s="394">
        <f>DCF!F8</f>
        <v>6.3491199572863346</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5.45469113142138</v>
      </c>
      <c r="D111" s="350" t="str">
        <f>Market_currency</f>
        <v>HKD</v>
      </c>
    </row>
    <row r="112" spans="1:6">
      <c r="A112" s="392"/>
      <c r="B112" s="379" t="s">
        <v>377</v>
      </c>
      <c r="C112" s="401">
        <f>DCF!C11</f>
        <v>19.534175050079075</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34.75 HKD</v>
      </c>
      <c r="F118" s="406">
        <f>DCF!F82</f>
        <v>0.05</v>
      </c>
    </row>
    <row r="119" spans="1:6">
      <c r="A119" s="392"/>
      <c r="B119" s="407" t="str">
        <f>DCF!B83</f>
        <v>Optimistic</v>
      </c>
      <c r="C119" s="408">
        <f>DCF!C83</f>
        <v>0.06</v>
      </c>
      <c r="D119" s="409">
        <f>DCF!D83</f>
        <v>10</v>
      </c>
      <c r="E119" s="405" t="str">
        <f>ROUND(DCF!E83,2)&amp;" "&amp;Market_currency</f>
        <v>27.25 HKD</v>
      </c>
      <c r="F119" s="410">
        <f>DCF!F83</f>
        <v>0.22499999999999992</v>
      </c>
    </row>
    <row r="120" spans="1:6">
      <c r="B120" s="407" t="str">
        <f>DCF!B84</f>
        <v>Base</v>
      </c>
      <c r="C120" s="408">
        <f>DCF!C84</f>
        <v>0.04</v>
      </c>
      <c r="D120" s="409">
        <f>DCF!D84</f>
        <v>10</v>
      </c>
      <c r="E120" s="405" t="str">
        <f>ROUND(DCF!E84,2)&amp;" "&amp;Market_currency</f>
        <v>24.27 HKD</v>
      </c>
      <c r="F120" s="410">
        <f>DCF!F84</f>
        <v>0.495</v>
      </c>
    </row>
    <row r="121" spans="1:6">
      <c r="B121" s="407" t="str">
        <f>DCF!B85</f>
        <v>Pessimistic</v>
      </c>
      <c r="C121" s="408">
        <f>DCF!C85</f>
        <v>0.02</v>
      </c>
      <c r="D121" s="409">
        <f>DCF!D85</f>
        <v>10</v>
      </c>
      <c r="E121" s="405" t="str">
        <f>ROUND(DCF!E85,2)&amp;" "&amp;Market_currency</f>
        <v>21.72 HKD</v>
      </c>
      <c r="F121" s="410">
        <f>DCF!F85</f>
        <v>0.18</v>
      </c>
    </row>
    <row r="122" spans="1:6">
      <c r="B122" s="407" t="str">
        <f>DCF!B86</f>
        <v>Devil's advocate</v>
      </c>
      <c r="C122" s="408">
        <f>DCF!C86</f>
        <v>0</v>
      </c>
      <c r="D122" s="409">
        <f>DCF!D86</f>
        <v>10</v>
      </c>
      <c r="E122" s="405" t="str">
        <f>ROUND(DCF!E86,2)&amp;" "&amp;Market_currency</f>
        <v>19.53 HKD</v>
      </c>
      <c r="F122" s="410">
        <f>DCF!F86</f>
        <v>0.05</v>
      </c>
    </row>
    <row r="124" spans="1:6">
      <c r="B124" s="469" t="s">
        <v>522</v>
      </c>
      <c r="C124" s="469"/>
      <c r="D124" s="469"/>
      <c r="E124" s="469"/>
      <c r="F124" s="469"/>
    </row>
    <row r="125" spans="1:6">
      <c r="B125" s="379" t="s">
        <v>218</v>
      </c>
      <c r="C125" s="411">
        <f>Scenarios!C36</f>
        <v>24.767990108662961</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0.53477028767632928</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0.97855025376139315</v>
      </c>
      <c r="D140" s="416">
        <f>Scenarios!D62</f>
        <v>11.413820326572795</v>
      </c>
      <c r="E140" s="417">
        <f>Scenarios!E62</f>
        <v>12.392370580334187</v>
      </c>
      <c r="F140" s="418">
        <f>E22</f>
        <v>0.29465259038036606</v>
      </c>
    </row>
    <row r="141" spans="1:6">
      <c r="B141" s="415" t="s">
        <v>313</v>
      </c>
      <c r="C141" s="416">
        <f>Scenarios!C63</f>
        <v>1.1251587961532172</v>
      </c>
      <c r="D141" s="416">
        <f>Scenarios!D63</f>
        <v>14.306420279372112</v>
      </c>
      <c r="E141" s="417">
        <f>Scenarios!E63</f>
        <v>15.431579075525329</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1.2901884677070226</v>
      </c>
      <c r="D144" s="416">
        <f>Scenarios!D66</f>
        <v>17.752714324472006</v>
      </c>
      <c r="E144" s="417">
        <f>Scenarios!E66</f>
        <v>19.042902792179028</v>
      </c>
      <c r="F144" s="418">
        <f>E24</f>
        <v>0.1174</v>
      </c>
    </row>
    <row r="145" spans="1:6">
      <c r="B145" s="415" t="s">
        <v>314</v>
      </c>
      <c r="C145" s="416">
        <f>Scenarios!C67</f>
        <v>1.3970206517538299</v>
      </c>
      <c r="D145" s="416">
        <f>Scenarios!D67</f>
        <v>20.077002034124497</v>
      </c>
      <c r="E145" s="417">
        <f>Scenarios!E67</f>
        <v>21.474022685878328</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