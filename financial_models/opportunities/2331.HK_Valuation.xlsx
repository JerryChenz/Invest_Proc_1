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C65A8D80-D609-7C47-A7D0-479C259309C6}" xr6:coauthVersionLast="47" xr6:coauthVersionMax="47" xr10:uidLastSave="{00000000-0000-0000-0000-000000000000}"/>
  <bookViews>
    <workbookView xWindow="1560" yWindow="50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D22" i="6"/>
  <c r="F4" i="10"/>
  <c r="F4" i="8"/>
  <c r="D4" i="10"/>
  <c r="F73" i="10" l="1"/>
  <c r="F72" i="10" s="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C62" i="10"/>
  <c r="D62" i="10"/>
  <c r="E62" i="10"/>
  <c r="E64" i="10"/>
  <c r="E66" i="10"/>
  <c r="F64" i="10"/>
  <c r="F66" i="10"/>
  <c r="B61" i="10"/>
  <c r="F62" i="10"/>
  <c r="C61" i="10"/>
  <c r="C63" i="10"/>
  <c r="C65" i="10"/>
  <c r="B62" i="10"/>
  <c r="D61" i="10"/>
  <c r="D65" i="10"/>
  <c r="B63" i="10"/>
  <c r="C64" i="10"/>
  <c r="B66" i="10"/>
  <c r="D66" i="10"/>
  <c r="D63" i="10"/>
  <c r="E61" i="10"/>
  <c r="E63" i="10"/>
  <c r="E65" i="10"/>
  <c r="B64" i="10"/>
  <c r="F61" i="10"/>
  <c r="F63" i="10"/>
  <c r="F65" i="10"/>
  <c r="B65" i="10"/>
  <c r="C66"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B70" i="8"/>
  <c r="C66" i="8"/>
  <c r="B68" i="8"/>
  <c r="B67" i="8"/>
  <c r="D66" i="8"/>
  <c r="B66" i="8"/>
  <c r="G54" i="2"/>
  <c r="C54" i="2" s="1"/>
  <c r="F71" i="8" l="1"/>
  <c r="C67" i="8"/>
  <c r="E70" i="8"/>
  <c r="F66" i="8"/>
  <c r="D69" i="8"/>
  <c r="E68"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c r="C92" i="9" s="1"/>
  <c r="C151" i="6" s="1"/>
  <c r="I6" i="9"/>
  <c r="C82" i="9"/>
  <c r="C127" i="6"/>
  <c r="C26" i="6" s="1"/>
  <c r="C98" i="9" l="1"/>
  <c r="F72" i="9"/>
  <c r="C72" i="9" s="1"/>
  <c r="C104" i="9"/>
  <c r="C105" i="9" s="1"/>
  <c r="C168" i="6" s="1"/>
  <c r="C99" i="9"/>
  <c r="C159" i="6"/>
  <c r="C87" i="9"/>
  <c r="C83" i="9"/>
  <c r="F83" i="9" s="1"/>
  <c r="C143" i="6"/>
  <c r="H76" i="2"/>
  <c r="H120" i="2"/>
  <c r="H116" i="2" s="1"/>
  <c r="H13" i="2"/>
  <c r="C167" i="6" l="1"/>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<sst xmlns="http://schemas.openxmlformats.org/spreadsheetml/2006/main" count="682" uniqueCount="463">
  <si>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</si>
  <si>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</si>
  <si>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</si>
  <si>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</si>
  <si>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</si>
  <si>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</si>
  <si>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</si>
  <si>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</si>
  <si>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</si>
  <si>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</si>
  <si>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</si>
  <si>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</si>
  <si>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</si>
  <si>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</si>
  <si>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</si>
  <si>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</si>
  <si>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</si>
  <si>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</si>
  <si>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</si>
  <si>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</si>
  <si>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</si>
  <si>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</si>
  <si>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</si>
  <si>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</si>
  <si>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</si>
  <si>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</si>
  <si>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</si>
  <si>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</si>
  <si>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</si>
  <si>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</si>
  <si>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</si>
  <si>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</si>
  <si>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</si>
  <si>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</si>
  <si>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</si>
  <si>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</si>
  <si>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</si>
  <si>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</si>
  <si>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</si>
  <si>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</si>
  <si>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</si>
  <si>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</si>
  <si>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</si>
  <si>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</si>
  <si>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</si>
  <si>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</si>
  <si>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</si>
  <si>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</si>
  <si>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</si>
  <si>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</si>
  <si>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</si>
  <si>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</si>
  <si>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</si>
  <si>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</si>
  <si>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</si>
  <si>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</si>
  <si>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</si>
  <si>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</si>
  <si>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</si>
  <si>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</si>
  <si>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</si>
  <si>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</si>
  <si>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</si>
  <si>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</si>
  <si>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</si>
  <si>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</si>
  <si>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</si>
  <si>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</si>
  <si>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</si>
  <si>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</si>
  <si>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</si>
  <si>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</si>
  <si>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</si>
  <si>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</si>
  <si>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</si>
  <si>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</si>
  <si>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</si>
  <si>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</si>
  <si>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</si>
  <si>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</si>
  <si>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</si>
  <si>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</si>
  <si>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</si>
  <si>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</si>
  <si>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</si>
  <si>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</si>
  <si>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</si>
  <si>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</si>
  <si>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</si>
  <si>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</si>
  <si>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</si>
  <si>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</si>
  <si>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</si>
  <si>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</si>
  <si>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</si>
  <si>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</si>
  <si>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</si>
  <si>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</si>
  <si>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</si>
  <si>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</si>
  <si>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</si>
  <si>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</si>
  <si>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</si>
  <si>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</si>
  <si>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</si>
  <si>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</si>
  <si>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</si>
  <si>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</si>
  <si>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</si>
  <si>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</si>
  <si>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</si>
  <si>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</si>
  <si>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</si>
  <si>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</si>
  <si>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</si>
  <si>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</si>
  <si>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</si>
  <si>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</si>
  <si>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</si>
  <si>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</si>
  <si>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</si>
  <si>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</si>
  <si>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</si>
  <si>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</si>
  <si>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</si>
  <si>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</si>
  <si>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</si>
  <si>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</si>
  <si>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</si>
  <si>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</si>
  <si>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</si>
  <si>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</si>
  <si>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</si>
  <si>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</si>
  <si>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</si>
  <si>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</si>
  <si>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</si>
  <si>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</si>
  <si>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</si>
  <si>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</si>
  <si>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</si>
  <si>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</si>
  <si>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</si>
  <si>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</si>
  <si>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</si>
  <si>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</si>
  <si>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</si>
  <si>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</si>
  <si>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</si>
  <si>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</si>
  <si>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</si>
  <si>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</si>
  <si>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</si>
  <si>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</si>
  <si>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</si>
  <si>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</si>
  <si>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</si>
  <si>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</si>
  <si>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</si>
  <si>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</si>
  <si>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</si>
  <si>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</si>
  <si>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</si>
  <si>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</si>
  <si>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</si>
  <si>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</si>
  <si>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</si>
  <si>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</si>
  <si>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</si>
  <si>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</si>
  <si>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</si>
  <si>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</si>
  <si>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</si>
  <si>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</si>
  <si>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</si>
  <si>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</si>
  <si>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</si>
  <si>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</si>
  <si>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</si>
  <si>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</si>
  <si>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</si>
  <si>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</si>
  <si>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</si>
  <si>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</si>
  <si>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</si>
  <si>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</si>
  <si>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</si>
  <si>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</si>
  <si>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</si>
  <si>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</si>
  <si>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</si>
  <si>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</si>
  <si>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</si>
  <si>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</si>
  <si>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</si>
  <si>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</si>
  <si>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</si>
  <si>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</si>
  <si>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</si>
  <si>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</si>
  <si>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</si>
  <si>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</si>
  <si>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</si>
  <si>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</si>
  <si>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</si>
  <si>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</si>
  <si>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</si>
  <si>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</si>
  <si>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</si>
  <si>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</si>
  <si>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</si>
  <si>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</si>
  <si>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</si>
  <si>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</si>
  <si>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</si>
  <si>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</si>
  <si>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</si>
  <si>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</si>
  <si>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</si>
  <si>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</si>
  <si>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</si>
  <si>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</si>
  <si>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</si>
  <si>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</si>
  <si>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</si>
  <si>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</si>
  <si>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</si>
  <si>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</si>
  <si>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</si>
  <si>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</si>
  <si>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</si>
  <si>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</si>
  <si>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</si>
  <si>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</si>
  <si>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</si>
  <si>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</si>
  <si>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</si>
  <si>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</si>
  <si>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</si>
  <si>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</si>
  <si>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</si>
  <si>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</si>
  <si>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</si>
  <si>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</si>
  <si>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</si>
  <si>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</si>
  <si>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</si>
  <si>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</si>
  <si>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</si>
  <si>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</si>
  <si>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</si>
  <si>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</si>
  <si>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</si>
  <si>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</si>
  <si>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</si>
  <si>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</si>
  <si>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</si>
  <si>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</si>
  <si>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</si>
  <si>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</si>
  <si>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</si>
  <si>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</si>
  <si>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</si>
  <si>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</si>
  <si>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</si>
  <si>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</si>
  <si>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</si>
  <si>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</si>
  <si>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</si>
  <si>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</si>
  <si>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</si>
  <si>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</si>
  <si>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</si>
  <si>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</si>
  <si>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</si>
  <si>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</si>
  <si>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</si>
  <si>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</si>
  <si>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</si>
  <si>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</si>
  <si>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</si>
  <si>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</si>
  <si>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</si>
  <si>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</si>
  <si>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</si>
  <si>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</si>
  <si>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</si>
  <si>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</si>
  <si>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</si>
  <si>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</si>
  <si>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</si>
  <si>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</si>
  <si>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</si>
  <si>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</si>
  <si>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</si>
  <si>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</si>
  <si>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</si>
  <si>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</si>
  <si>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</si>
  <si>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</si>
  <si>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</si>
  <si>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</si>
  <si>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</si>
  <si>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</si>
  <si>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</si>
  <si>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</si>
  <si>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</si>
  <si>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</si>
  <si>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</si>
  <si>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</si>
  <si>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</si>
  <si>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</si>
  <si>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</si>
  <si>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</si>
  <si>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</si>
  <si>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</si>
  <si>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</si>
  <si>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</si>
  <si>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</si>
  <si>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</si>
  <si>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</si>
  <si>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</si>
  <si>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</si>
  <si>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</si>
  <si>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</si>
  <si>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</si>
  <si>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</si>
  <si>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</si>
  <si>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</si>
  <si>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</si>
  <si>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</si>
  <si>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</si>
  <si>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</si>
  <si>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</si>
  <si>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</si>
  <si>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</si>
  <si>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</si>
  <si>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</si>
  <si>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</si>
  <si>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</si>
  <si>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</si>
  <si>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</si>
  <si>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</si>
  <si>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</si>
  <si>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</si>
  <si>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</si>
  <si>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</si>
  <si>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</si>
  <si>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</si>
  <si>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</si>
  <si>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</si>
  <si>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</si>
  <si>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</si>
  <si>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</si>
  <si>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</si>
  <si>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</si>
  <si>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</si>
  <si>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</si>
  <si>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</si>
  <si>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</si>
  <si>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</si>
  <si>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</si>
  <si>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</si>
  <si>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</si>
  <si>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</si>
  <si>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</si>
  <si>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</si>
  <si>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</si>
  <si>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</si>
  <si>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</si>
  <si>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</si>
  <si>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</si>
  <si>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</si>
  <si>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</si>
  <si>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</si>
  <si>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</si>
  <si>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</si>
  <si>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</si>
  <si>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</si>
  <si>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</si>
  <si>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</si>
  <si>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</si>
  <si>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</si>
  <si>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</si>
  <si>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</si>
  <si>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</si>
  <si>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</si>
  <si>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</si>
  <si>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</si>
  <si>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</si>
  <si>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</si>
  <si>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</si>
  <si>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</si>
  <si>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</si>
  <si>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</si>
  <si>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</si>
  <si>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</si>
  <si>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</si>
  <si>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</si>
  <si>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</si>
  <si>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</si>
  <si>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</si>
  <si>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</si>
  <si>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</si>
  <si>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</si>
  <si>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</si>
  <si>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</si>
  <si>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</si>
  <si>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</si>
  <si>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</si>
  <si>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</si>
  <si>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</si>
  <si>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</si>
  <si>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</si>
  <si>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</si>
  <si>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</si>
  <si>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</si>
  <si>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</si>
  <si>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</si>
  <si>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</si>
  <si>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</si>
  <si>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</si>
  <si>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</si>
  <si>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</si>
  <si>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</si>
  <si>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</si>
  <si>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</si>
  <si>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</si>
  <si>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</si>
  <si>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</si>
  <si>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</si>
  <si>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</si>
  <si>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</si>
  <si>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</si>
  <si>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</si>
  <si>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</si>
  <si>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</si>
  <si>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</si>
  <si>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</si>
  <si>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</si>
  <si>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</si>
  <si>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</si>
  <si>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</si>
  <si>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</si>
  <si>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</si>
  <si>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</si>
  <si>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</si>
  <si>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</si>
  <si>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</si>
  <si>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</si>
  <si>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</si>
  <si>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</si>
  <si>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</si>
  <si>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李宁</t>
  </si>
  <si>
    <t>2331.HK</t>
  </si>
  <si>
    <t/>
  </si>
  <si>
    <t>CNS_02</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</si>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</sst>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45778</v>
      </c>
      <c r="D1" s="358"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2584797906</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15.28</v>
      </c>
      <c r="D12" s="50"/>
      <c r="E12" s="48"/>
    </row>
    <row r="13" spans="1:10" x14ac:dyDescent="0.15">
      <c r="B13" s="1" t="s">
        <v>418</v>
      </c>
      <c r="C13" s="48" t="s">
        <v>397</v>
      </c>
      <c r="D13" s="48"/>
      <c r="E13" s="5"/>
    </row>
    <row r="14" spans="1:10" x14ac:dyDescent="0.15">
      <c r="B14" s="4" t="s">
        <v>422</v>
      </c>
      <c r="C14" s="35">
        <f>Thesis!C12*Common_Shares/1000000</f>
        <v>39495.712003679997</v>
      </c>
      <c r="D14" s="35" t="str">
        <f>IF(D11="","",Thesis!D12*Common_Shares/1000000)</f>
        <v/>
      </c>
      <c r="E14" s="5"/>
    </row>
    <row r="15" spans="1:10" x14ac:dyDescent="0.15">
      <c r="B15" s="4" t="s">
        <v>421</v>
      </c>
      <c r="C15" s="32" t="str">
        <f>IF(C25=C13,C13,C25&amp;"/"&amp;C13)</f>
        <v>CNY/HKD</v>
      </c>
      <c r="D15" s="32" t="str">
        <f>IF(D11="","",IF(C25=D13,D13,C25&amp;"/"&amp;D13))</f>
        <v/>
      </c>
      <c r="E15" s="5"/>
    </row>
    <row r="16" spans="1:10" x14ac:dyDescent="0.15">
      <c r="B16" s="4" t="s">
        <v>1</v>
      </c>
      <c r="C16" s="50">
        <v>1.0837740600000001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(HKD) :</v>
      </c>
      <c r="C26" s="334">
        <f>C127</f>
        <v>24.112370432928856</v>
      </c>
      <c r="D26" s="1" t="s">
        <v>400</v>
      </c>
      <c r="E26" s="331">
        <f ca="1">Scenarios!C87</f>
        <v>0.19487700460896362</v>
      </c>
    </row>
    <row r="27" spans="2:6" x14ac:dyDescent="0.15">
      <c r="D27" s="5"/>
      <c r="E27" s="5"/>
    </row>
    <row r="28" spans="2:6" x14ac:dyDescent="0.15">
      <c r="B28" s="45" t="s">
        <v>435</v>
      </c>
      <c r="C28" s="339" t="str">
        <f>C140&amp;" ("&amp;Market_currency&amp;")"</f>
        <v>2331.HK (HKD)</v>
      </c>
      <c r="D28" s="339" t="str">
        <f>IF(D11="","",D140&amp;" ("&amp;D13&amp;")")</f>
        <v/>
      </c>
      <c r="E28" s="335" t="s">
        <v>431</v>
      </c>
      <c r="F28" s="333">
        <v>3</v>
      </c>
    </row>
    <row r="29" spans="2:6" x14ac:dyDescent="0.15">
      <c r="B29" s="1" t="s">
        <v>427</v>
      </c>
      <c r="C29" s="340">
        <f>C144</f>
        <v>9.6446823610846675</v>
      </c>
      <c r="D29" s="340" t="str">
        <f>D144</f>
        <v/>
      </c>
      <c r="E29" s="336" t="s">
        <v>426</v>
      </c>
      <c r="F29" s="332">
        <v>0.4</v>
      </c>
    </row>
    <row r="30" spans="2:6" x14ac:dyDescent="0.15">
      <c r="B30" s="1" t="s">
        <v>428</v>
      </c>
      <c r="C30" s="341">
        <f>C152</f>
        <v>14.470496975186144</v>
      </c>
      <c r="D30" s="341" t="str">
        <f>D152</f>
        <v/>
      </c>
      <c r="E30" s="337" t="s">
        <v>439</v>
      </c>
      <c r="F30" s="342">
        <v>0.21740000000000001</v>
      </c>
    </row>
    <row r="31" spans="2:6" x14ac:dyDescent="0.15">
      <c r="B31" s="1" t="s">
        <v>429</v>
      </c>
      <c r="C31" s="341">
        <f>C160</f>
        <v>20.531767931844971</v>
      </c>
      <c r="D31" s="341" t="str">
        <f>D160</f>
        <v/>
      </c>
      <c r="E31" s="337" t="s">
        <v>438</v>
      </c>
      <c r="F31" s="342">
        <v>0.08</v>
      </c>
    </row>
    <row r="32" spans="2:6" x14ac:dyDescent="0.15">
      <c r="B32" s="1" t="s">
        <v>430</v>
      </c>
      <c r="C32" s="341">
        <f>C168</f>
        <v>18.584622775616808</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v>
      </c>
    </row>
    <row r="40" spans="1:6" ht="24.5" customHeight="1" x14ac:dyDescent="0.15">
      <c r="B40" s="347" t="s">
        <v>232</v>
      </c>
      <c r="C40" s="347"/>
      <c r="D40" s="347"/>
      <c r="E40" s="347"/>
      <c r="F40" s="347"/>
    </row>
    <row r="41" spans="1:6" x14ac:dyDescent="0.15">
      <c r="B41" s="47" t="s">
        <v>233</v>
      </c>
      <c r="C41" s="76">
        <f>Normalized_FCF!C8</f>
        <v>3205414.6239021346</v>
      </c>
      <c r="D41" s="1" t="str">
        <f>Reporting_currency</f>
        <v>CNY</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7" t="s">
        <v>237</v>
      </c>
      <c r="C47" s="347"/>
      <c r="D47" s="347"/>
      <c r="E47" s="347"/>
      <c r="F47" s="347"/>
    </row>
    <row r="48" spans="1:6" x14ac:dyDescent="0.15">
      <c r="B48" s="47" t="s">
        <v>238</v>
      </c>
      <c r="C48" s="76">
        <f>Normalized_FCF!C11</f>
        <v>179409.3</v>
      </c>
      <c r="D48" s="1" t="str">
        <f>Reporting_currency</f>
        <v>CNY</v>
      </c>
    </row>
    <row r="50" spans="2:6" x14ac:dyDescent="0.15">
      <c r="B50" s="347" t="s">
        <v>241</v>
      </c>
      <c r="C50" s="347"/>
      <c r="D50" s="347"/>
      <c r="E50" s="347"/>
      <c r="F50" s="347"/>
    </row>
    <row r="51" spans="2:6" x14ac:dyDescent="0.15">
      <c r="B51" s="47" t="s">
        <v>341</v>
      </c>
      <c r="C51" s="312">
        <f>Normalized_FCF!C48</f>
        <v>95973.634053182453</v>
      </c>
      <c r="D51" s="1" t="str">
        <f>Reporting_currency</f>
        <v>CNY</v>
      </c>
      <c r="E51" s="311"/>
      <c r="F51" s="311"/>
    </row>
    <row r="52" spans="2:6" x14ac:dyDescent="0.15">
      <c r="B52" s="47" t="s">
        <v>342</v>
      </c>
      <c r="C52" s="312">
        <f>Normalized_FCF!C47</f>
        <v>-254421</v>
      </c>
      <c r="D52" s="1" t="str">
        <f>Reporting_currency</f>
        <v>CNY</v>
      </c>
      <c r="E52" s="311"/>
      <c r="F52" s="311"/>
    </row>
    <row r="53" spans="2:6" x14ac:dyDescent="0.15">
      <c r="B53" s="47" t="s">
        <v>239</v>
      </c>
      <c r="C53" s="76">
        <f>Normalized_FCF!C12</f>
        <v>-158447.36594681756</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47" t="s">
        <v>242</v>
      </c>
      <c r="C58" s="347"/>
      <c r="D58" s="347"/>
      <c r="E58" s="347"/>
      <c r="F58" s="347"/>
    </row>
    <row r="59" spans="2:6" x14ac:dyDescent="0.15">
      <c r="B59" s="47" t="s">
        <v>240</v>
      </c>
      <c r="C59" s="76">
        <f>Normalized_FCF!C14</f>
        <v>-806594.13948882918</v>
      </c>
      <c r="D59" s="1" t="str">
        <f>Reporting_currency</f>
        <v>CNY</v>
      </c>
    </row>
    <row r="61" spans="2:6" x14ac:dyDescent="0.15">
      <c r="B61" s="347" t="s">
        <v>339</v>
      </c>
      <c r="C61" s="350"/>
      <c r="D61" s="350"/>
      <c r="E61" s="350"/>
      <c r="F61" s="350"/>
    </row>
    <row r="62" spans="2:6" x14ac:dyDescent="0.15">
      <c r="B62" s="47" t="s">
        <v>243</v>
      </c>
      <c r="C62" s="1">
        <f>Normalized_FCF!C17</f>
        <v>0</v>
      </c>
      <c r="D62" s="1" t="str">
        <f>Reporting_currency</f>
        <v>CNY</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2532264.9080531825</v>
      </c>
      <c r="D67" s="1" t="str">
        <f>Reporting_currency</f>
        <v>CNY</v>
      </c>
    </row>
    <row r="68" spans="1:6" x14ac:dyDescent="0.15">
      <c r="B68" s="47" t="s">
        <v>249</v>
      </c>
      <c r="C68" s="76">
        <f>Normalized_FCF!C19</f>
        <v>2419782.4184664874</v>
      </c>
      <c r="D68" s="1" t="str">
        <f>Reporting_currency</f>
        <v>CNY</v>
      </c>
    </row>
    <row r="69" spans="1:6" x14ac:dyDescent="0.15">
      <c r="B69" s="249" t="s">
        <v>391</v>
      </c>
      <c r="C69" s="92">
        <f>Normalized_FCF!C125</f>
        <v>6.6399547772013678E-2</v>
      </c>
      <c r="F69" s="344"/>
    </row>
    <row r="70" spans="1:6" x14ac:dyDescent="0.15">
      <c r="B70" s="249" t="s">
        <v>309</v>
      </c>
      <c r="C70" s="92">
        <f>Normalized_FCF!C93</f>
        <v>3.5313865427726257E-2</v>
      </c>
      <c r="E70" s="47" t="s">
        <v>450</v>
      </c>
      <c r="F70" s="345">
        <f>Normalized_FCF!C92</f>
        <v>0.57639325256115148</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12.682313624454613</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1936137</v>
      </c>
      <c r="D96" s="1" t="str">
        <f>Reporting_currency</f>
        <v>CNY</v>
      </c>
    </row>
    <row r="97" spans="2:6" x14ac:dyDescent="0.15">
      <c r="B97" s="47" t="s">
        <v>282</v>
      </c>
      <c r="C97" s="245">
        <f>C96*scaling_factor*Exchange_Rate/Common_Shares</f>
        <v>0.81179849779954916</v>
      </c>
      <c r="D97" s="1" t="str">
        <f>Market_currency</f>
        <v>HKD</v>
      </c>
    </row>
    <row r="98" spans="2:6" x14ac:dyDescent="0.15">
      <c r="B98" s="325" t="s">
        <v>405</v>
      </c>
      <c r="C98" s="326">
        <f>BS!G30/BS!G27</f>
        <v>0.36794481423679237</v>
      </c>
    </row>
    <row r="99" spans="2:6" x14ac:dyDescent="0.15">
      <c r="B99" s="325" t="s">
        <v>406</v>
      </c>
      <c r="C99" s="326">
        <f>BS!G31/BS!G27</f>
        <v>7.4171010848313429E-2</v>
      </c>
    </row>
    <row r="100" spans="2:6" x14ac:dyDescent="0.15">
      <c r="B100" s="325" t="s">
        <v>408</v>
      </c>
      <c r="C100" s="327">
        <f>BS!C50</f>
        <v>0.60402076709908736</v>
      </c>
    </row>
    <row r="102" spans="2:6" x14ac:dyDescent="0.15">
      <c r="B102" s="1" t="s">
        <v>255</v>
      </c>
    </row>
    <row r="103" spans="2:6" x14ac:dyDescent="0.15">
      <c r="B103" s="47" t="s">
        <v>265</v>
      </c>
      <c r="C103" s="76">
        <f>BS!C66</f>
        <v>18164188</v>
      </c>
      <c r="D103" s="1" t="str">
        <f>Reporting_currency</f>
        <v>CNY</v>
      </c>
    </row>
    <row r="104" spans="2:6" x14ac:dyDescent="0.15">
      <c r="B104" s="47" t="s">
        <v>267</v>
      </c>
      <c r="C104" s="76">
        <f>DCF!C8</f>
        <v>14105557.81087199</v>
      </c>
      <c r="D104" s="1" t="str">
        <f>Reporting_currency</f>
        <v>CNY</v>
      </c>
    </row>
    <row r="105" spans="2:6" x14ac:dyDescent="0.15">
      <c r="B105" s="47" t="s">
        <v>283</v>
      </c>
      <c r="C105" s="245">
        <f>C104*scaling_factor*Exchange_Rate/Common_Shares</f>
        <v>5.9142873884908855</v>
      </c>
      <c r="D105" s="1" t="str">
        <f>Market_currency</f>
        <v>HKD</v>
      </c>
    </row>
    <row r="107" spans="2:6" x14ac:dyDescent="0.15">
      <c r="B107" s="1" t="s">
        <v>257</v>
      </c>
    </row>
    <row r="108" spans="2:6" x14ac:dyDescent="0.15">
      <c r="B108" s="47" t="s">
        <v>258</v>
      </c>
      <c r="C108" s="76">
        <f>DCF!C9</f>
        <v>561572.19999999995</v>
      </c>
      <c r="D108" s="1" t="str">
        <f>Reporting_currency</f>
        <v>CNY</v>
      </c>
    </row>
    <row r="109" spans="2:6" x14ac:dyDescent="0.15">
      <c r="B109" s="47" t="s">
        <v>284</v>
      </c>
      <c r="C109" s="245">
        <f>C108*scaling_factor*Exchange_Rate/Common_Shares</f>
        <v>0.23546033589874474</v>
      </c>
      <c r="D109" s="1" t="str">
        <f>Market_currency</f>
        <v>HKD</v>
      </c>
    </row>
    <row r="111" spans="2:6" ht="24.5" customHeight="1" x14ac:dyDescent="0.15">
      <c r="B111" s="346" t="s">
        <v>367</v>
      </c>
      <c r="C111" s="346"/>
      <c r="D111" s="346"/>
      <c r="E111" s="346"/>
      <c r="F111" s="346"/>
    </row>
    <row r="113" spans="1:6" x14ac:dyDescent="0.15">
      <c r="B113" s="47" t="s">
        <v>451</v>
      </c>
      <c r="C113" s="245">
        <f>IF(valuation_method="DCF",DCF!C12,DDM!C7)</f>
        <v>18.020262851044695</v>
      </c>
      <c r="D113" s="1" t="str">
        <f>Market_currency</f>
        <v>HKD</v>
      </c>
    </row>
    <row r="114" spans="1:6" x14ac:dyDescent="0.15">
      <c r="B114" s="325" t="s">
        <v>407</v>
      </c>
      <c r="C114" s="245">
        <f>BS!D47</f>
        <v>4.5689822452120339</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30</v>
      </c>
      <c r="E121" s="253" t="str">
        <f>ROUND(IF(valuation_method="DCF",DCF!E74,DDM!E69),2)&amp;" "&amp;Market_currency</f>
        <v>47.69 HKD</v>
      </c>
      <c r="F121" s="254">
        <f>DCF!F74</f>
        <v>0.05</v>
      </c>
    </row>
    <row r="122" spans="1:6" x14ac:dyDescent="0.15">
      <c r="B122" s="240" t="str">
        <f>DCF!B75</f>
        <v>Optimistic</v>
      </c>
      <c r="C122" s="241">
        <f>DCF!C75</f>
        <v>0.06</v>
      </c>
      <c r="D122" s="242">
        <f>DCF!D75</f>
        <v>20</v>
      </c>
      <c r="E122" s="253" t="str">
        <f>ROUND(IF(valuation_method="DCF",DCF!E75,DDM!E70),2)&amp;" "&amp;Market_currency</f>
        <v>24.99 HKD</v>
      </c>
      <c r="F122" s="243">
        <f>DCF!F75</f>
        <v>0.22499999999999992</v>
      </c>
    </row>
    <row r="123" spans="1:6" x14ac:dyDescent="0.15">
      <c r="B123" s="240" t="str">
        <f>DCF!B76</f>
        <v>Base</v>
      </c>
      <c r="C123" s="241">
        <f>DCF!C76</f>
        <v>0.05</v>
      </c>
      <c r="D123" s="242">
        <f>DCF!D76</f>
        <v>20</v>
      </c>
      <c r="E123" s="253" t="str">
        <f>ROUND(IF(valuation_method="DCF",DCF!E76,DDM!E71),2)&amp;" "&amp;Market_currency</f>
        <v>23.49 HKD</v>
      </c>
      <c r="F123" s="243">
        <f>DCF!F76</f>
        <v>0.495</v>
      </c>
    </row>
    <row r="124" spans="1:6" x14ac:dyDescent="0.15">
      <c r="B124" s="240" t="str">
        <f>DCF!B77</f>
        <v>Pessimistic</v>
      </c>
      <c r="C124" s="241">
        <f>DCF!C77</f>
        <v>0.02</v>
      </c>
      <c r="D124" s="242">
        <f>DCF!D77</f>
        <v>20</v>
      </c>
      <c r="E124" s="253" t="str">
        <f>ROUND(IF(valuation_method="DCF",DCF!E77,DDM!E72),2)&amp;" "&amp;Market_currency</f>
        <v>19.86 HKD</v>
      </c>
      <c r="F124" s="243">
        <f>DCF!F77</f>
        <v>0.18</v>
      </c>
    </row>
    <row r="125" spans="1:6" x14ac:dyDescent="0.15">
      <c r="B125" s="240" t="str">
        <f>DCF!B78</f>
        <v>Devil's advocate</v>
      </c>
      <c r="C125" s="241">
        <f>DCF!C78</f>
        <v>0</v>
      </c>
      <c r="D125" s="242">
        <f>DCF!D78</f>
        <v>30</v>
      </c>
      <c r="E125" s="253" t="str">
        <f>ROUND(IF(valuation_method="DCF",DCF!E78,DDM!E73),2)&amp;" "&amp;Market_currency</f>
        <v>18.02 HKD</v>
      </c>
      <c r="F125" s="243">
        <f>DCF!F78</f>
        <v>0.05</v>
      </c>
    </row>
    <row r="127" spans="1:6" x14ac:dyDescent="0.15">
      <c r="B127" s="233" t="s">
        <v>259</v>
      </c>
      <c r="C127" s="239">
        <f>Scenarios!C60</f>
        <v>24.112370432928856</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0.53959586373565716</v>
      </c>
      <c r="D138" s="234" t="str">
        <f>Market_currency</f>
        <v>HKD</v>
      </c>
    </row>
    <row r="140" spans="1:6" x14ac:dyDescent="0.15">
      <c r="B140" s="232" t="s">
        <v>410</v>
      </c>
      <c r="C140" s="263" t="str">
        <f>C11</f>
        <v>2331.HK</v>
      </c>
      <c r="D140" s="263" t="str">
        <f>IF(D11="","",D11)</f>
        <v/>
      </c>
    </row>
    <row r="141" spans="1:6" x14ac:dyDescent="0.15">
      <c r="B141" s="1" t="s">
        <v>409</v>
      </c>
      <c r="C141" s="326">
        <f>F29</f>
        <v>0.4</v>
      </c>
    </row>
    <row r="142" spans="1:6" x14ac:dyDescent="0.15">
      <c r="B142" s="234" t="str">
        <f>"PV("&amp;C136&amp;" yrs of Dividends)"</f>
        <v>PV(3 yrs of Dividends)</v>
      </c>
      <c r="C142" s="238">
        <f>Scenarios!C81</f>
        <v>0.85737535199980486</v>
      </c>
    </row>
    <row r="143" spans="1:6" x14ac:dyDescent="0.15">
      <c r="B143" s="234" t="str">
        <f>"+ PV(Equity Value realized at year "&amp;C136&amp;")"</f>
        <v>+ PV(Equity Value realized at year 3)</v>
      </c>
      <c r="C143" s="238">
        <f>Scenarios!C82</f>
        <v>8.7873070090848628</v>
      </c>
    </row>
    <row r="144" spans="1:6" x14ac:dyDescent="0.15">
      <c r="B144" s="80" t="s">
        <v>261</v>
      </c>
      <c r="C144" s="237">
        <f>Scenarios!C83</f>
        <v>9.6446823610846675</v>
      </c>
      <c r="D144" s="330" t="str">
        <f>IF($D$11="","",C144*$E$25)</f>
        <v/>
      </c>
    </row>
    <row r="145" spans="2:4" x14ac:dyDescent="0.15">
      <c r="B145" s="281" t="s">
        <v>418</v>
      </c>
      <c r="C145" s="328" t="str">
        <f>Market_currency</f>
        <v>HKD</v>
      </c>
      <c r="D145" s="328" t="str">
        <f>IF($D$11="","",D$13)</f>
        <v/>
      </c>
    </row>
    <row r="146" spans="2:4" x14ac:dyDescent="0.15">
      <c r="B146" s="236" t="s">
        <v>263</v>
      </c>
      <c r="C146" s="92">
        <f>Scenarios!F83</f>
        <v>0.60001102388865557</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1.1063878035577037</v>
      </c>
    </row>
    <row r="151" spans="2:4" x14ac:dyDescent="0.15">
      <c r="B151" s="234" t="str">
        <f>"+ PV(Equity Value realized at year "&amp;C136&amp;")"</f>
        <v>+ PV(Equity Value realized at year 3)</v>
      </c>
      <c r="C151" s="238">
        <f>Scenarios!C92</f>
        <v>13.36410917162844</v>
      </c>
    </row>
    <row r="152" spans="2:4" x14ac:dyDescent="0.15">
      <c r="B152" s="80" t="s">
        <v>261</v>
      </c>
      <c r="C152" s="237">
        <f>Scenarios!C93</f>
        <v>14.470496975186144</v>
      </c>
      <c r="D152" s="330" t="str">
        <f>IF($D$11="","",C152*$E$25)</f>
        <v/>
      </c>
    </row>
    <row r="153" spans="2:4" x14ac:dyDescent="0.15">
      <c r="B153" s="281" t="s">
        <v>418</v>
      </c>
      <c r="C153" s="328" t="str">
        <f>Market_currency</f>
        <v>HKD</v>
      </c>
      <c r="D153" s="328" t="str">
        <f>IF($D$11="","",D$13)</f>
        <v/>
      </c>
    </row>
    <row r="154" spans="2:4" x14ac:dyDescent="0.15">
      <c r="B154" s="236" t="s">
        <v>263</v>
      </c>
      <c r="C154" s="92">
        <f>Scenarios!F93</f>
        <v>0.39987248390043673</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1.3905908747645797</v>
      </c>
    </row>
    <row r="159" spans="2:4" x14ac:dyDescent="0.15">
      <c r="B159" s="234" t="str">
        <f>"+ PV(Equity Value realized at year "&amp;C136&amp;")"</f>
        <v>+ PV(Equity Value realized at year 3)</v>
      </c>
      <c r="C159" s="238">
        <f>Scenarios!C98</f>
        <v>19.141177057080391</v>
      </c>
    </row>
    <row r="160" spans="2:4" x14ac:dyDescent="0.15">
      <c r="B160" s="80" t="s">
        <v>402</v>
      </c>
      <c r="C160" s="237">
        <f>Scenarios!C99</f>
        <v>20.531767931844971</v>
      </c>
      <c r="D160" s="330" t="str">
        <f>IF($D$11="","",C160*$E$25)</f>
        <v/>
      </c>
    </row>
    <row r="161" spans="1:6" x14ac:dyDescent="0.15">
      <c r="B161" s="281" t="s">
        <v>418</v>
      </c>
      <c r="C161" s="328" t="str">
        <f>Market_currency</f>
        <v>HKD</v>
      </c>
      <c r="D161" s="328" t="str">
        <f>IF($D$11="","",D$13)</f>
        <v/>
      </c>
    </row>
    <row r="162" spans="1:6" x14ac:dyDescent="0.15">
      <c r="B162" s="236" t="s">
        <v>263</v>
      </c>
      <c r="C162" s="92">
        <f>Scenarios!F99</f>
        <v>0.14849649523441566</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1.3018306675922118</v>
      </c>
    </row>
    <row r="167" spans="1:6" x14ac:dyDescent="0.15">
      <c r="B167" s="234" t="str">
        <f>"+ PV(Equity Value realized at year "&amp;C136&amp;")"</f>
        <v>+ PV(Equity Value realized at year 3)</v>
      </c>
      <c r="C167" s="238">
        <f>Scenarios!C104</f>
        <v>17.282792108024594</v>
      </c>
    </row>
    <row r="168" spans="1:6" x14ac:dyDescent="0.15">
      <c r="B168" s="80" t="s">
        <v>402</v>
      </c>
      <c r="C168" s="237">
        <f>Scenarios!C105</f>
        <v>18.584622775616808</v>
      </c>
      <c r="D168" s="330" t="str">
        <f>IF($D$11="","",C168*$E$25)</f>
        <v/>
      </c>
    </row>
    <row r="169" spans="1:6" x14ac:dyDescent="0.15">
      <c r="B169" s="281" t="s">
        <v>418</v>
      </c>
      <c r="C169" s="328" t="str">
        <f>Market_currency</f>
        <v>HKD</v>
      </c>
      <c r="D169" s="328" t="str">
        <f>IF($D$11="","",D$13)</f>
        <v/>
      </c>
    </row>
    <row r="170" spans="1:6" x14ac:dyDescent="0.15">
      <c r="B170" s="236" t="s">
        <v>263</v>
      </c>
      <c r="C170" s="92">
        <f>Scenarios!F105</f>
        <v>0.22913783912219288</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x14ac:dyDescent="0.15">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x14ac:dyDescent="0.15">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x14ac:dyDescent="0.15">
      <c r="B7" s="69" t="s">
        <v>61</v>
      </c>
      <c r="C7" s="188">
        <v>9198907</v>
      </c>
      <c r="D7" s="188">
        <v>9080121</v>
      </c>
      <c r="E7" s="188">
        <v>7314303</v>
      </c>
      <c r="F7" s="188">
        <v>6138077</v>
      </c>
      <c r="G7" s="188">
        <v>4424718</v>
      </c>
      <c r="H7" s="188">
        <v>4445070</v>
      </c>
      <c r="I7" s="188">
        <v>3708446</v>
      </c>
      <c r="J7" s="188">
        <v>3273375</v>
      </c>
      <c r="K7" s="188">
        <v>2969341</v>
      </c>
      <c r="L7" s="188">
        <v>2720361</v>
      </c>
      <c r="M7" s="188"/>
    </row>
    <row r="8" spans="2:13" x14ac:dyDescent="0.15">
      <c r="B8" s="40" t="s">
        <v>49</v>
      </c>
      <c r="C8" s="181"/>
      <c r="D8" s="181"/>
      <c r="E8" s="181"/>
      <c r="F8" s="181"/>
      <c r="G8" s="181"/>
      <c r="H8" s="181"/>
      <c r="I8" s="181"/>
      <c r="J8" s="181"/>
      <c r="K8" s="181"/>
      <c r="L8" s="181"/>
      <c r="M8" s="181"/>
    </row>
    <row r="9" spans="2:13" x14ac:dyDescent="0.15">
      <c r="B9" s="40" t="s">
        <v>160</v>
      </c>
      <c r="C9" s="181">
        <v>256299</v>
      </c>
      <c r="D9" s="181">
        <v>377972</v>
      </c>
      <c r="E9" s="181">
        <v>201155</v>
      </c>
      <c r="F9" s="181">
        <v>159222</v>
      </c>
      <c r="G9" s="181">
        <v>83487</v>
      </c>
      <c r="H9" s="181">
        <v>343469</v>
      </c>
      <c r="I9" s="181">
        <v>63633</v>
      </c>
      <c r="J9" s="181">
        <v>73806</v>
      </c>
      <c r="K9" s="181">
        <v>9716</v>
      </c>
      <c r="L9" s="181">
        <v>6948</v>
      </c>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254421</v>
      </c>
      <c r="D12" s="181">
        <v>181446</v>
      </c>
      <c r="E12" s="181">
        <v>120561</v>
      </c>
      <c r="F12" s="181">
        <v>112458</v>
      </c>
      <c r="G12" s="181"/>
      <c r="H12" s="181"/>
      <c r="I12" s="181"/>
      <c r="J12" s="181"/>
      <c r="K12" s="181"/>
      <c r="L12" s="181"/>
      <c r="M12" s="181"/>
    </row>
    <row r="13" spans="2:13" x14ac:dyDescent="0.15">
      <c r="B13" s="40" t="s">
        <v>67</v>
      </c>
      <c r="C13" s="181">
        <v>429525</v>
      </c>
      <c r="D13" s="181">
        <v>500556</v>
      </c>
      <c r="E13" s="181">
        <v>447748</v>
      </c>
      <c r="F13" s="181">
        <v>145097</v>
      </c>
      <c r="G13" s="181"/>
      <c r="H13" s="181"/>
      <c r="I13" s="181"/>
      <c r="J13" s="181"/>
      <c r="K13" s="181"/>
      <c r="L13" s="181"/>
      <c r="M13" s="181"/>
    </row>
    <row r="14" spans="2:13" x14ac:dyDescent="0.15">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x14ac:dyDescent="0.15">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x14ac:dyDescent="0.15">
      <c r="B16" s="28" t="s">
        <v>44</v>
      </c>
      <c r="C16" s="181">
        <v>0</v>
      </c>
      <c r="D16" s="181">
        <v>52</v>
      </c>
      <c r="E16" s="181">
        <v>-63</v>
      </c>
      <c r="F16" s="181">
        <v>7</v>
      </c>
      <c r="G16" s="181">
        <v>0</v>
      </c>
      <c r="H16" s="181">
        <v>4</v>
      </c>
      <c r="I16" s="181">
        <v>0</v>
      </c>
      <c r="J16" s="181">
        <v>0</v>
      </c>
      <c r="K16" s="181">
        <v>57615</v>
      </c>
      <c r="L16" s="181">
        <v>47296</v>
      </c>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ht="13" x14ac:dyDescent="0.15">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ht="13" x14ac:dyDescent="0.15">
      <c r="B22" s="27" t="s">
        <v>372</v>
      </c>
      <c r="C22" s="181"/>
      <c r="D22" s="181">
        <v>4687936</v>
      </c>
      <c r="E22" s="181">
        <v>3913604</v>
      </c>
      <c r="F22" s="181">
        <v>6525335</v>
      </c>
      <c r="G22" s="181">
        <v>2763336</v>
      </c>
      <c r="H22" s="181">
        <v>3503469</v>
      </c>
      <c r="I22" s="181">
        <v>1671869</v>
      </c>
      <c r="J22" s="181">
        <v>1159143</v>
      </c>
      <c r="K22" s="181">
        <v>995476</v>
      </c>
      <c r="L22" s="181">
        <v>687043</v>
      </c>
      <c r="M22" s="181"/>
    </row>
    <row r="23" spans="2:13" ht="13" x14ac:dyDescent="0.15">
      <c r="B23" s="27" t="s">
        <v>374</v>
      </c>
      <c r="C23" s="181"/>
      <c r="D23" s="181">
        <v>-2449105</v>
      </c>
      <c r="E23" s="181">
        <v>-9481433</v>
      </c>
      <c r="F23" s="181">
        <v>-6538700</v>
      </c>
      <c r="G23" s="181">
        <v>-991555</v>
      </c>
      <c r="H23" s="181">
        <v>-573343</v>
      </c>
      <c r="I23" s="181">
        <v>-482937</v>
      </c>
      <c r="J23" s="181">
        <v>-342516</v>
      </c>
      <c r="K23" s="181">
        <v>-320306</v>
      </c>
      <c r="L23" s="181">
        <v>-362745</v>
      </c>
      <c r="M23" s="181"/>
    </row>
    <row r="24" spans="2:13" ht="13" x14ac:dyDescent="0.15">
      <c r="B24" s="27" t="s">
        <v>373</v>
      </c>
      <c r="C24" s="181"/>
      <c r="D24" s="181">
        <v>-4216951</v>
      </c>
      <c r="E24" s="181">
        <v>-1887435</v>
      </c>
      <c r="F24" s="181">
        <v>7596150</v>
      </c>
      <c r="G24" s="181">
        <v>-513491</v>
      </c>
      <c r="H24" s="181">
        <v>-648624</v>
      </c>
      <c r="I24" s="181">
        <v>-65643</v>
      </c>
      <c r="J24" s="181">
        <v>-232493</v>
      </c>
      <c r="K24" s="181">
        <v>-509027</v>
      </c>
      <c r="L24" s="181">
        <v>636375</v>
      </c>
      <c r="M24" s="181"/>
    </row>
    <row r="25" spans="2:13" x14ac:dyDescent="0.15">
      <c r="B25" s="24" t="str">
        <f>"Dividend per share ("&amp;Market_currency&amp;")"</f>
        <v>Dividend per share (HKD)</v>
      </c>
      <c r="C25" s="39">
        <f>(0.2073+0.3775)/Exchange_Rate</f>
        <v>0.53959586373565716</v>
      </c>
      <c r="D25" s="39"/>
      <c r="E25" s="39"/>
      <c r="F25" s="39"/>
      <c r="G25" s="39"/>
      <c r="H25" s="39"/>
      <c r="I25" s="39"/>
      <c r="J25" s="39"/>
      <c r="K25" s="39"/>
      <c r="L25" s="39"/>
      <c r="M25" s="39"/>
    </row>
    <row r="27" spans="2:13" x14ac:dyDescent="0.15">
      <c r="B27" s="16" t="s">
        <v>28</v>
      </c>
      <c r="C27" s="97" t="s">
        <v>459</v>
      </c>
    </row>
    <row r="28" spans="2:13" ht="13" x14ac:dyDescent="0.15">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ht="13" x14ac:dyDescent="0.15">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ht="13" x14ac:dyDescent="0.15">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ht="13" x14ac:dyDescent="0.15">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ht="13" x14ac:dyDescent="0.15">
      <c r="B32" s="26" t="s">
        <v>173</v>
      </c>
      <c r="C32" s="183">
        <f>BS!G28</f>
        <v>0</v>
      </c>
      <c r="D32" s="181">
        <v>0</v>
      </c>
      <c r="E32" s="181">
        <v>2498</v>
      </c>
      <c r="F32" s="181">
        <v>2561</v>
      </c>
      <c r="G32" s="182">
        <v>2554</v>
      </c>
      <c r="H32" s="182">
        <v>2554</v>
      </c>
      <c r="I32" s="182">
        <v>2550</v>
      </c>
      <c r="J32" s="182">
        <v>2550</v>
      </c>
      <c r="K32" s="182">
        <v>2550</v>
      </c>
      <c r="L32" s="182">
        <v>230637</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x14ac:dyDescent="0.15">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ht="13" x14ac:dyDescent="0.15">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x14ac:dyDescent="0.15">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x14ac:dyDescent="0.15">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x14ac:dyDescent="0.15">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x14ac:dyDescent="0.15">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x14ac:dyDescent="0.15">
      <c r="B45" s="40" t="s">
        <v>68</v>
      </c>
      <c r="C45" s="76">
        <f t="shared" ref="C45:M45" si="19">IF(C$4="","",C51+C52)</f>
        <v>175104</v>
      </c>
      <c r="D45" s="76">
        <f t="shared" si="19"/>
        <v>319110</v>
      </c>
      <c r="E45" s="76">
        <f t="shared" si="19"/>
        <v>327187</v>
      </c>
      <c r="F45" s="76">
        <f t="shared" si="19"/>
        <v>32639</v>
      </c>
      <c r="G45" s="76">
        <f t="shared" si="19"/>
        <v>0</v>
      </c>
      <c r="H45" s="76">
        <f t="shared" si="19"/>
        <v>0</v>
      </c>
      <c r="I45" s="76">
        <f t="shared" si="19"/>
        <v>0</v>
      </c>
      <c r="J45" s="76">
        <f t="shared" si="19"/>
        <v>0</v>
      </c>
      <c r="K45" s="76">
        <f t="shared" si="19"/>
        <v>0</v>
      </c>
      <c r="L45" s="76">
        <f t="shared" si="19"/>
        <v>0</v>
      </c>
      <c r="M45" s="76" t="str">
        <f t="shared" si="19"/>
        <v/>
      </c>
    </row>
    <row r="46" spans="2:13" x14ac:dyDescent="0.15">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x14ac:dyDescent="0.15">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x14ac:dyDescent="0.15">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x14ac:dyDescent="0.15">
      <c r="B50" s="16" t="s">
        <v>68</v>
      </c>
    </row>
    <row r="51" spans="2:13" x14ac:dyDescent="0.15">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x14ac:dyDescent="0.15">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256299</v>
      </c>
      <c r="D55" s="76">
        <f t="shared" si="25"/>
        <v>377972</v>
      </c>
      <c r="E55" s="76">
        <f t="shared" si="25"/>
        <v>201155</v>
      </c>
      <c r="F55" s="76">
        <f t="shared" si="25"/>
        <v>159222</v>
      </c>
      <c r="G55" s="76">
        <f t="shared" si="25"/>
        <v>83487</v>
      </c>
      <c r="H55" s="76">
        <f t="shared" si="25"/>
        <v>343469</v>
      </c>
      <c r="I55" s="76">
        <f t="shared" si="25"/>
        <v>63633</v>
      </c>
      <c r="J55" s="76">
        <f t="shared" si="25"/>
        <v>73806</v>
      </c>
      <c r="K55" s="76">
        <f t="shared" si="25"/>
        <v>9716</v>
      </c>
      <c r="L55" s="76">
        <f t="shared" si="25"/>
        <v>6948</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148917</v>
      </c>
      <c r="D58" s="76">
        <f t="shared" ref="D58:M58" si="28">IF(D$4="","",D44-D55-D56-D57)</f>
        <v>543305</v>
      </c>
      <c r="E58" s="76">
        <f t="shared" si="28"/>
        <v>829486</v>
      </c>
      <c r="F58" s="76">
        <f t="shared" si="28"/>
        <v>416030</v>
      </c>
      <c r="G58" s="76">
        <f t="shared" si="28"/>
        <v>299810</v>
      </c>
      <c r="H58" s="76">
        <f t="shared" si="28"/>
        <v>120949</v>
      </c>
      <c r="I58" s="76">
        <f t="shared" si="28"/>
        <v>122233</v>
      </c>
      <c r="J58" s="76">
        <f t="shared" si="28"/>
        <v>61676</v>
      </c>
      <c r="K58" s="76">
        <f t="shared" si="28"/>
        <v>411830</v>
      </c>
      <c r="L58" s="76">
        <f t="shared" si="28"/>
        <v>2276</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ht="13" x14ac:dyDescent="0.15">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x14ac:dyDescent="0.15">
      <c r="B65" s="24" t="s">
        <v>36</v>
      </c>
      <c r="C65" s="73">
        <f>IF(C$4="","",C25)</f>
        <v>0.53959586373565716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ht="13" x14ac:dyDescent="0.15">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1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15">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x14ac:dyDescent="0.15">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35708406</v>
      </c>
      <c r="D76" s="76">
        <f t="shared" ref="D76:M76" si="39">IF(D$4="","",D79+D80)</f>
        <v>34207803</v>
      </c>
      <c r="E76" s="76">
        <f t="shared" si="39"/>
        <v>33646519</v>
      </c>
      <c r="F76" s="76">
        <f t="shared" si="39"/>
        <v>30274816</v>
      </c>
      <c r="G76" s="76">
        <f t="shared" si="39"/>
        <v>14593865</v>
      </c>
      <c r="H76" s="76">
        <f t="shared" si="39"/>
        <v>12547474</v>
      </c>
      <c r="I76" s="76">
        <f t="shared" si="39"/>
        <v>8727305</v>
      </c>
      <c r="J76" s="76">
        <f t="shared" si="39"/>
        <v>7321349</v>
      </c>
      <c r="K76" s="76">
        <f t="shared" si="39"/>
        <v>6780494</v>
      </c>
      <c r="L76" s="76">
        <f t="shared" si="39"/>
        <v>6897458</v>
      </c>
      <c r="M76" s="76" t="str">
        <f t="shared" si="39"/>
        <v/>
      </c>
    </row>
    <row r="77" spans="2:13" ht="13" x14ac:dyDescent="0.15">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24"/>
      <c r="J77" s="324"/>
      <c r="K77" s="324"/>
      <c r="L77" s="324"/>
      <c r="M77" s="324"/>
    </row>
    <row r="78" spans="2:13" ht="13" x14ac:dyDescent="0.15">
      <c r="B78" s="93" t="s">
        <v>87</v>
      </c>
      <c r="C78" s="185">
        <f t="shared" si="40"/>
        <v>2598226</v>
      </c>
      <c r="D78" s="185">
        <f t="shared" si="40"/>
        <v>2493206</v>
      </c>
      <c r="E78" s="185">
        <f t="shared" si="40"/>
        <v>2428040</v>
      </c>
      <c r="F78" s="185">
        <f t="shared" si="40"/>
        <v>1772803</v>
      </c>
      <c r="G78" s="185">
        <f t="shared" si="40"/>
        <v>1345539</v>
      </c>
      <c r="H78" s="185">
        <f t="shared" si="40"/>
        <v>1407257</v>
      </c>
      <c r="I78" s="324"/>
      <c r="J78" s="324"/>
      <c r="K78" s="324"/>
      <c r="L78" s="324"/>
      <c r="M78" s="324"/>
    </row>
    <row r="79" spans="2:13" ht="13" x14ac:dyDescent="0.15">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ht="13" x14ac:dyDescent="0.15">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1004591+245432</f>
        <v>1250023</v>
      </c>
      <c r="D4" s="285">
        <v>0.6</v>
      </c>
      <c r="E4" s="25"/>
      <c r="F4" s="4" t="s">
        <v>78</v>
      </c>
      <c r="G4" s="19">
        <f>8264361+7498596</f>
        <v>15762957</v>
      </c>
      <c r="H4" s="285">
        <v>0.9</v>
      </c>
    </row>
    <row r="5" spans="2:8" ht="15" customHeight="1" x14ac:dyDescent="0.15">
      <c r="B5" s="1" t="s">
        <v>33</v>
      </c>
      <c r="C5" s="19">
        <v>0</v>
      </c>
      <c r="D5" s="285">
        <v>0.6</v>
      </c>
      <c r="E5" s="25"/>
      <c r="F5" s="1" t="s">
        <v>29</v>
      </c>
      <c r="G5" s="19">
        <v>23261</v>
      </c>
      <c r="H5" s="285">
        <v>0.7</v>
      </c>
    </row>
    <row r="6" spans="2:8" ht="15" customHeight="1" x14ac:dyDescent="0.15">
      <c r="B6" s="4" t="s">
        <v>10</v>
      </c>
      <c r="C6" s="19">
        <v>2598226</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893775</v>
      </c>
      <c r="D11" s="285">
        <v>0.05</v>
      </c>
      <c r="H11" s="286"/>
    </row>
    <row r="12" spans="2:8" ht="15" customHeight="1" x14ac:dyDescent="0.15">
      <c r="B12" s="80" t="s">
        <v>72</v>
      </c>
      <c r="C12" s="81">
        <f>SUM(C4:C11)</f>
        <v>4742024</v>
      </c>
      <c r="D12" s="20">
        <f>C4*D4+C5*D5+C9*D9+C6*D6+C8*D8+C7*D7+C10*D10+C11*D11</f>
        <v>2093815.5499999998</v>
      </c>
      <c r="F12" s="80" t="s">
        <v>70</v>
      </c>
      <c r="G12" s="81">
        <f>SUM(G4:G9)</f>
        <v>15786218</v>
      </c>
      <c r="H12" s="20">
        <f>G4*H4+G5*H5+G6*H6+G7*H7+G8*H8+G9*H9</f>
        <v>14202944</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166519</v>
      </c>
      <c r="D15" s="285">
        <v>0.4</v>
      </c>
      <c r="F15" s="4" t="s">
        <v>79</v>
      </c>
      <c r="G15" s="19">
        <v>2377970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450316</v>
      </c>
      <c r="H17" s="285">
        <v>0.6</v>
      </c>
    </row>
    <row r="18" spans="2:8" ht="15" customHeight="1" x14ac:dyDescent="0.15">
      <c r="B18" s="4" t="s">
        <v>174</v>
      </c>
      <c r="C18" s="19">
        <v>0</v>
      </c>
      <c r="D18" s="285">
        <v>0.6</v>
      </c>
      <c r="F18" s="4" t="s">
        <v>182</v>
      </c>
      <c r="G18" s="19">
        <v>1743938</v>
      </c>
      <c r="H18" s="285">
        <v>0.1</v>
      </c>
    </row>
    <row r="19" spans="2:8" ht="15" customHeight="1" x14ac:dyDescent="0.15">
      <c r="B19" s="4" t="s">
        <v>26</v>
      </c>
      <c r="C19" s="19">
        <f>4610454+1576667+150864</f>
        <v>6337985</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234736</v>
      </c>
      <c r="D21" s="285">
        <v>0.05</v>
      </c>
      <c r="F21" s="1" t="s">
        <v>181</v>
      </c>
      <c r="G21" s="19">
        <v>2913826</v>
      </c>
      <c r="H21" s="285">
        <v>0.1</v>
      </c>
    </row>
    <row r="22" spans="2:8" ht="15" customHeight="1" x14ac:dyDescent="0.15">
      <c r="B22" s="4" t="s">
        <v>20</v>
      </c>
      <c r="C22" s="19">
        <v>949424</v>
      </c>
      <c r="D22" s="285">
        <v>0.9</v>
      </c>
      <c r="H22" s="286"/>
    </row>
    <row r="23" spans="2:8" ht="15" customHeight="1" x14ac:dyDescent="0.15">
      <c r="B23" s="4" t="s">
        <v>21</v>
      </c>
      <c r="C23" s="19">
        <v>5450</v>
      </c>
      <c r="D23" s="285">
        <v>0</v>
      </c>
      <c r="H23" s="286"/>
    </row>
    <row r="24" spans="2:8" ht="15" customHeight="1" x14ac:dyDescent="0.15">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26103689</v>
      </c>
      <c r="H27" s="207">
        <f>H32-G30</f>
        <v>10897009.050000001</v>
      </c>
    </row>
    <row r="28" spans="2:8" ht="15" customHeight="1" x14ac:dyDescent="0.15">
      <c r="B28" s="4" t="s">
        <v>6</v>
      </c>
      <c r="C28" s="19">
        <v>551610</v>
      </c>
      <c r="F28" s="208" t="s">
        <v>245</v>
      </c>
      <c r="G28" s="12">
        <v>0</v>
      </c>
      <c r="H28" s="207"/>
    </row>
    <row r="29" spans="2:8" ht="15" customHeight="1" x14ac:dyDescent="0.15">
      <c r="B29" s="4" t="s">
        <v>7</v>
      </c>
      <c r="C29" s="19">
        <v>0</v>
      </c>
      <c r="F29" s="209" t="s">
        <v>76</v>
      </c>
      <c r="G29" s="14">
        <f>G27-G28</f>
        <v>26103689</v>
      </c>
      <c r="H29" s="207">
        <f>H27-G28</f>
        <v>10897009.050000001</v>
      </c>
    </row>
    <row r="30" spans="2:8" ht="15" customHeight="1" x14ac:dyDescent="0.15">
      <c r="B30" s="2" t="s">
        <v>8</v>
      </c>
      <c r="C30" s="19">
        <v>0</v>
      </c>
      <c r="F30" s="206" t="s">
        <v>23</v>
      </c>
      <c r="G30" s="85">
        <f>C33+C42</f>
        <v>9604717</v>
      </c>
      <c r="H30" s="207"/>
    </row>
    <row r="31" spans="2:8" ht="15" customHeight="1" x14ac:dyDescent="0.15">
      <c r="B31" s="80" t="s">
        <v>204</v>
      </c>
      <c r="C31" s="81">
        <f>SUM(C27:C30)</f>
        <v>551610</v>
      </c>
      <c r="F31" s="209" t="s">
        <v>77</v>
      </c>
      <c r="G31" s="210">
        <f>C31+C40</f>
        <v>1936137</v>
      </c>
      <c r="H31" s="207"/>
    </row>
    <row r="32" spans="2:8" ht="15" customHeight="1" x14ac:dyDescent="0.15">
      <c r="B32" s="4" t="s">
        <v>9</v>
      </c>
      <c r="C32" s="21">
        <f>C33-C31</f>
        <v>7034336</v>
      </c>
      <c r="F32" s="211" t="s">
        <v>75</v>
      </c>
      <c r="G32" s="212">
        <f>G35+G40</f>
        <v>35708406</v>
      </c>
      <c r="H32" s="207">
        <f>H35+H40</f>
        <v>20501726.050000001</v>
      </c>
    </row>
    <row r="33" spans="2:8" ht="15" customHeight="1" x14ac:dyDescent="0.15">
      <c r="B33" s="83" t="s">
        <v>4</v>
      </c>
      <c r="C33" s="84">
        <v>7585946</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12436138</v>
      </c>
      <c r="H35" s="219">
        <f>D12+D24</f>
        <v>3660440.05</v>
      </c>
    </row>
    <row r="36" spans="2:8" ht="15" customHeight="1" x14ac:dyDescent="0.15">
      <c r="B36" s="4" t="s">
        <v>13</v>
      </c>
      <c r="C36" s="19">
        <v>0</v>
      </c>
      <c r="F36" s="209" t="s">
        <v>198</v>
      </c>
      <c r="G36" s="210">
        <f>C4+C15</f>
        <v>1416542</v>
      </c>
      <c r="H36" s="214"/>
    </row>
    <row r="37" spans="2:8" ht="15" customHeight="1" x14ac:dyDescent="0.15">
      <c r="B37" s="4" t="s">
        <v>14</v>
      </c>
      <c r="C37" s="19">
        <v>1384527</v>
      </c>
      <c r="F37" s="209" t="s">
        <v>199</v>
      </c>
      <c r="G37" s="210">
        <f>C6</f>
        <v>2598226</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6337985</v>
      </c>
      <c r="H39" s="207">
        <f>C7*D7+C17*D17+C19*D19+C20*D20</f>
        <v>633798.5</v>
      </c>
    </row>
    <row r="40" spans="2:8" ht="15" customHeight="1" x14ac:dyDescent="0.15">
      <c r="B40" s="80" t="s">
        <v>205</v>
      </c>
      <c r="C40" s="81">
        <f>SUM(C36:C39)</f>
        <v>1384527</v>
      </c>
      <c r="F40" s="218" t="s">
        <v>139</v>
      </c>
      <c r="G40" s="212">
        <f>G12+G24</f>
        <v>23272268</v>
      </c>
      <c r="H40" s="219">
        <f>H12+H24</f>
        <v>16841286</v>
      </c>
    </row>
    <row r="41" spans="2:8" ht="15" customHeight="1" x14ac:dyDescent="0.15">
      <c r="B41" s="4" t="s">
        <v>17</v>
      </c>
      <c r="C41" s="21">
        <f>C42-C40</f>
        <v>634244</v>
      </c>
      <c r="F41" s="209" t="s">
        <v>192</v>
      </c>
      <c r="G41" s="210">
        <f>C70</f>
        <v>19908126</v>
      </c>
      <c r="H41" s="219">
        <f>H40-H42</f>
        <v>16279713.800000001</v>
      </c>
    </row>
    <row r="42" spans="2:8" ht="15" customHeight="1" x14ac:dyDescent="0.15">
      <c r="B42" s="83" t="s">
        <v>22</v>
      </c>
      <c r="C42" s="84">
        <v>2018771</v>
      </c>
      <c r="F42" s="220" t="s">
        <v>193</v>
      </c>
      <c r="G42" s="221">
        <f>C82</f>
        <v>3364142</v>
      </c>
      <c r="H42" s="222">
        <f>D82</f>
        <v>561572.19999999995</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26103689</v>
      </c>
      <c r="D46" s="76">
        <f>H29</f>
        <v>10897009.050000001</v>
      </c>
      <c r="F46" s="275"/>
    </row>
    <row r="47" spans="2:8" ht="15" customHeight="1" x14ac:dyDescent="0.15">
      <c r="B47" s="1" t="str">
        <f>"Equity per share ("&amp;Market_currency&amp;")"</f>
        <v>Equity per share (HKD)</v>
      </c>
      <c r="C47" s="148">
        <f>C46*H1/Common_Shares*Exchange_Rate</f>
        <v>10.944956641615038</v>
      </c>
      <c r="D47" s="148">
        <f>D46*H1/Common_Shares*Exchange_Rate</f>
        <v>4.5689822452120339</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0.60402076709908736</v>
      </c>
      <c r="D50" s="95">
        <f>G31/Normalized_FCF!G8</f>
        <v>0.54859123183168057</v>
      </c>
      <c r="F50" s="275"/>
    </row>
    <row r="51" spans="2:8" ht="15" customHeight="1" x14ac:dyDescent="0.15">
      <c r="B51" s="1" t="s">
        <v>177</v>
      </c>
      <c r="C51" s="200"/>
      <c r="D51" s="92">
        <f>G29/G32</f>
        <v>0.73102364188421065</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0.25775000437452</v>
      </c>
      <c r="D54" s="92">
        <f>Normalized_FCF!G8/G35</f>
        <v>0.28379300712166428</v>
      </c>
      <c r="F54" s="275"/>
    </row>
    <row r="55" spans="2:8" ht="15" customHeight="1" x14ac:dyDescent="0.15">
      <c r="B55" s="1" t="s">
        <v>142</v>
      </c>
      <c r="C55" s="92">
        <f>Normalized_FCF!C11/G40</f>
        <v>7.709145494543118E-3</v>
      </c>
      <c r="D55" s="92">
        <f>Normalized_FCF!G11/G40</f>
        <v>1.1013064992204455E-2</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0.17749280099481338</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0</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18164188</v>
      </c>
      <c r="D66" s="76">
        <f>C66-D75</f>
        <v>14105557.81087199</v>
      </c>
      <c r="F66" s="5" t="s">
        <v>227</v>
      </c>
    </row>
    <row r="67" spans="2:6" ht="15" customHeight="1" x14ac:dyDescent="0.15">
      <c r="B67" s="105" t="s">
        <v>178</v>
      </c>
      <c r="C67" s="20">
        <f>G6+G16</f>
        <v>0</v>
      </c>
      <c r="F67" s="275"/>
    </row>
    <row r="68" spans="2:6" ht="15" customHeight="1" x14ac:dyDescent="0.15">
      <c r="B68" s="105" t="s">
        <v>182</v>
      </c>
      <c r="C68" s="20">
        <f>G18</f>
        <v>1743938</v>
      </c>
      <c r="F68" s="275"/>
    </row>
    <row r="69" spans="2:6" ht="15" customHeight="1" x14ac:dyDescent="0.15">
      <c r="B69" s="105" t="s">
        <v>180</v>
      </c>
      <c r="C69" s="20">
        <f>G8+G20</f>
        <v>0</v>
      </c>
      <c r="F69" s="275"/>
    </row>
    <row r="70" spans="2:6" ht="15" customHeight="1" x14ac:dyDescent="0.15">
      <c r="B70" s="80" t="s">
        <v>189</v>
      </c>
      <c r="C70" s="81">
        <f>SUM(C66:C69)</f>
        <v>19908126</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-2211758.3548891824</v>
      </c>
      <c r="D73" s="76">
        <f>(Normalized_FCF!C25+Normalized_FCF!C35-Normalized_FCF!C91)/12</f>
        <v>-2029315.0945640046</v>
      </c>
      <c r="F73" s="1" t="s">
        <v>352</v>
      </c>
    </row>
    <row r="74" spans="2:6" ht="15" customHeight="1" x14ac:dyDescent="0.15">
      <c r="B74" s="279" t="s">
        <v>322</v>
      </c>
      <c r="C74" s="280">
        <f>-$C$66/C73</f>
        <v>8.2125553905322963</v>
      </c>
      <c r="D74" s="280">
        <f>-$C$66/D73</f>
        <v>8.9508958212832646</v>
      </c>
      <c r="F74" s="275" t="s">
        <v>320</v>
      </c>
    </row>
    <row r="75" spans="2:6" ht="15" customHeight="1" x14ac:dyDescent="0.15">
      <c r="B75" s="80" t="s">
        <v>321</v>
      </c>
      <c r="C75" s="284"/>
      <c r="D75" s="283">
        <f>MAX(-D73*D76,G5)</f>
        <v>4058630.1891280091</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450316</v>
      </c>
      <c r="D79" s="76">
        <f>G7*H7+G17*H17</f>
        <v>270189.59999999998</v>
      </c>
      <c r="F79" s="275"/>
    </row>
    <row r="80" spans="2:6" ht="15" customHeight="1" x14ac:dyDescent="0.15">
      <c r="B80" s="105" t="s">
        <v>183</v>
      </c>
      <c r="C80" s="20">
        <f>G19</f>
        <v>0</v>
      </c>
      <c r="D80" s="76">
        <f>G19*H19</f>
        <v>0</v>
      </c>
      <c r="F80" s="275"/>
    </row>
    <row r="81" spans="2:8" ht="15" customHeight="1" x14ac:dyDescent="0.15">
      <c r="B81" s="105" t="s">
        <v>181</v>
      </c>
      <c r="C81" s="20">
        <f>G9+G21</f>
        <v>2913826</v>
      </c>
      <c r="D81" s="76">
        <f>G9*H9+G21*H21</f>
        <v>291382.60000000003</v>
      </c>
      <c r="F81" s="275"/>
    </row>
    <row r="82" spans="2:8" ht="15" customHeight="1" x14ac:dyDescent="0.15">
      <c r="B82" s="80" t="s">
        <v>190</v>
      </c>
      <c r="C82" s="81">
        <f>SUM(C79:C81)</f>
        <v>3364142</v>
      </c>
      <c r="D82" s="81">
        <f>SUM(D79:D81)</f>
        <v>561572.19999999995</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-2098335.05720622</v>
      </c>
      <c r="D86" s="245">
        <f>C86*scaling_factor/Common_Shares</f>
        <v>-0.81179849779954905</v>
      </c>
      <c r="E86" s="262" t="str">
        <f>Market_currency</f>
        <v>HKD</v>
      </c>
    </row>
    <row r="87" spans="2:8" ht="15" customHeight="1" x14ac:dyDescent="0.15">
      <c r="B87" s="260" t="s">
        <v>288</v>
      </c>
      <c r="C87" s="76">
        <f>DCF!C8*Exchange_Rate</f>
        <v>15287237.65725345</v>
      </c>
      <c r="D87" s="245">
        <f>C87*scaling_factor/Common_Shares</f>
        <v>5.9142873884908855</v>
      </c>
      <c r="E87" s="262" t="str">
        <f>Market_currency</f>
        <v>HKD</v>
      </c>
    </row>
    <row r="88" spans="2:8" ht="15" customHeight="1" x14ac:dyDescent="0.15">
      <c r="B88" s="261" t="s">
        <v>190</v>
      </c>
      <c r="C88" s="76">
        <f>DCF!C9*Exchange_Rate</f>
        <v>608617.383177132</v>
      </c>
      <c r="D88" s="245">
        <f>C88*scaling_factor/Common_Shares</f>
        <v>0.23546033589874474</v>
      </c>
      <c r="E88" s="262" t="str">
        <f>Market_currency</f>
        <v>HKD</v>
      </c>
    </row>
    <row r="89" spans="2:8" ht="15" customHeight="1" x14ac:dyDescent="0.15">
      <c r="B89" s="80" t="s">
        <v>292</v>
      </c>
      <c r="C89" s="187">
        <f>SUM(C86:C88)</f>
        <v>13797519.983224362</v>
      </c>
      <c r="D89" s="264">
        <f>SUM(D86:D88)</f>
        <v>5.3379492265900819</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AVERAGE(G4:J4)</f>
        <v>26162449.5</v>
      </c>
      <c r="D4" s="57"/>
      <c r="E4" s="291"/>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x14ac:dyDescent="0.15">
      <c r="A5" s="10"/>
      <c r="B5" s="2" t="s">
        <v>46</v>
      </c>
      <c r="C5" s="190">
        <f>C25</f>
        <v>-21529127.876097865</v>
      </c>
      <c r="E5" s="293"/>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x14ac:dyDescent="0.15">
      <c r="A6" s="10"/>
      <c r="B6" s="31" t="s">
        <v>48</v>
      </c>
      <c r="C6" s="184">
        <f>C4+C5</f>
        <v>4633321.6239021346</v>
      </c>
      <c r="E6" s="293"/>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x14ac:dyDescent="0.15">
      <c r="A7" s="10"/>
      <c r="B7" s="8" t="s">
        <v>45</v>
      </c>
      <c r="C7" s="190">
        <f>C35</f>
        <v>-1427907</v>
      </c>
      <c r="E7" s="293"/>
      <c r="G7" s="190">
        <f t="shared" ref="G7:Q7" si="3">G35</f>
        <v>-1427907</v>
      </c>
      <c r="H7" s="190">
        <f t="shared" si="3"/>
        <v>-1256152</v>
      </c>
      <c r="I7" s="190">
        <f t="shared" si="3"/>
        <v>-1113218</v>
      </c>
      <c r="J7" s="190">
        <f t="shared" si="3"/>
        <v>-1110675</v>
      </c>
      <c r="K7" s="190">
        <f t="shared" si="3"/>
        <v>-805058</v>
      </c>
      <c r="L7" s="190">
        <f t="shared" si="3"/>
        <v>-968264</v>
      </c>
      <c r="M7" s="190">
        <f t="shared" si="3"/>
        <v>-679873</v>
      </c>
      <c r="N7" s="190">
        <f t="shared" si="3"/>
        <v>-501066</v>
      </c>
      <c r="O7" s="190">
        <f t="shared" si="3"/>
        <v>-424129</v>
      </c>
      <c r="P7" s="190">
        <f t="shared" si="3"/>
        <v>-346149</v>
      </c>
      <c r="Q7" s="190" t="str">
        <f t="shared" si="3"/>
        <v/>
      </c>
    </row>
    <row r="8" spans="1:17" ht="15.75" customHeight="1" x14ac:dyDescent="0.15">
      <c r="A8" s="10"/>
      <c r="B8" s="29" t="s">
        <v>153</v>
      </c>
      <c r="C8" s="191">
        <f>C6+C7</f>
        <v>3205414.6239021346</v>
      </c>
      <c r="D8" s="59"/>
      <c r="E8" s="299"/>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0</v>
      </c>
      <c r="E10" s="293"/>
      <c r="G10" s="190">
        <f>Data!C62</f>
        <v>1815.2739999999999</v>
      </c>
      <c r="H10" s="190">
        <f>Data!D62</f>
        <v>1815.2739999999999</v>
      </c>
      <c r="I10" s="190">
        <f>Data!E62</f>
        <v>1830.425</v>
      </c>
      <c r="J10" s="190">
        <f>Data!F62</f>
        <v>1027.7539999999999</v>
      </c>
      <c r="K10" s="190">
        <f>Data!G62</f>
        <v>745.63400000000001</v>
      </c>
      <c r="L10" s="190">
        <f>Data!H62</f>
        <v>649.02099999999996</v>
      </c>
      <c r="M10" s="190">
        <f>Data!I62</f>
        <v>0</v>
      </c>
      <c r="N10" s="190">
        <f>Data!J62</f>
        <v>0</v>
      </c>
      <c r="O10" s="190">
        <f>Data!K62</f>
        <v>0</v>
      </c>
      <c r="P10" s="190">
        <f>Data!L62</f>
        <v>0</v>
      </c>
      <c r="Q10" s="190" t="str">
        <f>Data!M62</f>
        <v/>
      </c>
    </row>
    <row r="11" spans="1:17" ht="15.75" customHeight="1" x14ac:dyDescent="0.15">
      <c r="A11" s="10"/>
      <c r="B11" s="31" t="s">
        <v>195</v>
      </c>
      <c r="C11" s="192">
        <f>C63</f>
        <v>179409.3</v>
      </c>
      <c r="D11" s="169"/>
      <c r="E11" s="292"/>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x14ac:dyDescent="0.15">
      <c r="A12" s="10"/>
      <c r="B12" s="2" t="s">
        <v>68</v>
      </c>
      <c r="C12" s="190">
        <f>C50</f>
        <v>-158447.36594681756</v>
      </c>
      <c r="E12" s="293"/>
      <c r="G12" s="190">
        <f>G50</f>
        <v>-158447.36594681756</v>
      </c>
      <c r="H12" s="190">
        <f t="shared" ref="H12:Q12" si="6">H50</f>
        <v>-69601.105367266646</v>
      </c>
      <c r="I12" s="190">
        <f t="shared" si="6"/>
        <v>-20515.594726629788</v>
      </c>
      <c r="J12" s="190">
        <f t="shared" si="6"/>
        <v>-80037.334427065682</v>
      </c>
      <c r="K12" s="190">
        <f t="shared" si="6"/>
        <v>0</v>
      </c>
      <c r="L12" s="190">
        <f t="shared" si="6"/>
        <v>0</v>
      </c>
      <c r="M12" s="190">
        <f t="shared" si="6"/>
        <v>0</v>
      </c>
      <c r="N12" s="190">
        <f t="shared" si="6"/>
        <v>0</v>
      </c>
      <c r="O12" s="190">
        <f t="shared" si="6"/>
        <v>0</v>
      </c>
      <c r="P12" s="190">
        <f t="shared" si="6"/>
        <v>0</v>
      </c>
      <c r="Q12" s="190" t="str">
        <f t="shared" si="6"/>
        <v/>
      </c>
    </row>
    <row r="13" spans="1:17" ht="15.75" customHeight="1" x14ac:dyDescent="0.15">
      <c r="A13" s="10"/>
      <c r="B13" s="70" t="s">
        <v>165</v>
      </c>
      <c r="C13" s="184">
        <f>SUM(C8:C12)</f>
        <v>3226376.5579553167</v>
      </c>
      <c r="E13" s="293"/>
      <c r="G13" s="184">
        <f>IF(G$4="","",SUM(G8:G12))</f>
        <v>3628955.9080531825</v>
      </c>
      <c r="H13" s="184">
        <f t="shared" ref="H13:Q13" si="7">IF(H$4="","",SUM(H8:H12))</f>
        <v>3325968.1686327336</v>
      </c>
      <c r="I13" s="184">
        <f t="shared" si="7"/>
        <v>4239741.8302733703</v>
      </c>
      <c r="J13" s="184">
        <f t="shared" si="7"/>
        <v>4800558.4195729345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x14ac:dyDescent="0.15">
      <c r="A14" s="10"/>
      <c r="B14" s="2" t="s">
        <v>63</v>
      </c>
      <c r="C14" s="190">
        <f>-SUM(C8+C11,C12)*C43</f>
        <v>-806594.13948882918</v>
      </c>
      <c r="E14" s="293"/>
      <c r="G14" s="190">
        <f>Data!C46</f>
        <v>-1096691</v>
      </c>
      <c r="H14" s="190">
        <f>Data!D46</f>
        <v>-1069207</v>
      </c>
      <c r="I14" s="190">
        <f>Data!E46</f>
        <v>-1351329</v>
      </c>
      <c r="J14" s="190">
        <f>Data!F46</f>
        <v>-1317349</v>
      </c>
      <c r="K14" s="190">
        <f>Data!G46</f>
        <v>-549381</v>
      </c>
      <c r="L14" s="190">
        <f>Data!H46</f>
        <v>-357403</v>
      </c>
      <c r="M14" s="190">
        <f>Data!I46</f>
        <v>-135058</v>
      </c>
      <c r="N14" s="190">
        <f>Data!J46</f>
        <v>-22369</v>
      </c>
      <c r="O14" s="190">
        <f>Data!K46</f>
        <v>-32435</v>
      </c>
      <c r="P14" s="190">
        <f>Data!L46</f>
        <v>-73768</v>
      </c>
      <c r="Q14" s="190" t="str">
        <f>Data!M46</f>
        <v/>
      </c>
    </row>
    <row r="15" spans="1:17" ht="15.75" customHeight="1" x14ac:dyDescent="0.15">
      <c r="A15" s="10"/>
      <c r="B15" s="40" t="s">
        <v>244</v>
      </c>
      <c r="C15" s="190">
        <f>-C4*C83</f>
        <v>0</v>
      </c>
      <c r="D15" s="60"/>
      <c r="E15" s="300"/>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x14ac:dyDescent="0.15">
      <c r="A16" s="10"/>
      <c r="B16" s="41" t="s">
        <v>155</v>
      </c>
      <c r="C16" s="193">
        <f>SUM(C13:C15)</f>
        <v>2419782.4184664874</v>
      </c>
      <c r="D16" s="61"/>
      <c r="E16" s="301"/>
      <c r="F16" s="61"/>
      <c r="G16" s="184">
        <f>IF(G$4="","",SUM(G13:G15))</f>
        <v>2532264.9080531825</v>
      </c>
      <c r="H16" s="184">
        <f t="shared" ref="H16:Q16" si="8">IF(H$4="","",SUM(H13:H15))</f>
        <v>2256709.1686327336</v>
      </c>
      <c r="I16" s="184">
        <f t="shared" si="8"/>
        <v>2888412.8302733703</v>
      </c>
      <c r="J16" s="184">
        <f t="shared" si="8"/>
        <v>3483202.4195729345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2419782.4184664874</v>
      </c>
      <c r="D19" s="27"/>
      <c r="E19" s="290"/>
      <c r="F19" s="27"/>
      <c r="G19" s="186">
        <f>IF(G$4="","",G16+G17)</f>
        <v>2532264.9080531825</v>
      </c>
      <c r="H19" s="186">
        <f t="shared" ref="H19:Q19" si="9">IF(H$4="","",H16+H17)</f>
        <v>2256709.1686327336</v>
      </c>
      <c r="I19" s="186">
        <f t="shared" si="9"/>
        <v>2888412.8302733703</v>
      </c>
      <c r="J19" s="186">
        <f t="shared" si="9"/>
        <v>3483202.4195729345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-13136432.380387567</v>
      </c>
      <c r="D23" s="58"/>
      <c r="E23" s="292"/>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x14ac:dyDescent="0.2">
      <c r="A24" s="10"/>
      <c r="B24" s="68" t="s">
        <v>62</v>
      </c>
      <c r="C24" s="190">
        <f>-C4*C29</f>
        <v>-8392695.4957102966</v>
      </c>
      <c r="D24" s="27"/>
      <c r="E24" s="290"/>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x14ac:dyDescent="0.15">
      <c r="A25" s="10"/>
      <c r="B25" s="70" t="s">
        <v>46</v>
      </c>
      <c r="C25" s="184">
        <f>C23+C24</f>
        <v>-21529127.876097865</v>
      </c>
      <c r="D25" s="9"/>
      <c r="E25" s="298"/>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0.50211018583667277</v>
      </c>
      <c r="D28" s="26"/>
      <c r="E28" s="291"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2">
      <c r="A29" s="10"/>
      <c r="B29" s="68" t="str">
        <f>B24</f>
        <v>Selling Expenses</v>
      </c>
      <c r="C29" s="63">
        <f>G29</f>
        <v>0.32079165583139668</v>
      </c>
      <c r="D29" s="26"/>
      <c r="E29" s="291"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15">
      <c r="A30" s="10"/>
      <c r="B30" s="70" t="s">
        <v>46</v>
      </c>
      <c r="C30" s="71">
        <f>ABS(C25/$C$4)</f>
        <v>0.82290184166806957</v>
      </c>
      <c r="E30" s="293"/>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G33</f>
        <v>-1427907</v>
      </c>
      <c r="E33" s="291" t="s">
        <v>334</v>
      </c>
      <c r="G33" s="190">
        <f>Data!C41</f>
        <v>-1427907</v>
      </c>
      <c r="H33" s="190">
        <f>Data!D41</f>
        <v>-1256152</v>
      </c>
      <c r="I33" s="190">
        <f>Data!E41</f>
        <v>-1113218</v>
      </c>
      <c r="J33" s="190">
        <f>Data!F41</f>
        <v>-1110675</v>
      </c>
      <c r="K33" s="190">
        <f>Data!G41</f>
        <v>-805058</v>
      </c>
      <c r="L33" s="190">
        <f>Data!H41</f>
        <v>-968264</v>
      </c>
      <c r="M33" s="190">
        <f>Data!I41</f>
        <v>-679873</v>
      </c>
      <c r="N33" s="190">
        <f>Data!J41</f>
        <v>-501066</v>
      </c>
      <c r="O33" s="190">
        <f>Data!K41</f>
        <v>-424129</v>
      </c>
      <c r="P33" s="190">
        <f>Data!L41</f>
        <v>-346149</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-1427907</v>
      </c>
      <c r="D35" s="58"/>
      <c r="E35" s="292"/>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5.4578490442953362E-2</v>
      </c>
      <c r="D38" s="27"/>
      <c r="E38" s="290"/>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5.4578490442953362E-2</v>
      </c>
      <c r="E40" s="293"/>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0.30235690055791753</v>
      </c>
      <c r="H43" s="6">
        <f t="shared" si="18"/>
        <v>0.32164796081623392</v>
      </c>
      <c r="I43" s="6">
        <f t="shared" si="18"/>
        <v>0.31886674136663112</v>
      </c>
      <c r="J43" s="6">
        <f t="shared" si="18"/>
        <v>0.27447454590703074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-254421</v>
      </c>
      <c r="E47" s="293"/>
      <c r="G47" s="190">
        <f>Data!C51</f>
        <v>-254421</v>
      </c>
      <c r="H47" s="190">
        <f>Data!D51</f>
        <v>-181446</v>
      </c>
      <c r="I47" s="190">
        <f>Data!E51</f>
        <v>-120561</v>
      </c>
      <c r="J47" s="190">
        <f>Data!F51</f>
        <v>-112458</v>
      </c>
      <c r="K47" s="190">
        <f>Data!G51</f>
        <v>0</v>
      </c>
      <c r="L47" s="190">
        <f>Data!H51</f>
        <v>0</v>
      </c>
      <c r="M47" s="190">
        <f>Data!I51</f>
        <v>0</v>
      </c>
      <c r="N47" s="190">
        <f>Data!J51</f>
        <v>0</v>
      </c>
      <c r="O47" s="190">
        <f>Data!K51</f>
        <v>0</v>
      </c>
      <c r="P47" s="190">
        <f>Data!L51</f>
        <v>0</v>
      </c>
      <c r="Q47" s="190" t="str">
        <f>Data!M51</f>
        <v/>
      </c>
    </row>
    <row r="48" spans="1:17" ht="15.75" customHeight="1" x14ac:dyDescent="0.15">
      <c r="A48" s="10"/>
      <c r="B48" s="2" t="s">
        <v>346</v>
      </c>
      <c r="C48" s="190">
        <f>BS!D75*C53</f>
        <v>95973.634053182453</v>
      </c>
      <c r="E48" s="293"/>
      <c r="G48" s="318">
        <f>IFERROR(IF(G$4="","",($C$48/$C$49)*G49),0)</f>
        <v>95973.634053182453</v>
      </c>
      <c r="H48" s="318">
        <f t="shared" ref="H48:Q48" si="19">IFERROR(IF(H$4="","",($C$48/$C$49)*H49),0)</f>
        <v>111844.89463273335</v>
      </c>
      <c r="I48" s="318">
        <f t="shared" si="19"/>
        <v>100045.40527337021</v>
      </c>
      <c r="J48" s="318">
        <f t="shared" si="19"/>
        <v>32420.665572934322</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343</v>
      </c>
      <c r="C49" s="314">
        <f>BS!$C$66*C53</f>
        <v>429525</v>
      </c>
      <c r="D49" s="315"/>
      <c r="E49" s="316"/>
      <c r="F49" s="315"/>
      <c r="G49" s="314">
        <f>Data!C52</f>
        <v>429525</v>
      </c>
      <c r="H49" s="314">
        <f>Data!D52</f>
        <v>500556</v>
      </c>
      <c r="I49" s="314">
        <f>Data!E52</f>
        <v>447748</v>
      </c>
      <c r="J49" s="314">
        <f>Data!F52</f>
        <v>145097</v>
      </c>
      <c r="K49" s="314">
        <f>Data!G52</f>
        <v>0</v>
      </c>
      <c r="L49" s="314">
        <f>Data!H52</f>
        <v>0</v>
      </c>
      <c r="M49" s="314">
        <f>Data!I52</f>
        <v>0</v>
      </c>
      <c r="N49" s="314">
        <f>Data!J52</f>
        <v>0</v>
      </c>
      <c r="O49" s="314">
        <f>Data!K52</f>
        <v>0</v>
      </c>
      <c r="P49" s="314">
        <f>Data!L52</f>
        <v>0</v>
      </c>
      <c r="Q49" s="314" t="str">
        <f>Data!M52</f>
        <v/>
      </c>
    </row>
    <row r="50" spans="1:17" ht="15.75" customHeight="1" x14ac:dyDescent="0.15">
      <c r="A50" s="10"/>
      <c r="B50" s="70" t="s">
        <v>68</v>
      </c>
      <c r="C50" s="184">
        <f>C47+C48</f>
        <v>-158447.36594681756</v>
      </c>
      <c r="E50" s="293"/>
      <c r="G50" s="184">
        <f>IF(G$4="","",(G47+G48))</f>
        <v>-158447.36594681756</v>
      </c>
      <c r="H50" s="184">
        <f t="shared" ref="H50:Q50" si="20">IF(H$4="","",(H47+H48))</f>
        <v>-69601.105367266646</v>
      </c>
      <c r="I50" s="184">
        <f t="shared" si="20"/>
        <v>-20515.594726629788</v>
      </c>
      <c r="J50" s="184">
        <f t="shared" si="20"/>
        <v>-80037.334427065682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2.3646804360316024E-2</v>
      </c>
      <c r="E53" s="290" t="s">
        <v>336</v>
      </c>
      <c r="G53" s="6">
        <f>IF(Normalized_FCF!G4="","",Normalized_FCF!G49/BS!$C$66)</f>
        <v>2.3646804360316024E-2</v>
      </c>
      <c r="H53" s="170"/>
      <c r="I53" s="170"/>
      <c r="J53" s="170"/>
      <c r="K53" s="170"/>
      <c r="L53" s="170"/>
      <c r="M53" s="170"/>
      <c r="N53" s="170"/>
      <c r="O53" s="170"/>
      <c r="P53" s="170"/>
      <c r="Q53" s="170"/>
    </row>
    <row r="54" spans="1:17" ht="15.75" customHeight="1" x14ac:dyDescent="0.15">
      <c r="A54" s="10"/>
      <c r="B54" s="8" t="s">
        <v>88</v>
      </c>
      <c r="C54" s="82">
        <f>G54</f>
        <v>0.13140650687425529</v>
      </c>
      <c r="E54" s="290" t="s">
        <v>337</v>
      </c>
      <c r="G54" s="23">
        <f>IFERROR(ABS(Normalized_FCF!G47/BS!$G$31),0)</f>
        <v>0.13140650687425529</v>
      </c>
      <c r="H54" s="170"/>
      <c r="I54" s="170"/>
      <c r="J54" s="170"/>
      <c r="K54" s="170"/>
      <c r="L54" s="170"/>
      <c r="M54" s="170"/>
      <c r="N54" s="170"/>
      <c r="O54" s="170"/>
      <c r="P54" s="170"/>
      <c r="Q54" s="170"/>
    </row>
    <row r="55" spans="1:17" ht="15.75" customHeight="1" x14ac:dyDescent="0.15">
      <c r="A55" s="10"/>
      <c r="B55" s="26" t="s">
        <v>91</v>
      </c>
      <c r="C55" s="42">
        <f>-C8/C47</f>
        <v>12.598860250931073</v>
      </c>
      <c r="E55" s="293"/>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179409.3</v>
      </c>
      <c r="E59" s="293"/>
      <c r="G59" s="190">
        <f>Data!C55</f>
        <v>256299</v>
      </c>
      <c r="H59" s="190">
        <f>Data!D55</f>
        <v>377972</v>
      </c>
      <c r="I59" s="190">
        <f>Data!E55</f>
        <v>201155</v>
      </c>
      <c r="J59" s="190">
        <f>Data!F55</f>
        <v>159222</v>
      </c>
      <c r="K59" s="190">
        <f>Data!G55</f>
        <v>83487</v>
      </c>
      <c r="L59" s="190">
        <f>Data!H55</f>
        <v>343469</v>
      </c>
      <c r="M59" s="190">
        <f>Data!I55</f>
        <v>63633</v>
      </c>
      <c r="N59" s="190">
        <f>Data!J55</f>
        <v>73806</v>
      </c>
      <c r="O59" s="190">
        <f>Data!K55</f>
        <v>9716</v>
      </c>
      <c r="P59" s="190">
        <f>Data!L55</f>
        <v>6948</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179409.3</v>
      </c>
      <c r="E61" s="293"/>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x14ac:dyDescent="0.15">
      <c r="A62" s="10"/>
      <c r="B62" s="40" t="s">
        <v>161</v>
      </c>
      <c r="C62" s="288">
        <v>0</v>
      </c>
      <c r="E62" s="291" t="s">
        <v>338</v>
      </c>
      <c r="G62" s="190">
        <f>Data!C58</f>
        <v>148917</v>
      </c>
      <c r="H62" s="190">
        <f>Data!D58</f>
        <v>543305</v>
      </c>
      <c r="I62" s="190">
        <f>Data!E58</f>
        <v>829486</v>
      </c>
      <c r="J62" s="190">
        <f>Data!F58</f>
        <v>416030</v>
      </c>
      <c r="K62" s="190">
        <f>Data!G58</f>
        <v>299810</v>
      </c>
      <c r="L62" s="190">
        <f>Data!H58</f>
        <v>120949</v>
      </c>
      <c r="M62" s="190">
        <f>Data!I58</f>
        <v>122233</v>
      </c>
      <c r="N62" s="190">
        <f>Data!J58</f>
        <v>61676</v>
      </c>
      <c r="O62" s="190">
        <f>Data!K58</f>
        <v>411830</v>
      </c>
      <c r="P62" s="190">
        <f>Data!L58</f>
        <v>2276</v>
      </c>
      <c r="Q62" s="190" t="str">
        <f>Data!M58</f>
        <v/>
      </c>
    </row>
    <row r="63" spans="1:17" ht="15.75" customHeight="1" x14ac:dyDescent="0.15">
      <c r="A63" s="10"/>
      <c r="B63" s="31" t="s">
        <v>196</v>
      </c>
      <c r="C63" s="184">
        <f>C61+C62</f>
        <v>179409.3</v>
      </c>
      <c r="E63" s="293"/>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G67*0.7</f>
        <v>0.10287596233352332</v>
      </c>
      <c r="E67" s="293"/>
      <c r="G67" s="23">
        <f>IFERROR(G59/BS!$C$68,0)</f>
        <v>0.1469656604764619</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9.0118627941173368E-3</v>
      </c>
      <c r="D69" s="9"/>
      <c r="E69" s="298"/>
      <c r="F69" s="9"/>
      <c r="G69" s="71">
        <f>G61/BS!C70</f>
        <v>1.287408970588191E-2</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0.82290184166806957</v>
      </c>
      <c r="D73" s="27"/>
      <c r="E73" s="290"/>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15">
      <c r="A74" s="10"/>
      <c r="B74" s="31" t="s">
        <v>48</v>
      </c>
      <c r="C74" s="78">
        <f>ABS(C6/C$4)</f>
        <v>0.17709815833193046</v>
      </c>
      <c r="D74" s="27"/>
      <c r="E74" s="290"/>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15">
      <c r="A75" s="10"/>
      <c r="B75" s="8" t="s">
        <v>45</v>
      </c>
      <c r="C75" s="77">
        <f>ABS(C7/C$4)</f>
        <v>5.4578490442953362E-2</v>
      </c>
      <c r="D75" s="27"/>
      <c r="E75" s="290"/>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15">
      <c r="A76" s="10"/>
      <c r="B76" s="29" t="s">
        <v>153</v>
      </c>
      <c r="C76" s="78">
        <f>ABS(C8/C$4)</f>
        <v>0.12251966788897709</v>
      </c>
      <c r="D76" s="27"/>
      <c r="E76" s="290"/>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91" t="s">
        <v>461</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15">
      <c r="A79" s="10"/>
      <c r="B79" s="31" t="s">
        <v>154</v>
      </c>
      <c r="C79" s="78">
        <f>ABS(C11/C$4)</f>
        <v>6.8575115644274815E-3</v>
      </c>
      <c r="D79" s="27"/>
      <c r="E79" s="290"/>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x14ac:dyDescent="0.15">
      <c r="A80" s="10"/>
      <c r="B80" s="2" t="s">
        <v>68</v>
      </c>
      <c r="C80" s="77">
        <f>ABS(C12/C$4)</f>
        <v>6.0562894138340359E-3</v>
      </c>
      <c r="D80" s="27"/>
      <c r="E80" s="290"/>
      <c r="F80" s="27"/>
      <c r="G80" s="6">
        <f t="shared" ref="G80:Q80" si="31">IF(G$4="","",ABS(G12/G$4))</f>
        <v>5.5255035064712436E-3</v>
      </c>
      <c r="H80" s="6">
        <f t="shared" si="31"/>
        <v>2.5219170630476372E-3</v>
      </c>
      <c r="I80" s="6">
        <f t="shared" si="31"/>
        <v>7.9507383689300692E-4</v>
      </c>
      <c r="J80" s="6">
        <f t="shared" si="31"/>
        <v>3.5458239434049965E-3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165</v>
      </c>
      <c r="C81" s="78">
        <f>C13/C4</f>
        <v>0.12332089003957052</v>
      </c>
      <c r="D81" s="27"/>
      <c r="E81" s="290"/>
      <c r="F81" s="27"/>
      <c r="G81" s="65">
        <f t="shared" ref="G81:Q81" si="32">IF(G$4="","",G13/G$4)</f>
        <v>0.12655185824614926</v>
      </c>
      <c r="H81" s="65">
        <f t="shared" si="32"/>
        <v>0.12051268196629786</v>
      </c>
      <c r="I81" s="65">
        <f t="shared" si="32"/>
        <v>0.16430953376436611</v>
      </c>
      <c r="J81" s="65">
        <f t="shared" si="32"/>
        <v>0.21267493611181496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x14ac:dyDescent="0.15">
      <c r="A82" s="10"/>
      <c r="B82" s="2" t="s">
        <v>63</v>
      </c>
      <c r="C82" s="77">
        <f>ABS(C14/C$4)</f>
        <v>3.0830222509892629E-2</v>
      </c>
      <c r="D82" s="27"/>
      <c r="E82" s="290"/>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15">
      <c r="A84" s="10"/>
      <c r="B84" s="41" t="s">
        <v>155</v>
      </c>
      <c r="C84" s="78">
        <f>ABS(C16/C$4)</f>
        <v>9.2490667529677884E-2</v>
      </c>
      <c r="D84" s="27"/>
      <c r="E84" s="290"/>
      <c r="F84" s="27"/>
      <c r="G84" s="65">
        <f t="shared" ref="G84:Q84" si="35">IF(G$4="","",ABS(G16/G$4))</f>
        <v>8.8307170934342524E-2</v>
      </c>
      <c r="H84" s="65">
        <f t="shared" si="35"/>
        <v>8.1769295597818509E-2</v>
      </c>
      <c r="I84" s="65">
        <f t="shared" si="35"/>
        <v>0.11193930773625188</v>
      </c>
      <c r="J84" s="65">
        <f t="shared" si="35"/>
        <v>0.15431326677055521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9.2490667529677884E-2</v>
      </c>
      <c r="D87" s="75"/>
      <c r="E87" s="290"/>
      <c r="F87" s="75"/>
      <c r="G87" s="65">
        <f t="shared" ref="G87:Q87" si="36">IF(G$4="","",ABS(G19/G$4))</f>
        <v>8.8307170934342524E-2</v>
      </c>
      <c r="H87" s="65">
        <f t="shared" si="36"/>
        <v>8.1769295597818509E-2</v>
      </c>
      <c r="I87" s="65">
        <f t="shared" si="36"/>
        <v>0.11193930773625188</v>
      </c>
      <c r="J87" s="65">
        <f t="shared" si="36"/>
        <v>0.15431326677055521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0.53959586373565716</v>
      </c>
      <c r="E90" s="293"/>
      <c r="G90" s="113">
        <f>Data!C65</f>
        <v>0.53959586373565716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(HKD)</v>
      </c>
      <c r="C91" s="74">
        <f>C90*Common_Shares/scaling_factor</f>
        <v>1394746.258670188</v>
      </c>
      <c r="E91" s="293"/>
      <c r="G91" s="74">
        <f t="shared" ref="G91:Q91" si="37">IF(G$4="","",G90*Common_Shares/scaling_factor)</f>
        <v>1394746.258670188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0.57639325256115148</v>
      </c>
      <c r="E92" s="293"/>
      <c r="G92" s="171">
        <f t="shared" ref="G92:Q92" si="38">IF(G$4="","",G90/(G19*scaling_factor/Common_Shares))</f>
        <v>0.55079002762885332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3.5313865427726257E-2</v>
      </c>
      <c r="E93" s="293"/>
      <c r="G93" s="23">
        <f t="shared" ref="G93:Q93" si="39">IF(G$4="","",G90/Market_Price)</f>
        <v>3.5313865427726257E-2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-8.7642097511117734E-2</v>
      </c>
      <c r="D96" s="27"/>
      <c r="E96" s="290"/>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x14ac:dyDescent="0.15">
      <c r="A97" s="10"/>
      <c r="B97" s="70" t="s">
        <v>165</v>
      </c>
      <c r="C97" s="77">
        <f>C13/G13-1</f>
        <v>-0.11093531040277549</v>
      </c>
      <c r="D97" s="27"/>
      <c r="E97" s="290"/>
      <c r="F97" s="27"/>
      <c r="G97" s="6">
        <f t="shared" ref="G97:Q97" si="41">IF(H5="","",G13/H13-1)</f>
        <v>9.1097606488820926E-2</v>
      </c>
      <c r="H97" s="6">
        <f t="shared" si="41"/>
        <v>-0.21552577921512694</v>
      </c>
      <c r="I97" s="6">
        <f t="shared" si="41"/>
        <v>-0.11682319852894429</v>
      </c>
      <c r="J97" s="6">
        <f t="shared" si="41"/>
        <v>1.4633399311450215</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35708406</v>
      </c>
      <c r="D101" s="26"/>
      <c r="E101" s="294"/>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x14ac:dyDescent="0.15">
      <c r="A102" s="10"/>
      <c r="B102" s="93" t="s">
        <v>211</v>
      </c>
      <c r="C102" s="199">
        <f>BS!C4</f>
        <v>1250023</v>
      </c>
      <c r="D102" s="89"/>
      <c r="E102" s="295"/>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2598226</v>
      </c>
      <c r="D103" s="89"/>
      <c r="E103" s="295"/>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9604717</v>
      </c>
      <c r="D104" s="26"/>
      <c r="E104" s="294"/>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x14ac:dyDescent="0.15">
      <c r="A105" s="10"/>
      <c r="B105" s="26" t="s">
        <v>30</v>
      </c>
      <c r="C105" s="198">
        <f>BS!G27</f>
        <v>26103689</v>
      </c>
      <c r="D105" s="26"/>
      <c r="E105" s="294"/>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4.7779279994405725E-2</v>
      </c>
      <c r="D108" s="26"/>
      <c r="E108" s="294"/>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9.9311266706888432E-2</v>
      </c>
      <c r="D109" s="26"/>
      <c r="E109" s="294"/>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v>
      </c>
      <c r="H113" s="323">
        <f>IF(H$4="","",Data!D$22/Data!D15)</f>
        <v>1.4709732968262565</v>
      </c>
      <c r="I113" s="323">
        <f>IF(I$4="","",Data!E$22/Data!E15)</f>
        <v>0.96304737643927274</v>
      </c>
      <c r="J113" s="323">
        <f>IF(J$4="","",Data!F$22/Data!F15)</f>
        <v>1.6269053137360105</v>
      </c>
      <c r="K113" s="323">
        <f>IF(K$4="","",Data!G$22/Data!G15)</f>
        <v>1.6269426147081751</v>
      </c>
      <c r="L113" s="323">
        <f>IF(L$4="","",Data!H$22/Data!H15)</f>
        <v>2.3369811952562229</v>
      </c>
      <c r="M113" s="323">
        <f>IF(M$4="","",Data!I$22/Data!I15)</f>
        <v>2.3374185439481701</v>
      </c>
      <c r="N113" s="323">
        <f>IF(N$4="","",Data!J$22/Data!J15)</f>
        <v>2.250085896477759</v>
      </c>
      <c r="O113" s="323">
        <f>IF(O$4="","",Data!K$22/Data!K15)</f>
        <v>1.4203453141742608</v>
      </c>
      <c r="P113" s="323">
        <f>IF(P$4="","",Data!L$22/Data!L15)</f>
        <v>11.152390228065904</v>
      </c>
      <c r="Q113" s="323" t="str">
        <f>IF(Q$4="","",Data!M$22/Data!M15)</f>
        <v/>
      </c>
    </row>
    <row r="114" spans="1:17" ht="15.75" customHeight="1" x14ac:dyDescent="0.15">
      <c r="A114" s="10"/>
      <c r="B114" s="2" t="s">
        <v>393</v>
      </c>
      <c r="C114" s="170"/>
      <c r="E114" s="293"/>
      <c r="G114" s="323">
        <f>IF(G$4="","",Data!C$22/G19)</f>
        <v>0</v>
      </c>
      <c r="H114" s="323">
        <f>IF(H$4="","",Data!D$22/H19)</f>
        <v>2.0773328106076989</v>
      </c>
      <c r="I114" s="323">
        <f>IF(I$4="","",Data!E$22/I19)</f>
        <v>1.3549323555766097</v>
      </c>
      <c r="J114" s="323">
        <f>IF(J$4="","",Data!F$22/J19)</f>
        <v>1.8733723206359201</v>
      </c>
      <c r="K114" s="323">
        <f>IF(K$4="","",Data!G$22/K19)</f>
        <v>1.9746300057985322</v>
      </c>
      <c r="L114" s="323">
        <f>IF(L$4="","",Data!H$22/L19)</f>
        <v>2.5408832696503736</v>
      </c>
      <c r="M114" s="323">
        <f>IF(M$4="","",Data!I$22/M19)</f>
        <v>2.8191980169637287</v>
      </c>
      <c r="N114" s="323">
        <f>IF(N$4="","",Data!J$22/N19)</f>
        <v>2.5561117493864103</v>
      </c>
      <c r="O114" s="323">
        <f>IF(O$4="","",Data!K$22/O19)</f>
        <v>4.3015244745575218</v>
      </c>
      <c r="P114" s="323">
        <f>IF(P$4="","",Data!L$22/P19)</f>
        <v>57.096567771960444</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0.12332089003957052</v>
      </c>
      <c r="E117" s="293"/>
      <c r="G117" s="23">
        <f t="shared" ref="G117:Q117" si="45">G81</f>
        <v>0.12655185824614926</v>
      </c>
      <c r="H117" s="23">
        <f t="shared" si="45"/>
        <v>0.12051268196629786</v>
      </c>
      <c r="I117" s="23">
        <f t="shared" si="45"/>
        <v>0.16430953376436611</v>
      </c>
      <c r="J117" s="23">
        <f t="shared" si="45"/>
        <v>0.21267493611181496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x14ac:dyDescent="0.15">
      <c r="B118" s="7" t="s">
        <v>84</v>
      </c>
      <c r="C118" s="42">
        <f>C4/C101</f>
        <v>0.73266920679685343</v>
      </c>
      <c r="E118" s="293"/>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x14ac:dyDescent="0.15">
      <c r="B119" s="7" t="s">
        <v>92</v>
      </c>
      <c r="C119" s="15">
        <f>C101/C105</f>
        <v>1.3679448142367923</v>
      </c>
      <c r="D119" s="11"/>
      <c r="E119" s="297"/>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x14ac:dyDescent="0.15">
      <c r="A120" s="10"/>
      <c r="B120" s="70" t="s">
        <v>223</v>
      </c>
      <c r="C120" s="102">
        <f>C8/C105</f>
        <v>0.12279546480584161</v>
      </c>
      <c r="D120" s="103"/>
      <c r="E120" s="296"/>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1.0145850899563691</v>
      </c>
      <c r="D124" s="27"/>
      <c r="E124" s="290"/>
      <c r="F124" s="27"/>
      <c r="G124" s="178">
        <f t="shared" ref="G124:Q124" si="49">IF(G$4="","",G16*$C$3/Common_Shares*Exchange_Rate)</f>
        <v>1.0617476182667274</v>
      </c>
      <c r="H124" s="178">
        <f t="shared" si="49"/>
        <v>0.9462104763591227</v>
      </c>
      <c r="I124" s="178">
        <f t="shared" si="49"/>
        <v>1.2110760739766175</v>
      </c>
      <c r="J124" s="178">
        <f t="shared" si="49"/>
        <v>1.460464053804593</v>
      </c>
      <c r="K124" s="178">
        <f t="shared" si="49"/>
        <v>0.58675948895785512</v>
      </c>
      <c r="L124" s="178">
        <f t="shared" si="49"/>
        <v>0.57813029034371066</v>
      </c>
      <c r="M124" s="178">
        <f t="shared" si="49"/>
        <v>0.24865020561564941</v>
      </c>
      <c r="N124" s="178">
        <f t="shared" si="49"/>
        <v>0.19013818287840256</v>
      </c>
      <c r="O124" s="178">
        <f t="shared" si="49"/>
        <v>9.7033244834824631E-2</v>
      </c>
      <c r="P124" s="178">
        <f t="shared" si="49"/>
        <v>5.0452893178643734E-3</v>
      </c>
      <c r="Q124" s="178" t="str">
        <f t="shared" si="49"/>
        <v/>
      </c>
    </row>
    <row r="125" spans="1:17" ht="15.75" customHeight="1" x14ac:dyDescent="0.15">
      <c r="A125" s="10"/>
      <c r="B125" s="27" t="s">
        <v>270</v>
      </c>
      <c r="C125" s="77">
        <f>C19*Exchange_Rate*$C$3/(Market_Price*Common_Shares)</f>
        <v>6.6399547772013678E-2</v>
      </c>
      <c r="D125" s="27"/>
      <c r="E125" s="290"/>
      <c r="F125" s="27"/>
      <c r="G125" s="77">
        <f t="shared" ref="G125" si="50">IF(G$4="","",G124/Market_Price)</f>
        <v>6.9486100671906248E-2</v>
      </c>
      <c r="H125" s="77">
        <f t="shared" ref="H125" si="51">IF(H$4="","",H124/Market_Price)</f>
        <v>6.1924769395230547E-2</v>
      </c>
      <c r="I125" s="77">
        <f t="shared" ref="I125" si="52">IF(I$4="","",I124/Market_Price)</f>
        <v>7.9258905364961885E-2</v>
      </c>
      <c r="J125" s="77">
        <f t="shared" ref="J125" si="53">IF(J$4="","",J124/Market_Price)</f>
        <v>9.5580108233284888E-2</v>
      </c>
      <c r="K125" s="77">
        <f t="shared" ref="K125" si="54">IF(K$4="","",K124/Market_Price)</f>
        <v>3.8400490115042873E-2</v>
      </c>
      <c r="L125" s="77">
        <f t="shared" ref="L125" si="55">IF(L$4="","",L124/Market_Price)</f>
        <v>3.7835751985844941E-2</v>
      </c>
      <c r="M125" s="77">
        <f t="shared" ref="M125" si="56">IF(M$4="","",M124/Market_Price)</f>
        <v>1.6272919215683863E-2</v>
      </c>
      <c r="N125" s="77">
        <f t="shared" ref="N125" si="57">IF(N$4="","",N124/Market_Price)</f>
        <v>1.2443598355916399E-2</v>
      </c>
      <c r="O125" s="77">
        <f t="shared" ref="O125" si="58">IF(O$4="","",O124/Market_Price)</f>
        <v>6.3503432483523973E-3</v>
      </c>
      <c r="P125" s="77">
        <f t="shared" ref="P125" si="59">IF(P$4="","",P124/Market_Price)</f>
        <v>3.3018909148327055E-4</v>
      </c>
      <c r="Q125" s="77" t="str">
        <f t="shared" ref="Q125" si="60">IF(Q$4="","",Q124/Market_Price)</f>
        <v/>
      </c>
    </row>
    <row r="126" spans="1:17" ht="15.75" customHeight="1" x14ac:dyDescent="0.15">
      <c r="B126" s="2" t="s">
        <v>395</v>
      </c>
      <c r="C126" s="170"/>
      <c r="G126" s="23">
        <f>IF(G$4="","",(Data!C47*$C$3)/(Market_Price*Common_Shares))</f>
        <v>7.6284686289976797E-2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2419782.4184664874</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30247280.230831094</v>
      </c>
      <c r="D6" t="str">
        <f>Reporting_currency</f>
        <v>CNY</v>
      </c>
      <c r="E6" s="354" t="s">
        <v>250</v>
      </c>
      <c r="F6" s="354"/>
      <c r="H6" s="121"/>
    </row>
    <row r="7" spans="2:8" x14ac:dyDescent="0.15">
      <c r="B7" s="149" t="s">
        <v>225</v>
      </c>
      <c r="C7" s="224">
        <f>BS!G31</f>
        <v>1936137</v>
      </c>
      <c r="D7" t="str">
        <f>Reporting_currency</f>
        <v>CNY</v>
      </c>
      <c r="E7" s="354"/>
      <c r="F7" s="354"/>
      <c r="H7" s="121"/>
    </row>
    <row r="8" spans="2:8" x14ac:dyDescent="0.15">
      <c r="B8" s="149" t="s">
        <v>226</v>
      </c>
      <c r="C8" s="115">
        <f>BS!D66</f>
        <v>14105557.81087199</v>
      </c>
      <c r="D8" t="str">
        <f>Reporting_currency</f>
        <v>CNY</v>
      </c>
      <c r="E8" s="354"/>
      <c r="F8" s="354"/>
      <c r="H8" s="121"/>
    </row>
    <row r="9" spans="2:8" x14ac:dyDescent="0.15">
      <c r="B9" s="225" t="s">
        <v>191</v>
      </c>
      <c r="C9" s="227">
        <f>BS!H42</f>
        <v>561572.19999999995</v>
      </c>
      <c r="D9" t="str">
        <f>Reporting_currency</f>
        <v>CNY</v>
      </c>
      <c r="E9" s="354"/>
      <c r="F9" s="354"/>
      <c r="H9" s="121"/>
    </row>
    <row r="10" spans="2:8" x14ac:dyDescent="0.15">
      <c r="B10" s="150" t="s">
        <v>228</v>
      </c>
      <c r="C10" s="230">
        <f>C6-C7+C8+C9</f>
        <v>42978273.241703086</v>
      </c>
      <c r="D10" t="str">
        <f>Reporting_currency</f>
        <v>CNY</v>
      </c>
      <c r="H10" s="121"/>
    </row>
    <row r="11" spans="2:8" ht="14" thickBot="1" x14ac:dyDescent="0.2">
      <c r="B11" s="228" t="s">
        <v>167</v>
      </c>
      <c r="C11" s="229">
        <f>Exchange_Rate</f>
        <v>1.0837740600000001</v>
      </c>
      <c r="D11" t="str">
        <f>Thesis!C15</f>
        <v>CNY/HKD</v>
      </c>
      <c r="H11" s="121"/>
    </row>
    <row r="12" spans="2:8" ht="14" thickTop="1" x14ac:dyDescent="0.15">
      <c r="B12" s="150" t="s">
        <v>103</v>
      </c>
      <c r="C12" s="112">
        <f>(C10*scaling_factor)/Common_Shares*Exchange_Rate</f>
        <v>18.020262851044695</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5.4247061515052201E-2</v>
      </c>
      <c r="H16" s="121"/>
    </row>
    <row r="17" spans="2:8" ht="13.25" customHeight="1" x14ac:dyDescent="0.15">
      <c r="B17" s="119" t="s">
        <v>135</v>
      </c>
      <c r="C17" s="163">
        <f>Scenarios!C64</f>
        <v>20</v>
      </c>
      <c r="H17" s="121"/>
    </row>
    <row r="18" spans="2:8" ht="13.25" customHeight="1" x14ac:dyDescent="0.15">
      <c r="B18" s="154" t="s">
        <v>107</v>
      </c>
      <c r="C18" s="141">
        <f>(F52-C7+C8+C9)*Exchange_Rate/Common_Shares*scaling_factor</f>
        <v>24.108879276748858</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2551048.5041740807</v>
      </c>
      <c r="D21" s="139">
        <f>IF($C$17&lt;B21,0,DCF!$C$16)</f>
        <v>5.4247061515052201E-2</v>
      </c>
      <c r="E21" s="125">
        <f t="shared" ref="E21:E50" si="0">IF($C$17&lt;B21,0,1/(1+Equity_Cost)^B21)</f>
        <v>0.92592592592592582</v>
      </c>
      <c r="F21" s="126">
        <f t="shared" ref="F21:F51" si="1">C21*E21</f>
        <v>2362081.9483093335</v>
      </c>
      <c r="H21" s="121"/>
    </row>
    <row r="22" spans="2:8" x14ac:dyDescent="0.15">
      <c r="B22" s="123">
        <v>2</v>
      </c>
      <c r="C22" s="124">
        <f t="shared" ref="C22:C50" si="2">IF(ROW()-ROW($C$21)&lt;$C$17, $C$21*(1+D22)^(ROW()-ROW($C$21)), 0)</f>
        <v>2689435.3893078938</v>
      </c>
      <c r="D22" s="139">
        <f>IF($C$17&lt;B22,0,DCF!$C$16)</f>
        <v>5.4247061515052201E-2</v>
      </c>
      <c r="E22" s="125">
        <f t="shared" si="0"/>
        <v>0.85733882030178321</v>
      </c>
      <c r="F22" s="126">
        <f t="shared" si="1"/>
        <v>2305757.3639470967</v>
      </c>
      <c r="H22" s="121"/>
    </row>
    <row r="23" spans="2:8" x14ac:dyDescent="0.15">
      <c r="B23" s="123">
        <v>3</v>
      </c>
      <c r="C23" s="124">
        <f t="shared" si="2"/>
        <v>2835329.356312437</v>
      </c>
      <c r="D23" s="139">
        <f>IF($C$17&lt;B23,0,DCF!$C$16)</f>
        <v>5.4247061515052201E-2</v>
      </c>
      <c r="E23" s="125">
        <f t="shared" si="0"/>
        <v>0.79383224102016958</v>
      </c>
      <c r="F23" s="126">
        <f t="shared" si="1"/>
        <v>2250775.8569517769</v>
      </c>
      <c r="H23" s="121"/>
    </row>
    <row r="24" spans="2:8" x14ac:dyDescent="0.15">
      <c r="B24" s="123">
        <v>4</v>
      </c>
      <c r="C24" s="124">
        <f t="shared" si="2"/>
        <v>2989137.6423197505</v>
      </c>
      <c r="D24" s="139">
        <f>IF($C$17&lt;B24,0,DCF!$C$16)</f>
        <v>5.4247061515052201E-2</v>
      </c>
      <c r="E24" s="125">
        <f t="shared" si="0"/>
        <v>0.73502985279645328</v>
      </c>
      <c r="F24" s="126">
        <f t="shared" si="1"/>
        <v>2197105.4012226234</v>
      </c>
      <c r="H24" s="121"/>
    </row>
    <row r="25" spans="2:8" x14ac:dyDescent="0.15">
      <c r="B25" s="123">
        <v>5</v>
      </c>
      <c r="C25" s="124">
        <f t="shared" si="2"/>
        <v>3151289.5758796278</v>
      </c>
      <c r="D25" s="139">
        <f>IF($C$17&lt;B25,0,DCF!$C$16)</f>
        <v>5.4247061515052201E-2</v>
      </c>
      <c r="E25" s="125">
        <f t="shared" si="0"/>
        <v>0.68058319703375303</v>
      </c>
      <c r="F25" s="126">
        <f t="shared" si="1"/>
        <v>2144714.7343312968</v>
      </c>
      <c r="H25" s="121"/>
    </row>
    <row r="26" spans="2:8" x14ac:dyDescent="0.15">
      <c r="B26" s="123">
        <v>6</v>
      </c>
      <c r="C26" s="124">
        <f t="shared" si="2"/>
        <v>3322237.7753541125</v>
      </c>
      <c r="D26" s="139">
        <f>IF($C$17&lt;B26,0,DCF!$C$16)</f>
        <v>5.4247061515052201E-2</v>
      </c>
      <c r="E26" s="125">
        <f t="shared" si="0"/>
        <v>0.63016962688310452</v>
      </c>
      <c r="F26" s="126">
        <f t="shared" si="1"/>
        <v>2093573.3393118563</v>
      </c>
      <c r="H26" s="121"/>
    </row>
    <row r="27" spans="2:8" x14ac:dyDescent="0.15">
      <c r="B27" s="123">
        <v>7</v>
      </c>
      <c r="C27" s="124">
        <f t="shared" si="2"/>
        <v>3502459.4123213771</v>
      </c>
      <c r="D27" s="139">
        <f>IF($C$17&lt;B27,0,DCF!$C$16)</f>
        <v>5.4247061515052201E-2</v>
      </c>
      <c r="E27" s="125">
        <f t="shared" si="0"/>
        <v>0.58349039526213387</v>
      </c>
      <c r="F27" s="126">
        <f t="shared" si="1"/>
        <v>2043651.4268849813</v>
      </c>
      <c r="H27" s="121"/>
    </row>
    <row r="28" spans="2:8" x14ac:dyDescent="0.15">
      <c r="B28" s="123">
        <v>8</v>
      </c>
      <c r="C28" s="124">
        <f t="shared" si="2"/>
        <v>3692457.5435155476</v>
      </c>
      <c r="D28" s="139">
        <f>IF($C$17&lt;B28,0,DCF!$C$16)</f>
        <v>5.4247061515052201E-2</v>
      </c>
      <c r="E28" s="125">
        <f t="shared" si="0"/>
        <v>0.54026888450197574</v>
      </c>
      <c r="F28" s="126">
        <f t="shared" si="1"/>
        <v>1994919.9181060505</v>
      </c>
      <c r="H28" s="121"/>
    </row>
    <row r="29" spans="2:8" x14ac:dyDescent="0.15">
      <c r="B29" s="123">
        <v>9</v>
      </c>
      <c r="C29" s="124">
        <f t="shared" si="2"/>
        <v>3892762.5150203537</v>
      </c>
      <c r="D29" s="139">
        <f>IF($C$17&lt;B29,0,DCF!$C$16)</f>
        <v>5.4247061515052201E-2</v>
      </c>
      <c r="E29" s="125">
        <f t="shared" si="0"/>
        <v>0.50024896713145905</v>
      </c>
      <c r="F29" s="126">
        <f t="shared" si="1"/>
        <v>1947350.4274269929</v>
      </c>
      <c r="H29" s="121"/>
    </row>
    <row r="30" spans="2:8" x14ac:dyDescent="0.15">
      <c r="B30" s="123">
        <v>10</v>
      </c>
      <c r="C30" s="124">
        <f t="shared" si="2"/>
        <v>4103933.4426361518</v>
      </c>
      <c r="D30" s="139">
        <f>IF($C$17&lt;B30,0,DCF!$C$16)</f>
        <v>5.4247061515052201E-2</v>
      </c>
      <c r="E30" s="125">
        <f t="shared" si="0"/>
        <v>0.46319348808468425</v>
      </c>
      <c r="F30" s="126">
        <f t="shared" si="1"/>
        <v>1900915.2461620255</v>
      </c>
      <c r="H30" s="121"/>
    </row>
    <row r="31" spans="2:8" x14ac:dyDescent="0.15">
      <c r="B31" s="123">
        <v>11</v>
      </c>
      <c r="C31" s="124">
        <f t="shared" si="2"/>
        <v>4326559.7725525144</v>
      </c>
      <c r="D31" s="139">
        <f>IF($C$17&lt;B31,0,DCF!$C$16)</f>
        <v>5.4247061515052201E-2</v>
      </c>
      <c r="E31" s="125">
        <f t="shared" si="0"/>
        <v>0.42888285933767062</v>
      </c>
      <c r="F31" s="126">
        <f t="shared" si="1"/>
        <v>1855587.3263476642</v>
      </c>
      <c r="H31" s="121"/>
    </row>
    <row r="32" spans="2:8" x14ac:dyDescent="0.15">
      <c r="B32" s="123">
        <v>12</v>
      </c>
      <c r="C32" s="124">
        <f t="shared" si="2"/>
        <v>4561262.92668272</v>
      </c>
      <c r="D32" s="139">
        <f>IF($C$17&lt;B32,0,DCF!$C$16)</f>
        <v>5.4247061515052201E-2</v>
      </c>
      <c r="E32" s="125">
        <f t="shared" si="0"/>
        <v>0.39711375864599124</v>
      </c>
      <c r="F32" s="126">
        <f t="shared" si="1"/>
        <v>1811340.2649875893</v>
      </c>
      <c r="H32" s="121"/>
    </row>
    <row r="33" spans="2:8" x14ac:dyDescent="0.15">
      <c r="B33" s="123">
        <v>13</v>
      </c>
      <c r="C33" s="124">
        <f t="shared" si="2"/>
        <v>4808698.0372528043</v>
      </c>
      <c r="D33" s="139">
        <f>IF($C$17&lt;B33,0,DCF!$C$16)</f>
        <v>5.4247061515052201E-2</v>
      </c>
      <c r="E33" s="125">
        <f t="shared" si="0"/>
        <v>0.36769792467221413</v>
      </c>
      <c r="F33" s="126">
        <f t="shared" si="1"/>
        <v>1768148.2886732055</v>
      </c>
      <c r="H33" s="121"/>
    </row>
    <row r="34" spans="2:8" x14ac:dyDescent="0.15">
      <c r="B34" s="123">
        <v>14</v>
      </c>
      <c r="C34" s="124">
        <f t="shared" si="2"/>
        <v>5069555.7754869675</v>
      </c>
      <c r="D34" s="139">
        <f>IF($C$17&lt;B34,0,DCF!$C$16)</f>
        <v>5.4247061515052201E-2</v>
      </c>
      <c r="E34" s="125">
        <f t="shared" si="0"/>
        <v>0.34046104136316119</v>
      </c>
      <c r="F34" s="126">
        <f t="shared" si="1"/>
        <v>1725986.2385709211</v>
      </c>
      <c r="H34" s="121"/>
    </row>
    <row r="35" spans="2:8" x14ac:dyDescent="0.15">
      <c r="B35" s="123">
        <v>15</v>
      </c>
      <c r="C35" s="124">
        <f t="shared" si="2"/>
        <v>5344564.2794937976</v>
      </c>
      <c r="D35" s="139">
        <f>IF($C$17&lt;B35,0,DCF!$C$16)</f>
        <v>5.4247061515052201E-2</v>
      </c>
      <c r="E35" s="125">
        <f t="shared" si="0"/>
        <v>0.31524170496588994</v>
      </c>
      <c r="F35" s="126">
        <f t="shared" si="1"/>
        <v>1684829.5557674179</v>
      </c>
      <c r="H35" s="121"/>
    </row>
    <row r="36" spans="2:8" x14ac:dyDescent="0.15">
      <c r="B36" s="123">
        <v>16</v>
      </c>
      <c r="C36" s="124">
        <f t="shared" si="2"/>
        <v>5634491.1867346475</v>
      </c>
      <c r="D36" s="139">
        <f>IF($C$17&lt;B36,0,DCF!$C$16)</f>
        <v>5.4247061515052201E-2</v>
      </c>
      <c r="E36" s="125">
        <f t="shared" si="0"/>
        <v>0.29189046756100923</v>
      </c>
      <c r="F36" s="126">
        <f t="shared" si="1"/>
        <v>1644654.266964362</v>
      </c>
      <c r="H36" s="121"/>
    </row>
    <row r="37" spans="2:8" x14ac:dyDescent="0.15">
      <c r="B37" s="123">
        <v>17</v>
      </c>
      <c r="C37" s="124">
        <f t="shared" si="2"/>
        <v>5940145.7767474595</v>
      </c>
      <c r="D37" s="139">
        <f>IF($C$17&lt;B37,0,DCF!$C$16)</f>
        <v>5.4247061515052201E-2</v>
      </c>
      <c r="E37" s="125">
        <f t="shared" si="0"/>
        <v>0.27026895144537894</v>
      </c>
      <c r="F37" s="126">
        <f t="shared" si="1"/>
        <v>1605436.9705142318</v>
      </c>
      <c r="H37" s="121"/>
    </row>
    <row r="38" spans="2:8" x14ac:dyDescent="0.15">
      <c r="B38" s="123">
        <v>18</v>
      </c>
      <c r="C38" s="124">
        <f t="shared" si="2"/>
        <v>6262381.230107056</v>
      </c>
      <c r="D38" s="139">
        <f>IF($C$17&lt;B38,0,DCF!$C$16)</f>
        <v>5.4247061515052201E-2</v>
      </c>
      <c r="E38" s="125">
        <f t="shared" si="0"/>
        <v>0.25024902911609154</v>
      </c>
      <c r="F38" s="126">
        <f t="shared" si="1"/>
        <v>1567154.8227891258</v>
      </c>
      <c r="H38" s="121"/>
    </row>
    <row r="39" spans="2:8" x14ac:dyDescent="0.15">
      <c r="B39" s="123">
        <v>19</v>
      </c>
      <c r="C39" s="124">
        <f t="shared" si="2"/>
        <v>6602097.0099273808</v>
      </c>
      <c r="D39" s="139">
        <f>IF($C$17&lt;B39,0,DCF!$C$16)</f>
        <v>5.4247061515052201E-2</v>
      </c>
      <c r="E39" s="125">
        <f t="shared" si="0"/>
        <v>0.23171206399638106</v>
      </c>
      <c r="F39" s="126">
        <f t="shared" si="1"/>
        <v>1529785.5248746092</v>
      </c>
      <c r="H39" s="121"/>
    </row>
    <row r="40" spans="2:8" x14ac:dyDescent="0.15">
      <c r="B40" s="123">
        <v>20</v>
      </c>
      <c r="C40" s="124">
        <f t="shared" si="2"/>
        <v>6960241.3725532526</v>
      </c>
      <c r="D40" s="139">
        <f>IF($C$17&lt;B40,0,DCF!$C$16)</f>
        <v>5.4247061515052201E-2</v>
      </c>
      <c r="E40" s="125">
        <f t="shared" si="0"/>
        <v>0.21454820740405653</v>
      </c>
      <c r="F40" s="126">
        <f t="shared" si="1"/>
        <v>1493307.3095808504</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31888106.302176006</v>
      </c>
      <c r="D51" s="140">
        <f>Terminal_Growth</f>
        <v>0</v>
      </c>
      <c r="E51" s="125">
        <f>1/(1+Equity_Cost)^C17</f>
        <v>0.21454820740405653</v>
      </c>
      <c r="F51" s="126">
        <f t="shared" si="1"/>
        <v>6841536.0446418598</v>
      </c>
      <c r="H51" s="121"/>
    </row>
    <row r="52" spans="1:8" x14ac:dyDescent="0.15">
      <c r="C52" s="115"/>
      <c r="E52" s="128" t="s">
        <v>101</v>
      </c>
      <c r="F52" s="138">
        <f>SUM(F21:F51)</f>
        <v>44768612.276365869</v>
      </c>
      <c r="H52" s="121"/>
    </row>
    <row r="53" spans="1:8" x14ac:dyDescent="0.15">
      <c r="C53" s="115"/>
      <c r="H53" s="121"/>
    </row>
    <row r="54" spans="1:8" x14ac:dyDescent="0.15">
      <c r="B54" s="120" t="s">
        <v>130</v>
      </c>
      <c r="C54" s="137"/>
      <c r="D54" s="137"/>
      <c r="E54" s="118"/>
      <c r="F54" s="118"/>
      <c r="H54" s="121"/>
    </row>
    <row r="55" spans="1:8" x14ac:dyDescent="0.15">
      <c r="A55" s="134">
        <f>F52</f>
        <v>44768612.276365869</v>
      </c>
      <c r="B55" s="132">
        <f>C78</f>
        <v>0</v>
      </c>
      <c r="C55" s="132">
        <f>C77</f>
        <v>0.02</v>
      </c>
      <c r="D55" s="132">
        <f>C76</f>
        <v>0.05</v>
      </c>
      <c r="E55" s="132">
        <f>C75</f>
        <v>0.06</v>
      </c>
      <c r="F55" s="132">
        <f>C74</f>
        <v>0.1</v>
      </c>
      <c r="H55" s="121"/>
    </row>
    <row r="56" spans="1:8" x14ac:dyDescent="0.15">
      <c r="A56" s="144">
        <v>5</v>
      </c>
      <c r="B56" s="124">
        <f t="dataTable" ref="B56:F61" dt2D="1" dtr="1" r1="C16" r2="C17"/>
        <v>30247280.230831087</v>
      </c>
      <c r="C56" s="124">
        <v>31223215.82747788</v>
      </c>
      <c r="D56" s="124">
        <v>32742322.593383193</v>
      </c>
      <c r="E56" s="124">
        <v>33264056.212638572</v>
      </c>
      <c r="F56" s="124">
        <v>35432272.43254821</v>
      </c>
      <c r="H56" s="121"/>
    </row>
    <row r="57" spans="1:8" x14ac:dyDescent="0.15">
      <c r="A57" s="144">
        <v>10</v>
      </c>
      <c r="B57" s="124">
        <v>30247280.230831083</v>
      </c>
      <c r="C57" s="124">
        <v>32200050.106587049</v>
      </c>
      <c r="D57" s="124">
        <v>35503401.160959736</v>
      </c>
      <c r="E57" s="124">
        <v>36716174.54741928</v>
      </c>
      <c r="F57" s="124">
        <v>42215921.913720168</v>
      </c>
      <c r="H57" s="121"/>
    </row>
    <row r="58" spans="1:8" x14ac:dyDescent="0.15">
      <c r="A58" s="144">
        <v>15</v>
      </c>
      <c r="B58" s="124">
        <v>30247280.230831072</v>
      </c>
      <c r="C58" s="124">
        <v>33409153.377749823</v>
      </c>
      <c r="D58" s="124">
        <v>39199935.919520751</v>
      </c>
      <c r="E58" s="124">
        <v>41464696.503580414</v>
      </c>
      <c r="F58" s="124">
        <v>52656714.293823779</v>
      </c>
      <c r="H58" s="121"/>
    </row>
    <row r="59" spans="1:8" x14ac:dyDescent="0.15">
      <c r="A59" s="145">
        <v>20</v>
      </c>
      <c r="B59" s="124">
        <v>30247280.230831075</v>
      </c>
      <c r="C59" s="124">
        <v>34641035.710143216</v>
      </c>
      <c r="D59" s="124">
        <v>43294349.944900468</v>
      </c>
      <c r="E59" s="124">
        <v>46881469.340571389</v>
      </c>
      <c r="F59" s="124">
        <v>66146097.434999272</v>
      </c>
      <c r="H59" s="121"/>
    </row>
    <row r="60" spans="1:8" x14ac:dyDescent="0.15">
      <c r="A60" s="145">
        <v>25</v>
      </c>
      <c r="B60" s="124">
        <v>30247280.230831072</v>
      </c>
      <c r="C60" s="124">
        <v>35786754.63643153</v>
      </c>
      <c r="D60" s="124">
        <v>47452148.877923906</v>
      </c>
      <c r="E60" s="124">
        <v>52558082.577313013</v>
      </c>
      <c r="F60" s="124">
        <v>82323670.800825238</v>
      </c>
      <c r="H60" s="121"/>
    </row>
    <row r="61" spans="1:8" x14ac:dyDescent="0.15">
      <c r="A61" s="145">
        <v>30</v>
      </c>
      <c r="B61" s="124">
        <v>30247280.230831072</v>
      </c>
      <c r="C61" s="124">
        <v>36797438.108291812</v>
      </c>
      <c r="D61" s="124">
        <v>51472931.225817151</v>
      </c>
      <c r="E61" s="124">
        <v>58233974.427626796</v>
      </c>
      <c r="F61" s="124">
        <v>101003088.19476216</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0.05</v>
      </c>
      <c r="E64" s="133">
        <f>E55</f>
        <v>0.06</v>
      </c>
      <c r="F64" s="133">
        <f>F55</f>
        <v>0.1</v>
      </c>
      <c r="H64" s="121"/>
    </row>
    <row r="65" spans="1:8" x14ac:dyDescent="0.15">
      <c r="A65" s="144">
        <v>0</v>
      </c>
      <c r="B65" s="125">
        <f>C12</f>
        <v>18.020262851044695</v>
      </c>
      <c r="C65" s="125">
        <f>C12</f>
        <v>18.020262851044695</v>
      </c>
      <c r="D65" s="125">
        <f>C12</f>
        <v>18.020262851044695</v>
      </c>
      <c r="E65" s="142">
        <f>C12</f>
        <v>18.020262851044695</v>
      </c>
      <c r="F65" s="125">
        <f>C12</f>
        <v>18.020262851044695</v>
      </c>
      <c r="H65" s="121"/>
    </row>
    <row r="66" spans="1:8" x14ac:dyDescent="0.15">
      <c r="A66" s="144">
        <f t="shared" ref="A66:A71" si="3">A56</f>
        <v>5</v>
      </c>
      <c r="B66" s="125">
        <f t="shared" ref="B66:F71" si="4">(B56-$C$7+$C$8+$C$9)/Common_Shares*$C$3*Exchange_Rate</f>
        <v>18.020262851044691</v>
      </c>
      <c r="C66" s="125">
        <f t="shared" si="4"/>
        <v>18.429460677080229</v>
      </c>
      <c r="D66" s="125">
        <f t="shared" si="4"/>
        <v>19.066403512509272</v>
      </c>
      <c r="E66" s="125">
        <f t="shared" si="4"/>
        <v>19.285160020113349</v>
      </c>
      <c r="F66" s="125">
        <f t="shared" si="4"/>
        <v>20.1942664884197</v>
      </c>
      <c r="H66" s="121"/>
    </row>
    <row r="67" spans="1:8" x14ac:dyDescent="0.15">
      <c r="A67" s="144">
        <f t="shared" si="3"/>
        <v>10</v>
      </c>
      <c r="B67" s="125">
        <f t="shared" si="4"/>
        <v>18.020262851044691</v>
      </c>
      <c r="C67" s="125">
        <f t="shared" si="4"/>
        <v>18.839035309650104</v>
      </c>
      <c r="D67" s="125">
        <f t="shared" si="4"/>
        <v>20.224089891864224</v>
      </c>
      <c r="E67" s="125">
        <f t="shared" si="4"/>
        <v>20.732590898404116</v>
      </c>
      <c r="F67" s="125">
        <f t="shared" si="4"/>
        <v>23.038567515885259</v>
      </c>
      <c r="H67" s="121"/>
    </row>
    <row r="68" spans="1:8" x14ac:dyDescent="0.15">
      <c r="A68" s="144">
        <f t="shared" si="3"/>
        <v>15</v>
      </c>
      <c r="B68" s="125">
        <f t="shared" si="4"/>
        <v>18.020262851044684</v>
      </c>
      <c r="C68" s="125">
        <f t="shared" si="4"/>
        <v>19.345997481859229</v>
      </c>
      <c r="D68" s="125">
        <f t="shared" si="4"/>
        <v>21.774001578931642</v>
      </c>
      <c r="E68" s="125">
        <f t="shared" si="4"/>
        <v>22.723587915030411</v>
      </c>
      <c r="F68" s="125">
        <f t="shared" si="4"/>
        <v>27.416263706808262</v>
      </c>
      <c r="H68" s="121"/>
    </row>
    <row r="69" spans="1:8" x14ac:dyDescent="0.15">
      <c r="A69" s="145">
        <f t="shared" si="3"/>
        <v>20</v>
      </c>
      <c r="B69" s="125">
        <f t="shared" si="4"/>
        <v>18.020262851044688</v>
      </c>
      <c r="C69" s="125">
        <f t="shared" si="4"/>
        <v>19.862510635062108</v>
      </c>
      <c r="D69" s="125">
        <f t="shared" si="4"/>
        <v>23.490739162673215</v>
      </c>
      <c r="E69" s="125">
        <f t="shared" si="4"/>
        <v>24.994774330036517</v>
      </c>
      <c r="F69" s="125">
        <f t="shared" si="4"/>
        <v>33.072196613544115</v>
      </c>
      <c r="H69" s="121"/>
    </row>
    <row r="70" spans="1:8" x14ac:dyDescent="0.15">
      <c r="A70" s="145">
        <f t="shared" si="3"/>
        <v>25</v>
      </c>
      <c r="B70" s="125">
        <f t="shared" si="4"/>
        <v>18.020262851044684</v>
      </c>
      <c r="C70" s="125">
        <f t="shared" si="4"/>
        <v>20.342896528860614</v>
      </c>
      <c r="D70" s="125">
        <f t="shared" si="4"/>
        <v>25.234053260787658</v>
      </c>
      <c r="E70" s="125">
        <f t="shared" si="4"/>
        <v>27.374908637771913</v>
      </c>
      <c r="F70" s="125">
        <f t="shared" si="4"/>
        <v>39.855254711405735</v>
      </c>
    </row>
    <row r="71" spans="1:8" x14ac:dyDescent="0.15">
      <c r="A71" s="145">
        <f t="shared" si="3"/>
        <v>30</v>
      </c>
      <c r="B71" s="125">
        <f t="shared" si="4"/>
        <v>18.020262851044684</v>
      </c>
      <c r="C71" s="125">
        <f t="shared" si="4"/>
        <v>20.766663712798017</v>
      </c>
      <c r="D71" s="125">
        <f t="shared" si="4"/>
        <v>26.91991798523571</v>
      </c>
      <c r="E71" s="125">
        <f t="shared" si="4"/>
        <v>29.75474047702577</v>
      </c>
      <c r="F71" s="125">
        <f t="shared" si="4"/>
        <v>47.687305325679809</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30</v>
      </c>
      <c r="E74" s="136">
        <f>INDEX(B$65:F$71, MATCH(D74, A$65:A$71, 0), MATCH(C74, B$64:F$64, 0))</f>
        <v>47.687305325679809</v>
      </c>
      <c r="F74" s="143">
        <f>Scenarios!C58</f>
        <v>0.05</v>
      </c>
    </row>
    <row r="75" spans="1:8" x14ac:dyDescent="0.15">
      <c r="B75" s="128" t="str">
        <f>Scenarios!B36</f>
        <v>Optimistic</v>
      </c>
      <c r="C75" s="143">
        <f>Scenarios!C38</f>
        <v>0.06</v>
      </c>
      <c r="D75" s="146">
        <f>Scenarios!C37</f>
        <v>20</v>
      </c>
      <c r="E75" s="136">
        <f>INDEX(B$65:F$71, MATCH(D75, A$65:A$71, 0), MATCH(C75, B$64:F$64, 0))</f>
        <v>24.994774330036517</v>
      </c>
      <c r="F75" s="143">
        <f>Scenarios!C40*(1-F$74-F$78)</f>
        <v>0.22499999999999992</v>
      </c>
      <c r="H75" s="121"/>
    </row>
    <row r="76" spans="1:8" x14ac:dyDescent="0.15">
      <c r="B76" s="128" t="str">
        <f>Scenarios!B24</f>
        <v>Base</v>
      </c>
      <c r="C76" s="143">
        <f>Scenarios!C26</f>
        <v>0.05</v>
      </c>
      <c r="D76" s="146">
        <f>Scenarios!C25</f>
        <v>20</v>
      </c>
      <c r="E76" s="136">
        <f>INDEX(B$65:F$71, MATCH(D76, A$65:A$71, 0), MATCH(C76, B$64:F$64, 0))</f>
        <v>23.490739162673215</v>
      </c>
      <c r="F76" s="143">
        <f>Scenarios!C28*(1-F$74-F$78)</f>
        <v>0.495</v>
      </c>
      <c r="H76" s="121"/>
    </row>
    <row r="77" spans="1:8" x14ac:dyDescent="0.15">
      <c r="B77" s="128" t="str">
        <f>Scenarios!B30</f>
        <v>Pessimistic</v>
      </c>
      <c r="C77" s="143">
        <f>Scenarios!C32</f>
        <v>0.02</v>
      </c>
      <c r="D77" s="146">
        <f>Scenarios!C31</f>
        <v>20</v>
      </c>
      <c r="E77" s="136">
        <f>INDEX(B$65:F$71, MATCH(D77, A$65:A$71, 0), MATCH(C77, B$64:F$64, 0))</f>
        <v>19.862510635062108</v>
      </c>
      <c r="F77" s="143">
        <f>Scenarios!C34*(1-F$74-F$78)</f>
        <v>0.18</v>
      </c>
      <c r="H77" s="121"/>
    </row>
    <row r="78" spans="1:8" x14ac:dyDescent="0.15">
      <c r="B78" s="128" t="str">
        <f>Scenarios!B48</f>
        <v>Devil's advocate</v>
      </c>
      <c r="C78" s="143">
        <f>Scenarios!C50</f>
        <v>0</v>
      </c>
      <c r="D78" s="146">
        <f>Scenarios!C49</f>
        <v>30</v>
      </c>
      <c r="E78" s="136">
        <f>INDEX(B$65:F$71, MATCH(D78, A$65:A$71, 0), MATCH(C78, B$64:F$64, 0))</f>
        <v>18.020262851044684</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v>
      </c>
      <c r="E3" s="109" t="s">
        <v>125</v>
      </c>
      <c r="H3" s="121"/>
    </row>
    <row r="4" spans="2:8" x14ac:dyDescent="0.15">
      <c r="B4" s="100" t="s">
        <v>442</v>
      </c>
      <c r="C4" s="110">
        <f>Normalized_FCF!C91</f>
        <v>1394746.258670188</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17434328.233377349</v>
      </c>
      <c r="D6" t="str">
        <f>Reporting_currency</f>
        <v>CNY</v>
      </c>
      <c r="E6" s="354"/>
      <c r="F6" s="354"/>
      <c r="H6" s="121"/>
    </row>
    <row r="7" spans="2:8" x14ac:dyDescent="0.15">
      <c r="B7" s="150" t="s">
        <v>446</v>
      </c>
      <c r="C7" s="112">
        <f>(C6*scaling_factor)/Common_Shares*Exchange_Rate</f>
        <v>7.3100000000000005</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5.4247061515052201E-2</v>
      </c>
      <c r="H11" s="121"/>
    </row>
    <row r="12" spans="2:8" ht="13.25" customHeight="1" x14ac:dyDescent="0.15">
      <c r="B12" s="119" t="s">
        <v>135</v>
      </c>
      <c r="C12" s="163">
        <f>Scenarios!C64</f>
        <v>20</v>
      </c>
      <c r="H12" s="121"/>
    </row>
    <row r="13" spans="2:8" ht="13.25" customHeight="1" x14ac:dyDescent="0.15">
      <c r="B13" s="154" t="s">
        <v>107</v>
      </c>
      <c r="C13" s="141">
        <f>F47/Common_Shares*scaling_factor</f>
        <v>9.9831116323349498</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1470407.1447621584</v>
      </c>
      <c r="D16" s="139">
        <f>IF($C$12&lt;B16,0,DDM!$C$11)</f>
        <v>5.4247061515052201E-2</v>
      </c>
      <c r="E16" s="125">
        <f t="shared" ref="E16:E45" si="0">IF($C$12&lt;B16,0,1/(1+Equity_Cost)^B16)</f>
        <v>0.92592592592592582</v>
      </c>
      <c r="F16" s="126">
        <f t="shared" ref="F16:F46" si="1">C16*E16</f>
        <v>1361488.0970019985</v>
      </c>
      <c r="H16" s="121"/>
    </row>
    <row r="17" spans="2:8" x14ac:dyDescent="0.15">
      <c r="B17" s="123">
        <v>2</v>
      </c>
      <c r="C17" s="124">
        <f t="shared" ref="C17:C45" si="2">IF(ROW()-ROW($C$16)&lt;$C$12, $C$16*(1+D17)^(ROW()-ROW($C$16)), 0)</f>
        <v>1550172.4115962433</v>
      </c>
      <c r="D17" s="139">
        <f>IF($C$12&lt;B17,0,DDM!$C$11)</f>
        <v>5.4247061515052201E-2</v>
      </c>
      <c r="E17" s="125">
        <f t="shared" si="0"/>
        <v>0.85733882030178321</v>
      </c>
      <c r="F17" s="126">
        <f t="shared" si="1"/>
        <v>1329022.9866222935</v>
      </c>
      <c r="H17" s="121"/>
    </row>
    <row r="18" spans="2:8" x14ac:dyDescent="0.15">
      <c r="B18" s="123">
        <v>3</v>
      </c>
      <c r="C18" s="124">
        <f t="shared" si="2"/>
        <v>1634264.7097670413</v>
      </c>
      <c r="D18" s="139">
        <f>IF($C$12&lt;B18,0,DDM!$C$11)</f>
        <v>5.4247061515052201E-2</v>
      </c>
      <c r="E18" s="125">
        <f t="shared" si="0"/>
        <v>0.79383224102016958</v>
      </c>
      <c r="F18" s="126">
        <f t="shared" si="1"/>
        <v>1297332.0169745474</v>
      </c>
      <c r="H18" s="121"/>
    </row>
    <row r="19" spans="2:8" x14ac:dyDescent="0.15">
      <c r="B19" s="123">
        <v>4</v>
      </c>
      <c r="C19" s="124">
        <f t="shared" si="2"/>
        <v>1722918.7680096526</v>
      </c>
      <c r="D19" s="139">
        <f>IF($C$12&lt;B19,0,DDM!$C$11)</f>
        <v>5.4247061515052201E-2</v>
      </c>
      <c r="E19" s="125">
        <f t="shared" si="0"/>
        <v>0.73502985279645328</v>
      </c>
      <c r="F19" s="126">
        <f t="shared" si="1"/>
        <v>1266396.7284303815</v>
      </c>
      <c r="H19" s="121"/>
    </row>
    <row r="20" spans="2:8" x14ac:dyDescent="0.15">
      <c r="B20" s="123">
        <v>5</v>
      </c>
      <c r="C20" s="124">
        <f t="shared" si="2"/>
        <v>1816382.0484033101</v>
      </c>
      <c r="D20" s="139">
        <f>IF($C$12&lt;B20,0,DDM!$C$11)</f>
        <v>5.4247061515052201E-2</v>
      </c>
      <c r="E20" s="125">
        <f t="shared" si="0"/>
        <v>0.68058319703375303</v>
      </c>
      <c r="F20" s="126">
        <f t="shared" si="1"/>
        <v>1236199.1015370418</v>
      </c>
      <c r="H20" s="121"/>
    </row>
    <row r="21" spans="2:8" x14ac:dyDescent="0.15">
      <c r="B21" s="123">
        <v>6</v>
      </c>
      <c r="C21" s="124">
        <f t="shared" si="2"/>
        <v>1914915.4371178809</v>
      </c>
      <c r="D21" s="139">
        <f>IF($C$12&lt;B21,0,DDM!$C$11)</f>
        <v>5.4247061515052201E-2</v>
      </c>
      <c r="E21" s="125">
        <f t="shared" si="0"/>
        <v>0.63016962688310452</v>
      </c>
      <c r="F21" s="126">
        <f t="shared" si="1"/>
        <v>1206721.546521272</v>
      </c>
      <c r="H21" s="121"/>
    </row>
    <row r="22" spans="2:8" x14ac:dyDescent="0.15">
      <c r="B22" s="123">
        <v>7</v>
      </c>
      <c r="C22" s="124">
        <f t="shared" si="2"/>
        <v>2018793.9726313376</v>
      </c>
      <c r="D22" s="139">
        <f>IF($C$12&lt;B22,0,DDM!$C$11)</f>
        <v>5.4247061515052201E-2</v>
      </c>
      <c r="E22" s="125">
        <f t="shared" si="0"/>
        <v>0.58349039526213387</v>
      </c>
      <c r="F22" s="126">
        <f t="shared" si="1"/>
        <v>1177946.8930434727</v>
      </c>
      <c r="H22" s="121"/>
    </row>
    <row r="23" spans="2:8" x14ac:dyDescent="0.15">
      <c r="B23" s="123">
        <v>8</v>
      </c>
      <c r="C23" s="124">
        <f t="shared" si="2"/>
        <v>2128307.6134508858</v>
      </c>
      <c r="D23" s="139">
        <f>IF($C$12&lt;B23,0,DDM!$C$11)</f>
        <v>5.4247061515052201E-2</v>
      </c>
      <c r="E23" s="125">
        <f t="shared" si="0"/>
        <v>0.54026888450197574</v>
      </c>
      <c r="F23" s="126">
        <f t="shared" si="1"/>
        <v>1149858.3801961723</v>
      </c>
      <c r="H23" s="121"/>
    </row>
    <row r="24" spans="2:8" x14ac:dyDescent="0.15">
      <c r="B24" s="123">
        <v>9</v>
      </c>
      <c r="C24" s="124">
        <f t="shared" si="2"/>
        <v>2243762.0474807099</v>
      </c>
      <c r="D24" s="139">
        <f>IF($C$12&lt;B24,0,DDM!$C$11)</f>
        <v>5.4247061515052201E-2</v>
      </c>
      <c r="E24" s="125">
        <f t="shared" si="0"/>
        <v>0.50024896713145905</v>
      </c>
      <c r="F24" s="126">
        <f t="shared" si="1"/>
        <v>1122439.6467409928</v>
      </c>
      <c r="H24" s="121"/>
    </row>
    <row r="25" spans="2:8" x14ac:dyDescent="0.15">
      <c r="B25" s="123">
        <v>10</v>
      </c>
      <c r="C25" s="124">
        <f t="shared" si="2"/>
        <v>2365479.5452955351</v>
      </c>
      <c r="D25" s="139">
        <f>IF($C$12&lt;B25,0,DDM!$C$11)</f>
        <v>5.4247061515052201E-2</v>
      </c>
      <c r="E25" s="125">
        <f t="shared" si="0"/>
        <v>0.46319348808468425</v>
      </c>
      <c r="F25" s="126">
        <f t="shared" si="1"/>
        <v>1095674.7215784118</v>
      </c>
      <c r="H25" s="121"/>
    </row>
    <row r="26" spans="2:8" x14ac:dyDescent="0.15">
      <c r="B26" s="123">
        <v>11</v>
      </c>
      <c r="C26" s="124">
        <f t="shared" si="2"/>
        <v>2493799.8597017792</v>
      </c>
      <c r="D26" s="139">
        <f>IF($C$12&lt;B26,0,DDM!$C$11)</f>
        <v>5.4247061515052201E-2</v>
      </c>
      <c r="E26" s="125">
        <f t="shared" si="0"/>
        <v>0.42888285933767062</v>
      </c>
      <c r="F26" s="126">
        <f t="shared" si="1"/>
        <v>1069548.014444781</v>
      </c>
      <c r="H26" s="121"/>
    </row>
    <row r="27" spans="2:8" x14ac:dyDescent="0.15">
      <c r="B27" s="123">
        <v>12</v>
      </c>
      <c r="C27" s="124">
        <f t="shared" si="2"/>
        <v>2629081.1740972498</v>
      </c>
      <c r="D27" s="139">
        <f>IF($C$12&lt;B27,0,DDM!$C$11)</f>
        <v>5.4247061515052201E-2</v>
      </c>
      <c r="E27" s="125">
        <f t="shared" si="0"/>
        <v>0.39711375864599124</v>
      </c>
      <c r="F27" s="126">
        <f t="shared" si="1"/>
        <v>1044044.3068311745</v>
      </c>
      <c r="H27" s="121"/>
    </row>
    <row r="28" spans="2:8" x14ac:dyDescent="0.15">
      <c r="B28" s="123">
        <v>13</v>
      </c>
      <c r="C28" s="124">
        <f t="shared" si="2"/>
        <v>2771701.1022765688</v>
      </c>
      <c r="D28" s="139">
        <f>IF($C$12&lt;B28,0,DDM!$C$11)</f>
        <v>5.4247061515052201E-2</v>
      </c>
      <c r="E28" s="125">
        <f t="shared" si="0"/>
        <v>0.36769792467221413</v>
      </c>
      <c r="F28" s="126">
        <f t="shared" si="1"/>
        <v>1019148.7431187826</v>
      </c>
      <c r="H28" s="121"/>
    </row>
    <row r="29" spans="2:8" x14ac:dyDescent="0.15">
      <c r="B29" s="123">
        <v>14</v>
      </c>
      <c r="C29" s="124">
        <f t="shared" si="2"/>
        <v>2922057.7424731036</v>
      </c>
      <c r="D29" s="139">
        <f>IF($C$12&lt;B29,0,DDM!$C$11)</f>
        <v>5.4247061515052201E-2</v>
      </c>
      <c r="E29" s="125">
        <f t="shared" si="0"/>
        <v>0.34046104136316119</v>
      </c>
      <c r="F29" s="126">
        <f t="shared" si="1"/>
        <v>994846.82192568074</v>
      </c>
      <c r="H29" s="121"/>
    </row>
    <row r="30" spans="2:8" x14ac:dyDescent="0.15">
      <c r="B30" s="123">
        <v>15</v>
      </c>
      <c r="C30" s="124">
        <f t="shared" si="2"/>
        <v>3080570.7885795766</v>
      </c>
      <c r="D30" s="139">
        <f>IF($C$12&lt;B30,0,DDM!$C$11)</f>
        <v>5.4247061515052201E-2</v>
      </c>
      <c r="E30" s="125">
        <f t="shared" si="0"/>
        <v>0.31524170496588994</v>
      </c>
      <c r="F30" s="126">
        <f t="shared" si="1"/>
        <v>971124.3876599418</v>
      </c>
      <c r="H30" s="121"/>
    </row>
    <row r="31" spans="2:8" x14ac:dyDescent="0.15">
      <c r="B31" s="123">
        <v>16</v>
      </c>
      <c r="C31" s="124">
        <f t="shared" si="2"/>
        <v>3247682.7016491252</v>
      </c>
      <c r="D31" s="139">
        <f>IF($C$12&lt;B31,0,DDM!$C$11)</f>
        <v>5.4247061515052201E-2</v>
      </c>
      <c r="E31" s="125">
        <f t="shared" si="0"/>
        <v>0.29189046756100923</v>
      </c>
      <c r="F31" s="126">
        <f t="shared" si="1"/>
        <v>947967.62227416481</v>
      </c>
      <c r="H31" s="121"/>
    </row>
    <row r="32" spans="2:8" x14ac:dyDescent="0.15">
      <c r="B32" s="123">
        <v>17</v>
      </c>
      <c r="C32" s="124">
        <f t="shared" si="2"/>
        <v>3423859.9449468558</v>
      </c>
      <c r="D32" s="139">
        <f>IF($C$12&lt;B32,0,DDM!$C$11)</f>
        <v>5.4247061515052201E-2</v>
      </c>
      <c r="E32" s="125">
        <f t="shared" si="0"/>
        <v>0.27026895144537894</v>
      </c>
      <c r="F32" s="126">
        <f t="shared" si="1"/>
        <v>925363.03721661959</v>
      </c>
      <c r="H32" s="121"/>
    </row>
    <row r="33" spans="2:8" x14ac:dyDescent="0.15">
      <c r="B33" s="123">
        <v>18</v>
      </c>
      <c r="C33" s="124">
        <f t="shared" si="2"/>
        <v>3609594.2859993107</v>
      </c>
      <c r="D33" s="139">
        <f>IF($C$12&lt;B33,0,DDM!$C$11)</f>
        <v>5.4247061515052201E-2</v>
      </c>
      <c r="E33" s="125">
        <f t="shared" si="0"/>
        <v>0.25024902911609154</v>
      </c>
      <c r="F33" s="126">
        <f t="shared" si="1"/>
        <v>903297.46557431913</v>
      </c>
      <c r="H33" s="121"/>
    </row>
    <row r="34" spans="2:8" x14ac:dyDescent="0.15">
      <c r="B34" s="123">
        <v>19</v>
      </c>
      <c r="C34" s="124">
        <f t="shared" si="2"/>
        <v>3805404.1692762952</v>
      </c>
      <c r="D34" s="139">
        <f>IF($C$12&lt;B34,0,DDM!$C$11)</f>
        <v>5.4247061515052201E-2</v>
      </c>
      <c r="E34" s="125">
        <f t="shared" si="0"/>
        <v>0.23171206399638106</v>
      </c>
      <c r="F34" s="126">
        <f t="shared" si="1"/>
        <v>881758.05440344417</v>
      </c>
      <c r="H34" s="121"/>
    </row>
    <row r="35" spans="2:8" x14ac:dyDescent="0.15">
      <c r="B35" s="123">
        <v>20</v>
      </c>
      <c r="C35" s="124">
        <f t="shared" si="2"/>
        <v>4011836.1633366621</v>
      </c>
      <c r="D35" s="139">
        <f>IF($C$12&lt;B35,0,DDM!$C$11)</f>
        <v>5.4247061515052201E-2</v>
      </c>
      <c r="E35" s="125">
        <f t="shared" si="0"/>
        <v>0.21454820740405653</v>
      </c>
      <c r="F35" s="126">
        <f t="shared" si="1"/>
        <v>860732.25724264863</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18380089.30952698</v>
      </c>
      <c r="D46" s="140">
        <f>Terminal_Growth</f>
        <v>0</v>
      </c>
      <c r="E46" s="125">
        <f>1/(1+Equity_Cost)^C12</f>
        <v>0.21454820740405653</v>
      </c>
      <c r="F46" s="126">
        <f t="shared" si="1"/>
        <v>3943415.2132854764</v>
      </c>
      <c r="H46" s="121"/>
    </row>
    <row r="47" spans="2:8" x14ac:dyDescent="0.15">
      <c r="C47" s="115"/>
      <c r="E47" s="128" t="s">
        <v>101</v>
      </c>
      <c r="F47" s="138">
        <f>SUM(F16:F46)</f>
        <v>25804326.04262362</v>
      </c>
      <c r="H47" s="121"/>
    </row>
    <row r="48" spans="2:8" x14ac:dyDescent="0.15">
      <c r="C48" s="115"/>
      <c r="H48" s="121"/>
    </row>
    <row r="49" spans="1:8" x14ac:dyDescent="0.15">
      <c r="B49" s="120" t="s">
        <v>130</v>
      </c>
      <c r="C49" s="137"/>
      <c r="D49" s="137"/>
      <c r="E49" s="118"/>
      <c r="F49" s="118"/>
      <c r="H49" s="121"/>
    </row>
    <row r="50" spans="1:8" x14ac:dyDescent="0.15">
      <c r="A50" s="134">
        <f>F47</f>
        <v>25804326.04262362</v>
      </c>
      <c r="B50" s="132">
        <f>C73</f>
        <v>0</v>
      </c>
      <c r="C50" s="132">
        <f>C72</f>
        <v>0.02</v>
      </c>
      <c r="D50" s="132">
        <f>C71</f>
        <v>0.05</v>
      </c>
      <c r="E50" s="132">
        <f>C70</f>
        <v>0.06</v>
      </c>
      <c r="F50" s="132">
        <f>C69</f>
        <v>0.1</v>
      </c>
      <c r="H50" s="121"/>
    </row>
    <row r="51" spans="1:8" x14ac:dyDescent="0.15">
      <c r="A51" s="144">
        <v>5</v>
      </c>
      <c r="B51" s="124">
        <f t="dataTable" ref="B51:F56" dt2D="1" dtr="1" r1="C11" r2="C12"/>
        <v>17434328.233377345</v>
      </c>
      <c r="C51" s="124">
        <v>17996850.926218797</v>
      </c>
      <c r="D51" s="124">
        <v>18872453.816006616</v>
      </c>
      <c r="E51" s="124">
        <v>19173177.553779721</v>
      </c>
      <c r="F51" s="124">
        <v>20422922.753029287</v>
      </c>
      <c r="H51" s="121"/>
    </row>
    <row r="52" spans="1:8" x14ac:dyDescent="0.15">
      <c r="A52" s="144">
        <v>10</v>
      </c>
      <c r="B52" s="124">
        <v>17434328.233377345</v>
      </c>
      <c r="C52" s="124">
        <v>18559891.613567758</v>
      </c>
      <c r="D52" s="124">
        <v>20463920.872148946</v>
      </c>
      <c r="E52" s="124">
        <v>21162955.268989965</v>
      </c>
      <c r="F52" s="124">
        <v>24332972.541716758</v>
      </c>
      <c r="H52" s="121"/>
    </row>
    <row r="53" spans="1:8" x14ac:dyDescent="0.15">
      <c r="A53" s="144">
        <v>15</v>
      </c>
      <c r="B53" s="124">
        <v>17434328.233377341</v>
      </c>
      <c r="C53" s="124">
        <v>19256810.5807156</v>
      </c>
      <c r="D53" s="124">
        <v>22594578.564841274</v>
      </c>
      <c r="E53" s="124">
        <v>23899971.284159724</v>
      </c>
      <c r="F53" s="124">
        <v>30350974.821000371</v>
      </c>
      <c r="H53" s="121"/>
    </row>
    <row r="54" spans="1:8" x14ac:dyDescent="0.15">
      <c r="A54" s="145">
        <v>20</v>
      </c>
      <c r="B54" s="124">
        <v>17434328.233377341</v>
      </c>
      <c r="C54" s="124">
        <v>19966859.245056447</v>
      </c>
      <c r="D54" s="124">
        <v>24954571.182261888</v>
      </c>
      <c r="E54" s="124">
        <v>27022162.598057847</v>
      </c>
      <c r="F54" s="124">
        <v>38126164.244786076</v>
      </c>
      <c r="H54" s="121"/>
    </row>
    <row r="55" spans="1:8" x14ac:dyDescent="0.15">
      <c r="A55" s="145">
        <v>25</v>
      </c>
      <c r="B55" s="124">
        <v>17434328.233377341</v>
      </c>
      <c r="C55" s="124">
        <v>20627243.903500639</v>
      </c>
      <c r="D55" s="124">
        <v>27351098.432762552</v>
      </c>
      <c r="E55" s="124">
        <v>30294124.165115036</v>
      </c>
      <c r="F55" s="124">
        <v>47450808.37566115</v>
      </c>
      <c r="H55" s="121"/>
    </row>
    <row r="56" spans="1:8" x14ac:dyDescent="0.15">
      <c r="A56" s="145">
        <v>30</v>
      </c>
      <c r="B56" s="124">
        <v>17434328.233377337</v>
      </c>
      <c r="C56" s="124">
        <v>21209795.037155975</v>
      </c>
      <c r="D56" s="124">
        <v>29668650.248105202</v>
      </c>
      <c r="E56" s="124">
        <v>33565669.929902732</v>
      </c>
      <c r="F56" s="124">
        <v>58217498.523299791</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0.05</v>
      </c>
      <c r="E59" s="133">
        <f>E50</f>
        <v>0.06</v>
      </c>
      <c r="F59" s="133">
        <f>F50</f>
        <v>0.1</v>
      </c>
      <c r="H59" s="121"/>
    </row>
    <row r="60" spans="1:8" x14ac:dyDescent="0.15">
      <c r="A60" s="144">
        <v>0</v>
      </c>
      <c r="B60" s="125">
        <f>C7</f>
        <v>7.3100000000000005</v>
      </c>
      <c r="C60" s="125">
        <f>C7</f>
        <v>7.3100000000000005</v>
      </c>
      <c r="D60" s="125">
        <f>C7</f>
        <v>7.3100000000000005</v>
      </c>
      <c r="E60" s="142">
        <f>C7</f>
        <v>7.3100000000000005</v>
      </c>
      <c r="F60" s="125">
        <f>C7</f>
        <v>7.3100000000000005</v>
      </c>
      <c r="H60" s="121"/>
    </row>
    <row r="61" spans="1:8" x14ac:dyDescent="0.15">
      <c r="A61" s="144">
        <f t="shared" ref="A61:A66" si="3">A51</f>
        <v>5</v>
      </c>
      <c r="B61" s="125">
        <f t="shared" ref="B61:F66" si="4">B51/Common_Shares*$C$3*Exchange_Rate</f>
        <v>7.3099999999999987</v>
      </c>
      <c r="C61" s="125">
        <f t="shared" si="4"/>
        <v>7.5458588658895751</v>
      </c>
      <c r="D61" s="125">
        <f t="shared" si="4"/>
        <v>7.9129884184980401</v>
      </c>
      <c r="E61" s="125">
        <f t="shared" si="4"/>
        <v>8.0390781934348716</v>
      </c>
      <c r="F61" s="125">
        <f t="shared" si="4"/>
        <v>8.5630810276263549</v>
      </c>
      <c r="H61" s="121"/>
    </row>
    <row r="62" spans="1:8" x14ac:dyDescent="0.15">
      <c r="A62" s="144">
        <f t="shared" si="3"/>
        <v>10</v>
      </c>
      <c r="B62" s="125">
        <f t="shared" si="4"/>
        <v>7.3099999999999987</v>
      </c>
      <c r="C62" s="125">
        <f t="shared" si="4"/>
        <v>7.7819349205230592</v>
      </c>
      <c r="D62" s="125">
        <f t="shared" si="4"/>
        <v>8.5802710361401857</v>
      </c>
      <c r="E62" s="125">
        <f t="shared" si="4"/>
        <v>8.8733675852303371</v>
      </c>
      <c r="F62" s="125">
        <f t="shared" si="4"/>
        <v>10.202516948110251</v>
      </c>
      <c r="H62" s="121"/>
    </row>
    <row r="63" spans="1:8" x14ac:dyDescent="0.15">
      <c r="A63" s="144">
        <f t="shared" si="3"/>
        <v>15</v>
      </c>
      <c r="B63" s="125">
        <f t="shared" si="4"/>
        <v>7.3099999999999961</v>
      </c>
      <c r="C63" s="125">
        <f t="shared" si="4"/>
        <v>8.074144495888147</v>
      </c>
      <c r="D63" s="125">
        <f t="shared" si="4"/>
        <v>9.4736296746315158</v>
      </c>
      <c r="E63" s="125">
        <f t="shared" si="4"/>
        <v>10.020964831483116</v>
      </c>
      <c r="F63" s="125">
        <f t="shared" si="4"/>
        <v>12.725791494320928</v>
      </c>
      <c r="H63" s="121"/>
    </row>
    <row r="64" spans="1:8" x14ac:dyDescent="0.15">
      <c r="A64" s="145">
        <f t="shared" si="3"/>
        <v>20</v>
      </c>
      <c r="B64" s="125">
        <f t="shared" si="4"/>
        <v>7.3099999999999961</v>
      </c>
      <c r="C64" s="125">
        <f t="shared" si="4"/>
        <v>8.3718591922533712</v>
      </c>
      <c r="D64" s="125">
        <f t="shared" si="4"/>
        <v>10.463145634318295</v>
      </c>
      <c r="E64" s="125">
        <f t="shared" si="4"/>
        <v>11.330061356401187</v>
      </c>
      <c r="F64" s="125">
        <f t="shared" si="4"/>
        <v>15.985833058702053</v>
      </c>
      <c r="H64" s="121"/>
    </row>
    <row r="65" spans="1:8" x14ac:dyDescent="0.15">
      <c r="A65" s="145">
        <f t="shared" si="3"/>
        <v>25</v>
      </c>
      <c r="B65" s="125">
        <f t="shared" si="4"/>
        <v>7.3099999999999961</v>
      </c>
      <c r="C65" s="125">
        <f t="shared" si="4"/>
        <v>8.6487503800643886</v>
      </c>
      <c r="D65" s="125">
        <f t="shared" si="4"/>
        <v>11.467980117566187</v>
      </c>
      <c r="E65" s="125">
        <f t="shared" si="4"/>
        <v>12.701954711569174</v>
      </c>
      <c r="F65" s="125">
        <f t="shared" si="4"/>
        <v>19.895541978039766</v>
      </c>
    </row>
    <row r="66" spans="1:8" x14ac:dyDescent="0.15">
      <c r="A66" s="145">
        <f t="shared" si="3"/>
        <v>30</v>
      </c>
      <c r="B66" s="125">
        <f t="shared" si="4"/>
        <v>7.3099999999999943</v>
      </c>
      <c r="C66" s="125">
        <f t="shared" si="4"/>
        <v>8.8930069255427444</v>
      </c>
      <c r="D66" s="125">
        <f t="shared" si="4"/>
        <v>12.439701169468908</v>
      </c>
      <c r="E66" s="125">
        <f t="shared" si="4"/>
        <v>14.073673725945289</v>
      </c>
      <c r="F66" s="125">
        <f t="shared" si="4"/>
        <v>24.409883105824761</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30</v>
      </c>
      <c r="E69" s="136">
        <f>INDEX(B$60:F$66, MATCH(D69, A$60:A$66, 0), MATCH(C69, B$59:F$59, 0))</f>
        <v>24.409883105824761</v>
      </c>
      <c r="F69" s="143">
        <f>Scenarios!C58</f>
        <v>0.05</v>
      </c>
    </row>
    <row r="70" spans="1:8" x14ac:dyDescent="0.15">
      <c r="B70" s="128" t="str">
        <f>Scenarios!B36</f>
        <v>Optimistic</v>
      </c>
      <c r="C70" s="143">
        <f>Scenarios!C38</f>
        <v>0.06</v>
      </c>
      <c r="D70" s="146">
        <f>Scenarios!C37</f>
        <v>20</v>
      </c>
      <c r="E70" s="136">
        <f>INDEX(B$60:F$66, MATCH(D70, A$60:A$66, 0), MATCH(C70, B$59:F$59, 0))</f>
        <v>11.330061356401187</v>
      </c>
      <c r="F70" s="143">
        <f>Scenarios!C40*(1-F$69-F$73)</f>
        <v>0.22499999999999992</v>
      </c>
      <c r="H70" s="121"/>
    </row>
    <row r="71" spans="1:8" x14ac:dyDescent="0.15">
      <c r="B71" s="128" t="str">
        <f>Scenarios!B24</f>
        <v>Base</v>
      </c>
      <c r="C71" s="143">
        <f>Scenarios!C26</f>
        <v>0.05</v>
      </c>
      <c r="D71" s="146">
        <f>Scenarios!C25</f>
        <v>20</v>
      </c>
      <c r="E71" s="136">
        <f>INDEX(B$60:F$66, MATCH(D71, A$60:A$66, 0), MATCH(C71, B$59:F$59, 0))</f>
        <v>10.463145634318295</v>
      </c>
      <c r="F71" s="143">
        <f>Scenarios!C28*(1-F$69-F$73)</f>
        <v>0.495</v>
      </c>
      <c r="H71" s="121"/>
    </row>
    <row r="72" spans="1:8" x14ac:dyDescent="0.15">
      <c r="B72" s="128" t="str">
        <f>Scenarios!B30</f>
        <v>Pessimistic</v>
      </c>
      <c r="C72" s="143">
        <f>Scenarios!C32</f>
        <v>0.02</v>
      </c>
      <c r="D72" s="146">
        <f>Scenarios!C31</f>
        <v>20</v>
      </c>
      <c r="E72" s="136">
        <f>INDEX(B$60:F$66, MATCH(D72, A$60:A$66, 0), MATCH(C72, B$59:F$59, 0))</f>
        <v>8.3718591922533712</v>
      </c>
      <c r="F72" s="143">
        <f>Scenarios!C34*(1-F$69-F$73)</f>
        <v>0.18</v>
      </c>
      <c r="H72" s="121"/>
    </row>
    <row r="73" spans="1:8" x14ac:dyDescent="0.15">
      <c r="B73" s="128" t="str">
        <f>Scenarios!B48</f>
        <v>Devil's advocate</v>
      </c>
      <c r="C73" s="143">
        <f>Scenarios!C50</f>
        <v>0</v>
      </c>
      <c r="D73" s="146">
        <f>Scenarios!C49</f>
        <v>30</v>
      </c>
      <c r="E73" s="136">
        <f>INDEX(B$60:F$66, MATCH(D73, A$60:A$66, 0), MATCH(C73, B$59:F$59, 0))</f>
        <v>7.3099999999999943</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-15.28</v>
      </c>
    </row>
    <row r="4" spans="2:9" x14ac:dyDescent="0.15">
      <c r="B4" s="153" t="s">
        <v>147</v>
      </c>
      <c r="C4" s="121">
        <v>3</v>
      </c>
      <c r="D4" s="121"/>
      <c r="E4" s="156" t="s">
        <v>151</v>
      </c>
      <c r="F4" s="156"/>
      <c r="H4" s="269">
        <v>1</v>
      </c>
      <c r="I4" s="125">
        <f t="shared" ref="I4:I13" si="0">IF(ROW()-3 &lt; $C$76, $C$77, IF(ROW()-3 = $C$76, $C$77 + $C$60, ""))</f>
        <v>0.53959586373565716</v>
      </c>
    </row>
    <row r="5" spans="2:9" x14ac:dyDescent="0.15">
      <c r="H5" s="269">
        <v>2</v>
      </c>
      <c r="I5" s="125">
        <f t="shared" si="0"/>
        <v>0.53959586373565716</v>
      </c>
    </row>
    <row r="6" spans="2:9" x14ac:dyDescent="0.15">
      <c r="B6" s="160" t="s">
        <v>96</v>
      </c>
      <c r="C6" s="107">
        <f>DCF!C3</f>
        <v>1000</v>
      </c>
      <c r="E6" s="100" t="s">
        <v>280</v>
      </c>
      <c r="F6" s="100"/>
      <c r="H6" s="269">
        <v>3</v>
      </c>
      <c r="I6" s="125">
        <f t="shared" si="0"/>
        <v>24.651966296664511</v>
      </c>
    </row>
    <row r="7" spans="2:9" ht="12.75" customHeight="1" x14ac:dyDescent="0.15">
      <c r="B7" s="100" t="s">
        <v>276</v>
      </c>
      <c r="C7" s="115">
        <f>Normalized_FCF!G8</f>
        <v>3529289</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6"/>
      <c r="H7" s="269">
        <v>4</v>
      </c>
      <c r="I7" s="125" t="str">
        <f t="shared" si="0"/>
        <v/>
      </c>
    </row>
    <row r="8" spans="2:9" x14ac:dyDescent="0.15">
      <c r="B8" s="100" t="s">
        <v>66</v>
      </c>
      <c r="C8" s="115">
        <f>Normalized_FCF!G19</f>
        <v>2532264.9080531825</v>
      </c>
      <c r="D8" t="str">
        <f>Reporting_currency</f>
        <v>CNY</v>
      </c>
      <c r="E8" s="356"/>
      <c r="F8" s="356"/>
      <c r="H8" s="269">
        <v>5</v>
      </c>
      <c r="I8" s="125" t="str">
        <f t="shared" si="0"/>
        <v/>
      </c>
    </row>
    <row r="9" spans="2:9" x14ac:dyDescent="0.15">
      <c r="B9" s="100" t="s">
        <v>57</v>
      </c>
      <c r="C9" s="115">
        <f>Normalized_FCF!C19</f>
        <v>2419782.4184664874</v>
      </c>
      <c r="D9" t="str">
        <f>Reporting_currency</f>
        <v>CNY</v>
      </c>
      <c r="E9" s="356"/>
      <c r="F9" s="356"/>
      <c r="H9" s="269">
        <v>6</v>
      </c>
      <c r="I9" s="125" t="str">
        <f t="shared" si="0"/>
        <v/>
      </c>
    </row>
    <row r="10" spans="2:9" x14ac:dyDescent="0.15">
      <c r="E10" s="356"/>
      <c r="F10" s="356"/>
      <c r="H10" s="269">
        <v>7</v>
      </c>
      <c r="I10" s="125" t="str">
        <f t="shared" si="0"/>
        <v/>
      </c>
    </row>
    <row r="11" spans="2:9" x14ac:dyDescent="0.15">
      <c r="B11" s="160" t="s">
        <v>449</v>
      </c>
      <c r="E11" s="356"/>
      <c r="F11" s="356"/>
      <c r="H11" s="269">
        <v>8</v>
      </c>
      <c r="I11" s="125" t="str">
        <f t="shared" si="0"/>
        <v/>
      </c>
    </row>
    <row r="12" spans="2:9" ht="14" x14ac:dyDescent="0.15">
      <c r="B12" s="119" t="s">
        <v>145</v>
      </c>
      <c r="C12" s="159">
        <f ca="1">(Normalized_FCF!G4/OFFSET(Normalized_FCF!G4, 0, $C$4))^(1/$C$4) - 1</f>
        <v>8.3043513409933434E-2</v>
      </c>
      <c r="D12" s="159"/>
      <c r="E12" s="356"/>
      <c r="F12" s="356"/>
      <c r="H12" s="269">
        <v>9</v>
      </c>
      <c r="I12" s="125" t="str">
        <f t="shared" si="0"/>
        <v/>
      </c>
    </row>
    <row r="13" spans="2:9" x14ac:dyDescent="0.15">
      <c r="B13" s="149" t="s">
        <v>153</v>
      </c>
      <c r="C13" s="159">
        <f ca="1">(Normalized_FCF!G8/OFFSET(Normalized_FCF!G8, 0, $C$4))^(1/$C$4) - 1</f>
        <v>-9.2379152048964186E-2</v>
      </c>
      <c r="E13" s="356"/>
      <c r="F13" s="356"/>
      <c r="H13" s="269">
        <v>10</v>
      </c>
      <c r="I13" s="125" t="str">
        <f t="shared" si="0"/>
        <v/>
      </c>
    </row>
    <row r="14" spans="2:9" x14ac:dyDescent="0.15">
      <c r="B14" s="100" t="s">
        <v>66</v>
      </c>
      <c r="C14" s="159">
        <f ca="1">(Normalized_FCF!G19/OFFSET(Normalized_FCF!G19, 0, $C$4))^(1/$C$4) - 1</f>
        <v>-0.10082655111598315</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20</v>
      </c>
      <c r="E18" s="356" t="s">
        <v>331</v>
      </c>
      <c r="F18" s="357"/>
    </row>
    <row r="19" spans="2:6" x14ac:dyDescent="0.15">
      <c r="E19" s="357"/>
      <c r="F19" s="357"/>
    </row>
    <row r="20" spans="2:6" x14ac:dyDescent="0.15">
      <c r="B20" s="160" t="s">
        <v>304</v>
      </c>
      <c r="E20" s="357"/>
      <c r="F20" s="357"/>
    </row>
    <row r="21" spans="2:6" x14ac:dyDescent="0.15">
      <c r="B21" s="100" t="s">
        <v>278</v>
      </c>
      <c r="C21" s="161">
        <f>Market_Price</f>
        <v>15.28</v>
      </c>
      <c r="D21" t="str">
        <f>Market_currency</f>
        <v>HKD</v>
      </c>
      <c r="E21" s="357"/>
      <c r="F21" s="357"/>
    </row>
    <row r="22" spans="2:6" x14ac:dyDescent="0.15">
      <c r="B22" s="100" t="s">
        <v>279</v>
      </c>
      <c r="C22" s="161">
        <f>IF(valuation_method="DCF",DCF!C12,DDM!C7)</f>
        <v>18.020262851044695</v>
      </c>
      <c r="D22" t="str">
        <f>Market_currency</f>
        <v>HKD</v>
      </c>
      <c r="E22" s="357"/>
      <c r="F22" s="357"/>
    </row>
    <row r="24" spans="2:6" x14ac:dyDescent="0.15">
      <c r="B24" s="160" t="s">
        <v>116</v>
      </c>
      <c r="E24" s="160" t="s">
        <v>150</v>
      </c>
      <c r="F24" s="160"/>
    </row>
    <row r="25" spans="2:6" x14ac:dyDescent="0.15">
      <c r="B25" s="153" t="s">
        <v>134</v>
      </c>
      <c r="C25" s="167">
        <f>C18</f>
        <v>20</v>
      </c>
      <c r="D25" s="164"/>
      <c r="E25" s="355"/>
      <c r="F25" s="355"/>
    </row>
    <row r="26" spans="2:6" ht="14" x14ac:dyDescent="0.15">
      <c r="B26" s="119" t="s">
        <v>135</v>
      </c>
      <c r="C26" s="165">
        <v>0.05</v>
      </c>
      <c r="D26" s="165"/>
      <c r="E26" s="355"/>
      <c r="F26" s="355"/>
    </row>
    <row r="27" spans="2:6" x14ac:dyDescent="0.15">
      <c r="B27" s="100" t="s">
        <v>114</v>
      </c>
      <c r="C27" s="161">
        <f>IF(valuation_method="DCF",DCF!E76,DDM!E71)</f>
        <v>23.490739162673215</v>
      </c>
      <c r="D27" s="161" t="str">
        <f>Market_currency</f>
        <v>HKD</v>
      </c>
      <c r="E27" s="355"/>
      <c r="F27" s="355"/>
    </row>
    <row r="28" spans="2:6" x14ac:dyDescent="0.15">
      <c r="B28" s="100" t="s">
        <v>148</v>
      </c>
      <c r="C28" s="166">
        <v>0.55000000000000004</v>
      </c>
      <c r="D28" s="166"/>
      <c r="E28" s="355"/>
      <c r="F28" s="355"/>
    </row>
    <row r="30" spans="2:6" x14ac:dyDescent="0.15">
      <c r="B30" s="160" t="s">
        <v>117</v>
      </c>
      <c r="E30" s="160" t="s">
        <v>150</v>
      </c>
      <c r="F30" s="160"/>
    </row>
    <row r="31" spans="2:6" x14ac:dyDescent="0.15">
      <c r="B31" s="153" t="s">
        <v>134</v>
      </c>
      <c r="C31" s="167">
        <f>C18</f>
        <v>20</v>
      </c>
      <c r="D31" s="164"/>
      <c r="E31" s="355"/>
      <c r="F31" s="355"/>
    </row>
    <row r="32" spans="2:6" ht="14" x14ac:dyDescent="0.15">
      <c r="B32" s="119" t="s">
        <v>135</v>
      </c>
      <c r="C32" s="165">
        <v>0.02</v>
      </c>
      <c r="D32" s="165"/>
      <c r="E32" s="355"/>
      <c r="F32" s="355"/>
    </row>
    <row r="33" spans="2:6" x14ac:dyDescent="0.15">
      <c r="B33" s="100" t="s">
        <v>114</v>
      </c>
      <c r="C33" s="161">
        <f>IF(valuation_method="DCF",DCF!E77,DDM!E72)</f>
        <v>19.862510635062108</v>
      </c>
      <c r="D33" t="str">
        <f>Market_currency</f>
        <v>HKD</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20</v>
      </c>
      <c r="D37" s="164"/>
      <c r="E37" s="355"/>
      <c r="F37" s="355"/>
    </row>
    <row r="38" spans="2:6" ht="14" x14ac:dyDescent="0.15">
      <c r="B38" s="119" t="s">
        <v>135</v>
      </c>
      <c r="C38" s="165">
        <v>0.06</v>
      </c>
      <c r="D38" s="165"/>
      <c r="E38" s="355"/>
      <c r="F38" s="355"/>
    </row>
    <row r="39" spans="2:6" x14ac:dyDescent="0.15">
      <c r="B39" s="100" t="s">
        <v>114</v>
      </c>
      <c r="C39" s="161">
        <f>IF(valuation_method="DCF",DCF!E75,DDM!E70)</f>
        <v>24.994774330036517</v>
      </c>
      <c r="D39" t="str">
        <f>Market_currency</f>
        <v>HKD</v>
      </c>
      <c r="E39" s="355"/>
      <c r="F39" s="355"/>
    </row>
    <row r="40" spans="2:6" x14ac:dyDescent="0.15">
      <c r="B40" s="100" t="s">
        <v>148</v>
      </c>
      <c r="C40" s="168">
        <f>1-C28-C34</f>
        <v>0.24999999999999994</v>
      </c>
      <c r="D40" s="166"/>
      <c r="E40" s="355"/>
      <c r="F40" s="355"/>
    </row>
    <row r="42" spans="2:6" x14ac:dyDescent="0.15">
      <c r="B42" s="100" t="s">
        <v>121</v>
      </c>
      <c r="C42" s="155">
        <f>C27*C28+C33*C34+C39*C40</f>
        <v>23.141102248991817</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5"/>
      <c r="F49" s="355"/>
    </row>
    <row r="50" spans="2:6" ht="14" x14ac:dyDescent="0.15">
      <c r="B50" s="119" t="s">
        <v>135</v>
      </c>
      <c r="C50" s="165">
        <v>0</v>
      </c>
      <c r="D50" s="165"/>
      <c r="E50" s="355"/>
      <c r="F50" s="355"/>
    </row>
    <row r="51" spans="2:6" x14ac:dyDescent="0.15">
      <c r="B51" s="100" t="s">
        <v>114</v>
      </c>
      <c r="C51" s="161">
        <f>IF(valuation_method="DCF",DCF!E78,DDM!E73)</f>
        <v>18.020262851044684</v>
      </c>
      <c r="D51" t="str">
        <f>Market_currency</f>
        <v>HKD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30</v>
      </c>
      <c r="D55" s="164"/>
      <c r="E55" s="355"/>
      <c r="F55" s="355"/>
    </row>
    <row r="56" spans="2:6" ht="14" x14ac:dyDescent="0.15">
      <c r="B56" s="119" t="s">
        <v>135</v>
      </c>
      <c r="C56" s="165">
        <v>0.1</v>
      </c>
      <c r="D56" s="165"/>
      <c r="E56" s="355"/>
      <c r="F56" s="355"/>
    </row>
    <row r="57" spans="2:6" x14ac:dyDescent="0.15">
      <c r="B57" s="100" t="s">
        <v>114</v>
      </c>
      <c r="C57" s="161">
        <f>IF(valuation_method="DCF",DCF!E74,DDM!E69)</f>
        <v>47.687305325679809</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24.112370432928856</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20</v>
      </c>
      <c r="D64" s="151"/>
      <c r="E64" s="273" t="s">
        <v>396</v>
      </c>
    </row>
    <row r="65" spans="2:6" ht="14" x14ac:dyDescent="0.15">
      <c r="B65" s="119" t="s">
        <v>135</v>
      </c>
      <c r="C65" s="152">
        <v>5.4247061515052201E-2</v>
      </c>
      <c r="D65" s="152"/>
      <c r="E65" s="273" t="s">
        <v>313</v>
      </c>
    </row>
    <row r="66" spans="2:6" x14ac:dyDescent="0.15">
      <c r="B66" s="100" t="s">
        <v>103</v>
      </c>
      <c r="C66" s="161">
        <f>IF(valuation_method="DCF",DCF!C18,DDM!C13)</f>
        <v>24.108879276748858</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0.22137803669855521</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0.53959586373565716</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0.85737535199980486</v>
      </c>
      <c r="D81" s="117"/>
      <c r="E81" s="100"/>
      <c r="F81" s="100"/>
    </row>
    <row r="82" spans="2:8" x14ac:dyDescent="0.15">
      <c r="B82" s="100" t="s">
        <v>123</v>
      </c>
      <c r="C82" s="117">
        <f>C60/(1+C80)^C76</f>
        <v>8.7873070090848628</v>
      </c>
      <c r="D82" s="117"/>
    </row>
    <row r="83" spans="2:8" x14ac:dyDescent="0.15">
      <c r="B83" s="111" t="s">
        <v>102</v>
      </c>
      <c r="C83" s="112">
        <f>C81+C82</f>
        <v>9.6446823610846675</v>
      </c>
      <c r="D83" t="str">
        <f>Market_currency</f>
        <v>HKD</v>
      </c>
      <c r="E83" s="147" t="s">
        <v>127</v>
      </c>
      <c r="F83" s="319">
        <f>(1-C83/C60)</f>
        <v>0.60001102388865557</v>
      </c>
    </row>
    <row r="84" spans="2:8" x14ac:dyDescent="0.15">
      <c r="E84" s="121"/>
    </row>
    <row r="85" spans="2:8" x14ac:dyDescent="0.15">
      <c r="B85" s="109" t="s">
        <v>303</v>
      </c>
    </row>
    <row r="86" spans="2:8" x14ac:dyDescent="0.15">
      <c r="B86" s="149" t="s">
        <v>301</v>
      </c>
      <c r="C86" s="117">
        <f>Market_Price</f>
        <v>15.28</v>
      </c>
      <c r="D86" t="str">
        <f>Market_currency</f>
        <v>HKD</v>
      </c>
    </row>
    <row r="87" spans="2:8" x14ac:dyDescent="0.15">
      <c r="B87" s="100" t="s">
        <v>299</v>
      </c>
      <c r="C87" s="259">
        <f ca="1">IRR(OFFSET($I$3, 0, 0, $C$76 + 1, 1))</f>
        <v>0.19487700460896362</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1.1063878035577037</v>
      </c>
      <c r="D91" s="117"/>
      <c r="E91" s="100"/>
      <c r="F91" s="100"/>
    </row>
    <row r="92" spans="2:8" x14ac:dyDescent="0.15">
      <c r="B92" s="100" t="s">
        <v>123</v>
      </c>
      <c r="C92" s="117">
        <f>C60/(1+C90)^C76</f>
        <v>13.36410917162844</v>
      </c>
      <c r="D92" s="117"/>
    </row>
    <row r="93" spans="2:8" x14ac:dyDescent="0.15">
      <c r="B93" s="111" t="s">
        <v>102</v>
      </c>
      <c r="C93" s="112">
        <f>C91+C92</f>
        <v>14.470496975186144</v>
      </c>
      <c r="D93" t="str">
        <f>Market_currency</f>
        <v>HKD</v>
      </c>
      <c r="E93" s="147" t="s">
        <v>127</v>
      </c>
      <c r="F93" s="319">
        <f>(1-C93/C60)</f>
        <v>0.39987248390043673</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1.3905908747645797</v>
      </c>
      <c r="D97" s="117"/>
      <c r="G97" s="2"/>
      <c r="H97" s="306"/>
    </row>
    <row r="98" spans="2:8" x14ac:dyDescent="0.15">
      <c r="B98" s="100" t="s">
        <v>123</v>
      </c>
      <c r="C98" s="117">
        <f>C60/(1+C96)^C76</f>
        <v>19.141177057080391</v>
      </c>
      <c r="D98" s="117"/>
      <c r="G98" s="2"/>
      <c r="H98" s="306"/>
    </row>
    <row r="99" spans="2:8" x14ac:dyDescent="0.15">
      <c r="B99" s="111" t="s">
        <v>399</v>
      </c>
      <c r="C99" s="112">
        <f>C97+C98</f>
        <v>20.531767931844971</v>
      </c>
      <c r="D99" t="s">
        <v>397</v>
      </c>
      <c r="E99" s="147" t="s">
        <v>127</v>
      </c>
      <c r="F99" s="319">
        <f>(1-C99/C60)</f>
        <v>0.14849649523441566</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1.3018306675922118</v>
      </c>
      <c r="D103" s="117"/>
    </row>
    <row r="104" spans="2:8" x14ac:dyDescent="0.15">
      <c r="B104" s="100" t="s">
        <v>123</v>
      </c>
      <c r="C104" s="117">
        <f>C60/(1+C102)^C76</f>
        <v>17.282792108024594</v>
      </c>
      <c r="D104" s="117"/>
    </row>
    <row r="105" spans="2:8" x14ac:dyDescent="0.15">
      <c r="B105" s="111" t="s">
        <v>399</v>
      </c>
      <c r="C105" s="112">
        <f>C103+C104</f>
        <v>18.584622775616808</v>
      </c>
      <c r="D105" t="s">
        <v>397</v>
      </c>
      <c r="E105" s="147" t="s">
        <v>127</v>
      </c>
      <c r="F105" s="319">
        <f>(1-C105/C66)</f>
        <v>0.22913783912219288</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