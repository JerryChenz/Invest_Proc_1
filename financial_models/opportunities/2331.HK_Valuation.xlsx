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F708BFF-BB16-4622-88B3-D040606167C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62" i="4"/>
  <c r="E62" i="4"/>
  <c r="F62" i="4"/>
  <c r="G62" i="4"/>
  <c r="H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N9" i="2" l="1"/>
  <c r="J62" i="4"/>
  <c r="N10" i="2" s="1"/>
  <c r="M9" i="2"/>
  <c r="I62" i="4"/>
  <c r="M10" i="2" s="1"/>
  <c r="P9" i="2"/>
  <c r="L62" i="4"/>
  <c r="P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7" i="8"/>
  <c r="C67" i="8"/>
  <c r="C70" i="8"/>
  <c r="E66" i="8"/>
  <c r="D71" i="8"/>
  <c r="D70" i="8"/>
  <c r="D68" i="8"/>
  <c r="C68" i="8"/>
  <c r="F70" i="8"/>
  <c r="E67" i="8"/>
  <c r="B70" i="8"/>
  <c r="C66" i="8"/>
  <c r="E70" i="8"/>
  <c r="F71" i="8"/>
  <c r="E69" i="8"/>
  <c r="C69" i="8"/>
  <c r="B68" i="8"/>
  <c r="B67" i="8"/>
  <c r="D66" i="8"/>
  <c r="B66" i="8"/>
  <c r="G54" i="2"/>
  <c r="C71" i="8" l="1"/>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37" i="8" l="1"/>
  <c r="F37" i="8" s="1"/>
  <c r="C36" i="8"/>
  <c r="F36" i="8" s="1"/>
  <c r="C38" i="8"/>
  <c r="F38" i="8" s="1"/>
  <c r="C40" i="8"/>
  <c r="F40" i="8" s="1"/>
  <c r="C39" i="8"/>
  <c r="F39"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<sst xmlns="http://schemas.openxmlformats.org/spreadsheetml/2006/main" count="626" uniqueCount="440">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</sst>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2584797906</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15.4</v>
      </c>
      <c r="D12" s="50"/>
      <c r="E12" s="48"/>
    </row>
    <row r="13" spans="1:10">
      <c r="B13" s="1" t="s">
        <v>426</v>
      </c>
      <c r="C13" s="48" t="s">
        <v>404</v>
      </c>
      <c r="D13" s="48"/>
      <c r="E13" s="5"/>
    </row>
    <row r="14" spans="1:10">
      <c r="B14" s="4" t="s">
        <v>430</v>
      </c>
      <c r="C14" s="35">
        <f>Thesis!C12*Common_Shares/1000000</f>
        <v>39805.887752399998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1.08281703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9.6376594075295827</v>
      </c>
      <c r="D25" s="1" t="s">
        <v>315</v>
      </c>
      <c r="E25" s="330">
        <v>3</v>
      </c>
    </row>
    <row r="26" spans="1:6">
      <c r="B26" s="1" t="s">
        <v>407</v>
      </c>
      <c r="C26" s="280">
        <f ca="1">Scenarios!C87</f>
        <v>0.19136836795872036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3205414.6239021346</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179409.3</v>
      </c>
      <c r="D42" s="1" t="str">
        <f>Reporting_currency</f>
        <v>CNY</v>
      </c>
    </row>
    <row r="44" spans="2:6">
      <c r="B44" s="344" t="s">
        <v>241</v>
      </c>
      <c r="C44" s="344"/>
      <c r="D44" s="344"/>
      <c r="E44" s="344"/>
      <c r="F44" s="344"/>
    </row>
    <row r="45" spans="2:6">
      <c r="B45" s="47" t="s">
        <v>348</v>
      </c>
      <c r="C45" s="322">
        <f>Normalized_FCF!C48</f>
        <v>95978.492381801712</v>
      </c>
      <c r="D45" s="1" t="str">
        <f>Reporting_currency</f>
        <v>CNY</v>
      </c>
      <c r="E45" s="321"/>
      <c r="F45" s="321"/>
    </row>
    <row r="46" spans="2:6">
      <c r="B46" s="47" t="s">
        <v>349</v>
      </c>
      <c r="C46" s="322">
        <f>Normalized_FCF!C47</f>
        <v>-254421</v>
      </c>
      <c r="D46" s="1" t="str">
        <f>Reporting_currency</f>
        <v>CNY</v>
      </c>
      <c r="E46" s="321"/>
      <c r="F46" s="321"/>
    </row>
    <row r="47" spans="2:6">
      <c r="B47" s="47" t="s">
        <v>239</v>
      </c>
      <c r="C47" s="188">
        <f>Normalized_FCF!C12</f>
        <v>-158442.50761819829</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-806595.35407098406</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2532269.766381802</v>
      </c>
      <c r="D61" s="1" t="str">
        <f>Reporting_currency</f>
        <v>CNY</v>
      </c>
    </row>
    <row r="62" spans="2:6">
      <c r="B62" s="47" t="s">
        <v>249</v>
      </c>
      <c r="C62" s="188">
        <f>Normalized_FCF!C19</f>
        <v>2419786.0622129524</v>
      </c>
      <c r="D62" s="1" t="str">
        <f>Reporting_currency</f>
        <v>CNY</v>
      </c>
    </row>
    <row r="63" spans="2:6">
      <c r="B63" s="254" t="s">
        <v>398</v>
      </c>
      <c r="C63" s="92">
        <f>Normalized_FCF!C125</f>
        <v>6.58240703842322E-2</v>
      </c>
    </row>
    <row r="64" spans="2:6">
      <c r="B64" s="254" t="s">
        <v>316</v>
      </c>
      <c r="C64" s="92">
        <f>Normalized_FCF!C93</f>
        <v>3.5069660821668069E-2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12.671133548964699</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1936137</v>
      </c>
      <c r="D91" s="1" t="str">
        <f>Reporting_currency</f>
        <v>CNY</v>
      </c>
    </row>
    <row r="92" spans="1:6">
      <c r="B92" s="47" t="s">
        <v>285</v>
      </c>
      <c r="C92" s="248">
        <f>C91*scaling_factor*Exchange_Rate/Common_Shares</f>
        <v>0.8110816366519874</v>
      </c>
      <c r="D92" s="1" t="str">
        <f>Market_currency</f>
        <v>HKD</v>
      </c>
    </row>
    <row r="93" spans="1:6">
      <c r="B93" s="336" t="s">
        <v>412</v>
      </c>
      <c r="C93" s="337">
        <f>BS!G30/BS!G27</f>
        <v>0.36794481423679237</v>
      </c>
    </row>
    <row r="94" spans="1:6">
      <c r="B94" s="336" t="s">
        <v>413</v>
      </c>
      <c r="C94" s="337">
        <f>BS!G31/BS!G27</f>
        <v>7.4171010848313429E-2</v>
      </c>
    </row>
    <row r="95" spans="1:6">
      <c r="B95" s="336" t="s">
        <v>415</v>
      </c>
      <c r="C95" s="338">
        <f>BS!C50</f>
        <v>0.60402076709908736</v>
      </c>
    </row>
    <row r="97" spans="1:6">
      <c r="B97" s="1" t="s">
        <v>255</v>
      </c>
    </row>
    <row r="98" spans="1:6">
      <c r="B98" s="47" t="s">
        <v>265</v>
      </c>
      <c r="C98" s="188">
        <f>BS!C66</f>
        <v>18164188</v>
      </c>
      <c r="D98" s="1" t="str">
        <f>Reporting_currency</f>
        <v>CNY</v>
      </c>
    </row>
    <row r="99" spans="1:6">
      <c r="B99" s="47" t="s">
        <v>267</v>
      </c>
      <c r="C99" s="188">
        <f>Valuation_Model!C8</f>
        <v>14105352.356953345</v>
      </c>
      <c r="D99" s="1" t="str">
        <f>Reporting_currency</f>
        <v>CNY</v>
      </c>
    </row>
    <row r="100" spans="1:6">
      <c r="B100" s="47" t="s">
        <v>286</v>
      </c>
      <c r="C100" s="248">
        <f>C99*scaling_factor*Exchange_Rate/Common_Shares</f>
        <v>5.9089786906766859</v>
      </c>
      <c r="D100" s="1" t="str">
        <f>Market_currency</f>
        <v>HKD</v>
      </c>
    </row>
    <row r="102" spans="1:6">
      <c r="B102" s="1" t="s">
        <v>257</v>
      </c>
    </row>
    <row r="103" spans="1:6">
      <c r="B103" s="47" t="s">
        <v>258</v>
      </c>
      <c r="C103" s="188">
        <f>Valuation_Model!C9</f>
        <v>561572.19999999995</v>
      </c>
      <c r="D103" s="1" t="str">
        <f>Reporting_currency</f>
        <v>CNY</v>
      </c>
    </row>
    <row r="104" spans="1:6">
      <c r="B104" s="47" t="s">
        <v>287</v>
      </c>
      <c r="C104" s="248">
        <f>C103*scaling_factor*Exchange_Rate/Common_Shares</f>
        <v>0.23525241192862759</v>
      </c>
      <c r="D104" s="1" t="str">
        <f>Market_currency</f>
        <v>HKD</v>
      </c>
    </row>
    <row r="106" spans="1:6" ht="24.4" customHeight="1">
      <c r="B106" s="343" t="s">
        <v>374</v>
      </c>
      <c r="C106" s="343"/>
      <c r="D106" s="343"/>
      <c r="E106" s="343"/>
      <c r="F106" s="343"/>
    </row>
    <row r="108" spans="1:6">
      <c r="B108" s="47" t="s">
        <v>283</v>
      </c>
      <c r="C108" s="248">
        <f>Valuation_Model!C12</f>
        <v>18.004283014918023</v>
      </c>
      <c r="D108" s="1" t="str">
        <f>Market_currency</f>
        <v>HKD</v>
      </c>
    </row>
    <row r="109" spans="1:6">
      <c r="B109" s="336" t="s">
        <v>414</v>
      </c>
      <c r="C109" s="248">
        <f>BS!D47</f>
        <v>4.564947591459446</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47.65 HKD</v>
      </c>
      <c r="F116" s="259">
        <f>Valuation_Model!F74</f>
        <v>0.05</v>
      </c>
    </row>
    <row r="117" spans="1:6">
      <c r="B117" s="242" t="str">
        <f>Valuation_Model!B75</f>
        <v>Optimistic</v>
      </c>
      <c r="C117" s="243">
        <f>Valuation_Model!C75</f>
        <v>0.06</v>
      </c>
      <c r="D117" s="244">
        <f>Valuation_Model!D75</f>
        <v>20</v>
      </c>
      <c r="E117" s="245" t="str">
        <f>ROUND(Valuation_Model!E75,2)&amp;" "&amp;Market_currency</f>
        <v>24.97 HKD</v>
      </c>
      <c r="F117" s="246">
        <f>Valuation_Model!F75</f>
        <v>0.22499999999999992</v>
      </c>
    </row>
    <row r="118" spans="1:6">
      <c r="B118" s="242" t="str">
        <f>Valuation_Model!B76</f>
        <v>Base</v>
      </c>
      <c r="C118" s="243">
        <f>Valuation_Model!C76</f>
        <v>0.05</v>
      </c>
      <c r="D118" s="244">
        <f>Valuation_Model!D76</f>
        <v>20</v>
      </c>
      <c r="E118" s="245" t="str">
        <f>ROUND(Valuation_Model!E76,2)&amp;" "&amp;Market_currency</f>
        <v>23.47 HKD</v>
      </c>
      <c r="F118" s="246">
        <f>Valuation_Model!F76</f>
        <v>0.495</v>
      </c>
    </row>
    <row r="119" spans="1:6">
      <c r="B119" s="242" t="str">
        <f>Valuation_Model!B77</f>
        <v>Pessimistic</v>
      </c>
      <c r="C119" s="243">
        <f>Valuation_Model!C77</f>
        <v>0.02</v>
      </c>
      <c r="D119" s="244">
        <f>Valuation_Model!D77</f>
        <v>20</v>
      </c>
      <c r="E119" s="245" t="str">
        <f>ROUND(Valuation_Model!E77,2)&amp;" "&amp;Market_currency</f>
        <v>19.84 HKD</v>
      </c>
      <c r="F119" s="246">
        <f>Valuation_Model!F77</f>
        <v>0.18</v>
      </c>
    </row>
    <row r="120" spans="1:6">
      <c r="B120" s="242" t="str">
        <f>Valuation_Model!B78</f>
        <v>Devil's advocate</v>
      </c>
      <c r="C120" s="243">
        <f>Valuation_Model!C78</f>
        <v>0</v>
      </c>
      <c r="D120" s="244">
        <f>Valuation_Model!D78</f>
        <v>30</v>
      </c>
      <c r="E120" s="245" t="str">
        <f>ROUND(Valuation_Model!E78,2)&amp;" "&amp;Market_currency</f>
        <v>18 HKD</v>
      </c>
      <c r="F120" s="246">
        <f>Valuation_Model!F78</f>
        <v>0.05</v>
      </c>
    </row>
    <row r="122" spans="1:6">
      <c r="B122" s="235" t="s">
        <v>259</v>
      </c>
      <c r="C122" s="241">
        <f>Scenarios!C60</f>
        <v>24.091020108051087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0.54007277665368825</v>
      </c>
      <c r="D133" s="236" t="str">
        <f>Market_currency</f>
        <v>HKD</v>
      </c>
    </row>
    <row r="135" spans="2:6">
      <c r="B135" s="234" t="s">
        <v>418</v>
      </c>
      <c r="C135" s="270" t="str">
        <f>C11</f>
        <v>2331.HK</v>
      </c>
      <c r="D135" s="270" t="str">
        <f>IF(D11="","",D11)</f>
        <v/>
      </c>
    </row>
    <row r="136" spans="2:6">
      <c r="B136" s="1" t="s">
        <v>416</v>
      </c>
      <c r="C136" s="337">
        <f>C24</f>
        <v>0.4</v>
      </c>
    </row>
    <row r="137" spans="2:6">
      <c r="B137" s="236" t="str">
        <f>"PV("&amp;C131&amp;" yrs of Dividends)"</f>
        <v>PV(3 yrs of Dividends)</v>
      </c>
      <c r="C137" s="240">
        <f>Scenarios!C81</f>
        <v>0.85813312908530615</v>
      </c>
    </row>
    <row r="138" spans="2:6">
      <c r="B138" s="236" t="str">
        <f>"+ PV(Equity Value realized at year "&amp;C131&amp;")"</f>
        <v>+ PV(Equity Value realized at year 3)</v>
      </c>
      <c r="C138" s="240">
        <f>Scenarios!C82</f>
        <v>8.7795262784442762</v>
      </c>
    </row>
    <row r="139" spans="2:6">
      <c r="B139" s="80" t="s">
        <v>261</v>
      </c>
      <c r="C139" s="239">
        <f>Scenarios!C83</f>
        <v>9.6376594075295827</v>
      </c>
      <c r="D139" s="342" t="str">
        <f>IF($D$11="","",C139*$E$22)</f>
        <v/>
      </c>
    </row>
    <row r="140" spans="2:6">
      <c r="B140" s="290" t="s">
        <v>426</v>
      </c>
      <c r="C140" s="340" t="str">
        <f>Market_currency</f>
        <v>HKD</v>
      </c>
      <c r="D140" s="340" t="str">
        <f>IF($D$11="","",D$13)</f>
        <v/>
      </c>
    </row>
    <row r="141" spans="2:6">
      <c r="B141" s="238" t="s">
        <v>263</v>
      </c>
      <c r="C141" s="92">
        <f>Scenarios!F83</f>
        <v>0.59994805681521424</v>
      </c>
    </row>
    <row r="143" spans="2:6">
      <c r="B143" s="234" t="s">
        <v>421</v>
      </c>
    </row>
    <row r="144" spans="2:6">
      <c r="B144" s="1" t="s">
        <v>420</v>
      </c>
      <c r="C144" s="337">
        <f>Scenarios!C90</f>
        <v>0.2</v>
      </c>
    </row>
    <row r="145" spans="1:6">
      <c r="B145" s="236" t="str">
        <f>"PV("&amp;C131&amp;" yrs of Dividends)"</f>
        <v>PV(3 yrs of Dividends)</v>
      </c>
      <c r="C145" s="240">
        <f>Scenarios!C91</f>
        <v>1.1376533026732782</v>
      </c>
    </row>
    <row r="146" spans="1:6">
      <c r="B146" s="236" t="str">
        <f>"+ PV(Equity Value realized at year "&amp;C131&amp;")"</f>
        <v>+ PV(Equity Value realized at year 3)</v>
      </c>
      <c r="C146" s="240">
        <f>Scenarios!C92</f>
        <v>13.941562562529564</v>
      </c>
    </row>
    <row r="147" spans="1:6">
      <c r="B147" s="80" t="s">
        <v>261</v>
      </c>
      <c r="C147" s="239">
        <f>Scenarios!C93</f>
        <v>15.079215865202842</v>
      </c>
      <c r="D147" s="342" t="str">
        <f>IF($D$11="","",C147*$E$22)</f>
        <v/>
      </c>
    </row>
    <row r="148" spans="1:6">
      <c r="B148" s="290" t="s">
        <v>426</v>
      </c>
      <c r="C148" s="340" t="str">
        <f>Market_currency</f>
        <v>HKD</v>
      </c>
      <c r="D148" s="340" t="str">
        <f>IF($D$11="","",D$13)</f>
        <v/>
      </c>
    </row>
    <row r="149" spans="1:6">
      <c r="B149" s="238" t="s">
        <v>263</v>
      </c>
      <c r="C149" s="92">
        <f>Scenarios!F93</f>
        <v>0.37407316927341527</v>
      </c>
    </row>
    <row r="151" spans="1:6">
      <c r="B151" s="234" t="s">
        <v>408</v>
      </c>
    </row>
    <row r="152" spans="1:6">
      <c r="B152" s="1" t="s">
        <v>419</v>
      </c>
      <c r="C152" s="92">
        <f>Scenarios!C96</f>
        <v>0.08</v>
      </c>
    </row>
    <row r="153" spans="1:6">
      <c r="B153" s="236" t="str">
        <f>"PV("&amp;C131&amp;" yrs of Dividends)"</f>
        <v>PV(3 yrs of Dividends)</v>
      </c>
      <c r="C153" s="240">
        <f>Scenarios!C97</f>
        <v>1.3918199256088173</v>
      </c>
    </row>
    <row r="154" spans="1:6">
      <c r="B154" s="236" t="str">
        <f>"+ PV(Equity Value realized at year "&amp;C131&amp;")"</f>
        <v>+ PV(Equity Value realized at year 3)</v>
      </c>
      <c r="C154" s="240">
        <f>Scenarios!C98</f>
        <v>19.124228480836162</v>
      </c>
    </row>
    <row r="155" spans="1:6">
      <c r="B155" s="80" t="s">
        <v>409</v>
      </c>
      <c r="C155" s="239">
        <f>Scenarios!C99</f>
        <v>20.51604840644498</v>
      </c>
      <c r="D155" s="342" t="str">
        <f>IF($D$11="","",C155*$E$22)</f>
        <v/>
      </c>
    </row>
    <row r="156" spans="1:6">
      <c r="B156" s="290" t="s">
        <v>426</v>
      </c>
      <c r="C156" s="340" t="str">
        <f>Market_currency</f>
        <v>HKD</v>
      </c>
      <c r="D156" s="340" t="str">
        <f>IF($D$11="","",D$13)</f>
        <v/>
      </c>
    </row>
    <row r="157" spans="1:6">
      <c r="B157" s="238" t="s">
        <v>263</v>
      </c>
      <c r="C157" s="92">
        <f>Scenarios!F99</f>
        <v>0.14839436792514116</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0.54007277665368825</v>
      </c>
      <c r="D25" s="39"/>
      <c r="E25" s="39"/>
      <c r="F25" s="39"/>
      <c r="G25" s="39"/>
      <c r="H25" s="39"/>
      <c r="I25" s="39"/>
      <c r="J25" s="39"/>
      <c r="K25" s="39"/>
      <c r="L25" s="39"/>
      <c r="M25" s="39"/>
    </row>
    <row r="27" spans="2:13">
      <c r="B27" s="16" t="s">
        <v>28</v>
      </c>
      <c r="C27" s="97" t="s">
        <v>437</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0.54007277665368825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10.93529166416141</v>
      </c>
      <c r="D47" s="148">
        <f>D46*H1/Common_Shares*Exchange_Rate</f>
        <v>4.564947591459446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14105352.356953345</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-2211861.081848505</v>
      </c>
      <c r="D73" s="188">
        <f>(Normalized_FCF!C25+Normalized_FCF!C35-Normalized_FCF!C91)/12</f>
        <v>-2029417.8215233271</v>
      </c>
      <c r="F73" s="1" t="s">
        <v>359</v>
      </c>
    </row>
    <row r="74" spans="2:6" ht="15" customHeight="1">
      <c r="B74" s="288" t="s">
        <v>329</v>
      </c>
      <c r="C74" s="289">
        <f>-$C$66/C73</f>
        <v>8.2121739692710527</v>
      </c>
      <c r="D74" s="289">
        <f>-$C$66/D73</f>
        <v>8.9504427365112758</v>
      </c>
      <c r="F74" s="283" t="s">
        <v>327</v>
      </c>
    </row>
    <row r="75" spans="2:6" ht="15" customHeight="1">
      <c r="B75" s="80" t="s">
        <v>328</v>
      </c>
      <c r="C75" s="293"/>
      <c r="D75" s="292">
        <f>MAX(-D73*D76,G5)</f>
        <v>4058835.6430466543</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-2096482.1160131099</v>
      </c>
      <c r="D86" s="248">
        <f>C86*scaling_factor/Common_Shares</f>
        <v>-0.8110816366519874</v>
      </c>
      <c r="E86" s="269" t="str">
        <f>Market_currency</f>
        <v>HKD</v>
      </c>
    </row>
    <row r="87" spans="2:8" ht="15" customHeight="1">
      <c r="B87" s="267" t="s">
        <v>294</v>
      </c>
      <c r="C87" s="188">
        <f>Valuation_Model!C8*Exchange_Rate</f>
        <v>15273515.746259721</v>
      </c>
      <c r="D87" s="248">
        <f>C87*scaling_factor/Common_Shares</f>
        <v>5.9089786906766868</v>
      </c>
      <c r="E87" s="269" t="str">
        <f>Market_currency</f>
        <v>HKD</v>
      </c>
    </row>
    <row r="88" spans="2:8" ht="15" customHeight="1">
      <c r="B88" s="268" t="s">
        <v>190</v>
      </c>
      <c r="C88" s="188">
        <f>Valuation_Model!C9*Exchange_Rate</f>
        <v>608079.94173456589</v>
      </c>
      <c r="D88" s="248">
        <f>C88*scaling_factor/Common_Shares</f>
        <v>0.23525241192862753</v>
      </c>
      <c r="E88" s="269" t="str">
        <f>Market_currency</f>
        <v>HKD</v>
      </c>
    </row>
    <row r="89" spans="2:8" ht="15" customHeight="1">
      <c r="B89" s="80" t="s">
        <v>298</v>
      </c>
      <c r="C89" s="187">
        <f>SUM(C86:C88)</f>
        <v>13785113.571981177</v>
      </c>
      <c r="D89" s="271">
        <f>SUM(D86:D88)</f>
        <v>5.3331494659533263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-158442.50761819829</v>
      </c>
      <c r="E12" s="302"/>
      <c r="G12" s="191">
        <f>G50</f>
        <v>-158442.50761819829</v>
      </c>
      <c r="H12" s="191">
        <f t="shared" ref="H12:Q12" si="6">H50</f>
        <v>-69595.443611745213</v>
      </c>
      <c r="I12" s="191">
        <f t="shared" si="6"/>
        <v>-20510.530278873281</v>
      </c>
      <c r="J12" s="191">
        <f t="shared" si="6"/>
        <v>-80035.693244578812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3226381.4162839362</v>
      </c>
      <c r="E13" s="302"/>
      <c r="G13" s="184">
        <f>IF(G$4="","",SUM(G8:G12))</f>
        <v>3628960.766381802</v>
      </c>
      <c r="H13" s="184">
        <f t="shared" ref="H13:Q13" si="7">IF(H$4="","",SUM(H8:H12))</f>
        <v>3325973.830388255</v>
      </c>
      <c r="I13" s="184">
        <f t="shared" si="7"/>
        <v>4239746.8947211262</v>
      </c>
      <c r="J13" s="184">
        <f t="shared" si="7"/>
        <v>4800560.0607554205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-806595.35407098406</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2419786.0622129524</v>
      </c>
      <c r="D16" s="61"/>
      <c r="E16" s="310"/>
      <c r="F16" s="61"/>
      <c r="G16" s="184">
        <f>IF(G$4="","",SUM(G13:G15))</f>
        <v>2532269.766381802</v>
      </c>
      <c r="H16" s="184">
        <f t="shared" ref="H16:Q16" si="8">IF(H$4="","",SUM(H13:H15))</f>
        <v>2256714.830388255</v>
      </c>
      <c r="I16" s="184">
        <f t="shared" si="8"/>
        <v>2888417.8947211262</v>
      </c>
      <c r="J16" s="184">
        <f t="shared" si="8"/>
        <v>3483204.0607554205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2419786.0622129524</v>
      </c>
      <c r="D19" s="27"/>
      <c r="E19" s="299"/>
      <c r="F19" s="27"/>
      <c r="G19" s="186">
        <f>IF(G$4="","",G16+G17)</f>
        <v>2532269.766381802</v>
      </c>
      <c r="H19" s="186">
        <f t="shared" ref="H19:Q19" si="9">IF(H$4="","",H16+H17)</f>
        <v>2256714.830388255</v>
      </c>
      <c r="I19" s="186">
        <f t="shared" si="9"/>
        <v>2888417.8947211262</v>
      </c>
      <c r="J19" s="186">
        <f t="shared" si="9"/>
        <v>3483204.0607554205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0.30235649557025263</v>
      </c>
      <c r="H43" s="6">
        <f t="shared" si="18"/>
        <v>0.32164741298071792</v>
      </c>
      <c r="I43" s="6">
        <f t="shared" si="18"/>
        <v>0.31886636031052384</v>
      </c>
      <c r="J43" s="6">
        <f t="shared" si="18"/>
        <v>0.27447445205146542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95978.492381801712</v>
      </c>
      <c r="E48" s="302"/>
      <c r="G48" s="328">
        <f>IFERROR(IF(G$4="","",($C$48/$C$49)*G49),0)</f>
        <v>95978.492381801712</v>
      </c>
      <c r="H48" s="328">
        <f t="shared" ref="H48:Q48" si="19">IFERROR(IF(H$4="","",($C$48/$C$49)*H49),0)</f>
        <v>111850.55638825479</v>
      </c>
      <c r="I48" s="328">
        <f t="shared" si="19"/>
        <v>100050.46972112672</v>
      </c>
      <c r="J48" s="328">
        <f t="shared" si="19"/>
        <v>32422.306755421181</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-158442.50761819829</v>
      </c>
      <c r="E50" s="302"/>
      <c r="G50" s="184">
        <f>IF(G$4="","",(G47+G48))</f>
        <v>-158442.50761819829</v>
      </c>
      <c r="H50" s="184">
        <f t="shared" ref="H50:Q50" si="20">IF(H$4="","",(H47+H48))</f>
        <v>-69595.443611745213</v>
      </c>
      <c r="I50" s="184">
        <f t="shared" si="20"/>
        <v>-20510.530278873281</v>
      </c>
      <c r="J50" s="184">
        <f t="shared" si="20"/>
        <v>-80035.693244578812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6.0561037152961645E-3</v>
      </c>
      <c r="D80" s="27"/>
      <c r="E80" s="299"/>
      <c r="F80" s="27"/>
      <c r="G80" s="6">
        <f t="shared" ref="G80:Q80" si="31">IF(G$4="","",ABS(G12/G$4))</f>
        <v>5.5253340829427358E-3</v>
      </c>
      <c r="H80" s="6">
        <f t="shared" si="31"/>
        <v>2.5217119157618152E-3</v>
      </c>
      <c r="I80" s="6">
        <f t="shared" si="31"/>
        <v>7.9487756620414004E-4</v>
      </c>
      <c r="J80" s="6">
        <f t="shared" si="31"/>
        <v>3.5457512355343622E-3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0.1233210757381084</v>
      </c>
      <c r="D81" s="27"/>
      <c r="E81" s="299"/>
      <c r="F81" s="27"/>
      <c r="G81" s="65">
        <f t="shared" ref="G81:Q81" si="32">IF(G$4="","",G13/G$4)</f>
        <v>0.1265520276696778</v>
      </c>
      <c r="H81" s="65">
        <f t="shared" si="32"/>
        <v>0.12051288711358367</v>
      </c>
      <c r="I81" s="65">
        <f t="shared" si="32"/>
        <v>0.16430973003505495</v>
      </c>
      <c r="J81" s="65">
        <f t="shared" si="32"/>
        <v>0.21267500881968554</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3.0830268934527099E-2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9.2490806803581307E-2</v>
      </c>
      <c r="D84" s="27"/>
      <c r="E84" s="299"/>
      <c r="F84" s="27"/>
      <c r="G84" s="65">
        <f t="shared" ref="G84:Q84" si="35">IF(G$4="","",ABS(G16/G$4))</f>
        <v>8.8307340357871036E-2</v>
      </c>
      <c r="H84" s="65">
        <f t="shared" si="35"/>
        <v>8.176950074510432E-2</v>
      </c>
      <c r="I84" s="65">
        <f t="shared" si="35"/>
        <v>0.11193950400694072</v>
      </c>
      <c r="J84" s="65">
        <f t="shared" si="35"/>
        <v>0.15431333947842579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9.2490806803581307E-2</v>
      </c>
      <c r="D87" s="75"/>
      <c r="E87" s="299"/>
      <c r="F87" s="75"/>
      <c r="G87" s="65">
        <f t="shared" ref="G87:Q87" si="36">IF(G$4="","",ABS(G19/G$4))</f>
        <v>8.8307340357871036E-2</v>
      </c>
      <c r="H87" s="65">
        <f t="shared" si="36"/>
        <v>8.176950074510432E-2</v>
      </c>
      <c r="I87" s="65">
        <f t="shared" si="36"/>
        <v>0.11193950400694072</v>
      </c>
      <c r="J87" s="65">
        <f t="shared" si="36"/>
        <v>0.15431333947842579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0.54007277665368825</v>
      </c>
      <c r="E90" s="302"/>
      <c r="G90" s="113">
        <f>Data!C65</f>
        <v>0.54007277665368825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1395978.982182059</v>
      </c>
      <c r="E91" s="302"/>
      <c r="G91" s="74">
        <f t="shared" ref="G91:Q91" si="37">IF(G$4="","",G90*Common_Shares/scaling_factor)</f>
        <v>1395978.982182059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0.57690181953746877</v>
      </c>
      <c r="E92" s="302"/>
      <c r="G92" s="171">
        <f t="shared" ref="G92:Q92" si="38">IF(G$4="","",G90/(G19*scaling_factor/Common_Shares))</f>
        <v>0.55127577666288052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3.5069660821668069E-2</v>
      </c>
      <c r="E93" s="302"/>
      <c r="G93" s="23">
        <f t="shared" ref="G93:Q93" si="39">IF(G$4="","",G90/Market_Price)</f>
        <v>3.5069660821668069E-2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-0.1109351618863742</v>
      </c>
      <c r="D97" s="27"/>
      <c r="E97" s="299"/>
      <c r="F97" s="27"/>
      <c r="G97" s="6">
        <f t="shared" ref="G97:Q97" si="41">IF(H5="","",G13/H13-1)</f>
        <v>9.1097209853325367E-2</v>
      </c>
      <c r="H97" s="6">
        <f t="shared" si="41"/>
        <v>-0.21552538088313777</v>
      </c>
      <c r="I97" s="6">
        <f t="shared" si="41"/>
        <v>-0.11682244549317111</v>
      </c>
      <c r="J97" s="6">
        <f t="shared" si="41"/>
        <v>1.4633407732950379</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2.077327598894481</v>
      </c>
      <c r="I114" s="334">
        <f>IF(I$4="","",Data!E$22/I19)</f>
        <v>1.3549299798870877</v>
      </c>
      <c r="J114" s="334">
        <f>IF(J$4="","",Data!F$22/J19)</f>
        <v>1.873371437958423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0.1233210757381084</v>
      </c>
      <c r="E117" s="302"/>
      <c r="G117" s="23">
        <f t="shared" ref="G117:Q117" si="45">G81</f>
        <v>0.1265520276696778</v>
      </c>
      <c r="H117" s="23">
        <f t="shared" si="45"/>
        <v>0.12051288711358367</v>
      </c>
      <c r="I117" s="23">
        <f t="shared" si="45"/>
        <v>0.16430973003505495</v>
      </c>
      <c r="J117" s="23">
        <f t="shared" si="45"/>
        <v>0.21267500881968554</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1.013690683917176</v>
      </c>
      <c r="D124" s="27"/>
      <c r="E124" s="299"/>
      <c r="F124" s="27"/>
      <c r="G124" s="178">
        <f t="shared" ref="G124:Q124" si="49">IF(G$4="","",G16*$C$3/Common_Shares*Exchange_Rate)</f>
        <v>1.0608120740222917</v>
      </c>
      <c r="H124" s="178">
        <f t="shared" si="49"/>
        <v>0.94537729411096327</v>
      </c>
      <c r="I124" s="178">
        <f t="shared" si="49"/>
        <v>1.2100087511293358</v>
      </c>
      <c r="J124" s="178">
        <f t="shared" si="49"/>
        <v>1.4591750740729377</v>
      </c>
      <c r="K124" s="178">
        <f t="shared" si="49"/>
        <v>0.58624134919566395</v>
      </c>
      <c r="L124" s="178">
        <f t="shared" si="49"/>
        <v>0.57761977062176073</v>
      </c>
      <c r="M124" s="178">
        <f t="shared" si="49"/>
        <v>0.2484306342907181</v>
      </c>
      <c r="N124" s="178">
        <f t="shared" si="49"/>
        <v>0.18997028077419448</v>
      </c>
      <c r="O124" s="178">
        <f t="shared" si="49"/>
        <v>9.6947559331054325E-2</v>
      </c>
      <c r="P124" s="178">
        <f t="shared" si="49"/>
        <v>5.0408340596937943E-3</v>
      </c>
      <c r="Q124" s="178" t="str">
        <f t="shared" si="49"/>
        <v/>
      </c>
    </row>
    <row r="125" spans="1:17" ht="15.75" customHeight="1">
      <c r="A125" s="10"/>
      <c r="B125" s="27" t="s">
        <v>270</v>
      </c>
      <c r="C125" s="77">
        <f>C19*Exchange_Rate*$C$3/(Market_Price*Common_Shares)</f>
        <v>6.58240703842322E-2</v>
      </c>
      <c r="D125" s="27"/>
      <c r="E125" s="299"/>
      <c r="F125" s="27"/>
      <c r="G125" s="77">
        <f t="shared" ref="G125" si="50">IF(G$4="","",G124/Market_Price)</f>
        <v>6.888390091053842E-2</v>
      </c>
      <c r="H125" s="77">
        <f t="shared" ref="H125" si="51">IF(H$4="","",H124/Market_Price)</f>
        <v>6.1388135981231377E-2</v>
      </c>
      <c r="I125" s="77">
        <f t="shared" ref="I125" si="52">IF(I$4="","",I124/Market_Price)</f>
        <v>7.857199682658024E-2</v>
      </c>
      <c r="J125" s="77">
        <f t="shared" ref="J125" si="53">IF(J$4="","",J124/Market_Price)</f>
        <v>9.4751628186554387E-2</v>
      </c>
      <c r="K125" s="77">
        <f t="shared" ref="K125" si="54">IF(K$4="","",K124/Market_Price)</f>
        <v>3.8067620077640515E-2</v>
      </c>
      <c r="L125" s="77">
        <f t="shared" ref="L125" si="55">IF(L$4="","",L124/Market_Price)</f>
        <v>3.7507777313101343E-2</v>
      </c>
      <c r="M125" s="77">
        <f t="shared" ref="M125" si="56">IF(M$4="","",M124/Market_Price)</f>
        <v>1.613185936952715E-2</v>
      </c>
      <c r="N125" s="77">
        <f t="shared" ref="N125" si="57">IF(N$4="","",N124/Market_Price)</f>
        <v>1.2335732517804836E-2</v>
      </c>
      <c r="O125" s="77">
        <f t="shared" ref="O125" si="58">IF(O$4="","",O124/Market_Price)</f>
        <v>6.2952960604580731E-3</v>
      </c>
      <c r="P125" s="77">
        <f t="shared" ref="P125" si="59">IF(P$4="","",P124/Market_Price)</f>
        <v>3.2732688699310349E-4</v>
      </c>
      <c r="Q125" s="77" t="str">
        <f t="shared" ref="Q125" si="60">IF(Q$4="","",Q124/Market_Price)</f>
        <v/>
      </c>
    </row>
    <row r="126" spans="1:17" ht="15.75" customHeight="1">
      <c r="B126" s="2" t="s">
        <v>402</v>
      </c>
      <c r="C126" s="170"/>
      <c r="G126" s="23">
        <f>IF(G$4="","",(Data!C47*$C$3)/(Market_Price*Common_Shares))</f>
        <v>7.5690260163041923E-2</v>
      </c>
      <c r="H126" s="23">
        <f>IF(H$4="","",(Data!D47*$C$3)/(Market_Price*Common_Shares))</f>
        <v>8.0062578174954782E-2</v>
      </c>
      <c r="I126" s="23">
        <f>IF(I$4="","",(Data!E47*$C$3)/(Market_Price*Common_Shares))</f>
        <v>0.10208969651116459</v>
      </c>
      <c r="J126" s="23">
        <f>IF(J$4="","",(Data!F47*$C$3)/(Market_Price*Common_Shares))</f>
        <v>0.10076117445108791</v>
      </c>
      <c r="K126" s="23">
        <f>IF(K$4="","",(Data!G47*$C$3)/(Market_Price*Common_Shares))</f>
        <v>4.2669165188951072E-2</v>
      </c>
      <c r="L126" s="23">
        <f>IF(L$4="","",(Data!H47*$C$3)/(Market_Price*Common_Shares))</f>
        <v>3.7661338175019418E-2</v>
      </c>
      <c r="M126" s="23">
        <f>IF(M$4="","",(Data!I47*$C$3)/(Market_Price*Common_Shares))</f>
        <v>1.7968773977585135E-2</v>
      </c>
      <c r="N126" s="23">
        <f>IF(N$4="","",(Data!J47*$C$3)/(Market_Price*Common_Shares))</f>
        <v>1.2941678457326704E-2</v>
      </c>
      <c r="O126" s="23">
        <f>IF(O$4="","",(Data!K47*$C$3)/(Market_Price*Common_Shares))</f>
        <v>1.7607169179583056E-2</v>
      </c>
      <c r="P126" s="23">
        <f>IF(P$4="","",(Data!L47*$C$3)/(Market_Price*Common_Shares))</f>
        <v>1.5476353745253596E-3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2419786.0622129524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30247325.777661905</v>
      </c>
      <c r="D6" t="str">
        <f>Reporting_currency</f>
        <v>CNY</v>
      </c>
      <c r="E6" s="351" t="s">
        <v>250</v>
      </c>
      <c r="F6" s="351"/>
      <c r="H6" s="121"/>
    </row>
    <row r="7" spans="2:8">
      <c r="B7" s="149" t="s">
        <v>225</v>
      </c>
      <c r="C7" s="226">
        <f>BS!G31</f>
        <v>1936137</v>
      </c>
      <c r="D7" t="str">
        <f>Reporting_currency</f>
        <v>CNY</v>
      </c>
      <c r="E7" s="351"/>
      <c r="F7" s="351"/>
      <c r="H7" s="121"/>
    </row>
    <row r="8" spans="2:8">
      <c r="B8" s="149" t="s">
        <v>226</v>
      </c>
      <c r="C8" s="201">
        <f>BS!D66</f>
        <v>14105352.356953345</v>
      </c>
      <c r="D8" t="str">
        <f>Reporting_currency</f>
        <v>CNY</v>
      </c>
      <c r="E8" s="351"/>
      <c r="F8" s="351"/>
      <c r="H8" s="121"/>
    </row>
    <row r="9" spans="2:8">
      <c r="B9" s="227" t="s">
        <v>191</v>
      </c>
      <c r="C9" s="229">
        <f>BS!H42</f>
        <v>561572.19999999995</v>
      </c>
      <c r="D9" t="str">
        <f>Reporting_currency</f>
        <v>CNY</v>
      </c>
      <c r="E9" s="351"/>
      <c r="F9" s="351"/>
      <c r="H9" s="121"/>
    </row>
    <row r="10" spans="2:8" ht="13.15">
      <c r="B10" s="150" t="s">
        <v>228</v>
      </c>
      <c r="C10" s="232">
        <f>C6-C7+C8+C9</f>
        <v>42978113.334615253</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18.004283014918023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24.087532029494838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2551052.345583084</v>
      </c>
      <c r="D21" s="139">
        <f>IF($C$17&lt;B21,0,Valuation_Model!$C$16)</f>
        <v>5.4247061515052201E-2</v>
      </c>
      <c r="E21" s="125">
        <f t="shared" ref="E21:E50" si="0">IF($C$17&lt;B21,0,1/(1+Equity_Cost)^B21)</f>
        <v>0.92592592592592582</v>
      </c>
      <c r="F21" s="126">
        <f t="shared" ref="F21:F51" si="1">C21*E21</f>
        <v>2362085.505169522</v>
      </c>
      <c r="H21" s="121"/>
    </row>
    <row r="22" spans="2:8">
      <c r="B22" s="123">
        <v>2</v>
      </c>
      <c r="C22" s="124">
        <f t="shared" ref="C22:C50" si="2">IF(ROW()-ROW($C$21)&lt;$C$17, $C$21*(1+D22)^(ROW()-ROW($C$21)), 0)</f>
        <v>2689439.4391020476</v>
      </c>
      <c r="D22" s="139">
        <f>IF($C$17&lt;B22,0,Valuation_Model!$C$16)</f>
        <v>5.4247061515052201E-2</v>
      </c>
      <c r="E22" s="125">
        <f t="shared" si="0"/>
        <v>0.85733882030178321</v>
      </c>
      <c r="F22" s="126">
        <f t="shared" si="1"/>
        <v>2305760.8359928392</v>
      </c>
      <c r="H22" s="121"/>
    </row>
    <row r="23" spans="2:8">
      <c r="B23" s="123">
        <v>3</v>
      </c>
      <c r="C23" s="124">
        <f t="shared" si="2"/>
        <v>2835333.6257960233</v>
      </c>
      <c r="D23" s="139">
        <f>IF($C$17&lt;B23,0,Valuation_Model!$C$16)</f>
        <v>5.4247061515052201E-2</v>
      </c>
      <c r="E23" s="125">
        <f t="shared" si="0"/>
        <v>0.79383224102016958</v>
      </c>
      <c r="F23" s="126">
        <f t="shared" si="1"/>
        <v>2250779.2462054999</v>
      </c>
      <c r="H23" s="121"/>
    </row>
    <row r="24" spans="2:8">
      <c r="B24" s="123">
        <v>4</v>
      </c>
      <c r="C24" s="124">
        <f t="shared" si="2"/>
        <v>2989142.1434102757</v>
      </c>
      <c r="D24" s="139">
        <f>IF($C$17&lt;B24,0,Valuation_Model!$C$16)</f>
        <v>5.4247061515052201E-2</v>
      </c>
      <c r="E24" s="125">
        <f t="shared" si="0"/>
        <v>0.73502985279645328</v>
      </c>
      <c r="F24" s="126">
        <f t="shared" si="1"/>
        <v>2197108.7096585296</v>
      </c>
      <c r="H24" s="121"/>
    </row>
    <row r="25" spans="2:8">
      <c r="B25" s="123">
        <v>5</v>
      </c>
      <c r="C25" s="124">
        <f t="shared" si="2"/>
        <v>3151294.3211410879</v>
      </c>
      <c r="D25" s="139">
        <f>IF($C$17&lt;B25,0,Valuation_Model!$C$16)</f>
        <v>5.4247061515052201E-2</v>
      </c>
      <c r="E25" s="125">
        <f t="shared" si="0"/>
        <v>0.68058319703375303</v>
      </c>
      <c r="F25" s="126">
        <f t="shared" si="1"/>
        <v>2144717.9638765119</v>
      </c>
      <c r="H25" s="121"/>
    </row>
    <row r="26" spans="2:8">
      <c r="B26" s="123">
        <v>6</v>
      </c>
      <c r="C26" s="124">
        <f t="shared" si="2"/>
        <v>3322242.7780320626</v>
      </c>
      <c r="D26" s="139">
        <f>IF($C$17&lt;B26,0,Valuation_Model!$C$16)</f>
        <v>5.4247061515052201E-2</v>
      </c>
      <c r="E26" s="125">
        <f t="shared" si="0"/>
        <v>0.63016962688310452</v>
      </c>
      <c r="F26" s="126">
        <f t="shared" si="1"/>
        <v>2093576.4918475535</v>
      </c>
      <c r="H26" s="121"/>
    </row>
    <row r="27" spans="2:8">
      <c r="B27" s="123">
        <v>7</v>
      </c>
      <c r="C27" s="124">
        <f t="shared" si="2"/>
        <v>3502464.6863799058</v>
      </c>
      <c r="D27" s="139">
        <f>IF($C$17&lt;B27,0,Valuation_Model!$C$16)</f>
        <v>5.4247061515052201E-2</v>
      </c>
      <c r="E27" s="125">
        <f t="shared" si="0"/>
        <v>0.58349039526213387</v>
      </c>
      <c r="F27" s="126">
        <f t="shared" si="1"/>
        <v>2043654.504247477</v>
      </c>
      <c r="H27" s="121"/>
    </row>
    <row r="28" spans="2:8">
      <c r="B28" s="123">
        <v>8</v>
      </c>
      <c r="C28" s="124">
        <f t="shared" si="2"/>
        <v>3692463.1036762539</v>
      </c>
      <c r="D28" s="139">
        <f>IF($C$17&lt;B28,0,Valuation_Model!$C$16)</f>
        <v>5.4247061515052201E-2</v>
      </c>
      <c r="E28" s="125">
        <f t="shared" si="0"/>
        <v>0.54026888450197574</v>
      </c>
      <c r="F28" s="126">
        <f t="shared" si="1"/>
        <v>1994922.9220878729</v>
      </c>
      <c r="H28" s="121"/>
    </row>
    <row r="29" spans="2:8">
      <c r="B29" s="123">
        <v>9</v>
      </c>
      <c r="C29" s="124">
        <f t="shared" si="2"/>
        <v>3892768.37680344</v>
      </c>
      <c r="D29" s="139">
        <f>IF($C$17&lt;B29,0,Valuation_Model!$C$16)</f>
        <v>5.4247061515052201E-2</v>
      </c>
      <c r="E29" s="125">
        <f t="shared" si="0"/>
        <v>0.50024896713145905</v>
      </c>
      <c r="F29" s="126">
        <f t="shared" si="1"/>
        <v>1947353.3597779274</v>
      </c>
      <c r="H29" s="121"/>
    </row>
    <row r="30" spans="2:8">
      <c r="B30" s="123">
        <v>10</v>
      </c>
      <c r="C30" s="124">
        <f t="shared" si="2"/>
        <v>4103939.6224037455</v>
      </c>
      <c r="D30" s="139">
        <f>IF($C$17&lt;B30,0,Valuation_Model!$C$16)</f>
        <v>5.4247061515052201E-2</v>
      </c>
      <c r="E30" s="125">
        <f t="shared" si="0"/>
        <v>0.46319348808468425</v>
      </c>
      <c r="F30" s="126">
        <f t="shared" si="1"/>
        <v>1900918.1085901328</v>
      </c>
      <c r="H30" s="121"/>
    </row>
    <row r="31" spans="2:8">
      <c r="B31" s="123">
        <v>11</v>
      </c>
      <c r="C31" s="124">
        <f t="shared" si="2"/>
        <v>4326566.2875543414</v>
      </c>
      <c r="D31" s="139">
        <f>IF($C$17&lt;B31,0,Valuation_Model!$C$16)</f>
        <v>5.4247061515052201E-2</v>
      </c>
      <c r="E31" s="125">
        <f t="shared" si="0"/>
        <v>0.42888285933767062</v>
      </c>
      <c r="F31" s="126">
        <f t="shared" si="1"/>
        <v>1855590.1205202763</v>
      </c>
      <c r="H31" s="121"/>
    </row>
    <row r="32" spans="2:8">
      <c r="B32" s="123">
        <v>12</v>
      </c>
      <c r="C32" s="124">
        <f t="shared" si="2"/>
        <v>4561269.7951042512</v>
      </c>
      <c r="D32" s="139">
        <f>IF($C$17&lt;B32,0,Valuation_Model!$C$16)</f>
        <v>5.4247061515052201E-2</v>
      </c>
      <c r="E32" s="125">
        <f t="shared" si="0"/>
        <v>0.39711375864599124</v>
      </c>
      <c r="F32" s="126">
        <f t="shared" si="1"/>
        <v>1811342.9925322796</v>
      </c>
      <c r="H32" s="121"/>
    </row>
    <row r="33" spans="2:8">
      <c r="B33" s="123">
        <v>13</v>
      </c>
      <c r="C33" s="124">
        <f t="shared" si="2"/>
        <v>4808705.2782660211</v>
      </c>
      <c r="D33" s="139">
        <f>IF($C$17&lt;B33,0,Valuation_Model!$C$16)</f>
        <v>5.4247061515052201E-2</v>
      </c>
      <c r="E33" s="125">
        <f t="shared" si="0"/>
        <v>0.36769792467221413</v>
      </c>
      <c r="F33" s="126">
        <f t="shared" si="1"/>
        <v>1768150.9511787379</v>
      </c>
      <c r="H33" s="121"/>
    </row>
    <row r="34" spans="2:8">
      <c r="B34" s="123">
        <v>14</v>
      </c>
      <c r="C34" s="124">
        <f t="shared" si="2"/>
        <v>5069563.4093038738</v>
      </c>
      <c r="D34" s="139">
        <f>IF($C$17&lt;B34,0,Valuation_Model!$C$16)</f>
        <v>5.4247061515052201E-2</v>
      </c>
      <c r="E34" s="125">
        <f t="shared" si="0"/>
        <v>0.34046104136316119</v>
      </c>
      <c r="F34" s="126">
        <f t="shared" si="1"/>
        <v>1725988.8375881747</v>
      </c>
      <c r="H34" s="121"/>
    </row>
    <row r="35" spans="2:8">
      <c r="B35" s="123">
        <v>15</v>
      </c>
      <c r="C35" s="124">
        <f t="shared" si="2"/>
        <v>5344572.3274228387</v>
      </c>
      <c r="D35" s="139">
        <f>IF($C$17&lt;B35,0,Valuation_Model!$C$16)</f>
        <v>5.4247061515052201E-2</v>
      </c>
      <c r="E35" s="125">
        <f t="shared" si="0"/>
        <v>0.31524170496588994</v>
      </c>
      <c r="F35" s="126">
        <f t="shared" si="1"/>
        <v>1684832.0928102902</v>
      </c>
      <c r="H35" s="121"/>
    </row>
    <row r="36" spans="2:8">
      <c r="B36" s="123">
        <v>16</v>
      </c>
      <c r="C36" s="124">
        <f t="shared" si="2"/>
        <v>5634499.67124019</v>
      </c>
      <c r="D36" s="139">
        <f>IF($C$17&lt;B36,0,Valuation_Model!$C$16)</f>
        <v>5.4247061515052201E-2</v>
      </c>
      <c r="E36" s="125">
        <f t="shared" si="0"/>
        <v>0.29189046756100923</v>
      </c>
      <c r="F36" s="126">
        <f t="shared" si="1"/>
        <v>1644656.7435106519</v>
      </c>
      <c r="H36" s="121"/>
    </row>
    <row r="37" spans="2:8">
      <c r="B37" s="123">
        <v>17</v>
      </c>
      <c r="C37" s="124">
        <f t="shared" si="2"/>
        <v>5940154.7215124974</v>
      </c>
      <c r="D37" s="139">
        <f>IF($C$17&lt;B37,0,Valuation_Model!$C$16)</f>
        <v>5.4247061515052201E-2</v>
      </c>
      <c r="E37" s="125">
        <f t="shared" si="0"/>
        <v>0.27026895144537894</v>
      </c>
      <c r="F37" s="126">
        <f t="shared" si="1"/>
        <v>1605439.3880064995</v>
      </c>
      <c r="H37" s="121"/>
    </row>
    <row r="38" spans="2:8">
      <c r="B38" s="123">
        <v>18</v>
      </c>
      <c r="C38" s="124">
        <f t="shared" si="2"/>
        <v>6262390.6600993127</v>
      </c>
      <c r="D38" s="139">
        <f>IF($C$17&lt;B38,0,Valuation_Model!$C$16)</f>
        <v>5.4247061515052201E-2</v>
      </c>
      <c r="E38" s="125">
        <f t="shared" si="0"/>
        <v>0.25024902911609154</v>
      </c>
      <c r="F38" s="126">
        <f t="shared" si="1"/>
        <v>1567157.1826355327</v>
      </c>
      <c r="H38" s="121"/>
    </row>
    <row r="39" spans="2:8">
      <c r="B39" s="123">
        <v>19</v>
      </c>
      <c r="C39" s="124">
        <f t="shared" si="2"/>
        <v>6602106.9514690069</v>
      </c>
      <c r="D39" s="139">
        <f>IF($C$17&lt;B39,0,Valuation_Model!$C$16)</f>
        <v>5.4247061515052201E-2</v>
      </c>
      <c r="E39" s="125">
        <f t="shared" si="0"/>
        <v>0.23171206399638106</v>
      </c>
      <c r="F39" s="126">
        <f t="shared" si="1"/>
        <v>1529787.8284497387</v>
      </c>
      <c r="H39" s="121"/>
    </row>
    <row r="40" spans="2:8">
      <c r="B40" s="123">
        <v>20</v>
      </c>
      <c r="C40" s="124">
        <f t="shared" si="2"/>
        <v>6960251.8533942988</v>
      </c>
      <c r="D40" s="139">
        <f>IF($C$17&lt;B40,0,Valuation_Model!$C$16)</f>
        <v>5.4247061515052201E-2</v>
      </c>
      <c r="E40" s="125">
        <f t="shared" si="0"/>
        <v>0.21454820740405653</v>
      </c>
      <c r="F40" s="126">
        <f t="shared" si="1"/>
        <v>1493309.5582265088</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31888154.319788549</v>
      </c>
      <c r="D51" s="140">
        <f>Terminal_Growth</f>
        <v>0</v>
      </c>
      <c r="E51" s="125">
        <f>1/(1+Equity_Cost)^C17</f>
        <v>0.21454820740405653</v>
      </c>
      <c r="F51" s="126">
        <f t="shared" si="1"/>
        <v>6841546.3467345545</v>
      </c>
      <c r="H51" s="121"/>
    </row>
    <row r="52" spans="1:8">
      <c r="C52" s="115"/>
      <c r="E52" s="128" t="s">
        <v>101</v>
      </c>
      <c r="F52" s="138">
        <f>SUM(F21:F51)</f>
        <v>44768679.689647116</v>
      </c>
      <c r="H52" s="121"/>
    </row>
    <row r="53" spans="1:8">
      <c r="C53" s="115"/>
      <c r="H53" s="121"/>
    </row>
    <row r="54" spans="1:8" ht="13.15">
      <c r="B54" s="120" t="s">
        <v>130</v>
      </c>
      <c r="C54" s="137"/>
      <c r="D54" s="137"/>
      <c r="E54" s="118"/>
      <c r="F54" s="118"/>
      <c r="H54" s="121"/>
    </row>
    <row r="55" spans="1:8" ht="13.15">
      <c r="A55" s="134">
        <f>F52</f>
        <v>44768679.689647116</v>
      </c>
      <c r="B55" s="132">
        <f>C78</f>
        <v>0</v>
      </c>
      <c r="C55" s="132">
        <f>C77</f>
        <v>0.02</v>
      </c>
      <c r="D55" s="132">
        <f>C76</f>
        <v>0.05</v>
      </c>
      <c r="E55" s="132">
        <f>C75</f>
        <v>0.06</v>
      </c>
      <c r="F55" s="132">
        <f>C74</f>
        <v>0.1</v>
      </c>
      <c r="H55" s="121"/>
    </row>
    <row r="56" spans="1:8" ht="13.15">
      <c r="A56" s="144">
        <v>5</v>
      </c>
      <c r="B56" s="124">
        <f t="dataTable" ref="B56:F61" dt2D="1" dtr="1" r1="C16" r2="C17"/>
        <v>30247325.777661901</v>
      </c>
      <c r="C56" s="124">
        <v>31223262.843887877</v>
      </c>
      <c r="D56" s="124">
        <v>32742371.897288084</v>
      </c>
      <c r="E56" s="124">
        <v>33264106.302178156</v>
      </c>
      <c r="F56" s="124">
        <v>35432325.78702192</v>
      </c>
      <c r="H56" s="121"/>
    </row>
    <row r="57" spans="1:8" ht="13.15">
      <c r="A57" s="144">
        <v>10</v>
      </c>
      <c r="B57" s="124">
        <v>30247325.777661897</v>
      </c>
      <c r="C57" s="124">
        <v>32200098.593929484</v>
      </c>
      <c r="D57" s="124">
        <v>35503454.622540206</v>
      </c>
      <c r="E57" s="124">
        <v>36716229.835213013</v>
      </c>
      <c r="F57" s="124">
        <v>42215985.483120069</v>
      </c>
      <c r="H57" s="121"/>
    </row>
    <row r="58" spans="1:8" ht="13.15">
      <c r="A58" s="144">
        <v>15</v>
      </c>
      <c r="B58" s="124">
        <v>30247325.77766189</v>
      </c>
      <c r="C58" s="124">
        <v>33409203.685779005</v>
      </c>
      <c r="D58" s="124">
        <v>39199994.947401457</v>
      </c>
      <c r="E58" s="124">
        <v>41464758.941773281</v>
      </c>
      <c r="F58" s="124">
        <v>52656793.585133232</v>
      </c>
      <c r="H58" s="121"/>
    </row>
    <row r="59" spans="1:8" ht="13.15">
      <c r="A59" s="145">
        <v>20</v>
      </c>
      <c r="B59" s="124">
        <v>30247325.77766189</v>
      </c>
      <c r="C59" s="124">
        <v>34641087.873160213</v>
      </c>
      <c r="D59" s="124">
        <v>43294415.13821429</v>
      </c>
      <c r="E59" s="124">
        <v>46881539.935426071</v>
      </c>
      <c r="F59" s="124">
        <v>66146197.038834244</v>
      </c>
      <c r="H59" s="121"/>
    </row>
    <row r="60" spans="1:8" ht="13.15">
      <c r="A60" s="145">
        <v>25</v>
      </c>
      <c r="B60" s="124">
        <v>30247325.777661886</v>
      </c>
      <c r="C60" s="124">
        <v>35786808.524690121</v>
      </c>
      <c r="D60" s="124">
        <v>47452220.33211682</v>
      </c>
      <c r="E60" s="124">
        <v>52558161.720101282</v>
      </c>
      <c r="F60" s="124">
        <v>82323794.765104905</v>
      </c>
      <c r="H60" s="121"/>
    </row>
    <row r="61" spans="1:8" ht="13.15">
      <c r="A61" s="145">
        <v>30</v>
      </c>
      <c r="B61" s="124">
        <v>30247325.777661886</v>
      </c>
      <c r="C61" s="124">
        <v>36797493.518453486</v>
      </c>
      <c r="D61" s="124">
        <v>51473008.734567441</v>
      </c>
      <c r="E61" s="124">
        <v>58234062.117262393</v>
      </c>
      <c r="F61" s="124">
        <v>101003240.28680262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18.004283014918023</v>
      </c>
      <c r="C65" s="125">
        <f>C12</f>
        <v>18.004283014918023</v>
      </c>
      <c r="D65" s="125">
        <f>C12</f>
        <v>18.004283014918023</v>
      </c>
      <c r="E65" s="142">
        <f>C12</f>
        <v>18.004283014918023</v>
      </c>
      <c r="F65" s="125">
        <f>C12</f>
        <v>18.004283014918023</v>
      </c>
      <c r="H65" s="121"/>
    </row>
    <row r="66" spans="1:8" ht="13.15">
      <c r="A66" s="144">
        <f t="shared" ref="A66:A71" si="3">A56</f>
        <v>5</v>
      </c>
      <c r="B66" s="125">
        <f t="shared" ref="B66:F71" si="4">(B56-$C$7+$C$8+$C$9)/Common_Shares*$C$3*Exchange_Rate</f>
        <v>18.004283014918023</v>
      </c>
      <c r="C66" s="125">
        <f t="shared" si="4"/>
        <v>18.41312011319356</v>
      </c>
      <c r="D66" s="125">
        <f t="shared" si="4"/>
        <v>19.049501452574347</v>
      </c>
      <c r="E66" s="125">
        <f t="shared" si="4"/>
        <v>19.268065115691101</v>
      </c>
      <c r="F66" s="125">
        <f t="shared" si="4"/>
        <v>20.176370162486766</v>
      </c>
      <c r="H66" s="121"/>
    </row>
    <row r="67" spans="1:8" ht="13.15">
      <c r="A67" s="144">
        <f t="shared" si="3"/>
        <v>10</v>
      </c>
      <c r="B67" s="125">
        <f t="shared" si="4"/>
        <v>18.004283014918023</v>
      </c>
      <c r="C67" s="125">
        <f t="shared" si="4"/>
        <v>18.822333685830166</v>
      </c>
      <c r="D67" s="125">
        <f t="shared" si="4"/>
        <v>20.206167275152509</v>
      </c>
      <c r="E67" s="125">
        <f t="shared" si="4"/>
        <v>20.714220013355241</v>
      </c>
      <c r="F67" s="125">
        <f t="shared" si="4"/>
        <v>23.018163800437701</v>
      </c>
      <c r="H67" s="121"/>
    </row>
    <row r="68" spans="1:8" ht="13.15">
      <c r="A68" s="144">
        <f t="shared" si="3"/>
        <v>15</v>
      </c>
      <c r="B68" s="125">
        <f t="shared" si="4"/>
        <v>18.00428301491802</v>
      </c>
      <c r="C68" s="125">
        <f t="shared" si="4"/>
        <v>19.328848946259342</v>
      </c>
      <c r="D68" s="125">
        <f t="shared" si="4"/>
        <v>21.754712639782454</v>
      </c>
      <c r="E68" s="125">
        <f t="shared" si="4"/>
        <v>22.703461869400815</v>
      </c>
      <c r="F68" s="125">
        <f t="shared" si="4"/>
        <v>27.392000839526446</v>
      </c>
      <c r="H68" s="121"/>
    </row>
    <row r="69" spans="1:8" ht="13.15">
      <c r="A69" s="145">
        <f t="shared" si="3"/>
        <v>20</v>
      </c>
      <c r="B69" s="125">
        <f t="shared" si="4"/>
        <v>18.00428301491802</v>
      </c>
      <c r="C69" s="125">
        <f t="shared" si="4"/>
        <v>19.844906768028594</v>
      </c>
      <c r="D69" s="125">
        <f t="shared" si="4"/>
        <v>23.469936835955256</v>
      </c>
      <c r="E69" s="125">
        <f t="shared" si="4"/>
        <v>24.972646123261612</v>
      </c>
      <c r="F69" s="125">
        <f t="shared" si="4"/>
        <v>33.042947766674054</v>
      </c>
      <c r="H69" s="121"/>
    </row>
    <row r="70" spans="1:8" ht="13.15">
      <c r="A70" s="145">
        <f t="shared" si="3"/>
        <v>25</v>
      </c>
      <c r="B70" s="125">
        <f t="shared" si="4"/>
        <v>18.004283014918016</v>
      </c>
      <c r="C70" s="125">
        <f t="shared" si="4"/>
        <v>20.324869178327482</v>
      </c>
      <c r="D70" s="125">
        <f t="shared" si="4"/>
        <v>25.211714118012569</v>
      </c>
      <c r="E70" s="125">
        <f t="shared" si="4"/>
        <v>27.350682226992234</v>
      </c>
      <c r="F70" s="125">
        <f t="shared" si="4"/>
        <v>39.820026269342556</v>
      </c>
    </row>
    <row r="71" spans="1:8" ht="13.15">
      <c r="A71" s="145">
        <f t="shared" si="3"/>
        <v>30</v>
      </c>
      <c r="B71" s="125">
        <f t="shared" si="4"/>
        <v>18.004283014918016</v>
      </c>
      <c r="C71" s="125">
        <f t="shared" si="4"/>
        <v>20.7482627909082</v>
      </c>
      <c r="D71" s="125">
        <f t="shared" si="4"/>
        <v>26.896092670816934</v>
      </c>
      <c r="E71" s="125">
        <f t="shared" si="4"/>
        <v>29.728416128881978</v>
      </c>
      <c r="F71" s="125">
        <f t="shared" si="4"/>
        <v>47.645172550566564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47.645172550566564</v>
      </c>
      <c r="F74" s="143">
        <f>Scenarios!C58</f>
        <v>0.05</v>
      </c>
    </row>
    <row r="75" spans="1:8">
      <c r="B75" s="128" t="str">
        <f>Scenarios!B36</f>
        <v>Optimistic</v>
      </c>
      <c r="C75" s="143">
        <f>Scenarios!C38</f>
        <v>0.06</v>
      </c>
      <c r="D75" s="146">
        <f>Scenarios!C37</f>
        <v>20</v>
      </c>
      <c r="E75" s="136">
        <f>INDEX(B$65:F$71, MATCH(D75, A$65:A$71, 0), MATCH(C75, B$64:F$64, 0))</f>
        <v>24.972646123261612</v>
      </c>
      <c r="F75" s="143">
        <f>Scenarios!C40*(1-F$74-F$78)</f>
        <v>0.22499999999999992</v>
      </c>
      <c r="H75" s="121"/>
    </row>
    <row r="76" spans="1:8">
      <c r="B76" s="128" t="str">
        <f>Scenarios!B24</f>
        <v>Base</v>
      </c>
      <c r="C76" s="143">
        <f>Scenarios!C26</f>
        <v>0.05</v>
      </c>
      <c r="D76" s="146">
        <f>Scenarios!C25</f>
        <v>20</v>
      </c>
      <c r="E76" s="136">
        <f>INDEX(B$65:F$71, MATCH(D76, A$65:A$71, 0), MATCH(C76, B$64:F$64, 0))</f>
        <v>23.469936835955256</v>
      </c>
      <c r="F76" s="143">
        <f>Scenarios!C28*(1-F$74-F$78)</f>
        <v>0.495</v>
      </c>
      <c r="H76" s="121"/>
    </row>
    <row r="77" spans="1:8">
      <c r="B77" s="128" t="str">
        <f>Scenarios!B30</f>
        <v>Pessimistic</v>
      </c>
      <c r="C77" s="143">
        <f>Scenarios!C32</f>
        <v>0.02</v>
      </c>
      <c r="D77" s="146">
        <f>Scenarios!C31</f>
        <v>20</v>
      </c>
      <c r="E77" s="136">
        <f>INDEX(B$65:F$71, MATCH(D77, A$65:A$71, 0), MATCH(C77, B$64:F$64, 0))</f>
        <v>19.844906768028594</v>
      </c>
      <c r="F77" s="143">
        <f>Scenarios!C34*(1-F$74-F$78)</f>
        <v>0.18</v>
      </c>
      <c r="H77" s="121"/>
    </row>
    <row r="78" spans="1:8">
      <c r="B78" s="128" t="str">
        <f>Scenarios!B48</f>
        <v>Devil's advocate</v>
      </c>
      <c r="C78" s="143">
        <f>Scenarios!C50</f>
        <v>0</v>
      </c>
      <c r="D78" s="146">
        <f>Scenarios!C49</f>
        <v>30</v>
      </c>
      <c r="E78" s="136">
        <f>INDEX(B$65:F$71, MATCH(D78, A$65:A$71, 0), MATCH(C78, B$64:F$64, 0))</f>
        <v>18.004283014918016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-15.4</v>
      </c>
    </row>
    <row r="4" spans="2:9">
      <c r="B4" s="153" t="s">
        <v>147</v>
      </c>
      <c r="C4" s="121">
        <v>3</v>
      </c>
      <c r="D4" s="121"/>
      <c r="E4" s="156" t="s">
        <v>151</v>
      </c>
      <c r="F4" s="156"/>
      <c r="H4" s="276">
        <v>1</v>
      </c>
      <c r="I4" s="264">
        <f t="shared" ref="I4:I13" si="0">IF(ROW()-3 &lt; $C$76, $C$77, IF(ROW()-3 = $C$76, $C$77 + $C$60, ""))</f>
        <v>0.54007277665368825</v>
      </c>
    </row>
    <row r="5" spans="2:9">
      <c r="H5" s="276">
        <v>2</v>
      </c>
      <c r="I5" s="264">
        <f t="shared" si="0"/>
        <v>0.54007277665368825</v>
      </c>
    </row>
    <row r="6" spans="2:9" ht="13.15">
      <c r="B6" s="160" t="s">
        <v>96</v>
      </c>
      <c r="C6" s="107">
        <f>Valuation_Model!C3</f>
        <v>1000</v>
      </c>
      <c r="E6" s="100" t="s">
        <v>282</v>
      </c>
      <c r="F6" s="100"/>
      <c r="H6" s="276">
        <v>3</v>
      </c>
      <c r="I6" s="264">
        <f t="shared" si="0"/>
        <v>24.631092884704774</v>
      </c>
    </row>
    <row r="7" spans="2:9" ht="12.75" customHeight="1">
      <c r="B7" s="100" t="s">
        <v>276</v>
      </c>
      <c r="C7" s="115">
        <f>Normalized_FCF!G8</f>
        <v>3529289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3"/>
      <c r="H7" s="276">
        <v>4</v>
      </c>
      <c r="I7" s="264" t="str">
        <f t="shared" si="0"/>
        <v/>
      </c>
    </row>
    <row r="8" spans="2:9">
      <c r="B8" s="100" t="s">
        <v>66</v>
      </c>
      <c r="C8" s="115">
        <f>Normalized_FCF!G19</f>
        <v>2532269.766381802</v>
      </c>
      <c r="D8" t="str">
        <f>Reporting_currency</f>
        <v>CNY</v>
      </c>
      <c r="E8" s="353"/>
      <c r="F8" s="353"/>
      <c r="H8" s="276">
        <v>5</v>
      </c>
      <c r="I8" s="264" t="str">
        <f t="shared" si="0"/>
        <v/>
      </c>
    </row>
    <row r="9" spans="2:9">
      <c r="B9" s="100" t="s">
        <v>57</v>
      </c>
      <c r="C9" s="201">
        <f>Normalized_FCF!C19</f>
        <v>2419786.0622129524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8.3043513409933434E-2</v>
      </c>
      <c r="D12" s="159"/>
      <c r="E12" s="353"/>
      <c r="F12" s="353"/>
      <c r="H12" s="276">
        <v>9</v>
      </c>
      <c r="I12" s="264" t="str">
        <f t="shared" si="0"/>
        <v/>
      </c>
    </row>
    <row r="13" spans="2:9">
      <c r="B13" s="149" t="s">
        <v>153</v>
      </c>
      <c r="C13" s="159">
        <f ca="1">(Normalized_FCF!G8/OFFSET(Normalized_FCF!G8, 0, $C$4))^(1/$C$4) - 1</f>
        <v>-9.2379152048964186E-2</v>
      </c>
      <c r="E13" s="353"/>
      <c r="F13" s="353"/>
      <c r="H13" s="276">
        <v>10</v>
      </c>
      <c r="I13" s="264" t="str">
        <f t="shared" si="0"/>
        <v/>
      </c>
    </row>
    <row r="14" spans="2:9">
      <c r="B14" s="100" t="s">
        <v>66</v>
      </c>
      <c r="C14" s="159">
        <f ca="1">(Normalized_FCF!G19/OFFSET(Normalized_FCF!G19, 0, $C$4))^(1/$C$4) - 1</f>
        <v>-0.10082611729521807</v>
      </c>
      <c r="E14" s="353"/>
      <c r="F14" s="353"/>
    </row>
    <row r="16" spans="2:9" ht="13.9">
      <c r="B16" s="36" t="s">
        <v>163</v>
      </c>
      <c r="C16" s="37"/>
      <c r="D16" s="37"/>
      <c r="E16" s="37"/>
      <c r="F16" s="37"/>
    </row>
    <row r="17" spans="2:6" ht="13.15">
      <c r="B17" s="109" t="s">
        <v>152</v>
      </c>
      <c r="E17" s="160" t="s">
        <v>337</v>
      </c>
    </row>
    <row r="18" spans="2:6">
      <c r="B18" s="153" t="s">
        <v>134</v>
      </c>
      <c r="C18" s="151">
        <v>20</v>
      </c>
      <c r="E18" s="353" t="s">
        <v>338</v>
      </c>
      <c r="F18" s="354"/>
    </row>
    <row r="19" spans="2:6">
      <c r="E19" s="354"/>
      <c r="F19" s="354"/>
    </row>
    <row r="20" spans="2:6" ht="13.15">
      <c r="B20" s="160" t="s">
        <v>310</v>
      </c>
      <c r="E20" s="354"/>
      <c r="F20" s="354"/>
    </row>
    <row r="21" spans="2:6">
      <c r="B21" s="100" t="s">
        <v>280</v>
      </c>
      <c r="C21" s="161">
        <f>Market_Price</f>
        <v>15.4</v>
      </c>
      <c r="D21" t="str">
        <f>Market_currency</f>
        <v>HKD</v>
      </c>
      <c r="E21" s="354"/>
      <c r="F21" s="354"/>
    </row>
    <row r="22" spans="2:6">
      <c r="B22" s="100" t="s">
        <v>281</v>
      </c>
      <c r="C22" s="161">
        <f>Valuation_Model!C12</f>
        <v>18.004283014918023</v>
      </c>
      <c r="D22" t="str">
        <f>Market_currency</f>
        <v>HKD</v>
      </c>
      <c r="E22" s="354"/>
      <c r="F22" s="354"/>
    </row>
    <row r="24" spans="2:6" ht="13.15">
      <c r="B24" s="160" t="s">
        <v>116</v>
      </c>
      <c r="E24" s="160" t="s">
        <v>150</v>
      </c>
      <c r="F24" s="160"/>
    </row>
    <row r="25" spans="2:6">
      <c r="B25" s="153" t="s">
        <v>134</v>
      </c>
      <c r="C25" s="167">
        <f>C18</f>
        <v>20</v>
      </c>
      <c r="D25" s="164"/>
      <c r="E25" s="352"/>
      <c r="F25" s="352"/>
    </row>
    <row r="26" spans="2:6">
      <c r="B26" s="119" t="s">
        <v>135</v>
      </c>
      <c r="C26" s="165">
        <v>0.05</v>
      </c>
      <c r="D26" s="165"/>
      <c r="E26" s="352"/>
      <c r="F26" s="352"/>
    </row>
    <row r="27" spans="2:6">
      <c r="B27" s="100" t="s">
        <v>114</v>
      </c>
      <c r="C27" s="161">
        <f>Valuation_Model!E76</f>
        <v>23.469936835955256</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20</v>
      </c>
      <c r="D31" s="164"/>
      <c r="E31" s="352"/>
      <c r="F31" s="352"/>
    </row>
    <row r="32" spans="2:6">
      <c r="B32" s="119" t="s">
        <v>135</v>
      </c>
      <c r="C32" s="165">
        <v>0.02</v>
      </c>
      <c r="D32" s="165"/>
      <c r="E32" s="352"/>
      <c r="F32" s="352"/>
    </row>
    <row r="33" spans="2:6">
      <c r="B33" s="100" t="s">
        <v>114</v>
      </c>
      <c r="C33" s="161">
        <f>Valuation_Model!E77</f>
        <v>19.844906768028594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20</v>
      </c>
      <c r="D37" s="164"/>
      <c r="E37" s="352"/>
      <c r="F37" s="352"/>
    </row>
    <row r="38" spans="2:6">
      <c r="B38" s="119" t="s">
        <v>135</v>
      </c>
      <c r="C38" s="165">
        <v>0.06</v>
      </c>
      <c r="D38" s="165"/>
      <c r="E38" s="352"/>
      <c r="F38" s="352"/>
    </row>
    <row r="39" spans="2:6">
      <c r="B39" s="100" t="s">
        <v>114</v>
      </c>
      <c r="C39" s="161">
        <f>Valuation_Model!E75</f>
        <v>24.972646123261612</v>
      </c>
      <c r="D39" t="str">
        <f>Market_currency</f>
        <v>HKD</v>
      </c>
      <c r="E39" s="352"/>
      <c r="F39" s="352"/>
    </row>
    <row r="40" spans="2:6">
      <c r="B40" s="100" t="s">
        <v>148</v>
      </c>
      <c r="C40" s="168">
        <f>1-C28-C34</f>
        <v>0.24999999999999994</v>
      </c>
      <c r="D40" s="166"/>
      <c r="E40" s="352"/>
      <c r="F40" s="352"/>
    </row>
    <row r="42" spans="2:6" ht="13.15">
      <c r="B42" s="100" t="s">
        <v>121</v>
      </c>
      <c r="C42" s="155">
        <f>C27*C28+C33*C34+C39*C40</f>
        <v>23.12060814419651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18.004283014918016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47.645172550566564</v>
      </c>
      <c r="D57" t="str">
        <f>Market_currency</f>
        <v>HKD</v>
      </c>
      <c r="E57" s="352"/>
      <c r="F57" s="352"/>
    </row>
    <row r="58" spans="2:6">
      <c r="B58" s="100" t="s">
        <v>148</v>
      </c>
      <c r="C58" s="166">
        <v>0.05</v>
      </c>
      <c r="D58" s="166"/>
      <c r="E58" s="352"/>
      <c r="F58" s="352"/>
    </row>
    <row r="60" spans="2:6" ht="13.15">
      <c r="B60" s="100" t="s">
        <v>121</v>
      </c>
      <c r="C60" s="155">
        <f>C51*C52+C57*C58+C42*(1-C52-C58)</f>
        <v>24.091020108051087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5.4247061515052201E-2</v>
      </c>
      <c r="D65" s="152"/>
      <c r="E65" s="281" t="s">
        <v>320</v>
      </c>
    </row>
    <row r="66" spans="2:6">
      <c r="B66" s="100" t="s">
        <v>103</v>
      </c>
      <c r="C66" s="161">
        <f>Valuation_Model!C18</f>
        <v>24.087532029494838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0.22137499541461994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0.54007277665368825</v>
      </c>
      <c r="D77" t="str">
        <f>Market_currency</f>
        <v>HKD</v>
      </c>
    </row>
    <row r="79" spans="2:6" ht="13.15">
      <c r="B79" s="109" t="s">
        <v>308</v>
      </c>
    </row>
    <row r="80" spans="2:6">
      <c r="B80" s="149" t="s">
        <v>306</v>
      </c>
      <c r="C80" s="168">
        <f>Thesis!C132</f>
        <v>0.4</v>
      </c>
    </row>
    <row r="81" spans="2:8">
      <c r="B81" s="100" t="s">
        <v>122</v>
      </c>
      <c r="C81" s="117">
        <f>PV(C80, C76, -C77, 0)</f>
        <v>0.85813312908530615</v>
      </c>
      <c r="D81" s="117"/>
      <c r="E81" s="100"/>
      <c r="F81" s="100"/>
    </row>
    <row r="82" spans="2:8">
      <c r="B82" s="100" t="s">
        <v>123</v>
      </c>
      <c r="C82" s="117">
        <f>C60/(1+C80)^C76</f>
        <v>8.7795262784442762</v>
      </c>
      <c r="D82" s="117"/>
    </row>
    <row r="83" spans="2:8" ht="13.15">
      <c r="B83" s="111" t="s">
        <v>102</v>
      </c>
      <c r="C83" s="112">
        <f>C81+C82</f>
        <v>9.6376594075295827</v>
      </c>
      <c r="D83" t="str">
        <f>Market_currency</f>
        <v>HKD</v>
      </c>
      <c r="E83" s="147" t="s">
        <v>127</v>
      </c>
      <c r="F83" s="329">
        <f>(1-C83/C60)</f>
        <v>0.59994805681521424</v>
      </c>
    </row>
    <row r="84" spans="2:8">
      <c r="E84" s="121"/>
    </row>
    <row r="85" spans="2:8" ht="13.15">
      <c r="B85" s="109" t="s">
        <v>309</v>
      </c>
    </row>
    <row r="86" spans="2:8">
      <c r="B86" s="149" t="s">
        <v>307</v>
      </c>
      <c r="C86" s="266">
        <f>Market_Price</f>
        <v>15.4</v>
      </c>
      <c r="D86" t="str">
        <f>Market_currency</f>
        <v>HKD</v>
      </c>
    </row>
    <row r="87" spans="2:8" ht="13.15">
      <c r="B87" s="100" t="s">
        <v>305</v>
      </c>
      <c r="C87" s="265">
        <f ca="1">IRR(OFFSET($I$3, 0, 0, $C$76 + 1, 1))</f>
        <v>0.19136836795872036</v>
      </c>
    </row>
    <row r="88" spans="2:8">
      <c r="B88" s="100"/>
    </row>
    <row r="89" spans="2:8" ht="13.15">
      <c r="B89" s="109" t="s">
        <v>422</v>
      </c>
    </row>
    <row r="90" spans="2:8">
      <c r="B90" s="149" t="s">
        <v>423</v>
      </c>
      <c r="C90" s="168">
        <f>Thesis!E24</f>
        <v>0.2</v>
      </c>
    </row>
    <row r="91" spans="2:8">
      <c r="B91" s="100" t="s">
        <v>122</v>
      </c>
      <c r="C91" s="117">
        <f>PV(C90, C76, -C77, 0)</f>
        <v>1.1376533026732782</v>
      </c>
      <c r="D91" s="117"/>
      <c r="E91" s="100"/>
      <c r="F91" s="100"/>
    </row>
    <row r="92" spans="2:8">
      <c r="B92" s="100" t="s">
        <v>123</v>
      </c>
      <c r="C92" s="117">
        <f>C60/(1+C90)^C76</f>
        <v>13.941562562529564</v>
      </c>
      <c r="D92" s="117"/>
    </row>
    <row r="93" spans="2:8" ht="13.15">
      <c r="B93" s="111" t="s">
        <v>102</v>
      </c>
      <c r="C93" s="112">
        <f>C91+C92</f>
        <v>15.079215865202842</v>
      </c>
      <c r="D93" t="str">
        <f>Market_currency</f>
        <v>HKD</v>
      </c>
      <c r="E93" s="147" t="s">
        <v>127</v>
      </c>
      <c r="F93" s="329">
        <f>(1-C93/C60)</f>
        <v>0.37407316927341527</v>
      </c>
    </row>
    <row r="95" spans="2:8" ht="13.15">
      <c r="B95" s="109" t="s">
        <v>405</v>
      </c>
      <c r="G95" s="2"/>
      <c r="H95" s="316"/>
    </row>
    <row r="96" spans="2:8">
      <c r="B96" s="149" t="s">
        <v>411</v>
      </c>
      <c r="C96" s="135">
        <f>Thesis!C72</f>
        <v>0.08</v>
      </c>
      <c r="G96" s="2"/>
      <c r="H96" s="316"/>
    </row>
    <row r="97" spans="2:8">
      <c r="B97" s="100" t="s">
        <v>122</v>
      </c>
      <c r="C97" s="117">
        <f>PV(C96, C76, -C77, 0)</f>
        <v>1.3918199256088173</v>
      </c>
      <c r="D97" s="117"/>
      <c r="G97" s="2"/>
      <c r="H97" s="316"/>
    </row>
    <row r="98" spans="2:8">
      <c r="B98" s="100" t="s">
        <v>123</v>
      </c>
      <c r="C98" s="117">
        <f>C60/(1+C96)^C76</f>
        <v>19.124228480836162</v>
      </c>
      <c r="D98" s="117"/>
      <c r="G98" s="2"/>
      <c r="H98" s="316"/>
    </row>
    <row r="99" spans="2:8" ht="13.15">
      <c r="B99" s="111" t="s">
        <v>406</v>
      </c>
      <c r="C99" s="112">
        <f>C97+C98</f>
        <v>20.51604840644498</v>
      </c>
      <c r="D99" t="s">
        <v>404</v>
      </c>
      <c r="E99" s="147" t="s">
        <v>127</v>
      </c>
      <c r="F99" s="329">
        <f>(1-C99/C60)</f>
        <v>0.14839436792514116</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