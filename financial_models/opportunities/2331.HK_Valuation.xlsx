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4EFE2A9-E40C-4AAA-8149-27C6D9156190}"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17" i="2" l="1"/>
  <c r="E83" i="2"/>
  <c r="E84" i="2"/>
  <c r="C79" i="2"/>
  <c r="C64" i="2"/>
  <c r="C65" i="2"/>
  <c r="C66" i="2"/>
  <c r="C35" i="2"/>
  <c r="C29" i="2"/>
  <c r="C30" i="2"/>
  <c r="G17" i="3"/>
  <c r="C19" i="3"/>
  <c r="C23" i="3"/>
  <c r="G4" i="3"/>
  <c r="C4" i="3"/>
  <c r="C11" i="3"/>
  <c r="C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<sst xmlns="http://schemas.openxmlformats.org/spreadsheetml/2006/main" count="768" uniqueCount="559">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</sst>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E5" s="433" t="s">
        <v>538</v>
      </c>
      <c r="F5" s="432" t="s">
        <v>496</v>
      </c>
    </row>
    <row r="6" spans="1:9">
      <c r="B6" s="2" t="s">
        <v>52</v>
      </c>
      <c r="C6" s="45" t="s">
        <v>557</v>
      </c>
      <c r="D6" s="45"/>
      <c r="E6" s="45"/>
    </row>
    <row r="7" spans="1:9">
      <c r="B7" s="1" t="s">
        <v>350</v>
      </c>
      <c r="C7" s="45" t="s">
        <v>307</v>
      </c>
      <c r="D7" s="45"/>
      <c r="E7" s="45"/>
    </row>
    <row r="8" spans="1:9">
      <c r="B8" s="4" t="s">
        <v>349</v>
      </c>
      <c r="C8" s="47">
        <v>21.72</v>
      </c>
      <c r="E8" s="32"/>
    </row>
    <row r="9" spans="1:9">
      <c r="B9" s="4" t="s">
        <v>345</v>
      </c>
      <c r="C9" s="48">
        <v>2584811005</v>
      </c>
    </row>
    <row r="10" spans="1:9">
      <c r="B10" s="4" t="s">
        <v>351</v>
      </c>
      <c r="C10" s="33">
        <f>Thesis!C8*Common_Shares/1000000</f>
        <v>56142.095028600001</v>
      </c>
      <c r="D10" s="1" t="s">
        <v>527</v>
      </c>
      <c r="E10" s="303">
        <f>Scenarios!F34</f>
        <v>0.1122345466429588</v>
      </c>
    </row>
    <row r="11" spans="1:9">
      <c r="D11" s="5"/>
      <c r="E11" s="5"/>
    </row>
    <row r="12" spans="1:9" ht="24.5" customHeight="1">
      <c r="B12" s="462" t="s">
        <v>354</v>
      </c>
      <c r="C12" s="462"/>
      <c r="D12" s="462"/>
      <c r="E12" s="462"/>
      <c r="F12" s="462"/>
    </row>
    <row r="14" spans="1:9">
      <c r="B14" s="42" t="str">
        <f>Scenarios!B39&amp;" Valuation Conclusion"</f>
        <v>2-stage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1.135421</v>
      </c>
    </row>
    <row r="17" spans="1:6">
      <c r="B17" s="1" t="s">
        <v>531</v>
      </c>
      <c r="C17" s="456">
        <v>0.02</v>
      </c>
      <c r="D17" s="4" t="s">
        <v>273</v>
      </c>
      <c r="E17" s="224" t="s">
        <v>558</v>
      </c>
    </row>
    <row r="18" spans="1:6">
      <c r="B18" s="1" t="str">
        <f>"Expected Equity Value ("&amp;C7&amp;") :"</f>
        <v>Expected Equity Value (HKD) :</v>
      </c>
      <c r="C18" s="252">
        <f>C125</f>
        <v>28.159642981607451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13.752707078011102</v>
      </c>
      <c r="D22" s="38" t="s">
        <v>405</v>
      </c>
      <c r="E22" s="79">
        <v>0.3</v>
      </c>
    </row>
    <row r="23" spans="1:6">
      <c r="B23" s="1" t="s">
        <v>312</v>
      </c>
      <c r="C23" s="256">
        <f>E141</f>
        <v>17.381035598687642</v>
      </c>
      <c r="D23" s="38" t="s">
        <v>406</v>
      </c>
      <c r="E23" s="443">
        <v>0.2</v>
      </c>
    </row>
    <row r="24" spans="1:6">
      <c r="B24" s="1" t="s">
        <v>314</v>
      </c>
      <c r="C24" s="256">
        <f>E144</f>
        <v>21.426331015104591</v>
      </c>
      <c r="D24" s="38" t="s">
        <v>407</v>
      </c>
      <c r="E24" s="443">
        <v>0.1174</v>
      </c>
    </row>
    <row r="25" spans="1:6">
      <c r="B25" s="1" t="s">
        <v>313</v>
      </c>
      <c r="C25" s="256">
        <f>E145</f>
        <v>24.171792450066203</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3529289</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26477.664127013679</v>
      </c>
      <c r="D44" s="1" t="str">
        <f>Reporting_currency</f>
        <v>CNY</v>
      </c>
      <c r="E44" s="244"/>
      <c r="F44" s="244"/>
    </row>
    <row r="45" spans="2:6">
      <c r="B45" s="44" t="s">
        <v>267</v>
      </c>
      <c r="C45" s="286">
        <f>Normalized_FCF!C45</f>
        <v>-106638.78</v>
      </c>
      <c r="D45" s="1" t="str">
        <f>Reporting_currency</f>
        <v>CNY</v>
      </c>
      <c r="E45" s="244"/>
      <c r="F45" s="244"/>
    </row>
    <row r="46" spans="2:6">
      <c r="B46" s="44" t="s">
        <v>202</v>
      </c>
      <c r="C46" s="285">
        <f>Normalized_FCF!C10</f>
        <v>-80161.115872986324</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-862281.97103175346</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2533245.4233489423</v>
      </c>
      <c r="D60" s="1" t="str">
        <f>Reporting_currency</f>
        <v>CNY</v>
      </c>
    </row>
    <row r="61" spans="2:6">
      <c r="B61" s="44" t="s">
        <v>212</v>
      </c>
      <c r="C61" s="285">
        <f>Normalized_FCF!C19</f>
        <v>2586845.9130952605</v>
      </c>
      <c r="D61" s="1" t="str">
        <f>Reporting_currency</f>
        <v>CNY</v>
      </c>
    </row>
    <row r="62" spans="2:6">
      <c r="B62" s="204" t="s">
        <v>301</v>
      </c>
      <c r="C62" s="89">
        <f>Normalized_FCF!C124</f>
        <v>5.2316522423972264E-2</v>
      </c>
      <c r="F62" s="257"/>
    </row>
    <row r="63" spans="2:6">
      <c r="B63" s="204" t="s">
        <v>331</v>
      </c>
      <c r="C63" s="89">
        <f>Normalized_FCF!C92</f>
        <v>2.3713224922145889E-2</v>
      </c>
      <c r="E63" s="44" t="s">
        <v>321</v>
      </c>
      <c r="F63" s="258">
        <f>Normalized_FCF!C90</f>
        <v>0.51464608706465875</v>
      </c>
    </row>
    <row r="65" spans="1:6">
      <c r="B65" s="192" t="s">
        <v>324</v>
      </c>
      <c r="C65" s="264" t="s">
        <v>326</v>
      </c>
      <c r="D65" s="264" t="s">
        <v>327</v>
      </c>
    </row>
    <row r="66" spans="1:6">
      <c r="B66" s="44" t="s">
        <v>325</v>
      </c>
      <c r="C66" s="89">
        <f>Normalized_FCF!E119</f>
        <v>0.2</v>
      </c>
      <c r="D66" s="89">
        <f>Normalized_FCF!G119</f>
        <v>0.13360732602591308</v>
      </c>
    </row>
    <row r="67" spans="1:6">
      <c r="B67" s="229" t="str">
        <f>Normalized_FCF!B116</f>
        <v>Pre-tax Profit/Sales</v>
      </c>
      <c r="C67" s="263">
        <f>Normalized_FCF!E116</f>
        <v>0.13430424833028851</v>
      </c>
      <c r="D67" s="263">
        <f>Normalized_FCF!G116</f>
        <v>0.12658605156121319</v>
      </c>
    </row>
    <row r="68" spans="1:6">
      <c r="B68" s="229" t="str">
        <f>Normalized_FCF!B117</f>
        <v>Sales/Total Assets</v>
      </c>
      <c r="C68" s="265">
        <f>Normalized_FCF!E117</f>
        <v>1.1000000000000001</v>
      </c>
      <c r="D68" s="265">
        <f>Normalized_FCF!G117</f>
        <v>0.77964492924870721</v>
      </c>
    </row>
    <row r="69" spans="1:6">
      <c r="B69" s="229" t="str">
        <f>Normalized_FCF!B118</f>
        <v>Total Assets/Equity</v>
      </c>
      <c r="C69" s="265">
        <f>Normalized_FCF!E118</f>
        <v>1.3537783359692717</v>
      </c>
      <c r="D69" s="265">
        <f>Normalized_FCF!G118</f>
        <v>1.3537783359692717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-1777313</v>
      </c>
      <c r="D78" s="1" t="str">
        <f>Reporting_currency</f>
        <v>CNY</v>
      </c>
    </row>
    <row r="79" spans="1:6">
      <c r="A79" s="191"/>
      <c r="B79" s="44" t="s">
        <v>233</v>
      </c>
      <c r="C79" s="201">
        <f>C78*scaling_factor*Exchange_Rate/Common_Shares</f>
        <v>-0.78071414113814486</v>
      </c>
      <c r="D79" s="1" t="str">
        <f>Market_currency</f>
        <v>HKD</v>
      </c>
    </row>
    <row r="80" spans="1:6">
      <c r="A80" s="191"/>
      <c r="B80" s="229" t="s">
        <v>308</v>
      </c>
      <c r="C80" s="337">
        <f>IF(BS!G31/BS!G27&gt;300%,"nm",BS!G31/BS!G27)</f>
        <v>6.5417684980282262E-2</v>
      </c>
    </row>
    <row r="81" spans="1:6">
      <c r="A81" s="191"/>
      <c r="B81" s="229" t="s">
        <v>310</v>
      </c>
      <c r="C81" s="338">
        <f>IF(BS!C50&gt;30,"nm",BS!C50)</f>
        <v>0.50358953318926281</v>
      </c>
    </row>
    <row r="82" spans="1:6">
      <c r="A82" s="191"/>
    </row>
    <row r="83" spans="1:6">
      <c r="A83" s="191"/>
      <c r="B83" s="1" t="s">
        <v>465</v>
      </c>
    </row>
    <row r="84" spans="1:6">
      <c r="A84" s="191"/>
      <c r="B84" s="1" t="s">
        <v>223</v>
      </c>
      <c r="C84" s="285">
        <f>DCF!F5</f>
        <v>14777911.978831053</v>
      </c>
      <c r="D84" s="1" t="str">
        <f>Reporting_currency</f>
        <v>CNY</v>
      </c>
    </row>
    <row r="85" spans="1:6">
      <c r="A85" s="191"/>
      <c r="B85" s="229" t="s">
        <v>221</v>
      </c>
      <c r="C85" s="291">
        <f>BS!C66</f>
        <v>19190856</v>
      </c>
      <c r="D85" s="339" t="str">
        <f>Reporting_currency</f>
        <v>CNY</v>
      </c>
    </row>
    <row r="86" spans="1:6">
      <c r="A86" s="191"/>
      <c r="B86" s="44" t="s">
        <v>234</v>
      </c>
      <c r="C86" s="201">
        <f>C84*scaling_factor*Exchange_Rate/Common_Shares</f>
        <v>6.4914423392886835</v>
      </c>
      <c r="D86" s="1" t="str">
        <f>Market_currency</f>
        <v>HKD</v>
      </c>
    </row>
    <row r="87" spans="1:6">
      <c r="A87" s="191"/>
    </row>
    <row r="88" spans="1:6">
      <c r="A88" s="191"/>
      <c r="B88" s="1" t="s">
        <v>215</v>
      </c>
    </row>
    <row r="89" spans="1:6">
      <c r="A89" s="191"/>
      <c r="B89" s="1" t="s">
        <v>216</v>
      </c>
      <c r="C89" s="285">
        <f>DCF!F6</f>
        <v>1668728.8</v>
      </c>
      <c r="D89" s="1" t="str">
        <f>Reporting_currency</f>
        <v>CNY</v>
      </c>
    </row>
    <row r="90" spans="1:6">
      <c r="A90" s="191"/>
      <c r="B90" s="44" t="s">
        <v>235</v>
      </c>
      <c r="C90" s="201">
        <f>C89*scaling_factor*Exchange_Rate/Common_Shares</f>
        <v>0.73301673474761453</v>
      </c>
      <c r="D90" s="1" t="str">
        <f>Market_currency</f>
        <v>HKD</v>
      </c>
    </row>
    <row r="91" spans="1:6">
      <c r="A91" s="191"/>
    </row>
    <row r="92" spans="1:6">
      <c r="A92" s="191"/>
      <c r="B92" s="44" t="s">
        <v>468</v>
      </c>
      <c r="C92" s="216">
        <f>DCF!F8</f>
        <v>6.4437449328981531</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5.6635272161814783</v>
      </c>
      <c r="D111" s="1" t="str">
        <f>Market_currency</f>
        <v>HKD</v>
      </c>
    </row>
    <row r="112" spans="2:6">
      <c r="B112" s="44" t="s">
        <v>322</v>
      </c>
      <c r="C112" s="216">
        <f>DCF!C11</f>
        <v>28.520719492701033</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0.1</v>
      </c>
      <c r="D118" s="207" t="str">
        <f>ROUND(DCF!E90,2)&amp;" "&amp;Market_currency</f>
        <v>36.51 HKD</v>
      </c>
      <c r="E118" s="208">
        <f>DCF!F90</f>
        <v>0.05</v>
      </c>
      <c r="F118" s="208">
        <f>RATE(Holding_Period,Scenarios!C$58,-DCF!E90,C$18)</f>
        <v>-6.7502795273309615E-2</v>
      </c>
    </row>
    <row r="119" spans="2:6">
      <c r="B119" s="205" t="str">
        <f>DCF!B91&amp;" ("&amp;DCF!D91&amp;"yrs)"</f>
        <v>Optimistic (10yrs)</v>
      </c>
      <c r="C119" s="198">
        <f>DCF!C91</f>
        <v>0.06</v>
      </c>
      <c r="D119" s="207" t="str">
        <f>ROUND(DCF!E91,2)&amp;" "&amp;Market_currency</f>
        <v>30.54 HKD</v>
      </c>
      <c r="E119" s="199">
        <f>DCF!F91</f>
        <v>0.22499999999999992</v>
      </c>
      <c r="F119" s="208">
        <f>RATE(Holding_Period,Scenarios!C$58,-DCF!E91,C$18)</f>
        <v>-9.3866776872196644E-3</v>
      </c>
    </row>
    <row r="120" spans="2:6">
      <c r="B120" s="205" t="str">
        <f>DCF!B92&amp;" ("&amp;DCF!D92&amp;"yrs)"</f>
        <v>Base (10yrs)</v>
      </c>
      <c r="C120" s="198">
        <f>DCF!C92</f>
        <v>0.04</v>
      </c>
      <c r="D120" s="207" t="str">
        <f>ROUND(DCF!E92,2)&amp;" "&amp;Market_currency</f>
        <v>28 HKD</v>
      </c>
      <c r="E120" s="199">
        <f>DCF!F92</f>
        <v>0.495</v>
      </c>
      <c r="F120" s="208">
        <f>RATE(Holding_Period,Scenarios!C$58,-DCF!E92,C$18)</f>
        <v>2.0235903666935267E-2</v>
      </c>
    </row>
    <row r="121" spans="2:6">
      <c r="B121" s="205" t="str">
        <f>DCF!B93&amp;" ("&amp;DCF!D93&amp;"yrs)"</f>
        <v>Pessimistic (10yrs)</v>
      </c>
      <c r="C121" s="198">
        <f>DCF!C93</f>
        <v>0.02</v>
      </c>
      <c r="D121" s="207" t="str">
        <f>ROUND(DCF!E93,2)&amp;" "&amp;Market_currency</f>
        <v>25.72 HKD</v>
      </c>
      <c r="E121" s="199">
        <f>DCF!F93</f>
        <v>0.18</v>
      </c>
      <c r="F121" s="208">
        <f>RATE(Holding_Period,Scenarios!C$58,-DCF!E93,C$18)</f>
        <v>5.0114399811285439E-2</v>
      </c>
    </row>
    <row r="122" spans="2:6">
      <c r="B122" s="205" t="str">
        <f>DCF!B94&amp;" ("&amp;DCF!D94&amp;"yrs)"</f>
        <v>Devil's advocate (10yrs)</v>
      </c>
      <c r="C122" s="198">
        <f>DCF!C94</f>
        <v>-0.05</v>
      </c>
      <c r="D122" s="207" t="str">
        <f>ROUND(DCF!E94,2)&amp;" "&amp;Market_currency</f>
        <v>19.44 HKD</v>
      </c>
      <c r="E122" s="199">
        <f>DCF!F94</f>
        <v>0.05</v>
      </c>
      <c r="F122" s="208">
        <f>RATE(Holding_Period,Scenarios!C$58,-DCF!E94,C$18)</f>
        <v>0.15512883558041737</v>
      </c>
    </row>
    <row r="124" spans="2:6">
      <c r="B124" s="463" t="s">
        <v>356</v>
      </c>
      <c r="C124" s="463"/>
      <c r="D124" s="463"/>
      <c r="E124" s="463"/>
      <c r="F124" s="463"/>
    </row>
    <row r="125" spans="2:6">
      <c r="B125" s="193" t="s">
        <v>217</v>
      </c>
      <c r="C125" s="197">
        <f>Scenarios!C36</f>
        <v>28.159642981607451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0.5150512453090087</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0.93539120108463614</v>
      </c>
      <c r="D140" s="333">
        <f>Scenarios!D62</f>
        <v>12.817315876926466</v>
      </c>
      <c r="E140" s="334">
        <f>Scenarios!E62</f>
        <v>13.752707078011102</v>
      </c>
      <c r="F140" s="335">
        <f>E22</f>
        <v>0.3</v>
      </c>
    </row>
    <row r="141" spans="1:6">
      <c r="B141" s="336" t="s">
        <v>312</v>
      </c>
      <c r="C141" s="333">
        <f>Scenarios!C63</f>
        <v>1.0849459102574024</v>
      </c>
      <c r="D141" s="333">
        <f>Scenarios!D63</f>
        <v>16.296089688430239</v>
      </c>
      <c r="E141" s="334">
        <f>Scenarios!E63</f>
        <v>17.381035598687642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1.2426142444511084</v>
      </c>
      <c r="D144" s="333">
        <f>Scenarios!D66</f>
        <v>20.183716770653483</v>
      </c>
      <c r="E144" s="334">
        <f>Scenarios!E66</f>
        <v>21.426331015104591</v>
      </c>
      <c r="F144" s="335">
        <f>E24</f>
        <v>0.1174</v>
      </c>
    </row>
    <row r="145" spans="1:6">
      <c r="B145" s="336" t="s">
        <v>313</v>
      </c>
      <c r="C145" s="333">
        <f>Scenarios!C67</f>
        <v>1.3455071139698664</v>
      </c>
      <c r="D145" s="333">
        <f>Scenarios!D67</f>
        <v>22.826285336096337</v>
      </c>
      <c r="E145" s="334">
        <f>Scenarios!E67</f>
        <v>24.171792450066203</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28675643</v>
      </c>
      <c r="D4" s="287">
        <v>27598491</v>
      </c>
      <c r="E4" s="287">
        <v>25803383</v>
      </c>
      <c r="F4" s="287">
        <v>22572281</v>
      </c>
      <c r="G4" s="287">
        <v>14456971</v>
      </c>
      <c r="H4" s="287">
        <v>13869630</v>
      </c>
      <c r="I4" s="287">
        <v>10510898</v>
      </c>
      <c r="J4" s="287">
        <v>8873912</v>
      </c>
      <c r="K4" s="287">
        <v>8015293</v>
      </c>
      <c r="L4" s="287">
        <v>7089495</v>
      </c>
      <c r="M4" s="287"/>
    </row>
    <row r="5" spans="2:13">
      <c r="B5" s="38" t="s">
        <v>39</v>
      </c>
      <c r="C5" s="287">
        <v>14519540</v>
      </c>
      <c r="D5" s="287">
        <v>14246436</v>
      </c>
      <c r="E5" s="287">
        <v>13318590</v>
      </c>
      <c r="F5" s="287">
        <v>10603183</v>
      </c>
      <c r="G5" s="287">
        <v>7362627</v>
      </c>
      <c r="H5" s="287">
        <v>7064168</v>
      </c>
      <c r="I5" s="287">
        <v>5458124</v>
      </c>
      <c r="J5" s="287">
        <v>4697429</v>
      </c>
      <c r="K5" s="287">
        <v>4310065</v>
      </c>
      <c r="L5" s="287">
        <v>3896836</v>
      </c>
      <c r="M5" s="287"/>
    </row>
    <row r="6" spans="2:13">
      <c r="B6" s="38" t="s">
        <v>50</v>
      </c>
      <c r="C6" s="287">
        <v>10626814</v>
      </c>
      <c r="D6" s="287">
        <v>10336273</v>
      </c>
      <c r="E6" s="287">
        <v>8427521</v>
      </c>
      <c r="F6" s="287">
        <v>7248752</v>
      </c>
      <c r="G6" s="287">
        <v>5229776</v>
      </c>
      <c r="H6" s="287">
        <v>5413334</v>
      </c>
      <c r="I6" s="287">
        <v>4388319</v>
      </c>
      <c r="J6" s="287">
        <v>3774441</v>
      </c>
      <c r="K6" s="287">
        <v>3393470</v>
      </c>
      <c r="L6" s="287">
        <v>3066510</v>
      </c>
      <c r="M6" s="287"/>
    </row>
    <row r="7" spans="2:13">
      <c r="B7" s="66" t="s">
        <v>57</v>
      </c>
      <c r="C7" s="288">
        <v>9198907</v>
      </c>
      <c r="D7" s="288">
        <v>9080121</v>
      </c>
      <c r="E7" s="288">
        <v>7314303</v>
      </c>
      <c r="F7" s="288">
        <v>6138077</v>
      </c>
      <c r="G7" s="288">
        <v>4424718</v>
      </c>
      <c r="H7" s="288">
        <v>4445070</v>
      </c>
      <c r="I7" s="288">
        <v>3708446</v>
      </c>
      <c r="J7" s="288">
        <v>3273375</v>
      </c>
      <c r="K7" s="288">
        <v>2969341</v>
      </c>
      <c r="L7" s="288">
        <v>2720361</v>
      </c>
      <c r="M7" s="288"/>
    </row>
    <row r="8" spans="2:13">
      <c r="B8" s="38" t="s">
        <v>45</v>
      </c>
      <c r="C8" s="287"/>
      <c r="D8" s="287"/>
      <c r="E8" s="287"/>
      <c r="F8" s="287"/>
      <c r="G8" s="287"/>
      <c r="H8" s="287"/>
      <c r="I8" s="287"/>
      <c r="J8" s="287"/>
      <c r="K8" s="287"/>
      <c r="L8" s="287"/>
      <c r="M8" s="287"/>
    </row>
    <row r="9" spans="2:13">
      <c r="B9" s="38" t="s">
        <v>133</v>
      </c>
      <c r="C9" s="287">
        <v>256299</v>
      </c>
      <c r="D9" s="287">
        <v>377972</v>
      </c>
      <c r="E9" s="287">
        <v>201155</v>
      </c>
      <c r="F9" s="287">
        <v>159222</v>
      </c>
      <c r="G9" s="287">
        <v>83487</v>
      </c>
      <c r="H9" s="287">
        <v>343469</v>
      </c>
      <c r="I9" s="287">
        <v>63633</v>
      </c>
      <c r="J9" s="287">
        <v>73806</v>
      </c>
      <c r="K9" s="287">
        <v>9716</v>
      </c>
      <c r="L9" s="287">
        <v>6948</v>
      </c>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254421</v>
      </c>
      <c r="D12" s="287">
        <v>181446</v>
      </c>
      <c r="E12" s="287">
        <v>120561</v>
      </c>
      <c r="F12" s="287">
        <v>112458</v>
      </c>
      <c r="G12" s="287"/>
      <c r="H12" s="287"/>
      <c r="I12" s="287"/>
      <c r="J12" s="287"/>
      <c r="K12" s="287"/>
      <c r="L12" s="287"/>
      <c r="M12" s="287"/>
    </row>
    <row r="13" spans="2:13">
      <c r="B13" s="38" t="s">
        <v>63</v>
      </c>
      <c r="C13" s="287">
        <v>429525</v>
      </c>
      <c r="D13" s="287">
        <v>500556</v>
      </c>
      <c r="E13" s="287">
        <v>447748</v>
      </c>
      <c r="F13" s="287">
        <v>145097</v>
      </c>
      <c r="G13" s="287"/>
      <c r="H13" s="287"/>
      <c r="I13" s="287"/>
      <c r="J13" s="287"/>
      <c r="K13" s="287"/>
      <c r="L13" s="287"/>
      <c r="M13" s="287"/>
    </row>
    <row r="14" spans="2:13">
      <c r="B14" s="38" t="s">
        <v>46</v>
      </c>
      <c r="C14" s="287">
        <v>1096691</v>
      </c>
      <c r="D14" s="287">
        <v>1069207</v>
      </c>
      <c r="E14" s="287">
        <v>1351329</v>
      </c>
      <c r="F14" s="287">
        <v>1317349</v>
      </c>
      <c r="G14" s="287">
        <v>549381</v>
      </c>
      <c r="H14" s="287">
        <v>357403</v>
      </c>
      <c r="I14" s="287">
        <v>135058</v>
      </c>
      <c r="J14" s="287">
        <v>22369</v>
      </c>
      <c r="K14" s="287">
        <v>32435</v>
      </c>
      <c r="L14" s="287">
        <v>73768</v>
      </c>
      <c r="M14" s="287"/>
    </row>
    <row r="15" spans="2:13">
      <c r="B15" s="41" t="s">
        <v>38</v>
      </c>
      <c r="C15" s="289">
        <v>3012918</v>
      </c>
      <c r="D15" s="289">
        <v>3186962</v>
      </c>
      <c r="E15" s="289">
        <v>4063771</v>
      </c>
      <c r="F15" s="289">
        <v>4010888</v>
      </c>
      <c r="G15" s="289">
        <v>1698484</v>
      </c>
      <c r="H15" s="289">
        <v>1499143</v>
      </c>
      <c r="I15" s="289">
        <v>715263</v>
      </c>
      <c r="J15" s="289">
        <v>515155</v>
      </c>
      <c r="K15" s="289">
        <v>700869</v>
      </c>
      <c r="L15" s="289">
        <v>61605</v>
      </c>
      <c r="M15" s="289"/>
    </row>
    <row r="16" spans="2:13">
      <c r="B16" s="27" t="s">
        <v>40</v>
      </c>
      <c r="C16" s="287">
        <v>0</v>
      </c>
      <c r="D16" s="287">
        <v>52</v>
      </c>
      <c r="E16" s="287">
        <v>-63</v>
      </c>
      <c r="F16" s="287">
        <v>7</v>
      </c>
      <c r="G16" s="287">
        <v>0</v>
      </c>
      <c r="H16" s="287">
        <v>4</v>
      </c>
      <c r="I16" s="287">
        <v>0</v>
      </c>
      <c r="J16" s="287">
        <v>0</v>
      </c>
      <c r="K16" s="287">
        <v>57615</v>
      </c>
      <c r="L16" s="287">
        <v>47296</v>
      </c>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v>-1815.2739999999999</v>
      </c>
      <c r="D20" s="287">
        <v>-1815.2739999999999</v>
      </c>
      <c r="E20" s="287">
        <v>-1830.425</v>
      </c>
      <c r="F20" s="287">
        <v>-1027.7539999999999</v>
      </c>
      <c r="G20" s="287">
        <v>-745.63400000000001</v>
      </c>
      <c r="H20" s="287">
        <v>-649.02099999999996</v>
      </c>
      <c r="I20" s="287"/>
      <c r="J20" s="287"/>
      <c r="K20" s="287"/>
      <c r="L20" s="287"/>
      <c r="M20" s="287"/>
    </row>
    <row r="21" spans="2:13">
      <c r="B21" s="26" t="s">
        <v>48</v>
      </c>
      <c r="C21" s="287">
        <v>-31.047000000000001</v>
      </c>
      <c r="D21" s="287">
        <v>-31.047000000000001</v>
      </c>
      <c r="E21" s="287">
        <v>-1133.2159999999999</v>
      </c>
      <c r="F21" s="287">
        <v>826.13499999999999</v>
      </c>
      <c r="G21" s="287">
        <v>141.60300000000001</v>
      </c>
      <c r="H21" s="287"/>
      <c r="I21" s="287"/>
      <c r="J21" s="287"/>
      <c r="K21" s="287"/>
      <c r="L21" s="287"/>
      <c r="M21" s="287"/>
    </row>
    <row r="22" spans="2:13">
      <c r="B22" s="26" t="s">
        <v>285</v>
      </c>
      <c r="C22" s="287">
        <v>5267935</v>
      </c>
      <c r="D22" s="287">
        <v>4687936</v>
      </c>
      <c r="E22" s="287">
        <v>3913604</v>
      </c>
      <c r="F22" s="287">
        <v>6525335</v>
      </c>
      <c r="G22" s="287">
        <v>2763336</v>
      </c>
      <c r="H22" s="287">
        <v>3503469</v>
      </c>
      <c r="I22" s="287">
        <v>1671869</v>
      </c>
      <c r="J22" s="287">
        <v>1159143</v>
      </c>
      <c r="K22" s="287">
        <v>995476</v>
      </c>
      <c r="L22" s="287">
        <v>687043</v>
      </c>
      <c r="M22" s="287"/>
    </row>
    <row r="23" spans="2:13">
      <c r="B23" s="26" t="s">
        <v>287</v>
      </c>
      <c r="C23" s="287">
        <v>-839616</v>
      </c>
      <c r="D23" s="287">
        <v>-2449105</v>
      </c>
      <c r="E23" s="287">
        <v>-9481433</v>
      </c>
      <c r="F23" s="287">
        <v>-6538700</v>
      </c>
      <c r="G23" s="287">
        <v>-991555</v>
      </c>
      <c r="H23" s="287">
        <v>-573343</v>
      </c>
      <c r="I23" s="287">
        <v>-482937</v>
      </c>
      <c r="J23" s="287">
        <v>-342516</v>
      </c>
      <c r="K23" s="287">
        <v>-320306</v>
      </c>
      <c r="L23" s="287">
        <v>-362745</v>
      </c>
      <c r="M23" s="287"/>
    </row>
    <row r="24" spans="2:13">
      <c r="B24" s="26" t="s">
        <v>286</v>
      </c>
      <c r="C24" s="287">
        <v>-2324279</v>
      </c>
      <c r="D24" s="287">
        <v>-4216951</v>
      </c>
      <c r="E24" s="287">
        <v>-1887435</v>
      </c>
      <c r="F24" s="287">
        <v>7596150</v>
      </c>
      <c r="G24" s="287">
        <v>-513491</v>
      </c>
      <c r="H24" s="287">
        <v>-648624</v>
      </c>
      <c r="I24" s="287">
        <v>-65643</v>
      </c>
      <c r="J24" s="287">
        <v>-232493</v>
      </c>
      <c r="K24" s="287">
        <v>-509027</v>
      </c>
      <c r="L24" s="287">
        <v>636375</v>
      </c>
      <c r="M24" s="287"/>
    </row>
    <row r="25" spans="2:13">
      <c r="B25" s="23" t="str">
        <f>"Dividend per share ("&amp;Market_currency&amp;")"</f>
        <v>Dividend per share (HKD)</v>
      </c>
      <c r="C25" s="37">
        <f>(0.2073+0.3775)/Exchange_Rate</f>
        <v>0.5150512453090087</v>
      </c>
      <c r="D25" s="37"/>
      <c r="E25" s="37"/>
      <c r="F25" s="37"/>
      <c r="G25" s="37"/>
      <c r="H25" s="37"/>
      <c r="I25" s="37"/>
      <c r="J25" s="37"/>
      <c r="K25" s="37"/>
      <c r="L25" s="37"/>
      <c r="M25" s="37"/>
    </row>
    <row r="27" spans="2:13">
      <c r="B27" s="16" t="s">
        <v>25</v>
      </c>
      <c r="C27" s="94" t="s">
        <v>546</v>
      </c>
    </row>
    <row r="28" spans="2:13">
      <c r="B28" s="25" t="s">
        <v>21</v>
      </c>
      <c r="C28" s="270">
        <f>BS!C4</f>
        <v>1597813</v>
      </c>
      <c r="D28" s="287">
        <v>1205532</v>
      </c>
      <c r="E28" s="287">
        <v>1020346</v>
      </c>
      <c r="F28" s="287">
        <v>902857</v>
      </c>
      <c r="G28" s="287">
        <v>658796</v>
      </c>
      <c r="H28" s="287">
        <v>686606</v>
      </c>
      <c r="I28" s="287">
        <v>928895</v>
      </c>
      <c r="J28" s="287">
        <v>1138034</v>
      </c>
      <c r="K28" s="287">
        <v>1370254</v>
      </c>
      <c r="L28" s="287">
        <v>1439513</v>
      </c>
      <c r="M28" s="287"/>
    </row>
    <row r="29" spans="2:13">
      <c r="B29" s="25" t="s">
        <v>29</v>
      </c>
      <c r="C29" s="270">
        <f>BS!C6</f>
        <v>2428290</v>
      </c>
      <c r="D29" s="287">
        <v>2493206</v>
      </c>
      <c r="E29" s="287">
        <v>2428040</v>
      </c>
      <c r="F29" s="287">
        <v>1772803</v>
      </c>
      <c r="G29" s="287">
        <v>1345539</v>
      </c>
      <c r="H29" s="287">
        <v>1407257</v>
      </c>
      <c r="I29" s="287">
        <v>1239741</v>
      </c>
      <c r="J29" s="287">
        <v>1102538</v>
      </c>
      <c r="K29" s="287">
        <v>965422</v>
      </c>
      <c r="L29" s="287">
        <v>959652</v>
      </c>
      <c r="M29" s="287"/>
    </row>
    <row r="30" spans="2:13">
      <c r="B30" s="28" t="s">
        <v>37</v>
      </c>
      <c r="C30" s="271">
        <f>BS!C33+BS!C42</f>
        <v>9611695</v>
      </c>
      <c r="D30" s="289">
        <v>9801162</v>
      </c>
      <c r="E30" s="289">
        <v>9314591</v>
      </c>
      <c r="F30" s="289">
        <v>9170709</v>
      </c>
      <c r="G30" s="289">
        <v>5904448</v>
      </c>
      <c r="H30" s="289">
        <v>5423281</v>
      </c>
      <c r="I30" s="289">
        <v>2907715</v>
      </c>
      <c r="J30" s="289">
        <v>2247752</v>
      </c>
      <c r="K30" s="289">
        <v>2783345</v>
      </c>
      <c r="L30" s="289">
        <v>3486918</v>
      </c>
      <c r="M30" s="289"/>
    </row>
    <row r="31" spans="2:13">
      <c r="B31" s="28" t="s">
        <v>27</v>
      </c>
      <c r="C31" s="271">
        <f>BS!G27</f>
        <v>27168693</v>
      </c>
      <c r="D31" s="289">
        <v>24406641</v>
      </c>
      <c r="E31" s="289">
        <v>24331928</v>
      </c>
      <c r="F31" s="289">
        <v>21104107</v>
      </c>
      <c r="G31" s="289">
        <v>8689417</v>
      </c>
      <c r="H31" s="289">
        <v>7124193</v>
      </c>
      <c r="I31" s="289">
        <v>5819590</v>
      </c>
      <c r="J31" s="289">
        <v>5073597</v>
      </c>
      <c r="K31" s="289">
        <v>3997149</v>
      </c>
      <c r="L31" s="289">
        <v>3410540</v>
      </c>
      <c r="M31" s="289">
        <v>2649769</v>
      </c>
    </row>
    <row r="32" spans="2:13">
      <c r="B32" s="25" t="s">
        <v>142</v>
      </c>
      <c r="C32" s="270">
        <f>BS!G28</f>
        <v>0</v>
      </c>
      <c r="D32" s="287">
        <v>0</v>
      </c>
      <c r="E32" s="287">
        <v>2498</v>
      </c>
      <c r="F32" s="287">
        <v>2561</v>
      </c>
      <c r="G32" s="287">
        <v>2554</v>
      </c>
      <c r="H32" s="287">
        <v>2554</v>
      </c>
      <c r="I32" s="287">
        <v>2550</v>
      </c>
      <c r="J32" s="287">
        <v>2550</v>
      </c>
      <c r="K32" s="287">
        <v>2550</v>
      </c>
      <c r="L32" s="287">
        <v>230637</v>
      </c>
      <c r="M32" s="287">
        <v>413840</v>
      </c>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28675643</v>
      </c>
      <c r="D36" s="270">
        <f t="shared" si="1"/>
        <v>27598491</v>
      </c>
      <c r="E36" s="270">
        <f t="shared" si="1"/>
        <v>25803383</v>
      </c>
      <c r="F36" s="270">
        <f t="shared" si="1"/>
        <v>22572281</v>
      </c>
      <c r="G36" s="270">
        <f t="shared" si="1"/>
        <v>14456971</v>
      </c>
      <c r="H36" s="270">
        <f t="shared" si="1"/>
        <v>13869630</v>
      </c>
      <c r="I36" s="270">
        <f t="shared" si="1"/>
        <v>10510898</v>
      </c>
      <c r="J36" s="270">
        <f t="shared" si="1"/>
        <v>8873912</v>
      </c>
      <c r="K36" s="270">
        <f t="shared" si="1"/>
        <v>8015293</v>
      </c>
      <c r="L36" s="270">
        <f t="shared" si="1"/>
        <v>7089495</v>
      </c>
      <c r="M36" s="270" t="str">
        <f t="shared" si="1"/>
        <v/>
      </c>
    </row>
    <row r="37" spans="2:13">
      <c r="B37" s="38" t="s">
        <v>39</v>
      </c>
      <c r="C37" s="270">
        <f t="shared" ref="C37:M37" si="2">IF(C$4="","",-C5)</f>
        <v>-14519540</v>
      </c>
      <c r="D37" s="270">
        <f t="shared" si="2"/>
        <v>-14246436</v>
      </c>
      <c r="E37" s="270">
        <f t="shared" si="2"/>
        <v>-13318590</v>
      </c>
      <c r="F37" s="270">
        <f t="shared" si="2"/>
        <v>-10603183</v>
      </c>
      <c r="G37" s="270">
        <f t="shared" si="2"/>
        <v>-7362627</v>
      </c>
      <c r="H37" s="270">
        <f t="shared" si="2"/>
        <v>-7064168</v>
      </c>
      <c r="I37" s="270">
        <f t="shared" si="2"/>
        <v>-5458124</v>
      </c>
      <c r="J37" s="270">
        <f t="shared" si="2"/>
        <v>-4697429</v>
      </c>
      <c r="K37" s="270">
        <f t="shared" si="2"/>
        <v>-4310065</v>
      </c>
      <c r="L37" s="270">
        <f t="shared" si="2"/>
        <v>-3896836</v>
      </c>
      <c r="M37" s="270" t="str">
        <f t="shared" si="2"/>
        <v/>
      </c>
    </row>
    <row r="38" spans="2:13">
      <c r="B38" s="30" t="s">
        <v>54</v>
      </c>
      <c r="C38" s="267">
        <f>IF(C36="","",C36+C37)</f>
        <v>14156103</v>
      </c>
      <c r="D38" s="267">
        <f t="shared" ref="D38" si="3">IF(D36="","",D36+D37)</f>
        <v>13352055</v>
      </c>
      <c r="E38" s="267">
        <f t="shared" ref="E38" si="4">IF(E36="","",E36+E37)</f>
        <v>12484793</v>
      </c>
      <c r="F38" s="267">
        <f t="shared" ref="F38" si="5">IF(F36="","",F36+F37)</f>
        <v>11969098</v>
      </c>
      <c r="G38" s="267">
        <f t="shared" ref="G38" si="6">IF(G36="","",G36+G37)</f>
        <v>7094344</v>
      </c>
      <c r="H38" s="267">
        <f t="shared" ref="H38" si="7">IF(H36="","",H36+H37)</f>
        <v>6805462</v>
      </c>
      <c r="I38" s="267">
        <f t="shared" ref="I38" si="8">IF(I36="","",I36+I37)</f>
        <v>5052774</v>
      </c>
      <c r="J38" s="267">
        <f t="shared" ref="J38" si="9">IF(J36="","",J36+J37)</f>
        <v>4176483</v>
      </c>
      <c r="K38" s="267">
        <f t="shared" ref="K38" si="10">IF(K36="","",K36+K37)</f>
        <v>3705228</v>
      </c>
      <c r="L38" s="267">
        <f t="shared" ref="L38" si="11">IF(L36="","",L36+L37)</f>
        <v>3192659</v>
      </c>
      <c r="M38" s="267" t="str">
        <f t="shared" ref="M38" si="12">IF(M36="","",M36+M37)</f>
        <v/>
      </c>
    </row>
    <row r="39" spans="2:13">
      <c r="B39" s="38" t="s">
        <v>50</v>
      </c>
      <c r="C39" s="270">
        <f t="shared" ref="C39:M39" si="13">IF(C$4="","",-C6)</f>
        <v>-10626814</v>
      </c>
      <c r="D39" s="270">
        <f t="shared" si="13"/>
        <v>-10336273</v>
      </c>
      <c r="E39" s="270">
        <f t="shared" si="13"/>
        <v>-8427521</v>
      </c>
      <c r="F39" s="270">
        <f t="shared" si="13"/>
        <v>-7248752</v>
      </c>
      <c r="G39" s="270">
        <f t="shared" si="13"/>
        <v>-5229776</v>
      </c>
      <c r="H39" s="270">
        <f t="shared" si="13"/>
        <v>-5413334</v>
      </c>
      <c r="I39" s="270">
        <f t="shared" si="13"/>
        <v>-4388319</v>
      </c>
      <c r="J39" s="270">
        <f t="shared" si="13"/>
        <v>-3774441</v>
      </c>
      <c r="K39" s="270">
        <f t="shared" si="13"/>
        <v>-3393470</v>
      </c>
      <c r="L39" s="270">
        <f t="shared" si="13"/>
        <v>-3066510</v>
      </c>
      <c r="M39" s="270" t="str">
        <f t="shared" si="13"/>
        <v/>
      </c>
    </row>
    <row r="40" spans="2:13">
      <c r="B40" s="66" t="s">
        <v>57</v>
      </c>
      <c r="C40" s="282">
        <f t="shared" ref="C40:M40" si="14">IF(C$4="","",-C7)</f>
        <v>-9198907</v>
      </c>
      <c r="D40" s="282">
        <f t="shared" si="14"/>
        <v>-9080121</v>
      </c>
      <c r="E40" s="282">
        <f t="shared" si="14"/>
        <v>-7314303</v>
      </c>
      <c r="F40" s="282">
        <f t="shared" si="14"/>
        <v>-6138077</v>
      </c>
      <c r="G40" s="282">
        <f t="shared" si="14"/>
        <v>-4424718</v>
      </c>
      <c r="H40" s="282">
        <f t="shared" si="14"/>
        <v>-4445070</v>
      </c>
      <c r="I40" s="282">
        <f t="shared" si="14"/>
        <v>-3708446</v>
      </c>
      <c r="J40" s="282">
        <f t="shared" si="14"/>
        <v>-3273375</v>
      </c>
      <c r="K40" s="282">
        <f t="shared" si="14"/>
        <v>-2969341</v>
      </c>
      <c r="L40" s="282">
        <f t="shared" si="14"/>
        <v>-2720361</v>
      </c>
      <c r="M40" s="282" t="str">
        <f t="shared" si="14"/>
        <v/>
      </c>
    </row>
    <row r="41" spans="2:13">
      <c r="B41" s="66" t="s">
        <v>60</v>
      </c>
      <c r="C41" s="282">
        <f>IF(C$4="","",C39-C40)</f>
        <v>-1427907</v>
      </c>
      <c r="D41" s="282">
        <f t="shared" ref="D41:M41" si="15">IF(D$4="","",D39-D40)</f>
        <v>-1256152</v>
      </c>
      <c r="E41" s="282">
        <f t="shared" si="15"/>
        <v>-1113218</v>
      </c>
      <c r="F41" s="282">
        <f t="shared" si="15"/>
        <v>-1110675</v>
      </c>
      <c r="G41" s="282">
        <f t="shared" si="15"/>
        <v>-805058</v>
      </c>
      <c r="H41" s="282">
        <f t="shared" si="15"/>
        <v>-968264</v>
      </c>
      <c r="I41" s="282">
        <f t="shared" si="15"/>
        <v>-679873</v>
      </c>
      <c r="J41" s="282">
        <f t="shared" si="15"/>
        <v>-501066</v>
      </c>
      <c r="K41" s="282">
        <f t="shared" si="15"/>
        <v>-424129</v>
      </c>
      <c r="L41" s="282">
        <f t="shared" si="15"/>
        <v>-346149</v>
      </c>
      <c r="M41" s="282" t="str">
        <f t="shared" si="15"/>
        <v/>
      </c>
    </row>
    <row r="42" spans="2:13">
      <c r="B42" s="38" t="s">
        <v>45</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126</v>
      </c>
      <c r="C43" s="271">
        <f>IF(C$4="","",C38+C39+C42)</f>
        <v>3529289</v>
      </c>
      <c r="D43" s="271">
        <f t="shared" ref="D43:M43" si="17">IF(D$4="","",D38+D39+D42)</f>
        <v>3015782</v>
      </c>
      <c r="E43" s="271">
        <f t="shared" si="17"/>
        <v>4057272</v>
      </c>
      <c r="F43" s="271">
        <f t="shared" si="17"/>
        <v>4720346</v>
      </c>
      <c r="G43" s="271">
        <f t="shared" si="17"/>
        <v>1864568</v>
      </c>
      <c r="H43" s="271">
        <f t="shared" si="17"/>
        <v>1392128</v>
      </c>
      <c r="I43" s="271">
        <f t="shared" si="17"/>
        <v>664455</v>
      </c>
      <c r="J43" s="271">
        <f t="shared" si="17"/>
        <v>402042</v>
      </c>
      <c r="K43" s="271">
        <f t="shared" si="17"/>
        <v>311758</v>
      </c>
      <c r="L43" s="271">
        <f t="shared" si="17"/>
        <v>126149</v>
      </c>
      <c r="M43" s="271" t="str">
        <f t="shared" si="17"/>
        <v/>
      </c>
    </row>
    <row r="44" spans="2:13">
      <c r="B44" s="41" t="s">
        <v>138</v>
      </c>
      <c r="C44" s="290">
        <f t="shared" ref="C44:M44" si="18">IF(C$4="","",C47-C46-C45-C43)</f>
        <v>405216</v>
      </c>
      <c r="D44" s="290">
        <f t="shared" si="18"/>
        <v>921277</v>
      </c>
      <c r="E44" s="290">
        <f t="shared" si="18"/>
        <v>1030641</v>
      </c>
      <c r="F44" s="290">
        <f t="shared" si="18"/>
        <v>575252</v>
      </c>
      <c r="G44" s="290">
        <f t="shared" si="18"/>
        <v>383297</v>
      </c>
      <c r="H44" s="290">
        <f t="shared" si="18"/>
        <v>464418</v>
      </c>
      <c r="I44" s="290">
        <f t="shared" si="18"/>
        <v>185866</v>
      </c>
      <c r="J44" s="290">
        <f t="shared" si="18"/>
        <v>135482</v>
      </c>
      <c r="K44" s="290">
        <f t="shared" si="18"/>
        <v>421546</v>
      </c>
      <c r="L44" s="290">
        <f t="shared" si="18"/>
        <v>9224</v>
      </c>
      <c r="M44" s="290" t="str">
        <f t="shared" si="18"/>
        <v/>
      </c>
    </row>
    <row r="45" spans="2:13">
      <c r="B45" s="38" t="s">
        <v>64</v>
      </c>
      <c r="C45" s="285">
        <f t="shared" ref="C45:M45" si="19">IF(C$4="","",C51+C52)</f>
        <v>175104</v>
      </c>
      <c r="D45" s="285">
        <f t="shared" si="19"/>
        <v>319110</v>
      </c>
      <c r="E45" s="285">
        <f t="shared" si="19"/>
        <v>327187</v>
      </c>
      <c r="F45" s="285">
        <f t="shared" si="19"/>
        <v>32639</v>
      </c>
      <c r="G45" s="285">
        <f t="shared" si="19"/>
        <v>0</v>
      </c>
      <c r="H45" s="285">
        <f t="shared" si="19"/>
        <v>0</v>
      </c>
      <c r="I45" s="285">
        <f t="shared" si="19"/>
        <v>0</v>
      </c>
      <c r="J45" s="285">
        <f t="shared" si="19"/>
        <v>0</v>
      </c>
      <c r="K45" s="285">
        <f t="shared" si="19"/>
        <v>0</v>
      </c>
      <c r="L45" s="285">
        <f t="shared" si="19"/>
        <v>0</v>
      </c>
      <c r="M45" s="285" t="str">
        <f t="shared" si="19"/>
        <v/>
      </c>
    </row>
    <row r="46" spans="2:13">
      <c r="B46" s="38" t="s">
        <v>46</v>
      </c>
      <c r="C46" s="270">
        <f>IF(C$4="","",-C14)</f>
        <v>-1096691</v>
      </c>
      <c r="D46" s="270">
        <f t="shared" ref="D46:M46" si="20">IF(D$4="","",-D14)</f>
        <v>-1069207</v>
      </c>
      <c r="E46" s="270">
        <f t="shared" si="20"/>
        <v>-1351329</v>
      </c>
      <c r="F46" s="270">
        <f t="shared" si="20"/>
        <v>-1317349</v>
      </c>
      <c r="G46" s="270">
        <f t="shared" si="20"/>
        <v>-549381</v>
      </c>
      <c r="H46" s="270">
        <f t="shared" si="20"/>
        <v>-357403</v>
      </c>
      <c r="I46" s="270">
        <f t="shared" si="20"/>
        <v>-135058</v>
      </c>
      <c r="J46" s="270">
        <f t="shared" si="20"/>
        <v>-22369</v>
      </c>
      <c r="K46" s="270">
        <f t="shared" si="20"/>
        <v>-32435</v>
      </c>
      <c r="L46" s="270">
        <f t="shared" si="20"/>
        <v>-73768</v>
      </c>
      <c r="M46" s="270" t="str">
        <f t="shared" si="20"/>
        <v/>
      </c>
    </row>
    <row r="47" spans="2:13">
      <c r="B47" s="41" t="s">
        <v>38</v>
      </c>
      <c r="C47" s="271">
        <f t="shared" ref="C47:M47" si="21">IF(C$4="","",C15)</f>
        <v>3012918</v>
      </c>
      <c r="D47" s="271">
        <f t="shared" si="21"/>
        <v>3186962</v>
      </c>
      <c r="E47" s="271">
        <f t="shared" si="21"/>
        <v>4063771</v>
      </c>
      <c r="F47" s="271">
        <f t="shared" si="21"/>
        <v>4010888</v>
      </c>
      <c r="G47" s="271">
        <f t="shared" si="21"/>
        <v>1698484</v>
      </c>
      <c r="H47" s="271">
        <f t="shared" si="21"/>
        <v>1499143</v>
      </c>
      <c r="I47" s="271">
        <f t="shared" si="21"/>
        <v>715263</v>
      </c>
      <c r="J47" s="271">
        <f t="shared" si="21"/>
        <v>515155</v>
      </c>
      <c r="K47" s="271">
        <f t="shared" si="21"/>
        <v>700869</v>
      </c>
      <c r="L47" s="271">
        <f t="shared" si="21"/>
        <v>61605</v>
      </c>
      <c r="M47" s="271" t="str">
        <f t="shared" si="21"/>
        <v/>
      </c>
    </row>
    <row r="48" spans="2:13">
      <c r="B48" s="27" t="s">
        <v>40</v>
      </c>
      <c r="C48" s="270">
        <f t="shared" ref="C48:M48" si="22">IF(C$4="","",MIN(-C16,0))</f>
        <v>0</v>
      </c>
      <c r="D48" s="270">
        <f t="shared" si="22"/>
        <v>-52</v>
      </c>
      <c r="E48" s="270">
        <f t="shared" si="22"/>
        <v>0</v>
      </c>
      <c r="F48" s="270">
        <f t="shared" si="22"/>
        <v>-7</v>
      </c>
      <c r="G48" s="270">
        <f t="shared" si="22"/>
        <v>0</v>
      </c>
      <c r="H48" s="270">
        <f t="shared" si="22"/>
        <v>-4</v>
      </c>
      <c r="I48" s="270">
        <f t="shared" si="22"/>
        <v>0</v>
      </c>
      <c r="J48" s="270">
        <f t="shared" si="22"/>
        <v>0</v>
      </c>
      <c r="K48" s="270">
        <f t="shared" si="22"/>
        <v>-57615</v>
      </c>
      <c r="L48" s="270">
        <f t="shared" si="22"/>
        <v>-47296</v>
      </c>
      <c r="M48" s="270" t="str">
        <f t="shared" si="22"/>
        <v/>
      </c>
    </row>
    <row r="50" spans="2:13">
      <c r="B50" s="16" t="s">
        <v>64</v>
      </c>
    </row>
    <row r="51" spans="2:13">
      <c r="B51" s="38" t="s">
        <v>36</v>
      </c>
      <c r="C51" s="270">
        <f t="shared" ref="C51:M51" si="23">IF(C$4="","",-C12)</f>
        <v>-254421</v>
      </c>
      <c r="D51" s="270">
        <f t="shared" si="23"/>
        <v>-181446</v>
      </c>
      <c r="E51" s="270">
        <f t="shared" si="23"/>
        <v>-120561</v>
      </c>
      <c r="F51" s="270">
        <f t="shared" si="23"/>
        <v>-112458</v>
      </c>
      <c r="G51" s="270">
        <f t="shared" si="23"/>
        <v>0</v>
      </c>
      <c r="H51" s="270">
        <f t="shared" si="23"/>
        <v>0</v>
      </c>
      <c r="I51" s="270">
        <f t="shared" si="23"/>
        <v>0</v>
      </c>
      <c r="J51" s="270">
        <f t="shared" si="23"/>
        <v>0</v>
      </c>
      <c r="K51" s="270">
        <f t="shared" si="23"/>
        <v>0</v>
      </c>
      <c r="L51" s="270">
        <f t="shared" si="23"/>
        <v>0</v>
      </c>
      <c r="M51" s="270" t="str">
        <f t="shared" si="23"/>
        <v/>
      </c>
    </row>
    <row r="52" spans="2:13">
      <c r="B52" s="38" t="s">
        <v>63</v>
      </c>
      <c r="C52" s="270">
        <f>IF(C$4="","",C13)</f>
        <v>429525</v>
      </c>
      <c r="D52" s="270">
        <f t="shared" ref="D52:M52" si="24">IF(D$4="","",D13)</f>
        <v>500556</v>
      </c>
      <c r="E52" s="270">
        <f t="shared" si="24"/>
        <v>447748</v>
      </c>
      <c r="F52" s="270">
        <f t="shared" si="24"/>
        <v>145097</v>
      </c>
      <c r="G52" s="270">
        <f t="shared" si="24"/>
        <v>0</v>
      </c>
      <c r="H52" s="270">
        <f t="shared" si="24"/>
        <v>0</v>
      </c>
      <c r="I52" s="270">
        <f t="shared" si="24"/>
        <v>0</v>
      </c>
      <c r="J52" s="270">
        <f t="shared" si="24"/>
        <v>0</v>
      </c>
      <c r="K52" s="270">
        <f t="shared" si="24"/>
        <v>0</v>
      </c>
      <c r="L52" s="270">
        <f t="shared" si="24"/>
        <v>0</v>
      </c>
      <c r="M52" s="270" t="str">
        <f t="shared" si="24"/>
        <v/>
      </c>
    </row>
    <row r="54" spans="2:13">
      <c r="B54" s="156" t="s">
        <v>138</v>
      </c>
    </row>
    <row r="55" spans="2:13">
      <c r="B55" s="38" t="s">
        <v>133</v>
      </c>
      <c r="C55" s="285">
        <f t="shared" ref="C55:M55" si="25">IF(C$4="","",C9)</f>
        <v>256299</v>
      </c>
      <c r="D55" s="285">
        <f t="shared" si="25"/>
        <v>377972</v>
      </c>
      <c r="E55" s="285">
        <f t="shared" si="25"/>
        <v>201155</v>
      </c>
      <c r="F55" s="285">
        <f t="shared" si="25"/>
        <v>159222</v>
      </c>
      <c r="G55" s="285">
        <f t="shared" si="25"/>
        <v>83487</v>
      </c>
      <c r="H55" s="285">
        <f t="shared" si="25"/>
        <v>343469</v>
      </c>
      <c r="I55" s="285">
        <f t="shared" si="25"/>
        <v>63633</v>
      </c>
      <c r="J55" s="285">
        <f t="shared" si="25"/>
        <v>73806</v>
      </c>
      <c r="K55" s="285">
        <f t="shared" si="25"/>
        <v>9716</v>
      </c>
      <c r="L55" s="285">
        <f t="shared" si="25"/>
        <v>6948</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148917</v>
      </c>
      <c r="D58" s="285">
        <f t="shared" ref="D58:M58" si="28">IF(D$4="","",D44-D55-D56-D57)</f>
        <v>543305</v>
      </c>
      <c r="E58" s="285">
        <f t="shared" si="28"/>
        <v>829486</v>
      </c>
      <c r="F58" s="285">
        <f t="shared" si="28"/>
        <v>416030</v>
      </c>
      <c r="G58" s="285">
        <f t="shared" si="28"/>
        <v>299810</v>
      </c>
      <c r="H58" s="285">
        <f t="shared" si="28"/>
        <v>120949</v>
      </c>
      <c r="I58" s="285">
        <f t="shared" si="28"/>
        <v>122233</v>
      </c>
      <c r="J58" s="285">
        <f t="shared" si="28"/>
        <v>61676</v>
      </c>
      <c r="K58" s="285">
        <f t="shared" si="28"/>
        <v>411830</v>
      </c>
      <c r="L58" s="285">
        <f t="shared" si="28"/>
        <v>2276</v>
      </c>
      <c r="M58" s="285" t="str">
        <f t="shared" si="28"/>
        <v/>
      </c>
    </row>
    <row r="60" spans="2:13">
      <c r="B60" s="16" t="s">
        <v>47</v>
      </c>
      <c r="C60" s="9"/>
    </row>
    <row r="61" spans="2:13">
      <c r="B61" s="26" t="s">
        <v>43</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49</v>
      </c>
      <c r="C62" s="270">
        <f>IF(C$4="","",IF(C20=0,C61,-C20))</f>
        <v>1815.2739999999999</v>
      </c>
      <c r="D62" s="270">
        <f t="shared" ref="D62:M62" si="30">IF(D$4="","",IF(D20=0,D61,-D20))</f>
        <v>1815.2739999999999</v>
      </c>
      <c r="E62" s="270">
        <f t="shared" si="30"/>
        <v>1830.425</v>
      </c>
      <c r="F62" s="270">
        <f t="shared" si="30"/>
        <v>1027.7539999999999</v>
      </c>
      <c r="G62" s="270">
        <f t="shared" si="30"/>
        <v>745.63400000000001</v>
      </c>
      <c r="H62" s="270">
        <f t="shared" si="30"/>
        <v>649.02099999999996</v>
      </c>
      <c r="I62" s="270">
        <f t="shared" si="30"/>
        <v>0</v>
      </c>
      <c r="J62" s="270">
        <f t="shared" si="30"/>
        <v>0</v>
      </c>
      <c r="K62" s="270">
        <f t="shared" si="30"/>
        <v>0</v>
      </c>
      <c r="L62" s="270">
        <f t="shared" si="30"/>
        <v>0</v>
      </c>
      <c r="M62" s="270" t="str">
        <f t="shared" si="30"/>
        <v/>
      </c>
    </row>
    <row r="63" spans="2:13">
      <c r="B63" s="26" t="s">
        <v>48</v>
      </c>
      <c r="C63" s="270">
        <f>IF(C$4="","",-C21)</f>
        <v>31.047000000000001</v>
      </c>
      <c r="D63" s="270">
        <f t="shared" ref="D63:M63" si="31">IF(D$4="","",-D21)</f>
        <v>31.047000000000001</v>
      </c>
      <c r="E63" s="270">
        <f t="shared" si="31"/>
        <v>1133.2159999999999</v>
      </c>
      <c r="F63" s="270">
        <f t="shared" si="31"/>
        <v>-826.13499999999999</v>
      </c>
      <c r="G63" s="270">
        <f t="shared" si="31"/>
        <v>-141.60300000000001</v>
      </c>
      <c r="H63" s="270">
        <f t="shared" si="31"/>
        <v>0</v>
      </c>
      <c r="I63" s="270">
        <f t="shared" si="31"/>
        <v>0</v>
      </c>
      <c r="J63" s="270">
        <f t="shared" si="31"/>
        <v>0</v>
      </c>
      <c r="K63" s="270">
        <f t="shared" si="31"/>
        <v>0</v>
      </c>
      <c r="L63" s="270">
        <f t="shared" si="31"/>
        <v>0</v>
      </c>
      <c r="M63" s="270" t="str">
        <f t="shared" si="31"/>
        <v/>
      </c>
    </row>
    <row r="64" spans="2:13">
      <c r="B64" s="26" t="s">
        <v>304</v>
      </c>
      <c r="C64" s="270">
        <f>IF(C$4="","",C22+C23+C24)</f>
        <v>2104040</v>
      </c>
      <c r="D64" s="270">
        <f t="shared" ref="D64:M64" si="32">IF(D$4="","",D22+D23+D24)</f>
        <v>-1978120</v>
      </c>
      <c r="E64" s="270">
        <f t="shared" si="32"/>
        <v>-7455264</v>
      </c>
      <c r="F64" s="270">
        <f t="shared" si="32"/>
        <v>7582785</v>
      </c>
      <c r="G64" s="270">
        <f t="shared" si="32"/>
        <v>1258290</v>
      </c>
      <c r="H64" s="270">
        <f t="shared" si="32"/>
        <v>2281502</v>
      </c>
      <c r="I64" s="270">
        <f t="shared" si="32"/>
        <v>1123289</v>
      </c>
      <c r="J64" s="270">
        <f t="shared" si="32"/>
        <v>584134</v>
      </c>
      <c r="K64" s="270">
        <f t="shared" si="32"/>
        <v>166143</v>
      </c>
      <c r="L64" s="270">
        <f t="shared" si="32"/>
        <v>960673</v>
      </c>
      <c r="M64" s="270" t="str">
        <f t="shared" si="32"/>
        <v/>
      </c>
    </row>
    <row r="65" spans="2:13">
      <c r="B65" s="23" t="s">
        <v>33</v>
      </c>
      <c r="C65" s="70">
        <f>IF(C$4="","",C25)</f>
        <v>0.5150512453090087</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54</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138</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36780388</v>
      </c>
      <c r="D76" s="285">
        <f t="shared" ref="D76:M76" si="39">IF(D$4="","",D79+D80)</f>
        <v>34207803</v>
      </c>
      <c r="E76" s="285">
        <f t="shared" si="39"/>
        <v>33646519</v>
      </c>
      <c r="F76" s="285">
        <f t="shared" si="39"/>
        <v>30274816</v>
      </c>
      <c r="G76" s="285">
        <f t="shared" si="39"/>
        <v>14593865</v>
      </c>
      <c r="H76" s="285">
        <f t="shared" si="39"/>
        <v>12547474</v>
      </c>
      <c r="I76" s="285">
        <f t="shared" si="39"/>
        <v>8727305</v>
      </c>
      <c r="J76" s="285">
        <f t="shared" si="39"/>
        <v>7321349</v>
      </c>
      <c r="K76" s="285">
        <f t="shared" si="39"/>
        <v>6780494</v>
      </c>
      <c r="L76" s="285">
        <f t="shared" si="39"/>
        <v>6897458</v>
      </c>
      <c r="M76" s="285" t="str">
        <f t="shared" si="39"/>
        <v/>
      </c>
    </row>
    <row r="77" spans="2:13">
      <c r="B77" s="90" t="s">
        <v>81</v>
      </c>
      <c r="C77" s="260">
        <f t="shared" ref="C77:H78" si="40">IF(C$4="","",C28)</f>
        <v>1597813</v>
      </c>
      <c r="D77" s="282">
        <f t="shared" si="40"/>
        <v>1205532</v>
      </c>
      <c r="E77" s="282">
        <f t="shared" si="40"/>
        <v>1020346</v>
      </c>
      <c r="F77" s="282">
        <f t="shared" si="40"/>
        <v>902857</v>
      </c>
      <c r="G77" s="282">
        <f t="shared" si="40"/>
        <v>658796</v>
      </c>
      <c r="H77" s="282">
        <f t="shared" si="40"/>
        <v>686606</v>
      </c>
      <c r="I77" s="291"/>
      <c r="J77" s="291"/>
      <c r="K77" s="291"/>
      <c r="L77" s="291"/>
      <c r="M77" s="291"/>
    </row>
    <row r="78" spans="2:13">
      <c r="B78" s="90" t="s">
        <v>82</v>
      </c>
      <c r="C78" s="260">
        <f t="shared" si="40"/>
        <v>2428290</v>
      </c>
      <c r="D78" s="282">
        <f t="shared" si="40"/>
        <v>2493206</v>
      </c>
      <c r="E78" s="282">
        <f t="shared" si="40"/>
        <v>2428040</v>
      </c>
      <c r="F78" s="282">
        <f t="shared" si="40"/>
        <v>1772803</v>
      </c>
      <c r="G78" s="282">
        <f t="shared" si="40"/>
        <v>1345539</v>
      </c>
      <c r="H78" s="282">
        <f t="shared" si="40"/>
        <v>1407257</v>
      </c>
      <c r="I78" s="291"/>
      <c r="J78" s="291"/>
      <c r="K78" s="291"/>
      <c r="L78" s="291"/>
      <c r="M78" s="291"/>
    </row>
    <row r="79" spans="2:13">
      <c r="B79" s="25" t="s">
        <v>37</v>
      </c>
      <c r="C79" s="259">
        <f t="shared" ref="C79:M79" si="41">IF(C$4="","",C30)</f>
        <v>9611695</v>
      </c>
      <c r="D79" s="270">
        <f t="shared" si="41"/>
        <v>9801162</v>
      </c>
      <c r="E79" s="270">
        <f t="shared" si="41"/>
        <v>9314591</v>
      </c>
      <c r="F79" s="270">
        <f t="shared" si="41"/>
        <v>9170709</v>
      </c>
      <c r="G79" s="270">
        <f t="shared" si="41"/>
        <v>5904448</v>
      </c>
      <c r="H79" s="270">
        <f t="shared" si="41"/>
        <v>5423281</v>
      </c>
      <c r="I79" s="270">
        <f t="shared" si="41"/>
        <v>2907715</v>
      </c>
      <c r="J79" s="270">
        <f t="shared" si="41"/>
        <v>2247752</v>
      </c>
      <c r="K79" s="270">
        <f t="shared" si="41"/>
        <v>2783345</v>
      </c>
      <c r="L79" s="270">
        <f t="shared" si="41"/>
        <v>3486918</v>
      </c>
      <c r="M79" s="270" t="str">
        <f t="shared" si="41"/>
        <v/>
      </c>
    </row>
    <row r="80" spans="2:13">
      <c r="B80" s="25" t="s">
        <v>27</v>
      </c>
      <c r="C80" s="259">
        <f t="shared" ref="C80:M80" si="42">IF(C$4="","",C31)</f>
        <v>27168693</v>
      </c>
      <c r="D80" s="270">
        <f t="shared" si="42"/>
        <v>24406641</v>
      </c>
      <c r="E80" s="270">
        <f t="shared" si="42"/>
        <v>24331928</v>
      </c>
      <c r="F80" s="270">
        <f t="shared" si="42"/>
        <v>21104107</v>
      </c>
      <c r="G80" s="270">
        <f t="shared" si="42"/>
        <v>8689417</v>
      </c>
      <c r="H80" s="270">
        <f t="shared" si="42"/>
        <v>7124193</v>
      </c>
      <c r="I80" s="270">
        <f t="shared" si="42"/>
        <v>5819590</v>
      </c>
      <c r="J80" s="270">
        <f t="shared" si="42"/>
        <v>5073597</v>
      </c>
      <c r="K80" s="270">
        <f t="shared" si="42"/>
        <v>3997149</v>
      </c>
      <c r="L80" s="270">
        <f t="shared" si="42"/>
        <v>3410540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1352242+245571</f>
        <v>1597813</v>
      </c>
      <c r="D4" s="231">
        <v>0.6</v>
      </c>
      <c r="E4" s="24"/>
      <c r="F4" s="4" t="s">
        <v>73</v>
      </c>
      <c r="G4" s="18">
        <f>5254388+11798043</f>
        <v>17052431</v>
      </c>
      <c r="H4" s="231">
        <v>0.9</v>
      </c>
    </row>
    <row r="5" spans="2:8" ht="15" customHeight="1">
      <c r="B5" s="1" t="s">
        <v>30</v>
      </c>
      <c r="C5" s="18">
        <v>0</v>
      </c>
      <c r="D5" s="231">
        <v>0.6</v>
      </c>
      <c r="E5" s="24"/>
      <c r="F5" s="1" t="s">
        <v>26</v>
      </c>
      <c r="G5" s="18">
        <v>400</v>
      </c>
      <c r="H5" s="231">
        <v>0.7</v>
      </c>
    </row>
    <row r="6" spans="2:8" ht="15" customHeight="1">
      <c r="B6" s="4" t="s">
        <v>8</v>
      </c>
      <c r="C6" s="18">
        <v>2428290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1064042</f>
        <v>1064042</v>
      </c>
      <c r="D11" s="231">
        <v>0.05</v>
      </c>
      <c r="H11" s="232"/>
    </row>
    <row r="12" spans="2:8" ht="15" customHeight="1">
      <c r="B12" s="77" t="s">
        <v>68</v>
      </c>
      <c r="C12" s="78">
        <f>SUM(C4:C11)</f>
        <v>5090145</v>
      </c>
      <c r="D12" s="19">
        <f>C4*D4+C5*D5+C9*D9+C6*D6+C8*D8+C7*D7+C10*D10+C11*D11</f>
        <v>2226034.9</v>
      </c>
      <c r="F12" s="77" t="s">
        <v>66</v>
      </c>
      <c r="G12" s="78">
        <f>SUM(G4:G10)</f>
        <v>17052831</v>
      </c>
      <c r="H12" s="19">
        <f>G4*H4+G5*H5+G6*H6+G7*H7+G8*H8+G9*H9+G10*H10</f>
        <v>15347467.9</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153234</v>
      </c>
      <c r="D15" s="231">
        <v>0.4</v>
      </c>
      <c r="F15" s="4" t="s">
        <v>74</v>
      </c>
      <c r="G15" s="18">
        <v>2138025</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1876402+448521</f>
        <v>2324923</v>
      </c>
      <c r="H17" s="231">
        <v>0.6</v>
      </c>
    </row>
    <row r="18" spans="2:8" ht="15" customHeight="1">
      <c r="B18" s="4" t="s">
        <v>143</v>
      </c>
      <c r="C18" s="18">
        <v>0</v>
      </c>
      <c r="D18" s="231">
        <v>0.6</v>
      </c>
      <c r="F18" s="4" t="s">
        <v>150</v>
      </c>
      <c r="G18" s="18">
        <v>0</v>
      </c>
      <c r="H18" s="231">
        <v>0.1</v>
      </c>
    </row>
    <row r="19" spans="2:8" ht="15" customHeight="1">
      <c r="B19" s="4" t="s">
        <v>23</v>
      </c>
      <c r="C19" s="18">
        <f>4615327+1392122+148969</f>
        <v>6156418</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156064</v>
      </c>
      <c r="D21" s="231">
        <v>0.05</v>
      </c>
      <c r="F21" s="1" t="s">
        <v>149</v>
      </c>
      <c r="G21" s="18">
        <v>2737750</v>
      </c>
      <c r="H21" s="231">
        <v>0.1</v>
      </c>
    </row>
    <row r="22" spans="2:8" ht="15" customHeight="1">
      <c r="B22" s="4" t="s">
        <v>17</v>
      </c>
      <c r="C22" s="18">
        <v>963833</v>
      </c>
      <c r="D22" s="231">
        <v>0.9</v>
      </c>
      <c r="H22" s="232"/>
    </row>
    <row r="23" spans="2:8" ht="15" customHeight="1">
      <c r="B23" s="4" t="s">
        <v>18</v>
      </c>
      <c r="C23" s="18">
        <f>7165</f>
        <v>7165</v>
      </c>
      <c r="D23" s="231">
        <v>0</v>
      </c>
      <c r="H23" s="232"/>
    </row>
    <row r="24" spans="2:8" ht="15" customHeight="1">
      <c r="B24" s="77" t="s">
        <v>69</v>
      </c>
      <c r="C24" s="78">
        <f>SUM(C15:C23)</f>
        <v>7436714</v>
      </c>
      <c r="D24" s="19">
        <f>C15*D15+C16*D16+C18*D18+C17*D17+C19*D19+C20*D20+C21*D21+C22*D22+C23*D23</f>
        <v>1552188.3</v>
      </c>
      <c r="F24" s="77" t="s">
        <v>67</v>
      </c>
      <c r="G24" s="78">
        <f>SUM(G15:G21)</f>
        <v>7200698</v>
      </c>
      <c r="H24" s="19">
        <f>G15*H15+G16*H16+G17*H17+G18*H18+G19*H19+G20*H20+G21*H21</f>
        <v>3379148.7999999998</v>
      </c>
    </row>
    <row r="26" spans="2:8" ht="15" customHeight="1">
      <c r="B26" s="16" t="s">
        <v>168</v>
      </c>
      <c r="C26" s="164" t="s">
        <v>112</v>
      </c>
      <c r="F26" s="166" t="s">
        <v>164</v>
      </c>
      <c r="G26" s="167" t="s">
        <v>112</v>
      </c>
      <c r="H26" s="168" t="s">
        <v>32</v>
      </c>
    </row>
    <row r="27" spans="2:8" ht="15" customHeight="1">
      <c r="B27" s="4" t="s">
        <v>3</v>
      </c>
      <c r="C27" s="18">
        <v>0</v>
      </c>
      <c r="F27" s="169" t="s">
        <v>27</v>
      </c>
      <c r="G27" s="82">
        <f>G32-G30</f>
        <v>27168693</v>
      </c>
      <c r="H27" s="170">
        <f>H32-G30</f>
        <v>12893144.899999999</v>
      </c>
    </row>
    <row r="28" spans="2:8" ht="15" customHeight="1">
      <c r="B28" s="4" t="s">
        <v>4</v>
      </c>
      <c r="C28" s="18">
        <v>490187</v>
      </c>
      <c r="F28" s="171" t="s">
        <v>208</v>
      </c>
      <c r="G28" s="287">
        <v>0</v>
      </c>
      <c r="H28" s="170"/>
    </row>
    <row r="29" spans="2:8" ht="15" customHeight="1">
      <c r="B29" s="4" t="s">
        <v>5</v>
      </c>
      <c r="C29" s="18">
        <v>0</v>
      </c>
      <c r="F29" s="172" t="s">
        <v>71</v>
      </c>
      <c r="G29" s="14">
        <f>G27-G28</f>
        <v>27168693</v>
      </c>
      <c r="H29" s="170">
        <f>H27-G28</f>
        <v>12893144.899999999</v>
      </c>
    </row>
    <row r="30" spans="2:8" ht="15" customHeight="1">
      <c r="B30" s="2" t="s">
        <v>6</v>
      </c>
      <c r="C30" s="18">
        <v>0</v>
      </c>
      <c r="F30" s="169" t="s">
        <v>20</v>
      </c>
      <c r="G30" s="82">
        <f>C33+C42</f>
        <v>9611695</v>
      </c>
      <c r="H30" s="170"/>
    </row>
    <row r="31" spans="2:8" ht="15" customHeight="1">
      <c r="B31" s="77" t="s">
        <v>171</v>
      </c>
      <c r="C31" s="78">
        <f>SUM(C27:C30)</f>
        <v>490187</v>
      </c>
      <c r="F31" s="172" t="s">
        <v>72</v>
      </c>
      <c r="G31" s="173">
        <f>C31+C40</f>
        <v>1777313</v>
      </c>
      <c r="H31" s="170"/>
    </row>
    <row r="32" spans="2:8" ht="15" customHeight="1">
      <c r="B32" s="4" t="s">
        <v>7</v>
      </c>
      <c r="C32" s="20">
        <f>C33-C31</f>
        <v>7200945</v>
      </c>
      <c r="F32" s="174" t="s">
        <v>70</v>
      </c>
      <c r="G32" s="175">
        <f>G35+G40</f>
        <v>36780388</v>
      </c>
      <c r="H32" s="170">
        <f>H35+H40</f>
        <v>22504839.899999999</v>
      </c>
    </row>
    <row r="33" spans="2:8" ht="15" customHeight="1">
      <c r="B33" s="80" t="s">
        <v>2</v>
      </c>
      <c r="C33" s="81">
        <v>7691132</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12526859</v>
      </c>
      <c r="H35" s="182">
        <f>D12+D24</f>
        <v>3778223.2</v>
      </c>
    </row>
    <row r="36" spans="2:8" ht="15" customHeight="1">
      <c r="B36" s="4" t="s">
        <v>11</v>
      </c>
      <c r="C36" s="18">
        <v>0</v>
      </c>
      <c r="F36" s="172" t="s">
        <v>165</v>
      </c>
      <c r="G36" s="173">
        <f>C4+C15</f>
        <v>1751047</v>
      </c>
      <c r="H36" s="177"/>
    </row>
    <row r="37" spans="2:8" ht="15" customHeight="1">
      <c r="B37" s="4" t="s">
        <v>12</v>
      </c>
      <c r="C37" s="18">
        <v>1287126</v>
      </c>
      <c r="F37" s="172" t="s">
        <v>166</v>
      </c>
      <c r="G37" s="173">
        <f>C6</f>
        <v>2428290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6156418</v>
      </c>
      <c r="H39" s="170">
        <f>C7*D7+C17*D17+C19*D19+C20*D20</f>
        <v>615641.80000000005</v>
      </c>
    </row>
    <row r="40" spans="2:8" ht="15" customHeight="1">
      <c r="B40" s="77" t="s">
        <v>172</v>
      </c>
      <c r="C40" s="78">
        <f>SUM(C36:C39)</f>
        <v>1287126</v>
      </c>
      <c r="F40" s="181" t="s">
        <v>114</v>
      </c>
      <c r="G40" s="175">
        <f>G12+G24</f>
        <v>24253529</v>
      </c>
      <c r="H40" s="182">
        <f>H12+H24</f>
        <v>18726616.699999999</v>
      </c>
    </row>
    <row r="41" spans="2:8" ht="15" customHeight="1">
      <c r="B41" s="4" t="s">
        <v>15</v>
      </c>
      <c r="C41" s="20">
        <f>C42-C40</f>
        <v>633437</v>
      </c>
      <c r="F41" s="172" t="s">
        <v>159</v>
      </c>
      <c r="G41" s="173">
        <f>C70</f>
        <v>19190856</v>
      </c>
      <c r="H41" s="182">
        <f>H40-H42</f>
        <v>17057887.899999999</v>
      </c>
    </row>
    <row r="42" spans="2:8" ht="15" customHeight="1">
      <c r="B42" s="80" t="s">
        <v>19</v>
      </c>
      <c r="C42" s="81">
        <v>1920563</v>
      </c>
      <c r="F42" s="183" t="s">
        <v>160</v>
      </c>
      <c r="G42" s="184">
        <f>C82</f>
        <v>5062673</v>
      </c>
      <c r="H42" s="185">
        <f>D82</f>
        <v>1668728.8</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27168693</v>
      </c>
      <c r="D46" s="73">
        <f>H29</f>
        <v>12893144.899999999</v>
      </c>
      <c r="F46" s="223"/>
    </row>
    <row r="47" spans="2:8" ht="15" customHeight="1">
      <c r="B47" s="1" t="str">
        <f>"Equity per share ("&amp;Market_currency&amp;")"</f>
        <v>Equity per share (HKD)</v>
      </c>
      <c r="C47" s="134">
        <f>C46*H1/Common_Shares*Exchange_Rate</f>
        <v>11.934297910014122</v>
      </c>
      <c r="D47" s="134">
        <f>D46*H1/Common_Shares*Exchange_Rate</f>
        <v>5.6635272161814783</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0.50358953318926281</v>
      </c>
      <c r="D50" s="92">
        <f>G31/Normalized_FCF!G8</f>
        <v>0.50358953318926281</v>
      </c>
      <c r="F50" s="223"/>
    </row>
    <row r="51" spans="2:8" ht="15" customHeight="1">
      <c r="B51" s="1" t="s">
        <v>145</v>
      </c>
      <c r="C51" s="163"/>
      <c r="D51" s="89">
        <f>G29/G32</f>
        <v>0.73867336581658682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0.28173774447369448</v>
      </c>
      <c r="D54" s="89">
        <f>Normalized_FCF!G8/G35</f>
        <v>0.28173774447369448</v>
      </c>
      <c r="F54" s="223"/>
    </row>
    <row r="55" spans="2:8" ht="15" customHeight="1">
      <c r="B55" s="1" t="s">
        <v>117</v>
      </c>
      <c r="C55" s="89">
        <f>Normalized_FCF!C9/G40</f>
        <v>0</v>
      </c>
      <c r="D55" s="89">
        <f>Normalized_FCF!G9/G40</f>
        <v>1.0567493085233082E-2</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0.16738317170552958</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19190856</v>
      </c>
      <c r="D66" s="73">
        <f>C66-D75</f>
        <v>14777911.978831053</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19190856</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-2206472.0105844731</v>
      </c>
      <c r="D73" s="285">
        <f>(Normalized_FCF!C26+Normalized_FCF!C35-Normalized_FCF!C89)/12</f>
        <v>-2206472.0105844731</v>
      </c>
      <c r="F73" s="1" t="s">
        <v>277</v>
      </c>
    </row>
    <row r="74" spans="2:6" ht="15" customHeight="1">
      <c r="B74" s="227" t="s">
        <v>258</v>
      </c>
      <c r="C74" s="228">
        <f>-$C$66/C73</f>
        <v>8.6975297705754837</v>
      </c>
      <c r="D74" s="228">
        <f>-$C$66/D73</f>
        <v>8.6975297705754837</v>
      </c>
      <c r="F74" s="223" t="s">
        <v>256</v>
      </c>
    </row>
    <row r="75" spans="2:6" ht="15" customHeight="1">
      <c r="B75" s="77" t="s">
        <v>257</v>
      </c>
      <c r="C75" s="261"/>
      <c r="D75" s="262">
        <f>MAX(-D73*D76,G5)</f>
        <v>4412944.0211689463</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2324923</v>
      </c>
      <c r="D79" s="73">
        <f>G7*H7+G17*H17</f>
        <v>1394953.8</v>
      </c>
      <c r="F79" s="223"/>
    </row>
    <row r="80" spans="2:6" ht="15" customHeight="1">
      <c r="B80" s="102" t="s">
        <v>151</v>
      </c>
      <c r="C80" s="19">
        <f>G19</f>
        <v>0</v>
      </c>
      <c r="D80" s="73">
        <f>G19*H19</f>
        <v>0</v>
      </c>
      <c r="F80" s="223"/>
    </row>
    <row r="81" spans="2:8" ht="15" customHeight="1">
      <c r="B81" s="102" t="s">
        <v>149</v>
      </c>
      <c r="C81" s="19">
        <f>G9+G21</f>
        <v>2737750</v>
      </c>
      <c r="D81" s="73">
        <f>G9*H9+G21*H21</f>
        <v>273775</v>
      </c>
      <c r="F81" s="223"/>
    </row>
    <row r="82" spans="2:8" ht="15" customHeight="1">
      <c r="B82" s="77" t="s">
        <v>158</v>
      </c>
      <c r="C82" s="78">
        <f>SUM(C79:C81)</f>
        <v>5062673</v>
      </c>
      <c r="D82" s="78">
        <f>SUM(D79:D81)</f>
        <v>1668728.8</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-2017998.5037730001</v>
      </c>
      <c r="D86" s="201">
        <f>C86*scaling_factor/Common_Shares</f>
        <v>-0.78071414113814486</v>
      </c>
      <c r="E86" s="214" t="str">
        <f>Market_currency</f>
        <v>HKD</v>
      </c>
    </row>
    <row r="87" spans="2:8" ht="15" customHeight="1">
      <c r="B87" s="212" t="s">
        <v>239</v>
      </c>
      <c r="C87" s="73">
        <f>DCF!F5*Exchange_Rate</f>
        <v>16779151.596916333</v>
      </c>
      <c r="D87" s="201">
        <f>C87*scaling_factor/Common_Shares</f>
        <v>6.4914423392886835</v>
      </c>
      <c r="E87" s="214" t="str">
        <f>Market_currency</f>
        <v>HKD</v>
      </c>
    </row>
    <row r="88" spans="2:8" ht="15" customHeight="1">
      <c r="B88" s="213" t="s">
        <v>158</v>
      </c>
      <c r="C88" s="73">
        <f>DCF!F6*Exchange_Rate</f>
        <v>1894709.7228248001</v>
      </c>
      <c r="D88" s="201">
        <f>C88*scaling_factor/Common_Shares</f>
        <v>0.73301673474761453</v>
      </c>
      <c r="E88" s="214" t="str">
        <f>Market_currency</f>
        <v>HKD</v>
      </c>
    </row>
    <row r="89" spans="2:8" ht="15" customHeight="1">
      <c r="B89" s="77" t="s">
        <v>243</v>
      </c>
      <c r="C89" s="162">
        <f>SUM(C86:C88)</f>
        <v>16655862.815968134</v>
      </c>
      <c r="D89" s="216">
        <f>SUM(D86:D88)</f>
        <v>6.443744932898154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28675643</v>
      </c>
      <c r="D4" s="54"/>
      <c r="E4" s="235"/>
      <c r="F4" s="54"/>
      <c r="G4" s="270">
        <f>Data!C36</f>
        <v>28675643</v>
      </c>
      <c r="H4" s="270">
        <f>Data!D36</f>
        <v>27598491</v>
      </c>
      <c r="I4" s="270">
        <f>Data!E36</f>
        <v>25803383</v>
      </c>
      <c r="J4" s="270">
        <f>Data!F36</f>
        <v>22572281</v>
      </c>
      <c r="K4" s="270">
        <f>Data!G36</f>
        <v>14456971</v>
      </c>
      <c r="L4" s="270">
        <f>Data!H36</f>
        <v>13869630</v>
      </c>
      <c r="M4" s="270">
        <f>Data!I36</f>
        <v>10510898</v>
      </c>
      <c r="N4" s="270">
        <f>Data!J36</f>
        <v>8873912</v>
      </c>
      <c r="O4" s="270">
        <f>Data!K36</f>
        <v>8015293</v>
      </c>
      <c r="P4" s="270">
        <f>Data!L36</f>
        <v>7089495</v>
      </c>
      <c r="Q4" s="270" t="str">
        <f>Data!M36</f>
        <v/>
      </c>
    </row>
    <row r="5" spans="1:17" ht="15.75" customHeight="1">
      <c r="A5" s="10"/>
      <c r="B5" s="2" t="s">
        <v>42</v>
      </c>
      <c r="C5" s="266">
        <f>C26</f>
        <v>-23718447</v>
      </c>
      <c r="E5" s="237"/>
      <c r="G5" s="270">
        <f t="shared" ref="G5:Q5" si="1">G26</f>
        <v>-23718447</v>
      </c>
      <c r="H5" s="270">
        <f t="shared" si="1"/>
        <v>-23326557</v>
      </c>
      <c r="I5" s="270">
        <f t="shared" si="1"/>
        <v>-20632893</v>
      </c>
      <c r="J5" s="270">
        <f t="shared" si="1"/>
        <v>-16741260</v>
      </c>
      <c r="K5" s="270">
        <f t="shared" si="1"/>
        <v>-11787345</v>
      </c>
      <c r="L5" s="270">
        <f t="shared" si="1"/>
        <v>-11509238</v>
      </c>
      <c r="M5" s="270">
        <f t="shared" si="1"/>
        <v>-9166570</v>
      </c>
      <c r="N5" s="270">
        <f t="shared" si="1"/>
        <v>-7970804</v>
      </c>
      <c r="O5" s="270">
        <f t="shared" si="1"/>
        <v>-7279406</v>
      </c>
      <c r="P5" s="270">
        <f t="shared" si="1"/>
        <v>-6617197</v>
      </c>
      <c r="Q5" s="270" t="str">
        <f t="shared" si="1"/>
        <v/>
      </c>
    </row>
    <row r="6" spans="1:17" ht="15.75" customHeight="1">
      <c r="A6" s="10"/>
      <c r="B6" s="30" t="s">
        <v>44</v>
      </c>
      <c r="C6" s="267">
        <f>C4+C5</f>
        <v>4957196</v>
      </c>
      <c r="E6" s="237"/>
      <c r="G6" s="267">
        <f>IF(G4="","",G4+G5)</f>
        <v>4957196</v>
      </c>
      <c r="H6" s="267">
        <f t="shared" ref="H6:Q6" si="2">IF(H4="","",H4+H5)</f>
        <v>4271934</v>
      </c>
      <c r="I6" s="267">
        <f t="shared" si="2"/>
        <v>5170490</v>
      </c>
      <c r="J6" s="267">
        <f t="shared" si="2"/>
        <v>5831021</v>
      </c>
      <c r="K6" s="267">
        <f t="shared" si="2"/>
        <v>2669626</v>
      </c>
      <c r="L6" s="267">
        <f t="shared" si="2"/>
        <v>2360392</v>
      </c>
      <c r="M6" s="267">
        <f t="shared" si="2"/>
        <v>1344328</v>
      </c>
      <c r="N6" s="267">
        <f t="shared" si="2"/>
        <v>903108</v>
      </c>
      <c r="O6" s="267">
        <f t="shared" si="2"/>
        <v>735887</v>
      </c>
      <c r="P6" s="267">
        <f t="shared" si="2"/>
        <v>472298</v>
      </c>
      <c r="Q6" s="267" t="str">
        <f t="shared" si="2"/>
        <v/>
      </c>
    </row>
    <row r="7" spans="1:17" ht="15.75" customHeight="1">
      <c r="A7" s="10"/>
      <c r="B7" s="8" t="s">
        <v>41</v>
      </c>
      <c r="C7" s="266">
        <f>C35</f>
        <v>-1427907</v>
      </c>
      <c r="E7" s="237"/>
      <c r="G7" s="266">
        <f t="shared" ref="G7:Q7" si="3">G35</f>
        <v>-1427907</v>
      </c>
      <c r="H7" s="266">
        <f t="shared" si="3"/>
        <v>-1256152</v>
      </c>
      <c r="I7" s="266">
        <f t="shared" si="3"/>
        <v>-1113218</v>
      </c>
      <c r="J7" s="266">
        <f t="shared" si="3"/>
        <v>-1110675</v>
      </c>
      <c r="K7" s="266">
        <f t="shared" si="3"/>
        <v>-805058</v>
      </c>
      <c r="L7" s="266">
        <f t="shared" si="3"/>
        <v>-968264</v>
      </c>
      <c r="M7" s="266">
        <f t="shared" si="3"/>
        <v>-679873</v>
      </c>
      <c r="N7" s="266">
        <f t="shared" si="3"/>
        <v>-501066</v>
      </c>
      <c r="O7" s="266">
        <f t="shared" si="3"/>
        <v>-424129</v>
      </c>
      <c r="P7" s="266">
        <f t="shared" si="3"/>
        <v>-346149</v>
      </c>
      <c r="Q7" s="266" t="str">
        <f t="shared" si="3"/>
        <v/>
      </c>
    </row>
    <row r="8" spans="1:17" ht="15.75" customHeight="1">
      <c r="A8" s="10"/>
      <c r="B8" s="28" t="s">
        <v>126</v>
      </c>
      <c r="C8" s="268">
        <f>C6+C7</f>
        <v>3529289</v>
      </c>
      <c r="D8" s="56"/>
      <c r="E8" s="241"/>
      <c r="F8" s="56"/>
      <c r="G8" s="267">
        <f>IF(G$4="","",G6+G7)</f>
        <v>3529289</v>
      </c>
      <c r="H8" s="267">
        <f t="shared" ref="H8:Q8" si="4">IF(H$4="","",H6+H7)</f>
        <v>3015782</v>
      </c>
      <c r="I8" s="267">
        <f t="shared" si="4"/>
        <v>4057272</v>
      </c>
      <c r="J8" s="267">
        <f t="shared" si="4"/>
        <v>4720346</v>
      </c>
      <c r="K8" s="267">
        <f t="shared" si="4"/>
        <v>1864568</v>
      </c>
      <c r="L8" s="267">
        <f t="shared" si="4"/>
        <v>1392128</v>
      </c>
      <c r="M8" s="267">
        <f t="shared" si="4"/>
        <v>664455</v>
      </c>
      <c r="N8" s="267">
        <f t="shared" si="4"/>
        <v>402042</v>
      </c>
      <c r="O8" s="267">
        <f t="shared" si="4"/>
        <v>311758</v>
      </c>
      <c r="P8" s="267">
        <f t="shared" si="4"/>
        <v>126149</v>
      </c>
      <c r="Q8" s="267" t="str">
        <f t="shared" si="4"/>
        <v/>
      </c>
    </row>
    <row r="9" spans="1:17" ht="15.75" customHeight="1">
      <c r="A9" s="10"/>
      <c r="B9" s="26" t="s">
        <v>414</v>
      </c>
      <c r="C9" s="300">
        <f>C61</f>
        <v>0</v>
      </c>
      <c r="D9" s="55"/>
      <c r="E9" s="236"/>
      <c r="F9" s="55"/>
      <c r="G9" s="270">
        <f>G59</f>
        <v>256299</v>
      </c>
      <c r="H9" s="270">
        <f t="shared" ref="H9:Q9" si="5">H59</f>
        <v>377972</v>
      </c>
      <c r="I9" s="270">
        <f t="shared" si="5"/>
        <v>201155</v>
      </c>
      <c r="J9" s="270">
        <f t="shared" si="5"/>
        <v>159222</v>
      </c>
      <c r="K9" s="270">
        <f t="shared" si="5"/>
        <v>83487</v>
      </c>
      <c r="L9" s="270">
        <f t="shared" si="5"/>
        <v>343469</v>
      </c>
      <c r="M9" s="270">
        <f t="shared" si="5"/>
        <v>63633</v>
      </c>
      <c r="N9" s="270">
        <f t="shared" si="5"/>
        <v>73806</v>
      </c>
      <c r="O9" s="270">
        <f t="shared" si="5"/>
        <v>9716</v>
      </c>
      <c r="P9" s="270">
        <f t="shared" si="5"/>
        <v>6948</v>
      </c>
      <c r="Q9" s="270" t="str">
        <f t="shared" si="5"/>
        <v/>
      </c>
    </row>
    <row r="10" spans="1:17" ht="15.75" customHeight="1">
      <c r="A10" s="10"/>
      <c r="B10" s="2" t="s">
        <v>64</v>
      </c>
      <c r="C10" s="266">
        <f>C48</f>
        <v>-80161.115872986324</v>
      </c>
      <c r="E10" s="237"/>
      <c r="G10" s="266">
        <f>G48</f>
        <v>-155651.57665105758</v>
      </c>
      <c r="H10" s="266">
        <f t="shared" ref="H10:Q10" si="6">H48</f>
        <v>-66342.973461723479</v>
      </c>
      <c r="I10" s="266">
        <f t="shared" si="6"/>
        <v>-17601.191454182481</v>
      </c>
      <c r="J10" s="266">
        <f t="shared" si="6"/>
        <v>-79092.894314273901</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136</v>
      </c>
      <c r="C11" s="267">
        <f>SUM(C8:C10)</f>
        <v>3449127.8841270139</v>
      </c>
      <c r="E11" s="237"/>
      <c r="G11" s="267">
        <f t="shared" ref="G11:Q11" si="7">IF(G$4="","",SUM(G8:G10))</f>
        <v>3629936.4233489423</v>
      </c>
      <c r="H11" s="267">
        <f t="shared" si="7"/>
        <v>3327411.0265382766</v>
      </c>
      <c r="I11" s="267">
        <f t="shared" si="7"/>
        <v>4240825.8085458176</v>
      </c>
      <c r="J11" s="267">
        <f t="shared" si="7"/>
        <v>4800475.1056857258</v>
      </c>
      <c r="K11" s="267">
        <f t="shared" si="7"/>
        <v>1948055</v>
      </c>
      <c r="L11" s="267">
        <f t="shared" si="7"/>
        <v>1735597</v>
      </c>
      <c r="M11" s="267">
        <f t="shared" si="7"/>
        <v>728088</v>
      </c>
      <c r="N11" s="267">
        <f t="shared" si="7"/>
        <v>475848</v>
      </c>
      <c r="O11" s="267">
        <f t="shared" si="7"/>
        <v>321474</v>
      </c>
      <c r="P11" s="267">
        <f t="shared" si="7"/>
        <v>133097</v>
      </c>
      <c r="Q11" s="267" t="str">
        <f t="shared" si="7"/>
        <v/>
      </c>
    </row>
    <row r="12" spans="1:17" ht="15.75" customHeight="1">
      <c r="A12" s="10"/>
      <c r="B12" s="2" t="s">
        <v>59</v>
      </c>
      <c r="C12" s="266">
        <f>-C11*C41</f>
        <v>-862281.97103175346</v>
      </c>
      <c r="E12" s="237"/>
      <c r="G12" s="266">
        <f>Data!C46</f>
        <v>-1096691</v>
      </c>
      <c r="H12" s="266">
        <f>Data!D46</f>
        <v>-1069207</v>
      </c>
      <c r="I12" s="266">
        <f>Data!E46</f>
        <v>-1351329</v>
      </c>
      <c r="J12" s="266">
        <f>Data!F46</f>
        <v>-1317349</v>
      </c>
      <c r="K12" s="266">
        <f>Data!G46</f>
        <v>-549381</v>
      </c>
      <c r="L12" s="266">
        <f>Data!H46</f>
        <v>-357403</v>
      </c>
      <c r="M12" s="266">
        <f>Data!I46</f>
        <v>-135058</v>
      </c>
      <c r="N12" s="266">
        <f>Data!J46</f>
        <v>-22369</v>
      </c>
      <c r="O12" s="266">
        <f>Data!K46</f>
        <v>-32435</v>
      </c>
      <c r="P12" s="266">
        <f>Data!L46</f>
        <v>-73768</v>
      </c>
      <c r="Q12" s="266" t="str">
        <f>Data!M46</f>
        <v/>
      </c>
    </row>
    <row r="13" spans="1:17" ht="15.75" customHeight="1">
      <c r="A13" s="10"/>
      <c r="B13" s="38" t="s">
        <v>207</v>
      </c>
      <c r="C13" s="266">
        <f>-C4*C79</f>
        <v>0</v>
      </c>
      <c r="D13" s="57"/>
      <c r="E13" s="242"/>
      <c r="F13" s="57"/>
      <c r="G13" s="270">
        <f>Data!C48</f>
        <v>0</v>
      </c>
      <c r="H13" s="270">
        <f>Data!D48</f>
        <v>-52</v>
      </c>
      <c r="I13" s="270">
        <f>Data!E48</f>
        <v>0</v>
      </c>
      <c r="J13" s="270">
        <f>Data!F48</f>
        <v>-7</v>
      </c>
      <c r="K13" s="270">
        <f>Data!G48</f>
        <v>0</v>
      </c>
      <c r="L13" s="270">
        <f>Data!H48</f>
        <v>-4</v>
      </c>
      <c r="M13" s="270">
        <f>Data!I48</f>
        <v>0</v>
      </c>
      <c r="N13" s="270">
        <f>Data!J48</f>
        <v>0</v>
      </c>
      <c r="O13" s="270">
        <f>Data!K48</f>
        <v>-57615</v>
      </c>
      <c r="P13" s="270">
        <f>Data!L48</f>
        <v>-47296</v>
      </c>
      <c r="Q13" s="270" t="str">
        <f>Data!M48</f>
        <v/>
      </c>
    </row>
    <row r="14" spans="1:17" ht="15.75" customHeight="1">
      <c r="A14" s="10"/>
      <c r="B14" s="39" t="s">
        <v>128</v>
      </c>
      <c r="C14" s="269">
        <f>SUM(C11:C13)</f>
        <v>2586845.9130952605</v>
      </c>
      <c r="D14" s="58"/>
      <c r="E14" s="243"/>
      <c r="F14" s="58"/>
      <c r="G14" s="267">
        <f t="shared" ref="G14:Q14" si="8">IF(G$4="","",SUM(G11:G13))</f>
        <v>2533245.4233489423</v>
      </c>
      <c r="H14" s="267">
        <f t="shared" si="8"/>
        <v>2258152.0265382766</v>
      </c>
      <c r="I14" s="267">
        <f t="shared" si="8"/>
        <v>2889496.8085458176</v>
      </c>
      <c r="J14" s="267">
        <f t="shared" si="8"/>
        <v>3483119.1056857258</v>
      </c>
      <c r="K14" s="267">
        <f t="shared" si="8"/>
        <v>1398674</v>
      </c>
      <c r="L14" s="267">
        <f t="shared" si="8"/>
        <v>1378190</v>
      </c>
      <c r="M14" s="267">
        <f t="shared" si="8"/>
        <v>593030</v>
      </c>
      <c r="N14" s="267">
        <f t="shared" si="8"/>
        <v>453479</v>
      </c>
      <c r="O14" s="267">
        <f t="shared" si="8"/>
        <v>231424</v>
      </c>
      <c r="P14" s="267">
        <f t="shared" si="8"/>
        <v>12033</v>
      </c>
      <c r="Q14" s="267" t="str">
        <f t="shared" si="8"/>
        <v/>
      </c>
    </row>
    <row r="15" spans="1:17" ht="15.75" customHeight="1">
      <c r="A15" s="10"/>
      <c r="B15" s="2" t="s">
        <v>61</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397</v>
      </c>
      <c r="C16" s="266">
        <f>-C4*C82</f>
        <v>0</v>
      </c>
      <c r="E16" s="237"/>
      <c r="G16" s="266">
        <f>Data!C62</f>
        <v>1815.2739999999999</v>
      </c>
      <c r="H16" s="266">
        <f>Data!D62</f>
        <v>1815.2739999999999</v>
      </c>
      <c r="I16" s="266">
        <f>Data!E62</f>
        <v>1830.425</v>
      </c>
      <c r="J16" s="266">
        <f>Data!F62</f>
        <v>1027.7539999999999</v>
      </c>
      <c r="K16" s="266">
        <f>Data!G62</f>
        <v>745.63400000000001</v>
      </c>
      <c r="L16" s="266">
        <f>Data!H62</f>
        <v>649.02099999999996</v>
      </c>
      <c r="M16" s="266">
        <f>Data!I62</f>
        <v>0</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2586845.9130952605</v>
      </c>
      <c r="D19" s="26"/>
      <c r="E19" s="234"/>
      <c r="F19" s="26"/>
      <c r="G19" s="271">
        <f t="shared" ref="G19:Q19" si="9">IF(G$4="","",G14+G17)</f>
        <v>2533245.4233489423</v>
      </c>
      <c r="H19" s="271">
        <f t="shared" si="9"/>
        <v>2258152.0265382766</v>
      </c>
      <c r="I19" s="271">
        <f t="shared" si="9"/>
        <v>2889496.8085458176</v>
      </c>
      <c r="J19" s="271">
        <f t="shared" si="9"/>
        <v>3483119.1056857258</v>
      </c>
      <c r="K19" s="271">
        <f t="shared" si="9"/>
        <v>1398674</v>
      </c>
      <c r="L19" s="271">
        <f t="shared" si="9"/>
        <v>1378190</v>
      </c>
      <c r="M19" s="271">
        <f t="shared" si="9"/>
        <v>593030</v>
      </c>
      <c r="N19" s="271">
        <f t="shared" si="9"/>
        <v>453479</v>
      </c>
      <c r="O19" s="271">
        <f t="shared" si="9"/>
        <v>231424</v>
      </c>
      <c r="P19" s="271">
        <f t="shared" si="9"/>
        <v>12033</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-14519540</v>
      </c>
      <c r="D23" s="55"/>
      <c r="E23" s="236"/>
      <c r="F23" s="55"/>
      <c r="G23" s="270">
        <f>Data!C37</f>
        <v>-14519540</v>
      </c>
      <c r="H23" s="270">
        <f>Data!D37</f>
        <v>-14246436</v>
      </c>
      <c r="I23" s="270">
        <f>Data!E37</f>
        <v>-13318590</v>
      </c>
      <c r="J23" s="270">
        <f>Data!F37</f>
        <v>-10603183</v>
      </c>
      <c r="K23" s="270">
        <f>Data!G37</f>
        <v>-7362627</v>
      </c>
      <c r="L23" s="270">
        <f>Data!H37</f>
        <v>-7064168</v>
      </c>
      <c r="M23" s="270">
        <f>Data!I37</f>
        <v>-5458124</v>
      </c>
      <c r="N23" s="270">
        <f>Data!J37</f>
        <v>-4697429</v>
      </c>
      <c r="O23" s="270">
        <f>Data!K37</f>
        <v>-4310065</v>
      </c>
      <c r="P23" s="270">
        <f>Data!L37</f>
        <v>-3896836</v>
      </c>
      <c r="Q23" s="270" t="str">
        <f>Data!M37</f>
        <v/>
      </c>
    </row>
    <row r="24" spans="1:17" ht="15.75" customHeight="1">
      <c r="A24" s="10"/>
      <c r="B24" s="65" t="s">
        <v>58</v>
      </c>
      <c r="C24" s="266">
        <f>-C4*C30</f>
        <v>-9198907</v>
      </c>
      <c r="D24" s="26"/>
      <c r="E24" s="234"/>
      <c r="F24" s="26"/>
      <c r="G24" s="270">
        <f>Data!C40</f>
        <v>-9198907</v>
      </c>
      <c r="H24" s="270">
        <f>Data!D40</f>
        <v>-9080121</v>
      </c>
      <c r="I24" s="270">
        <f>Data!E40</f>
        <v>-7314303</v>
      </c>
      <c r="J24" s="270">
        <f>Data!F40</f>
        <v>-6138077</v>
      </c>
      <c r="K24" s="270">
        <f>Data!G40</f>
        <v>-4424718</v>
      </c>
      <c r="L24" s="270">
        <f>Data!H40</f>
        <v>-4445070</v>
      </c>
      <c r="M24" s="270">
        <f>Data!I40</f>
        <v>-3708446</v>
      </c>
      <c r="N24" s="270">
        <f>Data!J40</f>
        <v>-3273375</v>
      </c>
      <c r="O24" s="270">
        <f>Data!K40</f>
        <v>-2969341</v>
      </c>
      <c r="P24" s="270">
        <f>Data!L40</f>
        <v>-2720361</v>
      </c>
      <c r="Q24" s="270" t="str">
        <f>Data!M40</f>
        <v/>
      </c>
    </row>
    <row r="25" spans="1:17" ht="15.75" customHeight="1">
      <c r="A25" s="10"/>
      <c r="B25" s="26" t="s">
        <v>45</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42</v>
      </c>
      <c r="C26" s="267">
        <f>SUM(C23:C25)</f>
        <v>-23718447</v>
      </c>
      <c r="D26" s="9"/>
      <c r="E26" s="240"/>
      <c r="F26" s="9"/>
      <c r="G26" s="267">
        <f>IF(G$4="","",SUM(G23:G25))</f>
        <v>-23718447</v>
      </c>
      <c r="H26" s="267">
        <f t="shared" ref="H26:Q26" si="10">IF(H$4="","",SUM(H23:H25))</f>
        <v>-23326557</v>
      </c>
      <c r="I26" s="267">
        <f t="shared" si="10"/>
        <v>-20632893</v>
      </c>
      <c r="J26" s="267">
        <f t="shared" si="10"/>
        <v>-16741260</v>
      </c>
      <c r="K26" s="267">
        <f t="shared" si="10"/>
        <v>-11787345</v>
      </c>
      <c r="L26" s="267">
        <f t="shared" si="10"/>
        <v>-11509238</v>
      </c>
      <c r="M26" s="267">
        <f t="shared" si="10"/>
        <v>-9166570</v>
      </c>
      <c r="N26" s="267">
        <f t="shared" si="10"/>
        <v>-7970804</v>
      </c>
      <c r="O26" s="267">
        <f t="shared" si="10"/>
        <v>-7279406</v>
      </c>
      <c r="P26" s="267">
        <f t="shared" si="10"/>
        <v>-6617197</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0.50633703313993694</v>
      </c>
      <c r="D29" s="25"/>
      <c r="E29" s="235"/>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5"/>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42</v>
      </c>
      <c r="C32" s="68">
        <f>ABS(C26/$C$4)</f>
        <v>0.82712868897133363</v>
      </c>
      <c r="E32" s="237"/>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-1427907</v>
      </c>
      <c r="D35" s="55"/>
      <c r="E35" s="236"/>
      <c r="F35" s="55"/>
      <c r="G35" s="267">
        <f>IF(G4="","",Data!C41)</f>
        <v>-1427907</v>
      </c>
      <c r="H35" s="267">
        <f>IF(H4="","",Data!D41)</f>
        <v>-1256152</v>
      </c>
      <c r="I35" s="267">
        <f>IF(I4="","",Data!E41)</f>
        <v>-1113218</v>
      </c>
      <c r="J35" s="267">
        <f>IF(J4="","",Data!F41)</f>
        <v>-1110675</v>
      </c>
      <c r="K35" s="267">
        <f>IF(K4="","",Data!G41)</f>
        <v>-805058</v>
      </c>
      <c r="L35" s="267">
        <f>IF(L4="","",Data!H41)</f>
        <v>-968264</v>
      </c>
      <c r="M35" s="267">
        <f>IF(M4="","",Data!I41)</f>
        <v>-679873</v>
      </c>
      <c r="N35" s="267">
        <f>IF(N4="","",Data!J41)</f>
        <v>-501066</v>
      </c>
      <c r="O35" s="267">
        <f>IF(O4="","",Data!K41)</f>
        <v>-424129</v>
      </c>
      <c r="P35" s="267">
        <f>IF(P4="","",Data!L41)</f>
        <v>-346149</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4.9795117061542438E-2</v>
      </c>
      <c r="E38" s="237"/>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0.3021240242516986</v>
      </c>
      <c r="H41" s="6">
        <f t="shared" si="16"/>
        <v>0.32133300980022478</v>
      </c>
      <c r="I41" s="6">
        <f t="shared" si="16"/>
        <v>0.31864760803824943</v>
      </c>
      <c r="J41" s="6">
        <f t="shared" si="16"/>
        <v>0.27442054609130667</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-106638.78</v>
      </c>
      <c r="E45" s="237"/>
      <c r="G45" s="266">
        <f>Data!C51</f>
        <v>-254421</v>
      </c>
      <c r="H45" s="266">
        <f>Data!D51</f>
        <v>-181446</v>
      </c>
      <c r="I45" s="266">
        <f>Data!E51</f>
        <v>-120561</v>
      </c>
      <c r="J45" s="266">
        <f>Data!F51</f>
        <v>-112458</v>
      </c>
      <c r="K45" s="266">
        <f>Data!G51</f>
        <v>0</v>
      </c>
      <c r="L45" s="266">
        <f>Data!H51</f>
        <v>0</v>
      </c>
      <c r="M45" s="266">
        <f>Data!I51</f>
        <v>0</v>
      </c>
      <c r="N45" s="266">
        <f>Data!J51</f>
        <v>0</v>
      </c>
      <c r="O45" s="266">
        <f>Data!K51</f>
        <v>0</v>
      </c>
      <c r="P45" s="266">
        <f>Data!L51</f>
        <v>0</v>
      </c>
      <c r="Q45" s="266" t="str">
        <f>Data!M51</f>
        <v/>
      </c>
    </row>
    <row r="46" spans="1:17" ht="15.75" customHeight="1">
      <c r="A46" s="10"/>
      <c r="B46" s="2" t="s">
        <v>271</v>
      </c>
      <c r="C46" s="266">
        <f>BS!D75*C51</f>
        <v>26477.664127013679</v>
      </c>
      <c r="E46" s="237"/>
      <c r="G46" s="274">
        <f t="shared" ref="G46:Q46" si="17">IFERROR(IF(G$4="","",($C$46/$C$47)*G47),0)</f>
        <v>98769.423348942422</v>
      </c>
      <c r="H46" s="274">
        <f t="shared" si="17"/>
        <v>115103.02653827652</v>
      </c>
      <c r="I46" s="274">
        <f t="shared" si="17"/>
        <v>102959.80854581752</v>
      </c>
      <c r="J46" s="274">
        <f t="shared" si="17"/>
        <v>33365.105685726092</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268</v>
      </c>
      <c r="C47" s="278">
        <f>BS!$C$66*C51</f>
        <v>115145.136</v>
      </c>
      <c r="D47" s="246"/>
      <c r="E47" s="247"/>
      <c r="F47" s="246"/>
      <c r="G47" s="278">
        <f>Data!C52</f>
        <v>429525</v>
      </c>
      <c r="H47" s="278">
        <f>Data!D52</f>
        <v>500556</v>
      </c>
      <c r="I47" s="278">
        <f>Data!E52</f>
        <v>447748</v>
      </c>
      <c r="J47" s="278">
        <f>Data!F52</f>
        <v>145097</v>
      </c>
      <c r="K47" s="278">
        <f>Data!G52</f>
        <v>0</v>
      </c>
      <c r="L47" s="278">
        <f>Data!H52</f>
        <v>0</v>
      </c>
      <c r="M47" s="278">
        <f>Data!I52</f>
        <v>0</v>
      </c>
      <c r="N47" s="278">
        <f>Data!J52</f>
        <v>0</v>
      </c>
      <c r="O47" s="278">
        <f>Data!K52</f>
        <v>0</v>
      </c>
      <c r="P47" s="278">
        <f>Data!L52</f>
        <v>0</v>
      </c>
      <c r="Q47" s="278" t="str">
        <f>Data!M52</f>
        <v/>
      </c>
    </row>
    <row r="48" spans="1:17" ht="15.75" customHeight="1">
      <c r="A48" s="10"/>
      <c r="B48" s="67" t="s">
        <v>64</v>
      </c>
      <c r="C48" s="267">
        <f>C45+C46</f>
        <v>-80161.115872986324</v>
      </c>
      <c r="E48" s="237"/>
      <c r="G48" s="267">
        <f>IF(G$4="","",(G45+G46))</f>
        <v>-155651.57665105758</v>
      </c>
      <c r="H48" s="267">
        <f t="shared" ref="H48:Q48" si="18">IF(H$4="","",(H45+H46))</f>
        <v>-66342.973461723479</v>
      </c>
      <c r="I48" s="267">
        <f t="shared" si="18"/>
        <v>-17601.191454182481</v>
      </c>
      <c r="J48" s="267">
        <f t="shared" si="18"/>
        <v>-79092.894314273901</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2.2381753059894774E-2</v>
      </c>
      <c r="H51" s="151"/>
      <c r="I51" s="151"/>
      <c r="J51" s="151"/>
      <c r="K51" s="151"/>
      <c r="L51" s="151"/>
      <c r="M51" s="151"/>
      <c r="N51" s="151"/>
      <c r="O51" s="151"/>
      <c r="P51" s="151"/>
      <c r="Q51" s="151"/>
    </row>
    <row r="52" spans="1:17" ht="15.75" customHeight="1">
      <c r="A52" s="10"/>
      <c r="B52" s="8" t="s">
        <v>83</v>
      </c>
      <c r="C52" s="79">
        <v>0.06</v>
      </c>
      <c r="E52" s="234"/>
      <c r="G52" s="22">
        <f>IFERROR(ABS(Normalized_FCF!G45/BS!$G$31),0)</f>
        <v>0.14314923707866875</v>
      </c>
      <c r="H52" s="151"/>
      <c r="I52" s="151"/>
      <c r="J52" s="151"/>
      <c r="K52" s="151"/>
      <c r="L52" s="151"/>
      <c r="M52" s="151"/>
      <c r="N52" s="151"/>
      <c r="O52" s="151"/>
      <c r="P52" s="151"/>
      <c r="Q52" s="151"/>
    </row>
    <row r="53" spans="1:17" ht="15.75" customHeight="1">
      <c r="A53" s="10"/>
      <c r="B53" s="25" t="s">
        <v>86</v>
      </c>
      <c r="C53" s="40">
        <f>-C8/C45</f>
        <v>33.09573684170055</v>
      </c>
      <c r="E53" s="237"/>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0</v>
      </c>
      <c r="E57" s="237"/>
      <c r="G57" s="266">
        <f>Data!C55</f>
        <v>256299</v>
      </c>
      <c r="H57" s="266">
        <f>Data!D55</f>
        <v>377972</v>
      </c>
      <c r="I57" s="266">
        <f>Data!E55</f>
        <v>201155</v>
      </c>
      <c r="J57" s="266">
        <f>Data!F55</f>
        <v>159222</v>
      </c>
      <c r="K57" s="266">
        <f>Data!G55</f>
        <v>83487</v>
      </c>
      <c r="L57" s="266">
        <f>Data!H55</f>
        <v>343469</v>
      </c>
      <c r="M57" s="266">
        <f>Data!I55</f>
        <v>63633</v>
      </c>
      <c r="N57" s="266">
        <f>Data!J55</f>
        <v>73806</v>
      </c>
      <c r="O57" s="266">
        <f>Data!K55</f>
        <v>9716</v>
      </c>
      <c r="P57" s="266">
        <f>Data!L55</f>
        <v>6948</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0</v>
      </c>
      <c r="E59" s="237"/>
      <c r="G59" s="267">
        <f t="shared" ref="G59:Q59" si="20">IF(G4="","",SUM(G56:G58))</f>
        <v>256299</v>
      </c>
      <c r="H59" s="267">
        <f t="shared" si="20"/>
        <v>377972</v>
      </c>
      <c r="I59" s="267">
        <f t="shared" si="20"/>
        <v>201155</v>
      </c>
      <c r="J59" s="267">
        <f t="shared" si="20"/>
        <v>159222</v>
      </c>
      <c r="K59" s="267">
        <f t="shared" si="20"/>
        <v>83487</v>
      </c>
      <c r="L59" s="267">
        <f t="shared" si="20"/>
        <v>343469</v>
      </c>
      <c r="M59" s="267">
        <f t="shared" si="20"/>
        <v>63633</v>
      </c>
      <c r="N59" s="267">
        <f t="shared" si="20"/>
        <v>73806</v>
      </c>
      <c r="O59" s="267">
        <f t="shared" si="20"/>
        <v>9716</v>
      </c>
      <c r="P59" s="267">
        <f t="shared" si="20"/>
        <v>6948</v>
      </c>
      <c r="Q59" s="267" t="str">
        <f t="shared" si="20"/>
        <v/>
      </c>
    </row>
    <row r="60" spans="1:17" ht="15.75" customHeight="1">
      <c r="A60" s="10"/>
      <c r="B60" s="38" t="s">
        <v>134</v>
      </c>
      <c r="C60" s="279">
        <v>0</v>
      </c>
      <c r="E60" s="235" t="s">
        <v>263</v>
      </c>
      <c r="G60" s="266">
        <f>Data!C58</f>
        <v>148917</v>
      </c>
      <c r="H60" s="266">
        <f>Data!D58</f>
        <v>543305</v>
      </c>
      <c r="I60" s="266">
        <f>Data!E58</f>
        <v>829486</v>
      </c>
      <c r="J60" s="266">
        <f>Data!F58</f>
        <v>416030</v>
      </c>
      <c r="K60" s="266">
        <f>Data!G58</f>
        <v>299810</v>
      </c>
      <c r="L60" s="266">
        <f>Data!H58</f>
        <v>120949</v>
      </c>
      <c r="M60" s="266">
        <f>Data!I58</f>
        <v>122233</v>
      </c>
      <c r="N60" s="266">
        <f>Data!J58</f>
        <v>61676</v>
      </c>
      <c r="O60" s="266">
        <f>Data!K58</f>
        <v>411830</v>
      </c>
      <c r="P60" s="266">
        <f>Data!L58</f>
        <v>2276</v>
      </c>
      <c r="Q60" s="266" t="str">
        <f>Data!M58</f>
        <v/>
      </c>
    </row>
    <row r="61" spans="1:17" ht="15.75" customHeight="1">
      <c r="A61" s="10"/>
      <c r="B61" s="30" t="s">
        <v>163</v>
      </c>
      <c r="C61" s="267">
        <f>C59+C60</f>
        <v>0</v>
      </c>
      <c r="E61" s="237"/>
      <c r="G61" s="267">
        <f t="shared" ref="G61:Q61" si="21">IF(G4="","",G59+G60)</f>
        <v>405216</v>
      </c>
      <c r="H61" s="267">
        <f t="shared" si="21"/>
        <v>921277</v>
      </c>
      <c r="I61" s="267">
        <f t="shared" si="21"/>
        <v>1030641</v>
      </c>
      <c r="J61" s="267">
        <f t="shared" si="21"/>
        <v>575252</v>
      </c>
      <c r="K61" s="267">
        <f t="shared" si="21"/>
        <v>383297</v>
      </c>
      <c r="L61" s="267">
        <f t="shared" si="21"/>
        <v>464418</v>
      </c>
      <c r="M61" s="267">
        <f t="shared" si="21"/>
        <v>185866</v>
      </c>
      <c r="N61" s="267">
        <f t="shared" si="21"/>
        <v>135482</v>
      </c>
      <c r="O61" s="267">
        <f t="shared" si="21"/>
        <v>421546</v>
      </c>
      <c r="P61" s="267">
        <f t="shared" si="21"/>
        <v>9224</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0.82712868897133363</v>
      </c>
      <c r="D71" s="26"/>
      <c r="E71" s="234"/>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44</v>
      </c>
      <c r="C72" s="75">
        <f t="shared" si="22"/>
        <v>0.17287131102866637</v>
      </c>
      <c r="D72" s="26"/>
      <c r="E72" s="234"/>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41</v>
      </c>
      <c r="C73" s="74">
        <f t="shared" si="22"/>
        <v>4.9795117061542438E-2</v>
      </c>
      <c r="D73" s="26"/>
      <c r="E73" s="234"/>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126</v>
      </c>
      <c r="C74" s="75">
        <f t="shared" si="22"/>
        <v>0.12307619396712395</v>
      </c>
      <c r="D74" s="26"/>
      <c r="E74" s="234"/>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127</v>
      </c>
      <c r="C75" s="74">
        <f t="shared" si="22"/>
        <v>0</v>
      </c>
      <c r="D75" s="26"/>
      <c r="E75" s="234"/>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64</v>
      </c>
      <c r="C76" s="74">
        <f t="shared" si="22"/>
        <v>2.7954426644586951E-3</v>
      </c>
      <c r="D76" s="26"/>
      <c r="E76" s="234"/>
      <c r="F76" s="26"/>
      <c r="G76" s="6">
        <f t="shared" ref="G76:Q76" si="28">IF(G$4="","",ABS(G10/G$4))</f>
        <v>5.4280065019311884E-3</v>
      </c>
      <c r="H76" s="6">
        <f t="shared" si="28"/>
        <v>2.403862351087365E-3</v>
      </c>
      <c r="I76" s="6">
        <f t="shared" si="28"/>
        <v>6.821272797517473E-4</v>
      </c>
      <c r="J76" s="6">
        <f t="shared" si="28"/>
        <v>3.5039832400754669E-3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136</v>
      </c>
      <c r="C77" s="75">
        <f>C11/C4</f>
        <v>0.12028075130266526</v>
      </c>
      <c r="D77" s="26"/>
      <c r="E77" s="234"/>
      <c r="F77" s="26"/>
      <c r="G77" s="62">
        <f t="shared" ref="G77:Q77" si="29">IF(G$4="","",G11/G$4)</f>
        <v>0.12658605156121319</v>
      </c>
      <c r="H77" s="62">
        <f t="shared" si="29"/>
        <v>0.12056496228501322</v>
      </c>
      <c r="I77" s="62">
        <f t="shared" si="29"/>
        <v>0.16435154291767934</v>
      </c>
      <c r="J77" s="62">
        <f t="shared" si="29"/>
        <v>0.21267124512962274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59</v>
      </c>
      <c r="C78" s="74">
        <f>ABS(C12/C$4)</f>
        <v>3.0070187825666315E-2</v>
      </c>
      <c r="D78" s="26"/>
      <c r="E78" s="234"/>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128</v>
      </c>
      <c r="C80" s="75">
        <f>ABS(C14/C$4)</f>
        <v>9.0210563476998948E-2</v>
      </c>
      <c r="D80" s="26"/>
      <c r="E80" s="234"/>
      <c r="F80" s="26"/>
      <c r="G80" s="62">
        <f t="shared" ref="G80:Q80" si="32">IF(G$4="","",ABS(G14/G$4))</f>
        <v>8.8341364249406445E-2</v>
      </c>
      <c r="H80" s="62">
        <f t="shared" si="32"/>
        <v>8.182157591653387E-2</v>
      </c>
      <c r="I80" s="62">
        <f t="shared" si="32"/>
        <v>0.11198131688956513</v>
      </c>
      <c r="J80" s="62">
        <f t="shared" si="32"/>
        <v>0.15430957578836299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76</v>
      </c>
      <c r="C82" s="85">
        <f>MAX(AVERAGE(G82:J82),C81)</f>
        <v>0</v>
      </c>
      <c r="D82" s="26"/>
      <c r="E82" s="235" t="s">
        <v>547</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9.0210563476998948E-2</v>
      </c>
      <c r="D85" s="72"/>
      <c r="E85" s="234"/>
      <c r="F85" s="72"/>
      <c r="G85" s="62">
        <f t="shared" ref="G85:Q85" si="35">IF(G$4="","",ABS(G19/G$4))</f>
        <v>8.8341364249406445E-2</v>
      </c>
      <c r="H85" s="62">
        <f t="shared" si="35"/>
        <v>8.182157591653387E-2</v>
      </c>
      <c r="I85" s="62">
        <f t="shared" si="35"/>
        <v>0.11198131688956513</v>
      </c>
      <c r="J85" s="62">
        <f t="shared" si="35"/>
        <v>0.15430957578836299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0.5150512453090087</v>
      </c>
      <c r="E88" s="237"/>
      <c r="G88" s="109">
        <f>Data!C65</f>
        <v>0.5150512453090087</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1331310.1270136803</v>
      </c>
      <c r="E89" s="237"/>
      <c r="G89" s="71">
        <f t="shared" ref="G89:Q89" si="36">IF(G$4="","",G88*Common_Shares/scaling_factor)</f>
        <v>1331310.1270136803</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0.51464608706465875</v>
      </c>
      <c r="E90" s="237"/>
      <c r="G90" s="152">
        <f t="shared" ref="G90:Q90" si="37">IF(G$4="","",G88/(G19*scaling_factor/Common_Shares))</f>
        <v>0.52553539216650103</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2.3713224922145889E-2</v>
      </c>
      <c r="E92" s="237"/>
      <c r="G92" s="22">
        <f t="shared" ref="G92:Q92" si="38">IF(G$4="","",(G88*(1-dividend_tax_rate))/Market_Price)</f>
        <v>2.3713224922145889E-2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136</v>
      </c>
      <c r="C96" s="74">
        <f>C11/G11-1</f>
        <v>-4.9810387327697714E-2</v>
      </c>
      <c r="D96" s="26"/>
      <c r="E96" s="234"/>
      <c r="F96" s="26"/>
      <c r="G96" s="6">
        <f t="shared" ref="G96:Q96" si="40">IF(H5="","",G11/H11-1)</f>
        <v>9.0919154380937117E-2</v>
      </c>
      <c r="H96" s="6">
        <f t="shared" si="40"/>
        <v>-0.21538606470628696</v>
      </c>
      <c r="I96" s="6">
        <f t="shared" si="40"/>
        <v>-0.11658206423715323</v>
      </c>
      <c r="J96" s="6">
        <f t="shared" si="40"/>
        <v>1.4642400269426306</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36780388</v>
      </c>
      <c r="D100" s="25"/>
      <c r="E100" s="238"/>
      <c r="F100" s="25"/>
      <c r="G100" s="270">
        <f t="shared" ref="G100:Q100" si="41">IF(G$4="","",G104+G103)</f>
        <v>36780388</v>
      </c>
      <c r="H100" s="270">
        <f t="shared" si="41"/>
        <v>34207803</v>
      </c>
      <c r="I100" s="270">
        <f t="shared" si="41"/>
        <v>33646519</v>
      </c>
      <c r="J100" s="270">
        <f t="shared" si="41"/>
        <v>30274816</v>
      </c>
      <c r="K100" s="270">
        <f t="shared" si="41"/>
        <v>14593865</v>
      </c>
      <c r="L100" s="270">
        <f t="shared" si="41"/>
        <v>12547474</v>
      </c>
      <c r="M100" s="270">
        <f t="shared" si="41"/>
        <v>8727305</v>
      </c>
      <c r="N100" s="270">
        <f t="shared" si="41"/>
        <v>7321349</v>
      </c>
      <c r="O100" s="270">
        <f t="shared" si="41"/>
        <v>6780494</v>
      </c>
      <c r="P100" s="270">
        <f t="shared" si="41"/>
        <v>6897458</v>
      </c>
      <c r="Q100" s="270" t="str">
        <f t="shared" si="41"/>
        <v/>
      </c>
    </row>
    <row r="101" spans="1:17" ht="15.75" customHeight="1">
      <c r="A101" s="10"/>
      <c r="B101" s="90" t="s">
        <v>178</v>
      </c>
      <c r="C101" s="281">
        <f>BS!C4</f>
        <v>1597813</v>
      </c>
      <c r="D101" s="86"/>
      <c r="E101" s="239"/>
      <c r="F101" s="86"/>
      <c r="G101" s="282">
        <f>IF(G$4="","",Data!D77)</f>
        <v>1205532</v>
      </c>
      <c r="H101" s="282">
        <f>IF(H$4="","",Data!E77)</f>
        <v>1020346</v>
      </c>
      <c r="I101" s="282">
        <f>IF(I$4="","",Data!F77)</f>
        <v>902857</v>
      </c>
      <c r="J101" s="282">
        <f>IF(J$4="","",Data!G77)</f>
        <v>658796</v>
      </c>
      <c r="K101" s="282">
        <f>IF(K$4="","",Data!H77)</f>
        <v>686606</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2428290</v>
      </c>
      <c r="D102" s="86"/>
      <c r="E102" s="239"/>
      <c r="F102" s="86"/>
      <c r="G102" s="282">
        <f>IF(G$4="","",Data!D78)</f>
        <v>2493206</v>
      </c>
      <c r="H102" s="282">
        <f>IF(H$4="","",Data!E78)</f>
        <v>2428040</v>
      </c>
      <c r="I102" s="282">
        <f>IF(I$4="","",Data!F78)</f>
        <v>1772803</v>
      </c>
      <c r="J102" s="282">
        <f>IF(J$4="","",Data!G78)</f>
        <v>1345539</v>
      </c>
      <c r="K102" s="282">
        <f>IF(K$4="","",Data!H78)</f>
        <v>1407257</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9611695</v>
      </c>
      <c r="D103" s="25"/>
      <c r="E103" s="238"/>
      <c r="F103" s="25"/>
      <c r="G103" s="270">
        <f>Data!C79</f>
        <v>9611695</v>
      </c>
      <c r="H103" s="270">
        <f>Data!D79</f>
        <v>9801162</v>
      </c>
      <c r="I103" s="270">
        <f>Data!E79</f>
        <v>9314591</v>
      </c>
      <c r="J103" s="270">
        <f>Data!F79</f>
        <v>9170709</v>
      </c>
      <c r="K103" s="270">
        <f>Data!G79</f>
        <v>5904448</v>
      </c>
      <c r="L103" s="270">
        <f>Data!H79</f>
        <v>5423281</v>
      </c>
      <c r="M103" s="270">
        <f>Data!I79</f>
        <v>2907715</v>
      </c>
      <c r="N103" s="270">
        <f>Data!J79</f>
        <v>2247752</v>
      </c>
      <c r="O103" s="270">
        <f>Data!K79</f>
        <v>2783345</v>
      </c>
      <c r="P103" s="270">
        <f>Data!L79</f>
        <v>3486918</v>
      </c>
      <c r="Q103" s="270" t="str">
        <f>Data!M79</f>
        <v/>
      </c>
    </row>
    <row r="104" spans="1:17" ht="15.75" customHeight="1">
      <c r="A104" s="10"/>
      <c r="B104" s="25" t="s">
        <v>27</v>
      </c>
      <c r="C104" s="280">
        <f>BS!G27</f>
        <v>27168693</v>
      </c>
      <c r="D104" s="25"/>
      <c r="E104" s="238"/>
      <c r="F104" s="25"/>
      <c r="G104" s="270">
        <f>Data!C80</f>
        <v>27168693</v>
      </c>
      <c r="H104" s="270">
        <f>Data!D80</f>
        <v>24406641</v>
      </c>
      <c r="I104" s="270">
        <f>Data!E80</f>
        <v>24331928</v>
      </c>
      <c r="J104" s="270">
        <f>Data!F80</f>
        <v>21104107</v>
      </c>
      <c r="K104" s="270">
        <f>Data!G80</f>
        <v>8689417</v>
      </c>
      <c r="L104" s="270">
        <f>Data!H80</f>
        <v>7124193</v>
      </c>
      <c r="M104" s="270">
        <f>Data!I80</f>
        <v>5819590</v>
      </c>
      <c r="N104" s="270">
        <f>Data!J80</f>
        <v>5073597</v>
      </c>
      <c r="O104" s="270">
        <f>Data!K80</f>
        <v>3997149</v>
      </c>
      <c r="P104" s="270">
        <f>Data!L80</f>
        <v>3410540</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5.5720215236324429E-2</v>
      </c>
      <c r="D107" s="25"/>
      <c r="E107" s="238"/>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8.4681274627390224E-2</v>
      </c>
      <c r="D108" s="25"/>
      <c r="E108" s="238"/>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1.748449509744374</v>
      </c>
      <c r="H112" s="251">
        <f>IF(H$4="","",Data!D$22/Data!D15)</f>
        <v>1.4709732968262565</v>
      </c>
      <c r="I112" s="251">
        <f>IF(I$4="","",Data!E$22/Data!E15)</f>
        <v>0.96304737643927274</v>
      </c>
      <c r="J112" s="251">
        <f>IF(J$4="","",Data!F$22/Data!F15)</f>
        <v>1.6269053137360105</v>
      </c>
      <c r="K112" s="251">
        <f>IF(K$4="","",Data!G$22/Data!G15)</f>
        <v>1.6269426147081751</v>
      </c>
      <c r="L112" s="251">
        <f>IF(L$4="","",Data!H$22/Data!H15)</f>
        <v>2.3369811952562229</v>
      </c>
      <c r="M112" s="251">
        <f>IF(M$4="","",Data!I$22/Data!I15)</f>
        <v>2.3374185439481701</v>
      </c>
      <c r="N112" s="251">
        <f>IF(N$4="","",Data!J$22/Data!J15)</f>
        <v>2.250085896477759</v>
      </c>
      <c r="O112" s="251">
        <f>IF(O$4="","",Data!K$22/Data!K15)</f>
        <v>1.4203453141742608</v>
      </c>
      <c r="P112" s="251">
        <f>IF(P$4="","",Data!L$22/Data!L15)</f>
        <v>11.152390228065904</v>
      </c>
      <c r="Q112" s="251" t="str">
        <f>IF(Q$4="","",Data!M$22/Data!M15)</f>
        <v/>
      </c>
    </row>
    <row r="113" spans="1:17" ht="15.75" customHeight="1">
      <c r="A113" s="10"/>
      <c r="B113" s="2" t="s">
        <v>303</v>
      </c>
      <c r="C113" s="151"/>
      <c r="E113" s="459">
        <f>(Normalized_FCF!E117/Normalized_FCF!C117)^(1/DCF!C15)-1</f>
        <v>3.5022003763090392E-2</v>
      </c>
      <c r="G113" s="251">
        <f>IF(G$4="","",Data!C$22/G19)</f>
        <v>2.0795201883897247</v>
      </c>
      <c r="H113" s="251">
        <f>IF(H$4="","",Data!D$22/H19)</f>
        <v>2.0760054880744927</v>
      </c>
      <c r="I113" s="251">
        <f>IF(I$4="","",Data!E$22/I19)</f>
        <v>1.3544240604195648</v>
      </c>
      <c r="J113" s="251">
        <f>IF(J$4="","",Data!F$22/J19)</f>
        <v>1.8734171304530653</v>
      </c>
      <c r="K113" s="251">
        <f>IF(K$4="","",Data!G$22/K19)</f>
        <v>1.9756826823119611</v>
      </c>
      <c r="L113" s="251">
        <f>IF(L$4="","",Data!H$22/L19)</f>
        <v>2.5420798293413824</v>
      </c>
      <c r="M113" s="251">
        <f>IF(M$4="","",Data!I$22/M19)</f>
        <v>2.8191980169637287</v>
      </c>
      <c r="N113" s="251">
        <f>IF(N$4="","",Data!J$22/N19)</f>
        <v>2.5561117493864103</v>
      </c>
      <c r="O113" s="251">
        <f>IF(O$4="","",Data!K$22/O19)</f>
        <v>4.3015244745575218</v>
      </c>
      <c r="P113" s="251">
        <f>IF(P$4="","",Data!L$22/P19)</f>
        <v>57.096567771960444</v>
      </c>
      <c r="Q113" s="251" t="str">
        <f>IF(Q$4="","",Data!M$22/Q19)</f>
        <v/>
      </c>
    </row>
    <row r="114" spans="1:17" ht="15.75" customHeight="1">
      <c r="A114" s="10"/>
      <c r="E114" s="237"/>
    </row>
    <row r="115" spans="1:17" ht="15.75" customHeight="1">
      <c r="A115" s="10"/>
      <c r="B115" s="88" t="s">
        <v>35</v>
      </c>
      <c r="C115" s="451" t="s">
        <v>326</v>
      </c>
      <c r="D115" s="52"/>
      <c r="E115" s="451" t="str">
        <f>DCF!F15&amp;"yrs Projection"</f>
        <v>5yrs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0.12028075130266526</v>
      </c>
      <c r="E116" s="22">
        <f>E119/E117/E118</f>
        <v>0.13430424833028851</v>
      </c>
      <c r="G116" s="22">
        <f t="shared" ref="G116:Q116" si="44">IF(G4="","",G77)</f>
        <v>0.12658605156121319</v>
      </c>
      <c r="H116" s="22">
        <f t="shared" si="44"/>
        <v>0.12056496228501322</v>
      </c>
      <c r="I116" s="22">
        <f t="shared" si="44"/>
        <v>0.16435154291767934</v>
      </c>
      <c r="J116" s="22">
        <f t="shared" si="44"/>
        <v>0.21267124512962274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79</v>
      </c>
      <c r="C117" s="452">
        <f>G117</f>
        <v>0.77964492924870721</v>
      </c>
      <c r="E117" s="452">
        <v>1.1000000000000001</v>
      </c>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87</v>
      </c>
      <c r="C118" s="15">
        <f>C100/C104</f>
        <v>1.3537783359692717</v>
      </c>
      <c r="D118" s="11"/>
      <c r="E118" s="15">
        <f>C100/C104</f>
        <v>1.3537783359692717</v>
      </c>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190</v>
      </c>
      <c r="C119" s="62">
        <f>C11/C104</f>
        <v>0.12695229336674435</v>
      </c>
      <c r="D119" s="100"/>
      <c r="E119" s="453">
        <v>0.2</v>
      </c>
      <c r="F119" s="100"/>
      <c r="G119" s="99">
        <f t="shared" ref="G119:Q119" si="47">IF(G$4="","",G11/G104)</f>
        <v>0.13360732602591308</v>
      </c>
      <c r="H119" s="99">
        <f t="shared" si="47"/>
        <v>0.1363321985413018</v>
      </c>
      <c r="I119" s="99">
        <f t="shared" si="47"/>
        <v>0.17429057855776237</v>
      </c>
      <c r="J119" s="99">
        <f t="shared" si="47"/>
        <v>0.22746639342217728</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1.1363148670486778</v>
      </c>
      <c r="D123" s="26"/>
      <c r="E123" s="234"/>
      <c r="F123" s="26"/>
      <c r="G123" s="159">
        <f t="shared" ref="G123:Q123" si="48">IF(G$4="","",G14*$C$3/Common_Shares*Exchange_Rate)</f>
        <v>1.112769965100129</v>
      </c>
      <c r="H123" s="159">
        <f t="shared" si="48"/>
        <v>0.99193063909294077</v>
      </c>
      <c r="I123" s="159">
        <f t="shared" si="48"/>
        <v>1.2692592802760452</v>
      </c>
      <c r="J123" s="159">
        <f t="shared" si="48"/>
        <v>1.5300176958573388</v>
      </c>
      <c r="K123" s="159">
        <f t="shared" si="48"/>
        <v>0.61439069575378868</v>
      </c>
      <c r="L123" s="159">
        <f t="shared" si="48"/>
        <v>0.60539275984319008</v>
      </c>
      <c r="M123" s="159">
        <f t="shared" si="48"/>
        <v>0.26049823926295146</v>
      </c>
      <c r="N123" s="159">
        <f t="shared" si="48"/>
        <v>0.1991981536224541</v>
      </c>
      <c r="O123" s="159">
        <f t="shared" si="48"/>
        <v>0.10165682094192416</v>
      </c>
      <c r="P123" s="159">
        <f t="shared" si="48"/>
        <v>5.2856943376407509E-3</v>
      </c>
      <c r="Q123" s="159" t="str">
        <f t="shared" si="48"/>
        <v/>
      </c>
    </row>
    <row r="124" spans="1:17" ht="15.75" customHeight="1">
      <c r="A124" s="10"/>
      <c r="B124" s="26" t="s">
        <v>225</v>
      </c>
      <c r="C124" s="74">
        <f>C19*Exchange_Rate*$C$3/(Market_Price*Common_Shares)</f>
        <v>5.2316522423972264E-2</v>
      </c>
      <c r="D124" s="26"/>
      <c r="E124" s="234"/>
      <c r="F124" s="26"/>
      <c r="G124" s="74">
        <f t="shared" ref="G124" si="49">IF(G$4="","",G123/Market_Price)</f>
        <v>5.1232502997243516E-2</v>
      </c>
      <c r="H124" s="74">
        <f t="shared" ref="H124" si="50">IF(H$4="","",H123/Market_Price)</f>
        <v>4.5668998116617898E-2</v>
      </c>
      <c r="I124" s="74">
        <f t="shared" ref="I124" si="51">IF(I$4="","",I123/Market_Price)</f>
        <v>5.843735176224886E-2</v>
      </c>
      <c r="J124" s="74">
        <f t="shared" ref="J124" si="52">IF(J$4="","",J123/Market_Price)</f>
        <v>7.0442803676673063E-2</v>
      </c>
      <c r="K124" s="74">
        <f t="shared" ref="K124" si="53">IF(K$4="","",K123/Market_Price)</f>
        <v>2.8286864445386219E-2</v>
      </c>
      <c r="L124" s="74">
        <f t="shared" ref="L124" si="54">IF(L$4="","",L123/Market_Price)</f>
        <v>2.7872594836242638E-2</v>
      </c>
      <c r="M124" s="74">
        <f t="shared" ref="M124" si="55">IF(M$4="","",M123/Market_Price)</f>
        <v>1.1993473262566827E-2</v>
      </c>
      <c r="N124" s="74">
        <f t="shared" ref="N124" si="56">IF(N$4="","",N123/Market_Price)</f>
        <v>9.1711857100577401E-3</v>
      </c>
      <c r="O124" s="74">
        <f t="shared" ref="O124" si="57">IF(O$4="","",O123/Market_Price)</f>
        <v>4.6803324558896946E-3</v>
      </c>
      <c r="P124" s="74">
        <f t="shared" ref="P124" si="58">IF(P$4="","",P123/Market_Price)</f>
        <v>2.4335609289322059E-4</v>
      </c>
      <c r="Q124" s="74" t="str">
        <f t="shared" ref="Q124" si="59">IF(Q$4="","",Q123/Market_Price)</f>
        <v/>
      </c>
    </row>
    <row r="125" spans="1:17" ht="15.75" customHeight="1">
      <c r="B125" s="2" t="s">
        <v>305</v>
      </c>
      <c r="C125" s="151"/>
      <c r="G125" s="22">
        <f>IF(G$4="","",(Data!C47*$C$3)/(Market_Price*Common_Shares))</f>
        <v>5.3665934598008044E-2</v>
      </c>
      <c r="H125" s="22">
        <f>IF(H$4="","",(Data!D47*$C$3)/(Market_Price*Common_Shares))</f>
        <v>5.6765997036207723E-2</v>
      </c>
      <c r="I125" s="22">
        <f>IF(I$4="","",(Data!E47*$C$3)/(Market_Price*Common_Shares))</f>
        <v>7.238367214351063E-2</v>
      </c>
      <c r="J125" s="22">
        <f>IF(J$4="","",(Data!F47*$C$3)/(Market_Price*Common_Shares))</f>
        <v>7.1441722970202071E-2</v>
      </c>
      <c r="K125" s="22">
        <f>IF(K$4="","",(Data!G47*$C$3)/(Market_Price*Common_Shares))</f>
        <v>3.0253306349446979E-2</v>
      </c>
      <c r="L125" s="22">
        <f>IF(L$4="","",(Data!H47*$C$3)/(Market_Price*Common_Shares))</f>
        <v>2.6702655097504004E-2</v>
      </c>
      <c r="M125" s="22">
        <f>IF(M$4="","",(Data!I47*$C$3)/(Market_Price*Common_Shares))</f>
        <v>1.2740226378007972E-2</v>
      </c>
      <c r="N125" s="22">
        <f>IF(N$4="","",(Data!J47*$C$3)/(Market_Price*Common_Shares))</f>
        <v>9.1759133630045144E-3</v>
      </c>
      <c r="O125" s="22">
        <f>IF(O$4="","",(Data!K47*$C$3)/(Market_Price*Common_Shares))</f>
        <v>1.2483841218304413E-2</v>
      </c>
      <c r="P125" s="22">
        <f>IF(P$4="","",(Data!L47*$C$3)/(Market_Price*Common_Shares))</f>
        <v>1.0973049717616892E-3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2586845.9130952605</v>
      </c>
      <c r="D4" t="str">
        <f>Reporting_currency</f>
        <v>CNY</v>
      </c>
      <c r="E4" s="135" t="s">
        <v>430</v>
      </c>
      <c r="F4" s="275">
        <f>-BS!G31</f>
        <v>-1777313</v>
      </c>
      <c r="G4" t="str">
        <f>Reporting_currency</f>
        <v>CNY</v>
      </c>
      <c r="H4" s="308" t="s">
        <v>393</v>
      </c>
      <c r="I4" s="305">
        <f>Normalized_FCF!C4</f>
        <v>28675643</v>
      </c>
      <c r="J4" s="305"/>
    </row>
    <row r="5" spans="2:15">
      <c r="B5" s="187" t="s">
        <v>104</v>
      </c>
      <c r="C5" s="188">
        <f>Equity_Cost</f>
        <v>7.2499999999999995E-2</v>
      </c>
      <c r="E5" s="135" t="s">
        <v>431</v>
      </c>
      <c r="F5" s="275">
        <f>BS!D66</f>
        <v>14777911.978831053</v>
      </c>
      <c r="G5" t="str">
        <f>Reporting_currency</f>
        <v>CNY</v>
      </c>
      <c r="H5" s="308" t="s">
        <v>394</v>
      </c>
      <c r="I5" s="305">
        <f>Normalized_FCF!C7</f>
        <v>-1427907</v>
      </c>
      <c r="J5" s="305"/>
    </row>
    <row r="6" spans="2:15" ht="13.25" customHeight="1">
      <c r="B6" s="136" t="s">
        <v>193</v>
      </c>
      <c r="C6" s="283">
        <f>(C4*(1+Terminal_Growth))/(Equity_Cost-Terminal_Growth)</f>
        <v>50258720.597279355</v>
      </c>
      <c r="D6" t="str">
        <f>Reporting_currency</f>
        <v>CNY</v>
      </c>
      <c r="E6" s="187" t="s">
        <v>432</v>
      </c>
      <c r="F6" s="284">
        <f>BS!H42</f>
        <v>1668728.8</v>
      </c>
      <c r="G6" t="str">
        <f>Reporting_currency</f>
        <v>CNY</v>
      </c>
      <c r="H6" s="308" t="s">
        <v>415</v>
      </c>
      <c r="I6" s="305">
        <f>I7+I8</f>
        <v>-80161.115872986324</v>
      </c>
      <c r="J6" s="305"/>
      <c r="N6" s="135"/>
    </row>
    <row r="7" spans="2:15" ht="12.75" customHeight="1">
      <c r="B7" s="318" t="s">
        <v>429</v>
      </c>
      <c r="C7" s="275">
        <f>F7</f>
        <v>14669327.778831054</v>
      </c>
      <c r="E7" s="140" t="s">
        <v>423</v>
      </c>
      <c r="F7" s="283">
        <f>SUM(F4:F6)</f>
        <v>14669327.778831054</v>
      </c>
      <c r="G7" t="str">
        <f>Reporting_currency</f>
        <v>CNY</v>
      </c>
      <c r="H7" s="312" t="s">
        <v>416</v>
      </c>
      <c r="I7" s="313">
        <f>Normalized_FCF!C9</f>
        <v>0</v>
      </c>
      <c r="J7" s="313"/>
      <c r="N7" s="304"/>
      <c r="O7" s="304"/>
    </row>
    <row r="8" spans="2:15" ht="13.15">
      <c r="B8" s="136" t="s">
        <v>425</v>
      </c>
      <c r="C8" s="283">
        <f>C6+C7</f>
        <v>64928048.376110405</v>
      </c>
      <c r="D8" t="str">
        <f>Reporting_currency</f>
        <v>CNY</v>
      </c>
      <c r="E8" s="140" t="s">
        <v>463</v>
      </c>
      <c r="F8" s="108">
        <f>FV_adjustments*scaling_factor/Common_Shares*Exchange_Rate</f>
        <v>6.4437449328981531</v>
      </c>
      <c r="G8" s="294" t="str">
        <f>Market_currency</f>
        <v>HKD</v>
      </c>
      <c r="H8" s="314" t="str">
        <f>Normalized_FCF!B10</f>
        <v>Net Interest Income</v>
      </c>
      <c r="I8" s="313">
        <f>Normalized_FCF!C10</f>
        <v>-80161.115872986324</v>
      </c>
      <c r="J8" s="313"/>
      <c r="N8" s="304"/>
      <c r="O8" s="304"/>
    </row>
    <row r="9" spans="2:15" ht="13.15" thickBot="1">
      <c r="B9" s="189" t="str">
        <f>"*"&amp;Thesis!E15</f>
        <v>*CNY/HKD</v>
      </c>
      <c r="C9" s="190">
        <f>Exchange_Rate</f>
        <v>1.135421</v>
      </c>
      <c r="D9" t="str">
        <f>Thesis!E15</f>
        <v>CNY/HKD</v>
      </c>
      <c r="F9" s="322"/>
      <c r="H9" s="308" t="str">
        <f>Normalized_FCF!B79</f>
        <v>NCI’s Share of Profits</v>
      </c>
      <c r="I9" s="144">
        <f>Normalized_FCF!C79</f>
        <v>0</v>
      </c>
      <c r="J9" s="306"/>
      <c r="N9" s="304"/>
      <c r="O9" s="304"/>
    </row>
    <row r="10" spans="2:15" ht="13.5" thickTop="1">
      <c r="B10" s="107" t="s">
        <v>426</v>
      </c>
      <c r="C10" s="283">
        <f>C8*Exchange_Rate</f>
        <v>73720669.615251645</v>
      </c>
      <c r="D10" t="str">
        <f>Market_currency</f>
        <v>HKD</v>
      </c>
      <c r="H10" s="308" t="s">
        <v>396</v>
      </c>
      <c r="I10" s="306">
        <f>Normalized_FCF!C41</f>
        <v>0.25</v>
      </c>
      <c r="N10" s="304"/>
      <c r="O10" s="304"/>
    </row>
    <row r="11" spans="2:15" ht="13.15">
      <c r="B11" s="136" t="s">
        <v>424</v>
      </c>
      <c r="C11" s="108">
        <f>(C10*scaling_factor)/Common_Shares</f>
        <v>28.520719492701033</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10</v>
      </c>
      <c r="E15" s="308" t="str">
        <f>IF(F14="II","Change year","Terminal Year")</f>
        <v>Change year</v>
      </c>
      <c r="F15" s="310">
        <f>IF(F14="II",_xlfn.CEILING.MATH(C15/2),C15+1)</f>
        <v>5</v>
      </c>
      <c r="H15" s="97" t="s">
        <v>428</v>
      </c>
      <c r="I15" s="126">
        <f>Terminal_Growth</f>
        <v>0.02</v>
      </c>
      <c r="J15" s="126"/>
    </row>
    <row r="16" spans="2:15" ht="13.25" customHeight="1">
      <c r="B16" s="114" t="s">
        <v>421</v>
      </c>
      <c r="C16" s="147">
        <f>Scenarios!C46</f>
        <v>4.1327327526691798E-2</v>
      </c>
      <c r="E16" s="308" t="s">
        <v>399</v>
      </c>
      <c r="F16" s="311">
        <f>Scenarios!C41</f>
        <v>2.0663663763345899E-2</v>
      </c>
    </row>
    <row r="17" spans="1:21" ht="13.25" customHeight="1">
      <c r="B17" s="308" t="s">
        <v>548</v>
      </c>
      <c r="C17" s="306">
        <f>Normalized_FCF!C77</f>
        <v>0.12028075130266526</v>
      </c>
      <c r="E17" s="308" t="s">
        <v>549</v>
      </c>
      <c r="F17" s="311">
        <f>Scenarios!C40</f>
        <v>0.13430424833028851</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28.162043027726689</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29860730.690299489</v>
      </c>
      <c r="D21" s="299">
        <f t="shared" ref="D21:D50" si="1">IF(A21="",0,IF(A21="I",$C$16,$F$16))</f>
        <v>4.1327327526691798E-2</v>
      </c>
      <c r="E21" s="299">
        <f>$C$17</f>
        <v>0.12028075130266526</v>
      </c>
      <c r="F21" s="277">
        <f>C21*E21</f>
        <v>3591671.1218757769</v>
      </c>
      <c r="G21" s="299">
        <f t="shared" ref="G21:G50" si="2">IF(A21="",0%,IF(A21="I",$C$18,$F$18))</f>
        <v>0</v>
      </c>
      <c r="H21" s="277">
        <f>(F21*(1-$I$10)+C21*(G21-$I$9))</f>
        <v>2693753.3414068324</v>
      </c>
      <c r="I21" s="299">
        <f>H21/C4-1</f>
        <v>4.1327327526691882E-2</v>
      </c>
      <c r="J21" s="299">
        <f>H21/C21</f>
        <v>9.0210563476998948E-2</v>
      </c>
      <c r="K21" s="119">
        <f t="shared" ref="K21:K50" si="3">IF($C$15&lt;B21,0,1/(1+Equity_Cost)^B21)</f>
        <v>0.93240093240093236</v>
      </c>
      <c r="L21" s="277">
        <f t="shared" ref="L21:L51" si="4">H21*K21</f>
        <v>2511658.1271858579</v>
      </c>
    </row>
    <row r="22" spans="1:21">
      <c r="A22" s="302" t="str">
        <f t="shared" si="0"/>
        <v>I</v>
      </c>
      <c r="B22" s="117">
        <v>2</v>
      </c>
      <c r="C22" s="277">
        <f t="shared" ref="C22:C50" si="5">IF(A22="",0,C21*(1+D22))</f>
        <v>31094794.887723837</v>
      </c>
      <c r="D22" s="299">
        <f t="shared" si="1"/>
        <v>4.1327327526691798E-2</v>
      </c>
      <c r="E22" s="299">
        <f t="shared" ref="E22:E50" si="6">IF($C$15&lt;B22,0,IF(B22&gt;=$F$15,$F$17,$C$17))</f>
        <v>0.12028075130266526</v>
      </c>
      <c r="F22" s="277">
        <f t="shared" ref="F22:F50" si="7">IF(A22="", 0,C22*E22)</f>
        <v>3740105.290697698</v>
      </c>
      <c r="G22" s="299">
        <f t="shared" si="2"/>
        <v>0</v>
      </c>
      <c r="H22" s="277">
        <f t="shared" ref="H22:H50" si="8">IF(A22="", 0,F22*(1-$I$10)+C22*(G22-$I$9))</f>
        <v>2805078.9680232736</v>
      </c>
      <c r="I22" s="299">
        <f t="shared" ref="I22:I50" si="9">IF(A22="", 0,H22/H21-1)</f>
        <v>4.1327327526692104E-2</v>
      </c>
      <c r="J22" s="299">
        <f>IF(A22="", 0,H22/C22)</f>
        <v>9.0210563476998948E-2</v>
      </c>
      <c r="K22" s="119">
        <f t="shared" si="3"/>
        <v>0.86937149874212816</v>
      </c>
      <c r="L22" s="277">
        <f t="shared" si="4"/>
        <v>2438655.7065204154</v>
      </c>
    </row>
    <row r="23" spans="1:21">
      <c r="A23" s="302" t="str">
        <f t="shared" si="0"/>
        <v>I</v>
      </c>
      <c r="B23" s="117">
        <v>3</v>
      </c>
      <c r="C23" s="277">
        <f t="shared" si="5"/>
        <v>32379859.660424106</v>
      </c>
      <c r="D23" s="299">
        <f t="shared" si="1"/>
        <v>4.1327327526691798E-2</v>
      </c>
      <c r="E23" s="299">
        <f t="shared" si="6"/>
        <v>0.12028075130266526</v>
      </c>
      <c r="F23" s="277">
        <f t="shared" si="7"/>
        <v>3894673.847030675</v>
      </c>
      <c r="G23" s="299">
        <f t="shared" si="2"/>
        <v>0</v>
      </c>
      <c r="H23" s="277">
        <f t="shared" si="8"/>
        <v>2921005.3852730063</v>
      </c>
      <c r="I23" s="299">
        <f t="shared" si="9"/>
        <v>4.1327327526691882E-2</v>
      </c>
      <c r="J23" s="299">
        <f t="shared" ref="J23:J50" si="10">IF(A23="", 0,H23/C23)</f>
        <v>9.0210563476998948E-2</v>
      </c>
      <c r="K23" s="119">
        <f t="shared" si="3"/>
        <v>0.81060279602995633</v>
      </c>
      <c r="L23" s="277">
        <f t="shared" si="4"/>
        <v>2367775.1325208587</v>
      </c>
      <c r="N23" s="275"/>
      <c r="O23" s="275"/>
      <c r="P23" s="275"/>
      <c r="Q23" s="275"/>
      <c r="R23" s="275"/>
      <c r="S23" s="275"/>
      <c r="T23" s="275"/>
      <c r="U23" s="275"/>
    </row>
    <row r="24" spans="1:21">
      <c r="A24" s="302" t="str">
        <f t="shared" si="0"/>
        <v>I</v>
      </c>
      <c r="B24" s="117">
        <v>4</v>
      </c>
      <c r="C24" s="277">
        <f t="shared" si="5"/>
        <v>33718032.725878768</v>
      </c>
      <c r="D24" s="299">
        <f t="shared" si="1"/>
        <v>4.1327327526691798E-2</v>
      </c>
      <c r="E24" s="299">
        <f t="shared" si="6"/>
        <v>0.12028075130266526</v>
      </c>
      <c r="F24" s="277">
        <f t="shared" si="7"/>
        <v>4055630.3087165523</v>
      </c>
      <c r="G24" s="299">
        <f t="shared" si="2"/>
        <v>0</v>
      </c>
      <c r="H24" s="277">
        <f t="shared" si="8"/>
        <v>3041722.7315374142</v>
      </c>
      <c r="I24" s="299">
        <f t="shared" si="9"/>
        <v>4.132732752669166E-2</v>
      </c>
      <c r="J24" s="299">
        <f t="shared" si="10"/>
        <v>9.0210563476998948E-2</v>
      </c>
      <c r="K24" s="119">
        <f t="shared" si="3"/>
        <v>0.75580680282513402</v>
      </c>
      <c r="L24" s="277">
        <f t="shared" si="4"/>
        <v>2298954.7328038267</v>
      </c>
      <c r="N24" s="275"/>
      <c r="O24" s="275"/>
      <c r="P24" s="275"/>
      <c r="Q24" s="275"/>
      <c r="R24" s="275"/>
      <c r="S24" s="275"/>
      <c r="T24" s="275"/>
      <c r="U24" s="275"/>
    </row>
    <row r="25" spans="1:21">
      <c r="A25" s="302" t="str">
        <f t="shared" si="0"/>
        <v>II</v>
      </c>
      <c r="B25" s="117">
        <v>5</v>
      </c>
      <c r="C25" s="277">
        <f t="shared" si="5"/>
        <v>34414770.816887818</v>
      </c>
      <c r="D25" s="299">
        <f t="shared" si="1"/>
        <v>2.0663663763345899E-2</v>
      </c>
      <c r="E25" s="299">
        <f t="shared" si="6"/>
        <v>0.13430424833028851</v>
      </c>
      <c r="F25" s="277">
        <f t="shared" si="7"/>
        <v>4622049.9260212677</v>
      </c>
      <c r="G25" s="299">
        <f t="shared" si="2"/>
        <v>0</v>
      </c>
      <c r="H25" s="277">
        <f t="shared" si="8"/>
        <v>3466537.444515951</v>
      </c>
      <c r="I25" s="299">
        <f t="shared" si="9"/>
        <v>0.13966253681637109</v>
      </c>
      <c r="J25" s="299">
        <f t="shared" si="10"/>
        <v>0.10072818624771639</v>
      </c>
      <c r="K25" s="119">
        <f t="shared" si="3"/>
        <v>0.70471496766912267</v>
      </c>
      <c r="L25" s="277">
        <f t="shared" si="4"/>
        <v>2442920.8231358617</v>
      </c>
      <c r="N25" s="275"/>
      <c r="O25" s="275"/>
      <c r="P25" s="275"/>
      <c r="Q25" s="275"/>
      <c r="R25" s="275"/>
      <c r="S25" s="275"/>
      <c r="T25" s="275"/>
      <c r="U25" s="275"/>
    </row>
    <row r="26" spans="1:21">
      <c r="A26" s="302" t="str">
        <f t="shared" si="0"/>
        <v>II</v>
      </c>
      <c r="B26" s="117">
        <v>6</v>
      </c>
      <c r="C26" s="277">
        <f t="shared" si="5"/>
        <v>35125906.069540597</v>
      </c>
      <c r="D26" s="299">
        <f t="shared" si="1"/>
        <v>2.0663663763345899E-2</v>
      </c>
      <c r="E26" s="299">
        <f t="shared" si="6"/>
        <v>0.13430424833028851</v>
      </c>
      <c r="F26" s="277">
        <f t="shared" si="7"/>
        <v>4717558.4115899689</v>
      </c>
      <c r="G26" s="299">
        <f t="shared" si="2"/>
        <v>0</v>
      </c>
      <c r="H26" s="277">
        <f t="shared" si="8"/>
        <v>3538168.8086924767</v>
      </c>
      <c r="I26" s="299">
        <f t="shared" si="9"/>
        <v>2.0663663763345941E-2</v>
      </c>
      <c r="J26" s="299">
        <f t="shared" si="10"/>
        <v>0.10072818624771639</v>
      </c>
      <c r="K26" s="119">
        <f t="shared" si="3"/>
        <v>0.65707689293158289</v>
      </c>
      <c r="L26" s="277">
        <f t="shared" si="4"/>
        <v>2324848.9674830926</v>
      </c>
    </row>
    <row r="27" spans="1:21">
      <c r="A27" s="302" t="str">
        <f t="shared" si="0"/>
        <v>II</v>
      </c>
      <c r="B27" s="117">
        <v>7</v>
      </c>
      <c r="C27" s="277">
        <f t="shared" si="5"/>
        <v>35851735.981944457</v>
      </c>
      <c r="D27" s="299">
        <f t="shared" si="1"/>
        <v>2.0663663763345899E-2</v>
      </c>
      <c r="E27" s="299">
        <f t="shared" si="6"/>
        <v>0.13430424833028851</v>
      </c>
      <c r="F27" s="277">
        <f t="shared" si="7"/>
        <v>4815040.4523910079</v>
      </c>
      <c r="G27" s="299">
        <f t="shared" si="2"/>
        <v>0</v>
      </c>
      <c r="H27" s="277">
        <f t="shared" si="8"/>
        <v>3611280.3392932559</v>
      </c>
      <c r="I27" s="299">
        <f t="shared" si="9"/>
        <v>2.0663663763345941E-2</v>
      </c>
      <c r="J27" s="299">
        <f t="shared" si="10"/>
        <v>0.10072818624771637</v>
      </c>
      <c r="K27" s="119">
        <f t="shared" si="3"/>
        <v>0.61265910762851561</v>
      </c>
      <c r="L27" s="277">
        <f t="shared" si="4"/>
        <v>2212483.7900678092</v>
      </c>
    </row>
    <row r="28" spans="1:21">
      <c r="A28" s="302" t="str">
        <f t="shared" si="0"/>
        <v>II</v>
      </c>
      <c r="B28" s="117">
        <v>8</v>
      </c>
      <c r="C28" s="277">
        <f t="shared" si="5"/>
        <v>36592564.199607611</v>
      </c>
      <c r="D28" s="299">
        <f t="shared" si="1"/>
        <v>2.0663663763345899E-2</v>
      </c>
      <c r="E28" s="299">
        <f t="shared" si="6"/>
        <v>0.13430424833028851</v>
      </c>
      <c r="F28" s="277">
        <f t="shared" si="7"/>
        <v>4914536.8293061256</v>
      </c>
      <c r="G28" s="299">
        <f t="shared" si="2"/>
        <v>0</v>
      </c>
      <c r="H28" s="277">
        <f t="shared" si="8"/>
        <v>3685902.6219795942</v>
      </c>
      <c r="I28" s="299">
        <f t="shared" si="9"/>
        <v>2.0663663763346163E-2</v>
      </c>
      <c r="J28" s="299">
        <f t="shared" si="10"/>
        <v>0.10072818624771639</v>
      </c>
      <c r="K28" s="119">
        <f t="shared" si="3"/>
        <v>0.5712439231967511</v>
      </c>
      <c r="L28" s="277">
        <f t="shared" si="4"/>
        <v>2105549.4743008148</v>
      </c>
    </row>
    <row r="29" spans="1:21">
      <c r="A29" s="302" t="str">
        <f t="shared" si="0"/>
        <v>II</v>
      </c>
      <c r="B29" s="117">
        <v>9</v>
      </c>
      <c r="C29" s="277">
        <f t="shared" si="5"/>
        <v>37348700.642466955</v>
      </c>
      <c r="D29" s="299">
        <f t="shared" si="1"/>
        <v>2.0663663763345899E-2</v>
      </c>
      <c r="E29" s="299">
        <f t="shared" si="6"/>
        <v>0.13430424833028851</v>
      </c>
      <c r="F29" s="277">
        <f t="shared" si="7"/>
        <v>5016089.1658994881</v>
      </c>
      <c r="G29" s="299">
        <f t="shared" si="2"/>
        <v>0</v>
      </c>
      <c r="H29" s="277">
        <f t="shared" si="8"/>
        <v>3762066.8744246159</v>
      </c>
      <c r="I29" s="299">
        <f t="shared" si="9"/>
        <v>2.0663663763345941E-2</v>
      </c>
      <c r="J29" s="299">
        <f t="shared" si="10"/>
        <v>0.10072818624771639</v>
      </c>
      <c r="K29" s="119">
        <f t="shared" si="3"/>
        <v>0.53262836661701729</v>
      </c>
      <c r="L29" s="277">
        <f t="shared" si="4"/>
        <v>2003783.5344287707</v>
      </c>
    </row>
    <row r="30" spans="1:21">
      <c r="A30" s="302" t="str">
        <f t="shared" si="0"/>
        <v>II</v>
      </c>
      <c r="B30" s="117">
        <v>10</v>
      </c>
      <c r="C30" s="277">
        <f t="shared" si="5"/>
        <v>38120461.634540752</v>
      </c>
      <c r="D30" s="299">
        <f t="shared" si="1"/>
        <v>2.0663663763345899E-2</v>
      </c>
      <c r="E30" s="299">
        <f t="shared" si="6"/>
        <v>0.13430424833028851</v>
      </c>
      <c r="F30" s="277">
        <f t="shared" si="7"/>
        <v>5119739.9458305966</v>
      </c>
      <c r="G30" s="299">
        <f t="shared" si="2"/>
        <v>0</v>
      </c>
      <c r="H30" s="277">
        <f t="shared" si="8"/>
        <v>3839804.9593729475</v>
      </c>
      <c r="I30" s="299">
        <f t="shared" si="9"/>
        <v>2.0663663763345719E-2</v>
      </c>
      <c r="J30" s="299">
        <f t="shared" si="10"/>
        <v>0.10072818624771637</v>
      </c>
      <c r="K30" s="119">
        <f t="shared" si="3"/>
        <v>0.49662318565689262</v>
      </c>
      <c r="L30" s="277">
        <f t="shared" si="4"/>
        <v>1906936.1712249282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38882870.86723157</v>
      </c>
      <c r="D51" s="301">
        <f>Terminal_Growth</f>
        <v>0.02</v>
      </c>
      <c r="E51" s="301">
        <f>F17</f>
        <v>0.13430424833028851</v>
      </c>
      <c r="F51" s="277">
        <f>C51*E51</f>
        <v>5222134.7447472094</v>
      </c>
      <c r="G51" s="299">
        <f>F18</f>
        <v>0</v>
      </c>
      <c r="H51" s="277">
        <f>(F51*(1-$I$10)+C51*(G51-$I$9))/Equity_Cost</f>
        <v>54022083.566350445</v>
      </c>
      <c r="I51" s="415">
        <f>(F51*(1-$I$10)+C51*(G51-$I$9))/VLOOKUP(C15,B21:H50,COLUMN(H20)-1,FALSE)-1</f>
        <v>2.0000000000000018E-2</v>
      </c>
      <c r="J51" s="454"/>
      <c r="K51" s="119">
        <f>1/(1+Equity_Cost)^C15</f>
        <v>0.49662318565689262</v>
      </c>
      <c r="L51" s="277">
        <f t="shared" si="4"/>
        <v>26828619.236543823</v>
      </c>
    </row>
    <row r="52" spans="1:21" ht="13.15">
      <c r="G52" s="111"/>
      <c r="H52" s="111"/>
      <c r="I52" s="111"/>
      <c r="J52" s="468" t="s">
        <v>419</v>
      </c>
      <c r="K52" s="468"/>
      <c r="L52" s="317">
        <f>SUM(L21:L51)</f>
        <v>49442185.696216062</v>
      </c>
    </row>
    <row r="53" spans="1:21">
      <c r="C53" s="111"/>
    </row>
    <row r="54" spans="1:21" ht="13.15">
      <c r="B54" s="115" t="s">
        <v>107</v>
      </c>
      <c r="C54" s="128"/>
      <c r="D54" s="128"/>
      <c r="E54" s="113"/>
      <c r="F54" s="113"/>
      <c r="G54" s="113"/>
      <c r="H54" s="113"/>
      <c r="I54" s="113"/>
      <c r="J54" s="113"/>
      <c r="K54" s="113"/>
      <c r="L54" s="113"/>
    </row>
    <row r="55" spans="1:21" ht="13.15">
      <c r="A55" s="125">
        <f>L52</f>
        <v>49442185.696216062</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39294805.614469856</v>
      </c>
      <c r="C56" s="118">
        <v>40705388.380117498</v>
      </c>
      <c r="D56" s="118">
        <v>41108412.027445391</v>
      </c>
      <c r="E56" s="118">
        <v>41511435.674773291</v>
      </c>
      <c r="F56" s="118">
        <v>42317482.969429091</v>
      </c>
      <c r="G56" s="295"/>
      <c r="H56" s="295"/>
      <c r="I56" s="295"/>
      <c r="J56" s="295"/>
      <c r="K56" s="295"/>
      <c r="L56" s="295"/>
    </row>
    <row r="57" spans="1:21" ht="13.15">
      <c r="A57" s="131">
        <v>2</v>
      </c>
      <c r="B57" s="118">
        <v>38323484.525705285</v>
      </c>
      <c r="C57" s="118">
        <v>41036849.17158448</v>
      </c>
      <c r="D57" s="118">
        <v>41829124.287310585</v>
      </c>
      <c r="E57" s="118">
        <v>42628967.435946181</v>
      </c>
      <c r="F57" s="118">
        <v>44251357.831945829</v>
      </c>
      <c r="G57" s="295"/>
      <c r="H57" s="295"/>
      <c r="I57" s="295"/>
      <c r="J57" s="295"/>
      <c r="K57" s="295"/>
      <c r="L57" s="295"/>
    </row>
    <row r="58" spans="1:21" ht="13.15">
      <c r="A58" s="131">
        <v>3</v>
      </c>
      <c r="B58" s="118">
        <v>36480453.421944678</v>
      </c>
      <c r="C58" s="118">
        <v>41758390.04696542</v>
      </c>
      <c r="D58" s="118">
        <v>43348175.689319655</v>
      </c>
      <c r="E58" s="118">
        <v>44975094.762173474</v>
      </c>
      <c r="F58" s="118">
        <v>48342026.74520582</v>
      </c>
      <c r="G58" s="295"/>
      <c r="H58" s="295"/>
      <c r="I58" s="295"/>
      <c r="J58" s="295"/>
      <c r="K58" s="295"/>
      <c r="L58" s="295"/>
    </row>
    <row r="59" spans="1:21" ht="13.15">
      <c r="A59" s="131">
        <v>4</v>
      </c>
      <c r="B59" s="118">
        <v>35698291.917959653</v>
      </c>
      <c r="C59" s="118">
        <v>42055255.121481895</v>
      </c>
      <c r="D59" s="118">
        <v>44012837.642049745</v>
      </c>
      <c r="E59" s="118">
        <v>46035833.338337302</v>
      </c>
      <c r="F59" s="118">
        <v>50283877.06439063</v>
      </c>
      <c r="G59" s="295"/>
      <c r="H59" s="295"/>
      <c r="I59" s="295"/>
      <c r="J59" s="295"/>
      <c r="K59" s="295"/>
      <c r="L59" s="295"/>
    </row>
    <row r="60" spans="1:21" ht="13.15">
      <c r="A60" s="131">
        <v>5</v>
      </c>
      <c r="B60" s="118">
        <v>33912243.300235122</v>
      </c>
      <c r="C60" s="118">
        <v>42456823.361555904</v>
      </c>
      <c r="D60" s="118">
        <v>45187571.932261825</v>
      </c>
      <c r="E60" s="118">
        <v>48055981.358059227</v>
      </c>
      <c r="F60" s="118">
        <v>54226382.54101117</v>
      </c>
      <c r="G60" s="295"/>
      <c r="H60" s="295"/>
      <c r="I60" s="295"/>
      <c r="J60" s="295"/>
      <c r="K60" s="295"/>
      <c r="L60" s="295"/>
    </row>
    <row r="61" spans="1:21" ht="13.15">
      <c r="A61" s="131">
        <v>6</v>
      </c>
      <c r="B61" s="118">
        <v>33282403.564031869</v>
      </c>
      <c r="C61" s="118">
        <v>42722703.594562121</v>
      </c>
      <c r="D61" s="118">
        <v>45800542.650270164</v>
      </c>
      <c r="E61" s="118">
        <v>49062812.990102686</v>
      </c>
      <c r="F61" s="118">
        <v>56176241.208293736</v>
      </c>
      <c r="G61" s="295"/>
      <c r="H61" s="295"/>
      <c r="I61" s="295"/>
      <c r="J61" s="295"/>
      <c r="K61" s="295"/>
      <c r="L61" s="295"/>
    </row>
    <row r="62" spans="1:21" ht="13.15">
      <c r="A62" s="131">
        <v>7</v>
      </c>
      <c r="B62" s="118">
        <v>31772295.574145243</v>
      </c>
      <c r="C62" s="118">
        <v>43091599.53175807</v>
      </c>
      <c r="D62" s="118">
        <v>46921104.061445266</v>
      </c>
      <c r="E62" s="118">
        <v>51047681.52670379</v>
      </c>
      <c r="F62" s="118">
        <v>60269832.945014387</v>
      </c>
      <c r="G62" s="295"/>
      <c r="H62" s="295"/>
      <c r="I62" s="295"/>
      <c r="J62" s="295"/>
      <c r="K62" s="295"/>
      <c r="L62" s="295"/>
    </row>
    <row r="63" spans="1:21" ht="13.15">
      <c r="A63" s="131">
        <v>8</v>
      </c>
      <c r="B63" s="118">
        <v>31265113.75647787</v>
      </c>
      <c r="C63" s="118">
        <v>43329728.919051558</v>
      </c>
      <c r="D63" s="118">
        <v>47486403.608970664</v>
      </c>
      <c r="E63" s="118">
        <v>52003345.776183024</v>
      </c>
      <c r="F63" s="118">
        <v>62227732.987471357</v>
      </c>
      <c r="G63" s="295"/>
      <c r="H63" s="295"/>
      <c r="I63" s="295"/>
      <c r="J63" s="295"/>
      <c r="K63" s="295"/>
      <c r="L63" s="295"/>
    </row>
    <row r="64" spans="1:21" ht="13.15">
      <c r="A64" s="131">
        <v>9</v>
      </c>
      <c r="B64" s="118">
        <v>29985418.821533307</v>
      </c>
      <c r="C64" s="118">
        <v>43668910.329873897</v>
      </c>
      <c r="D64" s="118">
        <v>48555878.324427545</v>
      </c>
      <c r="E64" s="118">
        <v>53953942.368890427</v>
      </c>
      <c r="F64" s="118">
        <v>66476491.180068314</v>
      </c>
      <c r="G64" s="295"/>
      <c r="H64" s="295"/>
      <c r="I64" s="295"/>
      <c r="J64" s="295"/>
      <c r="K64" s="295"/>
      <c r="L64" s="295"/>
    </row>
    <row r="65" spans="1:21" ht="13.15">
      <c r="A65" s="131">
        <v>10</v>
      </c>
      <c r="B65" s="118">
        <v>29577007.949073881</v>
      </c>
      <c r="C65" s="118">
        <v>43882185.323850021</v>
      </c>
      <c r="D65" s="118">
        <v>49077214.122442067</v>
      </c>
      <c r="E65" s="118">
        <v>54861039.572301768</v>
      </c>
      <c r="F65" s="118">
        <v>68442465.760982603</v>
      </c>
      <c r="G65" s="295"/>
      <c r="H65" s="295"/>
      <c r="I65" s="295"/>
      <c r="J65" s="295"/>
      <c r="K65" s="295"/>
      <c r="L65" s="295"/>
    </row>
    <row r="66" spans="1:21" ht="13.15">
      <c r="A66" s="131">
        <v>15</v>
      </c>
      <c r="B66" s="118">
        <v>26181995.45170347</v>
      </c>
      <c r="C66" s="277">
        <v>45108984.21347291</v>
      </c>
      <c r="D66" s="118">
        <v>52931171.457210436</v>
      </c>
      <c r="E66" s="118">
        <v>62194894.994071685</v>
      </c>
      <c r="F66" s="118">
        <v>86118445.524464756</v>
      </c>
      <c r="G66" s="295"/>
      <c r="H66" s="295"/>
      <c r="I66" s="295"/>
      <c r="J66" s="295"/>
      <c r="K66" s="295"/>
      <c r="L66" s="295"/>
      <c r="M66" s="275"/>
      <c r="N66" s="275"/>
      <c r="O66" s="275"/>
      <c r="P66" s="275"/>
      <c r="Q66" s="275"/>
      <c r="R66" s="275"/>
      <c r="S66" s="275"/>
      <c r="T66" s="275"/>
      <c r="U66" s="275"/>
    </row>
    <row r="67" spans="1:21" ht="13.15">
      <c r="A67" s="132">
        <v>20</v>
      </c>
      <c r="B67" s="118">
        <v>24405922.206875578</v>
      </c>
      <c r="C67" s="277">
        <v>45992821.153273121</v>
      </c>
      <c r="D67" s="118">
        <v>55810708.027812928</v>
      </c>
      <c r="E67" s="118">
        <v>68021482.945976779</v>
      </c>
      <c r="F67" s="118">
        <v>102116258.26856709</v>
      </c>
      <c r="G67" s="295"/>
      <c r="H67" s="295"/>
      <c r="I67" s="295"/>
      <c r="J67" s="295"/>
      <c r="K67" s="295"/>
      <c r="L67" s="295"/>
      <c r="M67" s="275"/>
      <c r="N67" s="275"/>
      <c r="O67" s="275"/>
      <c r="P67" s="275"/>
      <c r="Q67" s="275"/>
      <c r="R67" s="275"/>
      <c r="S67" s="275"/>
      <c r="T67" s="275"/>
      <c r="U67" s="275"/>
    </row>
    <row r="68" spans="1:21" ht="13.15">
      <c r="A68" s="132">
        <v>25</v>
      </c>
      <c r="B68" s="118">
        <v>22913964.292300027</v>
      </c>
      <c r="C68" s="277">
        <v>46782444.506733298</v>
      </c>
      <c r="D68" s="118">
        <v>58777259.831459478</v>
      </c>
      <c r="E68" s="118">
        <v>74522045.908934161</v>
      </c>
      <c r="F68" s="118">
        <v>122534959.99804236</v>
      </c>
      <c r="G68" s="295"/>
      <c r="H68" s="295"/>
      <c r="I68" s="295"/>
      <c r="J68" s="295"/>
      <c r="K68" s="295"/>
      <c r="L68" s="295"/>
      <c r="M68" s="275"/>
      <c r="N68" s="275"/>
      <c r="O68" s="275"/>
      <c r="P68" s="275"/>
      <c r="Q68" s="275"/>
      <c r="R68" s="275"/>
      <c r="S68" s="275"/>
      <c r="T68" s="275"/>
      <c r="U68" s="275"/>
    </row>
    <row r="69" spans="1:21" ht="13.15">
      <c r="A69" s="132">
        <v>30</v>
      </c>
      <c r="B69" s="118">
        <v>22144537.745228086</v>
      </c>
      <c r="C69" s="277">
        <v>47340355.628503434</v>
      </c>
      <c r="D69" s="118">
        <v>60942344.329298921</v>
      </c>
      <c r="E69" s="118">
        <v>79561546.055198863</v>
      </c>
      <c r="F69" s="118">
        <v>140552104.61441651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28.520719492701033</v>
      </c>
      <c r="C73" s="119">
        <f>C11</f>
        <v>28.520719492701033</v>
      </c>
      <c r="D73" s="119">
        <f>C11</f>
        <v>28.520719492701033</v>
      </c>
      <c r="E73" s="119">
        <f>C11</f>
        <v>28.520719492701033</v>
      </c>
      <c r="F73" s="119">
        <f>C11</f>
        <v>28.520719492701033</v>
      </c>
      <c r="G73" s="296"/>
      <c r="H73" s="296"/>
      <c r="I73" s="296"/>
      <c r="J73" s="296"/>
      <c r="K73" s="296"/>
      <c r="L73" s="296"/>
    </row>
    <row r="74" spans="1:21" ht="13.15">
      <c r="A74" s="131">
        <v>1</v>
      </c>
      <c r="B74" s="119">
        <f t="shared" ref="B74:F87" si="11">(B56+FV_adjustments)/Common_Shares*scaling_factor*Exchange_Rate</f>
        <v>23.704638437019927</v>
      </c>
      <c r="C74" s="119">
        <f t="shared" si="11"/>
        <v>24.324260255116613</v>
      </c>
      <c r="D74" s="119">
        <f t="shared" si="11"/>
        <v>24.501295060287088</v>
      </c>
      <c r="E74" s="119">
        <f t="shared" si="11"/>
        <v>24.678329865457574</v>
      </c>
      <c r="F74" s="119">
        <f t="shared" si="11"/>
        <v>25.032399475798531</v>
      </c>
      <c r="G74" s="296"/>
      <c r="H74" s="296"/>
      <c r="I74" s="296"/>
      <c r="J74" s="296"/>
      <c r="K74" s="296"/>
      <c r="L74" s="296"/>
    </row>
    <row r="75" spans="1:21" ht="13.15">
      <c r="A75" s="131">
        <v>2</v>
      </c>
      <c r="B75" s="119">
        <f t="shared" si="11"/>
        <v>23.277969578139025</v>
      </c>
      <c r="C75" s="119">
        <f t="shared" si="11"/>
        <v>24.469859891832886</v>
      </c>
      <c r="D75" s="119">
        <f t="shared" si="11"/>
        <v>24.817879844716387</v>
      </c>
      <c r="E75" s="119">
        <f t="shared" si="11"/>
        <v>25.169224181269527</v>
      </c>
      <c r="F75" s="119">
        <f t="shared" si="11"/>
        <v>25.881886005384718</v>
      </c>
      <c r="G75" s="296"/>
      <c r="H75" s="296"/>
      <c r="I75" s="296"/>
      <c r="J75" s="296"/>
      <c r="K75" s="296"/>
      <c r="L75" s="296"/>
    </row>
    <row r="76" spans="1:21" ht="13.15">
      <c r="A76" s="131">
        <v>3</v>
      </c>
      <c r="B76" s="119">
        <f t="shared" si="11"/>
        <v>22.468387672608962</v>
      </c>
      <c r="C76" s="119">
        <f t="shared" si="11"/>
        <v>24.786808659337034</v>
      </c>
      <c r="D76" s="119">
        <f t="shared" si="11"/>
        <v>25.485148305963335</v>
      </c>
      <c r="E76" s="119">
        <f t="shared" si="11"/>
        <v>26.199799426314303</v>
      </c>
      <c r="F76" s="119">
        <f t="shared" si="11"/>
        <v>27.678780006214211</v>
      </c>
      <c r="G76" s="296"/>
      <c r="H76" s="296"/>
      <c r="I76" s="296"/>
      <c r="J76" s="296"/>
      <c r="K76" s="296"/>
      <c r="L76" s="296"/>
    </row>
    <row r="77" spans="1:21" ht="13.15">
      <c r="A77" s="131">
        <v>4</v>
      </c>
      <c r="B77" s="119">
        <f t="shared" si="11"/>
        <v>22.124810291013834</v>
      </c>
      <c r="C77" s="119">
        <f t="shared" si="11"/>
        <v>24.917211554991901</v>
      </c>
      <c r="D77" s="119">
        <f t="shared" si="11"/>
        <v>25.777112065623495</v>
      </c>
      <c r="E77" s="119">
        <f t="shared" si="11"/>
        <v>26.665746395959964</v>
      </c>
      <c r="F77" s="119">
        <f t="shared" si="11"/>
        <v>28.531769887096871</v>
      </c>
      <c r="G77" s="296"/>
      <c r="H77" s="296"/>
      <c r="I77" s="296"/>
      <c r="J77" s="296"/>
      <c r="K77" s="296"/>
      <c r="L77" s="296"/>
    </row>
    <row r="78" spans="1:21" ht="13.15">
      <c r="A78" s="131">
        <v>5</v>
      </c>
      <c r="B78" s="119">
        <f t="shared" si="11"/>
        <v>21.340258885258187</v>
      </c>
      <c r="C78" s="119">
        <f t="shared" si="11"/>
        <v>25.093607048446191</v>
      </c>
      <c r="D78" s="119">
        <f t="shared" si="11"/>
        <v>26.293133538739628</v>
      </c>
      <c r="E78" s="119">
        <f t="shared" si="11"/>
        <v>27.553129837249784</v>
      </c>
      <c r="F78" s="119">
        <f t="shared" si="11"/>
        <v>30.263580646998047</v>
      </c>
      <c r="G78" s="296"/>
      <c r="H78" s="296"/>
      <c r="I78" s="296"/>
      <c r="J78" s="296"/>
      <c r="K78" s="296"/>
      <c r="L78" s="296"/>
    </row>
    <row r="79" spans="1:21" ht="13.15">
      <c r="A79" s="131">
        <v>6</v>
      </c>
      <c r="B79" s="119">
        <f t="shared" si="11"/>
        <v>21.063591360345807</v>
      </c>
      <c r="C79" s="119">
        <f t="shared" si="11"/>
        <v>25.210399339819219</v>
      </c>
      <c r="D79" s="119">
        <f t="shared" si="11"/>
        <v>26.562391068309665</v>
      </c>
      <c r="E79" s="119">
        <f t="shared" si="11"/>
        <v>27.995397289792766</v>
      </c>
      <c r="F79" s="119">
        <f t="shared" si="11"/>
        <v>31.12008832728187</v>
      </c>
      <c r="G79" s="296"/>
      <c r="H79" s="296"/>
      <c r="I79" s="296"/>
      <c r="J79" s="296"/>
      <c r="K79" s="296"/>
      <c r="L79" s="296"/>
    </row>
    <row r="80" spans="1:21" ht="13.15">
      <c r="A80" s="131">
        <f t="shared" ref="A80" si="12">A62</f>
        <v>7</v>
      </c>
      <c r="B80" s="119">
        <f t="shared" si="11"/>
        <v>20.400251440843622</v>
      </c>
      <c r="C80" s="119">
        <f t="shared" si="11"/>
        <v>25.372442983666581</v>
      </c>
      <c r="D80" s="119">
        <f t="shared" si="11"/>
        <v>27.054616208011065</v>
      </c>
      <c r="E80" s="119">
        <f t="shared" si="11"/>
        <v>28.867283634417859</v>
      </c>
      <c r="F80" s="119">
        <f t="shared" si="11"/>
        <v>32.91826622667498</v>
      </c>
      <c r="G80" s="296"/>
      <c r="H80" s="296"/>
      <c r="I80" s="296"/>
      <c r="J80" s="296"/>
      <c r="K80" s="296"/>
      <c r="L80" s="296"/>
    </row>
    <row r="81" spans="1:12" ht="13.15">
      <c r="A81" s="131">
        <v>8</v>
      </c>
      <c r="B81" s="119">
        <f t="shared" si="11"/>
        <v>20.17746343604027</v>
      </c>
      <c r="C81" s="119">
        <f t="shared" si="11"/>
        <v>25.477045256918721</v>
      </c>
      <c r="D81" s="119">
        <f t="shared" si="11"/>
        <v>27.302933387220399</v>
      </c>
      <c r="E81" s="119">
        <f t="shared" si="11"/>
        <v>29.287074967598116</v>
      </c>
      <c r="F81" s="119">
        <f t="shared" si="11"/>
        <v>33.778306214049813</v>
      </c>
      <c r="G81" s="296"/>
      <c r="H81" s="296"/>
      <c r="I81" s="296"/>
      <c r="J81" s="296"/>
      <c r="K81" s="296"/>
      <c r="L81" s="296"/>
    </row>
    <row r="82" spans="1:12" ht="13.15">
      <c r="A82" s="131">
        <f t="shared" ref="A82" si="13">A64</f>
        <v>9</v>
      </c>
      <c r="B82" s="119">
        <f t="shared" si="11"/>
        <v>19.615336263137078</v>
      </c>
      <c r="C82" s="119">
        <f t="shared" si="11"/>
        <v>25.62603630342555</v>
      </c>
      <c r="D82" s="119">
        <f t="shared" si="11"/>
        <v>27.77271785059116</v>
      </c>
      <c r="E82" s="119">
        <f t="shared" si="11"/>
        <v>30.143906793833878</v>
      </c>
      <c r="F82" s="119">
        <f t="shared" si="11"/>
        <v>35.64464354643696</v>
      </c>
      <c r="G82" s="296"/>
      <c r="H82" s="296"/>
      <c r="I82" s="296"/>
      <c r="J82" s="296"/>
      <c r="K82" s="296"/>
      <c r="L82" s="296"/>
    </row>
    <row r="83" spans="1:12" ht="13.15">
      <c r="A83" s="131">
        <f t="shared" ref="A83:A87" si="14">A65</f>
        <v>10</v>
      </c>
      <c r="B83" s="119">
        <f t="shared" si="11"/>
        <v>19.435935030195196</v>
      </c>
      <c r="C83" s="119">
        <f t="shared" si="11"/>
        <v>25.719720873193683</v>
      </c>
      <c r="D83" s="119">
        <f t="shared" si="11"/>
        <v>28.001723225441555</v>
      </c>
      <c r="E83" s="119">
        <f t="shared" si="11"/>
        <v>30.542364248480361</v>
      </c>
      <c r="F83" s="119">
        <f t="shared" si="11"/>
        <v>36.508230408423515</v>
      </c>
      <c r="G83" s="296"/>
      <c r="H83" s="296"/>
      <c r="I83" s="296"/>
      <c r="J83" s="296"/>
      <c r="K83" s="296"/>
      <c r="L83" s="296"/>
    </row>
    <row r="84" spans="1:12" ht="13.15">
      <c r="A84" s="131">
        <f t="shared" si="14"/>
        <v>15</v>
      </c>
      <c r="B84" s="119">
        <f t="shared" si="11"/>
        <v>17.944619619776319</v>
      </c>
      <c r="C84" s="119">
        <f t="shared" si="11"/>
        <v>26.258612583016976</v>
      </c>
      <c r="D84" s="119">
        <f t="shared" si="11"/>
        <v>29.694637748992971</v>
      </c>
      <c r="E84" s="119">
        <f t="shared" si="11"/>
        <v>33.763881582139895</v>
      </c>
      <c r="F84" s="119">
        <f t="shared" si="11"/>
        <v>44.272696971050472</v>
      </c>
      <c r="G84" s="296"/>
      <c r="H84" s="296"/>
      <c r="I84" s="296"/>
      <c r="J84" s="296"/>
      <c r="K84" s="296"/>
      <c r="L84" s="296"/>
    </row>
    <row r="85" spans="1:12" ht="13.15">
      <c r="A85" s="132">
        <f t="shared" si="14"/>
        <v>20</v>
      </c>
      <c r="B85" s="119">
        <f t="shared" si="11"/>
        <v>17.16445006160944</v>
      </c>
      <c r="C85" s="119">
        <f t="shared" si="11"/>
        <v>26.646852582028004</v>
      </c>
      <c r="D85" s="119">
        <f t="shared" si="11"/>
        <v>30.959521829958902</v>
      </c>
      <c r="E85" s="119">
        <f t="shared" si="11"/>
        <v>36.323306741713608</v>
      </c>
      <c r="F85" s="119">
        <f t="shared" si="11"/>
        <v>51.300000904910583</v>
      </c>
      <c r="G85" s="296"/>
      <c r="H85" s="296"/>
      <c r="I85" s="296"/>
      <c r="J85" s="296"/>
      <c r="K85" s="296"/>
      <c r="L85" s="296"/>
    </row>
    <row r="86" spans="1:12" ht="13.15">
      <c r="A86" s="132">
        <f t="shared" si="14"/>
        <v>25</v>
      </c>
      <c r="B86" s="119">
        <f t="shared" si="11"/>
        <v>16.509082862983139</v>
      </c>
      <c r="C86" s="119">
        <f t="shared" si="11"/>
        <v>26.993707704462423</v>
      </c>
      <c r="D86" s="119">
        <f t="shared" si="11"/>
        <v>32.262628791718448</v>
      </c>
      <c r="E86" s="119">
        <f t="shared" si="11"/>
        <v>39.178786575901348</v>
      </c>
      <c r="F86" s="119">
        <f t="shared" si="11"/>
        <v>60.269253469812348</v>
      </c>
      <c r="G86" s="296"/>
      <c r="H86" s="296"/>
      <c r="I86" s="296"/>
      <c r="J86" s="296"/>
      <c r="K86" s="296"/>
      <c r="L86" s="296"/>
    </row>
    <row r="87" spans="1:12" ht="13.15">
      <c r="A87" s="132">
        <f t="shared" si="14"/>
        <v>30</v>
      </c>
      <c r="B87" s="119">
        <f t="shared" si="11"/>
        <v>16.171099521913693</v>
      </c>
      <c r="C87" s="119">
        <f t="shared" si="11"/>
        <v>27.238779395416238</v>
      </c>
      <c r="D87" s="119">
        <f t="shared" si="11"/>
        <v>33.213677979015358</v>
      </c>
      <c r="E87" s="119">
        <f t="shared" si="11"/>
        <v>41.392470394371472</v>
      </c>
      <c r="F87" s="119">
        <f t="shared" si="11"/>
        <v>68.183582338691551</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0.1</v>
      </c>
      <c r="D90" s="133">
        <f>Scenarios!D29</f>
        <v>10</v>
      </c>
      <c r="E90" s="127">
        <f>INDEX(B$73:F$87, MATCH(D90, A$73:A$87, 0), MATCH(C90, B$72:F$72, 0))</f>
        <v>36.508230408423515</v>
      </c>
      <c r="F90" s="130">
        <f>Scenarios!F29</f>
        <v>0.05</v>
      </c>
      <c r="G90" s="297"/>
      <c r="H90" s="297"/>
      <c r="I90" s="297"/>
      <c r="J90" s="297"/>
      <c r="K90" s="297"/>
      <c r="L90" s="297"/>
    </row>
    <row r="91" spans="1:12">
      <c r="B91" s="120" t="str">
        <f>Scenarios!B22</f>
        <v>Optimistic</v>
      </c>
      <c r="C91" s="130">
        <f>Scenarios!C22</f>
        <v>0.06</v>
      </c>
      <c r="D91" s="133">
        <f>Scenarios!D22</f>
        <v>10</v>
      </c>
      <c r="E91" s="127">
        <f>INDEX(B$73:F$87, MATCH(D91, A$73:A$87, 0), MATCH(C91, B$72:F$72, 0))</f>
        <v>30.542364248480361</v>
      </c>
      <c r="F91" s="130">
        <f>Scenarios!F22*(1-F$90-F$94)</f>
        <v>0.22499999999999992</v>
      </c>
      <c r="G91" s="297"/>
      <c r="H91" s="297"/>
      <c r="I91" s="297"/>
      <c r="J91" s="297"/>
      <c r="K91" s="297"/>
      <c r="L91" s="297"/>
    </row>
    <row r="92" spans="1:12">
      <c r="B92" s="120" t="str">
        <f>Scenarios!B23</f>
        <v>Base</v>
      </c>
      <c r="C92" s="130">
        <f>Scenarios!C23</f>
        <v>0.04</v>
      </c>
      <c r="D92" s="133">
        <f>Scenarios!D23</f>
        <v>10</v>
      </c>
      <c r="E92" s="127">
        <f>INDEX(B$73:F$87, MATCH(D92, A$73:A$87, 0), MATCH(C92, B$72:F$72, 0))</f>
        <v>28.001723225441555</v>
      </c>
      <c r="F92" s="130">
        <f>Scenarios!F23*(1-F$90-F$94)</f>
        <v>0.495</v>
      </c>
      <c r="G92" s="297"/>
      <c r="H92" s="297"/>
      <c r="I92" s="297"/>
      <c r="J92" s="297"/>
      <c r="K92" s="297"/>
      <c r="L92" s="297"/>
    </row>
    <row r="93" spans="1:12">
      <c r="B93" s="120" t="str">
        <f>Scenarios!B24</f>
        <v>Pessimistic</v>
      </c>
      <c r="C93" s="130">
        <f>Scenarios!C24</f>
        <v>0.02</v>
      </c>
      <c r="D93" s="133">
        <f>Scenarios!D24</f>
        <v>10</v>
      </c>
      <c r="E93" s="127">
        <f>INDEX(B$73:F$87, MATCH(D93, A$73:A$87, 0), MATCH(C93, B$72:F$72, 0))</f>
        <v>25.719720873193683</v>
      </c>
      <c r="F93" s="130">
        <f>Scenarios!F24*(1-F$90-F$94)</f>
        <v>0.18</v>
      </c>
      <c r="G93" s="297"/>
      <c r="H93" s="297"/>
      <c r="I93" s="297"/>
      <c r="J93" s="297"/>
      <c r="K93" s="297"/>
      <c r="L93" s="297"/>
    </row>
    <row r="94" spans="1:12">
      <c r="B94" s="120" t="str">
        <f>Scenarios!B30</f>
        <v>Devil's advocate</v>
      </c>
      <c r="C94" s="130">
        <f>Scenarios!C30</f>
        <v>-0.05</v>
      </c>
      <c r="D94" s="133">
        <f>Scenarios!D30</f>
        <v>10</v>
      </c>
      <c r="E94" s="127">
        <f>INDEX(B$73:F$87, MATCH(D94, A$73:A$87, 0), MATCH(C94, B$72:F$72, 0))</f>
        <v>19.435935030195196</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3529289</v>
      </c>
      <c r="D7" s="469"/>
      <c r="E7" s="469"/>
      <c r="F7" s="469"/>
      <c r="G7" s="469"/>
    </row>
    <row r="8" spans="2:7">
      <c r="B8" s="97" t="s">
        <v>62</v>
      </c>
      <c r="C8" s="447">
        <f>Normalized_FCF!G19</f>
        <v>2533245.4233489423</v>
      </c>
      <c r="D8" s="469"/>
      <c r="E8" s="469"/>
      <c r="F8" s="469"/>
      <c r="G8" s="469"/>
    </row>
    <row r="9" spans="2:7">
      <c r="B9" s="97" t="s">
        <v>53</v>
      </c>
      <c r="C9" s="447">
        <f>Normalized_FCF!C19</f>
        <v>2586845.9130952605</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5.4188460915165049E-2</v>
      </c>
      <c r="D12" s="469"/>
      <c r="E12" s="469"/>
      <c r="F12" s="469"/>
      <c r="G12" s="469"/>
    </row>
    <row r="13" spans="2:7">
      <c r="B13" s="135" t="s">
        <v>126</v>
      </c>
      <c r="C13" s="249">
        <f ca="1">(Normalized_FCF!G8/OFFSET(Normalized_FCF!G8, 0, $C$4))^(1/$C$4) - 1</f>
        <v>-6.733313165064081E-2</v>
      </c>
      <c r="D13" s="469"/>
      <c r="E13" s="469"/>
      <c r="F13" s="469"/>
      <c r="G13" s="469"/>
    </row>
    <row r="14" spans="2:7">
      <c r="B14" s="97" t="s">
        <v>62</v>
      </c>
      <c r="C14" s="249">
        <f ca="1">(Normalized_FCF!G19/OFFSET(Normalized_FCF!G19, 0, $C$4))^(1/$C$4) - 1</f>
        <v>-6.3673049849346297E-2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0.06</v>
      </c>
      <c r="D22" s="325">
        <f>C18</f>
        <v>10</v>
      </c>
      <c r="E22" s="326">
        <f>DCF!E91</f>
        <v>30.542364248480361</v>
      </c>
      <c r="F22" s="328">
        <f>1-F23-F24</f>
        <v>0.24999999999999994</v>
      </c>
      <c r="G22" s="328">
        <f>F22*(1-F$29-F$30)</f>
        <v>0.22499999999999992</v>
      </c>
    </row>
    <row r="23" spans="2:7">
      <c r="B23" s="302" t="s">
        <v>436</v>
      </c>
      <c r="C23" s="324">
        <v>0.04</v>
      </c>
      <c r="D23" s="325">
        <f>C18</f>
        <v>10</v>
      </c>
      <c r="E23" s="326">
        <f>DCF!E92</f>
        <v>28.001723225441555</v>
      </c>
      <c r="F23" s="327">
        <v>0.55000000000000004</v>
      </c>
      <c r="G23" s="328">
        <f t="shared" ref="G23:G24" si="0">F23*(1-F$29-F$30)</f>
        <v>0.495</v>
      </c>
    </row>
    <row r="24" spans="2:7">
      <c r="B24" s="302" t="s">
        <v>445</v>
      </c>
      <c r="C24" s="324">
        <v>0.02</v>
      </c>
      <c r="D24" s="325">
        <f>C18</f>
        <v>10</v>
      </c>
      <c r="E24" s="326">
        <f>DCF!E93</f>
        <v>25.719720873193683</v>
      </c>
      <c r="F24" s="327">
        <v>0.2</v>
      </c>
      <c r="G24" s="328">
        <f t="shared" si="0"/>
        <v>0.18</v>
      </c>
    </row>
    <row r="25" spans="2:7">
      <c r="B25" s="141" t="s">
        <v>450</v>
      </c>
      <c r="C25" s="441">
        <f>E23*F23+E24*F24+E22*F22</f>
        <v>28.180483010751683</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0.1</v>
      </c>
      <c r="D29" s="325">
        <f>C18</f>
        <v>10</v>
      </c>
      <c r="E29" s="326">
        <f>DCF!E90</f>
        <v>36.508230408423515</v>
      </c>
      <c r="F29" s="327">
        <v>0.05</v>
      </c>
      <c r="G29" s="328">
        <f>F29</f>
        <v>0.05</v>
      </c>
    </row>
    <row r="30" spans="2:7">
      <c r="B30" s="315" t="s">
        <v>446</v>
      </c>
      <c r="C30" s="324">
        <v>-0.05</v>
      </c>
      <c r="D30" s="325">
        <f>C18</f>
        <v>10</v>
      </c>
      <c r="E30" s="326">
        <f>DCF!E94</f>
        <v>19.435935030195196</v>
      </c>
      <c r="F30" s="327">
        <v>0.05</v>
      </c>
      <c r="G30" s="328">
        <f>F30</f>
        <v>0.05</v>
      </c>
    </row>
    <row r="31" spans="2:7">
      <c r="E31" s="329"/>
      <c r="F31" s="329"/>
    </row>
    <row r="32" spans="2:7" ht="13.15">
      <c r="B32" s="145" t="s">
        <v>455</v>
      </c>
    </row>
    <row r="33" spans="2:7">
      <c r="B33" s="97" t="s">
        <v>457</v>
      </c>
      <c r="C33" s="155">
        <f>Normalized_FCF!C88*(1-dividend_tax_rate)</f>
        <v>0.5150512453090087</v>
      </c>
      <c r="D33" t="str">
        <f>Market_currency</f>
        <v>HKD</v>
      </c>
      <c r="E33" s="97" t="s">
        <v>454</v>
      </c>
      <c r="F33" s="219">
        <f>Holding_Period</f>
        <v>3</v>
      </c>
    </row>
    <row r="34" spans="2:7">
      <c r="B34" s="97" t="s">
        <v>232</v>
      </c>
      <c r="C34" s="146">
        <f>Market_Price</f>
        <v>21.72</v>
      </c>
      <c r="D34" t="str">
        <f>Market_currency</f>
        <v>HKD</v>
      </c>
      <c r="E34" s="97" t="s">
        <v>453</v>
      </c>
      <c r="F34" s="330">
        <f>RATE(Holding_Period,$C$33,-C34,$C$36)</f>
        <v>0.1122345466429588</v>
      </c>
    </row>
    <row r="35" spans="2:7">
      <c r="B35" s="97" t="s">
        <v>433</v>
      </c>
      <c r="C35" s="320">
        <f>DCF!C11</f>
        <v>28.520719492701033</v>
      </c>
      <c r="D35" s="97" t="str">
        <f>Market_currency</f>
        <v>HKD</v>
      </c>
      <c r="E35" s="97" t="s">
        <v>453</v>
      </c>
      <c r="F35" s="330">
        <f>RATE(Holding_Period,$C$33,-C35,$C$36)</f>
        <v>1.3896901667140152E-2</v>
      </c>
    </row>
    <row r="36" spans="2:7">
      <c r="B36" s="97" t="s">
        <v>434</v>
      </c>
      <c r="C36" s="321">
        <f>E22*G22+E23*G23+E24*G24+E30*G30+E29*G29</f>
        <v>28.159642981607451</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0.13430424833028851</v>
      </c>
      <c r="E40" s="97" t="s">
        <v>400</v>
      </c>
    </row>
    <row r="41" spans="2:7">
      <c r="B41" s="97" t="s">
        <v>399</v>
      </c>
      <c r="C41" s="455">
        <f>DCF!C16*0.5</f>
        <v>2.0663663763345899E-2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4.1327327526691798E-2</v>
      </c>
      <c r="D46" s="138"/>
      <c r="E46" s="221" t="s">
        <v>251</v>
      </c>
    </row>
    <row r="47" spans="2:7">
      <c r="B47" s="97" t="s">
        <v>95</v>
      </c>
      <c r="C47" s="146">
        <f>DCF!I18</f>
        <v>28.162043027726689</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0.22882907063512503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0.5150512453090087</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0.93539120108463614</v>
      </c>
      <c r="D62" s="119">
        <f>C36/(1+F62)^Holding_Period</f>
        <v>12.817315876926466</v>
      </c>
      <c r="E62" s="332">
        <f>C62+D62</f>
        <v>13.752707078011102</v>
      </c>
      <c r="F62" s="301">
        <f>Thesis!E22</f>
        <v>0.3</v>
      </c>
      <c r="G62" s="440">
        <f>(1-E62/C36)</f>
        <v>0.51161642613886404</v>
      </c>
    </row>
    <row r="63" spans="2:7" ht="13.15">
      <c r="B63" s="302" t="s">
        <v>312</v>
      </c>
      <c r="C63" s="119">
        <f>PV(F63, Holding_Period, -C58, 0)</f>
        <v>1.0849459102574024</v>
      </c>
      <c r="D63" s="119">
        <f>C36/(1+F63)^Holding_Period</f>
        <v>16.296089688430239</v>
      </c>
      <c r="E63" s="332">
        <f>C63+D63</f>
        <v>17.381035598687642</v>
      </c>
      <c r="F63" s="301">
        <f>Thesis!E23</f>
        <v>0.2</v>
      </c>
      <c r="G63" s="440">
        <f>(1-E63/C36)</f>
        <v>0.38276789908025066</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1.2426142444511084</v>
      </c>
      <c r="D66" s="119">
        <f>C36/(1+F66)^Holding_Period</f>
        <v>20.183716770653483</v>
      </c>
      <c r="E66" s="332">
        <f>C66+D66</f>
        <v>21.426331015104591</v>
      </c>
      <c r="F66" s="301">
        <f>Thesis!E24</f>
        <v>0.1174</v>
      </c>
      <c r="G66" s="440">
        <f>(1-E66/C36)</f>
        <v>0.23911212123323944</v>
      </c>
    </row>
    <row r="67" spans="2:7" ht="13.15">
      <c r="B67" s="302" t="s">
        <v>313</v>
      </c>
      <c r="C67" s="119">
        <f>PV(F67, Holding_Period, -C58, 0)</f>
        <v>1.3455071139698664</v>
      </c>
      <c r="D67" s="119">
        <f>C36/(1+F67)^Holding_Period</f>
        <v>22.826285336096337</v>
      </c>
      <c r="E67" s="332">
        <f>C67+D67</f>
        <v>24.171792450066203</v>
      </c>
      <c r="F67" s="301">
        <f>Thesis!E25</f>
        <v>7.2499999999999995E-2</v>
      </c>
      <c r="G67" s="440">
        <f>(1-E67/C36)</f>
        <v>0.14161580578794708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李宁</v>
      </c>
      <c r="D4" s="349"/>
      <c r="E4" s="434" t="s">
        <v>539</v>
      </c>
      <c r="F4" s="437" t="str">
        <f>Thesis!F4</f>
        <v>INT</v>
      </c>
    </row>
    <row r="5" spans="1:10">
      <c r="B5" s="343" t="s">
        <v>363</v>
      </c>
      <c r="C5" s="355" t="str">
        <f>Thesis!C5</f>
        <v>2331.HK</v>
      </c>
      <c r="E5" s="438" t="s">
        <v>540</v>
      </c>
      <c r="F5" s="439" t="str">
        <f>Thesis!F5</f>
        <v>Y</v>
      </c>
    </row>
    <row r="6" spans="1:10">
      <c r="B6" s="350" t="s">
        <v>335</v>
      </c>
      <c r="C6" s="352" t="str">
        <f>Thesis!C6</f>
        <v>CNS_02</v>
      </c>
      <c r="E6" s="354"/>
    </row>
    <row r="7" spans="1:10">
      <c r="B7" s="343" t="s">
        <v>365</v>
      </c>
      <c r="C7" s="352" t="str">
        <f>Market_currency</f>
        <v>HKD</v>
      </c>
      <c r="D7" s="354"/>
      <c r="E7" s="354"/>
    </row>
    <row r="8" spans="1:10">
      <c r="B8" s="351" t="s">
        <v>364</v>
      </c>
      <c r="C8" s="356">
        <f>Market_Price</f>
        <v>21.72</v>
      </c>
    </row>
    <row r="9" spans="1:10">
      <c r="B9" s="351" t="s">
        <v>360</v>
      </c>
      <c r="C9" s="353">
        <f>Common_Shares</f>
        <v>2584811005</v>
      </c>
    </row>
    <row r="10" spans="1:10">
      <c r="B10" s="351" t="s">
        <v>366</v>
      </c>
      <c r="C10" s="357">
        <f>投资主题!C8*Common_Shares/1000000</f>
        <v>56142.095028600001</v>
      </c>
      <c r="D10" s="343" t="s">
        <v>528</v>
      </c>
      <c r="E10" s="360">
        <f>Scenarios!F34</f>
        <v>0.1122345466429588</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1.135421</v>
      </c>
    </row>
    <row r="17" spans="1:6">
      <c r="B17" s="343" t="s">
        <v>534</v>
      </c>
      <c r="C17" s="424">
        <f>Terminal_Growth</f>
        <v>0.02</v>
      </c>
      <c r="D17" s="351" t="s">
        <v>338</v>
      </c>
      <c r="E17" s="344" t="str">
        <f>Reporting_currency</f>
        <v>CNY</v>
      </c>
    </row>
    <row r="18" spans="1:6">
      <c r="B18" s="343" t="str">
        <f>"预期股权价值 ("&amp;C7&amp;") :"</f>
        <v>预期股权价值 (HKD) :</v>
      </c>
      <c r="C18" s="359">
        <f>C125</f>
        <v>28.159642981607451</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13.752707078011102</v>
      </c>
      <c r="D22" s="365" t="s">
        <v>439</v>
      </c>
      <c r="E22" s="366">
        <f>Thesis!E22</f>
        <v>0.3</v>
      </c>
    </row>
    <row r="23" spans="1:6">
      <c r="B23" s="343" t="s">
        <v>340</v>
      </c>
      <c r="C23" s="367">
        <f>E141</f>
        <v>17.381035598687642</v>
      </c>
      <c r="D23" s="365" t="s">
        <v>440</v>
      </c>
      <c r="E23" s="368">
        <f>Thesis!E23</f>
        <v>0.2</v>
      </c>
    </row>
    <row r="24" spans="1:6">
      <c r="B24" s="343" t="s">
        <v>342</v>
      </c>
      <c r="C24" s="367">
        <f>E144</f>
        <v>21.426331015104591</v>
      </c>
      <c r="D24" s="365" t="s">
        <v>442</v>
      </c>
      <c r="E24" s="368">
        <f>Thesis!E24</f>
        <v>0.1174</v>
      </c>
    </row>
    <row r="25" spans="1:6">
      <c r="B25" s="343" t="s">
        <v>341</v>
      </c>
      <c r="C25" s="367">
        <f>E145</f>
        <v>24.171792450066203</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3529289</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26477.664127013679</v>
      </c>
      <c r="D44" s="343" t="str">
        <f>Reporting_currency</f>
        <v>CNY</v>
      </c>
      <c r="E44" s="371"/>
      <c r="F44" s="371"/>
    </row>
    <row r="45" spans="2:6">
      <c r="B45" s="372" t="s">
        <v>267</v>
      </c>
      <c r="C45" s="376">
        <f>Normalized_FCF!C45</f>
        <v>-106638.78</v>
      </c>
      <c r="D45" s="343" t="str">
        <f>Reporting_currency</f>
        <v>CNY</v>
      </c>
      <c r="E45" s="371"/>
      <c r="F45" s="371"/>
    </row>
    <row r="46" spans="2:6">
      <c r="B46" s="372" t="s">
        <v>202</v>
      </c>
      <c r="C46" s="373">
        <f>Normalized_FCF!C10</f>
        <v>-80161.115872986324</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-862281.97103175346</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2533245.4233489423</v>
      </c>
      <c r="D60" s="343" t="str">
        <f>Reporting_currency</f>
        <v>CNY</v>
      </c>
    </row>
    <row r="61" spans="2:6">
      <c r="B61" s="372" t="s">
        <v>212</v>
      </c>
      <c r="C61" s="373">
        <f>Normalized_FCF!C19</f>
        <v>2586845.9130952605</v>
      </c>
      <c r="D61" s="343" t="str">
        <f>Reporting_currency</f>
        <v>CNY</v>
      </c>
    </row>
    <row r="62" spans="2:6">
      <c r="B62" s="377" t="s">
        <v>301</v>
      </c>
      <c r="C62" s="378">
        <f>Normalized_FCF!C124</f>
        <v>5.2316522423972264E-2</v>
      </c>
      <c r="F62" s="379"/>
    </row>
    <row r="63" spans="2:6">
      <c r="B63" s="377" t="s">
        <v>331</v>
      </c>
      <c r="C63" s="378">
        <f>Normalized_FCF!C92</f>
        <v>2.3713224922145889E-2</v>
      </c>
      <c r="E63" s="372" t="s">
        <v>372</v>
      </c>
      <c r="F63" s="380">
        <f>Normalized_FCF!C90</f>
        <v>0.51464608706465875</v>
      </c>
    </row>
    <row r="65" spans="1:6">
      <c r="B65" s="369" t="s">
        <v>375</v>
      </c>
      <c r="C65" s="381" t="s">
        <v>326</v>
      </c>
      <c r="D65" s="381" t="s">
        <v>373</v>
      </c>
    </row>
    <row r="66" spans="1:6">
      <c r="B66" s="372" t="s">
        <v>325</v>
      </c>
      <c r="C66" s="378">
        <f>Normalized_FCF!E119</f>
        <v>0.2</v>
      </c>
      <c r="D66" s="378">
        <f>Normalized_FCF!G119</f>
        <v>0.13360732602591308</v>
      </c>
    </row>
    <row r="67" spans="1:6">
      <c r="B67" s="382" t="str">
        <f>Normalized_FCF!B116</f>
        <v>Pre-tax Profit/Sales</v>
      </c>
      <c r="C67" s="383">
        <f>Normalized_FCF!E116</f>
        <v>0.13430424833028851</v>
      </c>
      <c r="D67" s="383">
        <f>Normalized_FCF!G116</f>
        <v>0.12658605156121319</v>
      </c>
    </row>
    <row r="68" spans="1:6">
      <c r="B68" s="382" t="str">
        <f>Normalized_FCF!B117</f>
        <v>Sales/Total Assets</v>
      </c>
      <c r="C68" s="384">
        <f>Normalized_FCF!E117</f>
        <v>1.1000000000000001</v>
      </c>
      <c r="D68" s="384">
        <f>Normalized_FCF!G117</f>
        <v>0.77964492924870721</v>
      </c>
    </row>
    <row r="69" spans="1:6">
      <c r="B69" s="382" t="str">
        <f>Normalized_FCF!B118</f>
        <v>Total Assets/Equity</v>
      </c>
      <c r="C69" s="384">
        <f>Normalized_FCF!E118</f>
        <v>1.3537783359692717</v>
      </c>
      <c r="D69" s="384">
        <f>Normalized_FCF!G118</f>
        <v>1.3537783359692717</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-1777313</v>
      </c>
      <c r="D78" s="343" t="str">
        <f>Reporting_currency</f>
        <v>CNY</v>
      </c>
    </row>
    <row r="79" spans="1:6">
      <c r="B79" s="372" t="s">
        <v>233</v>
      </c>
      <c r="C79" s="387">
        <f>C78*scaling_factor*Exchange_Rate/Common_Shares</f>
        <v>-0.78071414113814486</v>
      </c>
      <c r="D79" s="343" t="str">
        <f>Market_currency</f>
        <v>HKD</v>
      </c>
    </row>
    <row r="80" spans="1:6">
      <c r="B80" s="382" t="s">
        <v>308</v>
      </c>
      <c r="C80" s="388">
        <f>IF(BS!G31/BS!G27&gt;300%,"nm",BS!G31/BS!G27)</f>
        <v>6.5417684980282262E-2</v>
      </c>
    </row>
    <row r="81" spans="1:6">
      <c r="B81" s="382" t="s">
        <v>310</v>
      </c>
      <c r="C81" s="389">
        <f>IF(BS!C50&gt;30,"nm",BS!C50)</f>
        <v>0.50358953318926281</v>
      </c>
    </row>
    <row r="83" spans="1:6">
      <c r="B83" s="343" t="s">
        <v>511</v>
      </c>
    </row>
    <row r="84" spans="1:6">
      <c r="B84" s="343" t="s">
        <v>223</v>
      </c>
      <c r="C84" s="373">
        <f>DCF!F5</f>
        <v>14777911.978831053</v>
      </c>
      <c r="D84" s="343" t="str">
        <f>Reporting_currency</f>
        <v>CNY</v>
      </c>
    </row>
    <row r="85" spans="1:6">
      <c r="B85" s="382" t="s">
        <v>480</v>
      </c>
      <c r="C85" s="390">
        <f>BS!C66</f>
        <v>19190856</v>
      </c>
      <c r="D85" s="391" t="str">
        <f>Reporting_currency</f>
        <v>CNY</v>
      </c>
    </row>
    <row r="86" spans="1:6">
      <c r="B86" s="372" t="s">
        <v>234</v>
      </c>
      <c r="C86" s="387">
        <f>C84*scaling_factor*Exchange_Rate/Common_Shares</f>
        <v>6.4914423392886835</v>
      </c>
      <c r="D86" s="343" t="str">
        <f>Market_currency</f>
        <v>HKD</v>
      </c>
    </row>
    <row r="88" spans="1:6">
      <c r="B88" s="343" t="s">
        <v>512</v>
      </c>
    </row>
    <row r="89" spans="1:6">
      <c r="B89" s="343" t="s">
        <v>216</v>
      </c>
      <c r="C89" s="373">
        <f>DCF!F6</f>
        <v>1668728.8</v>
      </c>
      <c r="D89" s="343" t="str">
        <f>Reporting_currency</f>
        <v>CNY</v>
      </c>
    </row>
    <row r="90" spans="1:6">
      <c r="B90" s="372" t="s">
        <v>235</v>
      </c>
      <c r="C90" s="387">
        <f>C89*scaling_factor*Exchange_Rate/Common_Shares</f>
        <v>0.73301673474761453</v>
      </c>
      <c r="D90" s="343" t="str">
        <f>Market_currency</f>
        <v>HKD</v>
      </c>
    </row>
    <row r="92" spans="1:6">
      <c r="B92" s="372" t="s">
        <v>479</v>
      </c>
      <c r="C92" s="387">
        <f>DCF!F8</f>
        <v>6.4437449328981531</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5.6635272161814783</v>
      </c>
      <c r="D111" s="343" t="str">
        <f>Market_currency</f>
        <v>HKD</v>
      </c>
    </row>
    <row r="112" spans="1:6">
      <c r="A112" s="385"/>
      <c r="B112" s="372" t="s">
        <v>376</v>
      </c>
      <c r="C112" s="394">
        <f>DCF!C11</f>
        <v>28.520719492701033</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0.1</v>
      </c>
      <c r="D118" s="397">
        <f>DCF!D90</f>
        <v>10</v>
      </c>
      <c r="E118" s="398" t="str">
        <f>ROUND(DCF!E90,2)&amp;" "&amp;Market_currency</f>
        <v>36.51 HKD</v>
      </c>
      <c r="F118" s="399">
        <f>DCF!F90</f>
        <v>0.05</v>
      </c>
    </row>
    <row r="119" spans="1:6">
      <c r="A119" s="385"/>
      <c r="B119" s="400" t="str">
        <f>DCF!B91</f>
        <v>Optimistic</v>
      </c>
      <c r="C119" s="401">
        <f>DCF!C91</f>
        <v>0.06</v>
      </c>
      <c r="D119" s="402">
        <f>DCF!D91</f>
        <v>10</v>
      </c>
      <c r="E119" s="398" t="str">
        <f>ROUND(DCF!E91,2)&amp;" "&amp;Market_currency</f>
        <v>30.54 HKD</v>
      </c>
      <c r="F119" s="403">
        <f>DCF!F91</f>
        <v>0.22499999999999992</v>
      </c>
    </row>
    <row r="120" spans="1:6">
      <c r="B120" s="400" t="str">
        <f>DCF!B92</f>
        <v>Base</v>
      </c>
      <c r="C120" s="401">
        <f>DCF!C92</f>
        <v>0.04</v>
      </c>
      <c r="D120" s="402">
        <f>DCF!D92</f>
        <v>10</v>
      </c>
      <c r="E120" s="398" t="str">
        <f>ROUND(DCF!E92,2)&amp;" "&amp;Market_currency</f>
        <v>28 HKD</v>
      </c>
      <c r="F120" s="403">
        <f>DCF!F92</f>
        <v>0.495</v>
      </c>
    </row>
    <row r="121" spans="1:6">
      <c r="B121" s="400" t="str">
        <f>DCF!B93</f>
        <v>Pessimistic</v>
      </c>
      <c r="C121" s="401">
        <f>DCF!C93</f>
        <v>0.02</v>
      </c>
      <c r="D121" s="402">
        <f>DCF!D93</f>
        <v>10</v>
      </c>
      <c r="E121" s="398" t="str">
        <f>ROUND(DCF!E93,2)&amp;" "&amp;Market_currency</f>
        <v>25.72 HKD</v>
      </c>
      <c r="F121" s="403">
        <f>DCF!F93</f>
        <v>0.18</v>
      </c>
    </row>
    <row r="122" spans="1:6">
      <c r="B122" s="400" t="str">
        <f>DCF!B94</f>
        <v>Devil's advocate</v>
      </c>
      <c r="C122" s="401">
        <f>DCF!C94</f>
        <v>-0.05</v>
      </c>
      <c r="D122" s="402">
        <f>DCF!D94</f>
        <v>10</v>
      </c>
      <c r="E122" s="398" t="str">
        <f>ROUND(DCF!E94,2)&amp;" "&amp;Market_currency</f>
        <v>19.44 HKD</v>
      </c>
      <c r="F122" s="403">
        <f>DCF!F94</f>
        <v>0.05</v>
      </c>
    </row>
    <row r="124" spans="1:6">
      <c r="B124" s="470" t="s">
        <v>518</v>
      </c>
      <c r="C124" s="470"/>
      <c r="D124" s="470"/>
      <c r="E124" s="470"/>
      <c r="F124" s="470"/>
    </row>
    <row r="125" spans="1:6">
      <c r="B125" s="372" t="s">
        <v>217</v>
      </c>
      <c r="C125" s="404">
        <f>Scenarios!C36</f>
        <v>28.159642981607451</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0.5150512453090087</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0.93539120108463614</v>
      </c>
      <c r="D140" s="409">
        <f>Scenarios!D62</f>
        <v>12.817315876926466</v>
      </c>
      <c r="E140" s="410">
        <f>Scenarios!E62</f>
        <v>13.752707078011102</v>
      </c>
      <c r="F140" s="411">
        <f>E22</f>
        <v>0.3</v>
      </c>
    </row>
    <row r="141" spans="1:6">
      <c r="B141" s="408" t="s">
        <v>312</v>
      </c>
      <c r="C141" s="409">
        <f>Scenarios!C63</f>
        <v>1.0849459102574024</v>
      </c>
      <c r="D141" s="409">
        <f>Scenarios!D63</f>
        <v>16.296089688430239</v>
      </c>
      <c r="E141" s="410">
        <f>Scenarios!E63</f>
        <v>17.381035598687642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1.2426142444511084</v>
      </c>
      <c r="D144" s="409">
        <f>Scenarios!D66</f>
        <v>20.183716770653483</v>
      </c>
      <c r="E144" s="410">
        <f>Scenarios!E66</f>
        <v>21.426331015104591</v>
      </c>
      <c r="F144" s="411">
        <f>E24</f>
        <v>0.1174</v>
      </c>
    </row>
    <row r="145" spans="1:6">
      <c r="B145" s="408" t="s">
        <v>313</v>
      </c>
      <c r="C145" s="409">
        <f>Scenarios!C67</f>
        <v>1.3455071139698664</v>
      </c>
      <c r="D145" s="409">
        <f>Scenarios!D67</f>
        <v>22.826285336096337</v>
      </c>
      <c r="E145" s="410">
        <f>Scenarios!E67</f>
        <v>24.171792450066203</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2026-04-01T09:19:54Z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