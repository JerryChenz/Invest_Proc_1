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3E335F38-F232-4E1A-AF92-B4BF8D3B31C2}"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6" i="4"/>
  <c r="C25" i="4"/>
  <c r="D25" i="4"/>
  <c r="E25" i="4"/>
  <c r="C28" i="4"/>
  <c r="C29" i="4"/>
  <c r="C30" i="4"/>
  <c r="C32" i="4"/>
  <c r="B26" i="6"/>
  <c r="C80" i="9"/>
  <c r="C78" i="6"/>
  <c r="C79" i="6"/>
  <c r="C80" i="6" s="1"/>
  <c r="C165" i="6"/>
  <c r="D169" i="6"/>
  <c r="C169" i="6"/>
  <c r="C102" i="9"/>
  <c r="D62" i="4"/>
  <c r="E62" i="4"/>
  <c r="F62" i="4"/>
  <c r="G62" i="4"/>
  <c r="H62" i="4"/>
  <c r="I62" i="4"/>
  <c r="J62" i="4"/>
  <c r="K62" i="4"/>
  <c r="L62" i="4"/>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M10" i="2"/>
  <c r="N10" i="2"/>
  <c r="O10" i="2"/>
  <c r="P10" i="2"/>
  <c r="Q10" i="2"/>
  <c r="D63" i="4"/>
  <c r="E63" i="4"/>
  <c r="F63" i="4"/>
  <c r="G63" i="4"/>
  <c r="H63" i="4"/>
  <c r="I63" i="4"/>
  <c r="J63" i="4"/>
  <c r="K63" i="4"/>
  <c r="L63" i="4"/>
  <c r="M63" i="4"/>
  <c r="C63" i="4"/>
  <c r="D61" i="4"/>
  <c r="H9" i="2" s="1"/>
  <c r="E61" i="4"/>
  <c r="I9" i="2" s="1"/>
  <c r="F61" i="4"/>
  <c r="J9" i="2" s="1"/>
  <c r="G61" i="4"/>
  <c r="K9" i="2" s="1"/>
  <c r="H61" i="4"/>
  <c r="L9" i="2" s="1"/>
  <c r="I61" i="4"/>
  <c r="M9" i="2" s="1"/>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G9" i="2" l="1"/>
  <c r="C62" i="4"/>
  <c r="G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D67" i="8"/>
  <c r="F67" i="8"/>
  <c r="C70" i="8"/>
  <c r="E66" i="8"/>
  <c r="D71" i="8"/>
  <c r="D70" i="8"/>
  <c r="C68" i="8"/>
  <c r="F70" i="8"/>
  <c r="E67" i="8"/>
  <c r="C66" i="8"/>
  <c r="E70" i="8"/>
  <c r="F71" i="8"/>
  <c r="C69" i="8"/>
  <c r="B68" i="8"/>
  <c r="B67" i="8"/>
  <c r="D66" i="8"/>
  <c r="G54" i="2"/>
  <c r="F69" i="8" l="1"/>
  <c r="B66" i="8"/>
  <c r="B70" i="8"/>
  <c r="C67" i="8"/>
  <c r="C71" i="8"/>
  <c r="E71"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<sst xmlns="http://schemas.openxmlformats.org/spreadsheetml/2006/main" count="648" uniqueCount="454">
  <si>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</si>
  <si>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</si>
  <si>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</si>
  <si>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</si>
  <si>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</si>
  <si>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</si>
  <si>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</si>
  <si>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</si>
  <si>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</si>
  <si>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</si>
  <si>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</si>
  <si>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</si>
  <si>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</si>
  <si>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</si>
  <si>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</si>
  <si>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</si>
  <si>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</si>
  <si>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</si>
  <si>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</si>
  <si>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</si>
  <si>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</si>
  <si>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</si>
  <si>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</si>
  <si>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</si>
  <si>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</si>
  <si>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</si>
  <si>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</si>
  <si>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</si>
  <si>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</si>
  <si>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</si>
  <si>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</si>
  <si>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</si>
  <si>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</si>
  <si>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</si>
  <si>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</si>
  <si>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</si>
  <si>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</si>
  <si>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</si>
  <si>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</si>
  <si>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</si>
  <si>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</si>
  <si>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</si>
  <si>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</si>
  <si>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</si>
  <si>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</si>
  <si>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</si>
  <si>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</si>
  <si>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</si>
  <si>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</si>
  <si>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</si>
  <si>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</si>
  <si>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</si>
  <si>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</si>
  <si>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</si>
  <si>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</si>
  <si>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</si>
  <si>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</si>
  <si>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</si>
  <si>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</si>
  <si>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</si>
  <si>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</si>
  <si>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</si>
  <si>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</si>
  <si>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</si>
  <si>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</si>
  <si>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</si>
  <si>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</si>
  <si>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</si>
  <si>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</si>
  <si>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</si>
  <si>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</si>
  <si>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</si>
  <si>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</si>
  <si>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</si>
  <si>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</si>
  <si>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</si>
  <si>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</si>
  <si>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</si>
  <si>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</si>
  <si>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</si>
  <si>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</si>
  <si>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</si>
  <si>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</si>
  <si>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</si>
  <si>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</si>
  <si>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</si>
  <si>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</si>
  <si>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</si>
  <si>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</si>
  <si>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</si>
  <si>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</si>
  <si>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</si>
  <si>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</si>
  <si>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</si>
  <si>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</si>
  <si>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</si>
  <si>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</si>
  <si>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</si>
  <si>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</si>
  <si>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</si>
  <si>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</si>
  <si>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</si>
  <si>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</si>
  <si>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</si>
  <si>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</si>
  <si>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</si>
  <si>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</si>
  <si>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</si>
  <si>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</si>
  <si>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</si>
  <si>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</si>
  <si>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</si>
  <si>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</si>
  <si>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</si>
  <si>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</si>
  <si>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</si>
  <si>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</si>
  <si>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</si>
  <si>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</si>
  <si>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</si>
  <si>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</si>
  <si>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</si>
  <si>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</si>
  <si>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</si>
  <si>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</si>
  <si>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</si>
  <si>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</si>
  <si>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</si>
  <si>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</si>
  <si>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</si>
  <si>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</si>
  <si>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</si>
  <si>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</si>
  <si>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</si>
  <si>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</si>
  <si>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</si>
  <si>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</si>
  <si>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</si>
  <si>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</si>
  <si>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</si>
  <si>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</si>
  <si>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</si>
  <si>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</si>
  <si>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</si>
  <si>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</si>
  <si>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</si>
  <si>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</si>
  <si>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</si>
  <si>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</si>
  <si>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</si>
  <si>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</si>
  <si>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</si>
  <si>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</si>
  <si>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</si>
  <si>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</si>
  <si>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</si>
  <si>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</si>
  <si>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</si>
  <si>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</si>
  <si>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</si>
  <si>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</si>
  <si>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</si>
  <si>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</si>
  <si>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</si>
  <si>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</si>
  <si>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</si>
  <si>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</si>
  <si>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</si>
  <si>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</si>
  <si>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</si>
  <si>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</si>
  <si>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</si>
  <si>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</si>
  <si>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</si>
  <si>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</si>
  <si>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</si>
  <si>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</si>
  <si>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</si>
  <si>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</si>
  <si>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</si>
  <si>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</si>
  <si>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</si>
  <si>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</si>
  <si>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</si>
  <si>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</si>
  <si>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</si>
  <si>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</si>
  <si>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</si>
  <si>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</si>
  <si>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</si>
  <si>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</si>
  <si>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</si>
  <si>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</si>
  <si>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</si>
  <si>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</si>
  <si>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</si>
  <si>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</si>
  <si>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</si>
  <si>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</si>
  <si>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</si>
  <si>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</si>
  <si>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</si>
  <si>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</si>
  <si>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</si>
  <si>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</si>
  <si>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</si>
  <si>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</si>
  <si>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</si>
  <si>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</si>
  <si>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</si>
  <si>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</si>
  <si>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</si>
  <si>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</si>
  <si>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</si>
  <si>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</si>
  <si>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</si>
  <si>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</si>
  <si>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</si>
  <si>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</si>
  <si>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</si>
  <si>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</si>
  <si>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</si>
  <si>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</si>
  <si>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</si>
  <si>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</si>
  <si>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</si>
  <si>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</si>
  <si>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</si>
  <si>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</si>
  <si>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</si>
  <si>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</si>
  <si>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</si>
  <si>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</si>
  <si>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</si>
  <si>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</si>
  <si>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</si>
  <si>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</si>
  <si>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</si>
  <si>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</si>
  <si>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</si>
  <si>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</si>
  <si>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</si>
  <si>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</si>
  <si>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</si>
  <si>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</si>
  <si>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</si>
  <si>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</si>
  <si>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</si>
  <si>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</si>
  <si>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</si>
  <si>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</si>
  <si>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</si>
  <si>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</si>
  <si>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</si>
  <si>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</si>
  <si>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</si>
  <si>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</si>
  <si>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</si>
  <si>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</si>
  <si>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</si>
  <si>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</si>
  <si>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</si>
  <si>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</si>
  <si>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</si>
  <si>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</si>
  <si>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</si>
  <si>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</si>
  <si>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</si>
  <si>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</si>
  <si>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</si>
  <si>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</si>
  <si>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</si>
  <si>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</si>
  <si>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</si>
  <si>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</si>
  <si>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</si>
  <si>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</si>
  <si>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</si>
  <si>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</si>
  <si>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</si>
  <si>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</si>
  <si>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</si>
  <si>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</si>
  <si>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</si>
  <si>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</si>
  <si>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</si>
  <si>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</si>
  <si>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</si>
  <si>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</si>
  <si>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</si>
  <si>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</si>
  <si>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</si>
  <si>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</si>
  <si>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</si>
  <si>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</si>
  <si>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</si>
  <si>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</si>
  <si>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</si>
  <si>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</si>
  <si>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</si>
  <si>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</si>
  <si>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</si>
  <si>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</si>
  <si>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</si>
  <si>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</si>
  <si>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</si>
  <si>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</si>
  <si>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</si>
  <si>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</si>
  <si>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</si>
  <si>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</si>
  <si>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</si>
  <si>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</si>
  <si>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</si>
  <si>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</si>
  <si>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</si>
  <si>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</si>
  <si>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</si>
  <si>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</si>
  <si>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</si>
  <si>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</si>
  <si>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</si>
  <si>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</si>
  <si>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</si>
  <si>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</si>
  <si>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</si>
  <si>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</si>
  <si>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</si>
  <si>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</si>
  <si>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</si>
  <si>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</si>
  <si>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</si>
  <si>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</si>
  <si>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</si>
  <si>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</si>
  <si>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</si>
  <si>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</si>
  <si>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</si>
  <si>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</si>
  <si>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</si>
  <si>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</si>
  <si>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</si>
  <si>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</si>
  <si>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</si>
  <si>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</si>
  <si>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</si>
  <si>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</si>
  <si>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</si>
  <si>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</si>
  <si>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</si>
  <si>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</si>
  <si>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</si>
  <si>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</si>
  <si>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</si>
  <si>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</si>
  <si>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</si>
  <si>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</si>
  <si>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</si>
  <si>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</si>
  <si>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</si>
  <si>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</si>
  <si>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</si>
  <si>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</si>
  <si>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</si>
  <si>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</si>
  <si>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</si>
  <si>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</si>
  <si>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</si>
  <si>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</si>
  <si>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</si>
  <si>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</si>
  <si>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</si>
  <si>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</si>
  <si>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</si>
  <si>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</si>
  <si>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</si>
  <si>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</si>
  <si>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</si>
  <si>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</si>
  <si>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</si>
  <si>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</si>
  <si>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</si>
  <si>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</si>
  <si>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</si>
  <si>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</si>
  <si>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</si>
  <si>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</si>
  <si>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</si>
  <si>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</si>
  <si>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</si>
  <si>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</si>
  <si>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</si>
  <si>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</si>
  <si>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</si>
  <si>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</si>
  <si>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</si>
  <si>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</si>
  <si>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</si>
  <si>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</si>
  <si>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</si>
  <si>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</si>
  <si>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</si>
  <si>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</si>
  <si>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</si>
  <si>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</si>
  <si>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</si>
  <si>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</si>
  <si>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</si>
  <si>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</si>
  <si>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</si>
  <si>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</si>
  <si>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</si>
  <si>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</si>
  <si>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</si>
  <si>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</si>
  <si>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</si>
  <si>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</si>
  <si>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</si>
  <si>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</si>
  <si>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</si>
  <si>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</si>
  <si>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</si>
  <si>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</si>
  <si>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</si>
  <si>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</si>
  <si>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</si>
  <si>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</si>
  <si>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</si>
  <si>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</si>
  <si>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</si>
  <si>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</si>
  <si>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</si>
  <si>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</si>
  <si>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</si>
  <si>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</si>
  <si>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</si>
  <si>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</si>
  <si>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</si>
  <si>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</si>
  <si>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</si>
  <si>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</si>
  <si>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</si>
  <si>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</si>
  <si>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</si>
  <si>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</si>
  <si>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</si>
  <si>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朝云集团</t>
  </si>
  <si>
    <t>6601.HK</t>
  </si>
  <si>
    <t/>
  </si>
  <si>
    <t>CNS_04</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</si>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</sst>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25"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7" t="s">
        <v>446</v>
      </c>
    </row>
    <row r="6" spans="1:10">
      <c r="B6" s="4" t="s">
        <v>0</v>
      </c>
      <c r="C6" s="51">
        <v>1333333500</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2.31</v>
      </c>
      <c r="D12" s="50"/>
      <c r="E12" s="48"/>
    </row>
    <row r="13" spans="1:10">
      <c r="B13" s="1" t="s">
        <v>420</v>
      </c>
      <c r="C13" s="48" t="s">
        <v>399</v>
      </c>
      <c r="D13" s="48"/>
      <c r="E13" s="5"/>
    </row>
    <row r="14" spans="1:10">
      <c r="B14" s="4" t="s">
        <v>424</v>
      </c>
      <c r="C14" s="35">
        <f>Thesis!C12*Common_Shares/1000000</f>
        <v>3080.0003849999998</v>
      </c>
      <c r="D14" s="35" t="str">
        <f>IF(D11="","",Thesis!D12*Common_Shares/1000000)</f>
        <v/>
      </c>
      <c r="E14" s="5"/>
    </row>
    <row r="15" spans="1:10">
      <c r="B15" s="4" t="s">
        <v>423</v>
      </c>
      <c r="C15" s="32" t="str">
        <f>IF(C25=C13,C13,C25&amp;"/"&amp;C13)</f>
        <v>CNY/HKD</v>
      </c>
      <c r="D15" s="32" t="str">
        <f>IF(D11="","",IF(C25=D13,D13,C25&amp;"/"&amp;D13))</f>
        <v/>
      </c>
      <c r="E15" s="5"/>
    </row>
    <row r="16" spans="1:10">
      <c r="B16" s="4" t="s">
        <v>1</v>
      </c>
      <c r="C16" s="50">
        <v>1.0837740600000001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Low Growth Asset Play</v>
      </c>
      <c r="E21" s="5"/>
    </row>
    <row r="22" spans="2:6">
      <c r="B22" s="2" t="s">
        <v>56</v>
      </c>
      <c r="C22" s="48" t="s">
        <v>449</v>
      </c>
      <c r="D22" s="1" t="s">
        <v>444</v>
      </c>
      <c r="E22" s="343" t="s">
        <v>443</v>
      </c>
    </row>
    <row r="23" spans="2:6">
      <c r="B23" s="1" t="s">
        <v>438</v>
      </c>
      <c r="C23" s="291" t="s">
        <v>450</v>
      </c>
    </row>
    <row r="24" spans="2:6">
      <c r="B24" s="1" t="s">
        <v>439</v>
      </c>
      <c r="C24" s="291" t="s">
        <v>450</v>
      </c>
    </row>
    <row r="25" spans="2:6">
      <c r="B25" s="4" t="s">
        <v>350</v>
      </c>
      <c r="C25" s="48" t="s">
        <v>418</v>
      </c>
      <c r="D25" s="32" t="str">
        <f>IF(D11="","",Market_currency&amp;"/"&amp;D13&amp;":")</f>
        <v/>
      </c>
      <c r="E25" s="334" t="str">
        <f>IF(D11="","",1/Exchange_Rate*D16)</f>
        <v/>
      </c>
    </row>
    <row r="26" spans="2:6">
      <c r="B26" s="1" t="str">
        <f>"Expected Equity Value ("&amp;C13&amp;") :"</f>
        <v>Expected Equity Value (HKD) :</v>
      </c>
      <c r="C26" s="339">
        <f>C127</f>
        <v>2.7414105472605605</v>
      </c>
      <c r="D26" s="1" t="s">
        <v>402</v>
      </c>
      <c r="E26" s="336">
        <f ca="1">Scenarios!C87</f>
        <v>0.10488794990824868</v>
      </c>
    </row>
    <row r="27" spans="2:6">
      <c r="D27" s="5"/>
      <c r="E27" s="5"/>
    </row>
    <row r="28" spans="2:6">
      <c r="B28" s="45" t="s">
        <v>437</v>
      </c>
      <c r="C28" s="344" t="str">
        <f>C140&amp;" ("&amp;Market_currency&amp;")"</f>
        <v>6601.HK (HKD)</v>
      </c>
      <c r="D28" s="344" t="str">
        <f>IF(D11="","",D140&amp;" ("&amp;D13&amp;")")</f>
        <v/>
      </c>
      <c r="E28" s="340" t="s">
        <v>433</v>
      </c>
      <c r="F28" s="338">
        <v>3</v>
      </c>
    </row>
    <row r="29" spans="2:6">
      <c r="B29" s="1" t="s">
        <v>429</v>
      </c>
      <c r="C29" s="345">
        <f>C144</f>
        <v>1.1779205369084389</v>
      </c>
      <c r="D29" s="345" t="str">
        <f>D144</f>
        <v/>
      </c>
      <c r="E29" s="341" t="s">
        <v>428</v>
      </c>
      <c r="F29" s="337">
        <v>0.4</v>
      </c>
    </row>
    <row r="30" spans="2:6">
      <c r="B30" s="1" t="s">
        <v>430</v>
      </c>
      <c r="C30" s="346">
        <f>C152</f>
        <v>1.7502200016685376</v>
      </c>
      <c r="D30" s="346" t="str">
        <f>D152</f>
        <v/>
      </c>
      <c r="E30" s="342" t="s">
        <v>441</v>
      </c>
      <c r="F30" s="347">
        <v>0.21740000000000001</v>
      </c>
    </row>
    <row r="31" spans="2:6">
      <c r="B31" s="1" t="s">
        <v>431</v>
      </c>
      <c r="C31" s="346">
        <f>C160</f>
        <v>2.4663228257595873</v>
      </c>
      <c r="D31" s="346" t="str">
        <f>D160</f>
        <v/>
      </c>
      <c r="E31" s="342" t="s">
        <v>440</v>
      </c>
      <c r="F31" s="347">
        <v>0.08</v>
      </c>
    </row>
    <row r="32" spans="2:6">
      <c r="B32" s="1" t="s">
        <v>432</v>
      </c>
      <c r="C32" s="346">
        <f>C168</f>
        <v>2.236520242456562</v>
      </c>
      <c r="D32" s="346" t="str">
        <f>D168</f>
        <v/>
      </c>
      <c r="E32" s="342" t="s">
        <v>442</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v>
      </c>
    </row>
    <row r="40" spans="1:6" ht="24.4" customHeight="1">
      <c r="B40" s="349" t="s">
        <v>232</v>
      </c>
      <c r="C40" s="349"/>
      <c r="D40" s="349"/>
      <c r="E40" s="349"/>
      <c r="F40" s="349"/>
    </row>
    <row r="41" spans="1:6">
      <c r="B41" s="47" t="s">
        <v>233</v>
      </c>
      <c r="C41" s="188">
        <f>Normalized_FCF!C8</f>
        <v>113776.93034265516</v>
      </c>
      <c r="D41" s="1" t="str">
        <f>Reporting_currency</f>
        <v>CNY</v>
      </c>
    </row>
    <row r="42" spans="1:6">
      <c r="B42" s="47"/>
      <c r="C42" s="76"/>
    </row>
    <row r="43" spans="1:6" ht="24.4" customHeight="1">
      <c r="B43" s="349" t="s">
        <v>234</v>
      </c>
      <c r="C43" s="349"/>
      <c r="D43" s="349"/>
      <c r="E43" s="349"/>
      <c r="F43" s="349"/>
    </row>
    <row r="44" spans="1:6">
      <c r="B44" s="47" t="s">
        <v>235</v>
      </c>
      <c r="C44" s="188">
        <f>Normalized_FCF!C9</f>
        <v>35974</v>
      </c>
      <c r="D44" s="1" t="str">
        <f>Reporting_currency</f>
        <v>CNY</v>
      </c>
    </row>
    <row r="45" spans="1:6">
      <c r="B45" s="52" t="s">
        <v>236</v>
      </c>
      <c r="C45" s="188">
        <f>Normalized_FCF!C10</f>
        <v>-35974</v>
      </c>
      <c r="D45" s="1" t="str">
        <f>Reporting_currency</f>
        <v>CNY</v>
      </c>
    </row>
    <row r="47" spans="1:6">
      <c r="B47" s="349" t="s">
        <v>237</v>
      </c>
      <c r="C47" s="349"/>
      <c r="D47" s="349"/>
      <c r="E47" s="349"/>
      <c r="F47" s="349"/>
    </row>
    <row r="48" spans="1:6">
      <c r="B48" s="47" t="s">
        <v>238</v>
      </c>
      <c r="C48" s="188">
        <f>Normalized_FCF!C11</f>
        <v>0</v>
      </c>
      <c r="D48" s="1" t="str">
        <f>Reporting_currency</f>
        <v>CNY</v>
      </c>
    </row>
    <row r="50" spans="2:6">
      <c r="B50" s="349" t="s">
        <v>241</v>
      </c>
      <c r="C50" s="349"/>
      <c r="D50" s="349"/>
      <c r="E50" s="349"/>
      <c r="F50" s="349"/>
    </row>
    <row r="51" spans="2:6">
      <c r="B51" s="47" t="s">
        <v>343</v>
      </c>
      <c r="C51" s="317">
        <f>Normalized_FCF!C48</f>
        <v>25036.827026090108</v>
      </c>
      <c r="D51" s="1" t="str">
        <f>Reporting_currency</f>
        <v>CNY</v>
      </c>
      <c r="E51" s="316"/>
      <c r="F51" s="316"/>
    </row>
    <row r="52" spans="2:6">
      <c r="B52" s="47" t="s">
        <v>344</v>
      </c>
      <c r="C52" s="317">
        <f>Normalized_FCF!C47</f>
        <v>-1880</v>
      </c>
      <c r="D52" s="1" t="str">
        <f>Reporting_currency</f>
        <v>CNY</v>
      </c>
      <c r="E52" s="316"/>
      <c r="F52" s="316"/>
    </row>
    <row r="53" spans="2:6">
      <c r="B53" s="47" t="s">
        <v>239</v>
      </c>
      <c r="C53" s="188">
        <f>Normalized_FCF!C12</f>
        <v>23156.827026090108</v>
      </c>
      <c r="D53" s="1" t="str">
        <f>Reporting_currency</f>
        <v>CNY</v>
      </c>
    </row>
    <row r="55" spans="2:6">
      <c r="B55" s="1" t="s">
        <v>247</v>
      </c>
    </row>
    <row r="56" spans="2:6">
      <c r="B56" s="47" t="s">
        <v>266</v>
      </c>
      <c r="C56" s="188">
        <f>Normalized_FCF!C15</f>
        <v>0</v>
      </c>
      <c r="D56" s="1" t="str">
        <f>Reporting_currency</f>
        <v>CNY</v>
      </c>
    </row>
    <row r="58" spans="2:6">
      <c r="B58" s="349" t="s">
        <v>242</v>
      </c>
      <c r="C58" s="349"/>
      <c r="D58" s="349"/>
      <c r="E58" s="349"/>
      <c r="F58" s="349"/>
    </row>
    <row r="59" spans="2:6">
      <c r="B59" s="47" t="s">
        <v>240</v>
      </c>
      <c r="C59" s="188">
        <f>Normalized_FCF!C14</f>
        <v>-34233.439342186321</v>
      </c>
      <c r="D59" s="1" t="str">
        <f>Reporting_currency</f>
        <v>CNY</v>
      </c>
    </row>
    <row r="61" spans="2:6">
      <c r="B61" s="349" t="s">
        <v>341</v>
      </c>
      <c r="C61" s="352"/>
      <c r="D61" s="352"/>
      <c r="E61" s="352"/>
      <c r="F61" s="352"/>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133774.82702609012</v>
      </c>
      <c r="D67" s="1" t="str">
        <f>Reporting_currency</f>
        <v>CNY</v>
      </c>
    </row>
    <row r="68" spans="1:6">
      <c r="B68" s="47" t="s">
        <v>249</v>
      </c>
      <c r="C68" s="188">
        <f>Normalized_FCF!C19</f>
        <v>102700.31802655896</v>
      </c>
      <c r="D68" s="1" t="str">
        <f>Reporting_currency</f>
        <v>CNY</v>
      </c>
    </row>
    <row r="69" spans="1:6">
      <c r="B69" s="252" t="s">
        <v>393</v>
      </c>
      <c r="C69" s="92">
        <f>Normalized_FCF!C125</f>
        <v>3.6137638544787062E-2</v>
      </c>
    </row>
    <row r="70" spans="1:6">
      <c r="B70" s="252" t="s">
        <v>311</v>
      </c>
      <c r="C70" s="92">
        <f>Normalized_FCF!C93</f>
        <v>4.8731423608582035E-2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1.0434743129807265</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33999</v>
      </c>
      <c r="D96" s="1" t="str">
        <f>Reporting_currency</f>
        <v>CNY</v>
      </c>
    </row>
    <row r="97" spans="2:6">
      <c r="B97" s="47" t="s">
        <v>284</v>
      </c>
      <c r="C97" s="248">
        <f>C96*scaling_factor*Exchange_Rate/Common_Shares</f>
        <v>2.7635422245027221E-2</v>
      </c>
      <c r="D97" s="1" t="str">
        <f>Market_currency</f>
        <v>HKD</v>
      </c>
    </row>
    <row r="98" spans="2:6">
      <c r="B98" s="330" t="s">
        <v>407</v>
      </c>
      <c r="C98" s="331">
        <f>BS!G30/BS!G27</f>
        <v>0.20351769929714394</v>
      </c>
    </row>
    <row r="99" spans="2:6">
      <c r="B99" s="330" t="s">
        <v>408</v>
      </c>
      <c r="C99" s="331">
        <f>BS!G31/BS!G27</f>
        <v>1.0763175939415467E-2</v>
      </c>
    </row>
    <row r="100" spans="2:6">
      <c r="B100" s="330" t="s">
        <v>410</v>
      </c>
      <c r="C100" s="332">
        <f>BS!C50</f>
        <v>0.29882156160837919</v>
      </c>
    </row>
    <row r="102" spans="2:6">
      <c r="B102" s="1" t="s">
        <v>255</v>
      </c>
    </row>
    <row r="103" spans="2:6">
      <c r="B103" s="47" t="s">
        <v>265</v>
      </c>
      <c r="C103" s="188">
        <f>BS!C66</f>
        <v>2707640</v>
      </c>
      <c r="D103" s="1" t="str">
        <f>Reporting_currency</f>
        <v>CNY</v>
      </c>
    </row>
    <row r="104" spans="2:6">
      <c r="B104" s="47" t="s">
        <v>267</v>
      </c>
      <c r="C104" s="188">
        <f>DCF!C8</f>
        <v>1875760.2300999789</v>
      </c>
      <c r="D104" s="1" t="str">
        <f>Reporting_currency</f>
        <v>CNY</v>
      </c>
    </row>
    <row r="105" spans="2:6">
      <c r="B105" s="47" t="s">
        <v>285</v>
      </c>
      <c r="C105" s="248">
        <f>C104*scaling_factor*Exchange_Rate/Common_Shares</f>
        <v>1.5246750195371139</v>
      </c>
      <c r="D105" s="1" t="str">
        <f>Market_currency</f>
        <v>HKD</v>
      </c>
    </row>
    <row r="107" spans="2:6">
      <c r="B107" s="1" t="s">
        <v>257</v>
      </c>
    </row>
    <row r="108" spans="2:6">
      <c r="B108" s="47" t="s">
        <v>258</v>
      </c>
      <c r="C108" s="188">
        <f>DCF!C9</f>
        <v>229590.09999999998</v>
      </c>
      <c r="D108" s="1" t="str">
        <f>Reporting_currency</f>
        <v>CNY</v>
      </c>
    </row>
    <row r="109" spans="2:6">
      <c r="B109" s="47" t="s">
        <v>286</v>
      </c>
      <c r="C109" s="248">
        <f>C108*scaling_factor*Exchange_Rate/Common_Shares</f>
        <v>0.18661782278237662</v>
      </c>
      <c r="D109" s="1" t="str">
        <f>Market_currency</f>
        <v>HKD</v>
      </c>
    </row>
    <row r="111" spans="2:6" ht="24.4" customHeight="1">
      <c r="B111" s="348" t="s">
        <v>369</v>
      </c>
      <c r="C111" s="348"/>
      <c r="D111" s="348"/>
      <c r="E111" s="348"/>
      <c r="F111" s="348"/>
    </row>
    <row r="113" spans="1:6">
      <c r="B113" s="47" t="s">
        <v>282</v>
      </c>
      <c r="C113" s="248">
        <f>DCF!C12</f>
        <v>2.7271317330551899</v>
      </c>
      <c r="D113" s="1" t="str">
        <f>Market_currency</f>
        <v>HKD</v>
      </c>
    </row>
    <row r="114" spans="1:6">
      <c r="B114" s="330" t="s">
        <v>409</v>
      </c>
      <c r="C114" s="248">
        <f>BS!D47</f>
        <v>1.8951831880828727</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0.08</v>
      </c>
      <c r="D121" s="255">
        <f>DCF!D74</f>
        <v>15</v>
      </c>
      <c r="E121" s="256" t="str">
        <f>ROUND(DCF!E74,2)&amp;" "&amp;Market_currency</f>
        <v>3.29 HKD</v>
      </c>
      <c r="F121" s="257">
        <f>DCF!F74</f>
        <v>0.05</v>
      </c>
    </row>
    <row r="122" spans="1:6">
      <c r="B122" s="242" t="str">
        <f>DCF!B75</f>
        <v>Optimistic</v>
      </c>
      <c r="C122" s="243">
        <f>DCF!C75</f>
        <v>0.04</v>
      </c>
      <c r="D122" s="244">
        <f>DCF!D75</f>
        <v>10</v>
      </c>
      <c r="E122" s="245" t="str">
        <f>ROUND(DCF!E75,2)&amp;" "&amp;Market_currency</f>
        <v>2.87 HKD</v>
      </c>
      <c r="F122" s="246">
        <f>DCF!F75</f>
        <v>0.17</v>
      </c>
    </row>
    <row r="123" spans="1:6">
      <c r="B123" s="242" t="str">
        <f>DCF!B76</f>
        <v>Base</v>
      </c>
      <c r="C123" s="243">
        <f>DCF!C76</f>
        <v>0.02</v>
      </c>
      <c r="D123" s="244">
        <f>DCF!D76</f>
        <v>10</v>
      </c>
      <c r="E123" s="245" t="str">
        <f>ROUND(DCF!E76,2)&amp;" "&amp;Market_currency</f>
        <v>2.79 HKD</v>
      </c>
      <c r="F123" s="246">
        <f>DCF!F76</f>
        <v>0.51</v>
      </c>
    </row>
    <row r="124" spans="1:6">
      <c r="B124" s="242" t="str">
        <f>DCF!B77</f>
        <v>Pessimistic</v>
      </c>
      <c r="C124" s="243">
        <f>DCF!C77</f>
        <v>-0.08</v>
      </c>
      <c r="D124" s="244">
        <f>DCF!D77</f>
        <v>10</v>
      </c>
      <c r="E124" s="245" t="str">
        <f>ROUND(DCF!E77,2)&amp;" "&amp;Market_currency</f>
        <v>2.51 HKD</v>
      </c>
      <c r="F124" s="246">
        <f>DCF!F77</f>
        <v>0.17</v>
      </c>
    </row>
    <row r="125" spans="1:6">
      <c r="B125" s="242" t="str">
        <f>DCF!B78</f>
        <v>Devil's advocate</v>
      </c>
      <c r="C125" s="243">
        <f>DCF!C78</f>
        <v>-0.1</v>
      </c>
      <c r="D125" s="244">
        <f>DCF!D78</f>
        <v>15</v>
      </c>
      <c r="E125" s="245" t="str">
        <f>ROUND(DCF!E78,2)&amp;" "&amp;Market_currency</f>
        <v>2.37 HKD</v>
      </c>
      <c r="F125" s="246">
        <f>DCF!F78</f>
        <v>0.1</v>
      </c>
    </row>
    <row r="127" spans="1:6">
      <c r="B127" s="235" t="s">
        <v>259</v>
      </c>
      <c r="C127" s="241">
        <f>Scenarios!C60</f>
        <v>2.7414105472605605</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0.11256958853582451</v>
      </c>
      <c r="D138" s="236" t="str">
        <f>Market_currency</f>
        <v>HKD</v>
      </c>
    </row>
    <row r="140" spans="1:6">
      <c r="B140" s="234" t="s">
        <v>412</v>
      </c>
      <c r="C140" s="268" t="str">
        <f>C11</f>
        <v>6601.HK</v>
      </c>
      <c r="D140" s="268" t="str">
        <f>IF(D11="","",D11)</f>
        <v/>
      </c>
    </row>
    <row r="141" spans="1:6">
      <c r="B141" s="1" t="s">
        <v>411</v>
      </c>
      <c r="C141" s="331">
        <f>F29</f>
        <v>0.4</v>
      </c>
    </row>
    <row r="142" spans="1:6">
      <c r="B142" s="236" t="str">
        <f>"PV("&amp;C136&amp;" yrs of Dividends)"</f>
        <v>PV(3 yrs of Dividends)</v>
      </c>
      <c r="C142" s="240">
        <f>Scenarios!C81</f>
        <v>0.17886421502047911</v>
      </c>
    </row>
    <row r="143" spans="1:6">
      <c r="B143" s="236" t="str">
        <f>"+ PV(Equity Value realized at year "&amp;C136&amp;")"</f>
        <v>+ PV(Equity Value realized at year 3)</v>
      </c>
      <c r="C143" s="240">
        <f>Scenarios!C82</f>
        <v>0.99905632188795968</v>
      </c>
    </row>
    <row r="144" spans="1:6">
      <c r="B144" s="80" t="s">
        <v>261</v>
      </c>
      <c r="C144" s="239">
        <f>Scenarios!C83</f>
        <v>1.1779205369084389</v>
      </c>
      <c r="D144" s="335" t="str">
        <f>IF($D$11="","",C144*$E$25)</f>
        <v/>
      </c>
    </row>
    <row r="145" spans="2:4">
      <c r="B145" s="286" t="s">
        <v>420</v>
      </c>
      <c r="C145" s="333" t="str">
        <f>Market_currency</f>
        <v>HKD</v>
      </c>
      <c r="D145" s="333" t="str">
        <f>IF($D$11="","",D$13)</f>
        <v/>
      </c>
    </row>
    <row r="146" spans="2:4">
      <c r="B146" s="238" t="s">
        <v>263</v>
      </c>
      <c r="C146" s="92">
        <f>Scenarios!F83</f>
        <v>0.57032319070723925</v>
      </c>
    </row>
    <row r="148" spans="2:4">
      <c r="B148" s="234" t="s">
        <v>415</v>
      </c>
    </row>
    <row r="149" spans="2:4">
      <c r="B149" s="1" t="s">
        <v>414</v>
      </c>
      <c r="C149" s="331">
        <f>Scenarios!C90</f>
        <v>0.21740000000000001</v>
      </c>
    </row>
    <row r="150" spans="2:4">
      <c r="B150" s="236" t="str">
        <f>"PV("&amp;C136&amp;" yrs of Dividends)"</f>
        <v>PV(3 yrs of Dividends)</v>
      </c>
      <c r="C150" s="240">
        <f>Scenarios!C91</f>
        <v>0.23081277707599152</v>
      </c>
    </row>
    <row r="151" spans="2:4">
      <c r="B151" s="236" t="str">
        <f>"+ PV(Equity Value realized at year "&amp;C136&amp;")"</f>
        <v>+ PV(Equity Value realized at year 3)</v>
      </c>
      <c r="C151" s="240">
        <f>Scenarios!C92</f>
        <v>1.5194072245925461</v>
      </c>
    </row>
    <row r="152" spans="2:4">
      <c r="B152" s="80" t="s">
        <v>261</v>
      </c>
      <c r="C152" s="239">
        <f>Scenarios!C93</f>
        <v>1.7502200016685376</v>
      </c>
      <c r="D152" s="335" t="str">
        <f>IF($D$11="","",C152*$E$25)</f>
        <v/>
      </c>
    </row>
    <row r="153" spans="2:4">
      <c r="B153" s="286" t="s">
        <v>420</v>
      </c>
      <c r="C153" s="333" t="str">
        <f>Market_currency</f>
        <v>HKD</v>
      </c>
      <c r="D153" s="333" t="str">
        <f>IF($D$11="","",D$13)</f>
        <v/>
      </c>
    </row>
    <row r="154" spans="2:4">
      <c r="B154" s="238" t="s">
        <v>263</v>
      </c>
      <c r="C154" s="92">
        <f>Scenarios!F93</f>
        <v>0.36156224268652526</v>
      </c>
    </row>
    <row r="156" spans="2:4">
      <c r="B156" s="234" t="s">
        <v>403</v>
      </c>
    </row>
    <row r="157" spans="2:4">
      <c r="B157" s="1" t="s">
        <v>413</v>
      </c>
      <c r="C157" s="92">
        <f>Scenarios!C96</f>
        <v>0.08</v>
      </c>
    </row>
    <row r="158" spans="2:4">
      <c r="B158" s="236" t="str">
        <f>"PV("&amp;C136&amp;" yrs of Dividends)"</f>
        <v>PV(3 yrs of Dividends)</v>
      </c>
      <c r="C158" s="240">
        <f>Scenarios!C97</f>
        <v>0.29010274747140691</v>
      </c>
    </row>
    <row r="159" spans="2:4">
      <c r="B159" s="236" t="str">
        <f>"+ PV(Equity Value realized at year "&amp;C136&amp;")"</f>
        <v>+ PV(Equity Value realized at year 3)</v>
      </c>
      <c r="C159" s="240">
        <f>Scenarios!C98</f>
        <v>2.1762200782881802</v>
      </c>
    </row>
    <row r="160" spans="2:4">
      <c r="B160" s="80" t="s">
        <v>404</v>
      </c>
      <c r="C160" s="239">
        <f>Scenarios!C99</f>
        <v>2.4663228257595873</v>
      </c>
      <c r="D160" s="335" t="str">
        <f>IF($D$11="","",C160*$E$25)</f>
        <v/>
      </c>
    </row>
    <row r="161" spans="1:6">
      <c r="B161" s="286" t="s">
        <v>420</v>
      </c>
      <c r="C161" s="333" t="str">
        <f>Market_currency</f>
        <v>HKD</v>
      </c>
      <c r="D161" s="333" t="str">
        <f>IF($D$11="","",D$13)</f>
        <v/>
      </c>
    </row>
    <row r="162" spans="1:6">
      <c r="B162" s="238" t="s">
        <v>263</v>
      </c>
      <c r="C162" s="92">
        <f>Scenarios!F99</f>
        <v>0.10034532105228211</v>
      </c>
    </row>
    <row r="164" spans="1:6">
      <c r="B164" s="234" t="s">
        <v>436</v>
      </c>
    </row>
    <row r="165" spans="1:6">
      <c r="B165" s="1" t="s">
        <v>427</v>
      </c>
      <c r="C165" s="92">
        <f>F32</f>
        <v>0.1174</v>
      </c>
    </row>
    <row r="166" spans="1:6">
      <c r="B166" s="236" t="str">
        <f>"PV("&amp;C136&amp;" yrs of Dividends)"</f>
        <v>PV(3 yrs of Dividends)</v>
      </c>
      <c r="C166" s="240">
        <f>Scenarios!C103</f>
        <v>0.27158574118715773</v>
      </c>
    </row>
    <row r="167" spans="1:6">
      <c r="B167" s="236" t="str">
        <f>"+ PV(Equity Value realized at year "&amp;C136&amp;")"</f>
        <v>+ PV(Equity Value realized at year 3)</v>
      </c>
      <c r="C167" s="240">
        <f>Scenarios!C104</f>
        <v>1.9649345012694044</v>
      </c>
    </row>
    <row r="168" spans="1:6">
      <c r="B168" s="80" t="s">
        <v>404</v>
      </c>
      <c r="C168" s="239">
        <f>Scenarios!C105</f>
        <v>2.236520242456562</v>
      </c>
      <c r="D168" s="335" t="str">
        <f>IF($D$11="","",C168*$E$25)</f>
        <v/>
      </c>
    </row>
    <row r="169" spans="1:6">
      <c r="B169" s="286" t="s">
        <v>420</v>
      </c>
      <c r="C169" s="333" t="str">
        <f>Market_currency</f>
        <v>HKD</v>
      </c>
      <c r="D169" s="333" t="str">
        <f>IF($D$11="","",D$13)</f>
        <v/>
      </c>
    </row>
    <row r="170" spans="1:6">
      <c r="B170" s="238" t="s">
        <v>263</v>
      </c>
      <c r="C170" s="92">
        <f>Scenarios!F105</f>
        <v>0.18826854252093073</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1820108</v>
      </c>
      <c r="D4" s="181">
        <v>1615585</v>
      </c>
      <c r="E4" s="181">
        <v>1446638</v>
      </c>
      <c r="F4" s="181"/>
      <c r="G4" s="181"/>
      <c r="H4" s="181"/>
      <c r="I4" s="181"/>
      <c r="J4" s="181"/>
      <c r="K4" s="181"/>
      <c r="L4" s="181"/>
      <c r="M4" s="181"/>
    </row>
    <row r="5" spans="2:13">
      <c r="B5" s="40" t="s">
        <v>43</v>
      </c>
      <c r="C5" s="181">
        <v>925767</v>
      </c>
      <c r="D5" s="181">
        <v>897327</v>
      </c>
      <c r="E5" s="181">
        <v>845264</v>
      </c>
      <c r="F5" s="181"/>
      <c r="G5" s="181"/>
      <c r="H5" s="181"/>
      <c r="I5" s="181"/>
      <c r="J5" s="181"/>
      <c r="K5" s="181"/>
      <c r="L5" s="181"/>
      <c r="M5" s="181"/>
    </row>
    <row r="6" spans="2:13">
      <c r="B6" s="40" t="s">
        <v>54</v>
      </c>
      <c r="C6" s="181">
        <f>197703+C7</f>
        <v>736453</v>
      </c>
      <c r="D6" s="181">
        <v>613104</v>
      </c>
      <c r="E6" s="181">
        <v>599182</v>
      </c>
      <c r="F6" s="181"/>
      <c r="G6" s="181"/>
      <c r="H6" s="181"/>
      <c r="I6" s="181"/>
      <c r="J6" s="181"/>
      <c r="K6" s="181"/>
      <c r="L6" s="181"/>
      <c r="M6" s="181"/>
    </row>
    <row r="7" spans="2:13">
      <c r="B7" s="69" t="s">
        <v>61</v>
      </c>
      <c r="C7" s="189">
        <v>538750</v>
      </c>
      <c r="D7" s="189">
        <v>425033</v>
      </c>
      <c r="E7" s="189">
        <v>435254</v>
      </c>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1880</v>
      </c>
      <c r="D12" s="181">
        <v>1003</v>
      </c>
      <c r="E12" s="181">
        <v>863</v>
      </c>
      <c r="F12" s="181"/>
      <c r="G12" s="181"/>
      <c r="H12" s="181"/>
      <c r="I12" s="181"/>
      <c r="J12" s="181"/>
      <c r="K12" s="181"/>
      <c r="L12" s="181"/>
      <c r="M12" s="181"/>
    </row>
    <row r="13" spans="2:13">
      <c r="B13" s="40" t="s">
        <v>67</v>
      </c>
      <c r="C13" s="181">
        <v>81491</v>
      </c>
      <c r="D13" s="181">
        <v>73805</v>
      </c>
      <c r="E13" s="181">
        <v>45350</v>
      </c>
      <c r="F13" s="181"/>
      <c r="G13" s="181"/>
      <c r="H13" s="181"/>
      <c r="I13" s="181"/>
      <c r="J13" s="181"/>
      <c r="K13" s="181"/>
      <c r="L13" s="181"/>
      <c r="M13" s="181"/>
    </row>
    <row r="14" spans="2:13">
      <c r="B14" s="40" t="s">
        <v>50</v>
      </c>
      <c r="C14" s="181">
        <v>47270</v>
      </c>
      <c r="D14" s="181">
        <v>44449</v>
      </c>
      <c r="E14" s="181">
        <v>21017</v>
      </c>
      <c r="F14" s="181"/>
      <c r="G14" s="181"/>
      <c r="H14" s="181"/>
      <c r="I14" s="181"/>
      <c r="J14" s="181"/>
      <c r="K14" s="181"/>
      <c r="L14" s="181"/>
      <c r="M14" s="181"/>
    </row>
    <row r="15" spans="2:13">
      <c r="B15" s="43" t="s">
        <v>42</v>
      </c>
      <c r="C15" s="182">
        <v>195249</v>
      </c>
      <c r="D15" s="182">
        <v>172817</v>
      </c>
      <c r="E15" s="182">
        <v>65456</v>
      </c>
      <c r="F15" s="182"/>
      <c r="G15" s="182"/>
      <c r="H15" s="182"/>
      <c r="I15" s="182"/>
      <c r="J15" s="182"/>
      <c r="K15" s="182"/>
      <c r="L15" s="182"/>
      <c r="M15" s="182"/>
    </row>
    <row r="16" spans="2:13">
      <c r="B16" s="28" t="s">
        <v>44</v>
      </c>
      <c r="C16" s="181">
        <v>-8130</v>
      </c>
      <c r="D16" s="181">
        <v>-2199</v>
      </c>
      <c r="E16" s="181">
        <v>-645</v>
      </c>
      <c r="F16" s="181"/>
      <c r="G16" s="181"/>
      <c r="H16" s="181"/>
      <c r="I16" s="181"/>
      <c r="J16" s="181"/>
      <c r="K16" s="181"/>
      <c r="L16" s="181"/>
      <c r="M16" s="181"/>
    </row>
    <row r="18" spans="2:13">
      <c r="B18" s="16" t="s">
        <v>51</v>
      </c>
      <c r="C18" s="9"/>
    </row>
    <row r="19" spans="2:13">
      <c r="B19" s="27" t="s">
        <v>47</v>
      </c>
      <c r="C19" s="181">
        <v>35974</v>
      </c>
      <c r="D19" s="181">
        <v>35974</v>
      </c>
      <c r="E19" s="181">
        <v>32106</v>
      </c>
      <c r="F19" s="181"/>
      <c r="G19" s="181"/>
      <c r="H19" s="181"/>
      <c r="I19" s="181"/>
      <c r="J19" s="181"/>
      <c r="K19" s="181"/>
      <c r="L19" s="181"/>
      <c r="M19" s="181"/>
    </row>
    <row r="20" spans="2:13">
      <c r="B20" s="27" t="s">
        <v>53</v>
      </c>
      <c r="C20" s="181"/>
      <c r="D20" s="181">
        <v>15312</v>
      </c>
      <c r="E20" s="181">
        <v>11600</v>
      </c>
      <c r="F20" s="181"/>
      <c r="G20" s="181"/>
      <c r="H20" s="181"/>
      <c r="I20" s="181"/>
      <c r="J20" s="181"/>
      <c r="K20" s="181"/>
      <c r="L20" s="181"/>
      <c r="M20" s="181"/>
    </row>
    <row r="21" spans="2:13">
      <c r="B21" s="27" t="s">
        <v>52</v>
      </c>
      <c r="C21" s="181"/>
      <c r="D21" s="181">
        <v>-169280</v>
      </c>
      <c r="E21" s="181">
        <v>-50846</v>
      </c>
      <c r="F21" s="181"/>
      <c r="G21" s="181"/>
      <c r="H21" s="181"/>
      <c r="I21" s="181"/>
      <c r="J21" s="181"/>
      <c r="K21" s="181"/>
      <c r="L21" s="181"/>
      <c r="M21" s="181"/>
    </row>
    <row r="22" spans="2:13">
      <c r="B22" s="27" t="s">
        <v>374</v>
      </c>
      <c r="C22" s="181"/>
      <c r="D22" s="181"/>
      <c r="E22" s="181"/>
      <c r="F22" s="181"/>
      <c r="G22" s="181"/>
      <c r="H22" s="181"/>
      <c r="I22" s="181"/>
      <c r="J22" s="181"/>
      <c r="K22" s="181"/>
      <c r="L22" s="181"/>
      <c r="M22" s="181"/>
    </row>
    <row r="23" spans="2:13">
      <c r="B23" s="27" t="s">
        <v>376</v>
      </c>
      <c r="C23" s="181"/>
      <c r="D23" s="181"/>
      <c r="E23" s="181"/>
      <c r="F23" s="181"/>
      <c r="G23" s="181"/>
      <c r="H23" s="181"/>
      <c r="I23" s="181"/>
      <c r="J23" s="181"/>
      <c r="K23" s="181"/>
      <c r="L23" s="181"/>
      <c r="M23" s="181"/>
    </row>
    <row r="24" spans="2:13">
      <c r="B24" s="27" t="s">
        <v>375</v>
      </c>
      <c r="C24" s="181"/>
      <c r="D24" s="181"/>
      <c r="E24" s="181"/>
      <c r="F24" s="181"/>
      <c r="G24" s="181"/>
      <c r="H24" s="181"/>
      <c r="I24" s="181"/>
      <c r="J24" s="181"/>
      <c r="K24" s="181"/>
      <c r="L24" s="181"/>
      <c r="M24" s="181"/>
    </row>
    <row r="25" spans="2:13">
      <c r="B25" s="24" t="str">
        <f>"Dividend per share ("&amp;Market_currency&amp;")"</f>
        <v>Dividend per share (HKD)</v>
      </c>
      <c r="C25" s="39">
        <f>(0.0682+0.0538)/Exchange_Rate</f>
        <v>0.11256958853582451</v>
      </c>
      <c r="D25" s="39">
        <f>(0.064+0.041)/Exchange_Rate</f>
        <v>9.6883662264439147E-2</v>
      </c>
      <c r="E25" s="39">
        <f>(0.022+0.0168)/Exchange_Rate</f>
        <v>3.5800819960573702E-2</v>
      </c>
      <c r="F25" s="39"/>
      <c r="G25" s="39"/>
      <c r="H25" s="39"/>
      <c r="I25" s="39"/>
      <c r="J25" s="39"/>
      <c r="K25" s="39"/>
      <c r="L25" s="39"/>
      <c r="M25" s="39"/>
    </row>
    <row r="27" spans="2:13">
      <c r="B27" s="16" t="s">
        <v>28</v>
      </c>
      <c r="C27" s="97" t="s">
        <v>451</v>
      </c>
    </row>
    <row r="28" spans="2:13">
      <c r="B28" s="26" t="s">
        <v>24</v>
      </c>
      <c r="C28" s="183">
        <f>BS!C4</f>
        <v>109763</v>
      </c>
      <c r="D28" s="181"/>
      <c r="E28" s="181"/>
      <c r="F28" s="181"/>
      <c r="G28" s="181"/>
      <c r="H28" s="181"/>
      <c r="I28" s="181"/>
      <c r="J28" s="181"/>
      <c r="K28" s="181"/>
      <c r="L28" s="181"/>
      <c r="M28" s="181"/>
    </row>
    <row r="29" spans="2:13">
      <c r="B29" s="26" t="s">
        <v>32</v>
      </c>
      <c r="C29" s="183">
        <f>BS!C6</f>
        <v>318027</v>
      </c>
      <c r="D29" s="181"/>
      <c r="E29" s="181"/>
      <c r="F29" s="181"/>
      <c r="G29" s="181"/>
      <c r="H29" s="181"/>
      <c r="I29" s="181"/>
      <c r="J29" s="181"/>
      <c r="K29" s="181"/>
      <c r="L29" s="181"/>
      <c r="M29" s="181"/>
    </row>
    <row r="30" spans="2:13">
      <c r="B30" s="29" t="s">
        <v>40</v>
      </c>
      <c r="C30" s="186">
        <f>BS!C33+BS!C42</f>
        <v>642877</v>
      </c>
      <c r="D30" s="182">
        <v>642877</v>
      </c>
      <c r="E30" s="182">
        <v>734909</v>
      </c>
      <c r="F30" s="182"/>
      <c r="G30" s="182"/>
      <c r="H30" s="182"/>
      <c r="I30" s="182"/>
      <c r="J30" s="182"/>
      <c r="K30" s="182"/>
      <c r="L30" s="182"/>
      <c r="M30" s="182"/>
    </row>
    <row r="31" spans="2:13">
      <c r="B31" s="29" t="s">
        <v>30</v>
      </c>
      <c r="C31" s="186">
        <f>BS!G27</f>
        <v>3158826</v>
      </c>
      <c r="D31" s="182">
        <v>3027292</v>
      </c>
      <c r="E31" s="182">
        <v>2824568</v>
      </c>
      <c r="F31" s="182"/>
      <c r="G31" s="182"/>
      <c r="H31" s="182"/>
      <c r="I31" s="182"/>
      <c r="J31" s="182"/>
      <c r="K31" s="182"/>
      <c r="L31" s="182"/>
      <c r="M31" s="182"/>
    </row>
    <row r="32" spans="2:13">
      <c r="B32" s="26" t="s">
        <v>173</v>
      </c>
      <c r="C32" s="183">
        <f>BS!G28</f>
        <v>-1648</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-35974</v>
      </c>
      <c r="D62" s="183">
        <f t="shared" ref="D62:M62" si="30">IF(D$4="","",IF(D20=0,D61,-D20))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0.11256958853582451</v>
      </c>
      <c r="D65" s="73">
        <f t="shared" ref="D65:M65" si="33">IF(D$4="","",D25)</f>
        <v>9.6883662264439147E-2</v>
      </c>
      <c r="E65" s="73">
        <f t="shared" si="33"/>
        <v>3.5800819960573702E-2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109763</v>
      </c>
      <c r="D77" s="185">
        <f t="shared" si="40"/>
        <v>0</v>
      </c>
      <c r="E77" s="185">
        <f t="shared" si="40"/>
        <v>0</v>
      </c>
      <c r="F77" s="185" t="str">
        <f t="shared" si="40"/>
        <v/>
      </c>
      <c r="G77" s="185" t="str">
        <f t="shared" si="40"/>
        <v/>
      </c>
      <c r="H77" s="185" t="str">
        <f t="shared" si="40"/>
        <v/>
      </c>
      <c r="I77" s="329"/>
      <c r="J77" s="329"/>
      <c r="K77" s="329"/>
      <c r="L77" s="329"/>
      <c r="M77" s="329"/>
    </row>
    <row r="78" spans="2:13">
      <c r="B78" s="93" t="s">
        <v>87</v>
      </c>
      <c r="C78" s="185">
        <f t="shared" si="40"/>
        <v>318027</v>
      </c>
      <c r="D78" s="185">
        <f t="shared" si="40"/>
        <v>0</v>
      </c>
      <c r="E78" s="185">
        <f t="shared" si="40"/>
        <v>0</v>
      </c>
      <c r="F78" s="185" t="str">
        <f t="shared" si="40"/>
        <v/>
      </c>
      <c r="G78" s="185" t="str">
        <f t="shared" si="40"/>
        <v/>
      </c>
      <c r="H78" s="185" t="str">
        <f t="shared" si="40"/>
        <v/>
      </c>
      <c r="I78" s="329"/>
      <c r="J78" s="329"/>
      <c r="K78" s="329"/>
      <c r="L78" s="329"/>
      <c r="M78" s="329"/>
    </row>
    <row r="79" spans="2:13">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97460+12303</f>
        <v>109763</v>
      </c>
      <c r="D4" s="290">
        <v>0.6</v>
      </c>
      <c r="E4" s="25"/>
      <c r="F4" s="4" t="s">
        <v>78</v>
      </c>
      <c r="G4" s="19">
        <f>1713053+891425</f>
        <v>2604478</v>
      </c>
      <c r="H4" s="290">
        <v>0.9</v>
      </c>
    </row>
    <row r="5" spans="2:8" ht="15" customHeight="1">
      <c r="B5" s="1" t="s">
        <v>33</v>
      </c>
      <c r="C5" s="19">
        <v>0</v>
      </c>
      <c r="D5" s="290">
        <v>0.6</v>
      </c>
      <c r="E5" s="25"/>
      <c r="F5" s="1" t="s">
        <v>29</v>
      </c>
      <c r="G5" s="19">
        <v>0</v>
      </c>
      <c r="H5" s="290">
        <v>0.7</v>
      </c>
    </row>
    <row r="6" spans="2:8" ht="15" customHeight="1">
      <c r="B6" s="4" t="s">
        <v>10</v>
      </c>
      <c r="C6" s="19">
        <v>318027</v>
      </c>
      <c r="D6" s="290">
        <v>0.5</v>
      </c>
      <c r="E6" s="25"/>
      <c r="F6" s="4" t="s">
        <v>178</v>
      </c>
      <c r="G6" s="19">
        <v>0</v>
      </c>
      <c r="H6" s="290">
        <v>0.6</v>
      </c>
    </row>
    <row r="7" spans="2:8" ht="15" customHeight="1">
      <c r="B7" s="1" t="s">
        <v>69</v>
      </c>
      <c r="C7" s="19">
        <v>0</v>
      </c>
      <c r="D7" s="290">
        <v>0.6</v>
      </c>
      <c r="E7" s="25"/>
      <c r="F7" s="4" t="s">
        <v>179</v>
      </c>
      <c r="G7" s="19">
        <v>270180</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19230</v>
      </c>
      <c r="D10" s="290">
        <v>0.9</v>
      </c>
      <c r="H10" s="291"/>
    </row>
    <row r="11" spans="2:8" ht="15" customHeight="1">
      <c r="B11" s="4" t="s">
        <v>12</v>
      </c>
      <c r="C11" s="19">
        <v>0</v>
      </c>
      <c r="D11" s="290">
        <v>0.05</v>
      </c>
      <c r="H11" s="291"/>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103162</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111923</v>
      </c>
      <c r="H17" s="290">
        <v>0.6</v>
      </c>
    </row>
    <row r="18" spans="2:8" ht="15" customHeight="1">
      <c r="B18" s="4" t="s">
        <v>174</v>
      </c>
      <c r="C18" s="19">
        <v>0</v>
      </c>
      <c r="D18" s="290">
        <v>0.6</v>
      </c>
      <c r="F18" s="4" t="s">
        <v>182</v>
      </c>
      <c r="G18" s="19">
        <v>0</v>
      </c>
      <c r="H18" s="290">
        <v>0.1</v>
      </c>
    </row>
    <row r="19" spans="2:8" ht="15" customHeight="1">
      <c r="B19" s="4" t="s">
        <v>26</v>
      </c>
      <c r="C19" s="19">
        <f>147013+53837+407</f>
        <v>201257</v>
      </c>
      <c r="D19" s="290">
        <v>0.1</v>
      </c>
      <c r="F19" s="4" t="s">
        <v>183</v>
      </c>
      <c r="G19" s="19">
        <v>3283</v>
      </c>
      <c r="H19" s="290">
        <v>0.1</v>
      </c>
    </row>
    <row r="20" spans="2:8" ht="15" customHeight="1">
      <c r="B20" s="4" t="s">
        <v>18</v>
      </c>
      <c r="C20" s="19">
        <v>0</v>
      </c>
      <c r="D20" s="290">
        <v>0.05</v>
      </c>
      <c r="F20" s="4" t="s">
        <v>180</v>
      </c>
      <c r="G20" s="19">
        <v>0</v>
      </c>
      <c r="H20" s="290">
        <v>0.2</v>
      </c>
    </row>
    <row r="21" spans="2:8" ht="15" customHeight="1">
      <c r="B21" s="4" t="s">
        <v>19</v>
      </c>
      <c r="C21" s="19">
        <v>0</v>
      </c>
      <c r="D21" s="290">
        <v>0.05</v>
      </c>
      <c r="F21" s="1" t="s">
        <v>181</v>
      </c>
      <c r="G21" s="19">
        <v>0</v>
      </c>
      <c r="H21" s="290">
        <v>0.1</v>
      </c>
    </row>
    <row r="22" spans="2:8" ht="15" customHeight="1">
      <c r="B22" s="4" t="s">
        <v>20</v>
      </c>
      <c r="C22" s="19">
        <v>60400</v>
      </c>
      <c r="D22" s="290">
        <v>0.9</v>
      </c>
      <c r="H22" s="291"/>
    </row>
    <row r="23" spans="2:8" ht="15" customHeight="1">
      <c r="B23" s="4" t="s">
        <v>21</v>
      </c>
      <c r="C23" s="19">
        <v>0</v>
      </c>
      <c r="D23" s="290">
        <v>0</v>
      </c>
      <c r="H23" s="291"/>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203" t="s">
        <v>137</v>
      </c>
      <c r="F26" s="205" t="s">
        <v>197</v>
      </c>
      <c r="G26" s="206" t="s">
        <v>137</v>
      </c>
      <c r="H26" s="207" t="s">
        <v>35</v>
      </c>
    </row>
    <row r="27" spans="2:8" ht="15" customHeight="1">
      <c r="B27" s="4" t="s">
        <v>5</v>
      </c>
      <c r="C27" s="19">
        <v>0</v>
      </c>
      <c r="F27" s="208" t="s">
        <v>30</v>
      </c>
      <c r="G27" s="85">
        <f>G32-G30</f>
        <v>3158826</v>
      </c>
      <c r="H27" s="209">
        <f>H32-G30</f>
        <v>2329936.9000000004</v>
      </c>
    </row>
    <row r="28" spans="2:8" ht="15" customHeight="1">
      <c r="B28" s="4" t="s">
        <v>6</v>
      </c>
      <c r="C28" s="19">
        <v>13416</v>
      </c>
      <c r="F28" s="210" t="s">
        <v>245</v>
      </c>
      <c r="G28" s="12">
        <v>-1648</v>
      </c>
      <c r="H28" s="209"/>
    </row>
    <row r="29" spans="2:8" ht="15" customHeight="1">
      <c r="B29" s="4" t="s">
        <v>7</v>
      </c>
      <c r="C29" s="19">
        <v>0</v>
      </c>
      <c r="F29" s="211" t="s">
        <v>76</v>
      </c>
      <c r="G29" s="14">
        <f>G27-G28</f>
        <v>3160474</v>
      </c>
      <c r="H29" s="209">
        <f>H27-G28</f>
        <v>2331584.9000000004</v>
      </c>
    </row>
    <row r="30" spans="2:8" ht="15" customHeight="1">
      <c r="B30" s="2" t="s">
        <v>8</v>
      </c>
      <c r="C30" s="19">
        <v>0</v>
      </c>
      <c r="F30" s="208" t="s">
        <v>23</v>
      </c>
      <c r="G30" s="85">
        <f>C33+C42</f>
        <v>642877</v>
      </c>
      <c r="H30" s="209"/>
    </row>
    <row r="31" spans="2:8" ht="15" customHeight="1">
      <c r="B31" s="80" t="s">
        <v>204</v>
      </c>
      <c r="C31" s="81">
        <f>SUM(C27:C30)</f>
        <v>13416</v>
      </c>
      <c r="F31" s="211" t="s">
        <v>77</v>
      </c>
      <c r="G31" s="212">
        <f>C31+C40</f>
        <v>33999</v>
      </c>
      <c r="H31" s="209"/>
    </row>
    <row r="32" spans="2:8" ht="15" customHeight="1">
      <c r="B32" s="4" t="s">
        <v>9</v>
      </c>
      <c r="C32" s="21">
        <f>C33-C31</f>
        <v>598515</v>
      </c>
      <c r="F32" s="213" t="s">
        <v>75</v>
      </c>
      <c r="G32" s="214">
        <f>G35+G40</f>
        <v>3801703</v>
      </c>
      <c r="H32" s="209">
        <f>H35+H40</f>
        <v>2972813.9000000004</v>
      </c>
    </row>
    <row r="33" spans="2:8" ht="15" customHeight="1">
      <c r="B33" s="83" t="s">
        <v>4</v>
      </c>
      <c r="C33" s="84">
        <v>611931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708677</v>
      </c>
      <c r="H35" s="221">
        <f>D12+D24</f>
        <v>316664</v>
      </c>
    </row>
    <row r="36" spans="2:8" ht="15" customHeight="1">
      <c r="B36" s="4" t="s">
        <v>13</v>
      </c>
      <c r="C36" s="19">
        <v>0</v>
      </c>
      <c r="F36" s="211" t="s">
        <v>198</v>
      </c>
      <c r="G36" s="212">
        <f>C4+C15</f>
        <v>109763</v>
      </c>
      <c r="H36" s="216"/>
    </row>
    <row r="37" spans="2:8" ht="15" customHeight="1">
      <c r="B37" s="4" t="s">
        <v>14</v>
      </c>
      <c r="C37" s="19">
        <v>20583</v>
      </c>
      <c r="F37" s="211" t="s">
        <v>199</v>
      </c>
      <c r="G37" s="212">
        <f>C6</f>
        <v>318027</v>
      </c>
      <c r="H37" s="216"/>
    </row>
    <row r="38" spans="2:8" ht="15" customHeight="1">
      <c r="B38" s="4" t="s">
        <v>15</v>
      </c>
      <c r="C38" s="19">
        <v>0</v>
      </c>
      <c r="F38" s="211" t="s">
        <v>200</v>
      </c>
      <c r="G38" s="212">
        <f>C7+C17</f>
        <v>0</v>
      </c>
      <c r="H38" s="216"/>
    </row>
    <row r="39" spans="2:8" ht="15" customHeight="1">
      <c r="B39" s="2" t="s">
        <v>16</v>
      </c>
      <c r="C39" s="19">
        <v>0</v>
      </c>
      <c r="F39" s="211" t="s">
        <v>80</v>
      </c>
      <c r="G39" s="212">
        <f>C7+C17+C19+C20</f>
        <v>201257</v>
      </c>
      <c r="H39" s="209">
        <f>C7*D7+C17*D17+C19*D19+C20*D20</f>
        <v>20125.7</v>
      </c>
    </row>
    <row r="40" spans="2:8" ht="15" customHeight="1">
      <c r="B40" s="80" t="s">
        <v>205</v>
      </c>
      <c r="C40" s="81">
        <f>SUM(C36:C39)</f>
        <v>20583</v>
      </c>
      <c r="F40" s="220" t="s">
        <v>139</v>
      </c>
      <c r="G40" s="214">
        <f>G12+G24</f>
        <v>3093026</v>
      </c>
      <c r="H40" s="221">
        <f>H12+H24</f>
        <v>2656149.9000000004</v>
      </c>
    </row>
    <row r="41" spans="2:8" ht="15" customHeight="1">
      <c r="B41" s="4" t="s">
        <v>17</v>
      </c>
      <c r="C41" s="21">
        <f>C42-C40</f>
        <v>10363</v>
      </c>
      <c r="F41" s="211" t="s">
        <v>192</v>
      </c>
      <c r="G41" s="212">
        <f>C70</f>
        <v>2707640</v>
      </c>
      <c r="H41" s="221">
        <f>H40-H42</f>
        <v>2426559.8000000003</v>
      </c>
    </row>
    <row r="42" spans="2:8" ht="15" customHeight="1">
      <c r="B42" s="83" t="s">
        <v>22</v>
      </c>
      <c r="C42" s="84">
        <v>30946</v>
      </c>
      <c r="F42" s="222" t="s">
        <v>193</v>
      </c>
      <c r="G42" s="223">
        <f>C82</f>
        <v>385386</v>
      </c>
      <c r="H42" s="224">
        <f>D82</f>
        <v>229590.09999999998</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3160474</v>
      </c>
      <c r="D46" s="188">
        <f>H29</f>
        <v>2331584.9000000004</v>
      </c>
      <c r="F46" s="280"/>
    </row>
    <row r="47" spans="2:8" ht="15" customHeight="1">
      <c r="B47" s="1" t="str">
        <f>"Equity per share ("&amp;Market_currency&amp;")"</f>
        <v>Equity per share (HKD)</v>
      </c>
      <c r="C47" s="148">
        <f>C46*H1/Common_Shares*Exchange_Rate</f>
        <v>2.5689294827621447</v>
      </c>
      <c r="D47" s="148">
        <f>D46*H1/Common_Shares*Exchange_Rate</f>
        <v>1.8951831880828727</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0.29882156160837919</v>
      </c>
      <c r="D50" s="95">
        <f>G31/Normalized_FCF!G8</f>
        <v>0.21533618767734089</v>
      </c>
      <c r="F50" s="280"/>
    </row>
    <row r="51" spans="2:8" ht="15" customHeight="1">
      <c r="B51" s="1" t="s">
        <v>177</v>
      </c>
      <c r="C51" s="202"/>
      <c r="D51" s="92">
        <f>G29/G32</f>
        <v>0.83133111660747827</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0.16054836031457936</v>
      </c>
      <c r="D54" s="92">
        <f>Normalized_FCF!G8/G35</f>
        <v>0.2227926121491173</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0.17874657775878602</v>
      </c>
      <c r="F58" s="5"/>
    </row>
    <row r="59" spans="2:8" ht="15" customHeight="1">
      <c r="B59" s="1" t="s">
        <v>93</v>
      </c>
      <c r="C59" s="98"/>
      <c r="D59" s="92">
        <f>G39/G32</f>
        <v>5.2938643550009039E-2</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-5.2144077122608828E-4</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2707640</v>
      </c>
      <c r="D66" s="188">
        <f>C66-D75</f>
        <v>1875760.2300999789</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2707640</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-151026.06695633588</v>
      </c>
      <c r="D73" s="188">
        <f>(Normalized_FCF!C25+Normalized_FCF!C35-Normalized_FCF!C91)/12</f>
        <v>-138646.62831667019</v>
      </c>
      <c r="F73" s="1" t="s">
        <v>354</v>
      </c>
    </row>
    <row r="74" spans="2:6" ht="15" customHeight="1">
      <c r="B74" s="284" t="s">
        <v>324</v>
      </c>
      <c r="C74" s="285">
        <f>-$C$66/C73</f>
        <v>17.928295787394259</v>
      </c>
      <c r="D74" s="285">
        <f>-$C$66/D73</f>
        <v>19.529072094099</v>
      </c>
      <c r="F74" s="280" t="s">
        <v>322</v>
      </c>
    </row>
    <row r="75" spans="2:6" ht="15" customHeight="1">
      <c r="B75" s="80" t="s">
        <v>323</v>
      </c>
      <c r="C75" s="289"/>
      <c r="D75" s="288">
        <f>MAX(-D73*D76,G5)</f>
        <v>831879.76990002114</v>
      </c>
      <c r="F75" s="280" t="s">
        <v>355</v>
      </c>
    </row>
    <row r="76" spans="2:6" ht="15" customHeight="1">
      <c r="B76" s="286" t="s">
        <v>325</v>
      </c>
      <c r="C76" s="287"/>
      <c r="D76" s="322">
        <f>IF(D74&lt;=3,1,IF(D74&gt;18,6,2))</f>
        <v>6</v>
      </c>
      <c r="F76" s="280" t="s">
        <v>326</v>
      </c>
    </row>
    <row r="77" spans="2:6" ht="15" customHeight="1">
      <c r="F77" s="280"/>
    </row>
    <row r="78" spans="2:6" ht="15" customHeight="1">
      <c r="B78" s="16" t="s">
        <v>190</v>
      </c>
      <c r="C78" s="259" t="s">
        <v>137</v>
      </c>
      <c r="D78" s="204" t="s">
        <v>35</v>
      </c>
      <c r="F78" s="280"/>
    </row>
    <row r="79" spans="2:6" ht="15" customHeight="1">
      <c r="B79" s="105" t="s">
        <v>179</v>
      </c>
      <c r="C79" s="20">
        <f>G7+G17</f>
        <v>382103</v>
      </c>
      <c r="D79" s="188">
        <f>G7*H7+G17*H17</f>
        <v>229261.8</v>
      </c>
      <c r="F79" s="280"/>
    </row>
    <row r="80" spans="2:6" ht="15" customHeight="1">
      <c r="B80" s="105" t="s">
        <v>183</v>
      </c>
      <c r="C80" s="20">
        <f>G19</f>
        <v>3283</v>
      </c>
      <c r="D80" s="188">
        <f>G19*H19</f>
        <v>328.3</v>
      </c>
      <c r="F80" s="280"/>
    </row>
    <row r="81" spans="2:8" ht="15" customHeight="1">
      <c r="B81" s="105" t="s">
        <v>181</v>
      </c>
      <c r="C81" s="20">
        <f>G9+G21</f>
        <v>0</v>
      </c>
      <c r="D81" s="188">
        <f>G9*H9+G21*H21</f>
        <v>0</v>
      </c>
      <c r="F81" s="280"/>
    </row>
    <row r="82" spans="2:8" ht="15" customHeight="1">
      <c r="B82" s="80" t="s">
        <v>190</v>
      </c>
      <c r="C82" s="81">
        <f>SUM(C79:C81)</f>
        <v>385386</v>
      </c>
      <c r="D82" s="81">
        <f>SUM(D79:D81)</f>
        <v>229590.09999999998</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-36847.234265940002</v>
      </c>
      <c r="D86" s="248">
        <f>C86*scaling_factor/Common_Shares</f>
        <v>-2.7635422245027221E-2</v>
      </c>
      <c r="E86" s="267" t="str">
        <f>Market_currency</f>
        <v>HKD</v>
      </c>
    </row>
    <row r="87" spans="2:8" ht="15" customHeight="1">
      <c r="B87" s="265" t="s">
        <v>290</v>
      </c>
      <c r="C87" s="188">
        <f>DCF!C8*Exchange_Rate</f>
        <v>2032900.2801619885</v>
      </c>
      <c r="D87" s="248">
        <f>C87*scaling_factor/Common_Shares</f>
        <v>1.5246750195371139</v>
      </c>
      <c r="E87" s="267" t="str">
        <f>Market_currency</f>
        <v>HKD</v>
      </c>
    </row>
    <row r="88" spans="2:8" ht="15" customHeight="1">
      <c r="B88" s="266" t="s">
        <v>190</v>
      </c>
      <c r="C88" s="188">
        <f>DCF!C9*Exchange_Rate</f>
        <v>248823.79481280601</v>
      </c>
      <c r="D88" s="248">
        <f>C88*scaling_factor/Common_Shares</f>
        <v>0.18661782278237665</v>
      </c>
      <c r="E88" s="267" t="str">
        <f>Market_currency</f>
        <v>HKD</v>
      </c>
    </row>
    <row r="89" spans="2:8" ht="15" customHeight="1">
      <c r="B89" s="80" t="s">
        <v>294</v>
      </c>
      <c r="C89" s="187">
        <f>SUM(C86:C88)</f>
        <v>2244876.8407088546</v>
      </c>
      <c r="D89" s="269">
        <f>SUM(D86:D88)</f>
        <v>1.6836574200744634</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8"/>
      <c r="F3" s="9"/>
      <c r="G3" s="9"/>
    </row>
    <row r="4" spans="1:17" ht="15.75" customHeight="1">
      <c r="A4" s="10"/>
      <c r="B4" s="26" t="s">
        <v>2</v>
      </c>
      <c r="C4" s="190">
        <f>AVERAGE(G4:K4)</f>
        <v>1627443.6666666667</v>
      </c>
      <c r="D4" s="57"/>
      <c r="E4" s="296"/>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46</v>
      </c>
      <c r="C5" s="191">
        <f>C25</f>
        <v>-1320779.7363240116</v>
      </c>
      <c r="E5" s="298"/>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306663.93034265516</v>
      </c>
      <c r="E6" s="298"/>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-192887</v>
      </c>
      <c r="E7" s="298"/>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113776.93034265516</v>
      </c>
      <c r="D8" s="59"/>
      <c r="E8" s="304"/>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35974</v>
      </c>
      <c r="E9" s="298"/>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-35974</v>
      </c>
      <c r="E10" s="298"/>
      <c r="G10" s="191">
        <f>Data!C62</f>
        <v>-35974</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23156.827026090108</v>
      </c>
      <c r="E12" s="298"/>
      <c r="G12" s="191">
        <f>G50</f>
        <v>23156.827026090108</v>
      </c>
      <c r="H12" s="191">
        <f t="shared" ref="H12:Q12" si="6">H50</f>
        <v>21672.4245089713</v>
      </c>
      <c r="I12" s="191">
        <f t="shared" si="6"/>
        <v>13070.073660075179</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136933.75736874528</v>
      </c>
      <c r="E13" s="298"/>
      <c r="G13" s="184">
        <f>IF(G$4="","",SUM(G8:G12))</f>
        <v>181044.82702609012</v>
      </c>
      <c r="H13" s="184">
        <f t="shared" ref="H13:Q13" si="7">IF(H$4="","",SUM(H8:H12))</f>
        <v>147488.42450897131</v>
      </c>
      <c r="I13" s="184">
        <f t="shared" si="7"/>
        <v>35768.073660075177</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-34233.439342186321</v>
      </c>
      <c r="E14" s="298"/>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5"/>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102700.31802655896</v>
      </c>
      <c r="D16" s="61"/>
      <c r="E16" s="306"/>
      <c r="F16" s="61"/>
      <c r="G16" s="184">
        <f>IF(G$4="","",SUM(G13:G15))</f>
        <v>133774.82702609012</v>
      </c>
      <c r="H16" s="184">
        <f t="shared" ref="H16:Q16" si="8">IF(H$4="","",SUM(H13:H15))</f>
        <v>103039.42450897131</v>
      </c>
      <c r="I16" s="184">
        <f t="shared" si="8"/>
        <v>14751.073660075177</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102700.31802655896</v>
      </c>
      <c r="D19" s="27"/>
      <c r="E19" s="295"/>
      <c r="F19" s="27"/>
      <c r="G19" s="186">
        <f>IF(G$4="","",G16+G17)</f>
        <v>133774.82702609012</v>
      </c>
      <c r="H19" s="186">
        <f t="shared" ref="H19:Q19" si="9">IF(H$4="","",H16+H17)</f>
        <v>103039.42450897131</v>
      </c>
      <c r="I19" s="186">
        <f t="shared" si="9"/>
        <v>14751.073660075177</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-865842.54650761362</v>
      </c>
      <c r="D23" s="58"/>
      <c r="E23" s="297"/>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-454937.18981639796</v>
      </c>
      <c r="D24" s="27"/>
      <c r="E24" s="295"/>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-1320779.7363240116</v>
      </c>
      <c r="D25" s="9"/>
      <c r="E25" s="303"/>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AVERAGE(G28:H28)</f>
        <v>0.53202612430882723</v>
      </c>
      <c r="D28" s="26"/>
      <c r="E28" s="296" t="s">
        <v>336</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96" t="s">
        <v>336</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9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AVERAGE(G33:H33)</f>
        <v>-192887</v>
      </c>
      <c r="E33" s="296" t="s">
        <v>336</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-192887</v>
      </c>
      <c r="D35" s="58"/>
      <c r="E35" s="297"/>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0.11852146034343021</v>
      </c>
      <c r="D38" s="27"/>
      <c r="E38" s="29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9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0.26109555725217148</v>
      </c>
      <c r="H43" s="6">
        <f t="shared" si="18"/>
        <v>0.35047112754373844</v>
      </c>
      <c r="I43" s="6">
        <f t="shared" si="18"/>
        <v>1.3770736839633673</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-1880</v>
      </c>
      <c r="E47" s="298"/>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25036.827026090108</v>
      </c>
      <c r="E48" s="298"/>
      <c r="G48" s="323">
        <f>IFERROR(IF(G$4="","",($C$48/$C$49)*G49),0)</f>
        <v>25036.827026090108</v>
      </c>
      <c r="H48" s="323">
        <f t="shared" ref="H48:Q48" si="19">IFERROR(IF(H$4="","",($C$48/$C$49)*H49),0)</f>
        <v>22675.4245089713</v>
      </c>
      <c r="I48" s="323">
        <f t="shared" si="19"/>
        <v>13933.073660075179</v>
      </c>
      <c r="J48" s="323" t="str">
        <f t="shared" si="19"/>
        <v/>
      </c>
      <c r="K48" s="323" t="str">
        <f t="shared" si="19"/>
        <v/>
      </c>
      <c r="L48" s="323" t="str">
        <f t="shared" si="19"/>
        <v/>
      </c>
      <c r="M48" s="323" t="str">
        <f t="shared" si="19"/>
        <v/>
      </c>
      <c r="N48" s="323" t="str">
        <f t="shared" si="19"/>
        <v/>
      </c>
      <c r="O48" s="323" t="str">
        <f t="shared" si="19"/>
        <v/>
      </c>
      <c r="P48" s="323" t="str">
        <f t="shared" si="19"/>
        <v/>
      </c>
      <c r="Q48" s="323" t="str">
        <f t="shared" si="19"/>
        <v/>
      </c>
    </row>
    <row r="49" spans="1:17" ht="15.75" customHeight="1">
      <c r="A49" s="10"/>
      <c r="B49" s="318" t="s">
        <v>345</v>
      </c>
      <c r="C49" s="319">
        <f>BS!$C$66*C53</f>
        <v>81491</v>
      </c>
      <c r="D49" s="320"/>
      <c r="E49" s="321"/>
      <c r="F49" s="320"/>
      <c r="G49" s="319">
        <f>Data!C52</f>
        <v>81491</v>
      </c>
      <c r="H49" s="319">
        <f>Data!D52</f>
        <v>73805</v>
      </c>
      <c r="I49" s="319">
        <f>Data!E52</f>
        <v>45350</v>
      </c>
      <c r="J49" s="319" t="str">
        <f>Data!F52</f>
        <v/>
      </c>
      <c r="K49" s="319" t="str">
        <f>Data!G52</f>
        <v/>
      </c>
      <c r="L49" s="319" t="str">
        <f>Data!H52</f>
        <v/>
      </c>
      <c r="M49" s="319" t="str">
        <f>Data!I52</f>
        <v/>
      </c>
      <c r="N49" s="319" t="str">
        <f>Data!J52</f>
        <v/>
      </c>
      <c r="O49" s="319" t="str">
        <f>Data!K52</f>
        <v/>
      </c>
      <c r="P49" s="319" t="str">
        <f>Data!L52</f>
        <v/>
      </c>
      <c r="Q49" s="319" t="str">
        <f>Data!M52</f>
        <v/>
      </c>
    </row>
    <row r="50" spans="1:17" ht="15.75" customHeight="1">
      <c r="A50" s="10"/>
      <c r="B50" s="70" t="s">
        <v>68</v>
      </c>
      <c r="C50" s="184">
        <f>C47+C48</f>
        <v>23156.827026090108</v>
      </c>
      <c r="E50" s="298"/>
      <c r="G50" s="184">
        <f>IF(G$4="","",(G47+G48))</f>
        <v>23156.827026090108</v>
      </c>
      <c r="H50" s="184">
        <f t="shared" ref="H50:Q50" si="20">IF(H$4="","",(H47+H48))</f>
        <v>21672.4245089713</v>
      </c>
      <c r="I50" s="184">
        <f t="shared" si="20"/>
        <v>13070.073660075179</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3.0096689367862788E-2</v>
      </c>
      <c r="E53" s="295" t="s">
        <v>338</v>
      </c>
      <c r="G53" s="6">
        <f>IF(Normalized_FCF!G4="","",Normalized_FCF!G49/BS!$C$66)</f>
        <v>3.0096689367862788E-2</v>
      </c>
      <c r="H53" s="170"/>
      <c r="I53" s="170"/>
      <c r="J53" s="170"/>
      <c r="K53" s="170"/>
      <c r="L53" s="170"/>
      <c r="M53" s="170"/>
      <c r="N53" s="170"/>
      <c r="O53" s="170"/>
      <c r="P53" s="170"/>
      <c r="Q53" s="170"/>
    </row>
    <row r="54" spans="1:17" ht="15.75" customHeight="1">
      <c r="A54" s="10"/>
      <c r="B54" s="8" t="s">
        <v>88</v>
      </c>
      <c r="C54" s="82">
        <f>G54</f>
        <v>5.5295743992470364E-2</v>
      </c>
      <c r="E54" s="295" t="s">
        <v>339</v>
      </c>
      <c r="G54" s="23">
        <f>IFERROR(ABS(Normalized_FCF!G47/BS!$G$31),0)</f>
        <v>5.5295743992470364E-2</v>
      </c>
      <c r="H54" s="170"/>
      <c r="I54" s="170"/>
      <c r="J54" s="170"/>
      <c r="K54" s="170"/>
      <c r="L54" s="170"/>
      <c r="M54" s="170"/>
      <c r="N54" s="170"/>
      <c r="O54" s="170"/>
      <c r="P54" s="170"/>
      <c r="Q54" s="170"/>
    </row>
    <row r="55" spans="1:17" ht="15.75" customHeight="1">
      <c r="A55" s="10"/>
      <c r="B55" s="26" t="s">
        <v>91</v>
      </c>
      <c r="C55" s="42">
        <f>-C8/C47</f>
        <v>60.519643799284658</v>
      </c>
      <c r="E55" s="29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298"/>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298"/>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452</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0.81156709960304507</v>
      </c>
      <c r="D73" s="27"/>
      <c r="E73" s="29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9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9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9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9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296" t="s">
        <v>453</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1.4228957659419306E-2</v>
      </c>
      <c r="D80" s="27"/>
      <c r="E80" s="295"/>
      <c r="F80" s="27"/>
      <c r="G80" s="6">
        <f t="shared" ref="G80:Q80" si="31">IF(G$4="","",ABS(G12/G$4))</f>
        <v>1.2722776355078989E-2</v>
      </c>
      <c r="H80" s="6">
        <f t="shared" si="31"/>
        <v>1.3414598742233495E-2</v>
      </c>
      <c r="I80" s="6">
        <f t="shared" si="31"/>
        <v>9.0347921595279393E-3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8.4140397712944043E-2</v>
      </c>
      <c r="D81" s="27"/>
      <c r="E81" s="295"/>
      <c r="F81" s="27"/>
      <c r="G81" s="65">
        <f t="shared" ref="G81:Q81" si="32">IF(G$4="","",G13/G$4)</f>
        <v>9.9469277112176929E-2</v>
      </c>
      <c r="H81" s="65">
        <f t="shared" si="32"/>
        <v>9.1291033594005463E-2</v>
      </c>
      <c r="I81" s="65">
        <f t="shared" si="32"/>
        <v>2.4724964821935536E-2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2.1035099428236011E-2</v>
      </c>
      <c r="D82" s="27"/>
      <c r="E82" s="29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0</v>
      </c>
      <c r="D83" s="27"/>
      <c r="E83" s="29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6.3105298284708039E-2</v>
      </c>
      <c r="D84" s="27"/>
      <c r="E84" s="295"/>
      <c r="F84" s="27"/>
      <c r="G84" s="65">
        <f t="shared" ref="G84:Q84" si="35">IF(G$4="","",ABS(G16/G$4))</f>
        <v>7.3498290775102421E-2</v>
      </c>
      <c r="H84" s="65">
        <f t="shared" si="35"/>
        <v>6.3778398851791332E-2</v>
      </c>
      <c r="I84" s="65">
        <f t="shared" si="35"/>
        <v>1.0196796752245673E-2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6.3105298284708039E-2</v>
      </c>
      <c r="D87" s="75"/>
      <c r="E87" s="295"/>
      <c r="F87" s="75"/>
      <c r="G87" s="65">
        <f t="shared" ref="G87:Q87" si="36">IF(G$4="","",ABS(G19/G$4))</f>
        <v>7.3498290775102421E-2</v>
      </c>
      <c r="H87" s="65">
        <f t="shared" si="36"/>
        <v>6.3778398851791332E-2</v>
      </c>
      <c r="I87" s="65">
        <f t="shared" si="36"/>
        <v>1.0196796752245673E-2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0.11256958853582451</v>
      </c>
      <c r="E90" s="298"/>
      <c r="G90" s="113">
        <f>Data!C65</f>
        <v>0.11256958853582451</v>
      </c>
      <c r="H90" s="113">
        <f>Data!D65</f>
        <v>9.6883662264439147E-2</v>
      </c>
      <c r="I90" s="113">
        <f>Data!E65</f>
        <v>3.5800819960573702E-2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150092.80347603076</v>
      </c>
      <c r="E91" s="298"/>
      <c r="G91" s="74">
        <f t="shared" ref="G91:Q91" si="37">IF(G$4="","",G90*Common_Shares/scaling_factor)</f>
        <v>150092.80347603076</v>
      </c>
      <c r="H91" s="74">
        <f t="shared" si="37"/>
        <v>129178.23249986257</v>
      </c>
      <c r="I91" s="74">
        <f t="shared" si="37"/>
        <v>47734.432580901594</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1.4614638626261685</v>
      </c>
      <c r="E92" s="298"/>
      <c r="G92" s="171">
        <f t="shared" ref="G92:Q92" si="38">IF(G$4="","",G90/(G19*scaling_factor/Common_Shares))</f>
        <v>1.1219809198240127</v>
      </c>
      <c r="H92" s="171">
        <f t="shared" si="38"/>
        <v>1.2536777366086265</v>
      </c>
      <c r="I92" s="171">
        <f t="shared" si="38"/>
        <v>3.2359971674535264</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4.8731423608582035E-2</v>
      </c>
      <c r="E93" s="298"/>
      <c r="G93" s="23">
        <f t="shared" ref="G93:Q93" si="39">IF(G$4="","",G90/Market_Price)</f>
        <v>4.8731423608582035E-2</v>
      </c>
      <c r="H93" s="23">
        <f t="shared" si="39"/>
        <v>4.1940979335255042E-2</v>
      </c>
      <c r="I93" s="23">
        <f t="shared" si="39"/>
        <v>1.5498190459122815E-2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-0.10585324240832594</v>
      </c>
      <c r="D96" s="27"/>
      <c r="E96" s="295"/>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-0.24364722473394973</v>
      </c>
      <c r="D97" s="27"/>
      <c r="E97" s="295"/>
      <c r="F97" s="27"/>
      <c r="G97" s="6">
        <f t="shared" ref="G97:Q97" si="41">IF(H5="","",G13/H13-1)</f>
        <v>0.22751888922020225</v>
      </c>
      <c r="H97" s="6">
        <f t="shared" si="41"/>
        <v>3.1234656892803248</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3801703</v>
      </c>
      <c r="D101" s="26"/>
      <c r="E101" s="299"/>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109763</v>
      </c>
      <c r="D102" s="89"/>
      <c r="E102" s="300"/>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318027</v>
      </c>
      <c r="D103" s="89"/>
      <c r="E103" s="300"/>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642877</v>
      </c>
      <c r="D104" s="26"/>
      <c r="E104" s="299"/>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3158826</v>
      </c>
      <c r="D105" s="26"/>
      <c r="E105" s="299"/>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299"/>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299"/>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0</v>
      </c>
      <c r="H113" s="328">
        <f>IF(H$4="","",Data!D$22/Data!D15)</f>
        <v>0</v>
      </c>
      <c r="I113" s="328">
        <f>IF(I$4="","",Data!E$22/Data!E15)</f>
        <v>0</v>
      </c>
      <c r="J113" s="328" t="str">
        <f>IF(J$4="","",Data!F$22/Data!F15)</f>
        <v/>
      </c>
      <c r="K113" s="328" t="str">
        <f>IF(K$4="","",Data!G$22/Data!G15)</f>
        <v/>
      </c>
      <c r="L113" s="328" t="str">
        <f>IF(L$4="","",Data!H$22/Data!H15)</f>
        <v/>
      </c>
      <c r="M113" s="328" t="str">
        <f>IF(M$4="","",Data!I$22/Data!I15)</f>
        <v/>
      </c>
      <c r="N113" s="328" t="str">
        <f>IF(N$4="","",Data!J$22/Data!J15)</f>
        <v/>
      </c>
      <c r="O113" s="328" t="str">
        <f>IF(O$4="","",Data!K$22/Data!K15)</f>
        <v/>
      </c>
      <c r="P113" s="328" t="str">
        <f>IF(P$4="","",Data!L$22/Data!L15)</f>
        <v/>
      </c>
      <c r="Q113" s="328" t="str">
        <f>IF(Q$4="","",Data!M$22/Data!M15)</f>
        <v/>
      </c>
    </row>
    <row r="114" spans="1:17" ht="15.75" customHeight="1">
      <c r="A114" s="10"/>
      <c r="B114" s="2" t="s">
        <v>395</v>
      </c>
      <c r="C114" s="170"/>
      <c r="E114" s="298"/>
      <c r="G114" s="328">
        <f>IF(G$4="","",Data!C$22/G19)</f>
        <v>0</v>
      </c>
      <c r="H114" s="328">
        <f>IF(H$4="","",Data!D$22/H19)</f>
        <v>0</v>
      </c>
      <c r="I114" s="328">
        <f>IF(I$4="","",Data!E$22/I19)</f>
        <v>0</v>
      </c>
      <c r="J114" s="328" t="str">
        <f>IF(J$4="","",Data!F$22/J19)</f>
        <v/>
      </c>
      <c r="K114" s="328" t="str">
        <f>IF(K$4="","",Data!G$22/K19)</f>
        <v/>
      </c>
      <c r="L114" s="328" t="str">
        <f>IF(L$4="","",Data!H$22/L19)</f>
        <v/>
      </c>
      <c r="M114" s="328" t="str">
        <f>IF(M$4="","",Data!I$22/M19)</f>
        <v/>
      </c>
      <c r="N114" s="328" t="str">
        <f>IF(N$4="","",Data!J$22/N19)</f>
        <v/>
      </c>
      <c r="O114" s="328" t="str">
        <f>IF(O$4="","",Data!K$22/O19)</f>
        <v/>
      </c>
      <c r="P114" s="328" t="str">
        <f>IF(P$4="","",Data!L$22/P19)</f>
        <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8.4140397712944043E-2</v>
      </c>
      <c r="E117" s="298"/>
      <c r="G117" s="23">
        <f t="shared" ref="G117:Q117" si="45">G81</f>
        <v>9.9469277112176929E-2</v>
      </c>
      <c r="H117" s="23">
        <f t="shared" si="45"/>
        <v>9.1291033594005463E-2</v>
      </c>
      <c r="I117" s="23">
        <f t="shared" si="45"/>
        <v>2.4724964821935536E-2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0.42808280043619051</v>
      </c>
      <c r="E118" s="298"/>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302"/>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3.6018739348940135E-2</v>
      </c>
      <c r="D120" s="103"/>
      <c r="E120" s="301"/>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8.3477945038458123E-2</v>
      </c>
      <c r="D124" s="27"/>
      <c r="E124" s="295"/>
      <c r="F124" s="27"/>
      <c r="G124" s="178">
        <f t="shared" ref="G124:Q124" si="49">IF(G$4="","",G16*$C$3/Common_Shares*Exchange_Rate)</f>
        <v>0.10873625196686607</v>
      </c>
      <c r="H124" s="178">
        <f t="shared" si="49"/>
        <v>8.3753581110915867E-2</v>
      </c>
      <c r="I124" s="178">
        <f t="shared" si="49"/>
        <v>1.1990121743688834E-2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3.6137638544787062E-2</v>
      </c>
      <c r="D125" s="27"/>
      <c r="E125" s="295"/>
      <c r="F125" s="27"/>
      <c r="G125" s="77">
        <f t="shared" ref="G125" si="50">IF(G$4="","",G124/Market_Price)</f>
        <v>4.7071970548426864E-2</v>
      </c>
      <c r="H125" s="77">
        <f t="shared" ref="H125" si="51">IF(H$4="","",H124/Market_Price)</f>
        <v>3.6256961519877E-2</v>
      </c>
      <c r="I125" s="77">
        <f t="shared" ref="I125" si="52">IF(I$4="","",I124/Market_Price)</f>
        <v>5.1905288933717895E-3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6.3392524543466902E-2</v>
      </c>
      <c r="H126" s="23">
        <f>IF(H$4="","",(Data!D47*$C$3)/(Market_Price*Common_Shares))</f>
        <v>5.6109408570739511E-2</v>
      </c>
      <c r="I126" s="23">
        <f>IF(I$4="","",(Data!E47*$C$3)/(Market_Price*Common_Shares))</f>
        <v>2.1251945395454878E-2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102700.31802655896</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1283753.975331987</v>
      </c>
      <c r="D6" t="str">
        <f>Reporting_currency</f>
        <v>CNY</v>
      </c>
      <c r="E6" s="356" t="s">
        <v>250</v>
      </c>
      <c r="F6" s="356"/>
      <c r="H6" s="121"/>
    </row>
    <row r="7" spans="2:8">
      <c r="B7" s="149" t="s">
        <v>225</v>
      </c>
      <c r="C7" s="226">
        <f>BS!G31</f>
        <v>33999</v>
      </c>
      <c r="D7" t="str">
        <f>Reporting_currency</f>
        <v>CNY</v>
      </c>
      <c r="E7" s="356"/>
      <c r="F7" s="356"/>
      <c r="H7" s="121"/>
    </row>
    <row r="8" spans="2:8">
      <c r="B8" s="149" t="s">
        <v>226</v>
      </c>
      <c r="C8" s="201">
        <f>BS!D66</f>
        <v>1875760.2300999789</v>
      </c>
      <c r="D8" t="str">
        <f>Reporting_currency</f>
        <v>CNY</v>
      </c>
      <c r="E8" s="356"/>
      <c r="F8" s="356"/>
      <c r="H8" s="121"/>
    </row>
    <row r="9" spans="2:8">
      <c r="B9" s="227" t="s">
        <v>191</v>
      </c>
      <c r="C9" s="229">
        <f>BS!H42</f>
        <v>229590.09999999998</v>
      </c>
      <c r="D9" t="str">
        <f>Reporting_currency</f>
        <v>CNY</v>
      </c>
      <c r="E9" s="356"/>
      <c r="F9" s="356"/>
      <c r="H9" s="121"/>
    </row>
    <row r="10" spans="2:8" ht="13.15">
      <c r="B10" s="150" t="s">
        <v>228</v>
      </c>
      <c r="C10" s="232">
        <f>C6-C7+C8+C9</f>
        <v>3355105.3054319662</v>
      </c>
      <c r="D10" t="str">
        <f>Reporting_currency</f>
        <v>CNY</v>
      </c>
      <c r="H10" s="121"/>
    </row>
    <row r="11" spans="2:8" ht="13.15" thickBot="1">
      <c r="B11" s="230" t="s">
        <v>167</v>
      </c>
      <c r="C11" s="231">
        <f>Exchange_Rate</f>
        <v>1.0837740600000001</v>
      </c>
      <c r="D11" t="str">
        <f>Thesis!C15</f>
        <v>CNY/HKD</v>
      </c>
      <c r="H11" s="121"/>
    </row>
    <row r="12" spans="2:8" ht="13.5" thickTop="1">
      <c r="B12" s="150" t="s">
        <v>103</v>
      </c>
      <c r="C12" s="112">
        <f>(C10*scaling_factor)/Common_Shares*Exchange_Rate</f>
        <v>2.7271317330551899</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8.5779014792802307E-3</v>
      </c>
      <c r="H16" s="121"/>
    </row>
    <row r="17" spans="2:8" ht="13.35" customHeight="1">
      <c r="B17" s="119" t="s">
        <v>135</v>
      </c>
      <c r="C17" s="163">
        <f>Scenarios!C64</f>
        <v>10</v>
      </c>
      <c r="H17" s="121"/>
    </row>
    <row r="18" spans="2:8" ht="13.35" customHeight="1">
      <c r="B18" s="154" t="s">
        <v>107</v>
      </c>
      <c r="C18" s="141">
        <f>(F52-C7+C8+C9)*Exchange_Rate/Common_Shares*scaling_factor</f>
        <v>2.7552464818874305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103581.27123648152</v>
      </c>
      <c r="D21" s="139">
        <f>IF($C$17&lt;B21,0,DCF!$C$16)</f>
        <v>8.5779014792802307E-3</v>
      </c>
      <c r="E21" s="125">
        <f t="shared" ref="E21:E50" si="0">IF($C$17&lt;B21,0,1/(1+Equity_Cost)^B21)</f>
        <v>0.92592592592592582</v>
      </c>
      <c r="F21" s="126">
        <f t="shared" ref="F21:F51" si="1">C21*E21</f>
        <v>95908.584478223624</v>
      </c>
      <c r="H21" s="121"/>
    </row>
    <row r="22" spans="2:8">
      <c r="B22" s="123">
        <v>2</v>
      </c>
      <c r="C22" s="124">
        <f t="shared" ref="C22:C50" si="2">IF(ROW()-ROW($C$21)&lt;$C$17, $C$21*(1+D22)^(ROW()-ROW($C$21)), 0)</f>
        <v>104469.78117624666</v>
      </c>
      <c r="D22" s="139">
        <f>IF($C$17&lt;B22,0,DCF!$C$16)</f>
        <v>8.5779014792802307E-3</v>
      </c>
      <c r="E22" s="125">
        <f t="shared" si="0"/>
        <v>0.85733882030178321</v>
      </c>
      <c r="F22" s="126">
        <f t="shared" si="1"/>
        <v>89565.998950828754</v>
      </c>
      <c r="H22" s="121"/>
    </row>
    <row r="23" spans="2:8">
      <c r="B23" s="123">
        <v>3</v>
      </c>
      <c r="C23" s="124">
        <f t="shared" si="2"/>
        <v>105365.91266673846</v>
      </c>
      <c r="D23" s="139">
        <f>IF($C$17&lt;B23,0,DCF!$C$16)</f>
        <v>8.5779014792802307E-3</v>
      </c>
      <c r="E23" s="125">
        <f t="shared" si="0"/>
        <v>0.79383224102016958</v>
      </c>
      <c r="F23" s="126">
        <f t="shared" si="1"/>
        <v>83642.858579372463</v>
      </c>
      <c r="H23" s="121"/>
    </row>
    <row r="24" spans="2:8">
      <c r="B24" s="123">
        <v>4</v>
      </c>
      <c r="C24" s="124">
        <f t="shared" si="2"/>
        <v>106269.73108486817</v>
      </c>
      <c r="D24" s="139">
        <f>IF($C$17&lt;B24,0,DCF!$C$16)</f>
        <v>8.5779014792802307E-3</v>
      </c>
      <c r="E24" s="125">
        <f t="shared" si="0"/>
        <v>0.73502985279645328</v>
      </c>
      <c r="F24" s="126">
        <f t="shared" si="1"/>
        <v>78111.424796029329</v>
      </c>
      <c r="H24" s="121"/>
    </row>
    <row r="25" spans="2:8">
      <c r="B25" s="123">
        <v>5</v>
      </c>
      <c r="C25" s="124">
        <f t="shared" si="2"/>
        <v>107181.30236834376</v>
      </c>
      <c r="D25" s="139">
        <f>IF($C$17&lt;B25,0,DCF!$C$16)</f>
        <v>8.5779014792802307E-3</v>
      </c>
      <c r="E25" s="125">
        <f t="shared" si="0"/>
        <v>0.68058319703375303</v>
      </c>
      <c r="F25" s="126">
        <f t="shared" si="1"/>
        <v>72945.793428088771</v>
      </c>
      <c r="H25" s="121"/>
    </row>
    <row r="26" spans="2:8">
      <c r="B26" s="123">
        <v>6</v>
      </c>
      <c r="C26" s="124">
        <f t="shared" si="2"/>
        <v>108100.69302048036</v>
      </c>
      <c r="D26" s="139">
        <f>IF($C$17&lt;B26,0,DCF!$C$16)</f>
        <v>8.5779014792802307E-3</v>
      </c>
      <c r="E26" s="125">
        <f t="shared" si="0"/>
        <v>0.63016962688310452</v>
      </c>
      <c r="F26" s="126">
        <f t="shared" si="1"/>
        <v>68121.773386521134</v>
      </c>
      <c r="H26" s="121"/>
    </row>
    <row r="27" spans="2:8">
      <c r="B27" s="123">
        <v>7</v>
      </c>
      <c r="C27" s="124">
        <f t="shared" si="2"/>
        <v>109027.97011505194</v>
      </c>
      <c r="D27" s="139">
        <f>IF($C$17&lt;B27,0,DCF!$C$16)</f>
        <v>8.5779014792802307E-3</v>
      </c>
      <c r="E27" s="125">
        <f t="shared" si="0"/>
        <v>0.58349039526213387</v>
      </c>
      <c r="F27" s="126">
        <f t="shared" si="1"/>
        <v>63616.773377059777</v>
      </c>
      <c r="H27" s="121"/>
    </row>
    <row r="28" spans="2:8">
      <c r="B28" s="123">
        <v>8</v>
      </c>
      <c r="C28" s="124">
        <f t="shared" si="2"/>
        <v>109963.20130118476</v>
      </c>
      <c r="D28" s="139">
        <f>IF($C$17&lt;B28,0,DCF!$C$16)</f>
        <v>8.5779014792802307E-3</v>
      </c>
      <c r="E28" s="125">
        <f t="shared" si="0"/>
        <v>0.54026888450197574</v>
      </c>
      <c r="F28" s="126">
        <f t="shared" si="1"/>
        <v>59409.696103257294</v>
      </c>
      <c r="H28" s="121"/>
    </row>
    <row r="29" spans="2:8">
      <c r="B29" s="123">
        <v>9</v>
      </c>
      <c r="C29" s="124">
        <f t="shared" si="2"/>
        <v>110906.45480829256</v>
      </c>
      <c r="D29" s="139">
        <f>IF($C$17&lt;B29,0,DCF!$C$16)</f>
        <v>8.5779014792802307E-3</v>
      </c>
      <c r="E29" s="125">
        <f t="shared" si="0"/>
        <v>0.50024896713145905</v>
      </c>
      <c r="F29" s="126">
        <f t="shared" si="1"/>
        <v>55480.839466060192</v>
      </c>
      <c r="H29" s="121"/>
    </row>
    <row r="30" spans="2:8">
      <c r="B30" s="123">
        <v>10</v>
      </c>
      <c r="C30" s="124">
        <f t="shared" si="2"/>
        <v>111857.79945105435</v>
      </c>
      <c r="D30" s="139">
        <f>IF($C$17&lt;B30,0,DCF!$C$16)</f>
        <v>8.5779014792802307E-3</v>
      </c>
      <c r="E30" s="125">
        <f t="shared" si="0"/>
        <v>0.46319348808468425</v>
      </c>
      <c r="F30" s="126">
        <f t="shared" si="1"/>
        <v>51811.80429721094</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1294765.890456019</v>
      </c>
      <c r="D51" s="140">
        <f>Terminal_Growth</f>
        <v>0</v>
      </c>
      <c r="E51" s="125">
        <f>1/(1+Equity_Cost)^C17</f>
        <v>0.46319348808468425</v>
      </c>
      <c r="F51" s="126">
        <f t="shared" si="1"/>
        <v>599727.12905339559</v>
      </c>
      <c r="H51" s="121"/>
    </row>
    <row r="52" spans="1:8">
      <c r="C52" s="115"/>
      <c r="E52" s="128" t="s">
        <v>101</v>
      </c>
      <c r="F52" s="138">
        <f>SUM(F21:F51)</f>
        <v>1318342.6759160478</v>
      </c>
      <c r="H52" s="121"/>
    </row>
    <row r="53" spans="1:8">
      <c r="C53" s="115"/>
      <c r="H53" s="121"/>
    </row>
    <row r="54" spans="1:8" ht="13.15">
      <c r="B54" s="120" t="s">
        <v>130</v>
      </c>
      <c r="C54" s="137"/>
      <c r="D54" s="137"/>
      <c r="E54" s="118"/>
      <c r="F54" s="118"/>
      <c r="H54" s="121"/>
    </row>
    <row r="55" spans="1:8" ht="13.15">
      <c r="A55" s="134">
        <f>F52</f>
        <v>1318342.6759160478</v>
      </c>
      <c r="B55" s="132">
        <f>C78</f>
        <v>-0.1</v>
      </c>
      <c r="C55" s="132">
        <f>C77</f>
        <v>-0.08</v>
      </c>
      <c r="D55" s="132">
        <f>C76</f>
        <v>0.02</v>
      </c>
      <c r="E55" s="132">
        <f>C75</f>
        <v>0.04</v>
      </c>
      <c r="F55" s="132">
        <f>C74</f>
        <v>0.08</v>
      </c>
      <c r="H55" s="121"/>
    </row>
    <row r="56" spans="1:8" ht="13.15">
      <c r="A56" s="144">
        <v>5</v>
      </c>
      <c r="B56" s="124">
        <f t="dataTable" ref="B56:F61" dt2D="1" dtr="1" r1="C16" r2="C17"/>
        <v>1093468.0641262454</v>
      </c>
      <c r="C56" s="124">
        <v>1129445.5004520521</v>
      </c>
      <c r="D56" s="124">
        <v>1325174.5986839756</v>
      </c>
      <c r="E56" s="124">
        <v>1367835.7516301214</v>
      </c>
      <c r="F56" s="124">
        <v>1457099.0856479269</v>
      </c>
      <c r="H56" s="121"/>
    </row>
    <row r="57" spans="1:8" ht="13.15">
      <c r="A57" s="144">
        <v>10</v>
      </c>
      <c r="B57" s="124">
        <v>965732.05001247744</v>
      </c>
      <c r="C57" s="124">
        <v>1018765.7078158578</v>
      </c>
      <c r="D57" s="124">
        <v>1366633.3638845813</v>
      </c>
      <c r="E57" s="124">
        <v>1457819.5112153799</v>
      </c>
      <c r="F57" s="124">
        <v>1669199.7804763205</v>
      </c>
      <c r="H57" s="121"/>
    </row>
    <row r="58" spans="1:8" ht="13.15">
      <c r="A58" s="144">
        <v>15</v>
      </c>
      <c r="B58" s="124">
        <v>844396.04004588898</v>
      </c>
      <c r="C58" s="124">
        <v>909547.44917978614</v>
      </c>
      <c r="D58" s="124">
        <v>1417950.0812587263</v>
      </c>
      <c r="E58" s="124">
        <v>1575124.7531378702</v>
      </c>
      <c r="F58" s="124">
        <v>1977572.9856940105</v>
      </c>
      <c r="H58" s="121"/>
    </row>
    <row r="59" spans="1:8" ht="13.15">
      <c r="A59" s="145">
        <v>20</v>
      </c>
      <c r="B59" s="124">
        <v>747991.79002355807</v>
      </c>
      <c r="C59" s="124">
        <v>820012.99448423192</v>
      </c>
      <c r="D59" s="124">
        <v>1470233.586727073</v>
      </c>
      <c r="E59" s="124">
        <v>1701383.4413992735</v>
      </c>
      <c r="F59" s="124">
        <v>2351467.643818913</v>
      </c>
      <c r="H59" s="121"/>
    </row>
    <row r="60" spans="1:8" ht="13.15">
      <c r="A60" s="145">
        <v>25</v>
      </c>
      <c r="B60" s="124">
        <v>676824.71972417738</v>
      </c>
      <c r="C60" s="124">
        <v>752258.18894644303</v>
      </c>
      <c r="D60" s="124">
        <v>1518860.1480248556</v>
      </c>
      <c r="E60" s="124">
        <v>1825752.5445666136</v>
      </c>
      <c r="F60" s="124">
        <v>2769955.101837703</v>
      </c>
      <c r="H60" s="121"/>
    </row>
    <row r="61" spans="1:8" ht="13.15">
      <c r="A61" s="145">
        <v>30</v>
      </c>
      <c r="B61" s="124">
        <v>626156.7927411464</v>
      </c>
      <c r="C61" s="124">
        <v>703086.60561182827</v>
      </c>
      <c r="D61" s="124">
        <v>1561755.5394419145</v>
      </c>
      <c r="E61" s="124">
        <v>1942225.311869764</v>
      </c>
      <c r="F61" s="124">
        <v>3218791.670172961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-0.08</v>
      </c>
      <c r="D64" s="133">
        <f>D55</f>
        <v>0.02</v>
      </c>
      <c r="E64" s="133">
        <f>E55</f>
        <v>0.04</v>
      </c>
      <c r="F64" s="133">
        <f>F55</f>
        <v>0.08</v>
      </c>
      <c r="H64" s="121"/>
    </row>
    <row r="65" spans="1:8" ht="13.15">
      <c r="A65" s="144">
        <v>0</v>
      </c>
      <c r="B65" s="125">
        <f>C12</f>
        <v>2.7271317330551899</v>
      </c>
      <c r="C65" s="125">
        <f>C12</f>
        <v>2.7271317330551899</v>
      </c>
      <c r="D65" s="125">
        <f>C12</f>
        <v>2.7271317330551899</v>
      </c>
      <c r="E65" s="142">
        <f>C12</f>
        <v>2.7271317330551899</v>
      </c>
      <c r="F65" s="125">
        <f>C12</f>
        <v>2.7271317330551899</v>
      </c>
      <c r="H65" s="121"/>
    </row>
    <row r="66" spans="1:8" ht="13.15">
      <c r="A66" s="144">
        <f t="shared" ref="A66:A71" si="3">A56</f>
        <v>5</v>
      </c>
      <c r="B66" s="125">
        <f t="shared" ref="B66:F71" si="4">(B56-$C$7+$C$8+$C$9)/Common_Shares*$C$3*Exchange_Rate</f>
        <v>2.5724615514777787</v>
      </c>
      <c r="C66" s="125">
        <f t="shared" si="4"/>
        <v>2.6017051069987418</v>
      </c>
      <c r="D66" s="125">
        <f t="shared" si="4"/>
        <v>2.7607996767001337</v>
      </c>
      <c r="E66" s="125">
        <f t="shared" si="4"/>
        <v>2.7954759605651422</v>
      </c>
      <c r="F66" s="125">
        <f t="shared" si="4"/>
        <v>2.8680319159338579</v>
      </c>
      <c r="H66" s="121"/>
    </row>
    <row r="67" spans="1:8" ht="13.15">
      <c r="A67" s="144">
        <f t="shared" si="3"/>
        <v>10</v>
      </c>
      <c r="B67" s="125">
        <f t="shared" si="4"/>
        <v>2.4686338304880215</v>
      </c>
      <c r="C67" s="125">
        <f t="shared" si="4"/>
        <v>2.5117412020752652</v>
      </c>
      <c r="D67" s="125">
        <f t="shared" si="4"/>
        <v>2.7944986232008007</v>
      </c>
      <c r="E67" s="125">
        <f t="shared" si="4"/>
        <v>2.8686174997672844</v>
      </c>
      <c r="F67" s="125">
        <f t="shared" si="4"/>
        <v>3.0404338177558619</v>
      </c>
      <c r="H67" s="121"/>
    </row>
    <row r="68" spans="1:8" ht="13.15">
      <c r="A68" s="144">
        <f t="shared" si="3"/>
        <v>15</v>
      </c>
      <c r="B68" s="125">
        <f t="shared" si="4"/>
        <v>2.3700082277069545</v>
      </c>
      <c r="C68" s="125">
        <f t="shared" si="4"/>
        <v>2.4229652764811469</v>
      </c>
      <c r="D68" s="125">
        <f t="shared" si="4"/>
        <v>2.836210413337664</v>
      </c>
      <c r="E68" s="125">
        <f t="shared" si="4"/>
        <v>2.9639667715718403</v>
      </c>
      <c r="F68" s="125">
        <f t="shared" si="4"/>
        <v>3.2910889468844626</v>
      </c>
      <c r="H68" s="121"/>
    </row>
    <row r="69" spans="1:8" ht="13.15">
      <c r="A69" s="145">
        <f t="shared" si="3"/>
        <v>20</v>
      </c>
      <c r="B69" s="125">
        <f t="shared" si="4"/>
        <v>2.2916479184160257</v>
      </c>
      <c r="C69" s="125">
        <f t="shared" si="4"/>
        <v>2.3501889459717229</v>
      </c>
      <c r="D69" s="125">
        <f t="shared" si="4"/>
        <v>2.8787080382698078</v>
      </c>
      <c r="E69" s="125">
        <f t="shared" si="4"/>
        <v>3.0665936771339788</v>
      </c>
      <c r="F69" s="125">
        <f t="shared" si="4"/>
        <v>3.5950019076315951</v>
      </c>
      <c r="H69" s="121"/>
    </row>
    <row r="70" spans="1:8" ht="13.15">
      <c r="A70" s="145">
        <f t="shared" si="3"/>
        <v>25</v>
      </c>
      <c r="B70" s="125">
        <f t="shared" si="4"/>
        <v>2.2338011571093714</v>
      </c>
      <c r="C70" s="125">
        <f t="shared" si="4"/>
        <v>2.2951157773442197</v>
      </c>
      <c r="D70" s="125">
        <f t="shared" si="4"/>
        <v>2.9182331876503169</v>
      </c>
      <c r="E70" s="125">
        <f t="shared" si="4"/>
        <v>3.1676846704062744</v>
      </c>
      <c r="F70" s="125">
        <f t="shared" si="4"/>
        <v>3.9351612536887548</v>
      </c>
    </row>
    <row r="71" spans="1:8" ht="13.15">
      <c r="A71" s="145">
        <f t="shared" si="3"/>
        <v>30</v>
      </c>
      <c r="B71" s="125">
        <f t="shared" si="4"/>
        <v>2.1926167235537886</v>
      </c>
      <c r="C71" s="125">
        <f t="shared" si="4"/>
        <v>2.2551476174598508</v>
      </c>
      <c r="D71" s="125">
        <f t="shared" si="4"/>
        <v>2.9530998676754976</v>
      </c>
      <c r="E71" s="125">
        <f t="shared" si="4"/>
        <v>3.2623572814968762</v>
      </c>
      <c r="F71" s="125">
        <f t="shared" si="4"/>
        <v>4.2999892805411291</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3.2910889468844626</v>
      </c>
      <c r="F74" s="143">
        <f>Scenarios!C58</f>
        <v>0.05</v>
      </c>
    </row>
    <row r="75" spans="1:8">
      <c r="B75" s="128" t="str">
        <f>Scenarios!B36</f>
        <v>Optimistic</v>
      </c>
      <c r="C75" s="143">
        <f>Scenarios!C38</f>
        <v>0.04</v>
      </c>
      <c r="D75" s="146">
        <f>Scenarios!C37</f>
        <v>10</v>
      </c>
      <c r="E75" s="136">
        <f>INDEX(B$65:F$71, MATCH(D75, A$65:A$71, 0), MATCH(C75, B$64:F$64, 0))</f>
        <v>2.8686174997672844</v>
      </c>
      <c r="F75" s="143">
        <f>Scenarios!C40*(1-F$74-F$78)</f>
        <v>0.17</v>
      </c>
      <c r="H75" s="121"/>
    </row>
    <row r="76" spans="1:8">
      <c r="B76" s="128" t="str">
        <f>Scenarios!B24</f>
        <v>Base</v>
      </c>
      <c r="C76" s="143">
        <f>Scenarios!C26</f>
        <v>0.02</v>
      </c>
      <c r="D76" s="146">
        <f>Scenarios!C25</f>
        <v>10</v>
      </c>
      <c r="E76" s="136">
        <f>INDEX(B$65:F$71, MATCH(D76, A$65:A$71, 0), MATCH(C76, B$64:F$64, 0))</f>
        <v>2.7944986232008007</v>
      </c>
      <c r="F76" s="143">
        <f>Scenarios!C28*(1-F$74-F$78)</f>
        <v>0.51</v>
      </c>
      <c r="H76" s="121"/>
    </row>
    <row r="77" spans="1:8">
      <c r="B77" s="128" t="str">
        <f>Scenarios!B30</f>
        <v>Pessimistic</v>
      </c>
      <c r="C77" s="143">
        <f>Scenarios!C32</f>
        <v>-0.08</v>
      </c>
      <c r="D77" s="146">
        <f>Scenarios!C31</f>
        <v>10</v>
      </c>
      <c r="E77" s="136">
        <f>INDEX(B$65:F$71, MATCH(D77, A$65:A$71, 0), MATCH(C77, B$64:F$64, 0))</f>
        <v>2.5117412020752652</v>
      </c>
      <c r="F77" s="143">
        <f>Scenarios!C34*(1-F$74-F$78)</f>
        <v>0.17</v>
      </c>
      <c r="H77" s="121"/>
    </row>
    <row r="78" spans="1:8">
      <c r="B78" s="128" t="str">
        <f>Scenarios!B48</f>
        <v>Devil's advocate</v>
      </c>
      <c r="C78" s="143">
        <f>Scenarios!C50</f>
        <v>-0.1</v>
      </c>
      <c r="D78" s="146">
        <f>Scenarios!C49</f>
        <v>15</v>
      </c>
      <c r="E78" s="136">
        <f>INDEX(B$65:F$71, MATCH(D78, A$65:A$71, 0), MATCH(C78, B$64:F$64, 0))</f>
        <v>2.3700082277069545</v>
      </c>
      <c r="F78" s="143">
        <f>Scenarios!C52</f>
        <v>0.1</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-2.31</v>
      </c>
    </row>
    <row r="4" spans="2:9">
      <c r="B4" s="153" t="s">
        <v>147</v>
      </c>
      <c r="C4" s="121">
        <v>2</v>
      </c>
      <c r="D4" s="121"/>
      <c r="E4" s="156" t="s">
        <v>151</v>
      </c>
      <c r="F4" s="156"/>
      <c r="H4" s="274">
        <v>1</v>
      </c>
      <c r="I4" s="262">
        <f t="shared" ref="I4:I13" si="0">IF(ROW()-3 &lt; $C$76, $C$77, IF(ROW()-3 = $C$76, $C$77 + $C$60, ""))</f>
        <v>0.11256958853582451</v>
      </c>
    </row>
    <row r="5" spans="2:9">
      <c r="H5" s="274">
        <v>2</v>
      </c>
      <c r="I5" s="262">
        <f t="shared" si="0"/>
        <v>0.11256958853582451</v>
      </c>
    </row>
    <row r="6" spans="2:9" ht="13.15">
      <c r="B6" s="160" t="s">
        <v>96</v>
      </c>
      <c r="C6" s="107">
        <f>DCF!C3</f>
        <v>1000</v>
      </c>
      <c r="E6" s="100" t="s">
        <v>281</v>
      </c>
      <c r="F6" s="100"/>
      <c r="H6" s="274">
        <v>3</v>
      </c>
      <c r="I6" s="262">
        <f t="shared" si="0"/>
        <v>2.8539801357963852</v>
      </c>
    </row>
    <row r="7" spans="2:9" ht="12.75" customHeight="1">
      <c r="B7" s="100" t="s">
        <v>276</v>
      </c>
      <c r="C7" s="115">
        <f>Normalized_FCF!G8</f>
        <v>157888</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8"/>
      <c r="H7" s="274">
        <v>4</v>
      </c>
      <c r="I7" s="262" t="str">
        <f t="shared" si="0"/>
        <v/>
      </c>
    </row>
    <row r="8" spans="2:9">
      <c r="B8" s="100" t="s">
        <v>66</v>
      </c>
      <c r="C8" s="115">
        <f>Normalized_FCF!G19</f>
        <v>133774.82702609012</v>
      </c>
      <c r="D8" t="str">
        <f>Reporting_currency</f>
        <v>CNY</v>
      </c>
      <c r="E8" s="358"/>
      <c r="F8" s="358"/>
      <c r="H8" s="274">
        <v>5</v>
      </c>
      <c r="I8" s="262" t="str">
        <f t="shared" si="0"/>
        <v/>
      </c>
    </row>
    <row r="9" spans="2:9">
      <c r="B9" s="100" t="s">
        <v>57</v>
      </c>
      <c r="C9" s="201">
        <f>Normalized_FCF!C19</f>
        <v>102700.31802655896</v>
      </c>
      <c r="D9" t="str">
        <f>Reporting_currency</f>
        <v>CNY</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0.12167914390403989</v>
      </c>
      <c r="D12" s="159"/>
      <c r="E12" s="358"/>
      <c r="F12" s="358"/>
      <c r="H12" s="274">
        <v>9</v>
      </c>
      <c r="I12" s="262" t="str">
        <f t="shared" si="0"/>
        <v/>
      </c>
    </row>
    <row r="13" spans="2:9">
      <c r="B13" s="149" t="s">
        <v>153</v>
      </c>
      <c r="C13" s="159">
        <f ca="1">(Normalized_FCF!G8/OFFSET(Normalized_FCF!G8, 0, $C$4))^(1/$C$4) - 1</f>
        <v>7.4870016543118432</v>
      </c>
      <c r="E13" s="358"/>
      <c r="F13" s="358"/>
      <c r="H13" s="274">
        <v>10</v>
      </c>
      <c r="I13" s="262" t="str">
        <f t="shared" si="0"/>
        <v/>
      </c>
    </row>
    <row r="14" spans="2:9">
      <c r="B14" s="100" t="s">
        <v>66</v>
      </c>
      <c r="C14" s="159">
        <f ca="1">(Normalized_FCF!G19/OFFSET(Normalized_FCF!G19, 0, $C$4))^(1/$C$4) - 1</f>
        <v>2.0114481025475786</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2.31</v>
      </c>
      <c r="D21" t="str">
        <f>Market_currency</f>
        <v>HKD</v>
      </c>
      <c r="E21" s="359"/>
      <c r="F21" s="359"/>
    </row>
    <row r="22" spans="2:6">
      <c r="B22" s="100" t="s">
        <v>280</v>
      </c>
      <c r="C22" s="161">
        <f>DCF!C12</f>
        <v>2.7271317330551899</v>
      </c>
      <c r="D22" t="str">
        <f>Market_currency</f>
        <v>HKD</v>
      </c>
      <c r="E22" s="359"/>
      <c r="F22" s="359"/>
    </row>
    <row r="24" spans="2:6" ht="13.15">
      <c r="B24" s="160" t="s">
        <v>116</v>
      </c>
      <c r="E24" s="160" t="s">
        <v>150</v>
      </c>
      <c r="F24" s="160"/>
    </row>
    <row r="25" spans="2:6">
      <c r="B25" s="153" t="s">
        <v>134</v>
      </c>
      <c r="C25" s="167">
        <f>C18</f>
        <v>10</v>
      </c>
      <c r="D25" s="164"/>
      <c r="E25" s="357"/>
      <c r="F25" s="357"/>
    </row>
    <row r="26" spans="2:6">
      <c r="B26" s="119" t="s">
        <v>135</v>
      </c>
      <c r="C26" s="165">
        <v>0.02</v>
      </c>
      <c r="D26" s="165"/>
      <c r="E26" s="357"/>
      <c r="F26" s="357"/>
    </row>
    <row r="27" spans="2:6">
      <c r="B27" s="100" t="s">
        <v>114</v>
      </c>
      <c r="C27" s="161">
        <f>DCF!E76</f>
        <v>2.7944986232008007</v>
      </c>
      <c r="D27" s="161" t="str">
        <f>Market_currency</f>
        <v>HKD</v>
      </c>
      <c r="E27" s="357"/>
      <c r="F27" s="357"/>
    </row>
    <row r="28" spans="2:6">
      <c r="B28" s="100" t="s">
        <v>148</v>
      </c>
      <c r="C28" s="166">
        <v>0.6</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-0.08</v>
      </c>
      <c r="D32" s="165"/>
      <c r="E32" s="357"/>
      <c r="F32" s="357"/>
    </row>
    <row r="33" spans="2:6">
      <c r="B33" s="100" t="s">
        <v>114</v>
      </c>
      <c r="C33" s="161">
        <f>DCF!E77</f>
        <v>2.5117412020752652</v>
      </c>
      <c r="D33" t="str">
        <f>Market_currency</f>
        <v>HKD</v>
      </c>
      <c r="E33" s="357"/>
      <c r="F33" s="357"/>
    </row>
    <row r="34" spans="2:6">
      <c r="B34" s="100" t="s">
        <v>148</v>
      </c>
      <c r="C34" s="166">
        <v>0.2</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0.04</v>
      </c>
      <c r="D38" s="165"/>
      <c r="E38" s="357"/>
      <c r="F38" s="357"/>
    </row>
    <row r="39" spans="2:6">
      <c r="B39" s="100" t="s">
        <v>114</v>
      </c>
      <c r="C39" s="161">
        <f>DCF!E75</f>
        <v>2.8686174997672844</v>
      </c>
      <c r="D39" t="str">
        <f>Market_currency</f>
        <v>HKD</v>
      </c>
      <c r="E39" s="357"/>
      <c r="F39" s="357"/>
    </row>
    <row r="40" spans="2:6">
      <c r="B40" s="100" t="s">
        <v>148</v>
      </c>
      <c r="C40" s="168">
        <f>1-C28-C34</f>
        <v>0.2</v>
      </c>
      <c r="D40" s="166"/>
      <c r="E40" s="357"/>
      <c r="F40" s="357"/>
    </row>
    <row r="42" spans="2:6" ht="13.15">
      <c r="B42" s="100" t="s">
        <v>121</v>
      </c>
      <c r="C42" s="155">
        <f>C27*C28+C33*C34+C39*C40</f>
        <v>2.7527709142889907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-0.1</v>
      </c>
      <c r="D50" s="165"/>
      <c r="E50" s="357"/>
      <c r="F50" s="357"/>
    </row>
    <row r="51" spans="2:6">
      <c r="B51" s="100" t="s">
        <v>114</v>
      </c>
      <c r="C51" s="161">
        <f>DCF!E78</f>
        <v>2.3700082277069545</v>
      </c>
      <c r="D51" t="str">
        <f>Market_currency</f>
        <v>HKD</v>
      </c>
      <c r="E51" s="357"/>
      <c r="F51" s="357"/>
    </row>
    <row r="52" spans="2:6">
      <c r="B52" s="100" t="s">
        <v>148</v>
      </c>
      <c r="C52" s="166">
        <v>0.1</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0.08</v>
      </c>
      <c r="D56" s="165"/>
      <c r="E56" s="357"/>
      <c r="F56" s="357"/>
    </row>
    <row r="57" spans="2:6">
      <c r="B57" s="100" t="s">
        <v>114</v>
      </c>
      <c r="C57" s="161">
        <f>DCF!E74</f>
        <v>3.2910889468844626</v>
      </c>
      <c r="D57" t="str">
        <f>Market_currency</f>
        <v>HKD</v>
      </c>
      <c r="E57" s="357"/>
      <c r="F57" s="357"/>
    </row>
    <row r="58" spans="2:6">
      <c r="B58" s="100" t="s">
        <v>148</v>
      </c>
      <c r="C58" s="166">
        <v>0.05</v>
      </c>
      <c r="D58" s="166"/>
      <c r="E58" s="357"/>
      <c r="F58" s="357"/>
    </row>
    <row r="60" spans="2:6" ht="13.15">
      <c r="B60" s="100" t="s">
        <v>121</v>
      </c>
      <c r="C60" s="155">
        <f>C51*C52+C57*C58+C42*(1-C52-C58)</f>
        <v>2.7414105472605605</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8.5779014792802307E-3</v>
      </c>
      <c r="D65" s="152"/>
      <c r="E65" s="278" t="s">
        <v>315</v>
      </c>
    </row>
    <row r="66" spans="2:6">
      <c r="B66" s="100" t="s">
        <v>103</v>
      </c>
      <c r="C66" s="161">
        <f>DCF!C18</f>
        <v>2.7552464818874305</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Y</v>
      </c>
      <c r="E72" s="135" t="s">
        <v>349</v>
      </c>
      <c r="F72" s="324">
        <f>BS!D89/C60</f>
        <v>0.61415734383779552</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0.11256958853582451</v>
      </c>
      <c r="D77" t="str">
        <f>Market_currency</f>
        <v>HKD</v>
      </c>
    </row>
    <row r="79" spans="2:6" ht="13.15">
      <c r="B79" s="109" t="s">
        <v>304</v>
      </c>
    </row>
    <row r="80" spans="2:6">
      <c r="B80" s="149" t="s">
        <v>302</v>
      </c>
      <c r="C80" s="168">
        <f>Thesis!F29</f>
        <v>0.4</v>
      </c>
    </row>
    <row r="81" spans="2:8">
      <c r="B81" s="100" t="s">
        <v>122</v>
      </c>
      <c r="C81" s="117">
        <f>PV(C80, C76, -C77, 0)</f>
        <v>0.17886421502047911</v>
      </c>
      <c r="D81" s="117"/>
      <c r="E81" s="100"/>
      <c r="F81" s="100"/>
    </row>
    <row r="82" spans="2:8">
      <c r="B82" s="100" t="s">
        <v>123</v>
      </c>
      <c r="C82" s="117">
        <f>C60/(1+C80)^C76</f>
        <v>0.99905632188795968</v>
      </c>
      <c r="D82" s="117"/>
    </row>
    <row r="83" spans="2:8" ht="13.15">
      <c r="B83" s="111" t="s">
        <v>102</v>
      </c>
      <c r="C83" s="112">
        <f>C81+C82</f>
        <v>1.1779205369084389</v>
      </c>
      <c r="D83" t="str">
        <f>Market_currency</f>
        <v>HKD</v>
      </c>
      <c r="E83" s="147" t="s">
        <v>127</v>
      </c>
      <c r="F83" s="324">
        <f>(1-C83/C60)</f>
        <v>0.57032319070723925</v>
      </c>
    </row>
    <row r="84" spans="2:8">
      <c r="E84" s="121"/>
    </row>
    <row r="85" spans="2:8" ht="13.15">
      <c r="B85" s="109" t="s">
        <v>305</v>
      </c>
    </row>
    <row r="86" spans="2:8">
      <c r="B86" s="149" t="s">
        <v>303</v>
      </c>
      <c r="C86" s="264">
        <f>Market_Price</f>
        <v>2.31</v>
      </c>
      <c r="D86" t="str">
        <f>Market_currency</f>
        <v>HKD</v>
      </c>
    </row>
    <row r="87" spans="2:8" ht="13.15">
      <c r="B87" s="100" t="s">
        <v>301</v>
      </c>
      <c r="C87" s="263">
        <f ca="1">IRR(OFFSET($I$3, 0, 0, $C$76 + 1, 1))</f>
        <v>0.10488794990824868</v>
      </c>
    </row>
    <row r="88" spans="2:8">
      <c r="B88" s="100"/>
    </row>
    <row r="89" spans="2:8" ht="13.15">
      <c r="B89" s="109" t="s">
        <v>416</v>
      </c>
    </row>
    <row r="90" spans="2:8">
      <c r="B90" s="149" t="s">
        <v>417</v>
      </c>
      <c r="C90" s="168">
        <f>Thesis!F30</f>
        <v>0.21740000000000001</v>
      </c>
    </row>
    <row r="91" spans="2:8">
      <c r="B91" s="100" t="s">
        <v>122</v>
      </c>
      <c r="C91" s="117">
        <f>PV(C90, C76, -C77, 0)</f>
        <v>0.23081277707599152</v>
      </c>
      <c r="D91" s="117"/>
      <c r="E91" s="100"/>
      <c r="F91" s="100"/>
    </row>
    <row r="92" spans="2:8">
      <c r="B92" s="100" t="s">
        <v>123</v>
      </c>
      <c r="C92" s="117">
        <f>C60/(1+C90)^C76</f>
        <v>1.5194072245925461</v>
      </c>
      <c r="D92" s="117"/>
    </row>
    <row r="93" spans="2:8" ht="13.15">
      <c r="B93" s="111" t="s">
        <v>102</v>
      </c>
      <c r="C93" s="112">
        <f>C91+C92</f>
        <v>1.7502200016685376</v>
      </c>
      <c r="D93" t="str">
        <f>Market_currency</f>
        <v>HKD</v>
      </c>
      <c r="E93" s="147" t="s">
        <v>127</v>
      </c>
      <c r="F93" s="324">
        <f>(1-C93/C60)</f>
        <v>0.36156224268652526</v>
      </c>
    </row>
    <row r="95" spans="2:8" ht="13.15">
      <c r="B95" s="109" t="s">
        <v>400</v>
      </c>
      <c r="G95" s="2"/>
      <c r="H95" s="311"/>
    </row>
    <row r="96" spans="2:8">
      <c r="B96" s="149" t="s">
        <v>406</v>
      </c>
      <c r="C96" s="135">
        <f>Thesis!F31</f>
        <v>0.08</v>
      </c>
      <c r="G96" s="2"/>
      <c r="H96" s="311"/>
    </row>
    <row r="97" spans="2:8">
      <c r="B97" s="100" t="s">
        <v>122</v>
      </c>
      <c r="C97" s="117">
        <f>PV(C96, C76, -C77, 0)</f>
        <v>0.29010274747140691</v>
      </c>
      <c r="D97" s="117"/>
      <c r="G97" s="2"/>
      <c r="H97" s="311"/>
    </row>
    <row r="98" spans="2:8">
      <c r="B98" s="100" t="s">
        <v>123</v>
      </c>
      <c r="C98" s="117">
        <f>C60/(1+C96)^C76</f>
        <v>2.1762200782881802</v>
      </c>
      <c r="D98" s="117"/>
      <c r="G98" s="2"/>
      <c r="H98" s="311"/>
    </row>
    <row r="99" spans="2:8" ht="13.15">
      <c r="B99" s="111" t="s">
        <v>401</v>
      </c>
      <c r="C99" s="112">
        <f>C97+C98</f>
        <v>2.4663228257595873</v>
      </c>
      <c r="D99" t="s">
        <v>399</v>
      </c>
      <c r="E99" s="147" t="s">
        <v>127</v>
      </c>
      <c r="F99" s="324">
        <f>(1-C99/C60)</f>
        <v>0.10034532105228211</v>
      </c>
    </row>
    <row r="100" spans="2:8">
      <c r="B100" s="100"/>
    </row>
    <row r="101" spans="2:8" ht="13.15">
      <c r="B101" s="109" t="s">
        <v>426</v>
      </c>
    </row>
    <row r="102" spans="2:8">
      <c r="B102" s="149" t="s">
        <v>425</v>
      </c>
      <c r="C102" s="135">
        <f>Thesis!F32</f>
        <v>0.1174</v>
      </c>
    </row>
    <row r="103" spans="2:8">
      <c r="B103" s="100" t="s">
        <v>122</v>
      </c>
      <c r="C103" s="117">
        <f>PV(C102, C76, -C77, 0)</f>
        <v>0.27158574118715773</v>
      </c>
      <c r="D103" s="117"/>
    </row>
    <row r="104" spans="2:8">
      <c r="B104" s="100" t="s">
        <v>123</v>
      </c>
      <c r="C104" s="117">
        <f>C60/(1+C102)^C76</f>
        <v>1.9649345012694044</v>
      </c>
      <c r="D104" s="117"/>
    </row>
    <row r="105" spans="2:8" ht="13.15">
      <c r="B105" s="111" t="s">
        <v>401</v>
      </c>
      <c r="C105" s="112">
        <f>C103+C104</f>
        <v>2.236520242456562</v>
      </c>
      <c r="D105" t="s">
        <v>399</v>
      </c>
      <c r="E105" s="147" t="s">
        <v>127</v>
      </c>
      <c r="F105" s="324">
        <f>(1-C105/C66)</f>
        <v>0.18826854252093073</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2025-05-18T07:17:21Z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