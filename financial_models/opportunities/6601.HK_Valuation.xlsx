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95FA54D-0F90-4670-9EEC-52F85284C3F1}"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2" i="2"/>
  <c r="P94" i="2"/>
  <c r="O92" i="2"/>
  <c r="O94" i="2"/>
  <c r="Q92" i="2"/>
  <c r="Q94" i="2"/>
  <c r="J92" i="2"/>
  <c r="J94" i="2"/>
  <c r="N92" i="2"/>
  <c r="N94" i="2"/>
  <c r="K92" i="2"/>
  <c r="K94" i="2"/>
  <c r="I94" i="2"/>
  <c r="L92" i="2"/>
  <c r="L94" i="2"/>
  <c r="M92" i="2"/>
  <c r="M94" i="2"/>
  <c r="H94" i="2"/>
  <c r="L121" i="2"/>
  <c r="L119" i="2"/>
  <c r="L118" i="2"/>
  <c r="M121" i="2"/>
  <c r="M119" i="2"/>
  <c r="M118" i="2"/>
  <c r="N121" i="2"/>
  <c r="N118" i="2"/>
  <c r="N119" i="2"/>
  <c r="P121" i="2"/>
  <c r="P118" i="2"/>
  <c r="P119" i="2"/>
  <c r="O121" i="2"/>
  <c r="O118" i="2"/>
  <c r="O119" i="2"/>
  <c r="Q121" i="2"/>
  <c r="Q118" i="2"/>
  <c r="Q119" i="2"/>
  <c r="J121" i="2"/>
  <c r="J118" i="2"/>
  <c r="J119" i="2"/>
  <c r="K121" i="2"/>
  <c r="K118"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17" i="2"/>
  <c r="K117" i="2"/>
  <c r="J13" i="2"/>
  <c r="M76" i="2"/>
  <c r="L13" i="2"/>
  <c r="K13" i="2"/>
  <c r="K16" i="2" s="1"/>
  <c r="K19" i="2" s="1"/>
  <c r="N13" i="2"/>
  <c r="N98" i="2" s="1"/>
  <c r="M13" i="2"/>
  <c r="I13" i="2"/>
  <c r="I121" i="2" s="1"/>
  <c r="I117" i="2" s="1"/>
  <c r="K76" i="2"/>
  <c r="K115" i="2" l="1"/>
  <c r="C8" i="9"/>
  <c r="C67" i="6"/>
  <c r="G87" i="2"/>
  <c r="K81" i="2"/>
  <c r="K98" i="2"/>
  <c r="L98" i="2"/>
  <c r="M98" i="2"/>
  <c r="I98" i="2"/>
  <c r="H98" i="2"/>
  <c r="J98" i="2"/>
  <c r="I16" i="2"/>
  <c r="I19" i="2" s="1"/>
  <c r="I92" i="2" s="1"/>
  <c r="I81" i="2"/>
  <c r="I118" i="2" s="1"/>
  <c r="N16" i="2"/>
  <c r="N19" i="2" s="1"/>
  <c r="N81" i="2"/>
  <c r="L16" i="2"/>
  <c r="L81" i="2"/>
  <c r="J16" i="2"/>
  <c r="J19" i="2" s="1"/>
  <c r="J81" i="2"/>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<sst xmlns="http://schemas.openxmlformats.org/spreadsheetml/2006/main" count="686" uniqueCount="466">
  <si>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</si>
  <si>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</si>
  <si>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</si>
  <si>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</si>
  <si>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</si>
  <si>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</si>
  <si>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</si>
  <si>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</si>
  <si>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</si>
  <si>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</si>
  <si>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</si>
  <si>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</si>
  <si>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</si>
  <si>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</si>
  <si>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</si>
  <si>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</si>
  <si>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</si>
  <si>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</si>
  <si>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</si>
  <si>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</si>
  <si>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</si>
  <si>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</si>
  <si>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</si>
  <si>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</si>
  <si>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</si>
  <si>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</si>
  <si>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</si>
  <si>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</si>
  <si>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</si>
  <si>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</si>
  <si>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</si>
  <si>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</si>
  <si>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</si>
  <si>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</si>
  <si>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</si>
  <si>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</si>
  <si>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</si>
  <si>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</si>
  <si>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</si>
  <si>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</si>
  <si>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</si>
  <si>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</si>
  <si>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</si>
  <si>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</si>
  <si>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</si>
  <si>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</si>
  <si>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</si>
  <si>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</si>
  <si>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</si>
  <si>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</si>
  <si>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</si>
  <si>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</si>
  <si>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</si>
  <si>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</si>
  <si>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</si>
  <si>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</si>
  <si>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</si>
  <si>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</si>
  <si>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</si>
  <si>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</si>
  <si>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</si>
  <si>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</si>
  <si>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</si>
  <si>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</si>
  <si>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</si>
  <si>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</si>
  <si>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</si>
  <si>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</si>
  <si>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</si>
  <si>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</si>
  <si>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</si>
  <si>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</si>
  <si>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</si>
  <si>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</si>
  <si>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</si>
  <si>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</si>
  <si>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</si>
  <si>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</si>
  <si>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</si>
  <si>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</si>
  <si>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</si>
  <si>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</si>
  <si>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</si>
  <si>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</si>
  <si>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</si>
  <si>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</si>
  <si>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</si>
  <si>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</si>
  <si>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</si>
  <si>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</si>
  <si>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</si>
  <si>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</si>
  <si>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</si>
  <si>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</si>
  <si>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</si>
  <si>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</si>
  <si>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</si>
  <si>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</si>
  <si>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</si>
  <si>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</si>
  <si>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</si>
  <si>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</si>
  <si>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</si>
  <si>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</si>
  <si>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</si>
  <si>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</si>
  <si>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</si>
  <si>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</si>
  <si>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</si>
  <si>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</si>
  <si>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</si>
  <si>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</si>
  <si>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</si>
  <si>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</si>
  <si>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</si>
  <si>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</si>
  <si>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</si>
  <si>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</si>
  <si>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</si>
  <si>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</si>
  <si>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</si>
  <si>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</si>
  <si>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</si>
  <si>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</si>
  <si>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</si>
  <si>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</si>
  <si>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</si>
  <si>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</si>
  <si>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</si>
  <si>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</si>
  <si>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</si>
  <si>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</si>
  <si>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</si>
  <si>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</si>
  <si>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</si>
  <si>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</si>
  <si>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</si>
  <si>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</si>
  <si>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</si>
  <si>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</si>
  <si>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</si>
  <si>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</si>
  <si>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</si>
  <si>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</si>
  <si>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</si>
  <si>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</si>
  <si>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</si>
  <si>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</si>
  <si>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</si>
  <si>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</si>
  <si>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</si>
  <si>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</si>
  <si>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</si>
  <si>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</si>
  <si>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</si>
  <si>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</si>
  <si>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</si>
  <si>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</si>
  <si>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</si>
  <si>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</si>
  <si>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</si>
  <si>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</si>
  <si>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</si>
  <si>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</si>
  <si>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</si>
  <si>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</si>
  <si>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</si>
  <si>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</si>
  <si>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</si>
  <si>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</si>
  <si>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</si>
  <si>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</si>
  <si>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</si>
  <si>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</si>
  <si>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</si>
  <si>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</si>
  <si>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</si>
  <si>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</si>
  <si>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</si>
  <si>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</si>
  <si>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</si>
  <si>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</si>
  <si>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</si>
  <si>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</si>
  <si>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</si>
  <si>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</si>
  <si>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</si>
  <si>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</si>
  <si>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</si>
  <si>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</si>
  <si>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</si>
  <si>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</si>
  <si>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</si>
  <si>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</si>
  <si>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</si>
  <si>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</si>
  <si>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</si>
  <si>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</si>
  <si>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</si>
  <si>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</si>
  <si>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</si>
  <si>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</si>
  <si>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</si>
  <si>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</si>
  <si>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</si>
  <si>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</si>
  <si>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</si>
  <si>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</si>
  <si>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</si>
  <si>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</si>
  <si>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</si>
  <si>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</si>
  <si>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</si>
  <si>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</si>
  <si>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</si>
  <si>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</si>
  <si>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</si>
  <si>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</si>
  <si>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</si>
  <si>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</si>
  <si>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</si>
  <si>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</si>
  <si>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</si>
  <si>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</si>
  <si>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</si>
  <si>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</si>
  <si>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</si>
  <si>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</si>
  <si>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</si>
  <si>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</si>
  <si>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</si>
  <si>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</si>
  <si>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</si>
  <si>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</si>
  <si>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</si>
  <si>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</si>
  <si>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</si>
  <si>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</si>
  <si>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</si>
  <si>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</si>
  <si>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</si>
  <si>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</si>
  <si>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</si>
  <si>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</si>
  <si>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</si>
  <si>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</si>
  <si>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</si>
  <si>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</si>
  <si>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</si>
  <si>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</si>
  <si>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</si>
  <si>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</si>
  <si>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</si>
  <si>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</si>
  <si>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</si>
  <si>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</si>
  <si>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</si>
  <si>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</si>
  <si>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</si>
  <si>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</si>
  <si>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</si>
  <si>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</si>
  <si>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</si>
  <si>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</si>
  <si>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</si>
  <si>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</si>
  <si>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</si>
  <si>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</si>
  <si>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</si>
  <si>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</si>
  <si>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</si>
  <si>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</si>
  <si>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</si>
  <si>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</si>
  <si>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</si>
  <si>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</si>
  <si>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</si>
  <si>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</si>
  <si>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</si>
  <si>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</si>
  <si>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</si>
  <si>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</si>
  <si>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</si>
  <si>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</si>
  <si>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</si>
  <si>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</si>
  <si>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</si>
  <si>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</si>
  <si>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</si>
  <si>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</si>
  <si>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</si>
  <si>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</si>
  <si>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</si>
  <si>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</si>
  <si>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</si>
  <si>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</si>
  <si>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</si>
  <si>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</si>
  <si>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</si>
  <si>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</si>
  <si>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</si>
  <si>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</si>
  <si>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</si>
  <si>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</si>
  <si>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</si>
  <si>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</si>
  <si>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</si>
  <si>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</si>
  <si>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</si>
  <si>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</si>
  <si>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</si>
  <si>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</si>
  <si>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</si>
  <si>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</si>
  <si>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</si>
  <si>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</si>
  <si>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</si>
  <si>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</si>
  <si>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</si>
  <si>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</si>
  <si>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</si>
  <si>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</si>
  <si>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</si>
  <si>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</si>
  <si>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</si>
  <si>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</si>
  <si>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</si>
  <si>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</si>
  <si>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</si>
  <si>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</si>
  <si>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</si>
  <si>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</si>
  <si>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</si>
  <si>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</si>
  <si>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</si>
  <si>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</si>
  <si>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</si>
  <si>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</si>
  <si>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</si>
  <si>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</si>
  <si>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</si>
  <si>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</si>
  <si>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</si>
  <si>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</si>
  <si>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</si>
  <si>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</si>
  <si>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</si>
  <si>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</si>
  <si>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</si>
  <si>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</si>
  <si>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</si>
  <si>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</si>
  <si>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</si>
  <si>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</si>
  <si>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</si>
  <si>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</si>
  <si>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</si>
  <si>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</si>
  <si>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</si>
  <si>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</si>
  <si>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</si>
  <si>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</si>
  <si>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</si>
  <si>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</si>
  <si>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</si>
  <si>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</si>
  <si>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</si>
  <si>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</si>
  <si>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</si>
  <si>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</si>
  <si>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</si>
  <si>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</si>
  <si>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</si>
  <si>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</si>
  <si>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</si>
  <si>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</si>
  <si>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</si>
  <si>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</si>
  <si>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</si>
  <si>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</si>
  <si>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</si>
  <si>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</si>
  <si>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</si>
  <si>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</si>
  <si>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</si>
  <si>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</si>
  <si>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</si>
  <si>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</si>
  <si>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</si>
  <si>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</si>
  <si>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</si>
  <si>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</si>
  <si>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</si>
  <si>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</si>
  <si>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</si>
  <si>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</si>
  <si>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</si>
  <si>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</si>
  <si>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</si>
  <si>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</si>
  <si>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</si>
  <si>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</si>
  <si>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</si>
  <si>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</si>
  <si>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</si>
  <si>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</si>
  <si>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</si>
  <si>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</si>
  <si>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</si>
  <si>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</si>
  <si>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</si>
  <si>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</si>
  <si>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</si>
  <si>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</si>
  <si>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</si>
  <si>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</si>
  <si>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</si>
  <si>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</si>
  <si>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</si>
  <si>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</si>
  <si>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</si>
  <si>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</si>
  <si>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</si>
  <si>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</si>
  <si>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</si>
  <si>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</si>
  <si>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</si>
  <si>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</si>
  <si>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</si>
  <si>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</si>
  <si>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</si>
  <si>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</si>
  <si>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</si>
  <si>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</si>
  <si>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</si>
  <si>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</si>
  <si>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</si>
  <si>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</si>
  <si>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</si>
  <si>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</si>
  <si>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</si>
  <si>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</si>
  <si>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</si>
  <si>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</si>
  <si>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</si>
  <si>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</si>
  <si>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</si>
  <si>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</si>
  <si>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</si>
  <si>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</si>
  <si>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</si>
  <si>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</si>
  <si>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</si>
  <si>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</si>
  <si>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</si>
  <si>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</si>
  <si>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</si>
  <si>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</si>
  <si>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朝云集团</t>
  </si>
  <si>
    <t>6601.HK</t>
  </si>
  <si>
    <t/>
  </si>
  <si>
    <t>CNS_04</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</si>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</sst>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45730</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1333333500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2.69</v>
      </c>
      <c r="D12" s="50"/>
      <c r="E12" s="48"/>
    </row>
    <row r="13" spans="1:10">
      <c r="B13" s="1" t="s">
        <v>413</v>
      </c>
      <c r="C13" s="48" t="s">
        <v>393</v>
      </c>
      <c r="D13" s="48"/>
      <c r="E13" s="5"/>
    </row>
    <row r="14" spans="1:10">
      <c r="B14" s="4" t="s">
        <v>417</v>
      </c>
      <c r="C14" s="35">
        <f>Thesis!C12*Common_Shares/1000000</f>
        <v>3586.6671150000002</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1.0958041599999999</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Low Growth Asset Play</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2.8431867356241205</v>
      </c>
      <c r="D26" s="1" t="s">
        <v>396</v>
      </c>
      <c r="E26" s="301">
        <f ca="1">Scenarios!C87</f>
        <v>5.9288032965278736E-2</v>
      </c>
    </row>
    <row r="27" spans="2:6">
      <c r="D27" s="5"/>
      <c r="E27" s="5"/>
    </row>
    <row r="28" spans="2:6">
      <c r="B28" s="45" t="s">
        <v>430</v>
      </c>
      <c r="C28" s="309" t="str">
        <f>C145&amp;" ("&amp;Market_currency&amp;")"</f>
        <v>6601.HK (HKD)</v>
      </c>
      <c r="D28" s="309" t="str">
        <f>IF(D11="","",D145&amp;" ("&amp;D13&amp;")")</f>
        <v/>
      </c>
      <c r="E28" s="305" t="s">
        <v>426</v>
      </c>
      <c r="F28" s="303">
        <v>3</v>
      </c>
    </row>
    <row r="29" spans="2:6">
      <c r="B29" s="1" t="s">
        <v>422</v>
      </c>
      <c r="C29" s="310">
        <f>C149</f>
        <v>1.344399475401113</v>
      </c>
      <c r="D29" s="310" t="str">
        <f>D149</f>
        <v/>
      </c>
      <c r="E29" s="306" t="s">
        <v>421</v>
      </c>
      <c r="F29" s="302">
        <v>0.35</v>
      </c>
    </row>
    <row r="30" spans="2:6">
      <c r="B30" s="1" t="s">
        <v>423</v>
      </c>
      <c r="C30" s="311">
        <f>C157</f>
        <v>1.6730351128686265</v>
      </c>
      <c r="D30" s="311" t="str">
        <f>D157</f>
        <v/>
      </c>
      <c r="E30" s="307" t="s">
        <v>434</v>
      </c>
      <c r="F30" s="312">
        <v>0.25</v>
      </c>
    </row>
    <row r="31" spans="2:6">
      <c r="B31" s="1" t="s">
        <v>424</v>
      </c>
      <c r="C31" s="311">
        <f>C165</f>
        <v>2.5781795288004727</v>
      </c>
      <c r="D31" s="311" t="str">
        <f>D165</f>
        <v/>
      </c>
      <c r="E31" s="307" t="s">
        <v>433</v>
      </c>
      <c r="F31" s="312">
        <v>7.4999999999999997E-2</v>
      </c>
    </row>
    <row r="32" spans="2:6">
      <c r="B32" s="1" t="s">
        <v>425</v>
      </c>
      <c r="C32" s="311">
        <f>C173</f>
        <v>2.3064878252591741</v>
      </c>
      <c r="D32" s="311" t="str">
        <f>D173</f>
        <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113776.93034265516</v>
      </c>
      <c r="D41" s="1" t="str">
        <f>Reporting_currency</f>
        <v>CNY</v>
      </c>
    </row>
    <row r="42" spans="1:6">
      <c r="B42" s="47"/>
      <c r="C42" s="76"/>
    </row>
    <row r="43" spans="1:6" ht="24.6" customHeight="1">
      <c r="B43" s="361" t="s">
        <v>232</v>
      </c>
      <c r="C43" s="361"/>
      <c r="D43" s="361"/>
      <c r="E43" s="361"/>
      <c r="F43" s="361"/>
    </row>
    <row r="44" spans="1:6">
      <c r="B44" s="47" t="s">
        <v>233</v>
      </c>
      <c r="C44" s="349">
        <f>Normalized_FCF!C9</f>
        <v>35974</v>
      </c>
      <c r="D44" s="1" t="str">
        <f>Reporting_currency</f>
        <v>CNY</v>
      </c>
    </row>
    <row r="45" spans="1:6">
      <c r="B45" s="52" t="s">
        <v>234</v>
      </c>
      <c r="C45" s="349">
        <f>Normalized_FCF!C10</f>
        <v>-35974</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25012.030839691728</v>
      </c>
      <c r="D51" s="1" t="str">
        <f>Reporting_currency</f>
        <v>CNY</v>
      </c>
      <c r="E51" s="286"/>
      <c r="F51" s="286"/>
    </row>
    <row r="52" spans="2:6">
      <c r="B52" s="47" t="s">
        <v>338</v>
      </c>
      <c r="C52" s="350">
        <f>Normalized_FCF!C47</f>
        <v>-1880</v>
      </c>
      <c r="D52" s="1" t="str">
        <f>Reporting_currency</f>
        <v>CNY</v>
      </c>
      <c r="E52" s="286"/>
      <c r="F52" s="286"/>
    </row>
    <row r="53" spans="2:6">
      <c r="B53" s="47" t="s">
        <v>237</v>
      </c>
      <c r="C53" s="349">
        <f>Normalized_FCF!C12</f>
        <v>23132.030839691728</v>
      </c>
      <c r="D53" s="1" t="str">
        <f>Reporting_currency</f>
        <v>CNY</v>
      </c>
    </row>
    <row r="55" spans="2:6">
      <c r="B55" s="1" t="s">
        <v>245</v>
      </c>
    </row>
    <row r="56" spans="2:6">
      <c r="B56" s="47" t="s">
        <v>264</v>
      </c>
      <c r="C56" s="349">
        <f>Normalized_FCF!C15</f>
        <v>0</v>
      </c>
      <c r="D56" s="1" t="str">
        <f>Reporting_currency</f>
        <v>CNY</v>
      </c>
    </row>
    <row r="58" spans="2:6">
      <c r="B58" s="361" t="s">
        <v>240</v>
      </c>
      <c r="C58" s="361"/>
      <c r="D58" s="361"/>
      <c r="E58" s="361"/>
      <c r="F58" s="361"/>
    </row>
    <row r="59" spans="2:6">
      <c r="B59" s="47" t="s">
        <v>238</v>
      </c>
      <c r="C59" s="349">
        <f>Normalized_FCF!C14</f>
        <v>-34227.240295586722</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133750.03083969172</v>
      </c>
      <c r="D67" s="1" t="str">
        <f>Reporting_currency</f>
        <v>CNY</v>
      </c>
    </row>
    <row r="68" spans="1:6">
      <c r="B68" s="47" t="s">
        <v>247</v>
      </c>
      <c r="C68" s="349">
        <f>Normalized_FCF!C19</f>
        <v>102681.72088676016</v>
      </c>
      <c r="D68" s="1" t="str">
        <f>Reporting_currency</f>
        <v>CNY</v>
      </c>
    </row>
    <row r="69" spans="1:6">
      <c r="B69" s="227" t="s">
        <v>387</v>
      </c>
      <c r="C69" s="92">
        <f>Normalized_FCF!C126</f>
        <v>3.1371480345387628E-2</v>
      </c>
      <c r="F69" s="314"/>
    </row>
    <row r="70" spans="1:6">
      <c r="B70" s="227" t="s">
        <v>455</v>
      </c>
      <c r="C70" s="92">
        <f>Normalized_FCF!C94</f>
        <v>4.1388015766705179E-2</v>
      </c>
      <c r="E70" s="47" t="s">
        <v>445</v>
      </c>
      <c r="F70" s="315">
        <f>Normalized_FCF!C92</f>
        <v>1.4456812159318178</v>
      </c>
    </row>
    <row r="72" spans="1:6">
      <c r="B72" s="210" t="s">
        <v>448</v>
      </c>
      <c r="C72" s="323" t="s">
        <v>450</v>
      </c>
      <c r="D72" s="323" t="s">
        <v>451</v>
      </c>
    </row>
    <row r="73" spans="1:6">
      <c r="B73" s="47" t="s">
        <v>449</v>
      </c>
      <c r="C73" s="92">
        <f>Normalized_FCF!C121</f>
        <v>4.3341722900326542E-2</v>
      </c>
      <c r="D73" s="92">
        <f>Normalized_FCF!G121</f>
        <v>5.7306110194006166E-2</v>
      </c>
    </row>
    <row r="74" spans="1:6">
      <c r="B74" s="259" t="str">
        <f>Normalized_FCF!B118</f>
        <v>Pre-tax Profit/Sales</v>
      </c>
      <c r="C74" s="322">
        <f>Normalized_FCF!C118</f>
        <v>8.4125161433553086E-2</v>
      </c>
      <c r="D74" s="322">
        <f>Normalized_FCF!G118</f>
        <v>9.9455653642361724E-2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1.1251904283879033</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33999</v>
      </c>
      <c r="D102" s="1" t="str">
        <f>Reporting_currency</f>
        <v>CNY</v>
      </c>
    </row>
    <row r="103" spans="2:6">
      <c r="B103" s="47" t="s">
        <v>280</v>
      </c>
      <c r="C103" s="223">
        <f>C102*scaling_factor*Exchange_Rate/Common_Shares</f>
        <v>2.7942180734107407E-2</v>
      </c>
      <c r="D103" s="1" t="str">
        <f>Market_currency</f>
        <v>HKD</v>
      </c>
    </row>
    <row r="104" spans="2:6">
      <c r="B104" s="296" t="s">
        <v>401</v>
      </c>
      <c r="C104" s="325">
        <f>IF(BS!G31/BS!G27&gt;300%,"nm",BS!G31/BS!G27)</f>
        <v>1.0763175939415467E-2</v>
      </c>
    </row>
    <row r="105" spans="2:6">
      <c r="B105" s="296" t="s">
        <v>403</v>
      </c>
      <c r="C105" s="326">
        <f>IF(BS!C50&gt;30,"nm",BS!C50)</f>
        <v>0.29882156160837919</v>
      </c>
    </row>
    <row r="107" spans="2:6">
      <c r="B107" s="1" t="s">
        <v>253</v>
      </c>
    </row>
    <row r="108" spans="2:6">
      <c r="B108" s="47" t="s">
        <v>263</v>
      </c>
      <c r="C108" s="349">
        <f>BS!C66</f>
        <v>2707640</v>
      </c>
      <c r="D108" s="1" t="str">
        <f>Reporting_currency</f>
        <v>CNY</v>
      </c>
    </row>
    <row r="109" spans="2:6">
      <c r="B109" s="47" t="s">
        <v>265</v>
      </c>
      <c r="C109" s="349">
        <f>DCF!C8</f>
        <v>1876584.1142852227</v>
      </c>
      <c r="D109" s="1" t="str">
        <f>Reporting_currency</f>
        <v>CNY</v>
      </c>
    </row>
    <row r="110" spans="2:6">
      <c r="B110" s="47" t="s">
        <v>281</v>
      </c>
      <c r="C110" s="223">
        <f>C109*scaling_factor*Exchange_Rate/Common_Shares</f>
        <v>1.5422763164832072</v>
      </c>
      <c r="D110" s="1" t="str">
        <f>Market_currency</f>
        <v>HKD</v>
      </c>
    </row>
    <row r="112" spans="2:6">
      <c r="B112" s="1" t="s">
        <v>255</v>
      </c>
    </row>
    <row r="113" spans="1:6">
      <c r="B113" s="47" t="s">
        <v>256</v>
      </c>
      <c r="C113" s="349">
        <f>DCF!C9</f>
        <v>229590.09999999998</v>
      </c>
      <c r="D113" s="1" t="str">
        <f>Reporting_currency</f>
        <v>CNY</v>
      </c>
    </row>
    <row r="114" spans="1:6">
      <c r="B114" s="47" t="s">
        <v>282</v>
      </c>
      <c r="C114" s="223">
        <f>C113*scaling_factor*Exchange_Rate/Common_Shares</f>
        <v>0.18868931641994741</v>
      </c>
      <c r="D114" s="1" t="str">
        <f>Market_currency</f>
        <v>HKD</v>
      </c>
    </row>
    <row r="116" spans="1:6" ht="24.6" customHeight="1">
      <c r="B116" s="360" t="s">
        <v>363</v>
      </c>
      <c r="C116" s="360"/>
      <c r="D116" s="360"/>
      <c r="E116" s="360"/>
      <c r="F116" s="360"/>
    </row>
    <row r="118" spans="1:6">
      <c r="B118" s="47" t="s">
        <v>446</v>
      </c>
      <c r="C118" s="223">
        <f>IF(valuation_method="DCF",DCF!C12,DDM!C7)</f>
        <v>2.8282138805569503</v>
      </c>
      <c r="D118" s="1" t="str">
        <f>Market_currency</f>
        <v>HKD</v>
      </c>
    </row>
    <row r="119" spans="1:6">
      <c r="B119" s="296" t="s">
        <v>402</v>
      </c>
      <c r="C119" s="223">
        <f>BS!D47</f>
        <v>1.9162200850823776</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15</v>
      </c>
      <c r="E126" s="231" t="str">
        <f>ROUND(IF(valuation_method="DCF",DCF!E74,DDM!E69),2)&amp;" "&amp;Market_currency</f>
        <v>3.43 HKD</v>
      </c>
      <c r="F126" s="232">
        <f>DCF!F74</f>
        <v>0.05</v>
      </c>
    </row>
    <row r="127" spans="1:6">
      <c r="B127" s="218" t="str">
        <f>DCF!B75</f>
        <v>Optimistic</v>
      </c>
      <c r="C127" s="219">
        <f>DCF!C75</f>
        <v>0.04</v>
      </c>
      <c r="D127" s="220">
        <f>DCF!D75</f>
        <v>10</v>
      </c>
      <c r="E127" s="231" t="str">
        <f>ROUND(IF(valuation_method="DCF",DCF!E75,DDM!E70),2)&amp;" "&amp;Market_currency</f>
        <v>2.98 HKD</v>
      </c>
      <c r="F127" s="221">
        <f>DCF!F75</f>
        <v>0.17</v>
      </c>
    </row>
    <row r="128" spans="1:6">
      <c r="B128" s="218" t="str">
        <f>DCF!B76</f>
        <v>Base</v>
      </c>
      <c r="C128" s="219">
        <f>DCF!C76</f>
        <v>0.02</v>
      </c>
      <c r="D128" s="220">
        <f>DCF!D76</f>
        <v>10</v>
      </c>
      <c r="E128" s="231" t="str">
        <f>ROUND(IF(valuation_method="DCF",DCF!E76,DDM!E71),2)&amp;" "&amp;Market_currency</f>
        <v>2.9 HKD</v>
      </c>
      <c r="F128" s="221">
        <f>DCF!F76</f>
        <v>0.51</v>
      </c>
    </row>
    <row r="129" spans="1:6">
      <c r="B129" s="218" t="str">
        <f>DCF!B77</f>
        <v>Pessimistic</v>
      </c>
      <c r="C129" s="219">
        <f>DCF!C77</f>
        <v>-0.08</v>
      </c>
      <c r="D129" s="220">
        <f>DCF!D77</f>
        <v>10</v>
      </c>
      <c r="E129" s="231" t="str">
        <f>ROUND(IF(valuation_method="DCF",DCF!E77,DDM!E72),2)&amp;" "&amp;Market_currency</f>
        <v>2.6 HKD</v>
      </c>
      <c r="F129" s="221">
        <f>DCF!F77</f>
        <v>0.17</v>
      </c>
    </row>
    <row r="130" spans="1:6">
      <c r="B130" s="218" t="str">
        <f>DCF!B78</f>
        <v>Devil's advocate</v>
      </c>
      <c r="C130" s="219">
        <f>DCF!C78</f>
        <v>-0.1</v>
      </c>
      <c r="D130" s="220">
        <f>DCF!D78</f>
        <v>15</v>
      </c>
      <c r="E130" s="231" t="str">
        <f>ROUND(IF(valuation_method="DCF",DCF!E78,DDM!E73),2)&amp;" "&amp;Market_currency</f>
        <v>2.45 HKD</v>
      </c>
      <c r="F130" s="221">
        <f>DCF!F78</f>
        <v>0.1</v>
      </c>
    </row>
    <row r="132" spans="1:6">
      <c r="B132" s="211" t="s">
        <v>257</v>
      </c>
      <c r="C132" s="217">
        <f>Scenarios!C60</f>
        <v>2.8431867356241205</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0.11133376241243692</v>
      </c>
      <c r="D143" s="212" t="str">
        <f>Market_currency</f>
        <v>HKD</v>
      </c>
    </row>
    <row r="145" spans="2:4">
      <c r="B145" s="210" t="s">
        <v>405</v>
      </c>
      <c r="C145" s="241" t="str">
        <f>C11</f>
        <v>6601.HK</v>
      </c>
      <c r="D145" s="241" t="str">
        <f>IF(D11="","",D11)</f>
        <v/>
      </c>
    </row>
    <row r="146" spans="2:4">
      <c r="B146" s="1" t="s">
        <v>404</v>
      </c>
      <c r="C146" s="297">
        <f>F29</f>
        <v>0.35</v>
      </c>
    </row>
    <row r="147" spans="2:4">
      <c r="B147" s="212" t="str">
        <f>"PV("&amp;C141&amp;" yrs of Dividends)"</f>
        <v>PV(3 yrs of Dividends)</v>
      </c>
      <c r="C147" s="216">
        <f>Scenarios!C81</f>
        <v>0.18880866683570313</v>
      </c>
    </row>
    <row r="148" spans="2:4">
      <c r="B148" s="212" t="str">
        <f>"+ PV(Equity Value realized at year "&amp;C141&amp;")"</f>
        <v>+ PV(Equity Value realized at year 3)</v>
      </c>
      <c r="C148" s="216">
        <f>Scenarios!C82</f>
        <v>1.1555908085654099</v>
      </c>
    </row>
    <row r="149" spans="2:4">
      <c r="B149" s="80" t="s">
        <v>259</v>
      </c>
      <c r="C149" s="215">
        <f>Scenarios!C83</f>
        <v>1.344399475401113</v>
      </c>
      <c r="D149" s="300" t="str">
        <f>IF($D$11="","",C149*$E$25)</f>
        <v/>
      </c>
    </row>
    <row r="150" spans="2:4">
      <c r="B150" s="259" t="s">
        <v>413</v>
      </c>
      <c r="C150" s="298" t="str">
        <f>Market_currency</f>
        <v>HKD</v>
      </c>
      <c r="D150" s="298" t="str">
        <f>IF($D$11="","",D$13)</f>
        <v/>
      </c>
    </row>
    <row r="151" spans="2:4">
      <c r="B151" s="214" t="s">
        <v>261</v>
      </c>
      <c r="C151" s="92">
        <f>Scenarios!F83</f>
        <v>0.52715048274660792</v>
      </c>
    </row>
    <row r="153" spans="2:4">
      <c r="B153" s="210" t="s">
        <v>408</v>
      </c>
    </row>
    <row r="154" spans="2:4">
      <c r="B154" s="1" t="s">
        <v>407</v>
      </c>
      <c r="C154" s="297">
        <f>Scenarios!C90</f>
        <v>0.25</v>
      </c>
    </row>
    <row r="155" spans="2:4">
      <c r="B155" s="212" t="str">
        <f>"PV("&amp;C141&amp;" yrs of Dividends)"</f>
        <v>PV(3 yrs of Dividends)</v>
      </c>
      <c r="C155" s="216">
        <f>Scenarios!C91</f>
        <v>0.21732350422907687</v>
      </c>
    </row>
    <row r="156" spans="2:4">
      <c r="B156" s="212" t="str">
        <f>"+ PV(Equity Value realized at year "&amp;C141&amp;")"</f>
        <v>+ PV(Equity Value realized at year 3)</v>
      </c>
      <c r="C156" s="216">
        <f>Scenarios!C92</f>
        <v>1.4557116086395496</v>
      </c>
    </row>
    <row r="157" spans="2:4">
      <c r="B157" s="80" t="s">
        <v>259</v>
      </c>
      <c r="C157" s="215">
        <f>Scenarios!C93</f>
        <v>1.6730351128686265</v>
      </c>
      <c r="D157" s="300" t="str">
        <f>IF($D$11="","",C157*$E$25)</f>
        <v/>
      </c>
    </row>
    <row r="158" spans="2:4">
      <c r="B158" s="259" t="s">
        <v>413</v>
      </c>
      <c r="C158" s="298" t="str">
        <f>Market_currency</f>
        <v>HKD</v>
      </c>
      <c r="D158" s="298" t="str">
        <f>IF($D$11="","",D$13)</f>
        <v/>
      </c>
    </row>
    <row r="159" spans="2:4">
      <c r="B159" s="214" t="s">
        <v>261</v>
      </c>
      <c r="C159" s="92">
        <f>Scenarios!F93</f>
        <v>0.41156340809202208</v>
      </c>
    </row>
    <row r="161" spans="2:4">
      <c r="B161" s="210" t="s">
        <v>397</v>
      </c>
    </row>
    <row r="162" spans="2:4">
      <c r="B162" s="1" t="s">
        <v>406</v>
      </c>
      <c r="C162" s="92">
        <f>Scenarios!C96</f>
        <v>7.4999999999999997E-2</v>
      </c>
    </row>
    <row r="163" spans="2:4">
      <c r="B163" s="212" t="str">
        <f>"PV("&amp;C141&amp;" yrs of Dividends)"</f>
        <v>PV(3 yrs of Dividends)</v>
      </c>
      <c r="C163" s="216">
        <f>Scenarios!C97</f>
        <v>0.28952631487033148</v>
      </c>
    </row>
    <row r="164" spans="2:4">
      <c r="B164" s="212" t="str">
        <f>"+ PV(Equity Value realized at year "&amp;C141&amp;")"</f>
        <v>+ PV(Equity Value realized at year 3)</v>
      </c>
      <c r="C164" s="216">
        <f>Scenarios!C98</f>
        <v>2.2886532139301412</v>
      </c>
    </row>
    <row r="165" spans="2:4">
      <c r="B165" s="80" t="s">
        <v>398</v>
      </c>
      <c r="C165" s="215">
        <f>Scenarios!C99</f>
        <v>2.5781795288004727</v>
      </c>
      <c r="D165" s="300" t="str">
        <f>IF($D$11="","",C165*$E$25)</f>
        <v/>
      </c>
    </row>
    <row r="166" spans="2:4">
      <c r="B166" s="259" t="s">
        <v>413</v>
      </c>
      <c r="C166" s="298" t="str">
        <f>Market_currency</f>
        <v>HKD</v>
      </c>
      <c r="D166" s="298" t="str">
        <f>IF($D$11="","",D$13)</f>
        <v/>
      </c>
    </row>
    <row r="167" spans="2:4">
      <c r="B167" s="214" t="s">
        <v>261</v>
      </c>
      <c r="C167" s="92">
        <f>Scenarios!F99</f>
        <v>9.3207809217453641E-2</v>
      </c>
    </row>
    <row r="169" spans="2:4">
      <c r="B169" s="210" t="s">
        <v>429</v>
      </c>
    </row>
    <row r="170" spans="2:4">
      <c r="B170" s="1" t="s">
        <v>420</v>
      </c>
      <c r="C170" s="92">
        <f>F32</f>
        <v>0.1174</v>
      </c>
    </row>
    <row r="171" spans="2:4">
      <c r="B171" s="212" t="str">
        <f>"PV("&amp;C141&amp;" yrs of Dividends)"</f>
        <v>PV(3 yrs of Dividends)</v>
      </c>
      <c r="C171" s="216">
        <f>Scenarios!C103</f>
        <v>0.26860418321875618</v>
      </c>
    </row>
    <row r="172" spans="2:4">
      <c r="B172" s="212" t="str">
        <f>"+ PV(Equity Value realized at year "&amp;C141&amp;")"</f>
        <v>+ PV(Equity Value realized at year 3)</v>
      </c>
      <c r="C172" s="216">
        <f>Scenarios!C104</f>
        <v>2.0378836420404181</v>
      </c>
    </row>
    <row r="173" spans="2:4">
      <c r="B173" s="80" t="s">
        <v>398</v>
      </c>
      <c r="C173" s="215">
        <f>Scenarios!C105</f>
        <v>2.3064878252591741</v>
      </c>
      <c r="D173" s="300" t="str">
        <f>IF($D$11="","",C173*$E$25)</f>
        <v/>
      </c>
    </row>
    <row r="174" spans="2:4">
      <c r="B174" s="259" t="s">
        <v>413</v>
      </c>
      <c r="C174" s="298" t="str">
        <f>Market_currency</f>
        <v>HKD</v>
      </c>
      <c r="D174" s="298" t="str">
        <f>IF($D$11="","",D$13)</f>
        <v/>
      </c>
    </row>
    <row r="175" spans="2:4">
      <c r="B175" s="214" t="s">
        <v>261</v>
      </c>
      <c r="C175" s="92">
        <f>Scenarios!F105</f>
        <v>0.19293638588421513</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1820108</v>
      </c>
      <c r="D4" s="351">
        <v>1615585</v>
      </c>
      <c r="E4" s="351">
        <v>1446638</v>
      </c>
      <c r="F4" s="351"/>
      <c r="G4" s="351"/>
      <c r="H4" s="351"/>
      <c r="I4" s="351"/>
      <c r="J4" s="351"/>
      <c r="K4" s="351"/>
      <c r="L4" s="351"/>
      <c r="M4" s="351"/>
    </row>
    <row r="5" spans="2:13">
      <c r="B5" s="40" t="s">
        <v>43</v>
      </c>
      <c r="C5" s="351">
        <v>925767</v>
      </c>
      <c r="D5" s="351">
        <v>897327</v>
      </c>
      <c r="E5" s="351">
        <v>845264</v>
      </c>
      <c r="F5" s="351"/>
      <c r="G5" s="351"/>
      <c r="H5" s="351"/>
      <c r="I5" s="351"/>
      <c r="J5" s="351"/>
      <c r="K5" s="351"/>
      <c r="L5" s="351"/>
      <c r="M5" s="351"/>
    </row>
    <row r="6" spans="2:13">
      <c r="B6" s="40" t="s">
        <v>54</v>
      </c>
      <c r="C6" s="351">
        <f>197703+C7</f>
        <v>736453</v>
      </c>
      <c r="D6" s="351">
        <v>613104</v>
      </c>
      <c r="E6" s="351">
        <v>599182</v>
      </c>
      <c r="F6" s="351"/>
      <c r="G6" s="351"/>
      <c r="H6" s="351"/>
      <c r="I6" s="351"/>
      <c r="J6" s="351"/>
      <c r="K6" s="351"/>
      <c r="L6" s="351"/>
      <c r="M6" s="351"/>
    </row>
    <row r="7" spans="2:13">
      <c r="B7" s="69" t="s">
        <v>61</v>
      </c>
      <c r="C7" s="352">
        <v>538750</v>
      </c>
      <c r="D7" s="352">
        <v>425033</v>
      </c>
      <c r="E7" s="352">
        <v>435254</v>
      </c>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1880</v>
      </c>
      <c r="D12" s="351">
        <v>1003</v>
      </c>
      <c r="E12" s="351">
        <v>863</v>
      </c>
      <c r="F12" s="351"/>
      <c r="G12" s="351"/>
      <c r="H12" s="351"/>
      <c r="I12" s="351"/>
      <c r="J12" s="351"/>
      <c r="K12" s="351"/>
      <c r="L12" s="351"/>
      <c r="M12" s="351"/>
    </row>
    <row r="13" spans="2:13">
      <c r="B13" s="40" t="s">
        <v>67</v>
      </c>
      <c r="C13" s="351">
        <v>81491</v>
      </c>
      <c r="D13" s="351">
        <v>73805</v>
      </c>
      <c r="E13" s="351">
        <v>45350</v>
      </c>
      <c r="F13" s="351"/>
      <c r="G13" s="351"/>
      <c r="H13" s="351"/>
      <c r="I13" s="351"/>
      <c r="J13" s="351"/>
      <c r="K13" s="351"/>
      <c r="L13" s="351"/>
      <c r="M13" s="351"/>
    </row>
    <row r="14" spans="2:13">
      <c r="B14" s="40" t="s">
        <v>50</v>
      </c>
      <c r="C14" s="351">
        <v>47270</v>
      </c>
      <c r="D14" s="351">
        <v>44449</v>
      </c>
      <c r="E14" s="351">
        <v>21017</v>
      </c>
      <c r="F14" s="351"/>
      <c r="G14" s="351"/>
      <c r="H14" s="351"/>
      <c r="I14" s="351"/>
      <c r="J14" s="351"/>
      <c r="K14" s="351"/>
      <c r="L14" s="351"/>
      <c r="M14" s="351"/>
    </row>
    <row r="15" spans="2:13">
      <c r="B15" s="43" t="s">
        <v>42</v>
      </c>
      <c r="C15" s="353">
        <v>195249</v>
      </c>
      <c r="D15" s="353">
        <v>172817</v>
      </c>
      <c r="E15" s="353">
        <v>65456</v>
      </c>
      <c r="F15" s="353"/>
      <c r="G15" s="353"/>
      <c r="H15" s="353"/>
      <c r="I15" s="353"/>
      <c r="J15" s="353"/>
      <c r="K15" s="353"/>
      <c r="L15" s="353"/>
      <c r="M15" s="353"/>
    </row>
    <row r="16" spans="2:13">
      <c r="B16" s="28" t="s">
        <v>44</v>
      </c>
      <c r="C16" s="351">
        <v>-8130</v>
      </c>
      <c r="D16" s="351">
        <v>-2199</v>
      </c>
      <c r="E16" s="351">
        <v>-645</v>
      </c>
      <c r="F16" s="351"/>
      <c r="G16" s="351"/>
      <c r="H16" s="351"/>
      <c r="I16" s="351"/>
      <c r="J16" s="351"/>
      <c r="K16" s="351"/>
      <c r="L16" s="351"/>
      <c r="M16" s="351"/>
    </row>
    <row r="18" spans="2:13">
      <c r="B18" s="16" t="s">
        <v>51</v>
      </c>
      <c r="C18" s="9"/>
    </row>
    <row r="19" spans="2:13">
      <c r="B19" s="27" t="s">
        <v>47</v>
      </c>
      <c r="C19" s="351">
        <v>35974</v>
      </c>
      <c r="D19" s="351">
        <v>35974</v>
      </c>
      <c r="E19" s="351">
        <v>32106</v>
      </c>
      <c r="F19" s="351"/>
      <c r="G19" s="351"/>
      <c r="H19" s="351"/>
      <c r="I19" s="351"/>
      <c r="J19" s="351"/>
      <c r="K19" s="351"/>
      <c r="L19" s="351"/>
      <c r="M19" s="351"/>
    </row>
    <row r="20" spans="2:13">
      <c r="B20" s="27" t="s">
        <v>53</v>
      </c>
      <c r="C20" s="351"/>
      <c r="D20" s="351">
        <v>15312</v>
      </c>
      <c r="E20" s="351">
        <v>11600</v>
      </c>
      <c r="F20" s="351"/>
      <c r="G20" s="351"/>
      <c r="H20" s="351"/>
      <c r="I20" s="351"/>
      <c r="J20" s="351"/>
      <c r="K20" s="351"/>
      <c r="L20" s="351"/>
      <c r="M20" s="351"/>
    </row>
    <row r="21" spans="2:13">
      <c r="B21" s="27" t="s">
        <v>52</v>
      </c>
      <c r="C21" s="351"/>
      <c r="D21" s="351">
        <v>-169280</v>
      </c>
      <c r="E21" s="351">
        <v>-50846</v>
      </c>
      <c r="F21" s="351"/>
      <c r="G21" s="351"/>
      <c r="H21" s="351"/>
      <c r="I21" s="351"/>
      <c r="J21" s="351"/>
      <c r="K21" s="351"/>
      <c r="L21" s="351"/>
      <c r="M21" s="351"/>
    </row>
    <row r="22" spans="2:13">
      <c r="B22" s="27" t="s">
        <v>368</v>
      </c>
      <c r="C22" s="351"/>
      <c r="D22" s="351"/>
      <c r="E22" s="351"/>
      <c r="F22" s="351"/>
      <c r="G22" s="351"/>
      <c r="H22" s="351"/>
      <c r="I22" s="351"/>
      <c r="J22" s="351"/>
      <c r="K22" s="351"/>
      <c r="L22" s="351"/>
      <c r="M22" s="351"/>
    </row>
    <row r="23" spans="2:13">
      <c r="B23" s="27" t="s">
        <v>370</v>
      </c>
      <c r="C23" s="351"/>
      <c r="D23" s="351"/>
      <c r="E23" s="351"/>
      <c r="F23" s="351"/>
      <c r="G23" s="351"/>
      <c r="H23" s="351"/>
      <c r="I23" s="351"/>
      <c r="J23" s="351"/>
      <c r="K23" s="351"/>
      <c r="L23" s="351"/>
      <c r="M23" s="351"/>
    </row>
    <row r="24" spans="2:13">
      <c r="B24" s="27" t="s">
        <v>369</v>
      </c>
      <c r="C24" s="351"/>
      <c r="D24" s="351"/>
      <c r="E24" s="351"/>
      <c r="F24" s="351"/>
      <c r="G24" s="351"/>
      <c r="H24" s="351"/>
      <c r="I24" s="351"/>
      <c r="J24" s="351"/>
      <c r="K24" s="351"/>
      <c r="L24" s="351"/>
      <c r="M24" s="351"/>
    </row>
    <row r="25" spans="2:13">
      <c r="B25" s="24" t="str">
        <f>"Dividend per share ("&amp;Market_currency&amp;")"</f>
        <v>Dividend per share (HKD)</v>
      </c>
      <c r="C25" s="39">
        <f>(0.0682+0.0538)/Exchange_Rate</f>
        <v>0.11133376241243692</v>
      </c>
      <c r="D25" s="39">
        <f>(0.064+0.041)/Exchange_Rate</f>
        <v>9.5820041420539973E-2</v>
      </c>
      <c r="E25" s="39">
        <f>(0.022+0.0168)/Exchange_Rate</f>
        <v>3.5407786734447153E-2</v>
      </c>
      <c r="F25" s="39"/>
      <c r="G25" s="39"/>
      <c r="H25" s="39"/>
      <c r="I25" s="39"/>
      <c r="J25" s="39"/>
      <c r="K25" s="39"/>
      <c r="L25" s="39"/>
      <c r="M25" s="39"/>
    </row>
    <row r="27" spans="2:13">
      <c r="B27" s="16" t="s">
        <v>28</v>
      </c>
      <c r="C27" s="97" t="s">
        <v>464</v>
      </c>
    </row>
    <row r="28" spans="2:13">
      <c r="B28" s="26" t="s">
        <v>24</v>
      </c>
      <c r="C28" s="333">
        <f>BS!C4</f>
        <v>109763</v>
      </c>
      <c r="D28" s="351"/>
      <c r="E28" s="351"/>
      <c r="F28" s="351"/>
      <c r="G28" s="351"/>
      <c r="H28" s="351"/>
      <c r="I28" s="351"/>
      <c r="J28" s="351"/>
      <c r="K28" s="351"/>
      <c r="L28" s="351"/>
      <c r="M28" s="351"/>
    </row>
    <row r="29" spans="2:13">
      <c r="B29" s="26" t="s">
        <v>32</v>
      </c>
      <c r="C29" s="333">
        <f>BS!C6</f>
        <v>318027</v>
      </c>
      <c r="D29" s="351"/>
      <c r="E29" s="351"/>
      <c r="F29" s="351"/>
      <c r="G29" s="351"/>
      <c r="H29" s="351"/>
      <c r="I29" s="351"/>
      <c r="J29" s="351"/>
      <c r="K29" s="351"/>
      <c r="L29" s="351"/>
      <c r="M29" s="351"/>
    </row>
    <row r="30" spans="2:13">
      <c r="B30" s="29" t="s">
        <v>40</v>
      </c>
      <c r="C30" s="334">
        <f>BS!C33+BS!C42</f>
        <v>642877</v>
      </c>
      <c r="D30" s="353">
        <v>642877</v>
      </c>
      <c r="E30" s="353">
        <v>734909</v>
      </c>
      <c r="F30" s="353"/>
      <c r="G30" s="353"/>
      <c r="H30" s="353"/>
      <c r="I30" s="353"/>
      <c r="J30" s="353"/>
      <c r="K30" s="353"/>
      <c r="L30" s="353"/>
      <c r="M30" s="353"/>
    </row>
    <row r="31" spans="2:13">
      <c r="B31" s="29" t="s">
        <v>30</v>
      </c>
      <c r="C31" s="334">
        <f>BS!G27</f>
        <v>3158826</v>
      </c>
      <c r="D31" s="353">
        <v>3027292</v>
      </c>
      <c r="E31" s="353">
        <v>2824568</v>
      </c>
      <c r="F31" s="353"/>
      <c r="G31" s="353"/>
      <c r="H31" s="353"/>
      <c r="I31" s="353"/>
      <c r="J31" s="353"/>
      <c r="K31" s="353"/>
      <c r="L31" s="353"/>
      <c r="M31" s="353"/>
    </row>
    <row r="32" spans="2:13">
      <c r="B32" s="26" t="s">
        <v>171</v>
      </c>
      <c r="C32" s="333">
        <f>BS!G28</f>
        <v>-1648</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1820108</v>
      </c>
      <c r="D36" s="333">
        <f t="shared" si="1"/>
        <v>1615585</v>
      </c>
      <c r="E36" s="333">
        <f t="shared" si="1"/>
        <v>1446638</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-925767</v>
      </c>
      <c r="D37" s="333">
        <f t="shared" si="2"/>
        <v>-897327</v>
      </c>
      <c r="E37" s="333">
        <f t="shared" si="2"/>
        <v>-845264</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894341</v>
      </c>
      <c r="D38" s="329">
        <f t="shared" ref="D38" si="3">IF(D36="","",D36+D37)</f>
        <v>718258</v>
      </c>
      <c r="E38" s="329">
        <f t="shared" ref="E38" si="4">IF(E36="","",E36+E37)</f>
        <v>601374</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-736453</v>
      </c>
      <c r="D39" s="333">
        <f t="shared" si="13"/>
        <v>-613104</v>
      </c>
      <c r="E39" s="333">
        <f t="shared" si="13"/>
        <v>-599182</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-538750</v>
      </c>
      <c r="D40" s="346">
        <f t="shared" si="14"/>
        <v>-425033</v>
      </c>
      <c r="E40" s="346">
        <f t="shared" si="14"/>
        <v>-435254</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-197703</v>
      </c>
      <c r="D41" s="346">
        <f t="shared" ref="D41:M41" si="15">IF(D$4="","",D39-D40)</f>
        <v>-188071</v>
      </c>
      <c r="E41" s="346">
        <f t="shared" si="15"/>
        <v>-163928</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157888</v>
      </c>
      <c r="D43" s="334">
        <f t="shared" ref="D43:M43" si="17">IF(D$4="","",D38+D39+D42)</f>
        <v>105154</v>
      </c>
      <c r="E43" s="334">
        <f t="shared" si="17"/>
        <v>2192</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5020</v>
      </c>
      <c r="D44" s="354">
        <f t="shared" si="18"/>
        <v>39310</v>
      </c>
      <c r="E44" s="354">
        <f t="shared" si="18"/>
        <v>39794</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79611</v>
      </c>
      <c r="D45" s="349">
        <f t="shared" si="19"/>
        <v>72802</v>
      </c>
      <c r="E45" s="349">
        <f t="shared" si="19"/>
        <v>44487</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-47270</v>
      </c>
      <c r="D46" s="333">
        <f t="shared" si="20"/>
        <v>-44449</v>
      </c>
      <c r="E46" s="333">
        <f t="shared" si="20"/>
        <v>-21017</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195249</v>
      </c>
      <c r="D47" s="334">
        <f t="shared" si="21"/>
        <v>172817</v>
      </c>
      <c r="E47" s="334">
        <f t="shared" si="21"/>
        <v>65456</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-1880</v>
      </c>
      <c r="D51" s="333">
        <f t="shared" si="23"/>
        <v>-1003</v>
      </c>
      <c r="E51" s="333">
        <f t="shared" si="23"/>
        <v>-863</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81491</v>
      </c>
      <c r="D52" s="333">
        <f t="shared" si="24"/>
        <v>73805</v>
      </c>
      <c r="E52" s="333">
        <f t="shared" si="24"/>
        <v>45350</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5020</v>
      </c>
      <c r="D58" s="349">
        <f t="shared" ref="D58:M58" si="28">IF(D$4="","",D44-D55-D56-D57)</f>
        <v>39310</v>
      </c>
      <c r="E58" s="349">
        <f t="shared" si="28"/>
        <v>39794</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-35974</v>
      </c>
      <c r="D61" s="333">
        <f t="shared" ref="D61:M61" si="29">IF(D$4="","",-D19)</f>
        <v>-35974</v>
      </c>
      <c r="E61" s="333">
        <f t="shared" si="29"/>
        <v>-32106</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-35974</v>
      </c>
      <c r="D62" s="333">
        <f t="shared" ref="D62:M62" si="30">IF(D$4="","",IF(D20=0,D61,-D20))</f>
        <v>-15312</v>
      </c>
      <c r="E62" s="333">
        <f t="shared" si="30"/>
        <v>-11600</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169280</v>
      </c>
      <c r="E63" s="333">
        <f t="shared" si="31"/>
        <v>50846</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0</v>
      </c>
      <c r="D64" s="333">
        <f t="shared" ref="D64:M64" si="32">IF(D$4="","",D22+D23+D24)</f>
        <v>0</v>
      </c>
      <c r="E64" s="333">
        <f t="shared" si="32"/>
        <v>0</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0.11133376241243692</v>
      </c>
      <c r="D65" s="73">
        <f t="shared" ref="D65:M65" si="33">IF(D$4="","",D25)</f>
        <v>9.5820041420539973E-2</v>
      </c>
      <c r="E65" s="73">
        <f t="shared" si="33"/>
        <v>3.5407786734447153E-2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3801703</v>
      </c>
      <c r="D76" s="349">
        <f t="shared" ref="D76:M76" si="39">IF(D$4="","",D79+D80)</f>
        <v>3670169</v>
      </c>
      <c r="E76" s="349">
        <f t="shared" si="39"/>
        <v>3559477</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109763</v>
      </c>
      <c r="D77" s="346">
        <f t="shared" si="40"/>
        <v>0</v>
      </c>
      <c r="E77" s="346">
        <f t="shared" si="40"/>
        <v>0</v>
      </c>
      <c r="F77" s="346" t="str">
        <f t="shared" si="40"/>
        <v/>
      </c>
      <c r="G77" s="346" t="str">
        <f t="shared" si="40"/>
        <v/>
      </c>
      <c r="H77" s="346" t="str">
        <f t="shared" si="40"/>
        <v/>
      </c>
      <c r="I77" s="355"/>
      <c r="J77" s="355"/>
      <c r="K77" s="355"/>
      <c r="L77" s="355"/>
      <c r="M77" s="355"/>
    </row>
    <row r="78" spans="2:13">
      <c r="B78" s="93" t="s">
        <v>86</v>
      </c>
      <c r="C78" s="318">
        <f t="shared" si="40"/>
        <v>318027</v>
      </c>
      <c r="D78" s="346">
        <f t="shared" si="40"/>
        <v>0</v>
      </c>
      <c r="E78" s="346">
        <f t="shared" si="40"/>
        <v>0</v>
      </c>
      <c r="F78" s="346" t="str">
        <f t="shared" si="40"/>
        <v/>
      </c>
      <c r="G78" s="346" t="str">
        <f t="shared" si="40"/>
        <v/>
      </c>
      <c r="H78" s="346" t="str">
        <f t="shared" si="40"/>
        <v/>
      </c>
      <c r="I78" s="355"/>
      <c r="J78" s="355"/>
      <c r="K78" s="355"/>
      <c r="L78" s="355"/>
      <c r="M78" s="355"/>
    </row>
    <row r="79" spans="2:13">
      <c r="B79" s="26" t="s">
        <v>40</v>
      </c>
      <c r="C79" s="317">
        <f t="shared" ref="C79:M79" si="41">IF(C$4="","",C30)</f>
        <v>642877</v>
      </c>
      <c r="D79" s="333">
        <f t="shared" si="41"/>
        <v>642877</v>
      </c>
      <c r="E79" s="333">
        <f t="shared" si="41"/>
        <v>734909</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3158826</v>
      </c>
      <c r="D80" s="333">
        <f t="shared" si="42"/>
        <v>3027292</v>
      </c>
      <c r="E80" s="333">
        <f t="shared" si="42"/>
        <v>2824568</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97460+12303</f>
        <v>109763</v>
      </c>
      <c r="D4" s="261">
        <v>0.6</v>
      </c>
      <c r="E4" s="25"/>
      <c r="F4" s="4" t="s">
        <v>77</v>
      </c>
      <c r="G4" s="19">
        <f>1713053+891425</f>
        <v>2604478</v>
      </c>
      <c r="H4" s="261">
        <v>0.9</v>
      </c>
    </row>
    <row r="5" spans="2:8" ht="15" customHeight="1">
      <c r="B5" s="1" t="s">
        <v>33</v>
      </c>
      <c r="C5" s="19">
        <v>0</v>
      </c>
      <c r="D5" s="261">
        <v>0.6</v>
      </c>
      <c r="E5" s="25"/>
      <c r="F5" s="1" t="s">
        <v>29</v>
      </c>
      <c r="G5" s="19">
        <v>0</v>
      </c>
      <c r="H5" s="261">
        <v>0.7</v>
      </c>
    </row>
    <row r="6" spans="2:8" ht="15" customHeight="1">
      <c r="B6" s="4" t="s">
        <v>10</v>
      </c>
      <c r="C6" s="19">
        <v>318027</v>
      </c>
      <c r="D6" s="261">
        <v>0.5</v>
      </c>
      <c r="E6" s="25"/>
      <c r="F6" s="4" t="s">
        <v>176</v>
      </c>
      <c r="G6" s="19">
        <v>0</v>
      </c>
      <c r="H6" s="261">
        <v>0.6</v>
      </c>
    </row>
    <row r="7" spans="2:8" ht="15" customHeight="1">
      <c r="B7" s="1" t="s">
        <v>69</v>
      </c>
      <c r="C7" s="19">
        <v>0</v>
      </c>
      <c r="D7" s="261">
        <v>0.6</v>
      </c>
      <c r="E7" s="25"/>
      <c r="F7" s="4" t="s">
        <v>177</v>
      </c>
      <c r="G7" s="19">
        <v>270180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19230</v>
      </c>
      <c r="D10" s="261">
        <v>0.9</v>
      </c>
      <c r="H10" s="262"/>
    </row>
    <row r="11" spans="2:8" ht="15" customHeight="1">
      <c r="B11" s="4" t="s">
        <v>12</v>
      </c>
      <c r="C11" s="19">
        <v>0</v>
      </c>
      <c r="D11" s="261">
        <v>0.05</v>
      </c>
      <c r="H11" s="262"/>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103162</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111923</v>
      </c>
      <c r="H17" s="261">
        <v>0.6</v>
      </c>
    </row>
    <row r="18" spans="2:8" ht="15" customHeight="1">
      <c r="B18" s="4" t="s">
        <v>172</v>
      </c>
      <c r="C18" s="19">
        <v>0</v>
      </c>
      <c r="D18" s="261">
        <v>0.6</v>
      </c>
      <c r="F18" s="4" t="s">
        <v>180</v>
      </c>
      <c r="G18" s="19">
        <v>0</v>
      </c>
      <c r="H18" s="261">
        <v>0.1</v>
      </c>
    </row>
    <row r="19" spans="2:8" ht="15" customHeight="1">
      <c r="B19" s="4" t="s">
        <v>26</v>
      </c>
      <c r="C19" s="19">
        <f>147013+53837+407</f>
        <v>201257</v>
      </c>
      <c r="D19" s="261">
        <v>0.1</v>
      </c>
      <c r="F19" s="4" t="s">
        <v>181</v>
      </c>
      <c r="G19" s="19">
        <v>3283</v>
      </c>
      <c r="H19" s="261">
        <v>0.1</v>
      </c>
    </row>
    <row r="20" spans="2:8" ht="15" customHeight="1">
      <c r="B20" s="4" t="s">
        <v>18</v>
      </c>
      <c r="C20" s="19">
        <v>0</v>
      </c>
      <c r="D20" s="261">
        <v>0.05</v>
      </c>
      <c r="F20" s="4" t="s">
        <v>178</v>
      </c>
      <c r="G20" s="19">
        <v>0</v>
      </c>
      <c r="H20" s="261">
        <v>0.2</v>
      </c>
    </row>
    <row r="21" spans="2:8" ht="15" customHeight="1">
      <c r="B21" s="4" t="s">
        <v>19</v>
      </c>
      <c r="C21" s="19">
        <v>0</v>
      </c>
      <c r="D21" s="261">
        <v>0.05</v>
      </c>
      <c r="F21" s="1" t="s">
        <v>179</v>
      </c>
      <c r="G21" s="19">
        <v>0</v>
      </c>
      <c r="H21" s="261">
        <v>0.1</v>
      </c>
    </row>
    <row r="22" spans="2:8" ht="15" customHeight="1">
      <c r="B22" s="4" t="s">
        <v>20</v>
      </c>
      <c r="C22" s="19">
        <v>60400</v>
      </c>
      <c r="D22" s="261">
        <v>0.9</v>
      </c>
      <c r="H22" s="262"/>
    </row>
    <row r="23" spans="2:8" ht="15" customHeight="1">
      <c r="B23" s="4" t="s">
        <v>21</v>
      </c>
      <c r="C23" s="19">
        <v>0</v>
      </c>
      <c r="D23" s="261">
        <v>0</v>
      </c>
      <c r="H23" s="262"/>
    </row>
    <row r="24" spans="2:8" ht="15" customHeight="1">
      <c r="B24" s="80" t="s">
        <v>73</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199</v>
      </c>
      <c r="C26" s="182" t="s">
        <v>135</v>
      </c>
      <c r="F26" s="184" t="s">
        <v>195</v>
      </c>
      <c r="G26" s="185" t="s">
        <v>135</v>
      </c>
      <c r="H26" s="186" t="s">
        <v>35</v>
      </c>
    </row>
    <row r="27" spans="2:8" ht="15" customHeight="1">
      <c r="B27" s="4" t="s">
        <v>5</v>
      </c>
      <c r="C27" s="19">
        <v>0</v>
      </c>
      <c r="F27" s="187" t="s">
        <v>30</v>
      </c>
      <c r="G27" s="85">
        <f>G32-G30</f>
        <v>3158826</v>
      </c>
      <c r="H27" s="188">
        <f>H32-G30</f>
        <v>2329936.9000000004</v>
      </c>
    </row>
    <row r="28" spans="2:8" ht="15" customHeight="1">
      <c r="B28" s="4" t="s">
        <v>6</v>
      </c>
      <c r="C28" s="19">
        <v>13416</v>
      </c>
      <c r="F28" s="189" t="s">
        <v>243</v>
      </c>
      <c r="G28" s="12">
        <v>-1648</v>
      </c>
      <c r="H28" s="188"/>
    </row>
    <row r="29" spans="2:8" ht="15" customHeight="1">
      <c r="B29" s="4" t="s">
        <v>7</v>
      </c>
      <c r="C29" s="19">
        <v>0</v>
      </c>
      <c r="F29" s="190" t="s">
        <v>75</v>
      </c>
      <c r="G29" s="14">
        <f>G27-G28</f>
        <v>3160474</v>
      </c>
      <c r="H29" s="188">
        <f>H27-G28</f>
        <v>2331584.9000000004</v>
      </c>
    </row>
    <row r="30" spans="2:8" ht="15" customHeight="1">
      <c r="B30" s="2" t="s">
        <v>8</v>
      </c>
      <c r="C30" s="19">
        <v>0</v>
      </c>
      <c r="F30" s="187" t="s">
        <v>23</v>
      </c>
      <c r="G30" s="85">
        <f>C33+C42</f>
        <v>642877</v>
      </c>
      <c r="H30" s="188"/>
    </row>
    <row r="31" spans="2:8" ht="15" customHeight="1">
      <c r="B31" s="80" t="s">
        <v>202</v>
      </c>
      <c r="C31" s="81">
        <f>SUM(C27:C30)</f>
        <v>13416</v>
      </c>
      <c r="F31" s="190" t="s">
        <v>76</v>
      </c>
      <c r="G31" s="191">
        <f>C31+C40</f>
        <v>33999</v>
      </c>
      <c r="H31" s="188"/>
    </row>
    <row r="32" spans="2:8" ht="15" customHeight="1">
      <c r="B32" s="4" t="s">
        <v>9</v>
      </c>
      <c r="C32" s="21">
        <f>C33-C31</f>
        <v>598515</v>
      </c>
      <c r="F32" s="192" t="s">
        <v>74</v>
      </c>
      <c r="G32" s="193">
        <f>G35+G40</f>
        <v>3801703</v>
      </c>
      <c r="H32" s="188">
        <f>H35+H40</f>
        <v>2972813.9000000004</v>
      </c>
    </row>
    <row r="33" spans="2:8" ht="15" customHeight="1">
      <c r="B33" s="83" t="s">
        <v>4</v>
      </c>
      <c r="C33" s="84">
        <v>611931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708677</v>
      </c>
      <c r="H35" s="200">
        <f>D12+D24</f>
        <v>316664</v>
      </c>
    </row>
    <row r="36" spans="2:8" ht="15" customHeight="1">
      <c r="B36" s="4" t="s">
        <v>13</v>
      </c>
      <c r="C36" s="19">
        <v>0</v>
      </c>
      <c r="F36" s="190" t="s">
        <v>196</v>
      </c>
      <c r="G36" s="191">
        <f>C4+C15</f>
        <v>109763</v>
      </c>
      <c r="H36" s="195"/>
    </row>
    <row r="37" spans="2:8" ht="15" customHeight="1">
      <c r="B37" s="4" t="s">
        <v>14</v>
      </c>
      <c r="C37" s="19">
        <v>20583</v>
      </c>
      <c r="F37" s="190" t="s">
        <v>197</v>
      </c>
      <c r="G37" s="191">
        <f>C6</f>
        <v>318027</v>
      </c>
      <c r="H37" s="195"/>
    </row>
    <row r="38" spans="2:8" ht="15" customHeight="1">
      <c r="B38" s="4" t="s">
        <v>15</v>
      </c>
      <c r="C38" s="19">
        <v>0</v>
      </c>
      <c r="F38" s="190" t="s">
        <v>198</v>
      </c>
      <c r="G38" s="191">
        <f>C7+C17</f>
        <v>0</v>
      </c>
      <c r="H38" s="195"/>
    </row>
    <row r="39" spans="2:8" ht="15" customHeight="1">
      <c r="B39" s="2" t="s">
        <v>16</v>
      </c>
      <c r="C39" s="19">
        <v>0</v>
      </c>
      <c r="F39" s="190" t="s">
        <v>79</v>
      </c>
      <c r="G39" s="191">
        <f>C7+C17+C19+C20</f>
        <v>201257</v>
      </c>
      <c r="H39" s="188">
        <f>C7*D7+C17*D17+C19*D19+C20*D20</f>
        <v>20125.7</v>
      </c>
    </row>
    <row r="40" spans="2:8" ht="15" customHeight="1">
      <c r="B40" s="80" t="s">
        <v>203</v>
      </c>
      <c r="C40" s="81">
        <f>SUM(C36:C39)</f>
        <v>20583</v>
      </c>
      <c r="F40" s="199" t="s">
        <v>137</v>
      </c>
      <c r="G40" s="193">
        <f>G12+G24</f>
        <v>3093026</v>
      </c>
      <c r="H40" s="200">
        <f>H12+H24</f>
        <v>2656149.9000000004</v>
      </c>
    </row>
    <row r="41" spans="2:8" ht="15" customHeight="1">
      <c r="B41" s="4" t="s">
        <v>17</v>
      </c>
      <c r="C41" s="21">
        <f>C42-C40</f>
        <v>10363</v>
      </c>
      <c r="F41" s="190" t="s">
        <v>190</v>
      </c>
      <c r="G41" s="191">
        <f>C70</f>
        <v>2707640</v>
      </c>
      <c r="H41" s="200">
        <f>H40-H42</f>
        <v>2426559.8000000003</v>
      </c>
    </row>
    <row r="42" spans="2:8" ht="15" customHeight="1">
      <c r="B42" s="83" t="s">
        <v>22</v>
      </c>
      <c r="C42" s="84">
        <v>30946</v>
      </c>
      <c r="F42" s="201" t="s">
        <v>191</v>
      </c>
      <c r="G42" s="202">
        <f>C82</f>
        <v>385386</v>
      </c>
      <c r="H42" s="203">
        <f>D82</f>
        <v>229590.09999999998</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3160474</v>
      </c>
      <c r="D46" s="76">
        <f>H29</f>
        <v>2331584.9000000004</v>
      </c>
      <c r="F46" s="253"/>
    </row>
    <row r="47" spans="2:8" ht="15" customHeight="1">
      <c r="B47" s="1" t="str">
        <f>"Equity per share ("&amp;Market_currency&amp;")"</f>
        <v>Equity per share (HKD)</v>
      </c>
      <c r="C47" s="147">
        <f>C46*H1/Common_Shares*Exchange_Rate</f>
        <v>2.5974450928982433</v>
      </c>
      <c r="D47" s="147">
        <f>D46*H1/Common_Shares*Exchange_Rate</f>
        <v>1.9162200850823776</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0.29882156160837919</v>
      </c>
      <c r="D50" s="95">
        <f>G31/Normalized_FCF!G8</f>
        <v>0.21533618767734089</v>
      </c>
      <c r="F50" s="253"/>
    </row>
    <row r="51" spans="2:8" ht="15" customHeight="1">
      <c r="B51" s="1" t="s">
        <v>175</v>
      </c>
      <c r="C51" s="181"/>
      <c r="D51" s="92">
        <f>G29/G32</f>
        <v>0.83133111660747827</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0.16054836031457936</v>
      </c>
      <c r="D54" s="92">
        <f>Normalized_FCF!G8/G35</f>
        <v>0.2227926121491173</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0.17874657775878602</v>
      </c>
      <c r="F58" s="5"/>
    </row>
    <row r="59" spans="2:8" ht="15" customHeight="1">
      <c r="B59" s="1" t="s">
        <v>92</v>
      </c>
      <c r="C59" s="98"/>
      <c r="D59" s="92">
        <f>G39/G32</f>
        <v>5.2938643550009039E-2</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-5.2144077122608828E-4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2707640</v>
      </c>
      <c r="D66" s="76">
        <f>C66-D75</f>
        <v>1876584.1142852227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2707640</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-150888.75292546191</v>
      </c>
      <c r="D73" s="349">
        <f>(Normalized_FCF!C25+Normalized_FCF!C35-Normalized_FCF!C91)/12</f>
        <v>-138509.31428579622</v>
      </c>
      <c r="F73" s="1" t="s">
        <v>348</v>
      </c>
    </row>
    <row r="74" spans="2:6" ht="15" customHeight="1">
      <c r="B74" s="257" t="s">
        <v>318</v>
      </c>
      <c r="C74" s="258">
        <f>-$C$66/C73</f>
        <v>17.944611162221992</v>
      </c>
      <c r="D74" s="258">
        <f>-$C$66/D73</f>
        <v>19.548432637628483</v>
      </c>
      <c r="F74" s="253" t="s">
        <v>316</v>
      </c>
    </row>
    <row r="75" spans="2:6" ht="15" customHeight="1">
      <c r="B75" s="80" t="s">
        <v>317</v>
      </c>
      <c r="C75" s="320"/>
      <c r="D75" s="321">
        <f>MAX(-D73*D76,G5)</f>
        <v>831055.88571477728</v>
      </c>
      <c r="F75" s="253" t="s">
        <v>349</v>
      </c>
    </row>
    <row r="76" spans="2:6" ht="15" customHeight="1">
      <c r="B76" s="259" t="s">
        <v>319</v>
      </c>
      <c r="C76" s="260"/>
      <c r="D76" s="290">
        <f>IF(D74&lt;=3,1,IF(D74&gt;18,6,2))</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382103</v>
      </c>
      <c r="D79" s="76">
        <f>G7*H7+G17*H17</f>
        <v>229261.8</v>
      </c>
      <c r="F79" s="253"/>
    </row>
    <row r="80" spans="2:6" ht="15" customHeight="1">
      <c r="B80" s="105" t="s">
        <v>181</v>
      </c>
      <c r="C80" s="20">
        <f>G19</f>
        <v>3283</v>
      </c>
      <c r="D80" s="76">
        <f>G19*H19</f>
        <v>328.3</v>
      </c>
      <c r="F80" s="253"/>
    </row>
    <row r="81" spans="2:8" ht="15" customHeight="1">
      <c r="B81" s="105" t="s">
        <v>179</v>
      </c>
      <c r="C81" s="20">
        <f>G9+G21</f>
        <v>0</v>
      </c>
      <c r="D81" s="76">
        <f>G9*H9+G21*H21</f>
        <v>0</v>
      </c>
      <c r="F81" s="253"/>
    </row>
    <row r="82" spans="2:8" ht="15" customHeight="1">
      <c r="B82" s="80" t="s">
        <v>188</v>
      </c>
      <c r="C82" s="81">
        <f>SUM(C79:C81)</f>
        <v>385386</v>
      </c>
      <c r="D82" s="81">
        <f>SUM(D79:D81)</f>
        <v>229590.09999999998</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-37256.245635839994</v>
      </c>
      <c r="D86" s="223">
        <f>C86*scaling_factor/Common_Shares</f>
        <v>-2.79421807341074E-2</v>
      </c>
      <c r="E86" s="240" t="str">
        <f>Market_currency</f>
        <v>HKD</v>
      </c>
    </row>
    <row r="87" spans="2:8" ht="15" customHeight="1">
      <c r="B87" s="238" t="s">
        <v>286</v>
      </c>
      <c r="C87" s="76">
        <f>DCF!C8*Exchange_Rate</f>
        <v>2056368.6790236623</v>
      </c>
      <c r="D87" s="223">
        <f>C87*scaling_factor/Common_Shares</f>
        <v>1.5422763164832072</v>
      </c>
      <c r="E87" s="240" t="str">
        <f>Market_currency</f>
        <v>HKD</v>
      </c>
    </row>
    <row r="88" spans="2:8" ht="15" customHeight="1">
      <c r="B88" s="239" t="s">
        <v>188</v>
      </c>
      <c r="C88" s="76">
        <f>DCF!C9*Exchange_Rate</f>
        <v>251585.78667481596</v>
      </c>
      <c r="D88" s="223">
        <f>C88*scaling_factor/Common_Shares</f>
        <v>0.18868931641994741</v>
      </c>
      <c r="E88" s="240" t="str">
        <f>Market_currency</f>
        <v>HKD</v>
      </c>
    </row>
    <row r="89" spans="2:8" ht="15" customHeight="1">
      <c r="B89" s="80" t="s">
        <v>290</v>
      </c>
      <c r="C89" s="180">
        <f>SUM(C86:C88)</f>
        <v>2270698.2200626386</v>
      </c>
      <c r="D89" s="242">
        <f>SUM(D86:D88)</f>
        <v>1.7030234521690473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AVERAGE(G4:K4)</f>
        <v>1627443.6666666667</v>
      </c>
      <c r="D4" s="57"/>
      <c r="E4" s="266"/>
      <c r="F4" s="57"/>
      <c r="G4" s="333">
        <f>Data!C36</f>
        <v>1820108</v>
      </c>
      <c r="H4" s="333">
        <f>Data!D36</f>
        <v>1615585</v>
      </c>
      <c r="I4" s="333">
        <f>Data!E36</f>
        <v>1446638</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46</v>
      </c>
      <c r="C5" s="328">
        <f>C25</f>
        <v>-1320779.7363240116</v>
      </c>
      <c r="E5" s="268"/>
      <c r="G5" s="333">
        <f t="shared" ref="G5:Q5" si="1">G25</f>
        <v>-1464517</v>
      </c>
      <c r="H5" s="333">
        <f t="shared" si="1"/>
        <v>-1322360</v>
      </c>
      <c r="I5" s="333">
        <f t="shared" si="1"/>
        <v>-1280518</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306663.93034265516</v>
      </c>
      <c r="E6" s="268"/>
      <c r="G6" s="329">
        <f>IF(G4="","",G4+G5)</f>
        <v>355591</v>
      </c>
      <c r="H6" s="329">
        <f t="shared" ref="H6:Q6" si="2">IF(H4="","",H4+H5)</f>
        <v>293225</v>
      </c>
      <c r="I6" s="329">
        <f t="shared" si="2"/>
        <v>166120</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-192887</v>
      </c>
      <c r="E7" s="268"/>
      <c r="G7" s="328">
        <f t="shared" ref="G7:Q7" si="3">G35</f>
        <v>-197703</v>
      </c>
      <c r="H7" s="328">
        <f t="shared" si="3"/>
        <v>-188071</v>
      </c>
      <c r="I7" s="328">
        <f t="shared" si="3"/>
        <v>-163928</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113776.93034265516</v>
      </c>
      <c r="D8" s="59"/>
      <c r="E8" s="274"/>
      <c r="F8" s="59"/>
      <c r="G8" s="329">
        <f>IF(G$4="","",G6+G7)</f>
        <v>157888</v>
      </c>
      <c r="H8" s="329">
        <f t="shared" ref="H8:Q8" si="4">IF(H$4="","",H6+H7)</f>
        <v>105154</v>
      </c>
      <c r="I8" s="329">
        <f t="shared" si="4"/>
        <v>2192</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35974</v>
      </c>
      <c r="E9" s="268"/>
      <c r="G9" s="328">
        <f>IF(Data!C61="","",-Data!C61)</f>
        <v>35974</v>
      </c>
      <c r="H9" s="328">
        <f>IF(Data!D61="","",-Data!D61)</f>
        <v>35974</v>
      </c>
      <c r="I9" s="328">
        <f>IF(Data!E61="","",-Data!E61)</f>
        <v>32106</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-35974</v>
      </c>
      <c r="E10" s="268"/>
      <c r="G10" s="328">
        <f>Data!C62</f>
        <v>-35974</v>
      </c>
      <c r="H10" s="328">
        <f>Data!D62</f>
        <v>-15312</v>
      </c>
      <c r="I10" s="328">
        <f>Data!E62</f>
        <v>-11600</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23132.030839691728</v>
      </c>
      <c r="E12" s="268"/>
      <c r="G12" s="328">
        <f>G50</f>
        <v>23132.030839691728</v>
      </c>
      <c r="H12" s="328">
        <f t="shared" ref="H12:Q12" si="6">H50</f>
        <v>21649.96702854853</v>
      </c>
      <c r="I12" s="328">
        <f t="shared" si="6"/>
        <v>13056.274503687768</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136908.96118234689</v>
      </c>
      <c r="E13" s="268"/>
      <c r="G13" s="329">
        <f>IF(G$4="","",SUM(G8:G12))</f>
        <v>181020.03083969172</v>
      </c>
      <c r="H13" s="329">
        <f t="shared" ref="H13:Q13" si="7">IF(H$4="","",SUM(H8:H12))</f>
        <v>147465.96702854853</v>
      </c>
      <c r="I13" s="329">
        <f t="shared" si="7"/>
        <v>35754.274503687768</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-34227.240295586722</v>
      </c>
      <c r="E14" s="268"/>
      <c r="G14" s="328">
        <f>Data!C46</f>
        <v>-47270</v>
      </c>
      <c r="H14" s="328">
        <f>Data!D46</f>
        <v>-44449</v>
      </c>
      <c r="I14" s="328">
        <f>Data!E46</f>
        <v>-21017</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102681.72088676016</v>
      </c>
      <c r="D16" s="61"/>
      <c r="E16" s="276"/>
      <c r="F16" s="61"/>
      <c r="G16" s="329">
        <f>IF(G$4="","",SUM(G13:G15))</f>
        <v>133750.03083969172</v>
      </c>
      <c r="H16" s="329">
        <f t="shared" ref="H16:Q16" si="8">IF(H$4="","",SUM(H13:H15))</f>
        <v>103016.96702854853</v>
      </c>
      <c r="I16" s="329">
        <f t="shared" si="8"/>
        <v>14737.274503687768</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102681.72088676016</v>
      </c>
      <c r="D19" s="27"/>
      <c r="E19" s="265"/>
      <c r="F19" s="27"/>
      <c r="G19" s="334">
        <f>IF(G$4="","",G16+G17)</f>
        <v>133750.03083969172</v>
      </c>
      <c r="H19" s="334">
        <f t="shared" ref="H19:Q19" si="9">IF(H$4="","",H16+H17)</f>
        <v>103016.96702854853</v>
      </c>
      <c r="I19" s="334">
        <f t="shared" si="9"/>
        <v>14737.274503687768</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-865842.54650761362</v>
      </c>
      <c r="D23" s="58"/>
      <c r="E23" s="267"/>
      <c r="F23" s="58"/>
      <c r="G23" s="333">
        <f>Data!C37</f>
        <v>-925767</v>
      </c>
      <c r="H23" s="333">
        <f>Data!D37</f>
        <v>-897327</v>
      </c>
      <c r="I23" s="333">
        <f>Data!E37</f>
        <v>-845264</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-454937.18981639796</v>
      </c>
      <c r="D24" s="27"/>
      <c r="E24" s="265"/>
      <c r="F24" s="27"/>
      <c r="G24" s="333">
        <f>Data!C40</f>
        <v>-538750</v>
      </c>
      <c r="H24" s="333">
        <f>Data!D40</f>
        <v>-425033</v>
      </c>
      <c r="I24" s="333">
        <f>Data!E40</f>
        <v>-435254</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-1320779.7363240116</v>
      </c>
      <c r="D25" s="9"/>
      <c r="E25" s="273"/>
      <c r="F25" s="9"/>
      <c r="G25" s="329">
        <f t="shared" ref="G25:Q25" si="10">IF(G$4="","",G23+G24)</f>
        <v>-1464517</v>
      </c>
      <c r="H25" s="329">
        <f t="shared" si="10"/>
        <v>-1322360</v>
      </c>
      <c r="I25" s="329">
        <f t="shared" si="10"/>
        <v>-1280518</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AVERAGE(G28:H28)</f>
        <v>0.53202612430882723</v>
      </c>
      <c r="D28" s="26"/>
      <c r="E28" s="266" t="s">
        <v>330</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330</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-192887</v>
      </c>
      <c r="E33" s="266" t="s">
        <v>330</v>
      </c>
      <c r="G33" s="328">
        <f>Data!C41</f>
        <v>-197703</v>
      </c>
      <c r="H33" s="328">
        <f>Data!D41</f>
        <v>-188071</v>
      </c>
      <c r="I33" s="328">
        <f>Data!E41</f>
        <v>-163928</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-192887</v>
      </c>
      <c r="D35" s="58"/>
      <c r="E35" s="267"/>
      <c r="F35" s="58"/>
      <c r="G35" s="329">
        <f t="shared" ref="G35:Q35" si="14">IF(G4="","",G33+G34)</f>
        <v>-197703</v>
      </c>
      <c r="H35" s="329">
        <f t="shared" si="14"/>
        <v>-188071</v>
      </c>
      <c r="I35" s="329">
        <f t="shared" si="14"/>
        <v>-163928</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0.26113132221185792</v>
      </c>
      <c r="H43" s="6">
        <f t="shared" si="18"/>
        <v>0.35053319735645805</v>
      </c>
      <c r="I43" s="6">
        <f t="shared" si="18"/>
        <v>1.3783198875988936</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-1880</v>
      </c>
      <c r="E47" s="268"/>
      <c r="G47" s="328">
        <f>Data!C51</f>
        <v>-1880</v>
      </c>
      <c r="H47" s="328">
        <f>Data!D51</f>
        <v>-1003</v>
      </c>
      <c r="I47" s="328">
        <f>Data!E51</f>
        <v>-863</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25012.030839691728</v>
      </c>
      <c r="E48" s="268"/>
      <c r="G48" s="337">
        <f>IFERROR(IF(G$4="","",($C$48/$C$49)*G49),0)</f>
        <v>25012.030839691728</v>
      </c>
      <c r="H48" s="337">
        <f t="shared" ref="H48:Q48" si="19">IFERROR(IF(H$4="","",($C$48/$C$49)*H49),0)</f>
        <v>22652.96702854853</v>
      </c>
      <c r="I48" s="337">
        <f t="shared" si="19"/>
        <v>13919.274503687768</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81491</v>
      </c>
      <c r="D49" s="288"/>
      <c r="E49" s="289"/>
      <c r="F49" s="288"/>
      <c r="G49" s="342">
        <f>Data!C52</f>
        <v>81491</v>
      </c>
      <c r="H49" s="342">
        <f>Data!D52</f>
        <v>73805</v>
      </c>
      <c r="I49" s="342">
        <f>Data!E52</f>
        <v>45350</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23132.030839691728</v>
      </c>
      <c r="E50" s="268"/>
      <c r="G50" s="329">
        <f>IF(G$4="","",(G47+G48))</f>
        <v>23132.030839691728</v>
      </c>
      <c r="H50" s="329">
        <f t="shared" ref="H50:Q50" si="20">IF(H$4="","",(H47+H48))</f>
        <v>21649.96702854853</v>
      </c>
      <c r="I50" s="329">
        <f t="shared" si="20"/>
        <v>13056.274503687768</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3.0096689367862788E-2</v>
      </c>
      <c r="E53" s="265" t="s">
        <v>332</v>
      </c>
      <c r="G53" s="6">
        <f>IF(Normalized_FCF!G4="","",Normalized_FCF!G49/BS!$C$66)</f>
        <v>3.0096689367862788E-2</v>
      </c>
      <c r="H53" s="169"/>
      <c r="I53" s="169"/>
      <c r="J53" s="169"/>
      <c r="K53" s="169"/>
      <c r="L53" s="169"/>
      <c r="M53" s="169"/>
      <c r="N53" s="169"/>
      <c r="O53" s="169"/>
      <c r="P53" s="169"/>
      <c r="Q53" s="169"/>
    </row>
    <row r="54" spans="1:17" ht="15.75" customHeight="1">
      <c r="A54" s="10"/>
      <c r="B54" s="8" t="s">
        <v>87</v>
      </c>
      <c r="C54" s="82">
        <f>G54</f>
        <v>5.5295743992470364E-2</v>
      </c>
      <c r="E54" s="265" t="s">
        <v>333</v>
      </c>
      <c r="G54" s="23">
        <f>IFERROR(ABS(Normalized_FCF!G47/BS!$G$31),0)</f>
        <v>5.5295743992470364E-2</v>
      </c>
      <c r="H54" s="169"/>
      <c r="I54" s="169"/>
      <c r="J54" s="169"/>
      <c r="K54" s="169"/>
      <c r="L54" s="169"/>
      <c r="M54" s="169"/>
      <c r="N54" s="169"/>
      <c r="O54" s="169"/>
      <c r="P54" s="169"/>
      <c r="Q54" s="169"/>
    </row>
    <row r="55" spans="1:17" ht="15.75" customHeight="1">
      <c r="A55" s="10"/>
      <c r="B55" s="26" t="s">
        <v>90</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5020</v>
      </c>
      <c r="H62" s="328">
        <f>Data!D58</f>
        <v>39310</v>
      </c>
      <c r="I62" s="328">
        <f>Data!E58</f>
        <v>39794</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5020</v>
      </c>
      <c r="H63" s="329">
        <f t="shared" si="23"/>
        <v>39310</v>
      </c>
      <c r="I63" s="329">
        <f t="shared" si="23"/>
        <v>39794</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2.2104605361660239E-2</v>
      </c>
      <c r="D78" s="27"/>
      <c r="E78" s="266" t="s">
        <v>465</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1.4213721380028348E-2</v>
      </c>
      <c r="D80" s="27"/>
      <c r="E80" s="265"/>
      <c r="F80" s="27"/>
      <c r="G80" s="6">
        <f t="shared" ref="G80:Q80" si="31">IF(G$4="","",ABS(G12/G$4))</f>
        <v>1.2709152885263801E-2</v>
      </c>
      <c r="H80" s="6">
        <f t="shared" si="31"/>
        <v>1.3400698216775057E-2</v>
      </c>
      <c r="I80" s="6">
        <f t="shared" si="31"/>
        <v>9.025253383146142E-3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8.4125161433553086E-2</v>
      </c>
      <c r="D81" s="27"/>
      <c r="E81" s="265"/>
      <c r="F81" s="27"/>
      <c r="G81" s="65">
        <f t="shared" ref="G81:Q81" si="32">IF(G$4="","",G13/G$4)</f>
        <v>9.9455653642361724E-2</v>
      </c>
      <c r="H81" s="65">
        <f t="shared" si="32"/>
        <v>9.1277133068547012E-2</v>
      </c>
      <c r="I81" s="65">
        <f t="shared" si="32"/>
        <v>2.4715426045553737E-2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2.1031290358388272E-2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6.3093871075164801E-2</v>
      </c>
      <c r="D84" s="27"/>
      <c r="E84" s="265"/>
      <c r="F84" s="27"/>
      <c r="G84" s="65">
        <f t="shared" ref="G84:Q84" si="35">IF(G$4="","",ABS(G16/G$4))</f>
        <v>7.348466730528723E-2</v>
      </c>
      <c r="H84" s="65">
        <f t="shared" si="35"/>
        <v>6.3764498326332894E-2</v>
      </c>
      <c r="I84" s="65">
        <f t="shared" si="35"/>
        <v>1.0187257975863877E-2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6.3093871075164801E-2</v>
      </c>
      <c r="D87" s="75"/>
      <c r="E87" s="265"/>
      <c r="F87" s="75"/>
      <c r="G87" s="65">
        <f t="shared" ref="G87:Q87" si="36">IF(G$4="","",ABS(G19/G$4))</f>
        <v>7.348466730528723E-2</v>
      </c>
      <c r="H87" s="65">
        <f t="shared" si="36"/>
        <v>6.3764498326332894E-2</v>
      </c>
      <c r="I87" s="65">
        <f t="shared" si="36"/>
        <v>1.0187257975863877E-2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0.11133376241243692</v>
      </c>
      <c r="E90" s="268"/>
      <c r="G90" s="112">
        <f>Data!C65</f>
        <v>0.11133376241243692</v>
      </c>
      <c r="H90" s="112">
        <f>Data!D65</f>
        <v>9.5820041420539973E-2</v>
      </c>
      <c r="I90" s="112">
        <f>Data!E65</f>
        <v>3.5407786734447153E-2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148445.03510554295</v>
      </c>
      <c r="E91" s="268"/>
      <c r="G91" s="74">
        <f t="shared" ref="G91:Q91" si="37">IF(G$4="","",G90*Common_Shares/scaling_factor)</f>
        <v>148445.03510554295</v>
      </c>
      <c r="H91" s="74">
        <f t="shared" si="37"/>
        <v>127760.07119739354</v>
      </c>
      <c r="I91" s="74">
        <f t="shared" si="37"/>
        <v>47210.388213893995</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1.4456812159318178</v>
      </c>
      <c r="E92" s="268"/>
      <c r="G92" s="170">
        <f t="shared" ref="G92:Q92" si="38">IF(G$4="","",G90/(G19*scaling_factor/Common_Shares))</f>
        <v>1.1098691654394022</v>
      </c>
      <c r="H92" s="170">
        <f t="shared" si="38"/>
        <v>1.2401847470619871</v>
      </c>
      <c r="I92" s="170">
        <f t="shared" si="38"/>
        <v>3.203468063384471</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454</v>
      </c>
      <c r="C93" s="356">
        <v>0</v>
      </c>
      <c r="E93" s="268"/>
      <c r="G93" s="357"/>
      <c r="H93" s="357"/>
      <c r="I93" s="357"/>
      <c r="J93" s="357"/>
      <c r="K93" s="357"/>
      <c r="L93" s="357"/>
      <c r="M93" s="357"/>
      <c r="N93" s="357"/>
      <c r="O93" s="357"/>
      <c r="P93" s="357"/>
      <c r="Q93" s="357"/>
    </row>
    <row r="94" spans="1:17" ht="15.75" customHeight="1">
      <c r="A94" s="10"/>
      <c r="B94" s="2" t="s">
        <v>453</v>
      </c>
      <c r="C94" s="23">
        <f>(C90*(1-dividend_tax_rate))/Market_Price</f>
        <v>4.1388015766705179E-2</v>
      </c>
      <c r="E94" s="268"/>
      <c r="G94" s="23">
        <f t="shared" ref="G94:Q94" si="39">IF(G$4="","",(G90*(1-dividend_tax_rate))/Market_Price)</f>
        <v>4.1388015766705179E-2</v>
      </c>
      <c r="H94" s="23">
        <f t="shared" si="39"/>
        <v>3.5620833241836423E-2</v>
      </c>
      <c r="I94" s="23">
        <f t="shared" si="39"/>
        <v>1.3162745997935744E-2</v>
      </c>
      <c r="J94" s="23" t="str">
        <f t="shared" si="39"/>
        <v/>
      </c>
      <c r="K94" s="23" t="str">
        <f t="shared" si="39"/>
        <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-0.10585324240832594</v>
      </c>
      <c r="D97" s="27"/>
      <c r="E97" s="265"/>
      <c r="F97" s="27"/>
      <c r="G97" s="6">
        <f t="shared" ref="G97:Q97" si="40">IF(H4="","",G4/H4-1)</f>
        <v>0.12659377253440707</v>
      </c>
      <c r="H97" s="6">
        <f t="shared" si="40"/>
        <v>0.11678595474472542</v>
      </c>
      <c r="I97" s="6" t="str">
        <f t="shared" si="40"/>
        <v/>
      </c>
      <c r="J97" s="6" t="str">
        <f t="shared" si="40"/>
        <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-0.24368059961501642</v>
      </c>
      <c r="D98" s="27"/>
      <c r="E98" s="265"/>
      <c r="F98" s="27"/>
      <c r="G98" s="6">
        <f t="shared" ref="G98:Q98" si="41">IF(H5="","",G13/H13-1)</f>
        <v>0.22753767860653107</v>
      </c>
      <c r="H98" s="6">
        <f t="shared" si="41"/>
        <v>3.1244290109519239</v>
      </c>
      <c r="I98" s="6" t="str">
        <f t="shared" si="41"/>
        <v/>
      </c>
      <c r="J98" s="6" t="str">
        <f t="shared" si="41"/>
        <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3801703</v>
      </c>
      <c r="D102" s="26"/>
      <c r="E102" s="269"/>
      <c r="F102" s="26"/>
      <c r="G102" s="333">
        <f t="shared" ref="G102:Q102" si="42">IF(G$4="","",G106+G105)</f>
        <v>3801703</v>
      </c>
      <c r="H102" s="333">
        <f t="shared" si="42"/>
        <v>3670169</v>
      </c>
      <c r="I102" s="333">
        <f t="shared" si="42"/>
        <v>3559477</v>
      </c>
      <c r="J102" s="333" t="str">
        <f t="shared" si="42"/>
        <v/>
      </c>
      <c r="K102" s="333" t="str">
        <f t="shared" si="42"/>
        <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109763</v>
      </c>
      <c r="D103" s="89"/>
      <c r="E103" s="270"/>
      <c r="F103" s="89"/>
      <c r="G103" s="346">
        <f>IF(G$4="","",Data!D77)</f>
        <v>0</v>
      </c>
      <c r="H103" s="346">
        <f>IF(H$4="","",Data!E77)</f>
        <v>0</v>
      </c>
      <c r="I103" s="346" t="str">
        <f>IF(I$4="","",Data!F77)</f>
        <v/>
      </c>
      <c r="J103" s="346" t="str">
        <f>IF(J$4="","",Data!G77)</f>
        <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318027</v>
      </c>
      <c r="D104" s="89"/>
      <c r="E104" s="270"/>
      <c r="F104" s="89"/>
      <c r="G104" s="346">
        <f>IF(G$4="","",Data!D78)</f>
        <v>0</v>
      </c>
      <c r="H104" s="346">
        <f>IF(H$4="","",Data!E78)</f>
        <v>0</v>
      </c>
      <c r="I104" s="346" t="str">
        <f>IF(I$4="","",Data!F78)</f>
        <v/>
      </c>
      <c r="J104" s="346" t="str">
        <f>IF(J$4="","",Data!G78)</f>
        <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642877</v>
      </c>
      <c r="D105" s="26"/>
      <c r="E105" s="269"/>
      <c r="F105" s="26"/>
      <c r="G105" s="333">
        <f>Data!C79</f>
        <v>642877</v>
      </c>
      <c r="H105" s="333">
        <f>Data!D79</f>
        <v>642877</v>
      </c>
      <c r="I105" s="333">
        <f>Data!E79</f>
        <v>734909</v>
      </c>
      <c r="J105" s="333" t="str">
        <f>Data!F79</f>
        <v/>
      </c>
      <c r="K105" s="333" t="str">
        <f>Data!G79</f>
        <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3158826</v>
      </c>
      <c r="D106" s="26"/>
      <c r="E106" s="269"/>
      <c r="F106" s="26"/>
      <c r="G106" s="333">
        <f>Data!C80</f>
        <v>3158826</v>
      </c>
      <c r="H106" s="333">
        <f>Data!D80</f>
        <v>3027292</v>
      </c>
      <c r="I106" s="333">
        <f>Data!E80</f>
        <v>2824568</v>
      </c>
      <c r="J106" s="333" t="str">
        <f>Data!F80</f>
        <v/>
      </c>
      <c r="K106" s="333" t="str">
        <f>Data!G80</f>
        <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6.7445038036134788E-2</v>
      </c>
      <c r="D109" s="26"/>
      <c r="E109" s="269"/>
      <c r="F109" s="26"/>
      <c r="G109" s="94">
        <f t="shared" ref="G109:Q109" si="43">IF(G$4="","",G103/G$4)</f>
        <v>0</v>
      </c>
      <c r="H109" s="94">
        <f t="shared" si="43"/>
        <v>0</v>
      </c>
      <c r="I109" s="94" t="e">
        <f t="shared" si="43"/>
        <v>#VALUE!</v>
      </c>
      <c r="J109" s="94" t="str">
        <f t="shared" si="43"/>
        <v/>
      </c>
      <c r="K109" s="94" t="str">
        <f t="shared" si="43"/>
        <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0.19541505891345751</v>
      </c>
      <c r="D110" s="26"/>
      <c r="E110" s="269"/>
      <c r="F110" s="26"/>
      <c r="G110" s="94">
        <f t="shared" ref="G110:Q110" si="44">IF(G$4="","",G104/G$4)</f>
        <v>0</v>
      </c>
      <c r="H110" s="94">
        <f t="shared" si="44"/>
        <v>0</v>
      </c>
      <c r="I110" s="94" t="e">
        <f t="shared" si="44"/>
        <v>#VALUE!</v>
      </c>
      <c r="J110" s="94" t="str">
        <f t="shared" si="44"/>
        <v/>
      </c>
      <c r="K110" s="94" t="str">
        <f t="shared" si="44"/>
        <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0</v>
      </c>
      <c r="I114" s="295">
        <f>IF(I$4="","",Data!E$22/Data!E15)</f>
        <v>0</v>
      </c>
      <c r="J114" s="295" t="str">
        <f>IF(J$4="","",Data!F$22/Data!F15)</f>
        <v/>
      </c>
      <c r="K114" s="295" t="str">
        <f>IF(K$4="","",Data!G$22/Data!G15)</f>
        <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0</v>
      </c>
      <c r="H115" s="295">
        <f>IF(H$4="","",Data!D$22/H19)</f>
        <v>0</v>
      </c>
      <c r="I115" s="295">
        <f>IF(I$4="","",Data!E$22/I19)</f>
        <v>0</v>
      </c>
      <c r="J115" s="295" t="str">
        <f>IF(J$4="","",Data!F$22/J19)</f>
        <v/>
      </c>
      <c r="K115" s="295" t="str">
        <f>IF(K$4="","",Data!G$22/K19)</f>
        <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8.4125161433553086E-2</v>
      </c>
      <c r="E118" s="268"/>
      <c r="G118" s="23">
        <f t="shared" ref="G118:Q118" si="45">IF(G4="","",IF(valuation_method="DDM",G13/(G4+G12),G81))</f>
        <v>9.9455653642361724E-2</v>
      </c>
      <c r="H118" s="23">
        <f t="shared" si="45"/>
        <v>9.1277133068547012E-2</v>
      </c>
      <c r="I118" s="23">
        <f t="shared" si="45"/>
        <v>2.4715426045553737E-2</v>
      </c>
      <c r="J118" s="23" t="str">
        <f t="shared" si="45"/>
        <v/>
      </c>
      <c r="K118" s="23" t="str">
        <f t="shared" si="45"/>
        <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0.42808280043619051</v>
      </c>
      <c r="E119" s="268"/>
      <c r="G119" s="42">
        <f t="shared" ref="G119:Q119" si="46">IF(G4="","",IF(valuation_method="DDM",(G4+G12)/G102,G4/G102))</f>
        <v>0.47876122884928152</v>
      </c>
      <c r="H119" s="42">
        <f t="shared" si="46"/>
        <v>0.44019362596109335</v>
      </c>
      <c r="I119" s="42">
        <f t="shared" si="46"/>
        <v>0.40641869578030704</v>
      </c>
      <c r="J119" s="42" t="str">
        <f t="shared" si="46"/>
        <v/>
      </c>
      <c r="K119" s="42" t="str">
        <f t="shared" si="46"/>
        <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1.2035176992971439</v>
      </c>
      <c r="D120" s="11"/>
      <c r="E120" s="272"/>
      <c r="F120" s="11"/>
      <c r="G120" s="15">
        <f t="shared" ref="G120:Q120" si="47">IF(G$4="","",G102/G106)</f>
        <v>1.2035176992971439</v>
      </c>
      <c r="H120" s="15">
        <f t="shared" si="47"/>
        <v>1.2123604198075375</v>
      </c>
      <c r="I120" s="15">
        <f t="shared" si="47"/>
        <v>1.2601845662770377</v>
      </c>
      <c r="J120" s="15" t="str">
        <f t="shared" si="47"/>
        <v/>
      </c>
      <c r="K120" s="15" t="str">
        <f t="shared" si="47"/>
        <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4.3341722900326542E-2</v>
      </c>
      <c r="D121" s="103"/>
      <c r="E121" s="271"/>
      <c r="F121" s="103"/>
      <c r="G121" s="102">
        <f t="shared" ref="G121:Q121" si="48">IF(G$4="","",G13/G106)</f>
        <v>5.7306110194006166E-2</v>
      </c>
      <c r="H121" s="102">
        <f t="shared" si="48"/>
        <v>4.8712171481491887E-2</v>
      </c>
      <c r="I121" s="102">
        <f t="shared" si="48"/>
        <v>1.2658316069461868E-2</v>
      </c>
      <c r="J121" s="102" t="str">
        <f t="shared" si="48"/>
        <v/>
      </c>
      <c r="K121" s="102" t="str">
        <f t="shared" si="48"/>
        <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8.4389282129092733E-2</v>
      </c>
      <c r="D125" s="27"/>
      <c r="E125" s="265"/>
      <c r="F125" s="27"/>
      <c r="G125" s="177">
        <f t="shared" ref="G125:Q125" si="49">IF(G$4="","",G16*$C$3/Common_Shares*Exchange_Rate)</f>
        <v>0.10992286640533856</v>
      </c>
      <c r="H125" s="177">
        <f t="shared" si="49"/>
        <v>8.4664805182249087E-2</v>
      </c>
      <c r="I125" s="177">
        <f t="shared" si="49"/>
        <v>1.2111873517168052E-2</v>
      </c>
      <c r="J125" s="177" t="str">
        <f t="shared" si="49"/>
        <v/>
      </c>
      <c r="K125" s="177" t="str">
        <f t="shared" si="49"/>
        <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3.1371480345387628E-2</v>
      </c>
      <c r="D126" s="27"/>
      <c r="E126" s="265"/>
      <c r="F126" s="27"/>
      <c r="G126" s="77">
        <f t="shared" ref="G126" si="50">IF(G$4="","",G125/Market_Price)</f>
        <v>4.0863519109791288E-2</v>
      </c>
      <c r="H126" s="77">
        <f t="shared" ref="H126" si="51">IF(H$4="","",H125/Market_Price)</f>
        <v>3.1473905272211555E-2</v>
      </c>
      <c r="I126" s="77">
        <f t="shared" ref="I126" si="52">IF(I$4="","",I125/Market_Price)</f>
        <v>4.5025552108431417E-3</v>
      </c>
      <c r="J126" s="77" t="str">
        <f t="shared" ref="J126" si="53">IF(J$4="","",J125/Market_Price)</f>
        <v/>
      </c>
      <c r="K126" s="77" t="str">
        <f t="shared" ref="K126" si="54">IF(K$4="","",K125/Market_Price)</f>
        <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5.4437446726917672E-2</v>
      </c>
      <c r="H127" s="23">
        <f>IF(H$4="","",(Data!D47*$C$3)/(Market_Price*Common_Shares))</f>
        <v>4.8183172415765155E-2</v>
      </c>
      <c r="I127" s="23">
        <f>IF(I$4="","",(Data!E47*$C$3)/(Market_Price*Common_Shares))</f>
        <v>1.8249811845167573E-2</v>
      </c>
      <c r="J127" s="23" t="str">
        <f>IF(J$4="","",(Data!F47*$C$3)/(Market_Price*Common_Shares))</f>
        <v/>
      </c>
      <c r="K127" s="23" t="str">
        <f>IF(K$4="","",(Data!G47*$C$3)/(Market_Price*Common_Shares))</f>
        <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102681.72088676016</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1369089.6118234689</v>
      </c>
      <c r="D6" t="str">
        <f>Reporting_currency</f>
        <v>CNY</v>
      </c>
      <c r="E6" s="366" t="s">
        <v>248</v>
      </c>
      <c r="F6" s="366"/>
      <c r="H6" s="120"/>
    </row>
    <row r="7" spans="2:8">
      <c r="B7" s="148" t="s">
        <v>223</v>
      </c>
      <c r="C7" s="338">
        <f>BS!G31</f>
        <v>33999</v>
      </c>
      <c r="D7" t="str">
        <f>Reporting_currency</f>
        <v>CNY</v>
      </c>
      <c r="E7" s="366"/>
      <c r="F7" s="366"/>
      <c r="H7" s="120"/>
    </row>
    <row r="8" spans="2:8">
      <c r="B8" s="148" t="s">
        <v>224</v>
      </c>
      <c r="C8" s="338">
        <f>BS!D66</f>
        <v>1876584.1142852227</v>
      </c>
      <c r="D8" t="str">
        <f>Reporting_currency</f>
        <v>CNY</v>
      </c>
      <c r="E8" s="366"/>
      <c r="F8" s="366"/>
      <c r="H8" s="120"/>
    </row>
    <row r="9" spans="2:8">
      <c r="B9" s="205" t="s">
        <v>189</v>
      </c>
      <c r="C9" s="348">
        <f>BS!H42</f>
        <v>229590.09999999998</v>
      </c>
      <c r="D9" t="str">
        <f>Reporting_currency</f>
        <v>CNY</v>
      </c>
      <c r="E9" s="366"/>
      <c r="F9" s="366"/>
      <c r="H9" s="120"/>
    </row>
    <row r="10" spans="2:8" ht="13.15">
      <c r="B10" s="149" t="s">
        <v>226</v>
      </c>
      <c r="C10" s="347">
        <f>C6-C7+C8+C9</f>
        <v>3441264.8261086917</v>
      </c>
      <c r="D10" t="str">
        <f>Reporting_currency</f>
        <v>CNY</v>
      </c>
      <c r="H10" s="120"/>
    </row>
    <row r="11" spans="2:8" ht="13.15" thickBot="1">
      <c r="B11" s="207" t="s">
        <v>165</v>
      </c>
      <c r="C11" s="208">
        <f>Exchange_Rate</f>
        <v>1.0958041599999999</v>
      </c>
      <c r="D11" t="str">
        <f>Thesis!C15</f>
        <v>CNY/HKD</v>
      </c>
      <c r="H11" s="120"/>
    </row>
    <row r="12" spans="2:8" ht="13.5" thickTop="1">
      <c r="B12" s="149" t="s">
        <v>102</v>
      </c>
      <c r="C12" s="111">
        <f>(C10*scaling_factor)/Common_Shares*Exchange_Rate</f>
        <v>2.8282138805569503</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8.5779014792802307E-3</v>
      </c>
      <c r="H16" s="120"/>
    </row>
    <row r="17" spans="2:17" ht="13.35" customHeight="1">
      <c r="B17" s="118" t="s">
        <v>133</v>
      </c>
      <c r="C17" s="162">
        <f>Scenarios!C64</f>
        <v>10</v>
      </c>
      <c r="H17" s="120"/>
    </row>
    <row r="18" spans="2:17" ht="13.35" customHeight="1">
      <c r="B18" s="153" t="s">
        <v>106</v>
      </c>
      <c r="C18" s="140">
        <f>(F52-C7+C8+C9)*Exchange_Rate/Common_Shares*scaling_factor</f>
        <v>2.8578761139989584</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103562.51457224973</v>
      </c>
      <c r="D21" s="138">
        <f>IF($C$17&lt;B21,0,DCF!$C$16)</f>
        <v>8.5779014792802307E-3</v>
      </c>
      <c r="E21" s="124">
        <f t="shared" ref="E21:E50" si="0">IF($C$17&lt;B21,0,1/(1+Equity_Cost)^B21)</f>
        <v>0.93023255813953487</v>
      </c>
      <c r="F21" s="125">
        <f t="shared" ref="F21:F51" si="1">C21*E21</f>
        <v>96337.222857906716</v>
      </c>
      <c r="H21" s="120"/>
    </row>
    <row r="22" spans="2:17">
      <c r="B22" s="122">
        <v>2</v>
      </c>
      <c r="C22" s="123">
        <f t="shared" ref="C22:C50" si="2">IF(ROW()-ROW($C$21)&lt;$C$17, $C$21*(1+D22)^(ROW()-ROW($C$21)), 0)</f>
        <v>104450.863619197</v>
      </c>
      <c r="D22" s="138">
        <f>IF($C$17&lt;B22,0,DCF!$C$16)</f>
        <v>8.5779014792802307E-3</v>
      </c>
      <c r="E22" s="124">
        <f t="shared" si="0"/>
        <v>0.86533261222282321</v>
      </c>
      <c r="F22" s="125">
        <f t="shared" si="1"/>
        <v>90384.738664529592</v>
      </c>
      <c r="H22" s="120"/>
    </row>
    <row r="23" spans="2:17">
      <c r="B23" s="122">
        <v>3</v>
      </c>
      <c r="C23" s="123">
        <f t="shared" si="2"/>
        <v>105346.83283674819</v>
      </c>
      <c r="D23" s="138">
        <f>IF($C$17&lt;B23,0,DCF!$C$16)</f>
        <v>8.5779014792802307E-3</v>
      </c>
      <c r="E23" s="124">
        <f t="shared" si="0"/>
        <v>0.80496056950960304</v>
      </c>
      <c r="F23" s="125">
        <f t="shared" si="1"/>
        <v>84800.046556301779</v>
      </c>
      <c r="G23" s="338"/>
      <c r="H23" s="339"/>
      <c r="I23" s="338"/>
      <c r="J23" s="338"/>
      <c r="K23" s="338"/>
      <c r="L23" s="338"/>
      <c r="M23" s="338"/>
      <c r="N23" s="338"/>
      <c r="O23" s="338"/>
      <c r="P23" s="338"/>
      <c r="Q23" s="338"/>
    </row>
    <row r="24" spans="2:17">
      <c r="B24" s="122">
        <v>4</v>
      </c>
      <c r="C24" s="123">
        <f t="shared" si="2"/>
        <v>106250.48758997601</v>
      </c>
      <c r="D24" s="138">
        <f>IF($C$17&lt;B24,0,DCF!$C$16)</f>
        <v>8.5779014792802307E-3</v>
      </c>
      <c r="E24" s="124">
        <f t="shared" si="0"/>
        <v>0.7488005297763749</v>
      </c>
      <c r="F24" s="125">
        <f t="shared" si="1"/>
        <v>79560.421396372185</v>
      </c>
      <c r="G24" s="338"/>
      <c r="H24" s="339"/>
      <c r="I24" s="338"/>
      <c r="J24" s="338"/>
      <c r="K24" s="338"/>
      <c r="L24" s="338"/>
      <c r="M24" s="338"/>
      <c r="N24" s="338"/>
      <c r="O24" s="338"/>
      <c r="P24" s="338"/>
      <c r="Q24" s="338"/>
    </row>
    <row r="25" spans="2:17">
      <c r="B25" s="122">
        <v>5</v>
      </c>
      <c r="C25" s="123">
        <f t="shared" si="2"/>
        <v>107161.89380464831</v>
      </c>
      <c r="D25" s="138">
        <f>IF($C$17&lt;B25,0,DCF!$C$16)</f>
        <v>8.5779014792802307E-3</v>
      </c>
      <c r="E25" s="124">
        <f t="shared" si="0"/>
        <v>0.69655863235011617</v>
      </c>
      <c r="F25" s="125">
        <f t="shared" si="1"/>
        <v>74644.542188614214</v>
      </c>
      <c r="G25" s="338"/>
      <c r="H25" s="339"/>
      <c r="I25" s="338"/>
      <c r="J25" s="338"/>
      <c r="K25" s="338"/>
      <c r="L25" s="338"/>
      <c r="M25" s="338"/>
      <c r="N25" s="338"/>
      <c r="O25" s="338"/>
      <c r="P25" s="338"/>
      <c r="Q25" s="338"/>
    </row>
    <row r="26" spans="2:17">
      <c r="B26" s="122">
        <v>6</v>
      </c>
      <c r="C26" s="123">
        <f t="shared" si="2"/>
        <v>108081.11797203767</v>
      </c>
      <c r="D26" s="138">
        <f>IF($C$17&lt;B26,0,DCF!$C$16)</f>
        <v>8.5779014792802307E-3</v>
      </c>
      <c r="E26" s="124">
        <f t="shared" si="0"/>
        <v>0.64796151846522443</v>
      </c>
      <c r="F26" s="125">
        <f t="shared" si="1"/>
        <v>70032.405318580582</v>
      </c>
      <c r="H26" s="120"/>
    </row>
    <row r="27" spans="2:17">
      <c r="B27" s="122">
        <v>7</v>
      </c>
      <c r="C27" s="123">
        <f t="shared" si="2"/>
        <v>109008.22715377224</v>
      </c>
      <c r="D27" s="138">
        <f>IF($C$17&lt;B27,0,DCF!$C$16)</f>
        <v>8.5779014792802307E-3</v>
      </c>
      <c r="E27" s="124">
        <f t="shared" si="0"/>
        <v>0.60275490089788319</v>
      </c>
      <c r="F27" s="125">
        <f t="shared" si="1"/>
        <v>65705.243155125921</v>
      </c>
      <c r="H27" s="120"/>
    </row>
    <row r="28" spans="2:17">
      <c r="B28" s="122">
        <v>8</v>
      </c>
      <c r="C28" s="123">
        <f t="shared" si="2"/>
        <v>109943.28898672829</v>
      </c>
      <c r="D28" s="138">
        <f>IF($C$17&lt;B28,0,DCF!$C$16)</f>
        <v>8.5779014792802307E-3</v>
      </c>
      <c r="E28" s="124">
        <f t="shared" si="0"/>
        <v>0.56070223339337966</v>
      </c>
      <c r="F28" s="125">
        <f t="shared" si="1"/>
        <v>61645.447681472317</v>
      </c>
      <c r="H28" s="120"/>
    </row>
    <row r="29" spans="2:17">
      <c r="B29" s="122">
        <v>9</v>
      </c>
      <c r="C29" s="123">
        <f t="shared" si="2"/>
        <v>110886.37168796448</v>
      </c>
      <c r="D29" s="138">
        <f>IF($C$17&lt;B29,0,DCF!$C$16)</f>
        <v>8.5779014792802307E-3</v>
      </c>
      <c r="E29" s="124">
        <f t="shared" si="0"/>
        <v>0.52158347292407414</v>
      </c>
      <c r="F29" s="125">
        <f t="shared" si="1"/>
        <v>57836.498844958245</v>
      </c>
      <c r="H29" s="120"/>
    </row>
    <row r="30" spans="2:17">
      <c r="B30" s="122">
        <v>10</v>
      </c>
      <c r="C30" s="123">
        <f t="shared" si="2"/>
        <v>111837.54405969869</v>
      </c>
      <c r="D30" s="138">
        <f>IF($C$17&lt;B30,0,DCF!$C$16)</f>
        <v>8.5779014792802307E-3</v>
      </c>
      <c r="E30" s="124">
        <f t="shared" si="0"/>
        <v>0.48519392830146441</v>
      </c>
      <c r="F30" s="125">
        <f t="shared" si="1"/>
        <v>54262.897333913315</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1380833.5276299964</v>
      </c>
      <c r="D51" s="139">
        <f>Terminal_Growth</f>
        <v>0</v>
      </c>
      <c r="E51" s="124">
        <f>1/(1+Equity_Cost)^C17</f>
        <v>0.48519392830146441</v>
      </c>
      <c r="F51" s="125">
        <f t="shared" si="1"/>
        <v>669972.04360116669</v>
      </c>
      <c r="H51" s="120"/>
    </row>
    <row r="52" spans="1:17">
      <c r="C52" s="114"/>
      <c r="E52" s="127" t="s">
        <v>100</v>
      </c>
      <c r="F52" s="137">
        <f>SUM(F21:F51)</f>
        <v>1405181.5075989417</v>
      </c>
      <c r="H52" s="120"/>
    </row>
    <row r="53" spans="1:17">
      <c r="C53" s="114"/>
      <c r="H53" s="120"/>
    </row>
    <row r="54" spans="1:17" ht="13.15">
      <c r="B54" s="119" t="s">
        <v>128</v>
      </c>
      <c r="C54" s="136"/>
      <c r="D54" s="136"/>
      <c r="E54" s="117"/>
      <c r="F54" s="117"/>
      <c r="H54" s="120"/>
    </row>
    <row r="55" spans="1:17" ht="13.15">
      <c r="A55" s="133">
        <f>F52</f>
        <v>1405181.5075989417</v>
      </c>
      <c r="B55" s="131">
        <f>C78</f>
        <v>-0.1</v>
      </c>
      <c r="C55" s="131">
        <f>C77</f>
        <v>-0.08</v>
      </c>
      <c r="D55" s="131">
        <f>C76</f>
        <v>0.02</v>
      </c>
      <c r="E55" s="131">
        <f>C75</f>
        <v>0.04</v>
      </c>
      <c r="F55" s="131">
        <f>C74</f>
        <v>0.08</v>
      </c>
      <c r="H55" s="120"/>
    </row>
    <row r="56" spans="1:17" ht="13.15">
      <c r="A56" s="143">
        <v>5</v>
      </c>
      <c r="B56" s="123">
        <f t="dataTable" ref="B56:F61" dt2D="1" dtr="1" r1="C16" r2="C17"/>
        <v>1169159.4873321173</v>
      </c>
      <c r="C56" s="123">
        <v>1207025.8389024499</v>
      </c>
      <c r="D56" s="123">
        <v>1412504.1324982087</v>
      </c>
      <c r="E56" s="123">
        <v>1457183.4028893327</v>
      </c>
      <c r="F56" s="123">
        <v>1550560.3101955941</v>
      </c>
      <c r="H56" s="120"/>
    </row>
    <row r="57" spans="1:17" ht="13.15">
      <c r="A57" s="143">
        <v>10</v>
      </c>
      <c r="B57" s="123">
        <v>1036585.6164486911</v>
      </c>
      <c r="C57" s="123">
        <v>1092145.1479193131</v>
      </c>
      <c r="D57" s="123">
        <v>1455555.2005825448</v>
      </c>
      <c r="E57" s="123">
        <v>1550631.947120076</v>
      </c>
      <c r="F57" s="123">
        <v>1770870.4640627829</v>
      </c>
      <c r="H57" s="120"/>
    </row>
    <row r="58" spans="1:17" ht="13.15">
      <c r="A58" s="143">
        <v>15</v>
      </c>
      <c r="B58" s="123">
        <v>907766.76279287832</v>
      </c>
      <c r="C58" s="341">
        <v>976183.83692024078</v>
      </c>
      <c r="D58" s="123">
        <v>1510062.8943328913</v>
      </c>
      <c r="E58" s="123">
        <v>1675243.9417534163</v>
      </c>
      <c r="F58" s="123">
        <v>2098521.73788583</v>
      </c>
      <c r="G58" s="338"/>
      <c r="H58" s="339"/>
      <c r="I58" s="338"/>
      <c r="J58" s="338"/>
      <c r="K58" s="338"/>
      <c r="L58" s="338"/>
      <c r="M58" s="338"/>
      <c r="N58" s="338"/>
      <c r="O58" s="338"/>
      <c r="P58" s="338"/>
      <c r="Q58" s="338"/>
    </row>
    <row r="59" spans="1:17" ht="13.15">
      <c r="A59" s="144">
        <v>20</v>
      </c>
      <c r="B59" s="123">
        <v>803034.97948587721</v>
      </c>
      <c r="C59" s="341">
        <v>878910.24889849499</v>
      </c>
      <c r="D59" s="123">
        <v>1566888.0543355742</v>
      </c>
      <c r="E59" s="123">
        <v>1812484.58637403</v>
      </c>
      <c r="F59" s="123">
        <v>2505031.2391974535</v>
      </c>
      <c r="G59" s="338"/>
      <c r="H59" s="339"/>
      <c r="I59" s="338"/>
      <c r="J59" s="338"/>
      <c r="K59" s="338"/>
      <c r="L59" s="338"/>
      <c r="M59" s="338"/>
      <c r="N59" s="338"/>
      <c r="O59" s="338"/>
      <c r="P59" s="338"/>
      <c r="Q59" s="338"/>
    </row>
    <row r="60" spans="1:17" ht="13.15">
      <c r="A60" s="144">
        <v>25</v>
      </c>
      <c r="B60" s="123">
        <v>723912.70714931376</v>
      </c>
      <c r="C60" s="341">
        <v>803578.64548859</v>
      </c>
      <c r="D60" s="123">
        <v>1620972.4915046527</v>
      </c>
      <c r="E60" s="123">
        <v>1950828.0517289462</v>
      </c>
      <c r="F60" s="123">
        <v>2970654.9414416756</v>
      </c>
      <c r="G60" s="338"/>
      <c r="H60" s="339"/>
      <c r="I60" s="338"/>
      <c r="J60" s="338"/>
      <c r="K60" s="338"/>
      <c r="L60" s="338"/>
      <c r="M60" s="338"/>
      <c r="N60" s="338"/>
      <c r="O60" s="338"/>
      <c r="P60" s="338"/>
      <c r="Q60" s="338"/>
    </row>
    <row r="61" spans="1:17" ht="13.15">
      <c r="A61" s="144">
        <v>30</v>
      </c>
      <c r="B61" s="123">
        <v>666261.43418126029</v>
      </c>
      <c r="C61" s="341">
        <v>747628.23895403265</v>
      </c>
      <c r="D61" s="123">
        <v>1669798.6312565776</v>
      </c>
      <c r="E61" s="123">
        <v>2083419.4527418171</v>
      </c>
      <c r="F61" s="123">
        <v>3481738.2034580824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v>
      </c>
      <c r="C64" s="132">
        <f>C55</f>
        <v>-0.08</v>
      </c>
      <c r="D64" s="132">
        <f>D55</f>
        <v>0.02</v>
      </c>
      <c r="E64" s="132">
        <f>E55</f>
        <v>0.04</v>
      </c>
      <c r="F64" s="132">
        <f>F55</f>
        <v>0.08</v>
      </c>
      <c r="H64" s="120"/>
    </row>
    <row r="65" spans="1:8" ht="13.15">
      <c r="A65" s="143">
        <v>0</v>
      </c>
      <c r="B65" s="124">
        <f>C12</f>
        <v>2.8282138805569503</v>
      </c>
      <c r="C65" s="124">
        <f>C12</f>
        <v>2.8282138805569503</v>
      </c>
      <c r="D65" s="124">
        <f>C12</f>
        <v>2.8282138805569503</v>
      </c>
      <c r="E65" s="141">
        <f>C12</f>
        <v>2.8282138805569503</v>
      </c>
      <c r="F65" s="124">
        <f>C12</f>
        <v>2.8282138805569503</v>
      </c>
      <c r="H65" s="120"/>
    </row>
    <row r="66" spans="1:8" ht="13.15">
      <c r="A66" s="143">
        <f t="shared" ref="A66:A71" si="3">A56</f>
        <v>5</v>
      </c>
      <c r="B66" s="124">
        <f t="shared" ref="B66:F71" si="4">(B56-$C$7+$C$8+$C$9)/Common_Shares*$C$3*Exchange_Rate</f>
        <v>2.6639007045008918</v>
      </c>
      <c r="C66" s="124">
        <f t="shared" si="4"/>
        <v>2.6950212797919146</v>
      </c>
      <c r="D66" s="124">
        <f t="shared" si="4"/>
        <v>2.8638942353667458</v>
      </c>
      <c r="E66" s="124">
        <f t="shared" si="4"/>
        <v>2.9006140285470403</v>
      </c>
      <c r="F66" s="124">
        <f t="shared" si="4"/>
        <v>2.9773561215598803</v>
      </c>
      <c r="H66" s="120"/>
    </row>
    <row r="67" spans="1:8" ht="13.15">
      <c r="A67" s="143">
        <f t="shared" si="3"/>
        <v>10</v>
      </c>
      <c r="B67" s="124">
        <f t="shared" si="4"/>
        <v>2.5549444687044005</v>
      </c>
      <c r="C67" s="124">
        <f t="shared" si="4"/>
        <v>2.6006062372815482</v>
      </c>
      <c r="D67" s="124">
        <f t="shared" si="4"/>
        <v>2.8992758855684833</v>
      </c>
      <c r="E67" s="124">
        <f t="shared" si="4"/>
        <v>2.9774149965824135</v>
      </c>
      <c r="F67" s="124">
        <f t="shared" si="4"/>
        <v>3.1584186862504886</v>
      </c>
      <c r="H67" s="120"/>
    </row>
    <row r="68" spans="1:8" ht="13.15">
      <c r="A68" s="143">
        <f t="shared" si="3"/>
        <v>15</v>
      </c>
      <c r="B68" s="124">
        <f t="shared" si="4"/>
        <v>2.4490743051463175</v>
      </c>
      <c r="C68" s="124">
        <f t="shared" si="4"/>
        <v>2.5053030839505648</v>
      </c>
      <c r="D68" s="124">
        <f t="shared" si="4"/>
        <v>2.9440731981415458</v>
      </c>
      <c r="E68" s="124">
        <f t="shared" si="4"/>
        <v>3.0798277403596548</v>
      </c>
      <c r="F68" s="124">
        <f t="shared" si="4"/>
        <v>3.4276998742537863</v>
      </c>
      <c r="H68" s="120"/>
    </row>
    <row r="69" spans="1:8" ht="13.15">
      <c r="A69" s="144">
        <f t="shared" si="3"/>
        <v>20</v>
      </c>
      <c r="B69" s="124">
        <f t="shared" si="4"/>
        <v>2.3630001730315615</v>
      </c>
      <c r="C69" s="124">
        <f t="shared" si="4"/>
        <v>2.425358492134372</v>
      </c>
      <c r="D69" s="124">
        <f t="shared" si="4"/>
        <v>2.9907751273465091</v>
      </c>
      <c r="E69" s="124">
        <f t="shared" si="4"/>
        <v>3.1926193782329624</v>
      </c>
      <c r="F69" s="124">
        <f t="shared" si="4"/>
        <v>3.7617909344550053</v>
      </c>
      <c r="H69" s="120"/>
    </row>
    <row r="70" spans="1:8" ht="13.15">
      <c r="A70" s="144">
        <f t="shared" si="3"/>
        <v>25</v>
      </c>
      <c r="B70" s="124">
        <f t="shared" si="4"/>
        <v>2.2979732947786267</v>
      </c>
      <c r="C70" s="124">
        <f t="shared" si="4"/>
        <v>2.3634469865762768</v>
      </c>
      <c r="D70" s="124">
        <f t="shared" si="4"/>
        <v>3.0352245852211777</v>
      </c>
      <c r="E70" s="124">
        <f t="shared" si="4"/>
        <v>3.306317372654263</v>
      </c>
      <c r="F70" s="124">
        <f t="shared" si="4"/>
        <v>4.1444651790560902</v>
      </c>
    </row>
    <row r="71" spans="1:8" ht="13.15">
      <c r="A71" s="144">
        <f t="shared" si="3"/>
        <v>30</v>
      </c>
      <c r="B71" s="124">
        <f t="shared" si="4"/>
        <v>2.2505924221404694</v>
      </c>
      <c r="C71" s="124">
        <f t="shared" si="4"/>
        <v>2.317463976148459</v>
      </c>
      <c r="D71" s="124">
        <f t="shared" si="4"/>
        <v>3.0753524954978646</v>
      </c>
      <c r="E71" s="124">
        <f t="shared" si="4"/>
        <v>3.4152880156405319</v>
      </c>
      <c r="F71" s="124">
        <f t="shared" si="4"/>
        <v>4.5645005000196361</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15</v>
      </c>
      <c r="E74" s="135">
        <f>INDEX(B$65:F$71, MATCH(D74, A$65:A$71, 0), MATCH(C74, B$64:F$64, 0))</f>
        <v>3.4276998742537863</v>
      </c>
      <c r="F74" s="142">
        <f>Scenarios!C58</f>
        <v>0.05</v>
      </c>
    </row>
    <row r="75" spans="1:8">
      <c r="B75" s="127" t="str">
        <f>Scenarios!B36</f>
        <v>Optimistic</v>
      </c>
      <c r="C75" s="142">
        <f>Scenarios!C38</f>
        <v>0.04</v>
      </c>
      <c r="D75" s="145">
        <f>Scenarios!C37</f>
        <v>10</v>
      </c>
      <c r="E75" s="135">
        <f>INDEX(B$65:F$71, MATCH(D75, A$65:A$71, 0), MATCH(C75, B$64:F$64, 0))</f>
        <v>2.9774149965824135</v>
      </c>
      <c r="F75" s="142">
        <f>Scenarios!C40*(1-F$74-F$78)</f>
        <v>0.17</v>
      </c>
      <c r="H75" s="120"/>
    </row>
    <row r="76" spans="1:8">
      <c r="B76" s="127" t="str">
        <f>Scenarios!B24</f>
        <v>Base</v>
      </c>
      <c r="C76" s="142">
        <f>Scenarios!C26</f>
        <v>0.02</v>
      </c>
      <c r="D76" s="145">
        <f>Scenarios!C25</f>
        <v>10</v>
      </c>
      <c r="E76" s="135">
        <f>INDEX(B$65:F$71, MATCH(D76, A$65:A$71, 0), MATCH(C76, B$64:F$64, 0))</f>
        <v>2.8992758855684833</v>
      </c>
      <c r="F76" s="142">
        <f>Scenarios!C28*(1-F$74-F$78)</f>
        <v>0.51</v>
      </c>
      <c r="H76" s="120"/>
    </row>
    <row r="77" spans="1:8">
      <c r="B77" s="127" t="str">
        <f>Scenarios!B30</f>
        <v>Pessimistic</v>
      </c>
      <c r="C77" s="142">
        <f>Scenarios!C32</f>
        <v>-0.08</v>
      </c>
      <c r="D77" s="145">
        <f>Scenarios!C31</f>
        <v>10</v>
      </c>
      <c r="E77" s="135">
        <f>INDEX(B$65:F$71, MATCH(D77, A$65:A$71, 0), MATCH(C77, B$64:F$64, 0))</f>
        <v>2.6006062372815482</v>
      </c>
      <c r="F77" s="142">
        <f>Scenarios!C34*(1-F$74-F$78)</f>
        <v>0.17</v>
      </c>
      <c r="H77" s="120"/>
    </row>
    <row r="78" spans="1:8">
      <c r="B78" s="127" t="str">
        <f>Scenarios!B48</f>
        <v>Devil's advocate</v>
      </c>
      <c r="C78" s="142">
        <f>Scenarios!C50</f>
        <v>-0.1</v>
      </c>
      <c r="D78" s="145">
        <f>Scenarios!C49</f>
        <v>15</v>
      </c>
      <c r="E78" s="135">
        <f>INDEX(B$65:F$71, MATCH(D78, A$65:A$71, 0), MATCH(C78, B$64:F$64, 0))</f>
        <v>2.4490743051463175</v>
      </c>
      <c r="F78" s="142">
        <f>Scenarios!C52</f>
        <v>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v>
      </c>
      <c r="E3" s="109" t="s">
        <v>123</v>
      </c>
      <c r="H3" s="120"/>
    </row>
    <row r="4" spans="2:8">
      <c r="B4" s="100" t="s">
        <v>437</v>
      </c>
      <c r="C4" s="114">
        <f>Normalized_FCF!C91*(1-dividend_tax_rate)</f>
        <v>148445.03510554295</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1979267.1347405727</v>
      </c>
      <c r="D6" t="str">
        <f>Reporting_currency</f>
        <v>CNY</v>
      </c>
      <c r="E6" s="366"/>
      <c r="F6" s="366"/>
      <c r="H6" s="120"/>
    </row>
    <row r="7" spans="2:8" ht="13.15">
      <c r="B7" s="149" t="s">
        <v>441</v>
      </c>
      <c r="C7" s="111">
        <f>(C6*scaling_factor)/Common_Shares*Exchange_Rate</f>
        <v>1.6266666666666667</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8.5779014792802307E-3</v>
      </c>
      <c r="H11" s="120"/>
    </row>
    <row r="12" spans="2:8" ht="13.35" customHeight="1">
      <c r="B12" s="118" t="s">
        <v>133</v>
      </c>
      <c r="C12" s="162">
        <f>Scenarios!C64</f>
        <v>10</v>
      </c>
      <c r="H12" s="120"/>
    </row>
    <row r="13" spans="2:8" ht="13.35" customHeight="1">
      <c r="B13" s="153" t="s">
        <v>106</v>
      </c>
      <c r="C13" s="140">
        <f>F47/Common_Shares*scaling_factor</f>
        <v>1.5235831924350081</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149718.3819917666</v>
      </c>
      <c r="D16" s="138">
        <f>IF($C$12&lt;B16,0,DDM!$C$11)</f>
        <v>8.5779014792802307E-3</v>
      </c>
      <c r="E16" s="124">
        <f t="shared" ref="E16:E45" si="0">IF($C$12&lt;B16,0,1/(1+Equity_Cost)^B16)</f>
        <v>0.93023255813953487</v>
      </c>
      <c r="F16" s="125">
        <f t="shared" ref="F16:F46" si="1">C16*E16</f>
        <v>139272.91348071312</v>
      </c>
      <c r="H16" s="120"/>
    </row>
    <row r="17" spans="2:8">
      <c r="B17" s="122">
        <v>2</v>
      </c>
      <c r="C17" s="123">
        <f t="shared" ref="C17:C45" si="2">IF(ROW()-ROW($C$16)&lt;$C$12, $C$16*(1+D17)^(ROW()-ROW($C$16)), 0)</f>
        <v>151002.65152212919</v>
      </c>
      <c r="D17" s="138">
        <f>IF($C$12&lt;B17,0,DDM!$C$11)</f>
        <v>8.5779014792802307E-3</v>
      </c>
      <c r="E17" s="124">
        <f t="shared" si="0"/>
        <v>0.86533261222282321</v>
      </c>
      <c r="F17" s="125">
        <f t="shared" si="1"/>
        <v>130667.51889421673</v>
      </c>
      <c r="H17" s="120"/>
    </row>
    <row r="18" spans="2:8">
      <c r="B18" s="122">
        <v>3</v>
      </c>
      <c r="C18" s="123">
        <f t="shared" si="2"/>
        <v>152297.93738999608</v>
      </c>
      <c r="D18" s="138">
        <f>IF($C$12&lt;B18,0,DDM!$C$11)</f>
        <v>8.5779014792802307E-3</v>
      </c>
      <c r="E18" s="124">
        <f t="shared" si="0"/>
        <v>0.80496056950960304</v>
      </c>
      <c r="F18" s="125">
        <f t="shared" si="1"/>
        <v>122593.8344165891</v>
      </c>
      <c r="H18" s="120"/>
    </row>
    <row r="19" spans="2:8">
      <c r="B19" s="122">
        <v>4</v>
      </c>
      <c r="C19" s="123">
        <f t="shared" si="2"/>
        <v>153604.33409242504</v>
      </c>
      <c r="D19" s="138">
        <f>IF($C$12&lt;B19,0,DDM!$C$11)</f>
        <v>8.5779014792802307E-3</v>
      </c>
      <c r="E19" s="124">
        <f t="shared" si="0"/>
        <v>0.7488005297763749</v>
      </c>
      <c r="F19" s="125">
        <f t="shared" si="1"/>
        <v>115019.00674435515</v>
      </c>
      <c r="H19" s="120"/>
    </row>
    <row r="20" spans="2:8">
      <c r="B20" s="122">
        <v>5</v>
      </c>
      <c r="C20" s="123">
        <f t="shared" si="2"/>
        <v>154921.93693706029</v>
      </c>
      <c r="D20" s="138">
        <f>IF($C$12&lt;B20,0,DDM!$C$11)</f>
        <v>8.5779014792802307E-3</v>
      </c>
      <c r="E20" s="124">
        <f t="shared" si="0"/>
        <v>0.69655863235011617</v>
      </c>
      <c r="F20" s="125">
        <f t="shared" si="1"/>
        <v>107912.21251390966</v>
      </c>
      <c r="H20" s="120"/>
    </row>
    <row r="21" spans="2:8">
      <c r="B21" s="122">
        <v>6</v>
      </c>
      <c r="C21" s="123">
        <f t="shared" si="2"/>
        <v>156250.84204908568</v>
      </c>
      <c r="D21" s="138">
        <f>IF($C$12&lt;B21,0,DDM!$C$11)</f>
        <v>8.5779014792802307E-3</v>
      </c>
      <c r="E21" s="124">
        <f t="shared" si="0"/>
        <v>0.64796151846522443</v>
      </c>
      <c r="F21" s="125">
        <f t="shared" si="1"/>
        <v>101244.5328755955</v>
      </c>
      <c r="H21" s="120"/>
    </row>
    <row r="22" spans="2:8">
      <c r="B22" s="122">
        <v>7</v>
      </c>
      <c r="C22" s="123">
        <f t="shared" si="2"/>
        <v>157591.14637823729</v>
      </c>
      <c r="D22" s="138">
        <f>IF($C$12&lt;B22,0,DDM!$C$11)</f>
        <v>8.5779014792802307E-3</v>
      </c>
      <c r="E22" s="124">
        <f t="shared" si="0"/>
        <v>0.60275490089788319</v>
      </c>
      <c r="F22" s="125">
        <f t="shared" si="1"/>
        <v>94988.835817598214</v>
      </c>
      <c r="H22" s="120"/>
    </row>
    <row r="23" spans="2:8">
      <c r="B23" s="122">
        <v>8</v>
      </c>
      <c r="C23" s="123">
        <f t="shared" si="2"/>
        <v>158942.94770587661</v>
      </c>
      <c r="D23" s="138">
        <f>IF($C$12&lt;B23,0,DDM!$C$11)</f>
        <v>8.5779014792802307E-3</v>
      </c>
      <c r="E23" s="124">
        <f t="shared" si="0"/>
        <v>0.56070223339337966</v>
      </c>
      <c r="F23" s="125">
        <f t="shared" si="1"/>
        <v>89119.66576081216</v>
      </c>
      <c r="H23" s="120"/>
    </row>
    <row r="24" spans="2:8">
      <c r="B24" s="122">
        <v>9</v>
      </c>
      <c r="C24" s="123">
        <f t="shared" si="2"/>
        <v>160306.34465212401</v>
      </c>
      <c r="D24" s="138">
        <f>IF($C$12&lt;B24,0,DDM!$C$11)</f>
        <v>8.5779014792802307E-3</v>
      </c>
      <c r="E24" s="124">
        <f t="shared" si="0"/>
        <v>0.52158347292407414</v>
      </c>
      <c r="F24" s="125">
        <f t="shared" si="1"/>
        <v>83613.139975418424</v>
      </c>
      <c r="H24" s="120"/>
    </row>
    <row r="25" spans="2:8">
      <c r="B25" s="122">
        <v>10</v>
      </c>
      <c r="C25" s="123">
        <f t="shared" si="2"/>
        <v>161681.43668305347</v>
      </c>
      <c r="D25" s="138">
        <f>IF($C$12&lt;B25,0,DDM!$C$11)</f>
        <v>8.5779014792802307E-3</v>
      </c>
      <c r="E25" s="124">
        <f t="shared" si="0"/>
        <v>0.48519392830146441</v>
      </c>
      <c r="F25" s="125">
        <f t="shared" si="1"/>
        <v>78446.8513976752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1996245.0932235548</v>
      </c>
      <c r="D46" s="139">
        <f>Terminal_Growth</f>
        <v>0</v>
      </c>
      <c r="E46" s="124">
        <f>1/(1+Equity_Cost)^C12</f>
        <v>0.48519392830146441</v>
      </c>
      <c r="F46" s="125">
        <f t="shared" si="1"/>
        <v>968565.99863365956</v>
      </c>
      <c r="H46" s="120"/>
    </row>
    <row r="47" spans="2:8">
      <c r="C47" s="114"/>
      <c r="E47" s="127" t="s">
        <v>100</v>
      </c>
      <c r="F47" s="137">
        <f>SUM(F16:F46)</f>
        <v>2031444.5105105429</v>
      </c>
      <c r="H47" s="120"/>
    </row>
    <row r="48" spans="2:8">
      <c r="C48" s="114"/>
      <c r="H48" s="120"/>
    </row>
    <row r="49" spans="1:8" ht="13.15">
      <c r="B49" s="119" t="s">
        <v>128</v>
      </c>
      <c r="C49" s="136"/>
      <c r="D49" s="136"/>
      <c r="E49" s="117"/>
      <c r="F49" s="117"/>
      <c r="H49" s="120"/>
    </row>
    <row r="50" spans="1:8" ht="13.15">
      <c r="A50" s="133">
        <f>F47</f>
        <v>2031444.5105105429</v>
      </c>
      <c r="B50" s="131">
        <f>C73</f>
        <v>-0.1</v>
      </c>
      <c r="C50" s="131">
        <f>C72</f>
        <v>-0.08</v>
      </c>
      <c r="D50" s="131">
        <f>C71</f>
        <v>0.02</v>
      </c>
      <c r="E50" s="131">
        <f>C70</f>
        <v>0.04</v>
      </c>
      <c r="F50" s="131">
        <f>C69</f>
        <v>0.08</v>
      </c>
      <c r="H50" s="120"/>
    </row>
    <row r="51" spans="1:8" ht="13.15">
      <c r="A51" s="143">
        <v>5</v>
      </c>
      <c r="B51" s="123">
        <f t="dataTable" ref="B51:F56" dt2D="1" dtr="1" r1="C11" r2="C12"/>
        <v>1690231.9092645159</v>
      </c>
      <c r="C51" s="123">
        <v>1744974.5824456164</v>
      </c>
      <c r="D51" s="123">
        <v>2042030.6917787283</v>
      </c>
      <c r="E51" s="123">
        <v>2106622.6737247142</v>
      </c>
      <c r="F51" s="123">
        <v>2241615.9146191832</v>
      </c>
      <c r="H51" s="120"/>
    </row>
    <row r="52" spans="1:8" ht="13.15">
      <c r="A52" s="143">
        <v>10</v>
      </c>
      <c r="B52" s="123">
        <v>1498572.3544049766</v>
      </c>
      <c r="C52" s="123">
        <v>1578893.7254180275</v>
      </c>
      <c r="D52" s="123">
        <v>2104268.8122340543</v>
      </c>
      <c r="E52" s="123">
        <v>2241719.4787752731</v>
      </c>
      <c r="F52" s="123">
        <v>2560114.1657440267</v>
      </c>
      <c r="H52" s="120"/>
    </row>
    <row r="53" spans="1:8" ht="13.15">
      <c r="A53" s="143">
        <v>15</v>
      </c>
      <c r="B53" s="123">
        <v>1312341.3574168982</v>
      </c>
      <c r="C53" s="123">
        <v>1411250.6363318409</v>
      </c>
      <c r="D53" s="123">
        <v>2183069.5612126943</v>
      </c>
      <c r="E53" s="123">
        <v>2421868.6986964899</v>
      </c>
      <c r="F53" s="123">
        <v>3033793.4576861383</v>
      </c>
      <c r="H53" s="120"/>
    </row>
    <row r="54" spans="1:8" ht="13.15">
      <c r="A54" s="144">
        <v>20</v>
      </c>
      <c r="B54" s="123">
        <v>1160932.5855789252</v>
      </c>
      <c r="C54" s="123">
        <v>1270624.0373225128</v>
      </c>
      <c r="D54" s="123">
        <v>2265220.6276208931</v>
      </c>
      <c r="E54" s="123">
        <v>2620274.9206868852</v>
      </c>
      <c r="F54" s="123">
        <v>3621476.6078301626</v>
      </c>
      <c r="H54" s="120"/>
    </row>
    <row r="55" spans="1:8" ht="13.15">
      <c r="A55" s="144">
        <v>25</v>
      </c>
      <c r="B55" s="123">
        <v>1046547.0027001137</v>
      </c>
      <c r="C55" s="123">
        <v>1161718.553306788</v>
      </c>
      <c r="D55" s="123">
        <v>2343409.482510474</v>
      </c>
      <c r="E55" s="123">
        <v>2820275.4698974011</v>
      </c>
      <c r="F55" s="123">
        <v>4294620.047857265</v>
      </c>
      <c r="H55" s="120"/>
    </row>
    <row r="56" spans="1:8" ht="13.15">
      <c r="A56" s="144">
        <v>30</v>
      </c>
      <c r="B56" s="123">
        <v>963201.64029564126</v>
      </c>
      <c r="C56" s="123">
        <v>1080832.1015560296</v>
      </c>
      <c r="D56" s="123">
        <v>2413996.5155962934</v>
      </c>
      <c r="E56" s="123">
        <v>3011960.3677357915</v>
      </c>
      <c r="F56" s="123">
        <v>5033483.5195315443</v>
      </c>
      <c r="H56" s="120"/>
    </row>
    <row r="57" spans="1:8">
      <c r="C57" s="114"/>
      <c r="D57" s="114"/>
      <c r="E57" s="114"/>
      <c r="F57" s="114"/>
      <c r="H57" s="120"/>
    </row>
    <row r="58" spans="1:8" ht="13.15">
      <c r="B58" s="119" t="s">
        <v>129</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1.6266666666666667</v>
      </c>
      <c r="C60" s="124">
        <f>C7</f>
        <v>1.6266666666666667</v>
      </c>
      <c r="D60" s="124">
        <f>C7</f>
        <v>1.6266666666666667</v>
      </c>
      <c r="E60" s="141">
        <f>C7</f>
        <v>1.6266666666666667</v>
      </c>
      <c r="F60" s="124">
        <f>C7</f>
        <v>1.6266666666666667</v>
      </c>
      <c r="H60" s="120"/>
    </row>
    <row r="61" spans="1:8" ht="13.15">
      <c r="A61" s="143">
        <f t="shared" ref="A61:A66" si="3">A51</f>
        <v>5</v>
      </c>
      <c r="B61" s="124">
        <f t="shared" ref="B61:F66" si="4">B51/Common_Shares*$C$3*Exchange_Rate</f>
        <v>1.3891221945123249</v>
      </c>
      <c r="C61" s="124">
        <f t="shared" si="4"/>
        <v>1.4341126256395489</v>
      </c>
      <c r="D61" s="124">
        <f t="shared" si="4"/>
        <v>1.6782490853929706</v>
      </c>
      <c r="E61" s="124">
        <f t="shared" si="4"/>
        <v>1.731334200646623</v>
      </c>
      <c r="F61" s="124">
        <f t="shared" si="4"/>
        <v>1.8422788029865786</v>
      </c>
      <c r="H61" s="120"/>
    </row>
    <row r="62" spans="1:8" ht="13.15">
      <c r="A62" s="143">
        <f t="shared" si="3"/>
        <v>10</v>
      </c>
      <c r="B62" s="124">
        <f t="shared" si="4"/>
        <v>1.2316062110626993</v>
      </c>
      <c r="C62" s="124">
        <f t="shared" si="4"/>
        <v>1.2976185721809075</v>
      </c>
      <c r="D62" s="124">
        <f t="shared" si="4"/>
        <v>1.7293996724782925</v>
      </c>
      <c r="E62" s="124">
        <f t="shared" si="4"/>
        <v>1.8423639175007422</v>
      </c>
      <c r="F62" s="124">
        <f t="shared" si="4"/>
        <v>2.104037551668231</v>
      </c>
      <c r="H62" s="120"/>
    </row>
    <row r="63" spans="1:8" ht="13.15">
      <c r="A63" s="143">
        <f t="shared" si="3"/>
        <v>15</v>
      </c>
      <c r="B63" s="124">
        <f t="shared" si="4"/>
        <v>1.0785517042791499</v>
      </c>
      <c r="C63" s="124">
        <f t="shared" si="4"/>
        <v>1.1598405935912346</v>
      </c>
      <c r="D63" s="124">
        <f t="shared" si="4"/>
        <v>1.7941623057893954</v>
      </c>
      <c r="E63" s="124">
        <f t="shared" si="4"/>
        <v>1.990420097451538</v>
      </c>
      <c r="F63" s="124">
        <f t="shared" si="4"/>
        <v>2.4933323069684024</v>
      </c>
      <c r="H63" s="120"/>
    </row>
    <row r="64" spans="1:8" ht="13.15">
      <c r="A64" s="144">
        <f t="shared" si="3"/>
        <v>20</v>
      </c>
      <c r="B64" s="124">
        <f t="shared" si="4"/>
        <v>0.95411594830321322</v>
      </c>
      <c r="C64" s="124">
        <f t="shared" si="4"/>
        <v>1.0442661988872288</v>
      </c>
      <c r="D64" s="124">
        <f t="shared" si="4"/>
        <v>1.8616784075887882</v>
      </c>
      <c r="E64" s="124">
        <f t="shared" si="4"/>
        <v>2.1534808496391626</v>
      </c>
      <c r="F64" s="124">
        <f t="shared" si="4"/>
        <v>2.9763214771120508</v>
      </c>
      <c r="H64" s="120"/>
    </row>
    <row r="65" spans="1:8" ht="13.15">
      <c r="A65" s="144">
        <f t="shared" si="3"/>
        <v>25</v>
      </c>
      <c r="B65" s="124">
        <f t="shared" si="4"/>
        <v>0.86010781188226038</v>
      </c>
      <c r="C65" s="124">
        <f t="shared" si="4"/>
        <v>0.95476189825183255</v>
      </c>
      <c r="D65" s="124">
        <f t="shared" si="4"/>
        <v>1.9259381538965492</v>
      </c>
      <c r="E65" s="124">
        <f t="shared" si="4"/>
        <v>2.3178519044631574</v>
      </c>
      <c r="F65" s="124">
        <f t="shared" si="4"/>
        <v>3.5295464443527367</v>
      </c>
    </row>
    <row r="66" spans="1:8" ht="13.15">
      <c r="A66" s="144">
        <f t="shared" si="3"/>
        <v>30</v>
      </c>
      <c r="B66" s="124">
        <f t="shared" si="4"/>
        <v>0.79161017431481862</v>
      </c>
      <c r="C66" s="124">
        <f t="shared" si="4"/>
        <v>0.88828512382433922</v>
      </c>
      <c r="D66" s="124">
        <f t="shared" si="4"/>
        <v>1.9839503200181521</v>
      </c>
      <c r="E66" s="124">
        <f t="shared" si="4"/>
        <v>2.4753887161164179</v>
      </c>
      <c r="F66" s="124">
        <f t="shared" si="4"/>
        <v>4.1367836178976276</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15</v>
      </c>
      <c r="E69" s="135">
        <f>INDEX(B$60:F$66, MATCH(D69, A$60:A$66, 0), MATCH(C69, B$59:F$59, 0))</f>
        <v>2.4933323069684024</v>
      </c>
      <c r="F69" s="142">
        <f>Scenarios!C58</f>
        <v>0.05</v>
      </c>
    </row>
    <row r="70" spans="1:8">
      <c r="B70" s="127" t="str">
        <f>Scenarios!B36</f>
        <v>Optimistic</v>
      </c>
      <c r="C70" s="142">
        <f>Scenarios!C38</f>
        <v>0.04</v>
      </c>
      <c r="D70" s="145">
        <f>Scenarios!C37</f>
        <v>10</v>
      </c>
      <c r="E70" s="135">
        <f>INDEX(B$60:F$66, MATCH(D70, A$60:A$66, 0), MATCH(C70, B$59:F$59, 0))</f>
        <v>1.8423639175007422</v>
      </c>
      <c r="F70" s="142">
        <f>Scenarios!C40*(1-F$69-F$73)</f>
        <v>0.17</v>
      </c>
      <c r="H70" s="120"/>
    </row>
    <row r="71" spans="1:8">
      <c r="B71" s="127" t="str">
        <f>Scenarios!B24</f>
        <v>Base</v>
      </c>
      <c r="C71" s="142">
        <f>Scenarios!C26</f>
        <v>0.02</v>
      </c>
      <c r="D71" s="145">
        <f>Scenarios!C25</f>
        <v>10</v>
      </c>
      <c r="E71" s="135">
        <f>INDEX(B$60:F$66, MATCH(D71, A$60:A$66, 0), MATCH(C71, B$59:F$59, 0))</f>
        <v>1.7293996724782925</v>
      </c>
      <c r="F71" s="142">
        <f>Scenarios!C28*(1-F$69-F$73)</f>
        <v>0.51</v>
      </c>
      <c r="H71" s="120"/>
    </row>
    <row r="72" spans="1:8">
      <c r="B72" s="127" t="str">
        <f>Scenarios!B30</f>
        <v>Pessimistic</v>
      </c>
      <c r="C72" s="142">
        <f>Scenarios!C32</f>
        <v>-0.08</v>
      </c>
      <c r="D72" s="145">
        <f>Scenarios!C31</f>
        <v>10</v>
      </c>
      <c r="E72" s="135">
        <f>INDEX(B$60:F$66, MATCH(D72, A$60:A$66, 0), MATCH(C72, B$59:F$59, 0))</f>
        <v>1.2976185721809075</v>
      </c>
      <c r="F72" s="142">
        <f>Scenarios!C34*(1-F$69-F$73)</f>
        <v>0.17</v>
      </c>
      <c r="H72" s="120"/>
    </row>
    <row r="73" spans="1:8">
      <c r="B73" s="127" t="str">
        <f>Scenarios!B48</f>
        <v>Devil's advocate</v>
      </c>
      <c r="C73" s="142">
        <f>Scenarios!C50</f>
        <v>-0.1</v>
      </c>
      <c r="D73" s="145">
        <f>Scenarios!C49</f>
        <v>15</v>
      </c>
      <c r="E73" s="135">
        <f>INDEX(B$60:F$66, MATCH(D73, A$60:A$66, 0), MATCH(C73, B$59:F$59, 0))</f>
        <v>1.0785517042791499</v>
      </c>
      <c r="F73" s="142">
        <f>Scenarios!C52</f>
        <v>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-2.69</v>
      </c>
    </row>
    <row r="4" spans="2:9">
      <c r="B4" s="152" t="s">
        <v>145</v>
      </c>
      <c r="C4" s="120">
        <v>2</v>
      </c>
      <c r="D4" s="120"/>
      <c r="E4" s="155" t="s">
        <v>149</v>
      </c>
      <c r="F4" s="155"/>
      <c r="H4" s="247">
        <v>1</v>
      </c>
      <c r="I4" s="124">
        <f t="shared" ref="I4:I13" si="0">IF(ROW()-3 &lt; $C$76, $C$77, IF(ROW()-3 = $C$76, $C$77 + $C$60, ""))</f>
        <v>0.11133376241243692</v>
      </c>
    </row>
    <row r="5" spans="2:9">
      <c r="H5" s="247">
        <v>2</v>
      </c>
      <c r="I5" s="124">
        <f t="shared" si="0"/>
        <v>0.11133376241243692</v>
      </c>
    </row>
    <row r="6" spans="2:9" ht="13.15">
      <c r="B6" s="159" t="s">
        <v>95</v>
      </c>
      <c r="C6" s="107">
        <f>DCF!C3</f>
        <v>1000</v>
      </c>
      <c r="E6" s="100" t="s">
        <v>278</v>
      </c>
      <c r="F6" s="100"/>
      <c r="H6" s="247">
        <v>3</v>
      </c>
      <c r="I6" s="124">
        <f t="shared" si="0"/>
        <v>2.9545204980365574</v>
      </c>
    </row>
    <row r="7" spans="2:9" ht="12.75" customHeight="1">
      <c r="B7" s="100" t="s">
        <v>274</v>
      </c>
      <c r="C7" s="338">
        <f>Normalized_FCF!G8</f>
        <v>157888</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68"/>
      <c r="H7" s="247">
        <v>4</v>
      </c>
      <c r="I7" s="124" t="str">
        <f t="shared" si="0"/>
        <v/>
      </c>
    </row>
    <row r="8" spans="2:9">
      <c r="B8" s="100" t="s">
        <v>66</v>
      </c>
      <c r="C8" s="338">
        <f>Normalized_FCF!G19</f>
        <v>133750.03083969172</v>
      </c>
      <c r="D8" t="str">
        <f>Reporting_currency</f>
        <v>CNY</v>
      </c>
      <c r="E8" s="368"/>
      <c r="F8" s="368"/>
      <c r="H8" s="247">
        <v>5</v>
      </c>
      <c r="I8" s="124" t="str">
        <f t="shared" si="0"/>
        <v/>
      </c>
    </row>
    <row r="9" spans="2:9">
      <c r="B9" s="100" t="s">
        <v>57</v>
      </c>
      <c r="C9" s="338">
        <f>Normalized_FCF!C19</f>
        <v>102681.72088676016</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0.12167914390403989</v>
      </c>
      <c r="D12" s="158"/>
      <c r="E12" s="368"/>
      <c r="F12" s="368"/>
      <c r="H12" s="247">
        <v>9</v>
      </c>
      <c r="I12" s="124" t="str">
        <f t="shared" si="0"/>
        <v/>
      </c>
    </row>
    <row r="13" spans="2:9">
      <c r="B13" s="148" t="s">
        <v>151</v>
      </c>
      <c r="C13" s="158">
        <f ca="1">(Normalized_FCF!G8/OFFSET(Normalized_FCF!G8, 0, $C$4))^(1/$C$4) - 1</f>
        <v>7.4870016543118432</v>
      </c>
      <c r="E13" s="368"/>
      <c r="F13" s="368"/>
      <c r="H13" s="247">
        <v>10</v>
      </c>
      <c r="I13" s="124" t="str">
        <f t="shared" si="0"/>
        <v/>
      </c>
    </row>
    <row r="14" spans="2:9">
      <c r="B14" s="100" t="s">
        <v>66</v>
      </c>
      <c r="C14" s="158">
        <f ca="1">(Normalized_FCF!G19/OFFSET(Normalized_FCF!G19, 0, $C$4))^(1/$C$4) - 1</f>
        <v>2.0125784070952224</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2.69</v>
      </c>
      <c r="D21" t="str">
        <f>Market_currency</f>
        <v>HKD</v>
      </c>
      <c r="E21" s="369"/>
      <c r="F21" s="369"/>
    </row>
    <row r="22" spans="2:6">
      <c r="B22" s="100" t="s">
        <v>277</v>
      </c>
      <c r="C22" s="160">
        <f>IF(valuation_method="DCF",DCF!C12,DDM!C7)</f>
        <v>2.8282138805569503</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0.02</v>
      </c>
      <c r="D26" s="164"/>
      <c r="E26" s="367"/>
      <c r="F26" s="367"/>
    </row>
    <row r="27" spans="2:6">
      <c r="B27" s="100" t="s">
        <v>112</v>
      </c>
      <c r="C27" s="160">
        <f>IF(valuation_method="DCF",DCF!E76,DDM!E71)</f>
        <v>2.8992758855684833</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-0.08</v>
      </c>
      <c r="D32" s="164"/>
      <c r="E32" s="367"/>
      <c r="F32" s="367"/>
    </row>
    <row r="33" spans="2:6">
      <c r="B33" s="100" t="s">
        <v>112</v>
      </c>
      <c r="C33" s="160">
        <f>IF(valuation_method="DCF",DCF!E77,DDM!E72)</f>
        <v>2.6006062372815482</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0.04</v>
      </c>
      <c r="D38" s="164"/>
      <c r="E38" s="367"/>
      <c r="F38" s="367"/>
    </row>
    <row r="39" spans="2:6">
      <c r="B39" s="100" t="s">
        <v>112</v>
      </c>
      <c r="C39" s="160">
        <f>IF(valuation_method="DCF",DCF!E75,DDM!E70)</f>
        <v>2.9774149965824135</v>
      </c>
      <c r="D39" t="str">
        <f>Market_currency</f>
        <v>HKD</v>
      </c>
      <c r="E39" s="367"/>
      <c r="F39" s="367"/>
    </row>
    <row r="40" spans="2:6">
      <c r="B40" s="100" t="s">
        <v>146</v>
      </c>
      <c r="C40" s="167">
        <f>1-C28-C34</f>
        <v>0.2</v>
      </c>
      <c r="D40" s="165"/>
      <c r="E40" s="367"/>
      <c r="F40" s="367"/>
    </row>
    <row r="42" spans="2:6" ht="13.15">
      <c r="B42" s="100" t="s">
        <v>119</v>
      </c>
      <c r="C42" s="154">
        <f>C27*C28+C33*C34+C39*C40</f>
        <v>2.8551697781138818</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v>
      </c>
      <c r="D50" s="164"/>
      <c r="E50" s="367"/>
      <c r="F50" s="367"/>
    </row>
    <row r="51" spans="2:6">
      <c r="B51" s="100" t="s">
        <v>112</v>
      </c>
      <c r="C51" s="160">
        <f>IF(valuation_method="DCF",DCF!E78,DDM!E73)</f>
        <v>2.4490743051463175</v>
      </c>
      <c r="D51" t="str">
        <f>Market_currency</f>
        <v>HKD</v>
      </c>
      <c r="E51" s="367"/>
      <c r="F51" s="367"/>
    </row>
    <row r="52" spans="2:6">
      <c r="B52" s="100" t="s">
        <v>146</v>
      </c>
      <c r="C52" s="165">
        <v>0.1</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0.08</v>
      </c>
      <c r="D56" s="164"/>
      <c r="E56" s="367"/>
      <c r="F56" s="367"/>
    </row>
    <row r="57" spans="2:6">
      <c r="B57" s="100" t="s">
        <v>112</v>
      </c>
      <c r="C57" s="160">
        <f>IF(valuation_method="DCF",DCF!E74,DDM!E69)</f>
        <v>3.4276998742537863</v>
      </c>
      <c r="D57" t="str">
        <f>Market_currency</f>
        <v>HKD</v>
      </c>
      <c r="E57" s="367"/>
      <c r="F57" s="367"/>
    </row>
    <row r="58" spans="2:6">
      <c r="B58" s="100" t="s">
        <v>146</v>
      </c>
      <c r="C58" s="165">
        <v>0.05</v>
      </c>
      <c r="D58" s="165"/>
      <c r="E58" s="367"/>
      <c r="F58" s="367"/>
    </row>
    <row r="60" spans="2:6" ht="13.15">
      <c r="B60" s="100" t="s">
        <v>119</v>
      </c>
      <c r="C60" s="154">
        <f>C51*C52+C57*C58+C42*(1-C52-C58)</f>
        <v>2.8431867356241205</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8.5779014792802307E-3</v>
      </c>
      <c r="D65" s="151"/>
      <c r="E65" s="251" t="s">
        <v>309</v>
      </c>
    </row>
    <row r="66" spans="2:6">
      <c r="B66" s="100" t="s">
        <v>102</v>
      </c>
      <c r="C66" s="160">
        <f>IF(valuation_method="DCF",DCF!C18,DDM!C13)</f>
        <v>2.8578761139989584</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Y</v>
      </c>
      <c r="E72" s="134" t="s">
        <v>343</v>
      </c>
      <c r="F72" s="291">
        <f>BS!D89/C60</f>
        <v>0.59898403113336451</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0.11133376241243692</v>
      </c>
      <c r="D77" t="str">
        <f>Market_currency</f>
        <v>HKD</v>
      </c>
    </row>
    <row r="79" spans="2:6" ht="13.15">
      <c r="B79" s="109" t="s">
        <v>300</v>
      </c>
    </row>
    <row r="80" spans="2:6">
      <c r="B80" s="148" t="s">
        <v>298</v>
      </c>
      <c r="C80" s="167">
        <f>Thesis!F29</f>
        <v>0.35</v>
      </c>
    </row>
    <row r="81" spans="2:8">
      <c r="B81" s="100" t="s">
        <v>120</v>
      </c>
      <c r="C81" s="116">
        <f>PV(C80, C76, -C77, 0)</f>
        <v>0.18880866683570313</v>
      </c>
      <c r="D81" s="116"/>
      <c r="E81" s="100"/>
      <c r="F81" s="100"/>
    </row>
    <row r="82" spans="2:8">
      <c r="B82" s="100" t="s">
        <v>121</v>
      </c>
      <c r="C82" s="116">
        <f>C60/(1+C80)^C76</f>
        <v>1.1555908085654099</v>
      </c>
      <c r="D82" s="116"/>
    </row>
    <row r="83" spans="2:8" ht="13.15">
      <c r="B83" s="110" t="s">
        <v>101</v>
      </c>
      <c r="C83" s="111">
        <f>C81+C82</f>
        <v>1.344399475401113</v>
      </c>
      <c r="D83" t="str">
        <f>Market_currency</f>
        <v>HKD</v>
      </c>
      <c r="E83" s="146" t="s">
        <v>125</v>
      </c>
      <c r="F83" s="291">
        <f>(1-C83/C60)</f>
        <v>0.52715048274660792</v>
      </c>
    </row>
    <row r="84" spans="2:8">
      <c r="E84" s="120"/>
    </row>
    <row r="85" spans="2:8" ht="13.15">
      <c r="B85" s="109" t="s">
        <v>301</v>
      </c>
    </row>
    <row r="86" spans="2:8">
      <c r="B86" s="148" t="s">
        <v>299</v>
      </c>
      <c r="C86" s="116">
        <f>Market_Price</f>
        <v>2.69</v>
      </c>
      <c r="D86" t="str">
        <f>Market_currency</f>
        <v>HKD</v>
      </c>
    </row>
    <row r="87" spans="2:8" ht="13.15">
      <c r="B87" s="100" t="s">
        <v>297</v>
      </c>
      <c r="C87" s="237">
        <f ca="1">IRR(OFFSET($I$3, 0, 0, $C$76 + 1, 1))</f>
        <v>5.9288032965278736E-2</v>
      </c>
    </row>
    <row r="88" spans="2:8">
      <c r="B88" s="100"/>
    </row>
    <row r="89" spans="2:8" ht="13.15">
      <c r="B89" s="109" t="s">
        <v>409</v>
      </c>
    </row>
    <row r="90" spans="2:8">
      <c r="B90" s="148" t="s">
        <v>410</v>
      </c>
      <c r="C90" s="167">
        <f>Thesis!F30</f>
        <v>0.25</v>
      </c>
    </row>
    <row r="91" spans="2:8">
      <c r="B91" s="100" t="s">
        <v>120</v>
      </c>
      <c r="C91" s="116">
        <f>PV(C90, C76, -C77, 0)</f>
        <v>0.21732350422907687</v>
      </c>
      <c r="D91" s="116"/>
      <c r="E91" s="100"/>
      <c r="F91" s="100"/>
    </row>
    <row r="92" spans="2:8">
      <c r="B92" s="100" t="s">
        <v>121</v>
      </c>
      <c r="C92" s="116">
        <f>C60/(1+C90)^C76</f>
        <v>1.4557116086395496</v>
      </c>
      <c r="D92" s="116"/>
    </row>
    <row r="93" spans="2:8" ht="13.15">
      <c r="B93" s="110" t="s">
        <v>101</v>
      </c>
      <c r="C93" s="111">
        <f>C91+C92</f>
        <v>1.6730351128686265</v>
      </c>
      <c r="D93" t="str">
        <f>Market_currency</f>
        <v>HKD</v>
      </c>
      <c r="E93" s="146" t="s">
        <v>125</v>
      </c>
      <c r="F93" s="291">
        <f>(1-C93/C60)</f>
        <v>0.41156340809202208</v>
      </c>
    </row>
    <row r="95" spans="2:8" ht="13.15">
      <c r="B95" s="109" t="s">
        <v>394</v>
      </c>
      <c r="G95" s="2"/>
      <c r="H95" s="281"/>
    </row>
    <row r="96" spans="2:8">
      <c r="B96" s="148" t="s">
        <v>400</v>
      </c>
      <c r="C96" s="134">
        <f>Thesis!F31</f>
        <v>7.4999999999999997E-2</v>
      </c>
      <c r="G96" s="2"/>
      <c r="H96" s="281"/>
    </row>
    <row r="97" spans="2:8">
      <c r="B97" s="100" t="s">
        <v>120</v>
      </c>
      <c r="C97" s="116">
        <f>PV(C96, C76, -C77, 0)</f>
        <v>0.28952631487033148</v>
      </c>
      <c r="D97" s="116"/>
      <c r="G97" s="2"/>
      <c r="H97" s="281"/>
    </row>
    <row r="98" spans="2:8">
      <c r="B98" s="100" t="s">
        <v>121</v>
      </c>
      <c r="C98" s="116">
        <f>C60/(1+C96)^C76</f>
        <v>2.2886532139301412</v>
      </c>
      <c r="D98" s="116"/>
      <c r="G98" s="2"/>
      <c r="H98" s="281"/>
    </row>
    <row r="99" spans="2:8" ht="13.15">
      <c r="B99" s="110" t="s">
        <v>395</v>
      </c>
      <c r="C99" s="111">
        <f>C97+C98</f>
        <v>2.5781795288004727</v>
      </c>
      <c r="D99" t="s">
        <v>393</v>
      </c>
      <c r="E99" s="146" t="s">
        <v>125</v>
      </c>
      <c r="F99" s="291">
        <f>(1-C99/C60)</f>
        <v>9.3207809217453641E-2</v>
      </c>
    </row>
    <row r="100" spans="2:8">
      <c r="B100" s="100"/>
    </row>
    <row r="101" spans="2:8" ht="13.15">
      <c r="B101" s="109" t="s">
        <v>419</v>
      </c>
    </row>
    <row r="102" spans="2:8">
      <c r="B102" s="148" t="s">
        <v>418</v>
      </c>
      <c r="C102" s="134">
        <f>Thesis!F32</f>
        <v>0.1174</v>
      </c>
    </row>
    <row r="103" spans="2:8">
      <c r="B103" s="100" t="s">
        <v>120</v>
      </c>
      <c r="C103" s="116">
        <f>PV(C102, C76, -C77, 0)</f>
        <v>0.26860418321875618</v>
      </c>
      <c r="D103" s="116"/>
    </row>
    <row r="104" spans="2:8">
      <c r="B104" s="100" t="s">
        <v>121</v>
      </c>
      <c r="C104" s="116">
        <f>C60/(1+C102)^C76</f>
        <v>2.0378836420404181</v>
      </c>
      <c r="D104" s="116"/>
    </row>
    <row r="105" spans="2:8" ht="13.15">
      <c r="B105" s="110" t="s">
        <v>395</v>
      </c>
      <c r="C105" s="111">
        <f>C103+C104</f>
        <v>2.3064878252591741</v>
      </c>
      <c r="D105" t="s">
        <v>393</v>
      </c>
      <c r="E105" s="146" t="s">
        <v>125</v>
      </c>
      <c r="F105" s="291">
        <f>(1-C105/C66)</f>
        <v>0.19293638588421513</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2025-07-07T01:17:21Z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