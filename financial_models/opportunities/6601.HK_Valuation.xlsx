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7FD99503-4FBE-3A4D-967B-57CF5249B999}"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<sst xmlns="http://schemas.openxmlformats.org/spreadsheetml/2006/main" count="685" uniqueCount="466">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</sst>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16" t="s">
        <v>450</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1333333500</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2.92</v>
      </c>
      <c r="D12" s="50"/>
      <c r="E12" s="48"/>
    </row>
    <row r="13" spans="1:10" x14ac:dyDescent="0.15">
      <c r="B13" s="1" t="s">
        <v>416</v>
      </c>
      <c r="C13" s="48" t="s">
        <v>396</v>
      </c>
      <c r="D13" s="48"/>
      <c r="E13" s="5"/>
    </row>
    <row r="14" spans="1:10" x14ac:dyDescent="0.15">
      <c r="B14" s="4" t="s">
        <v>420</v>
      </c>
      <c r="C14" s="35">
        <f>Thesis!C12*Common_Shares/1000000</f>
        <v>3893.3338199999998</v>
      </c>
      <c r="D14" s="35" t="str">
        <f>IF(D11="","",Thesis!D12*Common_Shares/1000000)</f>
        <v/>
      </c>
      <c r="E14" s="5"/>
    </row>
    <row r="15" spans="1:10" x14ac:dyDescent="0.15">
      <c r="B15" s="4" t="s">
        <v>419</v>
      </c>
      <c r="C15" s="32" t="str">
        <f>IF(C25=C13,C13,C25&amp;"/"&amp;C13)</f>
        <v>CNY/HKD</v>
      </c>
      <c r="D15" s="32" t="str">
        <f>IF(D11="","",IF(C25=D13,D13,C25&amp;"/"&amp;D13))</f>
        <v/>
      </c>
      <c r="E15" s="5"/>
    </row>
    <row r="16" spans="1:10" x14ac:dyDescent="0.15">
      <c r="B16" s="4" t="s">
        <v>1</v>
      </c>
      <c r="C16" s="50">
        <v>1.0889065499999999</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Low Growth Asset Play</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(HKD) :</v>
      </c>
      <c r="C26" s="304">
        <f>C132</f>
        <v>2.8250232443653376</v>
      </c>
      <c r="D26" s="1" t="s">
        <v>399</v>
      </c>
      <c r="E26" s="301">
        <f ca="1">Scenarios!C87</f>
        <v>2.7823572188489853E-2</v>
      </c>
    </row>
    <row r="27" spans="2:6" x14ac:dyDescent="0.15">
      <c r="D27" s="5"/>
      <c r="E27" s="5"/>
    </row>
    <row r="28" spans="2:6" x14ac:dyDescent="0.15">
      <c r="B28" s="45" t="s">
        <v>433</v>
      </c>
      <c r="C28" s="309" t="str">
        <f>C145&amp;" ("&amp;Market_currency&amp;")"</f>
        <v>6601.HK (HKD)</v>
      </c>
      <c r="D28" s="309" t="str">
        <f>IF(D11="","",D145&amp;" ("&amp;D13&amp;")")</f>
        <v/>
      </c>
      <c r="E28" s="305" t="s">
        <v>429</v>
      </c>
      <c r="F28" s="303">
        <v>3</v>
      </c>
    </row>
    <row r="29" spans="2:6" x14ac:dyDescent="0.15">
      <c r="B29" s="1" t="s">
        <v>425</v>
      </c>
      <c r="C29" s="310">
        <f>C149</f>
        <v>1.2906090329669757</v>
      </c>
      <c r="D29" s="310" t="str">
        <f>D149</f>
        <v/>
      </c>
      <c r="E29" s="306" t="s">
        <v>424</v>
      </c>
      <c r="F29" s="302">
        <v>0.3674</v>
      </c>
    </row>
    <row r="30" spans="2:6" x14ac:dyDescent="0.15">
      <c r="B30" s="1" t="s">
        <v>426</v>
      </c>
      <c r="C30" s="311">
        <f>C157</f>
        <v>1.7954738211486743</v>
      </c>
      <c r="D30" s="311" t="str">
        <f>D157</f>
        <v/>
      </c>
      <c r="E30" s="307" t="s">
        <v>437</v>
      </c>
      <c r="F30" s="312">
        <v>0.21740000000000001</v>
      </c>
    </row>
    <row r="31" spans="2:6" x14ac:dyDescent="0.15">
      <c r="B31" s="1" t="s">
        <v>427</v>
      </c>
      <c r="C31" s="311">
        <f>C165</f>
        <v>2.5653926207498983</v>
      </c>
      <c r="D31" s="311" t="str">
        <f>D165</f>
        <v/>
      </c>
      <c r="E31" s="307" t="s">
        <v>436</v>
      </c>
      <c r="F31" s="312">
        <v>7.4999999999999997E-2</v>
      </c>
    </row>
    <row r="32" spans="2:6" x14ac:dyDescent="0.15">
      <c r="B32" s="1" t="s">
        <v>428</v>
      </c>
      <c r="C32" s="311">
        <f>C173</f>
        <v>2.2951704104173785</v>
      </c>
      <c r="D32" s="311" t="str">
        <f>D173</f>
        <v/>
      </c>
      <c r="E32" s="307" t="s">
        <v>438</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v>
      </c>
    </row>
    <row r="40" spans="1:6" ht="24.5" customHeight="1" x14ac:dyDescent="0.15">
      <c r="B40" s="357" t="s">
        <v>231</v>
      </c>
      <c r="C40" s="357"/>
      <c r="D40" s="357"/>
      <c r="E40" s="357"/>
      <c r="F40" s="357"/>
    </row>
    <row r="41" spans="1:6" x14ac:dyDescent="0.15">
      <c r="B41" s="47" t="s">
        <v>232</v>
      </c>
      <c r="C41" s="349">
        <f>Normalized_FCF!C8</f>
        <v>113776.93034265516</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35974</v>
      </c>
      <c r="D44" s="1" t="str">
        <f>Reporting_currency</f>
        <v>CNY</v>
      </c>
    </row>
    <row r="45" spans="1:6" x14ac:dyDescent="0.15">
      <c r="B45" s="52" t="s">
        <v>235</v>
      </c>
      <c r="C45" s="349">
        <f>Normalized_FCF!C10</f>
        <v>-35974</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25026.181034924102</v>
      </c>
      <c r="D51" s="1" t="str">
        <f>Reporting_currency</f>
        <v>CNY</v>
      </c>
      <c r="E51" s="286"/>
      <c r="F51" s="286"/>
    </row>
    <row r="52" spans="2:6" x14ac:dyDescent="0.15">
      <c r="B52" s="47" t="s">
        <v>341</v>
      </c>
      <c r="C52" s="350">
        <f>Normalized_FCF!C47</f>
        <v>-1880</v>
      </c>
      <c r="D52" s="1" t="str">
        <f>Reporting_currency</f>
        <v>CNY</v>
      </c>
      <c r="E52" s="286"/>
      <c r="F52" s="286"/>
    </row>
    <row r="53" spans="2:6" x14ac:dyDescent="0.15">
      <c r="B53" s="47" t="s">
        <v>238</v>
      </c>
      <c r="C53" s="349">
        <f>Normalized_FCF!C12</f>
        <v>23146.181034924102</v>
      </c>
      <c r="D53" s="1" t="str">
        <f>Reporting_currency</f>
        <v>CNY</v>
      </c>
    </row>
    <row r="55" spans="2:6" x14ac:dyDescent="0.15">
      <c r="B55" s="1" t="s">
        <v>246</v>
      </c>
    </row>
    <row r="56" spans="2:6" x14ac:dyDescent="0.15">
      <c r="B56" s="47" t="s">
        <v>265</v>
      </c>
      <c r="C56" s="349">
        <f>Normalized_FCF!C15</f>
        <v>0</v>
      </c>
      <c r="D56" s="1" t="str">
        <f>Reporting_currency</f>
        <v>CNY</v>
      </c>
    </row>
    <row r="58" spans="2:6" x14ac:dyDescent="0.15">
      <c r="B58" s="357" t="s">
        <v>241</v>
      </c>
      <c r="C58" s="357"/>
      <c r="D58" s="357"/>
      <c r="E58" s="357"/>
      <c r="F58" s="357"/>
    </row>
    <row r="59" spans="2:6" x14ac:dyDescent="0.15">
      <c r="B59" s="47" t="s">
        <v>239</v>
      </c>
      <c r="C59" s="349">
        <f>Normalized_FCF!C14</f>
        <v>-34230.777844394819</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133764.18103492411</v>
      </c>
      <c r="D67" s="1" t="str">
        <f>Reporting_currency</f>
        <v>CNY</v>
      </c>
    </row>
    <row r="68" spans="1:6" x14ac:dyDescent="0.15">
      <c r="B68" s="47" t="s">
        <v>248</v>
      </c>
      <c r="C68" s="349">
        <f>Normalized_FCF!C19</f>
        <v>102692.33353318446</v>
      </c>
      <c r="D68" s="1" t="str">
        <f>Reporting_currency</f>
        <v>CNY</v>
      </c>
    </row>
    <row r="69" spans="1:6" x14ac:dyDescent="0.15">
      <c r="B69" s="227" t="s">
        <v>390</v>
      </c>
      <c r="C69" s="92">
        <f>Normalized_FCF!C125</f>
        <v>2.8721491603067622E-2</v>
      </c>
      <c r="F69" s="314"/>
    </row>
    <row r="70" spans="1:6" x14ac:dyDescent="0.15">
      <c r="B70" s="227" t="s">
        <v>308</v>
      </c>
      <c r="C70" s="92">
        <f>Normalized_FCF!C93</f>
        <v>3.8369520247452112E-2</v>
      </c>
      <c r="E70" s="47" t="s">
        <v>448</v>
      </c>
      <c r="F70" s="315">
        <f>Normalized_FCF!C92</f>
        <v>1.4546884435955194</v>
      </c>
    </row>
    <row r="72" spans="1:6" x14ac:dyDescent="0.15">
      <c r="B72" s="210" t="s">
        <v>451</v>
      </c>
      <c r="C72" s="323" t="s">
        <v>453</v>
      </c>
      <c r="D72" s="323" t="s">
        <v>454</v>
      </c>
    </row>
    <row r="73" spans="1:6" x14ac:dyDescent="0.15">
      <c r="B73" s="47" t="s">
        <v>452</v>
      </c>
      <c r="C73" s="92">
        <f>Normalized_FCF!C120</f>
        <v>4.334620247445705E-2</v>
      </c>
      <c r="D73" s="92">
        <f>Normalized_FCF!G120</f>
        <v>5.7310589768136681E-2</v>
      </c>
    </row>
    <row r="74" spans="1:6" x14ac:dyDescent="0.15">
      <c r="B74" s="259" t="str">
        <f>Normalized_FCF!B117</f>
        <v>Pre-tax Profit/Sales</v>
      </c>
      <c r="C74" s="322">
        <f>Normalized_FCF!C117</f>
        <v>8.4133856170902341E-2</v>
      </c>
      <c r="D74" s="322">
        <f>Normalized_FCF!G117</f>
        <v>9.9463428013570679E-2</v>
      </c>
    </row>
    <row r="75" spans="1:6" x14ac:dyDescent="0.15">
      <c r="B75" s="259" t="str">
        <f>Normalized_FCF!B118</f>
        <v>Sales/Total Assets</v>
      </c>
      <c r="C75" s="324">
        <f>Normalized_FCF!C118</f>
        <v>0.42808280043619051</v>
      </c>
      <c r="D75" s="324">
        <f>Normalized_FCF!G118</f>
        <v>0.47876122884928152</v>
      </c>
    </row>
    <row r="76" spans="1:6" x14ac:dyDescent="0.15">
      <c r="B76" s="259" t="str">
        <f>Normalized_FCF!B119</f>
        <v>Total Assets/Equity</v>
      </c>
      <c r="C76" s="324">
        <f>Normalized_FCF!C119</f>
        <v>1.2035176992971439</v>
      </c>
      <c r="D76" s="324">
        <f>Normalized_FCF!G119</f>
        <v>1.2035176992971439</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7.4999999999999997E-2</v>
      </c>
    </row>
    <row r="85" spans="1:6" x14ac:dyDescent="0.15">
      <c r="B85" s="1" t="s">
        <v>430</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1.1182234064127663</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33999</v>
      </c>
      <c r="D102" s="1" t="str">
        <f>Reporting_currency</f>
        <v>CNY</v>
      </c>
    </row>
    <row r="103" spans="2:6" x14ac:dyDescent="0.15">
      <c r="B103" s="47" t="s">
        <v>281</v>
      </c>
      <c r="C103" s="223">
        <f>C102*scaling_factor*Exchange_Rate/Common_Shares</f>
        <v>2.7766296874300388E-2</v>
      </c>
      <c r="D103" s="1" t="str">
        <f>Market_currency</f>
        <v>HKD</v>
      </c>
    </row>
    <row r="104" spans="2:6" x14ac:dyDescent="0.15">
      <c r="B104" s="296" t="s">
        <v>404</v>
      </c>
      <c r="C104" s="325">
        <f>IF(BS!G31/BS!G27&gt;300%,"nm",BS!G31/BS!G27)</f>
        <v>1.0763175939415467E-2</v>
      </c>
    </row>
    <row r="105" spans="2:6" x14ac:dyDescent="0.15">
      <c r="B105" s="296" t="s">
        <v>406</v>
      </c>
      <c r="C105" s="326">
        <f>IF(BS!C50&gt;30,"nm",BS!C50)</f>
        <v>0.29882156160837919</v>
      </c>
    </row>
    <row r="107" spans="2:6" x14ac:dyDescent="0.15">
      <c r="B107" s="1" t="s">
        <v>254</v>
      </c>
    </row>
    <row r="108" spans="2:6" x14ac:dyDescent="0.15">
      <c r="B108" s="47" t="s">
        <v>264</v>
      </c>
      <c r="C108" s="349">
        <f>BS!C66</f>
        <v>2707640</v>
      </c>
      <c r="D108" s="1" t="str">
        <f>Reporting_currency</f>
        <v>CNY</v>
      </c>
    </row>
    <row r="109" spans="2:6" x14ac:dyDescent="0.15">
      <c r="B109" s="47" t="s">
        <v>266</v>
      </c>
      <c r="C109" s="349">
        <f>DCF!C8</f>
        <v>1876113.956419704</v>
      </c>
      <c r="D109" s="1" t="str">
        <f>Reporting_currency</f>
        <v>CNY</v>
      </c>
    </row>
    <row r="110" spans="2:6" x14ac:dyDescent="0.15">
      <c r="B110" s="47" t="s">
        <v>282</v>
      </c>
      <c r="C110" s="223">
        <f>C109*scaling_factor*Exchange_Rate/Common_Shares</f>
        <v>1.5321843902458236</v>
      </c>
      <c r="D110" s="1" t="str">
        <f>Market_currency</f>
        <v>HKD</v>
      </c>
    </row>
    <row r="112" spans="2:6" x14ac:dyDescent="0.15">
      <c r="B112" s="1" t="s">
        <v>256</v>
      </c>
    </row>
    <row r="113" spans="1:6" x14ac:dyDescent="0.15">
      <c r="B113" s="47" t="s">
        <v>257</v>
      </c>
      <c r="C113" s="349">
        <f>DCF!C9</f>
        <v>229590.09999999998</v>
      </c>
      <c r="D113" s="1" t="str">
        <f>Reporting_currency</f>
        <v>CNY</v>
      </c>
    </row>
    <row r="114" spans="1:6" x14ac:dyDescent="0.15">
      <c r="B114" s="47" t="s">
        <v>283</v>
      </c>
      <c r="C114" s="223">
        <f>C113*scaling_factor*Exchange_Rate/Common_Shares</f>
        <v>0.18750159934116631</v>
      </c>
      <c r="D114" s="1" t="str">
        <f>Market_currency</f>
        <v>HKD</v>
      </c>
    </row>
    <row r="116" spans="1:6" ht="24.5" customHeight="1" x14ac:dyDescent="0.15">
      <c r="B116" s="356" t="s">
        <v>366</v>
      </c>
      <c r="C116" s="356"/>
      <c r="D116" s="356"/>
      <c r="E116" s="356"/>
      <c r="F116" s="356"/>
    </row>
    <row r="118" spans="1:6" x14ac:dyDescent="0.15">
      <c r="B118" s="47" t="s">
        <v>449</v>
      </c>
      <c r="C118" s="223">
        <f>IF(valuation_method="DCF",DCF!C12,DDM!C7)</f>
        <v>2.8101430991254559</v>
      </c>
      <c r="D118" s="1" t="str">
        <f>Market_currency</f>
        <v>HKD</v>
      </c>
    </row>
    <row r="119" spans="1:6" x14ac:dyDescent="0.15">
      <c r="B119" s="296" t="s">
        <v>405</v>
      </c>
      <c r="C119" s="223">
        <f>BS!D47</f>
        <v>1.9041583140985323</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0.08</v>
      </c>
      <c r="D126" s="230">
        <f>DCF!D74</f>
        <v>15</v>
      </c>
      <c r="E126" s="231" t="str">
        <f>ROUND(IF(valuation_method="DCF",DCF!E74,DDM!E69),2)&amp;" "&amp;Market_currency</f>
        <v>3.41 HKD</v>
      </c>
      <c r="F126" s="232">
        <f>DCF!F74</f>
        <v>0.05</v>
      </c>
    </row>
    <row r="127" spans="1:6" x14ac:dyDescent="0.15">
      <c r="B127" s="218" t="str">
        <f>DCF!B75</f>
        <v>Optimistic</v>
      </c>
      <c r="C127" s="219">
        <f>DCF!C75</f>
        <v>0.04</v>
      </c>
      <c r="D127" s="220">
        <f>DCF!D75</f>
        <v>10</v>
      </c>
      <c r="E127" s="231" t="str">
        <f>ROUND(IF(valuation_method="DCF",DCF!E75,DDM!E70),2)&amp;" "&amp;Market_currency</f>
        <v>2.96 HKD</v>
      </c>
      <c r="F127" s="221">
        <f>DCF!F75</f>
        <v>0.17</v>
      </c>
    </row>
    <row r="128" spans="1:6" x14ac:dyDescent="0.15">
      <c r="B128" s="218" t="str">
        <f>DCF!B76</f>
        <v>Base</v>
      </c>
      <c r="C128" s="219">
        <f>DCF!C76</f>
        <v>0.02</v>
      </c>
      <c r="D128" s="220">
        <f>DCF!D76</f>
        <v>10</v>
      </c>
      <c r="E128" s="231" t="str">
        <f>ROUND(IF(valuation_method="DCF",DCF!E76,DDM!E71),2)&amp;" "&amp;Market_currency</f>
        <v>2.88 HKD</v>
      </c>
      <c r="F128" s="221">
        <f>DCF!F76</f>
        <v>0.51</v>
      </c>
    </row>
    <row r="129" spans="1:6" x14ac:dyDescent="0.15">
      <c r="B129" s="218" t="str">
        <f>DCF!B77</f>
        <v>Pessimistic</v>
      </c>
      <c r="C129" s="219">
        <f>DCF!C77</f>
        <v>-0.08</v>
      </c>
      <c r="D129" s="220">
        <f>DCF!D77</f>
        <v>10</v>
      </c>
      <c r="E129" s="231" t="str">
        <f>ROUND(IF(valuation_method="DCF",DCF!E77,DDM!E72),2)&amp;" "&amp;Market_currency</f>
        <v>2.58 HKD</v>
      </c>
      <c r="F129" s="221">
        <f>DCF!F77</f>
        <v>0.17</v>
      </c>
    </row>
    <row r="130" spans="1:6" x14ac:dyDescent="0.15">
      <c r="B130" s="218" t="str">
        <f>DCF!B78</f>
        <v>Devil's advocate</v>
      </c>
      <c r="C130" s="219">
        <f>DCF!C78</f>
        <v>-0.1</v>
      </c>
      <c r="D130" s="220">
        <f>DCF!D78</f>
        <v>15</v>
      </c>
      <c r="E130" s="231" t="str">
        <f>ROUND(IF(valuation_method="DCF",DCF!E78,DDM!E73),2)&amp;" "&amp;Market_currency</f>
        <v>2.43 HKD</v>
      </c>
      <c r="F130" s="221">
        <f>DCF!F78</f>
        <v>0.1</v>
      </c>
    </row>
    <row r="132" spans="1:6" x14ac:dyDescent="0.15">
      <c r="B132" s="211" t="s">
        <v>258</v>
      </c>
      <c r="C132" s="217">
        <f>Scenarios!C60</f>
        <v>2.8250232443653376</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0.11203899912256016</v>
      </c>
      <c r="D143" s="212" t="str">
        <f>Market_currency</f>
        <v>HKD</v>
      </c>
    </row>
    <row r="145" spans="2:4" x14ac:dyDescent="0.15">
      <c r="B145" s="210" t="s">
        <v>408</v>
      </c>
      <c r="C145" s="241" t="str">
        <f>C11</f>
        <v>6601.HK</v>
      </c>
      <c r="D145" s="241" t="str">
        <f>IF(D11="","",D11)</f>
        <v/>
      </c>
    </row>
    <row r="146" spans="2:4" x14ac:dyDescent="0.15">
      <c r="B146" s="1" t="s">
        <v>407</v>
      </c>
      <c r="C146" s="297">
        <f>F29</f>
        <v>0.3674</v>
      </c>
    </row>
    <row r="147" spans="2:4" x14ac:dyDescent="0.15">
      <c r="B147" s="212" t="str">
        <f>"PV("&amp;C141&amp;" yrs of Dividends)"</f>
        <v>PV(3 yrs of Dividends)</v>
      </c>
      <c r="C147" s="216">
        <f>Scenarios!C81</f>
        <v>0.18567767542817407</v>
      </c>
    </row>
    <row r="148" spans="2:4" x14ac:dyDescent="0.15">
      <c r="B148" s="212" t="str">
        <f>"+ PV(Equity Value realized at year "&amp;C141&amp;")"</f>
        <v>+ PV(Equity Value realized at year 3)</v>
      </c>
      <c r="C148" s="216">
        <f>Scenarios!C82</f>
        <v>1.1049313575388016</v>
      </c>
    </row>
    <row r="149" spans="2:4" x14ac:dyDescent="0.15">
      <c r="B149" s="80" t="s">
        <v>260</v>
      </c>
      <c r="C149" s="215">
        <f>Scenarios!C83</f>
        <v>1.2906090329669757</v>
      </c>
      <c r="D149" s="300" t="str">
        <f>IF($D$11="","",C149*$E$25)</f>
        <v/>
      </c>
    </row>
    <row r="150" spans="2:4" x14ac:dyDescent="0.15">
      <c r="B150" s="259" t="s">
        <v>416</v>
      </c>
      <c r="C150" s="298" t="str">
        <f>Market_currency</f>
        <v>HKD</v>
      </c>
      <c r="D150" s="298" t="str">
        <f>IF($D$11="","",D$13)</f>
        <v/>
      </c>
    </row>
    <row r="151" spans="2:4" x14ac:dyDescent="0.15">
      <c r="B151" s="214" t="s">
        <v>262</v>
      </c>
      <c r="C151" s="92">
        <f>Scenarios!F83</f>
        <v>0.54315100396389104</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0.22972485610590027</v>
      </c>
    </row>
    <row r="156" spans="2:4" x14ac:dyDescent="0.15">
      <c r="B156" s="212" t="str">
        <f>"+ PV(Equity Value realized at year "&amp;C141&amp;")"</f>
        <v>+ PV(Equity Value realized at year 3)</v>
      </c>
      <c r="C156" s="216">
        <f>Scenarios!C92</f>
        <v>1.5657489650427741</v>
      </c>
    </row>
    <row r="157" spans="2:4" x14ac:dyDescent="0.15">
      <c r="B157" s="80" t="s">
        <v>260</v>
      </c>
      <c r="C157" s="215">
        <f>Scenarios!C93</f>
        <v>1.7954738211486743</v>
      </c>
      <c r="D157" s="300" t="str">
        <f>IF($D$11="","",C157*$E$25)</f>
        <v/>
      </c>
    </row>
    <row r="158" spans="2:4" x14ac:dyDescent="0.15">
      <c r="B158" s="259" t="s">
        <v>416</v>
      </c>
      <c r="C158" s="298" t="str">
        <f>Market_currency</f>
        <v>HKD</v>
      </c>
      <c r="D158" s="298" t="str">
        <f>IF($D$11="","",D$13)</f>
        <v/>
      </c>
    </row>
    <row r="159" spans="2:4" x14ac:dyDescent="0.15">
      <c r="B159" s="214" t="s">
        <v>262</v>
      </c>
      <c r="C159" s="92">
        <f>Scenarios!F93</f>
        <v>0.36443927506442841</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0.29136030108770961</v>
      </c>
    </row>
    <row r="164" spans="2:4" x14ac:dyDescent="0.15">
      <c r="B164" s="212" t="str">
        <f>"+ PV(Equity Value realized at year "&amp;C141&amp;")"</f>
        <v>+ PV(Equity Value realized at year 3)</v>
      </c>
      <c r="C164" s="216">
        <f>Scenarios!C98</f>
        <v>2.2740323196621888</v>
      </c>
    </row>
    <row r="165" spans="2:4" x14ac:dyDescent="0.15">
      <c r="B165" s="80" t="s">
        <v>401</v>
      </c>
      <c r="C165" s="215">
        <f>Scenarios!C99</f>
        <v>2.5653926207498983</v>
      </c>
      <c r="D165" s="300" t="str">
        <f>IF($D$11="","",C165*$E$25)</f>
        <v/>
      </c>
    </row>
    <row r="166" spans="2:4" x14ac:dyDescent="0.15">
      <c r="B166" s="259" t="s">
        <v>416</v>
      </c>
      <c r="C166" s="298" t="str">
        <f>Market_currency</f>
        <v>HKD</v>
      </c>
      <c r="D166" s="298" t="str">
        <f>IF($D$11="","",D$13)</f>
        <v/>
      </c>
    </row>
    <row r="167" spans="2:4" x14ac:dyDescent="0.15">
      <c r="B167" s="214" t="s">
        <v>262</v>
      </c>
      <c r="C167" s="92">
        <f>Scenarios!F99</f>
        <v>9.1903889333755595E-2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0.27030563951012621</v>
      </c>
    </row>
    <row r="172" spans="2:4" x14ac:dyDescent="0.15">
      <c r="B172" s="212" t="str">
        <f>"+ PV(Equity Value realized at year "&amp;C141&amp;")"</f>
        <v>+ PV(Equity Value realized at year 3)</v>
      </c>
      <c r="C172" s="216">
        <f>Scenarios!C104</f>
        <v>2.0248647709072523</v>
      </c>
    </row>
    <row r="173" spans="2:4" x14ac:dyDescent="0.15">
      <c r="B173" s="80" t="s">
        <v>401</v>
      </c>
      <c r="C173" s="215">
        <f>Scenarios!C105</f>
        <v>2.2951704104173785</v>
      </c>
      <c r="D173" s="300" t="str">
        <f>IF($D$11="","",C173*$E$25)</f>
        <v/>
      </c>
    </row>
    <row r="174" spans="2:4" x14ac:dyDescent="0.15">
      <c r="B174" s="259" t="s">
        <v>416</v>
      </c>
      <c r="C174" s="298" t="str">
        <f>Market_currency</f>
        <v>HKD</v>
      </c>
      <c r="D174" s="298" t="str">
        <f>IF($D$11="","",D$13)</f>
        <v/>
      </c>
    </row>
    <row r="175" spans="2:4" x14ac:dyDescent="0.15">
      <c r="B175" s="214" t="s">
        <v>262</v>
      </c>
      <c r="C175" s="92">
        <f>Scenarios!F105</f>
        <v>0.19173373123899151</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v>
      </c>
    </row>
    <row r="4" spans="2:13" x14ac:dyDescent="0.15">
      <c r="B4" s="32" t="s">
        <v>2</v>
      </c>
      <c r="C4" s="351">
        <v>1820108</v>
      </c>
      <c r="D4" s="351">
        <v>1615585</v>
      </c>
      <c r="E4" s="351">
        <v>1446638</v>
      </c>
      <c r="F4" s="351"/>
      <c r="G4" s="351"/>
      <c r="H4" s="351"/>
      <c r="I4" s="351"/>
      <c r="J4" s="351"/>
      <c r="K4" s="351"/>
      <c r="L4" s="351"/>
      <c r="M4" s="351"/>
    </row>
    <row r="5" spans="2:13" x14ac:dyDescent="0.15">
      <c r="B5" s="40" t="s">
        <v>43</v>
      </c>
      <c r="C5" s="351">
        <v>925767</v>
      </c>
      <c r="D5" s="351">
        <v>897327</v>
      </c>
      <c r="E5" s="351">
        <v>845264</v>
      </c>
      <c r="F5" s="351"/>
      <c r="G5" s="351"/>
      <c r="H5" s="351"/>
      <c r="I5" s="351"/>
      <c r="J5" s="351"/>
      <c r="K5" s="351"/>
      <c r="L5" s="351"/>
      <c r="M5" s="351"/>
    </row>
    <row r="6" spans="2:13" x14ac:dyDescent="0.15">
      <c r="B6" s="40" t="s">
        <v>54</v>
      </c>
      <c r="C6" s="351">
        <f>197703+C7</f>
        <v>736453</v>
      </c>
      <c r="D6" s="351">
        <v>613104</v>
      </c>
      <c r="E6" s="351">
        <v>599182</v>
      </c>
      <c r="F6" s="351"/>
      <c r="G6" s="351"/>
      <c r="H6" s="351"/>
      <c r="I6" s="351"/>
      <c r="J6" s="351"/>
      <c r="K6" s="351"/>
      <c r="L6" s="351"/>
      <c r="M6" s="351"/>
    </row>
    <row r="7" spans="2:13" x14ac:dyDescent="0.15">
      <c r="B7" s="69" t="s">
        <v>61</v>
      </c>
      <c r="C7" s="352">
        <v>538750</v>
      </c>
      <c r="D7" s="352">
        <v>425033</v>
      </c>
      <c r="E7" s="352">
        <v>435254</v>
      </c>
      <c r="F7" s="352"/>
      <c r="G7" s="352"/>
      <c r="H7" s="352"/>
      <c r="I7" s="352"/>
      <c r="J7" s="352"/>
      <c r="K7" s="352"/>
      <c r="L7" s="352"/>
      <c r="M7" s="352"/>
    </row>
    <row r="8" spans="2:13" x14ac:dyDescent="0.15">
      <c r="B8" s="40" t="s">
        <v>49</v>
      </c>
      <c r="C8" s="351"/>
      <c r="D8" s="351"/>
      <c r="E8" s="351"/>
      <c r="F8" s="351"/>
      <c r="G8" s="351"/>
      <c r="H8" s="351"/>
      <c r="I8" s="351"/>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1880</v>
      </c>
      <c r="D12" s="351">
        <v>1003</v>
      </c>
      <c r="E12" s="351">
        <v>863</v>
      </c>
      <c r="F12" s="351"/>
      <c r="G12" s="351"/>
      <c r="H12" s="351"/>
      <c r="I12" s="351"/>
      <c r="J12" s="351"/>
      <c r="K12" s="351"/>
      <c r="L12" s="351"/>
      <c r="M12" s="351"/>
    </row>
    <row r="13" spans="2:13" x14ac:dyDescent="0.15">
      <c r="B13" s="40" t="s">
        <v>67</v>
      </c>
      <c r="C13" s="351">
        <v>81491</v>
      </c>
      <c r="D13" s="351">
        <v>73805</v>
      </c>
      <c r="E13" s="351">
        <v>45350</v>
      </c>
      <c r="F13" s="351"/>
      <c r="G13" s="351"/>
      <c r="H13" s="351"/>
      <c r="I13" s="351"/>
      <c r="J13" s="351"/>
      <c r="K13" s="351"/>
      <c r="L13" s="351"/>
      <c r="M13" s="351"/>
    </row>
    <row r="14" spans="2:13" x14ac:dyDescent="0.15">
      <c r="B14" s="40" t="s">
        <v>50</v>
      </c>
      <c r="C14" s="351">
        <v>47270</v>
      </c>
      <c r="D14" s="351">
        <v>44449</v>
      </c>
      <c r="E14" s="351">
        <v>21017</v>
      </c>
      <c r="F14" s="351"/>
      <c r="G14" s="351"/>
      <c r="H14" s="351"/>
      <c r="I14" s="351"/>
      <c r="J14" s="351"/>
      <c r="K14" s="351"/>
      <c r="L14" s="351"/>
      <c r="M14" s="351"/>
    </row>
    <row r="15" spans="2:13" x14ac:dyDescent="0.15">
      <c r="B15" s="43" t="s">
        <v>42</v>
      </c>
      <c r="C15" s="353">
        <v>195249</v>
      </c>
      <c r="D15" s="353">
        <v>172817</v>
      </c>
      <c r="E15" s="353">
        <v>65456</v>
      </c>
      <c r="F15" s="353"/>
      <c r="G15" s="353"/>
      <c r="H15" s="353"/>
      <c r="I15" s="353"/>
      <c r="J15" s="353"/>
      <c r="K15" s="353"/>
      <c r="L15" s="353"/>
      <c r="M15" s="353"/>
    </row>
    <row r="16" spans="2:13" x14ac:dyDescent="0.15">
      <c r="B16" s="28" t="s">
        <v>44</v>
      </c>
      <c r="C16" s="351">
        <v>-8130</v>
      </c>
      <c r="D16" s="351">
        <v>-2199</v>
      </c>
      <c r="E16" s="351">
        <v>-645</v>
      </c>
      <c r="F16" s="351"/>
      <c r="G16" s="351"/>
      <c r="H16" s="351"/>
      <c r="I16" s="351"/>
      <c r="J16" s="351"/>
      <c r="K16" s="351"/>
      <c r="L16" s="351"/>
      <c r="M16" s="351"/>
    </row>
    <row r="18" spans="2:13" x14ac:dyDescent="0.15">
      <c r="B18" s="16" t="s">
        <v>51</v>
      </c>
      <c r="C18" s="9"/>
    </row>
    <row r="19" spans="2:13" ht="13" x14ac:dyDescent="0.15">
      <c r="B19" s="27" t="s">
        <v>47</v>
      </c>
      <c r="C19" s="351">
        <v>35974</v>
      </c>
      <c r="D19" s="351">
        <v>35974</v>
      </c>
      <c r="E19" s="351">
        <v>32106</v>
      </c>
      <c r="F19" s="351"/>
      <c r="G19" s="351"/>
      <c r="H19" s="351"/>
      <c r="I19" s="351"/>
      <c r="J19" s="351"/>
      <c r="K19" s="351"/>
      <c r="L19" s="351"/>
      <c r="M19" s="351"/>
    </row>
    <row r="20" spans="2:13" ht="13" x14ac:dyDescent="0.15">
      <c r="B20" s="27" t="s">
        <v>53</v>
      </c>
      <c r="C20" s="351"/>
      <c r="D20" s="351">
        <v>15312</v>
      </c>
      <c r="E20" s="351">
        <v>11600</v>
      </c>
      <c r="F20" s="351"/>
      <c r="G20" s="351"/>
      <c r="H20" s="351"/>
      <c r="I20" s="351"/>
      <c r="J20" s="351"/>
      <c r="K20" s="351"/>
      <c r="L20" s="351"/>
      <c r="M20" s="351"/>
    </row>
    <row r="21" spans="2:13" ht="13" x14ac:dyDescent="0.15">
      <c r="B21" s="27" t="s">
        <v>52</v>
      </c>
      <c r="C21" s="351"/>
      <c r="D21" s="351">
        <v>-169280</v>
      </c>
      <c r="E21" s="351">
        <v>-50846</v>
      </c>
      <c r="F21" s="351"/>
      <c r="G21" s="351"/>
      <c r="H21" s="351"/>
      <c r="I21" s="351"/>
      <c r="J21" s="351"/>
      <c r="K21" s="351"/>
      <c r="L21" s="351"/>
      <c r="M21" s="351"/>
    </row>
    <row r="22" spans="2:13" ht="13" x14ac:dyDescent="0.15">
      <c r="B22" s="27" t="s">
        <v>371</v>
      </c>
      <c r="C22" s="351"/>
      <c r="D22" s="351"/>
      <c r="E22" s="351"/>
      <c r="F22" s="351"/>
      <c r="G22" s="351"/>
      <c r="H22" s="351"/>
      <c r="I22" s="351"/>
      <c r="J22" s="351"/>
      <c r="K22" s="351"/>
      <c r="L22" s="351"/>
      <c r="M22" s="351"/>
    </row>
    <row r="23" spans="2:13" ht="13" x14ac:dyDescent="0.15">
      <c r="B23" s="27" t="s">
        <v>373</v>
      </c>
      <c r="C23" s="351"/>
      <c r="D23" s="351"/>
      <c r="E23" s="351"/>
      <c r="F23" s="351"/>
      <c r="G23" s="351"/>
      <c r="H23" s="351"/>
      <c r="I23" s="351"/>
      <c r="J23" s="351"/>
      <c r="K23" s="351"/>
      <c r="L23" s="351"/>
      <c r="M23" s="351"/>
    </row>
    <row r="24" spans="2:13" ht="13" x14ac:dyDescent="0.15">
      <c r="B24" s="27" t="s">
        <v>372</v>
      </c>
      <c r="C24" s="351"/>
      <c r="D24" s="351"/>
      <c r="E24" s="351"/>
      <c r="F24" s="351"/>
      <c r="G24" s="351"/>
      <c r="H24" s="351"/>
      <c r="I24" s="351"/>
      <c r="J24" s="351"/>
      <c r="K24" s="351"/>
      <c r="L24" s="351"/>
      <c r="M24" s="351"/>
    </row>
    <row r="25" spans="2:13" x14ac:dyDescent="0.15">
      <c r="B25" s="24" t="str">
        <f>"Dividend per share ("&amp;Market_currency&amp;")"</f>
        <v>Dividend per share (HKD)</v>
      </c>
      <c r="C25" s="39">
        <f>(0.0682+0.0538)/Exchange_Rate</f>
        <v>0.11203899912256016</v>
      </c>
      <c r="D25" s="39">
        <f>(0.064+0.041)/Exchange_Rate</f>
        <v>9.6427007441547682E-2</v>
      </c>
      <c r="E25" s="39">
        <f>(0.022+0.0168)/Exchange_Rate</f>
        <v>3.5632075130781427E-2</v>
      </c>
      <c r="F25" s="39"/>
      <c r="G25" s="39"/>
      <c r="H25" s="39"/>
      <c r="I25" s="39"/>
      <c r="J25" s="39"/>
      <c r="K25" s="39"/>
      <c r="L25" s="39"/>
      <c r="M25" s="39"/>
    </row>
    <row r="27" spans="2:13" x14ac:dyDescent="0.15">
      <c r="B27" s="16" t="s">
        <v>28</v>
      </c>
      <c r="C27" s="97" t="s">
        <v>463</v>
      </c>
    </row>
    <row r="28" spans="2:13" ht="13" x14ac:dyDescent="0.15">
      <c r="B28" s="26" t="s">
        <v>24</v>
      </c>
      <c r="C28" s="333">
        <f>BS!C4</f>
        <v>109763</v>
      </c>
      <c r="D28" s="351"/>
      <c r="E28" s="351"/>
      <c r="F28" s="351"/>
      <c r="G28" s="351"/>
      <c r="H28" s="351"/>
      <c r="I28" s="351"/>
      <c r="J28" s="351"/>
      <c r="K28" s="351"/>
      <c r="L28" s="351"/>
      <c r="M28" s="351"/>
    </row>
    <row r="29" spans="2:13" ht="13" x14ac:dyDescent="0.15">
      <c r="B29" s="26" t="s">
        <v>32</v>
      </c>
      <c r="C29" s="333">
        <f>BS!C6</f>
        <v>318027</v>
      </c>
      <c r="D29" s="351"/>
      <c r="E29" s="351"/>
      <c r="F29" s="351"/>
      <c r="G29" s="351"/>
      <c r="H29" s="351"/>
      <c r="I29" s="351"/>
      <c r="J29" s="351"/>
      <c r="K29" s="351"/>
      <c r="L29" s="351"/>
      <c r="M29" s="351"/>
    </row>
    <row r="30" spans="2:13" ht="13" x14ac:dyDescent="0.15">
      <c r="B30" s="29" t="s">
        <v>40</v>
      </c>
      <c r="C30" s="334">
        <f>BS!C33+BS!C42</f>
        <v>642877</v>
      </c>
      <c r="D30" s="353">
        <v>642877</v>
      </c>
      <c r="E30" s="353">
        <v>734909</v>
      </c>
      <c r="F30" s="353"/>
      <c r="G30" s="353"/>
      <c r="H30" s="353"/>
      <c r="I30" s="353"/>
      <c r="J30" s="353"/>
      <c r="K30" s="353"/>
      <c r="L30" s="353"/>
      <c r="M30" s="353"/>
    </row>
    <row r="31" spans="2:13" ht="13" x14ac:dyDescent="0.15">
      <c r="B31" s="29" t="s">
        <v>30</v>
      </c>
      <c r="C31" s="334">
        <f>BS!G27</f>
        <v>3158826</v>
      </c>
      <c r="D31" s="353">
        <v>3027292</v>
      </c>
      <c r="E31" s="353">
        <v>2824568</v>
      </c>
      <c r="F31" s="353"/>
      <c r="G31" s="353"/>
      <c r="H31" s="353"/>
      <c r="I31" s="353"/>
      <c r="J31" s="353"/>
      <c r="K31" s="353"/>
      <c r="L31" s="353"/>
      <c r="M31" s="353"/>
    </row>
    <row r="32" spans="2:13" ht="13" x14ac:dyDescent="0.15">
      <c r="B32" s="26" t="s">
        <v>172</v>
      </c>
      <c r="C32" s="333">
        <f>BS!G28</f>
        <v>-1648</v>
      </c>
      <c r="D32" s="351"/>
      <c r="E32" s="351"/>
      <c r="F32" s="351"/>
      <c r="G32" s="351"/>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x14ac:dyDescent="0.15">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ht="13" x14ac:dyDescent="0.15">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x14ac:dyDescent="0.15">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x14ac:dyDescent="0.15">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x14ac:dyDescent="0.15">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x14ac:dyDescent="0.15">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x14ac:dyDescent="0.15">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x14ac:dyDescent="0.15">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x14ac:dyDescent="0.15">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x14ac:dyDescent="0.15">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x14ac:dyDescent="0.15">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x14ac:dyDescent="0.15">
      <c r="B50" s="16" t="s">
        <v>68</v>
      </c>
    </row>
    <row r="51" spans="2:13" x14ac:dyDescent="0.15">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x14ac:dyDescent="0.15">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x14ac:dyDescent="0.15">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x14ac:dyDescent="0.15">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x14ac:dyDescent="0.15">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x14ac:dyDescent="0.15">
      <c r="B60" s="16" t="s">
        <v>51</v>
      </c>
      <c r="C60" s="9"/>
    </row>
    <row r="61" spans="2:13" ht="13" x14ac:dyDescent="0.15">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x14ac:dyDescent="0.15">
      <c r="B65" s="24" t="s">
        <v>36</v>
      </c>
      <c r="C65" s="73">
        <f>IF(C$4="","",C25)</f>
        <v>0.11203899912256016</v>
      </c>
      <c r="D65" s="73">
        <f t="shared" ref="D65:M65" si="33">IF(D$4="","",D25)</f>
        <v>9.6427007441547682E-2</v>
      </c>
      <c r="E65" s="73">
        <f t="shared" si="33"/>
        <v>3.5632075130781427E-2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15">
      <c r="B67" s="91" t="s">
        <v>84</v>
      </c>
    </row>
    <row r="68" spans="2:13" x14ac:dyDescent="0.1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ht="13" x14ac:dyDescent="0.15">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ht="13" x14ac:dyDescent="0.15">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ht="13" x14ac:dyDescent="0.15">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97460+12303</f>
        <v>109763</v>
      </c>
      <c r="D4" s="261">
        <v>0.6</v>
      </c>
      <c r="E4" s="25"/>
      <c r="F4" s="4" t="s">
        <v>77</v>
      </c>
      <c r="G4" s="19">
        <f>1713053+891425</f>
        <v>2604478</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318027</v>
      </c>
      <c r="D6" s="261">
        <v>0.5</v>
      </c>
      <c r="E6" s="25"/>
      <c r="F6" s="4" t="s">
        <v>177</v>
      </c>
      <c r="G6" s="19">
        <v>0</v>
      </c>
      <c r="H6" s="261">
        <v>0.6</v>
      </c>
    </row>
    <row r="7" spans="2:8" ht="15" customHeight="1" x14ac:dyDescent="0.15">
      <c r="B7" s="1" t="s">
        <v>69</v>
      </c>
      <c r="C7" s="19">
        <v>0</v>
      </c>
      <c r="D7" s="261">
        <v>0.6</v>
      </c>
      <c r="E7" s="25"/>
      <c r="F7" s="4" t="s">
        <v>178</v>
      </c>
      <c r="G7" s="19">
        <v>270180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0</v>
      </c>
      <c r="D9" s="261">
        <v>0.1</v>
      </c>
      <c r="E9" s="25"/>
      <c r="F9" s="4" t="s">
        <v>180</v>
      </c>
      <c r="G9" s="19">
        <v>0</v>
      </c>
      <c r="H9" s="261">
        <v>0.6</v>
      </c>
    </row>
    <row r="10" spans="2:8" ht="15" customHeight="1" x14ac:dyDescent="0.15">
      <c r="B10" s="4" t="s">
        <v>11</v>
      </c>
      <c r="C10" s="19">
        <v>19230</v>
      </c>
      <c r="D10" s="261">
        <v>0.9</v>
      </c>
      <c r="H10" s="262"/>
    </row>
    <row r="11" spans="2:8" ht="15" customHeight="1" x14ac:dyDescent="0.15">
      <c r="B11" s="4" t="s">
        <v>12</v>
      </c>
      <c r="C11" s="19">
        <v>0</v>
      </c>
      <c r="D11" s="261">
        <v>0.05</v>
      </c>
      <c r="H11" s="262"/>
    </row>
    <row r="12" spans="2:8" ht="15" customHeight="1" x14ac:dyDescent="0.15">
      <c r="B12" s="80" t="s">
        <v>72</v>
      </c>
      <c r="C12" s="81">
        <f>SUM(C4:C11)</f>
        <v>447020</v>
      </c>
      <c r="D12" s="20">
        <f>C4*D4+C5*D5+C9*D9+C6*D6+C8*D8+C7*D7+C10*D10+C11*D11</f>
        <v>242178.3</v>
      </c>
      <c r="F12" s="80" t="s">
        <v>70</v>
      </c>
      <c r="G12" s="81">
        <f>SUM(G4:G9)</f>
        <v>2874658</v>
      </c>
      <c r="H12" s="20">
        <f>G4*H4+G5*H5+G6*H6+G7*H7+G8*H8+G9*H9</f>
        <v>2506138.2000000002</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455</v>
      </c>
      <c r="C15" s="19">
        <v>0</v>
      </c>
      <c r="D15" s="261">
        <v>0.4</v>
      </c>
      <c r="F15" s="4" t="s">
        <v>78</v>
      </c>
      <c r="G15" s="19">
        <v>103162</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111923</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147013+53837+407</f>
        <v>201257</v>
      </c>
      <c r="D19" s="261">
        <v>0.1</v>
      </c>
      <c r="F19" s="4" t="s">
        <v>182</v>
      </c>
      <c r="G19" s="19">
        <v>3283</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0</v>
      </c>
      <c r="D21" s="261">
        <v>0.05</v>
      </c>
      <c r="F21" s="1" t="s">
        <v>180</v>
      </c>
      <c r="G21" s="19">
        <v>0</v>
      </c>
      <c r="H21" s="261">
        <v>0.1</v>
      </c>
    </row>
    <row r="22" spans="2:8" ht="15" customHeight="1" x14ac:dyDescent="0.15">
      <c r="B22" s="4" t="s">
        <v>20</v>
      </c>
      <c r="C22" s="19">
        <v>60400</v>
      </c>
      <c r="D22" s="261">
        <v>0.9</v>
      </c>
      <c r="H22" s="262"/>
    </row>
    <row r="23" spans="2:8" ht="15" customHeight="1" x14ac:dyDescent="0.15">
      <c r="B23" s="4" t="s">
        <v>21</v>
      </c>
      <c r="C23" s="19">
        <v>0</v>
      </c>
      <c r="D23" s="261">
        <v>0</v>
      </c>
      <c r="H23" s="262"/>
    </row>
    <row r="24" spans="2:8" ht="15" customHeight="1" x14ac:dyDescent="0.15">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3158826</v>
      </c>
      <c r="H27" s="188">
        <f>H32-G30</f>
        <v>2329936.9000000004</v>
      </c>
    </row>
    <row r="28" spans="2:8" ht="15" customHeight="1" x14ac:dyDescent="0.15">
      <c r="B28" s="4" t="s">
        <v>6</v>
      </c>
      <c r="C28" s="19">
        <v>13416</v>
      </c>
      <c r="F28" s="189" t="s">
        <v>244</v>
      </c>
      <c r="G28" s="12">
        <v>-1648</v>
      </c>
      <c r="H28" s="188"/>
    </row>
    <row r="29" spans="2:8" ht="15" customHeight="1" x14ac:dyDescent="0.15">
      <c r="B29" s="4" t="s">
        <v>7</v>
      </c>
      <c r="C29" s="19">
        <v>0</v>
      </c>
      <c r="F29" s="190" t="s">
        <v>75</v>
      </c>
      <c r="G29" s="14">
        <f>G27-G28</f>
        <v>3160474</v>
      </c>
      <c r="H29" s="188">
        <f>H27-G28</f>
        <v>2331584.9000000004</v>
      </c>
    </row>
    <row r="30" spans="2:8" ht="15" customHeight="1" x14ac:dyDescent="0.15">
      <c r="B30" s="2" t="s">
        <v>8</v>
      </c>
      <c r="C30" s="19">
        <v>0</v>
      </c>
      <c r="F30" s="187" t="s">
        <v>23</v>
      </c>
      <c r="G30" s="85">
        <f>C33+C42</f>
        <v>642877</v>
      </c>
      <c r="H30" s="188"/>
    </row>
    <row r="31" spans="2:8" ht="15" customHeight="1" x14ac:dyDescent="0.15">
      <c r="B31" s="80" t="s">
        <v>203</v>
      </c>
      <c r="C31" s="81">
        <f>SUM(C27:C30)</f>
        <v>13416</v>
      </c>
      <c r="F31" s="190" t="s">
        <v>76</v>
      </c>
      <c r="G31" s="191">
        <f>C31+C40</f>
        <v>33999</v>
      </c>
      <c r="H31" s="188"/>
    </row>
    <row r="32" spans="2:8" ht="15" customHeight="1" x14ac:dyDescent="0.15">
      <c r="B32" s="4" t="s">
        <v>9</v>
      </c>
      <c r="C32" s="21">
        <f>C33-C31</f>
        <v>598515</v>
      </c>
      <c r="F32" s="192" t="s">
        <v>74</v>
      </c>
      <c r="G32" s="193">
        <f>G35+G40</f>
        <v>3801703</v>
      </c>
      <c r="H32" s="188">
        <f>H35+H40</f>
        <v>2972813.9000000004</v>
      </c>
    </row>
    <row r="33" spans="2:8" ht="15" customHeight="1" x14ac:dyDescent="0.15">
      <c r="B33" s="83" t="s">
        <v>4</v>
      </c>
      <c r="C33" s="84">
        <v>611931</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708677</v>
      </c>
      <c r="H35" s="200">
        <f>D12+D24</f>
        <v>316664</v>
      </c>
    </row>
    <row r="36" spans="2:8" ht="15" customHeight="1" x14ac:dyDescent="0.15">
      <c r="B36" s="4" t="s">
        <v>13</v>
      </c>
      <c r="C36" s="19">
        <v>0</v>
      </c>
      <c r="F36" s="190" t="s">
        <v>197</v>
      </c>
      <c r="G36" s="191">
        <f>C4+C15</f>
        <v>109763</v>
      </c>
      <c r="H36" s="195"/>
    </row>
    <row r="37" spans="2:8" ht="15" customHeight="1" x14ac:dyDescent="0.15">
      <c r="B37" s="4" t="s">
        <v>14</v>
      </c>
      <c r="C37" s="19">
        <v>20583</v>
      </c>
      <c r="F37" s="190" t="s">
        <v>198</v>
      </c>
      <c r="G37" s="191">
        <f>C6</f>
        <v>318027</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201257</v>
      </c>
      <c r="H39" s="188">
        <f>C7*D7+C17*D17+C19*D19+C20*D20</f>
        <v>20125.7</v>
      </c>
    </row>
    <row r="40" spans="2:8" ht="15" customHeight="1" x14ac:dyDescent="0.15">
      <c r="B40" s="80" t="s">
        <v>204</v>
      </c>
      <c r="C40" s="81">
        <f>SUM(C36:C39)</f>
        <v>20583</v>
      </c>
      <c r="F40" s="199" t="s">
        <v>138</v>
      </c>
      <c r="G40" s="193">
        <f>G12+G24</f>
        <v>3093026</v>
      </c>
      <c r="H40" s="200">
        <f>H12+H24</f>
        <v>2656149.9000000004</v>
      </c>
    </row>
    <row r="41" spans="2:8" ht="15" customHeight="1" x14ac:dyDescent="0.15">
      <c r="B41" s="4" t="s">
        <v>17</v>
      </c>
      <c r="C41" s="21">
        <f>C42-C40</f>
        <v>10363</v>
      </c>
      <c r="F41" s="190" t="s">
        <v>191</v>
      </c>
      <c r="G41" s="191">
        <f>C70</f>
        <v>2707640</v>
      </c>
      <c r="H41" s="200">
        <f>H40-H42</f>
        <v>2426559.8000000003</v>
      </c>
    </row>
    <row r="42" spans="2:8" ht="15" customHeight="1" x14ac:dyDescent="0.15">
      <c r="B42" s="83" t="s">
        <v>22</v>
      </c>
      <c r="C42" s="84">
        <v>30946</v>
      </c>
      <c r="F42" s="201" t="s">
        <v>192</v>
      </c>
      <c r="G42" s="202">
        <f>C82</f>
        <v>385386</v>
      </c>
      <c r="H42" s="203">
        <f>D82</f>
        <v>229590.09999999998</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3160474</v>
      </c>
      <c r="D46" s="76">
        <f>H29</f>
        <v>2331584.9000000004</v>
      </c>
      <c r="F46" s="253"/>
    </row>
    <row r="47" spans="2:8" ht="15" customHeight="1" x14ac:dyDescent="0.15">
      <c r="B47" s="1" t="str">
        <f>"Equity per share ("&amp;Market_currency&amp;")"</f>
        <v>Equity per share (HKD)</v>
      </c>
      <c r="C47" s="147">
        <f>C46*H1/Common_Shares*Exchange_Rate</f>
        <v>2.5810953071416112</v>
      </c>
      <c r="D47" s="147">
        <f>D46*H1/Common_Shares*Exchange_Rate</f>
        <v>1.9041583140985323</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0.29882156160837919</v>
      </c>
      <c r="D50" s="95">
        <f>G31/Normalized_FCF!G8</f>
        <v>0.21533618767734089</v>
      </c>
      <c r="F50" s="253"/>
    </row>
    <row r="51" spans="2:8" ht="15" customHeight="1" x14ac:dyDescent="0.15">
      <c r="B51" s="1" t="s">
        <v>176</v>
      </c>
      <c r="C51" s="181"/>
      <c r="D51" s="92">
        <f>G29/G32</f>
        <v>0.83133111660747827</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0.16054836031457936</v>
      </c>
      <c r="D54" s="92">
        <f>Normalized_FCF!G8/G35</f>
        <v>0.2227926121491173</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0.17874657775878602</v>
      </c>
      <c r="F58" s="5"/>
    </row>
    <row r="59" spans="2:8" ht="15" customHeight="1" x14ac:dyDescent="0.15">
      <c r="B59" s="1" t="s">
        <v>92</v>
      </c>
      <c r="C59" s="98"/>
      <c r="D59" s="92">
        <f>G39/G32</f>
        <v>5.2938643550009039E-2</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-5.2144077122608828E-4</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2707640</v>
      </c>
      <c r="D66" s="76">
        <f>C66-D75</f>
        <v>1876113.956419704</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2707640</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-150967.11256971501</v>
      </c>
      <c r="D73" s="349">
        <f>(Normalized_FCF!C25+Normalized_FCF!C35-Normalized_FCF!C91)/12</f>
        <v>-138587.67393004932</v>
      </c>
      <c r="F73" s="1" t="s">
        <v>351</v>
      </c>
    </row>
    <row r="74" spans="2:6" ht="15" customHeight="1" x14ac:dyDescent="0.15">
      <c r="B74" s="257" t="s">
        <v>321</v>
      </c>
      <c r="C74" s="258">
        <f>-$C$66/C73</f>
        <v>17.935296992248166</v>
      </c>
      <c r="D74" s="258">
        <f>-$C$66/D73</f>
        <v>19.537379647245203</v>
      </c>
      <c r="F74" s="253" t="s">
        <v>319</v>
      </c>
    </row>
    <row r="75" spans="2:6" ht="15" customHeight="1" x14ac:dyDescent="0.15">
      <c r="B75" s="80" t="s">
        <v>320</v>
      </c>
      <c r="C75" s="320"/>
      <c r="D75" s="321">
        <f>MAX(-D73*D76,G5)</f>
        <v>831526.04358029598</v>
      </c>
      <c r="F75" s="253" t="s">
        <v>352</v>
      </c>
    </row>
    <row r="76" spans="2:6" ht="15" customHeight="1" x14ac:dyDescent="0.15">
      <c r="B76" s="259" t="s">
        <v>322</v>
      </c>
      <c r="C76" s="260"/>
      <c r="D76" s="290">
        <f>IF(D74&lt;=3,1,IF(D74&gt;18,6,2))</f>
        <v>6</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382103</v>
      </c>
      <c r="D79" s="76">
        <f>G7*H7+G17*H17</f>
        <v>229261.8</v>
      </c>
      <c r="F79" s="253"/>
    </row>
    <row r="80" spans="2:6" ht="15" customHeight="1" x14ac:dyDescent="0.15">
      <c r="B80" s="105" t="s">
        <v>182</v>
      </c>
      <c r="C80" s="20">
        <f>G19</f>
        <v>3283</v>
      </c>
      <c r="D80" s="76">
        <f>G19*H19</f>
        <v>328.3</v>
      </c>
      <c r="F80" s="253"/>
    </row>
    <row r="81" spans="2:8" ht="15" customHeight="1" x14ac:dyDescent="0.15">
      <c r="B81" s="105" t="s">
        <v>180</v>
      </c>
      <c r="C81" s="20">
        <f>G9+G21</f>
        <v>0</v>
      </c>
      <c r="D81" s="76">
        <f>G9*H9+G21*H21</f>
        <v>0</v>
      </c>
      <c r="F81" s="253"/>
    </row>
    <row r="82" spans="2:8" ht="15" customHeight="1" x14ac:dyDescent="0.15">
      <c r="B82" s="80" t="s">
        <v>189</v>
      </c>
      <c r="C82" s="81">
        <f>SUM(C79:C81)</f>
        <v>385386</v>
      </c>
      <c r="D82" s="81">
        <f>SUM(D79:D81)</f>
        <v>229590.09999999998</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-37021.733793449996</v>
      </c>
      <c r="D86" s="223">
        <f>C86*scaling_factor/Common_Shares</f>
        <v>-2.7766296874300388E-2</v>
      </c>
      <c r="E86" s="240" t="str">
        <f>Market_currency</f>
        <v>HKD</v>
      </c>
    </row>
    <row r="87" spans="2:8" ht="15" customHeight="1" x14ac:dyDescent="0.15">
      <c r="B87" s="238" t="s">
        <v>287</v>
      </c>
      <c r="C87" s="76">
        <f>DCF!C8*Exchange_Rate</f>
        <v>2042912.7756918301</v>
      </c>
      <c r="D87" s="223">
        <f>C87*scaling_factor/Common_Shares</f>
        <v>1.5321843902458239</v>
      </c>
      <c r="E87" s="240" t="str">
        <f>Market_currency</f>
        <v>HKD</v>
      </c>
    </row>
    <row r="88" spans="2:8" ht="15" customHeight="1" x14ac:dyDescent="0.15">
      <c r="B88" s="239" t="s">
        <v>189</v>
      </c>
      <c r="C88" s="76">
        <f>DCF!C9*Exchange_Rate</f>
        <v>250002.16370515496</v>
      </c>
      <c r="D88" s="223">
        <f>C88*scaling_factor/Common_Shares</f>
        <v>0.18750159934116631</v>
      </c>
      <c r="E88" s="240" t="str">
        <f>Market_currency</f>
        <v>HKD</v>
      </c>
    </row>
    <row r="89" spans="2:8" ht="15" customHeight="1" x14ac:dyDescent="0.15">
      <c r="B89" s="80" t="s">
        <v>291</v>
      </c>
      <c r="C89" s="180">
        <f>SUM(C86:C88)</f>
        <v>2255893.2056035348</v>
      </c>
      <c r="D89" s="242">
        <f>SUM(D86:D88)</f>
        <v>1.6919196927126898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x14ac:dyDescent="0.15">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68</v>
      </c>
      <c r="C12" s="328">
        <f>C50</f>
        <v>23146.181034924102</v>
      </c>
      <c r="E12" s="268"/>
      <c r="G12" s="328">
        <f>G50</f>
        <v>23146.181034924102</v>
      </c>
      <c r="H12" s="328">
        <f t="shared" ref="H12:Q12" si="6">H50</f>
        <v>21662.782617498538</v>
      </c>
      <c r="I12" s="328">
        <f t="shared" si="6"/>
        <v>13064.149132220835</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164</v>
      </c>
      <c r="C13" s="329">
        <f>SUM(C8:C12)</f>
        <v>136923.11137757928</v>
      </c>
      <c r="E13" s="268"/>
      <c r="G13" s="329">
        <f>IF(G$4="","",SUM(G8:G12))</f>
        <v>181034.18103492411</v>
      </c>
      <c r="H13" s="329">
        <f t="shared" ref="H13:Q13" si="7">IF(H$4="","",SUM(H8:H12))</f>
        <v>147478.78261749854</v>
      </c>
      <c r="I13" s="329">
        <f t="shared" si="7"/>
        <v>35762.149132220831</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63</v>
      </c>
      <c r="C14" s="328">
        <f>-SUM(C8+C11,C12)*C43</f>
        <v>-34230.777844394819</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x14ac:dyDescent="0.15">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x14ac:dyDescent="0.15">
      <c r="A16" s="10"/>
      <c r="B16" s="41" t="s">
        <v>154</v>
      </c>
      <c r="C16" s="332">
        <f>SUM(C13:C15)</f>
        <v>102692.33353318446</v>
      </c>
      <c r="D16" s="61"/>
      <c r="E16" s="276"/>
      <c r="F16" s="61"/>
      <c r="G16" s="329">
        <f>IF(G$4="","",SUM(G13:G15))</f>
        <v>133764.18103492411</v>
      </c>
      <c r="H16" s="329">
        <f t="shared" ref="H16:Q16" si="8">IF(H$4="","",SUM(H13:H15))</f>
        <v>103029.78261749854</v>
      </c>
      <c r="I16" s="329">
        <f t="shared" si="8"/>
        <v>14745.149132220831</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102692.33353318446</v>
      </c>
      <c r="D19" s="27"/>
      <c r="E19" s="265"/>
      <c r="F19" s="27"/>
      <c r="G19" s="334">
        <f>IF(G$4="","",G16+G17)</f>
        <v>133764.18103492411</v>
      </c>
      <c r="H19" s="334">
        <f t="shared" ref="H19:Q19" si="9">IF(H$4="","",H16+H17)</f>
        <v>103029.78261749854</v>
      </c>
      <c r="I19" s="334">
        <f t="shared" si="9"/>
        <v>14745.149132220831</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x14ac:dyDescent="0.2">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x14ac:dyDescent="0.15">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x14ac:dyDescent="0.15">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0.26111091137469189</v>
      </c>
      <c r="H43" s="6">
        <f t="shared" si="18"/>
        <v>0.35049777389532039</v>
      </c>
      <c r="I43" s="6">
        <f t="shared" si="18"/>
        <v>1.3776084526869434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x14ac:dyDescent="0.15">
      <c r="A48" s="10"/>
      <c r="B48" s="2" t="s">
        <v>345</v>
      </c>
      <c r="C48" s="328">
        <f>BS!D75*C53</f>
        <v>25026.181034924102</v>
      </c>
      <c r="E48" s="268"/>
      <c r="G48" s="337">
        <f>IFERROR(IF(G$4="","",($C$48/$C$49)*G49),0)</f>
        <v>25026.181034924102</v>
      </c>
      <c r="H48" s="337">
        <f t="shared" ref="H48:Q48" si="19">IFERROR(IF(H$4="","",($C$48/$C$49)*H49),0)</f>
        <v>22665.782617498538</v>
      </c>
      <c r="I48" s="337">
        <f t="shared" si="19"/>
        <v>13927.149132220835</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x14ac:dyDescent="0.15">
      <c r="A50" s="10"/>
      <c r="B50" s="70" t="s">
        <v>68</v>
      </c>
      <c r="C50" s="329">
        <f>C47+C48</f>
        <v>23146.181034924102</v>
      </c>
      <c r="E50" s="268"/>
      <c r="G50" s="329">
        <f>IF(G$4="","",(G47+G48))</f>
        <v>23146.181034924102</v>
      </c>
      <c r="H50" s="329">
        <f t="shared" ref="H50:Q50" si="20">IF(H$4="","",(H47+H48))</f>
        <v>21662.782617498538</v>
      </c>
      <c r="I50" s="329">
        <f t="shared" si="20"/>
        <v>13064.149132220835</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x14ac:dyDescent="0.15">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x14ac:dyDescent="0.15">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x14ac:dyDescent="0.15">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x14ac:dyDescent="0.15">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1.4222416117377602E-2</v>
      </c>
      <c r="D80" s="27"/>
      <c r="E80" s="265"/>
      <c r="F80" s="27"/>
      <c r="G80" s="6">
        <f t="shared" ref="G80:Q80" si="31">IF(G$4="","",ABS(G12/G$4))</f>
        <v>1.2716927256472749E-2</v>
      </c>
      <c r="H80" s="6">
        <f t="shared" si="31"/>
        <v>1.3408630692596514E-2</v>
      </c>
      <c r="I80" s="6">
        <f t="shared" si="31"/>
        <v>9.0306967826234586E-3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164</v>
      </c>
      <c r="C81" s="78">
        <f>C13/C4</f>
        <v>8.4133856170902341E-2</v>
      </c>
      <c r="D81" s="27"/>
      <c r="E81" s="265"/>
      <c r="F81" s="27"/>
      <c r="G81" s="65">
        <f t="shared" ref="G81:Q81" si="32">IF(G$4="","",G13/G$4)</f>
        <v>9.9463428013570679E-2</v>
      </c>
      <c r="H81" s="65">
        <f t="shared" si="32"/>
        <v>9.1285065544368466E-2</v>
      </c>
      <c r="I81" s="65">
        <f t="shared" si="32"/>
        <v>2.4720869445031053E-2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2.1033464042725585E-2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154</v>
      </c>
      <c r="C84" s="78">
        <f>ABS(C16/C$4)</f>
        <v>6.3100392128176752E-2</v>
      </c>
      <c r="D84" s="27"/>
      <c r="E84" s="265"/>
      <c r="F84" s="27"/>
      <c r="G84" s="65">
        <f t="shared" ref="G84:Q84" si="35">IF(G$4="","",ABS(G16/G$4))</f>
        <v>7.3492441676496184E-2</v>
      </c>
      <c r="H84" s="65">
        <f t="shared" si="35"/>
        <v>6.3772430802154348E-2</v>
      </c>
      <c r="I84" s="65">
        <f t="shared" si="35"/>
        <v>1.0192701375341192E-2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6.3100392128176752E-2</v>
      </c>
      <c r="D87" s="75"/>
      <c r="E87" s="265"/>
      <c r="F87" s="75"/>
      <c r="G87" s="65">
        <f t="shared" ref="G87:Q87" si="36">IF(G$4="","",ABS(G19/G$4))</f>
        <v>7.3492441676496184E-2</v>
      </c>
      <c r="H87" s="65">
        <f t="shared" si="36"/>
        <v>6.3772430802154348E-2</v>
      </c>
      <c r="I87" s="65">
        <f t="shared" si="36"/>
        <v>1.0192701375341192E-2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0.11203899912256016</v>
      </c>
      <c r="E90" s="268"/>
      <c r="G90" s="112">
        <f>Data!C65</f>
        <v>0.11203899912256016</v>
      </c>
      <c r="H90" s="112">
        <f>Data!D65</f>
        <v>9.6427007441547682E-2</v>
      </c>
      <c r="I90" s="112">
        <f>Data!E65</f>
        <v>3.5632075130781427E-2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149385.35083658007</v>
      </c>
      <c r="E91" s="268"/>
      <c r="G91" s="74">
        <f t="shared" ref="G91:Q91" si="37">IF(G$4="","",G90*Common_Shares/scaling_factor)</f>
        <v>149385.35083658007</v>
      </c>
      <c r="H91" s="74">
        <f t="shared" si="37"/>
        <v>128569.35932656482</v>
      </c>
      <c r="I91" s="74">
        <f t="shared" si="37"/>
        <v>47509.439446387762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213</v>
      </c>
      <c r="C92" s="23">
        <f>C90/(C19*scaling_factor/Common_Shares)</f>
        <v>1.4546884435955194</v>
      </c>
      <c r="E92" s="268"/>
      <c r="G92" s="170">
        <f t="shared" ref="G92:Q92" si="38">IF(G$4="","",G90/(G19*scaling_factor/Common_Shares))</f>
        <v>1.1167814109935563</v>
      </c>
      <c r="H92" s="170">
        <f t="shared" si="38"/>
        <v>1.2478853789673885</v>
      </c>
      <c r="I92" s="170">
        <f t="shared" si="38"/>
        <v>3.2220385850537787</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309</v>
      </c>
      <c r="C93" s="23">
        <f>C90/Market_Price</f>
        <v>3.8369520247452112E-2</v>
      </c>
      <c r="E93" s="268"/>
      <c r="G93" s="23">
        <f t="shared" ref="G93:Q93" si="39">IF(G$4="","",G90/Market_Price)</f>
        <v>3.8369520247452112E-2</v>
      </c>
      <c r="H93" s="23">
        <f t="shared" si="39"/>
        <v>3.3022947753954687E-2</v>
      </c>
      <c r="I93" s="23">
        <f t="shared" si="39"/>
        <v>1.2202765455747064E-2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164</v>
      </c>
      <c r="C97" s="77">
        <f>C13/G13-1</f>
        <v>-0.2436615527806606</v>
      </c>
      <c r="D97" s="27"/>
      <c r="E97" s="265"/>
      <c r="F97" s="27"/>
      <c r="G97" s="6">
        <f t="shared" ref="G97:Q97" si="41">IF(H5="","",G13/H13-1)</f>
        <v>0.22752695555166724</v>
      </c>
      <c r="H97" s="6">
        <f t="shared" si="41"/>
        <v>3.1238791905999781</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x14ac:dyDescent="0.15">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x14ac:dyDescent="0.15">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x14ac:dyDescent="0.15">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x14ac:dyDescent="0.15">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8.4133856170902341E-2</v>
      </c>
      <c r="E117" s="268"/>
      <c r="G117" s="23">
        <f t="shared" ref="G117:Q117" si="45">IF(G4="","",IF(valuation_method="DDM",G13/(G4+G12),G81))</f>
        <v>9.9463428013570679E-2</v>
      </c>
      <c r="H117" s="23">
        <f t="shared" si="45"/>
        <v>9.1285065544368466E-2</v>
      </c>
      <c r="I117" s="23">
        <f t="shared" si="45"/>
        <v>2.4720869445031053E-2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222</v>
      </c>
      <c r="C120" s="102">
        <f>C13/C105</f>
        <v>4.334620247445705E-2</v>
      </c>
      <c r="D120" s="103"/>
      <c r="E120" s="271"/>
      <c r="F120" s="103"/>
      <c r="G120" s="102">
        <f>IF(G$4="","",G13/G105)</f>
        <v>5.7310589768136681E-2</v>
      </c>
      <c r="H120" s="102">
        <f t="shared" ref="H120:Q120" si="48">IF(H$4="","",H13/H105)</f>
        <v>4.8716404832272055E-2</v>
      </c>
      <c r="I120" s="102">
        <f t="shared" si="48"/>
        <v>1.2661103974916104E-2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8.3866755480957456E-2</v>
      </c>
      <c r="D124" s="27"/>
      <c r="E124" s="265"/>
      <c r="F124" s="27"/>
      <c r="G124" s="177">
        <f t="shared" ref="G124:Q124" si="49">IF(G$4="","",G16*$C$3/Common_Shares*Exchange_Rate)</f>
        <v>0.10924250600792272</v>
      </c>
      <c r="H124" s="177">
        <f t="shared" si="49"/>
        <v>8.4142343335159797E-2</v>
      </c>
      <c r="I124" s="177">
        <f t="shared" si="49"/>
        <v>1.2042065597843358E-2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269</v>
      </c>
      <c r="C125" s="77">
        <f>C19*Exchange_Rate*$C$3/(Market_Price*Common_Shares)</f>
        <v>2.8721491603067622E-2</v>
      </c>
      <c r="D125" s="27"/>
      <c r="E125" s="265"/>
      <c r="F125" s="27"/>
      <c r="G125" s="77">
        <f t="shared" ref="G125" si="50">IF(G$4="","",G124/Market_Price)</f>
        <v>3.7411817126000932E-2</v>
      </c>
      <c r="H125" s="77">
        <f t="shared" ref="H125" si="51">IF(H$4="","",H124/Market_Price)</f>
        <v>2.8815871005191711E-2</v>
      </c>
      <c r="I125" s="77">
        <f t="shared" ref="I125" si="52">IF(I$4="","",I124/Market_Price)</f>
        <v>4.1239950677545746E-3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5.0149565649112514E-2</v>
      </c>
      <c r="H126" s="23">
        <f>IF(H$4="","",(Data!D47*$C$3)/(Market_Price*Common_Shares))</f>
        <v>4.4387922533701461E-2</v>
      </c>
      <c r="I126" s="23">
        <f>IF(I$4="","",(Data!E47*$C$3)/(Market_Price*Common_Shares))</f>
        <v>1.6812326665582456E-2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v>
      </c>
      <c r="E3" s="109" t="s">
        <v>124</v>
      </c>
      <c r="H3" s="120"/>
    </row>
    <row r="4" spans="2:8" x14ac:dyDescent="0.15">
      <c r="B4" s="100" t="s">
        <v>128</v>
      </c>
      <c r="C4" s="338">
        <f>Normalized_FCF!C19</f>
        <v>102692.33353318446</v>
      </c>
      <c r="D4" t="str">
        <f>Reporting_currency</f>
        <v>CNY</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1369231.1137757928</v>
      </c>
      <c r="D6" t="str">
        <f>Reporting_currency</f>
        <v>CNY</v>
      </c>
      <c r="E6" s="364" t="s">
        <v>249</v>
      </c>
      <c r="F6" s="364"/>
      <c r="H6" s="120"/>
    </row>
    <row r="7" spans="2:8" x14ac:dyDescent="0.15">
      <c r="B7" s="148" t="s">
        <v>224</v>
      </c>
      <c r="C7" s="338">
        <f>BS!G31</f>
        <v>33999</v>
      </c>
      <c r="D7" t="str">
        <f>Reporting_currency</f>
        <v>CNY</v>
      </c>
      <c r="E7" s="364"/>
      <c r="F7" s="364"/>
      <c r="H7" s="120"/>
    </row>
    <row r="8" spans="2:8" x14ac:dyDescent="0.15">
      <c r="B8" s="148" t="s">
        <v>225</v>
      </c>
      <c r="C8" s="338">
        <f>BS!D66</f>
        <v>1876113.956419704</v>
      </c>
      <c r="D8" t="str">
        <f>Reporting_currency</f>
        <v>CNY</v>
      </c>
      <c r="E8" s="364"/>
      <c r="F8" s="364"/>
      <c r="H8" s="120"/>
    </row>
    <row r="9" spans="2:8" x14ac:dyDescent="0.15">
      <c r="B9" s="205" t="s">
        <v>190</v>
      </c>
      <c r="C9" s="348">
        <f>BS!H42</f>
        <v>229590.09999999998</v>
      </c>
      <c r="D9" t="str">
        <f>Reporting_currency</f>
        <v>CNY</v>
      </c>
      <c r="E9" s="364"/>
      <c r="F9" s="364"/>
      <c r="H9" s="120"/>
    </row>
    <row r="10" spans="2:8" x14ac:dyDescent="0.15">
      <c r="B10" s="149" t="s">
        <v>227</v>
      </c>
      <c r="C10" s="347">
        <f>C6-C7+C8+C9</f>
        <v>3440936.1701954971</v>
      </c>
      <c r="D10" t="str">
        <f>Reporting_currency</f>
        <v>CNY</v>
      </c>
      <c r="H10" s="120"/>
    </row>
    <row r="11" spans="2:8" ht="14" thickBot="1" x14ac:dyDescent="0.2">
      <c r="B11" s="207" t="s">
        <v>166</v>
      </c>
      <c r="C11" s="208">
        <f>Exchange_Rate</f>
        <v>1.0889065499999999</v>
      </c>
      <c r="D11" t="str">
        <f>Thesis!C15</f>
        <v>CNY/HKD</v>
      </c>
      <c r="H11" s="120"/>
    </row>
    <row r="12" spans="2:8" ht="14" thickTop="1" x14ac:dyDescent="0.15">
      <c r="B12" s="149" t="s">
        <v>102</v>
      </c>
      <c r="C12" s="111">
        <f>(C10*scaling_factor)/Common_Shares*Exchange_Rate</f>
        <v>2.8101430991254559</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8.5779014792802307E-3</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2.8396216681609707</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103573.21825290949</v>
      </c>
      <c r="D21" s="138">
        <f>IF($C$17&lt;B21,0,DCF!$C$16)</f>
        <v>8.5779014792802307E-3</v>
      </c>
      <c r="E21" s="124">
        <f t="shared" ref="E21:E50" si="0">IF($C$17&lt;B21,0,1/(1+Equity_Cost)^B21)</f>
        <v>0.93023255813953487</v>
      </c>
      <c r="F21" s="125">
        <f t="shared" ref="F21:F51" si="1">C21*E21</f>
        <v>96347.179770148359</v>
      </c>
      <c r="H21" s="120"/>
    </row>
    <row r="22" spans="2:17" x14ac:dyDescent="0.15">
      <c r="B22" s="122">
        <v>2</v>
      </c>
      <c r="C22" s="123">
        <f t="shared" ref="C22:C50" si="2">IF(ROW()-ROW($C$21)&lt;$C$17, $C$21*(1+D22)^(ROW()-ROW($C$21)), 0)</f>
        <v>104461.65911497493</v>
      </c>
      <c r="D22" s="138">
        <f>IF($C$17&lt;B22,0,DCF!$C$16)</f>
        <v>8.5779014792802307E-3</v>
      </c>
      <c r="E22" s="124">
        <f t="shared" si="0"/>
        <v>0.86533261222282321</v>
      </c>
      <c r="F22" s="125">
        <f t="shared" si="1"/>
        <v>90394.080359091342</v>
      </c>
      <c r="H22" s="120"/>
    </row>
    <row r="23" spans="2:17" x14ac:dyDescent="0.15">
      <c r="B23" s="122">
        <v>3</v>
      </c>
      <c r="C23" s="123">
        <f t="shared" si="2"/>
        <v>105357.72093522533</v>
      </c>
      <c r="D23" s="138">
        <f>IF($C$17&lt;B23,0,DCF!$C$16)</f>
        <v>8.5779014792802307E-3</v>
      </c>
      <c r="E23" s="124">
        <f t="shared" si="0"/>
        <v>0.80496056950960304</v>
      </c>
      <c r="F23" s="125">
        <f t="shared" si="1"/>
        <v>84808.811046252813</v>
      </c>
      <c r="G23" s="338"/>
      <c r="H23" s="339"/>
      <c r="I23" s="338"/>
      <c r="J23" s="338"/>
      <c r="K23" s="338"/>
      <c r="L23" s="338"/>
      <c r="M23" s="338"/>
      <c r="N23" s="338"/>
      <c r="O23" s="338"/>
      <c r="P23" s="338"/>
      <c r="Q23" s="338"/>
    </row>
    <row r="24" spans="2:17" x14ac:dyDescent="0.15">
      <c r="B24" s="122">
        <v>4</v>
      </c>
      <c r="C24" s="123">
        <f t="shared" si="2"/>
        <v>106261.46908548917</v>
      </c>
      <c r="D24" s="138">
        <f>IF($C$17&lt;B24,0,DCF!$C$16)</f>
        <v>8.5779014792802307E-3</v>
      </c>
      <c r="E24" s="124">
        <f t="shared" si="0"/>
        <v>0.7488005297763749</v>
      </c>
      <c r="F24" s="125">
        <f t="shared" si="1"/>
        <v>79568.644346030167</v>
      </c>
      <c r="G24" s="338"/>
      <c r="H24" s="339"/>
      <c r="I24" s="338"/>
      <c r="J24" s="338"/>
      <c r="K24" s="338"/>
      <c r="L24" s="338"/>
      <c r="M24" s="338"/>
      <c r="N24" s="338"/>
      <c r="O24" s="338"/>
      <c r="P24" s="338"/>
      <c r="Q24" s="338"/>
    </row>
    <row r="25" spans="2:17" x14ac:dyDescent="0.15">
      <c r="B25" s="122">
        <v>5</v>
      </c>
      <c r="C25" s="123">
        <f t="shared" si="2"/>
        <v>107172.96949834807</v>
      </c>
      <c r="D25" s="138">
        <f>IF($C$17&lt;B25,0,DCF!$C$16)</f>
        <v>8.5779014792802307E-3</v>
      </c>
      <c r="E25" s="124">
        <f t="shared" si="0"/>
        <v>0.69655863235011617</v>
      </c>
      <c r="F25" s="125">
        <f t="shared" si="1"/>
        <v>74652.257058670046</v>
      </c>
      <c r="G25" s="338"/>
      <c r="H25" s="339"/>
      <c r="I25" s="338"/>
      <c r="J25" s="338"/>
      <c r="K25" s="338"/>
      <c r="L25" s="338"/>
      <c r="M25" s="338"/>
      <c r="N25" s="338"/>
      <c r="O25" s="338"/>
      <c r="P25" s="338"/>
      <c r="Q25" s="338"/>
    </row>
    <row r="26" spans="2:17" x14ac:dyDescent="0.15">
      <c r="B26" s="122">
        <v>6</v>
      </c>
      <c r="C26" s="123">
        <f t="shared" si="2"/>
        <v>108092.28867194681</v>
      </c>
      <c r="D26" s="138">
        <f>IF($C$17&lt;B26,0,DCF!$C$16)</f>
        <v>8.5779014792802307E-3</v>
      </c>
      <c r="E26" s="124">
        <f t="shared" si="0"/>
        <v>0.64796151846522443</v>
      </c>
      <c r="F26" s="125">
        <f t="shared" si="1"/>
        <v>70039.643502256033</v>
      </c>
      <c r="H26" s="120"/>
    </row>
    <row r="27" spans="2:17" x14ac:dyDescent="0.15">
      <c r="B27" s="122">
        <v>7</v>
      </c>
      <c r="C27" s="123">
        <f t="shared" si="2"/>
        <v>109019.49367484466</v>
      </c>
      <c r="D27" s="138">
        <f>IF($C$17&lt;B27,0,DCF!$C$16)</f>
        <v>8.5779014792802307E-3</v>
      </c>
      <c r="E27" s="124">
        <f t="shared" si="0"/>
        <v>0.60275490089788319</v>
      </c>
      <c r="F27" s="125">
        <f t="shared" si="1"/>
        <v>65712.034105918399</v>
      </c>
      <c r="H27" s="120"/>
    </row>
    <row r="28" spans="2:17" x14ac:dyDescent="0.15">
      <c r="B28" s="122">
        <v>8</v>
      </c>
      <c r="C28" s="123">
        <f t="shared" si="2"/>
        <v>109954.65215090849</v>
      </c>
      <c r="D28" s="138">
        <f>IF($C$17&lt;B28,0,DCF!$C$16)</f>
        <v>8.5779014792802307E-3</v>
      </c>
      <c r="E28" s="124">
        <f t="shared" si="0"/>
        <v>0.56070223339337966</v>
      </c>
      <c r="F28" s="125">
        <f t="shared" si="1"/>
        <v>61651.819033006563</v>
      </c>
      <c r="H28" s="120"/>
    </row>
    <row r="29" spans="2:17" x14ac:dyDescent="0.15">
      <c r="B29" s="122">
        <v>9</v>
      </c>
      <c r="C29" s="123">
        <f t="shared" si="2"/>
        <v>110897.8323242475</v>
      </c>
      <c r="D29" s="138">
        <f>IF($C$17&lt;B29,0,DCF!$C$16)</f>
        <v>8.5779014792802307E-3</v>
      </c>
      <c r="E29" s="124">
        <f t="shared" si="0"/>
        <v>0.52158347292407414</v>
      </c>
      <c r="F29" s="125">
        <f t="shared" si="1"/>
        <v>57842.476523432662</v>
      </c>
      <c r="H29" s="120"/>
    </row>
    <row r="30" spans="2:17" x14ac:dyDescent="0.15">
      <c r="B30" s="122">
        <v>10</v>
      </c>
      <c r="C30" s="123">
        <f t="shared" si="2"/>
        <v>111849.10300419063</v>
      </c>
      <c r="D30" s="138">
        <f>IF($C$17&lt;B30,0,DCF!$C$16)</f>
        <v>8.5779014792802307E-3</v>
      </c>
      <c r="E30" s="124">
        <f t="shared" si="0"/>
        <v>0.48519392830146441</v>
      </c>
      <c r="F30" s="125">
        <f t="shared" si="1"/>
        <v>54268.505663598378</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1380976.2433721265</v>
      </c>
      <c r="D51" s="139">
        <f>Terminal_Growth</f>
        <v>0</v>
      </c>
      <c r="E51" s="124">
        <f>1/(1+Equity_Cost)^C17</f>
        <v>0.48519392830146441</v>
      </c>
      <c r="F51" s="125">
        <f t="shared" si="1"/>
        <v>670041.28841272125</v>
      </c>
      <c r="H51" s="120"/>
    </row>
    <row r="52" spans="1:17" x14ac:dyDescent="0.15">
      <c r="C52" s="114"/>
      <c r="E52" s="127" t="s">
        <v>100</v>
      </c>
      <c r="F52" s="137">
        <f>SUM(F21:F51)</f>
        <v>1405326.739821126</v>
      </c>
      <c r="H52" s="120"/>
    </row>
    <row r="53" spans="1:17" x14ac:dyDescent="0.15">
      <c r="C53" s="114"/>
      <c r="H53" s="120"/>
    </row>
    <row r="54" spans="1:17" x14ac:dyDescent="0.15">
      <c r="B54" s="119" t="s">
        <v>129</v>
      </c>
      <c r="C54" s="136"/>
      <c r="D54" s="136"/>
      <c r="E54" s="117"/>
      <c r="F54" s="117"/>
      <c r="H54" s="120"/>
    </row>
    <row r="55" spans="1:17" x14ac:dyDescent="0.15">
      <c r="A55" s="133">
        <f>F52</f>
        <v>1405326.739821126</v>
      </c>
      <c r="B55" s="131">
        <f>C78</f>
        <v>-0.1</v>
      </c>
      <c r="C55" s="131">
        <f>C77</f>
        <v>-0.08</v>
      </c>
      <c r="D55" s="131">
        <f>C76</f>
        <v>0.02</v>
      </c>
      <c r="E55" s="131">
        <f>C75</f>
        <v>0.04</v>
      </c>
      <c r="F55" s="131">
        <f>C74</f>
        <v>0.08</v>
      </c>
      <c r="H55" s="120"/>
    </row>
    <row r="56" spans="1:17" x14ac:dyDescent="0.15">
      <c r="A56" s="143">
        <v>5</v>
      </c>
      <c r="B56" s="123">
        <f t="dataTable" ref="B56:F61" dt2D="1" dtr="1" r1="C16" r2="C17"/>
        <v>1169280.3255508919</v>
      </c>
      <c r="C56" s="123">
        <v>1207150.5907895691</v>
      </c>
      <c r="D56" s="123">
        <v>1412650.121548661</v>
      </c>
      <c r="E56" s="123">
        <v>1457334.0097558391</v>
      </c>
      <c r="F56" s="123">
        <v>1550720.5680115866</v>
      </c>
      <c r="H56" s="120"/>
    </row>
    <row r="57" spans="1:17" x14ac:dyDescent="0.15">
      <c r="A57" s="143">
        <v>10</v>
      </c>
      <c r="B57" s="123">
        <v>1036692.752524527</v>
      </c>
      <c r="C57" s="123">
        <v>1092258.0263381668</v>
      </c>
      <c r="D57" s="123">
        <v>1455705.639166564</v>
      </c>
      <c r="E57" s="123">
        <v>1550792.2123400872</v>
      </c>
      <c r="F57" s="123">
        <v>1771053.491985728</v>
      </c>
      <c r="H57" s="120"/>
    </row>
    <row r="58" spans="1:17" x14ac:dyDescent="0.15">
      <c r="A58" s="143">
        <v>15</v>
      </c>
      <c r="B58" s="123">
        <v>907860.58482474578</v>
      </c>
      <c r="C58" s="341">
        <v>976284.73018358788</v>
      </c>
      <c r="D58" s="123">
        <v>1510218.9665474745</v>
      </c>
      <c r="E58" s="123">
        <v>1675417.0862184172</v>
      </c>
      <c r="F58" s="123">
        <v>2098738.6301333061</v>
      </c>
      <c r="G58" s="338"/>
      <c r="H58" s="339"/>
      <c r="I58" s="338"/>
      <c r="J58" s="338"/>
      <c r="K58" s="338"/>
      <c r="L58" s="338"/>
      <c r="M58" s="338"/>
      <c r="N58" s="338"/>
      <c r="O58" s="338"/>
      <c r="P58" s="338"/>
      <c r="Q58" s="338"/>
    </row>
    <row r="59" spans="1:17" x14ac:dyDescent="0.15">
      <c r="A59" s="144">
        <v>20</v>
      </c>
      <c r="B59" s="123">
        <v>803117.97698757495</v>
      </c>
      <c r="C59" s="341">
        <v>879001.08847178717</v>
      </c>
      <c r="D59" s="123">
        <v>1567049.9997019309</v>
      </c>
      <c r="E59" s="123">
        <v>1812671.915315331</v>
      </c>
      <c r="F59" s="123">
        <v>2505290.1461440241</v>
      </c>
      <c r="G59" s="338"/>
      <c r="H59" s="339"/>
      <c r="I59" s="338"/>
      <c r="J59" s="338"/>
      <c r="K59" s="338"/>
      <c r="L59" s="338"/>
      <c r="M59" s="338"/>
      <c r="N59" s="338"/>
      <c r="O59" s="338"/>
      <c r="P59" s="338"/>
      <c r="Q59" s="338"/>
    </row>
    <row r="60" spans="1:17" x14ac:dyDescent="0.15">
      <c r="A60" s="144">
        <v>25</v>
      </c>
      <c r="B60" s="123">
        <v>723987.52698615205</v>
      </c>
      <c r="C60" s="341">
        <v>803661.69918076671</v>
      </c>
      <c r="D60" s="123">
        <v>1621140.0267559835</v>
      </c>
      <c r="E60" s="123">
        <v>1951029.6791283393</v>
      </c>
      <c r="F60" s="123">
        <v>2970961.972822431</v>
      </c>
      <c r="G60" s="338"/>
      <c r="H60" s="339"/>
      <c r="I60" s="338"/>
      <c r="J60" s="338"/>
      <c r="K60" s="338"/>
      <c r="L60" s="338"/>
      <c r="M60" s="338"/>
      <c r="N60" s="338"/>
      <c r="O60" s="338"/>
      <c r="P60" s="338"/>
      <c r="Q60" s="338"/>
    </row>
    <row r="61" spans="1:17" x14ac:dyDescent="0.15">
      <c r="A61" s="144">
        <v>30</v>
      </c>
      <c r="B61" s="123">
        <v>666330.29548360349</v>
      </c>
      <c r="C61" s="341">
        <v>747705.50990438624</v>
      </c>
      <c r="D61" s="123">
        <v>1669971.212922723</v>
      </c>
      <c r="E61" s="123">
        <v>2083634.7840959716</v>
      </c>
      <c r="F61" s="123">
        <v>3482098.0577357109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-0.1</v>
      </c>
      <c r="C64" s="132">
        <f>C55</f>
        <v>-0.08</v>
      </c>
      <c r="D64" s="132">
        <f>D55</f>
        <v>0.02</v>
      </c>
      <c r="E64" s="132">
        <f>E55</f>
        <v>0.04</v>
      </c>
      <c r="F64" s="132">
        <f>F55</f>
        <v>0.08</v>
      </c>
      <c r="H64" s="120"/>
    </row>
    <row r="65" spans="1:8" x14ac:dyDescent="0.15">
      <c r="A65" s="143">
        <v>0</v>
      </c>
      <c r="B65" s="124">
        <f>C12</f>
        <v>2.8101430991254559</v>
      </c>
      <c r="C65" s="124">
        <f>C12</f>
        <v>2.8101430991254559</v>
      </c>
      <c r="D65" s="124">
        <f>C12</f>
        <v>2.8101430991254559</v>
      </c>
      <c r="E65" s="141">
        <f>C12</f>
        <v>2.8101430991254559</v>
      </c>
      <c r="F65" s="124">
        <f>C12</f>
        <v>2.8101430991254559</v>
      </c>
      <c r="H65" s="120"/>
    </row>
    <row r="66" spans="1:8" x14ac:dyDescent="0.15">
      <c r="A66" s="143">
        <f t="shared" ref="A66:A71" si="3">A56</f>
        <v>5</v>
      </c>
      <c r="B66" s="124">
        <f t="shared" ref="B66:F71" si="4">(B56-$C$7+$C$8+$C$9)/Common_Shares*$C$3*Exchange_Rate</f>
        <v>2.6468473273056095</v>
      </c>
      <c r="C66" s="124">
        <f t="shared" si="4"/>
        <v>2.6777752083410991</v>
      </c>
      <c r="D66" s="124">
        <f t="shared" si="4"/>
        <v>2.8456025261618105</v>
      </c>
      <c r="E66" s="124">
        <f t="shared" si="4"/>
        <v>2.8820949555114548</v>
      </c>
      <c r="F66" s="124">
        <f t="shared" si="4"/>
        <v>2.9583618722030702</v>
      </c>
      <c r="H66" s="120"/>
    </row>
    <row r="67" spans="1:8" x14ac:dyDescent="0.15">
      <c r="A67" s="143">
        <f t="shared" si="3"/>
        <v>10</v>
      </c>
      <c r="B67" s="124">
        <f t="shared" si="4"/>
        <v>2.5385657333030496</v>
      </c>
      <c r="C67" s="124">
        <f t="shared" si="4"/>
        <v>2.5839447705868319</v>
      </c>
      <c r="D67" s="124">
        <f t="shared" si="4"/>
        <v>2.8807650981273203</v>
      </c>
      <c r="E67" s="124">
        <f t="shared" si="4"/>
        <v>2.9584203826796878</v>
      </c>
      <c r="F67" s="124">
        <f t="shared" si="4"/>
        <v>3.1383033227824595</v>
      </c>
      <c r="H67" s="120"/>
    </row>
    <row r="68" spans="1:8" x14ac:dyDescent="0.15">
      <c r="A68" s="143">
        <f t="shared" si="3"/>
        <v>15</v>
      </c>
      <c r="B68" s="124">
        <f t="shared" si="4"/>
        <v>2.4333511030106361</v>
      </c>
      <c r="C68" s="124">
        <f t="shared" si="4"/>
        <v>2.4892317210701047</v>
      </c>
      <c r="D68" s="124">
        <f t="shared" si="4"/>
        <v>2.9252850319978547</v>
      </c>
      <c r="E68" s="124">
        <f t="shared" si="4"/>
        <v>3.0601990010516378</v>
      </c>
      <c r="F68" s="124">
        <f t="shared" si="4"/>
        <v>3.4059171592806448</v>
      </c>
      <c r="H68" s="120"/>
    </row>
    <row r="69" spans="1:8" x14ac:dyDescent="0.15">
      <c r="A69" s="144">
        <f t="shared" si="3"/>
        <v>20</v>
      </c>
      <c r="B69" s="124">
        <f t="shared" si="4"/>
        <v>2.3478099298997992</v>
      </c>
      <c r="C69" s="124">
        <f t="shared" si="4"/>
        <v>2.4097821350004285</v>
      </c>
      <c r="D69" s="124">
        <f t="shared" si="4"/>
        <v>2.9716977893801251</v>
      </c>
      <c r="E69" s="124">
        <f t="shared" si="4"/>
        <v>3.172292248857052</v>
      </c>
      <c r="F69" s="124">
        <f t="shared" si="4"/>
        <v>3.7379395743002171</v>
      </c>
      <c r="H69" s="120"/>
    </row>
    <row r="70" spans="1:8" x14ac:dyDescent="0.15">
      <c r="A70" s="144">
        <f t="shared" si="3"/>
        <v>25</v>
      </c>
      <c r="B70" s="124">
        <f t="shared" si="4"/>
        <v>2.2831856889945823</v>
      </c>
      <c r="C70" s="124">
        <f t="shared" si="4"/>
        <v>2.3482539768374537</v>
      </c>
      <c r="D70" s="124">
        <f t="shared" si="4"/>
        <v>3.0158720224199724</v>
      </c>
      <c r="E70" s="124">
        <f t="shared" si="4"/>
        <v>3.2852862411773063</v>
      </c>
      <c r="F70" s="124">
        <f t="shared" si="4"/>
        <v>4.1182443534275572</v>
      </c>
    </row>
    <row r="71" spans="1:8" x14ac:dyDescent="0.15">
      <c r="A71" s="144">
        <f t="shared" si="3"/>
        <v>30</v>
      </c>
      <c r="B71" s="124">
        <f t="shared" si="4"/>
        <v>2.2360981921020255</v>
      </c>
      <c r="C71" s="124">
        <f t="shared" si="4"/>
        <v>2.3025556867876724</v>
      </c>
      <c r="D71" s="124">
        <f t="shared" si="4"/>
        <v>3.0557514662809666</v>
      </c>
      <c r="E71" s="124">
        <f t="shared" si="4"/>
        <v>3.3935821531623365</v>
      </c>
      <c r="F71" s="124">
        <f t="shared" si="4"/>
        <v>4.5356788743508112</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0.08</v>
      </c>
      <c r="D74" s="145">
        <f>Scenarios!C55</f>
        <v>15</v>
      </c>
      <c r="E74" s="135">
        <f>INDEX(B$65:F$71, MATCH(D74, A$65:A$71, 0), MATCH(C74, B$64:F$64, 0))</f>
        <v>3.4059171592806448</v>
      </c>
      <c r="F74" s="142">
        <f>Scenarios!C58</f>
        <v>0.05</v>
      </c>
    </row>
    <row r="75" spans="1:8" x14ac:dyDescent="0.15">
      <c r="B75" s="127" t="str">
        <f>Scenarios!B36</f>
        <v>Optimistic</v>
      </c>
      <c r="C75" s="142">
        <f>Scenarios!C38</f>
        <v>0.04</v>
      </c>
      <c r="D75" s="145">
        <f>Scenarios!C37</f>
        <v>10</v>
      </c>
      <c r="E75" s="135">
        <f>INDEX(B$65:F$71, MATCH(D75, A$65:A$71, 0), MATCH(C75, B$64:F$64, 0))</f>
        <v>2.9584203826796878</v>
      </c>
      <c r="F75" s="142">
        <f>Scenarios!C40*(1-F$74-F$78)</f>
        <v>0.17</v>
      </c>
      <c r="H75" s="120"/>
    </row>
    <row r="76" spans="1:8" x14ac:dyDescent="0.15">
      <c r="B76" s="127" t="str">
        <f>Scenarios!B24</f>
        <v>Base</v>
      </c>
      <c r="C76" s="142">
        <f>Scenarios!C26</f>
        <v>0.02</v>
      </c>
      <c r="D76" s="145">
        <f>Scenarios!C25</f>
        <v>10</v>
      </c>
      <c r="E76" s="135">
        <f>INDEX(B$65:F$71, MATCH(D76, A$65:A$71, 0), MATCH(C76, B$64:F$64, 0))</f>
        <v>2.8807650981273203</v>
      </c>
      <c r="F76" s="142">
        <f>Scenarios!C28*(1-F$74-F$78)</f>
        <v>0.51</v>
      </c>
      <c r="H76" s="120"/>
    </row>
    <row r="77" spans="1:8" x14ac:dyDescent="0.15">
      <c r="B77" s="127" t="str">
        <f>Scenarios!B30</f>
        <v>Pessimistic</v>
      </c>
      <c r="C77" s="142">
        <f>Scenarios!C32</f>
        <v>-0.08</v>
      </c>
      <c r="D77" s="145">
        <f>Scenarios!C31</f>
        <v>10</v>
      </c>
      <c r="E77" s="135">
        <f>INDEX(B$65:F$71, MATCH(D77, A$65:A$71, 0), MATCH(C77, B$64:F$64, 0))</f>
        <v>2.5839447705868319</v>
      </c>
      <c r="F77" s="142">
        <f>Scenarios!C34*(1-F$74-F$78)</f>
        <v>0.17</v>
      </c>
      <c r="H77" s="120"/>
    </row>
    <row r="78" spans="1:8" x14ac:dyDescent="0.15">
      <c r="B78" s="127" t="str">
        <f>Scenarios!B48</f>
        <v>Devil's advocate</v>
      </c>
      <c r="C78" s="142">
        <f>Scenarios!C50</f>
        <v>-0.1</v>
      </c>
      <c r="D78" s="145">
        <f>Scenarios!C49</f>
        <v>15</v>
      </c>
      <c r="E78" s="135">
        <f>INDEX(B$65:F$71, MATCH(D78, A$65:A$71, 0), MATCH(C78, B$64:F$64, 0))</f>
        <v>2.4333511030106361</v>
      </c>
      <c r="F78" s="142">
        <f>Scenarios!C52</f>
        <v>0.1</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v>
      </c>
      <c r="E3" s="109" t="s">
        <v>124</v>
      </c>
      <c r="H3" s="120"/>
    </row>
    <row r="4" spans="2:8" x14ac:dyDescent="0.15">
      <c r="B4" s="100" t="s">
        <v>440</v>
      </c>
      <c r="C4" s="114">
        <f>Normalized_FCF!C91</f>
        <v>149385.35083658007</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441</v>
      </c>
      <c r="C6" s="319">
        <f>(C4*(1+Terminal_Growth))/(Equity_Cost-Terminal_Growth)</f>
        <v>1991804.6778210676</v>
      </c>
      <c r="D6" t="str">
        <f>Reporting_currency</f>
        <v>CNY</v>
      </c>
      <c r="E6" s="364"/>
      <c r="F6" s="364"/>
      <c r="H6" s="120"/>
    </row>
    <row r="7" spans="2:8" x14ac:dyDescent="0.15">
      <c r="B7" s="149" t="s">
        <v>444</v>
      </c>
      <c r="C7" s="111">
        <f>(C6*scaling_factor)/Common_Shares*Exchange_Rate</f>
        <v>1.6266666666666667</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8.5779014792802307E-3</v>
      </c>
      <c r="H11" s="120"/>
    </row>
    <row r="12" spans="2:8" ht="13.25" customHeight="1" x14ac:dyDescent="0.15">
      <c r="B12" s="118" t="s">
        <v>134</v>
      </c>
      <c r="C12" s="162">
        <f>Scenarios!C64</f>
        <v>10</v>
      </c>
      <c r="H12" s="120"/>
    </row>
    <row r="13" spans="2:8" ht="13.25" customHeight="1" x14ac:dyDescent="0.15">
      <c r="B13" s="153" t="s">
        <v>106</v>
      </c>
      <c r="C13" s="140">
        <f>F47/Common_Shares*scaling_factor</f>
        <v>1.53323423426589</v>
      </c>
      <c r="D13" t="str">
        <f>Market_currency</f>
        <v>HKD</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150666.76365850394</v>
      </c>
      <c r="D16" s="138">
        <f>IF($C$12&lt;B16,0,DDM!$C$11)</f>
        <v>8.5779014792802307E-3</v>
      </c>
      <c r="E16" s="124">
        <f t="shared" ref="E16:E45" si="0">IF($C$12&lt;B16,0,1/(1+Equity_Cost)^B16)</f>
        <v>0.93023255813953487</v>
      </c>
      <c r="F16" s="125">
        <f t="shared" ref="F16:F46" si="1">C16*E16</f>
        <v>140155.12898465482</v>
      </c>
      <c r="H16" s="120"/>
    </row>
    <row r="17" spans="2:8" x14ac:dyDescent="0.15">
      <c r="B17" s="122">
        <v>2</v>
      </c>
      <c r="C17" s="123">
        <f t="shared" ref="C17:C45" si="2">IF(ROW()-ROW($C$16)&lt;$C$12, $C$16*(1+D17)^(ROW()-ROW($C$16)), 0)</f>
        <v>151959.16831336857</v>
      </c>
      <c r="D17" s="138">
        <f>IF($C$12&lt;B17,0,DDM!$C$11)</f>
        <v>8.5779014792802307E-3</v>
      </c>
      <c r="E17" s="124">
        <f t="shared" si="0"/>
        <v>0.86533261222282321</v>
      </c>
      <c r="F17" s="125">
        <f t="shared" si="1"/>
        <v>131495.22406781488</v>
      </c>
      <c r="H17" s="120"/>
    </row>
    <row r="18" spans="2:8" x14ac:dyDescent="0.15">
      <c r="B18" s="122">
        <v>3</v>
      </c>
      <c r="C18" s="123">
        <f t="shared" si="2"/>
        <v>153262.65908803398</v>
      </c>
      <c r="D18" s="138">
        <f>IF($C$12&lt;B18,0,DDM!$C$11)</f>
        <v>8.5779014792802307E-3</v>
      </c>
      <c r="E18" s="124">
        <f t="shared" si="0"/>
        <v>0.80496056950960304</v>
      </c>
      <c r="F18" s="125">
        <f t="shared" si="1"/>
        <v>123370.39734405997</v>
      </c>
      <c r="H18" s="120"/>
    </row>
    <row r="19" spans="2:8" x14ac:dyDescent="0.15">
      <c r="B19" s="122">
        <v>4</v>
      </c>
      <c r="C19" s="123">
        <f t="shared" si="2"/>
        <v>154577.33107814364</v>
      </c>
      <c r="D19" s="138">
        <f>IF($C$12&lt;B19,0,DDM!$C$11)</f>
        <v>8.5779014792802307E-3</v>
      </c>
      <c r="E19" s="124">
        <f t="shared" si="0"/>
        <v>0.7488005297763749</v>
      </c>
      <c r="F19" s="125">
        <f t="shared" si="1"/>
        <v>115747.58740273207</v>
      </c>
      <c r="H19" s="120"/>
    </row>
    <row r="20" spans="2:8" x14ac:dyDescent="0.15">
      <c r="B20" s="122">
        <v>5</v>
      </c>
      <c r="C20" s="123">
        <f t="shared" si="2"/>
        <v>155903.28019506205</v>
      </c>
      <c r="D20" s="138">
        <f>IF($C$12&lt;B20,0,DDM!$C$11)</f>
        <v>8.5779014792802307E-3</v>
      </c>
      <c r="E20" s="124">
        <f t="shared" si="0"/>
        <v>0.69655863235011617</v>
      </c>
      <c r="F20" s="125">
        <f t="shared" si="1"/>
        <v>108595.77563156937</v>
      </c>
      <c r="H20" s="120"/>
    </row>
    <row r="21" spans="2:8" x14ac:dyDescent="0.15">
      <c r="B21" s="122">
        <v>6</v>
      </c>
      <c r="C21" s="123">
        <f t="shared" si="2"/>
        <v>157240.6031728719</v>
      </c>
      <c r="D21" s="138">
        <f>IF($C$12&lt;B21,0,DDM!$C$11)</f>
        <v>8.5779014792802307E-3</v>
      </c>
      <c r="E21" s="124">
        <f t="shared" si="0"/>
        <v>0.64796151846522443</v>
      </c>
      <c r="F21" s="125">
        <f t="shared" si="1"/>
        <v>101885.85999628186</v>
      </c>
      <c r="H21" s="120"/>
    </row>
    <row r="22" spans="2:8" x14ac:dyDescent="0.15">
      <c r="B22" s="122">
        <v>7</v>
      </c>
      <c r="C22" s="123">
        <f t="shared" si="2"/>
        <v>158589.39757543136</v>
      </c>
      <c r="D22" s="138">
        <f>IF($C$12&lt;B22,0,DDM!$C$11)</f>
        <v>8.5779014792802307E-3</v>
      </c>
      <c r="E22" s="124">
        <f t="shared" si="0"/>
        <v>0.60275490089788319</v>
      </c>
      <c r="F22" s="125">
        <f t="shared" si="1"/>
        <v>95590.53661903413</v>
      </c>
      <c r="H22" s="120"/>
    </row>
    <row r="23" spans="2:8" x14ac:dyDescent="0.15">
      <c r="B23" s="122">
        <v>8</v>
      </c>
      <c r="C23" s="123">
        <f t="shared" si="2"/>
        <v>159949.7618034918</v>
      </c>
      <c r="D23" s="138">
        <f>IF($C$12&lt;B23,0,DDM!$C$11)</f>
        <v>8.5779014792802307E-3</v>
      </c>
      <c r="E23" s="124">
        <f t="shared" si="0"/>
        <v>0.56070223339337966</v>
      </c>
      <c r="F23" s="125">
        <f t="shared" si="1"/>
        <v>89684.188673956945</v>
      </c>
      <c r="H23" s="120"/>
    </row>
    <row r="24" spans="2:8" x14ac:dyDescent="0.15">
      <c r="B24" s="122">
        <v>9</v>
      </c>
      <c r="C24" s="123">
        <f t="shared" si="2"/>
        <v>161321.79510187649</v>
      </c>
      <c r="D24" s="138">
        <f>IF($C$12&lt;B24,0,DDM!$C$11)</f>
        <v>8.5779014792802307E-3</v>
      </c>
      <c r="E24" s="124">
        <f t="shared" si="0"/>
        <v>0.52158347292407414</v>
      </c>
      <c r="F24" s="125">
        <f t="shared" si="1"/>
        <v>84142.782147582635</v>
      </c>
      <c r="H24" s="120"/>
    </row>
    <row r="25" spans="2:8" x14ac:dyDescent="0.15">
      <c r="B25" s="122">
        <v>10</v>
      </c>
      <c r="C25" s="123">
        <f t="shared" si="2"/>
        <v>162705.597566721</v>
      </c>
      <c r="D25" s="138">
        <f>IF($C$12&lt;B25,0,DDM!$C$11)</f>
        <v>8.5779014792802307E-3</v>
      </c>
      <c r="E25" s="124">
        <f t="shared" si="0"/>
        <v>0.48519392830146441</v>
      </c>
      <c r="F25" s="125">
        <f t="shared" si="1"/>
        <v>78943.768040034556</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2008890.182113386</v>
      </c>
      <c r="D46" s="139">
        <f>Terminal_Growth</f>
        <v>0</v>
      </c>
      <c r="E46" s="124">
        <f>1/(1+Equity_Cost)^C12</f>
        <v>0.48519392830146441</v>
      </c>
      <c r="F46" s="125">
        <f t="shared" si="1"/>
        <v>974701.31898583798</v>
      </c>
      <c r="H46" s="120"/>
    </row>
    <row r="47" spans="2:8" x14ac:dyDescent="0.15">
      <c r="C47" s="114"/>
      <c r="E47" s="127" t="s">
        <v>100</v>
      </c>
      <c r="F47" s="137">
        <f>SUM(F16:F46)</f>
        <v>2044312.5678935591</v>
      </c>
      <c r="H47" s="120"/>
    </row>
    <row r="48" spans="2:8" x14ac:dyDescent="0.15">
      <c r="C48" s="114"/>
      <c r="H48" s="120"/>
    </row>
    <row r="49" spans="1:8" x14ac:dyDescent="0.15">
      <c r="B49" s="119" t="s">
        <v>129</v>
      </c>
      <c r="C49" s="136"/>
      <c r="D49" s="136"/>
      <c r="E49" s="117"/>
      <c r="F49" s="117"/>
      <c r="H49" s="120"/>
    </row>
    <row r="50" spans="1:8" x14ac:dyDescent="0.15">
      <c r="A50" s="133">
        <f>F47</f>
        <v>2044312.5678935591</v>
      </c>
      <c r="B50" s="131">
        <f>C73</f>
        <v>-0.1</v>
      </c>
      <c r="C50" s="131">
        <f>C72</f>
        <v>-0.08</v>
      </c>
      <c r="D50" s="131">
        <f>C71</f>
        <v>0.02</v>
      </c>
      <c r="E50" s="131">
        <f>C70</f>
        <v>0.04</v>
      </c>
      <c r="F50" s="131">
        <f>C69</f>
        <v>0.08</v>
      </c>
      <c r="H50" s="120"/>
    </row>
    <row r="51" spans="1:8" x14ac:dyDescent="0.15">
      <c r="A51" s="143">
        <v>5</v>
      </c>
      <c r="B51" s="123">
        <f t="dataTable" ref="B51:F56" dt2D="1" dtr="1" r1="C11" r2="C12"/>
        <v>1700938.5769024889</v>
      </c>
      <c r="C51" s="123">
        <v>1756028.0141010901</v>
      </c>
      <c r="D51" s="123">
        <v>2054965.8066606433</v>
      </c>
      <c r="E51" s="123">
        <v>2119966.9424505387</v>
      </c>
      <c r="F51" s="123">
        <v>2255815.289532335</v>
      </c>
      <c r="H51" s="120"/>
    </row>
    <row r="52" spans="1:8" x14ac:dyDescent="0.15">
      <c r="A52" s="143">
        <v>10</v>
      </c>
      <c r="B52" s="123">
        <v>1508064.9666566593</v>
      </c>
      <c r="C52" s="123">
        <v>1588895.1283385819</v>
      </c>
      <c r="D52" s="123">
        <v>2117598.1705724299</v>
      </c>
      <c r="E52" s="123">
        <v>2255919.5097090532</v>
      </c>
      <c r="F52" s="123">
        <v>2576331.0477811289</v>
      </c>
      <c r="H52" s="120"/>
    </row>
    <row r="53" spans="1:8" x14ac:dyDescent="0.15">
      <c r="A53" s="143">
        <v>15</v>
      </c>
      <c r="B53" s="123">
        <v>1320654.3011404276</v>
      </c>
      <c r="C53" s="123">
        <v>1420190.1146568349</v>
      </c>
      <c r="D53" s="123">
        <v>2196898.0779353799</v>
      </c>
      <c r="E53" s="123">
        <v>2437209.8735244093</v>
      </c>
      <c r="F53" s="123">
        <v>3053010.8313824125</v>
      </c>
      <c r="H53" s="120"/>
    </row>
    <row r="54" spans="1:8" x14ac:dyDescent="0.15">
      <c r="A54" s="144">
        <v>20</v>
      </c>
      <c r="B54" s="123">
        <v>1168286.4399676372</v>
      </c>
      <c r="C54" s="123">
        <v>1278672.7253077913</v>
      </c>
      <c r="D54" s="123">
        <v>2279569.5251027611</v>
      </c>
      <c r="E54" s="123">
        <v>2636872.8872393682</v>
      </c>
      <c r="F54" s="123">
        <v>3644416.623449442</v>
      </c>
      <c r="H54" s="120"/>
    </row>
    <row r="55" spans="1:8" x14ac:dyDescent="0.15">
      <c r="A55" s="144">
        <v>25</v>
      </c>
      <c r="B55" s="123">
        <v>1053176.2888140543</v>
      </c>
      <c r="C55" s="123">
        <v>1169077.3863585996</v>
      </c>
      <c r="D55" s="123">
        <v>2358253.6623720601</v>
      </c>
      <c r="E55" s="123">
        <v>2838140.3273398699</v>
      </c>
      <c r="F55" s="123">
        <v>4321824.0482265353</v>
      </c>
      <c r="H55" s="120"/>
    </row>
    <row r="56" spans="1:8" x14ac:dyDescent="0.15">
      <c r="A56" s="144">
        <v>30</v>
      </c>
      <c r="B56" s="123">
        <v>969302.98045758542</v>
      </c>
      <c r="C56" s="123">
        <v>1087678.5644706055</v>
      </c>
      <c r="D56" s="123">
        <v>2429287.8245758768</v>
      </c>
      <c r="E56" s="123">
        <v>3031039.4410980549</v>
      </c>
      <c r="F56" s="123">
        <v>5065367.8040545415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-0.1</v>
      </c>
      <c r="C59" s="132">
        <f>C50</f>
        <v>-0.08</v>
      </c>
      <c r="D59" s="132">
        <f>D50</f>
        <v>0.02</v>
      </c>
      <c r="E59" s="132">
        <f>E50</f>
        <v>0.04</v>
      </c>
      <c r="F59" s="132">
        <f>F50</f>
        <v>0.08</v>
      </c>
      <c r="H59" s="120"/>
    </row>
    <row r="60" spans="1:8" x14ac:dyDescent="0.15">
      <c r="A60" s="143">
        <v>0</v>
      </c>
      <c r="B60" s="124">
        <f>C7</f>
        <v>1.6266666666666667</v>
      </c>
      <c r="C60" s="124">
        <f>C7</f>
        <v>1.6266666666666667</v>
      </c>
      <c r="D60" s="124">
        <f>C7</f>
        <v>1.6266666666666667</v>
      </c>
      <c r="E60" s="141">
        <f>C7</f>
        <v>1.6266666666666667</v>
      </c>
      <c r="F60" s="124">
        <f>C7</f>
        <v>1.6266666666666667</v>
      </c>
      <c r="H60" s="120"/>
    </row>
    <row r="61" spans="1:8" x14ac:dyDescent="0.15">
      <c r="A61" s="143">
        <f t="shared" ref="A61:A66" si="3">A51</f>
        <v>5</v>
      </c>
      <c r="B61" s="124">
        <f t="shared" ref="B61:F66" si="4">B51/Common_Shares*$C$3*Exchange_Rate</f>
        <v>1.3891221945123247</v>
      </c>
      <c r="C61" s="124">
        <f t="shared" si="4"/>
        <v>1.4341126256395487</v>
      </c>
      <c r="D61" s="124">
        <f t="shared" si="4"/>
        <v>1.6782490853929704</v>
      </c>
      <c r="E61" s="124">
        <f t="shared" si="4"/>
        <v>1.7313342006466232</v>
      </c>
      <c r="F61" s="124">
        <f t="shared" si="4"/>
        <v>1.8422788029865789</v>
      </c>
      <c r="H61" s="120"/>
    </row>
    <row r="62" spans="1:8" x14ac:dyDescent="0.15">
      <c r="A62" s="143">
        <f t="shared" si="3"/>
        <v>10</v>
      </c>
      <c r="B62" s="124">
        <f t="shared" si="4"/>
        <v>1.2316062110626993</v>
      </c>
      <c r="C62" s="124">
        <f t="shared" si="4"/>
        <v>1.2976185721809077</v>
      </c>
      <c r="D62" s="124">
        <f t="shared" si="4"/>
        <v>1.729399672478293</v>
      </c>
      <c r="E62" s="124">
        <f t="shared" si="4"/>
        <v>1.8423639175007427</v>
      </c>
      <c r="F62" s="124">
        <f t="shared" si="4"/>
        <v>2.1040375516682315</v>
      </c>
      <c r="H62" s="120"/>
    </row>
    <row r="63" spans="1:8" x14ac:dyDescent="0.15">
      <c r="A63" s="143">
        <f t="shared" si="3"/>
        <v>15</v>
      </c>
      <c r="B63" s="124">
        <f t="shared" si="4"/>
        <v>1.0785517042791499</v>
      </c>
      <c r="C63" s="124">
        <f t="shared" si="4"/>
        <v>1.1598405935912346</v>
      </c>
      <c r="D63" s="124">
        <f t="shared" si="4"/>
        <v>1.7941623057893958</v>
      </c>
      <c r="E63" s="124">
        <f t="shared" si="4"/>
        <v>1.9904200974515383</v>
      </c>
      <c r="F63" s="124">
        <f t="shared" si="4"/>
        <v>2.4933323069684028</v>
      </c>
      <c r="H63" s="120"/>
    </row>
    <row r="64" spans="1:8" x14ac:dyDescent="0.15">
      <c r="A64" s="144">
        <f t="shared" si="3"/>
        <v>20</v>
      </c>
      <c r="B64" s="124">
        <f t="shared" si="4"/>
        <v>0.95411594830321289</v>
      </c>
      <c r="C64" s="124">
        <f t="shared" si="4"/>
        <v>1.0442661988872286</v>
      </c>
      <c r="D64" s="124">
        <f t="shared" si="4"/>
        <v>1.8616784075887884</v>
      </c>
      <c r="E64" s="124">
        <f t="shared" si="4"/>
        <v>2.1534808496391635</v>
      </c>
      <c r="F64" s="124">
        <f t="shared" si="4"/>
        <v>2.9763214771120508</v>
      </c>
      <c r="H64" s="120"/>
    </row>
    <row r="65" spans="1:8" x14ac:dyDescent="0.15">
      <c r="A65" s="144">
        <f t="shared" si="3"/>
        <v>25</v>
      </c>
      <c r="B65" s="124">
        <f t="shared" si="4"/>
        <v>0.86010781188226015</v>
      </c>
      <c r="C65" s="124">
        <f t="shared" si="4"/>
        <v>0.95476189825183244</v>
      </c>
      <c r="D65" s="124">
        <f t="shared" si="4"/>
        <v>1.9259381538965494</v>
      </c>
      <c r="E65" s="124">
        <f t="shared" si="4"/>
        <v>2.3178519044631583</v>
      </c>
      <c r="F65" s="124">
        <f t="shared" si="4"/>
        <v>3.5295464443527367</v>
      </c>
    </row>
    <row r="66" spans="1:8" x14ac:dyDescent="0.15">
      <c r="A66" s="144">
        <f t="shared" si="3"/>
        <v>30</v>
      </c>
      <c r="B66" s="124">
        <f t="shared" si="4"/>
        <v>0.79161017431481817</v>
      </c>
      <c r="C66" s="124">
        <f t="shared" si="4"/>
        <v>0.88828512382433911</v>
      </c>
      <c r="D66" s="124">
        <f t="shared" si="4"/>
        <v>1.9839503200181523</v>
      </c>
      <c r="E66" s="124">
        <f t="shared" si="4"/>
        <v>2.4753887161164183</v>
      </c>
      <c r="F66" s="124">
        <f t="shared" si="4"/>
        <v>4.1367836178976276</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0.08</v>
      </c>
      <c r="D69" s="145">
        <f>Scenarios!C55</f>
        <v>15</v>
      </c>
      <c r="E69" s="135">
        <f>INDEX(B$60:F$66, MATCH(D69, A$60:A$66, 0), MATCH(C69, B$59:F$59, 0))</f>
        <v>2.4933323069684028</v>
      </c>
      <c r="F69" s="142">
        <f>Scenarios!C58</f>
        <v>0.05</v>
      </c>
    </row>
    <row r="70" spans="1:8" x14ac:dyDescent="0.15">
      <c r="B70" s="127" t="str">
        <f>Scenarios!B36</f>
        <v>Optimistic</v>
      </c>
      <c r="C70" s="142">
        <f>Scenarios!C38</f>
        <v>0.04</v>
      </c>
      <c r="D70" s="145">
        <f>Scenarios!C37</f>
        <v>10</v>
      </c>
      <c r="E70" s="135">
        <f>INDEX(B$60:F$66, MATCH(D70, A$60:A$66, 0), MATCH(C70, B$59:F$59, 0))</f>
        <v>1.8423639175007427</v>
      </c>
      <c r="F70" s="142">
        <f>Scenarios!C40*(1-F$69-F$73)</f>
        <v>0.17</v>
      </c>
      <c r="H70" s="120"/>
    </row>
    <row r="71" spans="1:8" x14ac:dyDescent="0.15">
      <c r="B71" s="127" t="str">
        <f>Scenarios!B24</f>
        <v>Base</v>
      </c>
      <c r="C71" s="142">
        <f>Scenarios!C26</f>
        <v>0.02</v>
      </c>
      <c r="D71" s="145">
        <f>Scenarios!C25</f>
        <v>10</v>
      </c>
      <c r="E71" s="135">
        <f>INDEX(B$60:F$66, MATCH(D71, A$60:A$66, 0), MATCH(C71, B$59:F$59, 0))</f>
        <v>1.729399672478293</v>
      </c>
      <c r="F71" s="142">
        <f>Scenarios!C28*(1-F$69-F$73)</f>
        <v>0.51</v>
      </c>
      <c r="H71" s="120"/>
    </row>
    <row r="72" spans="1:8" x14ac:dyDescent="0.15">
      <c r="B72" s="127" t="str">
        <f>Scenarios!B30</f>
        <v>Pessimistic</v>
      </c>
      <c r="C72" s="142">
        <f>Scenarios!C32</f>
        <v>-0.08</v>
      </c>
      <c r="D72" s="145">
        <f>Scenarios!C31</f>
        <v>10</v>
      </c>
      <c r="E72" s="135">
        <f>INDEX(B$60:F$66, MATCH(D72, A$60:A$66, 0), MATCH(C72, B$59:F$59, 0))</f>
        <v>1.2976185721809077</v>
      </c>
      <c r="F72" s="142">
        <f>Scenarios!C34*(1-F$69-F$73)</f>
        <v>0.17</v>
      </c>
      <c r="H72" s="120"/>
    </row>
    <row r="73" spans="1:8" x14ac:dyDescent="0.15">
      <c r="B73" s="127" t="str">
        <f>Scenarios!B48</f>
        <v>Devil's advocate</v>
      </c>
      <c r="C73" s="142">
        <f>Scenarios!C50</f>
        <v>-0.1</v>
      </c>
      <c r="D73" s="145">
        <f>Scenarios!C49</f>
        <v>15</v>
      </c>
      <c r="E73" s="135">
        <f>INDEX(B$60:F$66, MATCH(D73, A$60:A$66, 0), MATCH(C73, B$59:F$59, 0))</f>
        <v>1.0785517042791499</v>
      </c>
      <c r="F73" s="142">
        <f>Scenarios!C52</f>
        <v>0.1</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-2.92</v>
      </c>
    </row>
    <row r="4" spans="2:9" x14ac:dyDescent="0.15">
      <c r="B4" s="152" t="s">
        <v>146</v>
      </c>
      <c r="C4" s="120">
        <v>2</v>
      </c>
      <c r="D4" s="120"/>
      <c r="E4" s="155" t="s">
        <v>150</v>
      </c>
      <c r="F4" s="155"/>
      <c r="H4" s="247">
        <v>1</v>
      </c>
      <c r="I4" s="124">
        <f t="shared" ref="I4:I13" si="0">IF(ROW()-3 &lt; $C$76, $C$77, IF(ROW()-3 = $C$76, $C$77 + $C$60, ""))</f>
        <v>0.11203899912256016</v>
      </c>
    </row>
    <row r="5" spans="2:9" x14ac:dyDescent="0.15">
      <c r="H5" s="247">
        <v>2</v>
      </c>
      <c r="I5" s="124">
        <f t="shared" si="0"/>
        <v>0.11203899912256016</v>
      </c>
    </row>
    <row r="6" spans="2:9" x14ac:dyDescent="0.15">
      <c r="B6" s="159" t="s">
        <v>95</v>
      </c>
      <c r="C6" s="107">
        <f>DCF!C3</f>
        <v>1000</v>
      </c>
      <c r="E6" s="100" t="s">
        <v>279</v>
      </c>
      <c r="F6" s="100"/>
      <c r="H6" s="247">
        <v>3</v>
      </c>
      <c r="I6" s="124">
        <f t="shared" si="0"/>
        <v>2.9370622434878979</v>
      </c>
    </row>
    <row r="7" spans="2:9" ht="12.75" customHeight="1" x14ac:dyDescent="0.15">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x14ac:dyDescent="0.15">
      <c r="B8" s="100" t="s">
        <v>66</v>
      </c>
      <c r="C8" s="338">
        <f>Normalized_FCF!G19</f>
        <v>133764.18103492411</v>
      </c>
      <c r="D8" t="str">
        <f>Reporting_currency</f>
        <v>CNY</v>
      </c>
      <c r="E8" s="366"/>
      <c r="F8" s="366"/>
      <c r="H8" s="247">
        <v>5</v>
      </c>
      <c r="I8" s="124" t="str">
        <f t="shared" si="0"/>
        <v/>
      </c>
    </row>
    <row r="9" spans="2:9" x14ac:dyDescent="0.15">
      <c r="B9" s="100" t="s">
        <v>57</v>
      </c>
      <c r="C9" s="338">
        <f>Normalized_FCF!C19</f>
        <v>102692.33353318446</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0.12167914390403989</v>
      </c>
      <c r="D12" s="158"/>
      <c r="E12" s="366"/>
      <c r="F12" s="366"/>
      <c r="H12" s="247">
        <v>9</v>
      </c>
      <c r="I12" s="124" t="str">
        <f t="shared" si="0"/>
        <v/>
      </c>
    </row>
    <row r="13" spans="2:9" x14ac:dyDescent="0.15">
      <c r="B13" s="148" t="s">
        <v>152</v>
      </c>
      <c r="C13" s="158">
        <f ca="1">(Normalized_FCF!G8/OFFSET(Normalized_FCF!G8, 0, $C$4))^(1/$C$4) - 1</f>
        <v>7.4870016543118432</v>
      </c>
      <c r="E13" s="366"/>
      <c r="F13" s="366"/>
      <c r="H13" s="247">
        <v>10</v>
      </c>
      <c r="I13" s="124" t="str">
        <f t="shared" si="0"/>
        <v/>
      </c>
    </row>
    <row r="14" spans="2:9" x14ac:dyDescent="0.15">
      <c r="B14" s="100" t="s">
        <v>66</v>
      </c>
      <c r="C14" s="158">
        <f ca="1">(Normalized_FCF!G19/OFFSET(Normalized_FCF!G19, 0, $C$4))^(1/$C$4) - 1</f>
        <v>2.0119331801328122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2.92</v>
      </c>
      <c r="D21" t="str">
        <f>Market_currency</f>
        <v>HKD</v>
      </c>
      <c r="E21" s="367"/>
      <c r="F21" s="367"/>
    </row>
    <row r="22" spans="2:6" x14ac:dyDescent="0.15">
      <c r="B22" s="100" t="s">
        <v>278</v>
      </c>
      <c r="C22" s="160">
        <f>IF(valuation_method="DCF",DCF!C12,DDM!C7)</f>
        <v>2.8101430991254559</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0.02</v>
      </c>
      <c r="D26" s="164"/>
      <c r="E26" s="365"/>
      <c r="F26" s="365"/>
    </row>
    <row r="27" spans="2:6" x14ac:dyDescent="0.15">
      <c r="B27" s="100" t="s">
        <v>113</v>
      </c>
      <c r="C27" s="160">
        <f>IF(valuation_method="DCF",DCF!E76,DDM!E71)</f>
        <v>2.8807650981273203</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-0.08</v>
      </c>
      <c r="D32" s="164"/>
      <c r="E32" s="365"/>
      <c r="F32" s="365"/>
    </row>
    <row r="33" spans="2:6" x14ac:dyDescent="0.15">
      <c r="B33" s="100" t="s">
        <v>113</v>
      </c>
      <c r="C33" s="160">
        <f>IF(valuation_method="DCF",DCF!E77,DDM!E72)</f>
        <v>2.5839447705868319</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0.04</v>
      </c>
      <c r="D38" s="164"/>
      <c r="E38" s="365"/>
      <c r="F38" s="365"/>
    </row>
    <row r="39" spans="2:6" x14ac:dyDescent="0.15">
      <c r="B39" s="100" t="s">
        <v>113</v>
      </c>
      <c r="C39" s="160">
        <f>IF(valuation_method="DCF",DCF!E75,DDM!E70)</f>
        <v>2.9584203826796878</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2.8369320895296961</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-0.1</v>
      </c>
      <c r="D50" s="164"/>
      <c r="E50" s="365"/>
      <c r="F50" s="365"/>
    </row>
    <row r="51" spans="2:6" x14ac:dyDescent="0.15">
      <c r="B51" s="100" t="s">
        <v>113</v>
      </c>
      <c r="C51" s="160">
        <f>IF(valuation_method="DCF",DCF!E78,DDM!E73)</f>
        <v>2.4333511030106361</v>
      </c>
      <c r="D51" t="str">
        <f>Market_currency</f>
        <v>HKD</v>
      </c>
      <c r="E51" s="365"/>
      <c r="F51" s="365"/>
    </row>
    <row r="52" spans="2:6" x14ac:dyDescent="0.15">
      <c r="B52" s="100" t="s">
        <v>147</v>
      </c>
      <c r="C52" s="165">
        <v>0.1</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0.08</v>
      </c>
      <c r="D56" s="164"/>
      <c r="E56" s="365"/>
      <c r="F56" s="365"/>
    </row>
    <row r="57" spans="2:6" x14ac:dyDescent="0.15">
      <c r="B57" s="100" t="s">
        <v>113</v>
      </c>
      <c r="C57" s="160">
        <f>IF(valuation_method="DCF",DCF!E74,DDM!E69)</f>
        <v>3.4059171592806448</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2.8250232443653376</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8.5779014792802307E-3</v>
      </c>
      <c r="D65" s="151"/>
      <c r="E65" s="251" t="s">
        <v>312</v>
      </c>
    </row>
    <row r="66" spans="2:6" x14ac:dyDescent="0.15">
      <c r="B66" s="100" t="s">
        <v>102</v>
      </c>
      <c r="C66" s="160">
        <f>IF(valuation_method="DCF",DCF!C18,DDM!C13)</f>
        <v>2.8396216681609707</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Y</v>
      </c>
      <c r="E72" s="134" t="s">
        <v>346</v>
      </c>
      <c r="F72" s="291">
        <f>BS!D89/C60</f>
        <v>0.59890469789489897</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0.11203899912256016</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0.18567767542817407</v>
      </c>
      <c r="D81" s="116"/>
      <c r="E81" s="100"/>
      <c r="F81" s="100"/>
    </row>
    <row r="82" spans="2:8" x14ac:dyDescent="0.15">
      <c r="B82" s="100" t="s">
        <v>122</v>
      </c>
      <c r="C82" s="116">
        <f>C60/(1+C80)^C76</f>
        <v>1.1049313575388016</v>
      </c>
      <c r="D82" s="116"/>
    </row>
    <row r="83" spans="2:8" x14ac:dyDescent="0.15">
      <c r="B83" s="110" t="s">
        <v>101</v>
      </c>
      <c r="C83" s="111">
        <f>C81+C82</f>
        <v>1.2906090329669757</v>
      </c>
      <c r="D83" t="str">
        <f>Market_currency</f>
        <v>HKD</v>
      </c>
      <c r="E83" s="146" t="s">
        <v>126</v>
      </c>
      <c r="F83" s="291">
        <f>(1-C83/C60)</f>
        <v>0.54315100396389104</v>
      </c>
    </row>
    <row r="84" spans="2:8" x14ac:dyDescent="0.15">
      <c r="E84" s="120"/>
    </row>
    <row r="85" spans="2:8" x14ac:dyDescent="0.15">
      <c r="B85" s="109" t="s">
        <v>302</v>
      </c>
    </row>
    <row r="86" spans="2:8" x14ac:dyDescent="0.15">
      <c r="B86" s="148" t="s">
        <v>300</v>
      </c>
      <c r="C86" s="116">
        <f>Market_Price</f>
        <v>2.92</v>
      </c>
      <c r="D86" t="str">
        <f>Market_currency</f>
        <v>HKD</v>
      </c>
    </row>
    <row r="87" spans="2:8" x14ac:dyDescent="0.15">
      <c r="B87" s="100" t="s">
        <v>298</v>
      </c>
      <c r="C87" s="237">
        <f ca="1">IRR(OFFSET($I$3, 0, 0, $C$76 + 1, 1))</f>
        <v>2.7823572188489853E-2</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0.22972485610590027</v>
      </c>
      <c r="D91" s="116"/>
      <c r="E91" s="100"/>
      <c r="F91" s="100"/>
    </row>
    <row r="92" spans="2:8" x14ac:dyDescent="0.15">
      <c r="B92" s="100" t="s">
        <v>122</v>
      </c>
      <c r="C92" s="116">
        <f>C60/(1+C90)^C76</f>
        <v>1.5657489650427741</v>
      </c>
      <c r="D92" s="116"/>
    </row>
    <row r="93" spans="2:8" x14ac:dyDescent="0.15">
      <c r="B93" s="110" t="s">
        <v>101</v>
      </c>
      <c r="C93" s="111">
        <f>C91+C92</f>
        <v>1.7954738211486743</v>
      </c>
      <c r="D93" t="str">
        <f>Market_currency</f>
        <v>HKD</v>
      </c>
      <c r="E93" s="146" t="s">
        <v>126</v>
      </c>
      <c r="F93" s="291">
        <f>(1-C93/C60)</f>
        <v>0.36443927506442841</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0.29136030108770961</v>
      </c>
      <c r="D97" s="116"/>
      <c r="G97" s="2"/>
      <c r="H97" s="281"/>
    </row>
    <row r="98" spans="2:8" x14ac:dyDescent="0.15">
      <c r="B98" s="100" t="s">
        <v>122</v>
      </c>
      <c r="C98" s="116">
        <f>C60/(1+C96)^C76</f>
        <v>2.2740323196621888</v>
      </c>
      <c r="D98" s="116"/>
      <c r="G98" s="2"/>
      <c r="H98" s="281"/>
    </row>
    <row r="99" spans="2:8" x14ac:dyDescent="0.15">
      <c r="B99" s="110" t="s">
        <v>398</v>
      </c>
      <c r="C99" s="111">
        <f>C97+C98</f>
        <v>2.5653926207498983</v>
      </c>
      <c r="D99" t="s">
        <v>396</v>
      </c>
      <c r="E99" s="146" t="s">
        <v>126</v>
      </c>
      <c r="F99" s="291">
        <f>(1-C99/C60)</f>
        <v>9.1903889333755595E-2</v>
      </c>
    </row>
    <row r="100" spans="2:8" x14ac:dyDescent="0.15">
      <c r="B100" s="100"/>
    </row>
    <row r="101" spans="2:8" x14ac:dyDescent="0.15">
      <c r="B101" s="109" t="s">
        <v>422</v>
      </c>
    </row>
    <row r="102" spans="2:8" x14ac:dyDescent="0.15">
      <c r="B102" s="148" t="s">
        <v>421</v>
      </c>
      <c r="C102" s="134">
        <f>Thesis!F32</f>
        <v>0.1174</v>
      </c>
    </row>
    <row r="103" spans="2:8" x14ac:dyDescent="0.15">
      <c r="B103" s="100" t="s">
        <v>121</v>
      </c>
      <c r="C103" s="116">
        <f>PV(C102, C76, -C77, 0)</f>
        <v>0.27030563951012621</v>
      </c>
      <c r="D103" s="116"/>
    </row>
    <row r="104" spans="2:8" x14ac:dyDescent="0.15">
      <c r="B104" s="100" t="s">
        <v>122</v>
      </c>
      <c r="C104" s="116">
        <f>C60/(1+C102)^C76</f>
        <v>2.0248647709072523</v>
      </c>
      <c r="D104" s="116"/>
    </row>
    <row r="105" spans="2:8" x14ac:dyDescent="0.15">
      <c r="B105" s="110" t="s">
        <v>398</v>
      </c>
      <c r="C105" s="111">
        <f>C103+C104</f>
        <v>2.2951704104173785</v>
      </c>
      <c r="D105" t="s">
        <v>396</v>
      </c>
      <c r="E105" s="146" t="s">
        <v>126</v>
      </c>
      <c r="F105" s="291">
        <f>(1-C105/C66)</f>
        <v>0.19173373123899151</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