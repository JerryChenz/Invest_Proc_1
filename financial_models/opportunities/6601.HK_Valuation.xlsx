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693E8D6-9273-4478-A975-C92CF8B3678E}"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6" i="4"/>
  <c r="C25" i="4"/>
  <c r="D25" i="4"/>
  <c r="E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G69" i="4"/>
  <c r="G71" i="4"/>
  <c r="G70" i="4"/>
  <c r="I71" i="4"/>
  <c r="I70" i="4"/>
  <c r="I72" i="4"/>
  <c r="I69" i="4"/>
  <c r="F72" i="4"/>
  <c r="F69" i="4"/>
  <c r="F71" i="4"/>
  <c r="F70" i="4"/>
  <c r="E69" i="4"/>
  <c r="E70" i="4"/>
  <c r="E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M38" i="4"/>
  <c r="C10" i="6"/>
  <c r="B4" i="6"/>
  <c r="C31" i="4" l="1"/>
  <c r="C80" i="4" s="1"/>
  <c r="C88" i="6"/>
  <c r="O126" i="2"/>
  <c r="O92" i="2"/>
  <c r="O48" i="2"/>
  <c r="O91" i="2"/>
  <c r="D69" i="4"/>
  <c r="Q126" i="2"/>
  <c r="Q92" i="2"/>
  <c r="Q48" i="2"/>
  <c r="Q91" i="2"/>
  <c r="K126" i="2"/>
  <c r="K48" i="2"/>
  <c r="K91" i="2"/>
  <c r="K92" i="2"/>
  <c r="N126" i="2"/>
  <c r="N48" i="2"/>
  <c r="N91" i="2"/>
  <c r="N92" i="2"/>
  <c r="J91" i="2"/>
  <c r="J92" i="2"/>
  <c r="J48" i="2"/>
  <c r="I91" i="2"/>
  <c r="P126" i="2"/>
  <c r="P92" i="2"/>
  <c r="P48" i="2"/>
  <c r="P91" i="2"/>
  <c r="L126" i="2"/>
  <c r="L48" i="2"/>
  <c r="L92" i="2"/>
  <c r="L91" i="2"/>
  <c r="M126" i="2"/>
  <c r="M91" i="2"/>
  <c r="M92" i="2"/>
  <c r="M48" i="2"/>
  <c r="H91"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H50" i="2" s="1"/>
  <c r="H12" i="2" s="1"/>
  <c r="H80" i="2" s="1"/>
  <c r="I48" i="2"/>
  <c r="I50" i="2" s="1"/>
  <c r="I12" i="2" s="1"/>
  <c r="I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C8" i="9" l="1"/>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I114" i="2" l="1"/>
  <c r="I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<sst xmlns="http://schemas.openxmlformats.org/spreadsheetml/2006/main" count="606" uniqueCount="429">
  <si>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</si>
  <si>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</si>
  <si>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</si>
  <si>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</si>
  <si>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</si>
  <si>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</si>
  <si>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</si>
  <si>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</si>
  <si>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</si>
  <si>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</si>
  <si>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</si>
  <si>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</si>
  <si>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</si>
  <si>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</si>
  <si>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</si>
  <si>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</si>
  <si>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</si>
  <si>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</si>
  <si>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</si>
  <si>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</si>
  <si>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</si>
  <si>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</si>
  <si>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</si>
  <si>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</si>
  <si>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</si>
  <si>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</si>
  <si>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</si>
  <si>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</si>
  <si>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</si>
  <si>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</si>
  <si>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</si>
  <si>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</si>
  <si>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</si>
  <si>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</si>
  <si>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</si>
  <si>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</si>
  <si>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</si>
  <si>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</si>
  <si>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</si>
  <si>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</si>
  <si>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</si>
  <si>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</si>
  <si>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</si>
  <si>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</si>
  <si>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</si>
  <si>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</si>
  <si>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</si>
  <si>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</si>
  <si>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</si>
  <si>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</si>
  <si>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</si>
  <si>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</si>
  <si>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</si>
  <si>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</si>
  <si>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</si>
  <si>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</si>
  <si>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</si>
  <si>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</si>
  <si>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</si>
  <si>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</si>
  <si>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</si>
  <si>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</si>
  <si>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</si>
  <si>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</si>
  <si>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</si>
  <si>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</si>
  <si>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</si>
  <si>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</si>
  <si>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</si>
  <si>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</si>
  <si>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</si>
  <si>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</si>
  <si>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</si>
  <si>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</si>
  <si>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</si>
  <si>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</si>
  <si>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</si>
  <si>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</si>
  <si>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</si>
  <si>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</si>
  <si>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</si>
  <si>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</si>
  <si>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</si>
  <si>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</si>
  <si>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</si>
  <si>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</si>
  <si>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</si>
  <si>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</si>
  <si>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</si>
  <si>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</si>
  <si>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</si>
  <si>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</si>
  <si>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</si>
  <si>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</si>
  <si>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</si>
  <si>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</si>
  <si>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</si>
  <si>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</si>
  <si>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</si>
  <si>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</si>
  <si>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</si>
  <si>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</si>
  <si>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</si>
  <si>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</si>
  <si>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</si>
  <si>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</si>
  <si>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</si>
  <si>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</si>
  <si>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</si>
  <si>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</si>
  <si>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</si>
  <si>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</si>
  <si>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</si>
  <si>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</si>
  <si>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</si>
  <si>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</si>
  <si>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</si>
  <si>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</si>
  <si>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</si>
  <si>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</si>
  <si>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</si>
  <si>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</si>
  <si>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</si>
  <si>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</si>
  <si>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</si>
  <si>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</si>
  <si>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</si>
  <si>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</si>
  <si>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</si>
  <si>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</si>
  <si>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</si>
  <si>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</si>
  <si>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</si>
  <si>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</si>
  <si>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</si>
  <si>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</si>
  <si>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</si>
  <si>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</si>
  <si>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</si>
  <si>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</si>
  <si>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</si>
  <si>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</si>
  <si>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</si>
  <si>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</si>
  <si>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</si>
  <si>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</si>
  <si>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</si>
  <si>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</si>
  <si>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</si>
  <si>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</si>
  <si>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</si>
  <si>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</si>
  <si>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</si>
  <si>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</si>
  <si>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</si>
  <si>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</si>
  <si>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</si>
  <si>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</si>
  <si>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</si>
  <si>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</si>
  <si>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</si>
  <si>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</si>
  <si>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</si>
  <si>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</si>
  <si>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</si>
  <si>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</si>
  <si>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</si>
  <si>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</si>
  <si>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</si>
  <si>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</si>
  <si>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</si>
  <si>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</si>
  <si>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</si>
  <si>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</si>
  <si>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</si>
  <si>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</si>
  <si>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</si>
  <si>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</si>
  <si>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</si>
  <si>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</si>
  <si>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</si>
  <si>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</si>
  <si>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</si>
  <si>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</si>
  <si>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</si>
  <si>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</si>
  <si>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</si>
  <si>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</si>
  <si>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</si>
  <si>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</si>
  <si>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</si>
  <si>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</si>
  <si>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</si>
  <si>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</si>
  <si>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</si>
  <si>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</si>
  <si>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</si>
  <si>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</si>
  <si>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</si>
  <si>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</si>
  <si>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</si>
  <si>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</si>
  <si>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</si>
  <si>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</si>
  <si>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</si>
  <si>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</si>
  <si>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</si>
  <si>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</si>
  <si>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</si>
  <si>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</si>
  <si>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</si>
  <si>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</si>
  <si>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</si>
  <si>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</si>
  <si>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</si>
  <si>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</si>
  <si>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</si>
  <si>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</si>
  <si>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</si>
  <si>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</si>
  <si>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</si>
  <si>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</si>
  <si>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</si>
  <si>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</si>
  <si>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</si>
  <si>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</si>
  <si>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</si>
  <si>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</si>
  <si>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</si>
  <si>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</si>
  <si>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</si>
  <si>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</si>
  <si>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</si>
  <si>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</si>
  <si>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</si>
  <si>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</si>
  <si>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</si>
  <si>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</si>
  <si>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</si>
  <si>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</si>
  <si>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</si>
  <si>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</si>
  <si>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</si>
  <si>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</si>
  <si>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</si>
  <si>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</si>
  <si>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</si>
  <si>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</si>
  <si>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</si>
  <si>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</si>
  <si>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</si>
  <si>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</si>
  <si>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</si>
  <si>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</si>
  <si>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</si>
  <si>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</si>
  <si>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</si>
  <si>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</si>
  <si>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</si>
  <si>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</si>
  <si>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</si>
  <si>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</si>
  <si>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</si>
  <si>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</si>
  <si>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</si>
  <si>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</si>
  <si>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</si>
  <si>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</si>
  <si>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</si>
  <si>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</si>
  <si>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</si>
  <si>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</si>
  <si>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</si>
  <si>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</si>
  <si>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</si>
  <si>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</si>
  <si>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</si>
  <si>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</si>
  <si>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</si>
  <si>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</si>
  <si>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</si>
  <si>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</si>
  <si>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</si>
  <si>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</si>
  <si>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</si>
  <si>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</si>
  <si>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</si>
  <si>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</si>
  <si>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</si>
  <si>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</si>
  <si>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</si>
  <si>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</si>
  <si>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</si>
  <si>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</si>
  <si>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</si>
  <si>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</si>
  <si>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</si>
  <si>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</si>
  <si>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</si>
  <si>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</si>
  <si>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</si>
  <si>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</si>
  <si>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</si>
  <si>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</si>
  <si>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</si>
  <si>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</si>
  <si>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</si>
  <si>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</si>
  <si>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</si>
  <si>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</si>
  <si>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</si>
  <si>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</si>
  <si>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</si>
  <si>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</si>
  <si>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</si>
  <si>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</si>
  <si>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</si>
  <si>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</si>
  <si>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</si>
  <si>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</si>
  <si>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</si>
  <si>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</si>
  <si>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</si>
  <si>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</si>
  <si>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</si>
  <si>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</si>
  <si>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</si>
  <si>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</si>
  <si>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</si>
  <si>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</si>
  <si>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</si>
  <si>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</si>
  <si>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</si>
  <si>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</si>
  <si>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</si>
  <si>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</si>
  <si>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</si>
  <si>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</si>
  <si>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</si>
  <si>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</si>
  <si>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</si>
  <si>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</si>
  <si>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</si>
  <si>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</si>
  <si>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</si>
  <si>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</si>
  <si>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</si>
  <si>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</si>
  <si>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</si>
  <si>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</si>
  <si>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</si>
  <si>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</si>
  <si>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</si>
  <si>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</si>
  <si>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</si>
  <si>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</si>
  <si>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</si>
  <si>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</si>
  <si>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</si>
  <si>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</si>
  <si>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</si>
  <si>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</si>
  <si>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</si>
  <si>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</si>
  <si>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</si>
  <si>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</si>
  <si>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</si>
  <si>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</si>
  <si>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</si>
  <si>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</si>
  <si>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</si>
  <si>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</si>
  <si>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</si>
  <si>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</si>
  <si>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</si>
  <si>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</si>
  <si>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</si>
  <si>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</si>
  <si>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</si>
  <si>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</si>
  <si>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</si>
  <si>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</si>
  <si>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</si>
  <si>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</si>
  <si>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</si>
  <si>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</si>
  <si>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</si>
  <si>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</si>
  <si>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</si>
  <si>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</si>
  <si>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</si>
  <si>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</si>
  <si>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</si>
  <si>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</si>
  <si>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</si>
  <si>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</si>
  <si>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</si>
  <si>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</si>
  <si>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</si>
  <si>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</si>
  <si>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</si>
  <si>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</si>
  <si>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</si>
  <si>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</si>
  <si>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</si>
  <si>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</si>
  <si>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</si>
  <si>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</si>
  <si>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</si>
  <si>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</si>
  <si>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</si>
  <si>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</si>
  <si>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</si>
  <si>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</si>
  <si>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</si>
  <si>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</si>
  <si>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</si>
  <si>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</si>
  <si>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</si>
  <si>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</si>
  <si>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</si>
  <si>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朝云集团</t>
  </si>
  <si>
    <t>6601.HK</t>
  </si>
  <si>
    <t>CNY</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</si>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</sst>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420</v>
      </c>
    </row>
    <row r="2" spans="1:10" ht="13.9">
      <c r="A2" s="247" t="s">
        <v>268</v>
      </c>
      <c r="B2" s="36"/>
      <c r="C2" s="36"/>
      <c r="D2" s="36"/>
      <c r="E2" s="36"/>
      <c r="F2" s="36"/>
      <c r="G2" s="22"/>
      <c r="H2" s="22"/>
      <c r="I2" s="22"/>
      <c r="J2" s="22"/>
    </row>
    <row r="4" spans="1:10">
      <c r="B4" s="45" t="str">
        <f>D5&amp;" Stock Information"</f>
        <v>6601.HK Stock Information</v>
      </c>
      <c r="C4" s="46"/>
      <c r="D4" s="5"/>
      <c r="E4" s="2"/>
      <c r="F4" s="2"/>
    </row>
    <row r="5" spans="1:10" ht="12.4">
      <c r="B5" s="4" t="s">
        <v>323</v>
      </c>
      <c r="C5" s="333" t="s">
        <v>421</v>
      </c>
      <c r="D5" s="49" t="s">
        <v>422</v>
      </c>
    </row>
    <row r="6" spans="1:10">
      <c r="B6" s="4" t="s">
        <v>95</v>
      </c>
      <c r="C6" s="50">
        <v>2.2999999999999998</v>
      </c>
      <c r="D6" s="48" t="s">
        <v>405</v>
      </c>
      <c r="E6" s="48"/>
    </row>
    <row r="7" spans="1:10">
      <c r="B7" s="4" t="s">
        <v>0</v>
      </c>
      <c r="C7" s="51">
        <v>1333333500</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3066.66705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Low Growth Asset Play</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1.6044036483689856</v>
      </c>
      <c r="D20" s="1" t="s">
        <v>315</v>
      </c>
      <c r="E20" s="330">
        <v>3</v>
      </c>
    </row>
    <row r="21" spans="1:6">
      <c r="B21" s="1" t="s">
        <v>408</v>
      </c>
      <c r="C21" s="280">
        <f ca="1">Scenarios!C87</f>
        <v>0.10185445179346697</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113776.93034265516</v>
      </c>
      <c r="D30" s="1" t="str">
        <f>Reporting_currency</f>
        <v>CNY</v>
      </c>
    </row>
    <row r="31" spans="1:6">
      <c r="B31" s="47"/>
      <c r="C31" s="76"/>
    </row>
    <row r="32" spans="1:6" ht="24.4" customHeight="1">
      <c r="B32" s="341" t="s">
        <v>234</v>
      </c>
      <c r="C32" s="341"/>
      <c r="D32" s="341"/>
      <c r="E32" s="341"/>
      <c r="F32" s="341"/>
    </row>
    <row r="33" spans="2:6">
      <c r="B33" s="47" t="s">
        <v>235</v>
      </c>
      <c r="C33" s="188">
        <f>Normalized_FCF!C9</f>
        <v>35974</v>
      </c>
      <c r="D33" s="1" t="str">
        <f>Reporting_currency</f>
        <v>CNY</v>
      </c>
    </row>
    <row r="34" spans="2:6">
      <c r="B34" s="52" t="s">
        <v>236</v>
      </c>
      <c r="C34" s="188">
        <f>Normalized_FCF!C10</f>
        <v>-35974</v>
      </c>
      <c r="D34" s="1" t="str">
        <f>Reporting_currency</f>
        <v>CNY</v>
      </c>
    </row>
    <row r="36" spans="2:6">
      <c r="B36" s="341" t="s">
        <v>237</v>
      </c>
      <c r="C36" s="341"/>
      <c r="D36" s="341"/>
      <c r="E36" s="341"/>
      <c r="F36" s="341"/>
    </row>
    <row r="37" spans="2:6">
      <c r="B37" s="47" t="s">
        <v>238</v>
      </c>
      <c r="C37" s="188">
        <f>Normalized_FCF!C11</f>
        <v>0</v>
      </c>
      <c r="D37" s="1" t="str">
        <f>Reporting_currency</f>
        <v>CNY</v>
      </c>
    </row>
    <row r="39" spans="2:6">
      <c r="B39" s="341" t="s">
        <v>241</v>
      </c>
      <c r="C39" s="341"/>
      <c r="D39" s="341"/>
      <c r="E39" s="341"/>
      <c r="F39" s="341"/>
    </row>
    <row r="40" spans="2:6">
      <c r="B40" s="47" t="s">
        <v>348</v>
      </c>
      <c r="C40" s="322">
        <f>Normalized_FCF!C48</f>
        <v>25072.955721459057</v>
      </c>
      <c r="D40" s="1" t="str">
        <f>Reporting_currency</f>
        <v>CNY</v>
      </c>
      <c r="E40" s="321"/>
      <c r="F40" s="321"/>
    </row>
    <row r="41" spans="2:6">
      <c r="B41" s="47" t="s">
        <v>349</v>
      </c>
      <c r="C41" s="322">
        <f>Normalized_FCF!C47</f>
        <v>-1880</v>
      </c>
      <c r="D41" s="1" t="str">
        <f>Reporting_currency</f>
        <v>CNY</v>
      </c>
      <c r="E41" s="321"/>
      <c r="F41" s="321"/>
    </row>
    <row r="42" spans="2:6">
      <c r="B42" s="47" t="s">
        <v>239</v>
      </c>
      <c r="C42" s="188">
        <f>Normalized_FCF!C12</f>
        <v>23192.955721459057</v>
      </c>
      <c r="D42" s="1" t="str">
        <f>Reporting_currency</f>
        <v>CNY</v>
      </c>
    </row>
    <row r="44" spans="2:6">
      <c r="B44" s="1" t="s">
        <v>247</v>
      </c>
    </row>
    <row r="45" spans="2:6">
      <c r="B45" s="47" t="s">
        <v>266</v>
      </c>
      <c r="C45" s="188">
        <f>Normalized_FCF!C15</f>
        <v>0</v>
      </c>
      <c r="D45" s="1" t="str">
        <f>Reporting_currency</f>
        <v>CNY</v>
      </c>
    </row>
    <row r="47" spans="2:6">
      <c r="B47" s="341" t="s">
        <v>242</v>
      </c>
      <c r="C47" s="341"/>
      <c r="D47" s="341"/>
      <c r="E47" s="341"/>
      <c r="F47" s="341"/>
    </row>
    <row r="48" spans="2:6">
      <c r="B48" s="47" t="s">
        <v>240</v>
      </c>
      <c r="C48" s="188">
        <f>Normalized_FCF!C14</f>
        <v>-34242.471516028556</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169784.95572145906</v>
      </c>
      <c r="D56" s="1" t="str">
        <f>Reporting_currency</f>
        <v>CNY</v>
      </c>
    </row>
    <row r="57" spans="1:6">
      <c r="B57" s="47" t="s">
        <v>249</v>
      </c>
      <c r="C57" s="188">
        <f>Normalized_FCF!C19</f>
        <v>102727.41454808567</v>
      </c>
      <c r="D57" s="1" t="str">
        <f>Reporting_currency</f>
        <v>CNY</v>
      </c>
    </row>
    <row r="58" spans="1:6">
      <c r="B58" s="254" t="s">
        <v>398</v>
      </c>
      <c r="C58" s="92">
        <f>Normalized_FCF!C125</f>
        <v>3.573276361444476E-2</v>
      </c>
    </row>
    <row r="59" spans="1:6">
      <c r="B59" s="254" t="s">
        <v>316</v>
      </c>
      <c r="C59" s="92">
        <f>Normalized_FCF!C93</f>
        <v>4.9726182470532274E-2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1.0273169539152869</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33999</v>
      </c>
      <c r="D86" s="1" t="str">
        <f>Reporting_currency</f>
        <v>CNY</v>
      </c>
    </row>
    <row r="87" spans="2:6">
      <c r="B87" s="47" t="s">
        <v>285</v>
      </c>
      <c r="C87" s="248">
        <f>C86*scaling_factor*Exchange_Rate/Common_Shares</f>
        <v>2.720033344152082E-2</v>
      </c>
      <c r="D87" s="1" t="str">
        <f>Market_currency</f>
        <v>HKD</v>
      </c>
    </row>
    <row r="88" spans="2:6">
      <c r="B88" s="337" t="s">
        <v>414</v>
      </c>
      <c r="C88" s="338">
        <f>BS!G30/BS!G27</f>
        <v>0.20351769929714394</v>
      </c>
    </row>
    <row r="89" spans="2:6">
      <c r="B89" s="337" t="s">
        <v>415</v>
      </c>
      <c r="C89" s="338">
        <f>BS!G31/BS!G27</f>
        <v>1.0763175939415467E-2</v>
      </c>
    </row>
    <row r="90" spans="2:6">
      <c r="B90" s="337" t="s">
        <v>417</v>
      </c>
      <c r="C90" s="339">
        <f>BS!C50</f>
        <v>0.29882156160837919</v>
      </c>
    </row>
    <row r="92" spans="2:6">
      <c r="B92" s="1" t="s">
        <v>255</v>
      </c>
    </row>
    <row r="93" spans="2:6">
      <c r="B93" s="47" t="s">
        <v>265</v>
      </c>
      <c r="C93" s="188">
        <f>BS!C66</f>
        <v>2707640</v>
      </c>
      <c r="D93" s="1" t="str">
        <f>Reporting_currency</f>
        <v>CNY</v>
      </c>
    </row>
    <row r="94" spans="2:6">
      <c r="B94" s="47" t="s">
        <v>267</v>
      </c>
      <c r="C94" s="188">
        <f>Valuation_Model!C8</f>
        <v>1874559.8091856597</v>
      </c>
      <c r="D94" s="1" t="str">
        <f>Reporting_currency</f>
        <v>CNY</v>
      </c>
    </row>
    <row r="95" spans="2:6">
      <c r="B95" s="47" t="s">
        <v>286</v>
      </c>
      <c r="C95" s="248">
        <f>C94*scaling_factor*Exchange_Rate/Common_Shares</f>
        <v>1.4997103404783547</v>
      </c>
      <c r="D95" s="1" t="str">
        <f>Market_currency</f>
        <v>HKD</v>
      </c>
    </row>
    <row r="97" spans="1:6">
      <c r="B97" s="1" t="s">
        <v>257</v>
      </c>
    </row>
    <row r="98" spans="1:6">
      <c r="B98" s="47" t="s">
        <v>258</v>
      </c>
      <c r="C98" s="188">
        <f>Valuation_Model!C9</f>
        <v>229590.09999999998</v>
      </c>
      <c r="D98" s="1" t="str">
        <f>Reporting_currency</f>
        <v>CNY</v>
      </c>
    </row>
    <row r="99" spans="1:6">
      <c r="B99" s="47" t="s">
        <v>287</v>
      </c>
      <c r="C99" s="248">
        <f>C98*scaling_factor*Exchange_Rate/Common_Shares</f>
        <v>0.183679733959002</v>
      </c>
      <c r="D99" s="1" t="str">
        <f>Market_currency</f>
        <v>HKD</v>
      </c>
    </row>
    <row r="101" spans="1:6" ht="24.4" customHeight="1">
      <c r="B101" s="340" t="s">
        <v>374</v>
      </c>
      <c r="C101" s="340"/>
      <c r="D101" s="340"/>
      <c r="E101" s="340"/>
      <c r="F101" s="340"/>
    </row>
    <row r="103" spans="1:6">
      <c r="B103" s="47" t="s">
        <v>283</v>
      </c>
      <c r="C103" s="248">
        <f>Valuation_Model!C12</f>
        <v>2.6835066949111233</v>
      </c>
      <c r="D103" s="1" t="str">
        <f>Market_currency</f>
        <v>HKD</v>
      </c>
    </row>
    <row r="104" spans="1:6">
      <c r="B104" s="337" t="s">
        <v>416</v>
      </c>
      <c r="C104" s="248">
        <f>BS!D47</f>
        <v>1.8653456492018881</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3.24 HKD</v>
      </c>
      <c r="F111" s="259">
        <f>Valuation_Model!F74</f>
        <v>0.05</v>
      </c>
    </row>
    <row r="112" spans="1:6">
      <c r="B112" s="242" t="str">
        <f>Valuation_Model!B75</f>
        <v>Optimistic</v>
      </c>
      <c r="C112" s="243">
        <f>Valuation_Model!C75</f>
        <v>0.04</v>
      </c>
      <c r="D112" s="244">
        <f>Valuation_Model!D75</f>
        <v>10</v>
      </c>
      <c r="E112" s="245" t="str">
        <f>ROUND(Valuation_Model!E75,2)&amp;" "&amp;Market_currency</f>
        <v>2.82 HKD</v>
      </c>
      <c r="F112" s="246">
        <f>Valuation_Model!F75</f>
        <v>0.17</v>
      </c>
    </row>
    <row r="113" spans="1:6">
      <c r="B113" s="242" t="str">
        <f>Valuation_Model!B76</f>
        <v>Base</v>
      </c>
      <c r="C113" s="243">
        <f>Valuation_Model!C76</f>
        <v>0.02</v>
      </c>
      <c r="D113" s="244">
        <f>Valuation_Model!D76</f>
        <v>10</v>
      </c>
      <c r="E113" s="245" t="str">
        <f>ROUND(Valuation_Model!E76,2)&amp;" "&amp;Market_currency</f>
        <v>2.75 HKD</v>
      </c>
      <c r="F113" s="246">
        <f>Valuation_Model!F76</f>
        <v>0.51</v>
      </c>
    </row>
    <row r="114" spans="1:6">
      <c r="B114" s="242" t="str">
        <f>Valuation_Model!B77</f>
        <v>Pessimistic</v>
      </c>
      <c r="C114" s="243">
        <f>Valuation_Model!C77</f>
        <v>-0.08</v>
      </c>
      <c r="D114" s="244">
        <f>Valuation_Model!D77</f>
        <v>10</v>
      </c>
      <c r="E114" s="245" t="str">
        <f>ROUND(Valuation_Model!E77,2)&amp;" "&amp;Market_currency</f>
        <v>2.47 HKD</v>
      </c>
      <c r="F114" s="246">
        <f>Valuation_Model!F77</f>
        <v>0.17</v>
      </c>
    </row>
    <row r="115" spans="1:6">
      <c r="B115" s="242" t="str">
        <f>Valuation_Model!B78</f>
        <v>Devil's advocate</v>
      </c>
      <c r="C115" s="243">
        <f>Valuation_Model!C78</f>
        <v>-0.1</v>
      </c>
      <c r="D115" s="244">
        <f>Valuation_Model!D78</f>
        <v>15</v>
      </c>
      <c r="E115" s="245" t="str">
        <f>ROUND(Valuation_Model!E78,2)&amp;" "&amp;Market_currency</f>
        <v>2.33 HKD</v>
      </c>
      <c r="F115" s="246">
        <f>Valuation_Model!F78</f>
        <v>0.1</v>
      </c>
    </row>
    <row r="117" spans="1:6">
      <c r="B117" s="235" t="s">
        <v>259</v>
      </c>
      <c r="C117" s="241">
        <f>Scenarios!C60</f>
        <v>2.697564413182195</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0.11437021968222422</v>
      </c>
      <c r="D128" s="236" t="str">
        <f>Market_currency</f>
        <v>HKD</v>
      </c>
    </row>
    <row r="130" spans="1:6">
      <c r="B130" s="234" t="s">
        <v>409</v>
      </c>
      <c r="C130" s="338">
        <f>C19</f>
        <v>0.25</v>
      </c>
      <c r="D130" s="1" t="s">
        <v>419</v>
      </c>
    </row>
    <row r="131" spans="1:6">
      <c r="B131" s="236" t="str">
        <f>"PV("&amp;C126&amp;" yrs of Dividends)"</f>
        <v>PV(3 yrs of Dividends)</v>
      </c>
      <c r="C131" s="240">
        <f>Scenarios!C81</f>
        <v>0.22325066881970168</v>
      </c>
    </row>
    <row r="132" spans="1:6">
      <c r="B132" s="236" t="str">
        <f>"+ PV(Equity Value realized at year "&amp;C126&amp;")"</f>
        <v>+ PV(Equity Value realized at year 3)</v>
      </c>
      <c r="C132" s="240">
        <f>Scenarios!C82</f>
        <v>1.3811529795492838</v>
      </c>
    </row>
    <row r="133" spans="1:6">
      <c r="B133" s="80" t="s">
        <v>261</v>
      </c>
      <c r="C133" s="239">
        <f>Scenarios!C83</f>
        <v>1.6044036483689856</v>
      </c>
      <c r="D133" s="47" t="str">
        <f>Reporting_currency</f>
        <v>CNY</v>
      </c>
    </row>
    <row r="134" spans="1:6">
      <c r="B134" s="238" t="s">
        <v>263</v>
      </c>
      <c r="C134" s="92">
        <f>Scenarios!F83</f>
        <v>0.40523991177792007</v>
      </c>
    </row>
    <row r="136" spans="1:6">
      <c r="B136" s="234" t="s">
        <v>410</v>
      </c>
      <c r="C136" s="92">
        <f>Scenarios!C90</f>
        <v>0.06</v>
      </c>
      <c r="D136" s="1" t="s">
        <v>418</v>
      </c>
    </row>
    <row r="137" spans="1:6">
      <c r="B137" s="236" t="str">
        <f>"PV("&amp;C126&amp;" yrs of Dividends)"</f>
        <v>PV(3 yrs of Dividends)</v>
      </c>
      <c r="C137" s="240">
        <f>Scenarios!C91</f>
        <v>0.30571296387313812</v>
      </c>
    </row>
    <row r="138" spans="1:6">
      <c r="B138" s="236" t="str">
        <f>"+ PV(Equity Value realized at year "&amp;C126&amp;")"</f>
        <v>+ PV(Equity Value realized at year 3)</v>
      </c>
      <c r="C138" s="240">
        <f>Scenarios!C92</f>
        <v>2.264927098529486</v>
      </c>
    </row>
    <row r="139" spans="1:6">
      <c r="B139" s="80" t="s">
        <v>411</v>
      </c>
      <c r="C139" s="239">
        <f>Scenarios!C93</f>
        <v>2.570640062402624</v>
      </c>
      <c r="D139" s="101" t="str">
        <f>Reporting_currency</f>
        <v>CNY</v>
      </c>
    </row>
    <row r="140" spans="1:6">
      <c r="B140" s="238" t="s">
        <v>263</v>
      </c>
      <c r="C140" s="92">
        <f>Scenarios!F93</f>
        <v>4.7051462481981665E-2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0.11437021968222422</v>
      </c>
      <c r="D25" s="39">
        <f>(0.064+0.041)/Exchange_Rate</f>
        <v>9.8433385792078235E-2</v>
      </c>
      <c r="E25" s="39">
        <f>(0.022+0.0168)/Exchange_Rate</f>
        <v>3.6373479702215571E-2</v>
      </c>
      <c r="F25" s="39"/>
      <c r="G25" s="39"/>
      <c r="H25" s="39"/>
      <c r="I25" s="39"/>
      <c r="J25" s="39"/>
      <c r="K25" s="39"/>
      <c r="L25" s="39"/>
      <c r="M25" s="39"/>
    </row>
    <row r="27" spans="2:13">
      <c r="B27" s="16" t="s">
        <v>28</v>
      </c>
      <c r="C27" s="97" t="s">
        <v>426</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0.11437021968222422</v>
      </c>
      <c r="D65" s="73">
        <f t="shared" ref="D65:M65" si="33">IF(D$4="","",D25)</f>
        <v>9.8433385792078235E-2</v>
      </c>
      <c r="E65" s="73">
        <f t="shared" si="33"/>
        <v>3.6373479702215571E-2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81">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2.5284845622888046</v>
      </c>
      <c r="D47" s="148">
        <f>D46*H1/Common_Shares*Exchange_Rate</f>
        <v>1.8653456492018881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1874559.8091856597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-151226.13710872241</v>
      </c>
      <c r="D73" s="188">
        <f>(Normalized_FCF!C25+Normalized_FCF!C35-Normalized_FCF!C91)/12</f>
        <v>-138846.69846905672</v>
      </c>
      <c r="F73" s="1" t="s">
        <v>359</v>
      </c>
    </row>
    <row r="74" spans="2:6" ht="15" customHeight="1">
      <c r="B74" s="288" t="s">
        <v>329</v>
      </c>
      <c r="C74" s="289">
        <f>-$C$66/C73</f>
        <v>17.904576892375232</v>
      </c>
      <c r="D74" s="289">
        <f>-$C$66/D73</f>
        <v>19.500931818003746</v>
      </c>
      <c r="F74" s="283" t="s">
        <v>327</v>
      </c>
    </row>
    <row r="75" spans="2:6" ht="15" customHeight="1">
      <c r="B75" s="80" t="s">
        <v>328</v>
      </c>
      <c r="C75" s="293"/>
      <c r="D75" s="292">
        <f>MAX(-D73*D76,G5)</f>
        <v>833080.19081434025</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-36267.115788750001</v>
      </c>
      <c r="D86" s="248">
        <f>C86*scaling_factor/Common_Shares</f>
        <v>-2.720033344152082E-2</v>
      </c>
      <c r="E86" s="269" t="str">
        <f>Market_currency</f>
        <v>HKD</v>
      </c>
    </row>
    <row r="87" spans="2:8" ht="15" customHeight="1">
      <c r="B87" s="267" t="s">
        <v>294</v>
      </c>
      <c r="C87" s="188">
        <f>Valuation_Model!C8*Exchange_Rate</f>
        <v>1999614.0372561966</v>
      </c>
      <c r="D87" s="248">
        <f>C87*scaling_factor/Common_Shares</f>
        <v>1.4997103404783547</v>
      </c>
      <c r="E87" s="269" t="str">
        <f>Market_currency</f>
        <v>HKD</v>
      </c>
    </row>
    <row r="88" spans="2:8" ht="15" customHeight="1">
      <c r="B88" s="268" t="s">
        <v>190</v>
      </c>
      <c r="C88" s="188">
        <f>Valuation_Model!C9*Exchange_Rate</f>
        <v>244906.34255862498</v>
      </c>
      <c r="D88" s="248">
        <f>C88*scaling_factor/Common_Shares</f>
        <v>0.183679733959002</v>
      </c>
      <c r="E88" s="269" t="str">
        <f>Market_currency</f>
        <v>HKD</v>
      </c>
    </row>
    <row r="89" spans="2:8" ht="15" customHeight="1">
      <c r="B89" s="80" t="s">
        <v>298</v>
      </c>
      <c r="C89" s="187">
        <f>SUM(C86:C88)</f>
        <v>2208253.2640260719</v>
      </c>
      <c r="D89" s="271">
        <f>SUM(D86:D88)</f>
        <v>1.6561897409958359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23192.955721459057</v>
      </c>
      <c r="E12" s="302"/>
      <c r="G12" s="191">
        <f>G50</f>
        <v>23192.955721459057</v>
      </c>
      <c r="H12" s="191">
        <f t="shared" ref="H12:Q12" si="6">H50</f>
        <v>21705.145648259142</v>
      </c>
      <c r="I12" s="191">
        <f t="shared" si="6"/>
        <v>13090.179393652897</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136969.88606411422</v>
      </c>
      <c r="E13" s="302"/>
      <c r="G13" s="184">
        <f>IF(G$4="","",SUM(G8:G12))</f>
        <v>217054.95572145906</v>
      </c>
      <c r="H13" s="184">
        <f t="shared" ref="H13:Q13" si="7">IF(H$4="","",SUM(H8:H12))</f>
        <v>147521.14564825915</v>
      </c>
      <c r="I13" s="184">
        <f t="shared" si="7"/>
        <v>35788.179393652899</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-34242.471516028556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102727.41454808567</v>
      </c>
      <c r="D16" s="61"/>
      <c r="E16" s="310"/>
      <c r="F16" s="61"/>
      <c r="G16" s="184">
        <f>IF(G$4="","",SUM(G13:G15))</f>
        <v>169784.95572145906</v>
      </c>
      <c r="H16" s="184">
        <f t="shared" ref="H16:Q16" si="8">IF(H$4="","",SUM(H13:H15))</f>
        <v>103072.14564825915</v>
      </c>
      <c r="I16" s="184">
        <f t="shared" si="8"/>
        <v>14771.179393652899</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102727.41454808567</v>
      </c>
      <c r="D19" s="27"/>
      <c r="E19" s="299"/>
      <c r="F19" s="27"/>
      <c r="G19" s="186">
        <f>IF(G$4="","",G16+G17)</f>
        <v>169784.95572145906</v>
      </c>
      <c r="H19" s="186">
        <f t="shared" ref="H19:Q19" si="9">IF(H$4="","",H16+H17)</f>
        <v>103072.14564825915</v>
      </c>
      <c r="I19" s="186">
        <f t="shared" si="9"/>
        <v>14771.179393652899</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0.26104346429842845</v>
      </c>
      <c r="H43" s="6">
        <f t="shared" si="18"/>
        <v>0.35038072953165883</v>
      </c>
      <c r="I43" s="6">
        <f t="shared" si="18"/>
        <v>1.3752619609169703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25072.955721459057</v>
      </c>
      <c r="E48" s="302"/>
      <c r="G48" s="328">
        <f>IFERROR(IF(G$4="","",($C$48/$C$49)*G49),0)</f>
        <v>25072.955721459057</v>
      </c>
      <c r="H48" s="328">
        <f t="shared" ref="H48:Q48" si="19">IFERROR(IF(H$4="","",($C$48/$C$49)*H49),0)</f>
        <v>22708.145648259142</v>
      </c>
      <c r="I48" s="328">
        <f t="shared" si="19"/>
        <v>13953.179393652897</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23192.955721459057</v>
      </c>
      <c r="E50" s="302"/>
      <c r="G50" s="184">
        <f>IF(G$4="","",(G47+G48))</f>
        <v>23192.955721459057</v>
      </c>
      <c r="H50" s="184">
        <f t="shared" ref="H50:Q50" si="20">IF(H$4="","",(H47+H48))</f>
        <v>21705.145648259142</v>
      </c>
      <c r="I50" s="184">
        <f t="shared" si="20"/>
        <v>13090.179393652897</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428</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1.4251157318989058E-2</v>
      </c>
      <c r="D80" s="27"/>
      <c r="E80" s="299"/>
      <c r="F80" s="27"/>
      <c r="G80" s="6">
        <f t="shared" ref="G80:Q80" si="31">IF(G$4="","",ABS(G12/G$4))</f>
        <v>1.2742626108702922E-2</v>
      </c>
      <c r="H80" s="6">
        <f t="shared" si="31"/>
        <v>1.3434852173212268E-2</v>
      </c>
      <c r="I80" s="6">
        <f t="shared" si="31"/>
        <v>9.0486904074501689E-3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8.4162597372513789E-2</v>
      </c>
      <c r="D81" s="27"/>
      <c r="E81" s="299"/>
      <c r="F81" s="27"/>
      <c r="G81" s="65">
        <f t="shared" ref="G81:Q81" si="32">IF(G$4="","",G13/G$4)</f>
        <v>0.11925388807777289</v>
      </c>
      <c r="H81" s="65">
        <f t="shared" si="32"/>
        <v>9.1311287024984228E-2</v>
      </c>
      <c r="I81" s="65">
        <f t="shared" si="32"/>
        <v>2.4738863069857765E-2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2.1040649343128447E-2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6.3121948029385352E-2</v>
      </c>
      <c r="D84" s="27"/>
      <c r="E84" s="299"/>
      <c r="F84" s="27"/>
      <c r="G84" s="65">
        <f t="shared" ref="G84:Q84" si="35">IF(G$4="","",ABS(G16/G$4))</f>
        <v>9.3282901740698393E-2</v>
      </c>
      <c r="H84" s="65">
        <f t="shared" si="35"/>
        <v>6.379865228277011E-2</v>
      </c>
      <c r="I84" s="65">
        <f t="shared" si="35"/>
        <v>1.0210695000167906E-2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6.3121948029385352E-2</v>
      </c>
      <c r="D87" s="75"/>
      <c r="E87" s="299"/>
      <c r="F87" s="75"/>
      <c r="G87" s="65">
        <f t="shared" ref="G87:Q87" si="36">IF(G$4="","",ABS(G19/G$4))</f>
        <v>9.3282901740698393E-2</v>
      </c>
      <c r="H87" s="65">
        <f t="shared" si="36"/>
        <v>6.379865228277011E-2</v>
      </c>
      <c r="I87" s="65">
        <f t="shared" si="36"/>
        <v>1.0210695000167906E-2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0.11437021968222422</v>
      </c>
      <c r="E90" s="302"/>
      <c r="G90" s="113">
        <f>Data!C65</f>
        <v>0.11437021968222422</v>
      </c>
      <c r="H90" s="113">
        <f>Data!D65</f>
        <v>9.8433385792078235E-2</v>
      </c>
      <c r="I90" s="113">
        <f>Data!E65</f>
        <v>3.6373479702215571E-2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152493.6453046689</v>
      </c>
      <c r="E91" s="302"/>
      <c r="G91" s="74">
        <f t="shared" ref="G91:Q91" si="37">IF(G$4="","",G90*Common_Shares/scaling_factor)</f>
        <v>152493.6453046689</v>
      </c>
      <c r="H91" s="74">
        <f t="shared" si="37"/>
        <v>131244.53079500195</v>
      </c>
      <c r="I91" s="74">
        <f t="shared" si="37"/>
        <v>48497.978998534047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1.4844493651038804</v>
      </c>
      <c r="E92" s="302"/>
      <c r="G92" s="171">
        <f t="shared" ref="G92:Q92" si="38">IF(G$4="","",G90/(G19*scaling_factor/Common_Shares))</f>
        <v>0.89815758208190466</v>
      </c>
      <c r="H92" s="171">
        <f t="shared" si="38"/>
        <v>1.2733268524639334</v>
      </c>
      <c r="I92" s="171">
        <f t="shared" si="38"/>
        <v>3.2832841377157318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4.9726182470532274E-2</v>
      </c>
      <c r="E93" s="302"/>
      <c r="G93" s="23">
        <f t="shared" ref="G93:Q93" si="39">IF(G$4="","",G90/Market_Price)</f>
        <v>4.9726182470532274E-2</v>
      </c>
      <c r="H93" s="23">
        <f t="shared" si="39"/>
        <v>4.2797124257425323E-2</v>
      </c>
      <c r="I93" s="23">
        <f t="shared" si="39"/>
        <v>1.5814556392267639E-2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-0.36896218006704218</v>
      </c>
      <c r="D97" s="27"/>
      <c r="E97" s="299"/>
      <c r="F97" s="27"/>
      <c r="G97" s="6">
        <f t="shared" ref="G97:Q97" si="41">IF(H5="","",G13/H13-1)</f>
        <v>0.47134808889697943</v>
      </c>
      <c r="H97" s="6">
        <f t="shared" si="41"/>
        <v>3.1220634340069919</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8.4162597372513789E-2</v>
      </c>
      <c r="E117" s="302"/>
      <c r="G117" s="23">
        <f t="shared" ref="G117:Q117" si="45">G81</f>
        <v>0.11925388807777289</v>
      </c>
      <c r="H117" s="23">
        <f t="shared" si="45"/>
        <v>9.1311287024984228E-2</v>
      </c>
      <c r="I117" s="23">
        <f t="shared" si="45"/>
        <v>2.4738863069857765E-2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8.2185356313222949E-2</v>
      </c>
      <c r="D124" s="27"/>
      <c r="E124" s="299"/>
      <c r="F124" s="27"/>
      <c r="G124" s="178">
        <f t="shared" ref="G124:Q124" si="49">IF(G$4="","",G16*$C$3/Common_Shares*Exchange_Rate)</f>
        <v>0.13583362478242109</v>
      </c>
      <c r="H124" s="178">
        <f t="shared" si="49"/>
        <v>8.2461152685833358E-2</v>
      </c>
      <c r="I124" s="178">
        <f t="shared" si="49"/>
        <v>1.18174359490538E-2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3.573276361444476E-2</v>
      </c>
      <c r="D125" s="27"/>
      <c r="E125" s="299"/>
      <c r="F125" s="27"/>
      <c r="G125" s="77">
        <f t="shared" ref="G125" si="50">IF(G$4="","",G124/Market_Price)</f>
        <v>5.905809773148743E-2</v>
      </c>
      <c r="H125" s="77">
        <f t="shared" ref="H125" si="51">IF(H$4="","",H124/Market_Price)</f>
        <v>3.5852675080797113E-2</v>
      </c>
      <c r="I125" s="77">
        <f t="shared" ref="I125" si="52">IF(I$4="","",I124/Market_Price)</f>
        <v>5.1380156300233921E-3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102727.41454808567</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1284092.6818510708</v>
      </c>
      <c r="D6" t="str">
        <f>Reporting_currency</f>
        <v>CNY</v>
      </c>
      <c r="E6" s="348" t="s">
        <v>250</v>
      </c>
      <c r="F6" s="348"/>
      <c r="H6" s="121"/>
    </row>
    <row r="7" spans="2:8">
      <c r="B7" s="149" t="s">
        <v>225</v>
      </c>
      <c r="C7" s="226">
        <f>BS!G31</f>
        <v>33999</v>
      </c>
      <c r="D7" t="str">
        <f>Reporting_currency</f>
        <v>CNY</v>
      </c>
      <c r="E7" s="348"/>
      <c r="F7" s="348"/>
      <c r="H7" s="121"/>
    </row>
    <row r="8" spans="2:8">
      <c r="B8" s="149" t="s">
        <v>226</v>
      </c>
      <c r="C8" s="201">
        <f>BS!D66</f>
        <v>1874559.8091856597</v>
      </c>
      <c r="D8" t="str">
        <f>Reporting_currency</f>
        <v>CNY</v>
      </c>
      <c r="E8" s="348"/>
      <c r="F8" s="348"/>
      <c r="H8" s="121"/>
    </row>
    <row r="9" spans="2:8">
      <c r="B9" s="227" t="s">
        <v>191</v>
      </c>
      <c r="C9" s="229">
        <f>BS!H42</f>
        <v>229590.09999999998</v>
      </c>
      <c r="D9" t="str">
        <f>Reporting_currency</f>
        <v>CNY</v>
      </c>
      <c r="E9" s="348"/>
      <c r="F9" s="348"/>
      <c r="H9" s="121"/>
    </row>
    <row r="10" spans="2:8" ht="13.15">
      <c r="B10" s="150" t="s">
        <v>228</v>
      </c>
      <c r="C10" s="232">
        <f>C6-C7+C8+C9</f>
        <v>3354243.5910367309</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2.6835066949111233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2.7111861095082355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103608.60018930031</v>
      </c>
      <c r="D21" s="139">
        <f>IF($C$17&lt;B21,0,Valuation_Model!$C$16)</f>
        <v>8.5779014792802307E-3</v>
      </c>
      <c r="E21" s="125">
        <f t="shared" ref="E21:E50" si="0">IF($C$17&lt;B21,0,1/(1+Equity_Cost)^B21)</f>
        <v>0.92592592592592582</v>
      </c>
      <c r="F21" s="126">
        <f t="shared" ref="F21:F51" si="1">C21*E21</f>
        <v>95933.889064166942</v>
      </c>
      <c r="H21" s="121"/>
    </row>
    <row r="22" spans="2:8">
      <c r="B22" s="123">
        <v>2</v>
      </c>
      <c r="C22" s="124">
        <f t="shared" ref="C22:C50" si="2">IF(ROW()-ROW($C$21)&lt;$C$17, $C$21*(1+D22)^(ROW()-ROW($C$21)), 0)</f>
        <v>104497.34455413026</v>
      </c>
      <c r="D22" s="139">
        <f>IF($C$17&lt;B22,0,Valuation_Model!$C$16)</f>
        <v>8.5779014792802307E-3</v>
      </c>
      <c r="E22" s="125">
        <f t="shared" si="0"/>
        <v>0.85733882030178321</v>
      </c>
      <c r="F22" s="126">
        <f t="shared" si="1"/>
        <v>89589.630104707016</v>
      </c>
      <c r="H22" s="121"/>
    </row>
    <row r="23" spans="2:8">
      <c r="B23" s="123">
        <v>3</v>
      </c>
      <c r="C23" s="124">
        <f t="shared" si="2"/>
        <v>105393.71248056197</v>
      </c>
      <c r="D23" s="139">
        <f>IF($C$17&lt;B23,0,Valuation_Model!$C$16)</f>
        <v>8.5779014792802307E-3</v>
      </c>
      <c r="E23" s="125">
        <f t="shared" si="0"/>
        <v>0.79383224102016958</v>
      </c>
      <c r="F23" s="126">
        <f t="shared" si="1"/>
        <v>83664.926967879917</v>
      </c>
      <c r="H23" s="121"/>
    </row>
    <row r="24" spans="2:8">
      <c r="B24" s="123">
        <v>4</v>
      </c>
      <c r="C24" s="124">
        <f t="shared" si="2"/>
        <v>106297.7693627558</v>
      </c>
      <c r="D24" s="139">
        <f>IF($C$17&lt;B24,0,Valuation_Model!$C$16)</f>
        <v>8.5779014792802307E-3</v>
      </c>
      <c r="E24" s="125">
        <f t="shared" si="0"/>
        <v>0.73502985279645328</v>
      </c>
      <c r="F24" s="126">
        <f t="shared" si="1"/>
        <v>78132.033767297733</v>
      </c>
      <c r="H24" s="121"/>
    </row>
    <row r="25" spans="2:8">
      <c r="B25" s="123">
        <v>5</v>
      </c>
      <c r="C25" s="124">
        <f t="shared" si="2"/>
        <v>107209.58115581678</v>
      </c>
      <c r="D25" s="139">
        <f>IF($C$17&lt;B25,0,Valuation_Model!$C$16)</f>
        <v>8.5779014792802307E-3</v>
      </c>
      <c r="E25" s="125">
        <f t="shared" si="0"/>
        <v>0.68058319703375303</v>
      </c>
      <c r="F25" s="126">
        <f t="shared" si="1"/>
        <v>72965.039495675388</v>
      </c>
      <c r="H25" s="121"/>
    </row>
    <row r="26" spans="2:8">
      <c r="B26" s="123">
        <v>6</v>
      </c>
      <c r="C26" s="124">
        <f t="shared" si="2"/>
        <v>108129.21438060627</v>
      </c>
      <c r="D26" s="139">
        <f>IF($C$17&lt;B26,0,Valuation_Model!$C$16)</f>
        <v>8.5779014792802307E-3</v>
      </c>
      <c r="E26" s="125">
        <f t="shared" si="0"/>
        <v>0.63016962688310452</v>
      </c>
      <c r="F26" s="126">
        <f t="shared" si="1"/>
        <v>68139.746681389865</v>
      </c>
      <c r="H26" s="121"/>
    </row>
    <row r="27" spans="2:8">
      <c r="B27" s="123">
        <v>7</v>
      </c>
      <c r="C27" s="124">
        <f t="shared" si="2"/>
        <v>109056.73612859506</v>
      </c>
      <c r="D27" s="139">
        <f>IF($C$17&lt;B27,0,Valuation_Model!$C$16)</f>
        <v>8.5779014792802307E-3</v>
      </c>
      <c r="E27" s="125">
        <f t="shared" si="0"/>
        <v>0.58349039526213387</v>
      </c>
      <c r="F27" s="126">
        <f t="shared" si="1"/>
        <v>63633.558069672166</v>
      </c>
      <c r="H27" s="121"/>
    </row>
    <row r="28" spans="2:8">
      <c r="B28" s="123">
        <v>8</v>
      </c>
      <c r="C28" s="124">
        <f t="shared" si="2"/>
        <v>109992.214066758</v>
      </c>
      <c r="D28" s="139">
        <f>IF($C$17&lt;B28,0,Valuation_Model!$C$16)</f>
        <v>8.5779014792802307E-3</v>
      </c>
      <c r="E28" s="125">
        <f t="shared" si="0"/>
        <v>0.54026888450197574</v>
      </c>
      <c r="F28" s="126">
        <f t="shared" si="1"/>
        <v>59425.370797749863</v>
      </c>
      <c r="H28" s="121"/>
    </row>
    <row r="29" spans="2:8">
      <c r="B29" s="123">
        <v>9</v>
      </c>
      <c r="C29" s="124">
        <f t="shared" si="2"/>
        <v>110935.71644251054</v>
      </c>
      <c r="D29" s="139">
        <f>IF($C$17&lt;B29,0,Valuation_Model!$C$16)</f>
        <v>8.5779014792802307E-3</v>
      </c>
      <c r="E29" s="125">
        <f t="shared" si="0"/>
        <v>0.50024896713145905</v>
      </c>
      <c r="F29" s="126">
        <f t="shared" si="1"/>
        <v>55495.477568354319</v>
      </c>
      <c r="H29" s="121"/>
    </row>
    <row r="30" spans="2:8">
      <c r="B30" s="123">
        <v>10</v>
      </c>
      <c r="C30" s="124">
        <f t="shared" si="2"/>
        <v>111887.31208868777</v>
      </c>
      <c r="D30" s="139">
        <f>IF($C$17&lt;B30,0,Valuation_Model!$C$16)</f>
        <v>8.5779014792802307E-3</v>
      </c>
      <c r="E30" s="125">
        <f t="shared" si="0"/>
        <v>0.46319348808468425</v>
      </c>
      <c r="F30" s="126">
        <f t="shared" si="1"/>
        <v>51825.474358778949</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1295107.5023662539</v>
      </c>
      <c r="D51" s="140">
        <f>Terminal_Growth</f>
        <v>0</v>
      </c>
      <c r="E51" s="125">
        <f>1/(1+Equity_Cost)^C17</f>
        <v>0.46319348808468425</v>
      </c>
      <c r="F51" s="126">
        <f t="shared" si="1"/>
        <v>599885.36146566854</v>
      </c>
      <c r="H51" s="121"/>
    </row>
    <row r="52" spans="1:8">
      <c r="C52" s="115"/>
      <c r="E52" s="128" t="s">
        <v>101</v>
      </c>
      <c r="F52" s="138">
        <f>SUM(F21:F51)</f>
        <v>1318690.5083413408</v>
      </c>
      <c r="H52" s="121"/>
    </row>
    <row r="53" spans="1:8">
      <c r="C53" s="115"/>
      <c r="H53" s="121"/>
    </row>
    <row r="54" spans="1:8" ht="13.15">
      <c r="B54" s="120" t="s">
        <v>130</v>
      </c>
      <c r="C54" s="137"/>
      <c r="D54" s="137"/>
      <c r="E54" s="118"/>
      <c r="F54" s="118"/>
      <c r="H54" s="121"/>
    </row>
    <row r="55" spans="1:8" ht="13.15">
      <c r="A55" s="134">
        <f>F52</f>
        <v>1318690.5083413408</v>
      </c>
      <c r="B55" s="132">
        <f>C78</f>
        <v>-0.1</v>
      </c>
      <c r="C55" s="132">
        <f>C77</f>
        <v>-0.08</v>
      </c>
      <c r="D55" s="132">
        <f>C76</f>
        <v>0.02</v>
      </c>
      <c r="E55" s="132">
        <f>C75</f>
        <v>0.04</v>
      </c>
      <c r="F55" s="132">
        <f>C74</f>
        <v>0.08</v>
      </c>
      <c r="H55" s="121"/>
    </row>
    <row r="56" spans="1:8" ht="13.15">
      <c r="A56" s="144">
        <v>5</v>
      </c>
      <c r="B56" s="124">
        <f t="dataTable" ref="B56:F61" dt2D="1" dtr="1" r1="C16" r2="C17"/>
        <v>1093756.5654815256</v>
      </c>
      <c r="C56" s="124">
        <v>1129743.4941185208</v>
      </c>
      <c r="D56" s="124">
        <v>1325524.2336484026</v>
      </c>
      <c r="E56" s="124">
        <v>1368196.6423420613</v>
      </c>
      <c r="F56" s="124">
        <v>1457483.5276584239</v>
      </c>
      <c r="H56" s="121"/>
    </row>
    <row r="57" spans="1:8" ht="13.15">
      <c r="A57" s="144">
        <v>10</v>
      </c>
      <c r="B57" s="124">
        <v>965986.84941120422</v>
      </c>
      <c r="C57" s="124">
        <v>1019034.4996508096</v>
      </c>
      <c r="D57" s="124">
        <v>1366993.9373577232</v>
      </c>
      <c r="E57" s="124">
        <v>1458204.1433034472</v>
      </c>
      <c r="F57" s="124">
        <v>1669640.1832779199</v>
      </c>
      <c r="H57" s="121"/>
    </row>
    <row r="58" spans="1:8" ht="13.15">
      <c r="A58" s="144">
        <v>15</v>
      </c>
      <c r="B58" s="124">
        <v>844618.82606949471</v>
      </c>
      <c r="C58" s="124">
        <v>909787.42479534238</v>
      </c>
      <c r="D58" s="124">
        <v>1418324.1941693667</v>
      </c>
      <c r="E58" s="124">
        <v>1575540.3351204854</v>
      </c>
      <c r="F58" s="124">
        <v>1978094.7498911149</v>
      </c>
      <c r="H58" s="121"/>
    </row>
    <row r="59" spans="1:8" ht="13.15">
      <c r="A59" s="145">
        <v>20</v>
      </c>
      <c r="B59" s="124">
        <v>748189.1406844873</v>
      </c>
      <c r="C59" s="124">
        <v>820229.3472685673</v>
      </c>
      <c r="D59" s="124">
        <v>1470621.4941532377</v>
      </c>
      <c r="E59" s="124">
        <v>1701832.3355597877</v>
      </c>
      <c r="F59" s="124">
        <v>2352088.0566360736</v>
      </c>
      <c r="H59" s="121"/>
    </row>
    <row r="60" spans="1:8" ht="13.15">
      <c r="A60" s="145">
        <v>25</v>
      </c>
      <c r="B60" s="124">
        <v>677003.29361703596</v>
      </c>
      <c r="C60" s="124">
        <v>752456.66525695566</v>
      </c>
      <c r="D60" s="124">
        <v>1519260.8851159164</v>
      </c>
      <c r="E60" s="124">
        <v>1826234.2523556151</v>
      </c>
      <c r="F60" s="124">
        <v>2770685.9286694713</v>
      </c>
      <c r="H60" s="121"/>
    </row>
    <row r="61" spans="1:8" ht="13.15">
      <c r="A61" s="145">
        <v>30</v>
      </c>
      <c r="B61" s="124">
        <v>626321.99837380298</v>
      </c>
      <c r="C61" s="124">
        <v>703272.10845846147</v>
      </c>
      <c r="D61" s="124">
        <v>1562167.5940821248</v>
      </c>
      <c r="E61" s="124">
        <v>1942737.7499126457</v>
      </c>
      <c r="F61" s="124">
        <v>3219640.9183491757</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2.6835066949111233</v>
      </c>
      <c r="C65" s="125">
        <f>C12</f>
        <v>2.6835066949111233</v>
      </c>
      <c r="D65" s="125">
        <f>C12</f>
        <v>2.6835066949111233</v>
      </c>
      <c r="E65" s="142">
        <f>C12</f>
        <v>2.6835066949111233</v>
      </c>
      <c r="F65" s="125">
        <f>C12</f>
        <v>2.6835066949111233</v>
      </c>
      <c r="H65" s="121"/>
    </row>
    <row r="66" spans="1:8" ht="13.15">
      <c r="A66" s="144">
        <f t="shared" ref="A66:A71" si="3">A56</f>
        <v>5</v>
      </c>
      <c r="B66" s="125">
        <f t="shared" ref="B66:F71" si="4">(B56-$C$7+$C$8+$C$9)/Common_Shares*$C$3*Exchange_Rate</f>
        <v>2.5312314564860006</v>
      </c>
      <c r="C66" s="125">
        <f t="shared" si="4"/>
        <v>2.5600221991096803</v>
      </c>
      <c r="D66" s="125">
        <f t="shared" si="4"/>
        <v>2.716653317573174</v>
      </c>
      <c r="E66" s="125">
        <f t="shared" si="4"/>
        <v>2.7507926671193479</v>
      </c>
      <c r="F66" s="125">
        <f t="shared" si="4"/>
        <v>2.8222251519736052</v>
      </c>
      <c r="H66" s="121"/>
    </row>
    <row r="67" spans="1:8" ht="13.15">
      <c r="A67" s="144">
        <f t="shared" si="3"/>
        <v>10</v>
      </c>
      <c r="B67" s="125">
        <f t="shared" si="4"/>
        <v>2.4290114241073666</v>
      </c>
      <c r="C67" s="125">
        <f t="shared" si="4"/>
        <v>2.4714513127748692</v>
      </c>
      <c r="D67" s="125">
        <f t="shared" si="4"/>
        <v>2.7498304630367052</v>
      </c>
      <c r="E67" s="125">
        <f t="shared" si="4"/>
        <v>2.8228016685131445</v>
      </c>
      <c r="F67" s="125">
        <f t="shared" si="4"/>
        <v>2.9919575492408241</v>
      </c>
      <c r="H67" s="121"/>
    </row>
    <row r="68" spans="1:8" ht="13.15">
      <c r="A68" s="144">
        <f t="shared" si="3"/>
        <v>15</v>
      </c>
      <c r="B68" s="125">
        <f t="shared" si="4"/>
        <v>2.3319129593280259</v>
      </c>
      <c r="C68" s="125">
        <f t="shared" si="4"/>
        <v>2.3840500108665927</v>
      </c>
      <c r="D68" s="125">
        <f t="shared" si="4"/>
        <v>2.7908963797082418</v>
      </c>
      <c r="E68" s="125">
        <f t="shared" si="4"/>
        <v>2.9166745336615811</v>
      </c>
      <c r="F68" s="125">
        <f t="shared" si="4"/>
        <v>3.2387314856342093</v>
      </c>
      <c r="H68" s="121"/>
    </row>
    <row r="69" spans="1:8" ht="13.15">
      <c r="A69" s="145">
        <f t="shared" si="3"/>
        <v>20</v>
      </c>
      <c r="B69" s="125">
        <f t="shared" si="4"/>
        <v>2.2547659962957853</v>
      </c>
      <c r="C69" s="125">
        <f t="shared" si="4"/>
        <v>2.3124005632031364</v>
      </c>
      <c r="D69" s="125">
        <f t="shared" si="4"/>
        <v>2.8327359631563591</v>
      </c>
      <c r="E69" s="125">
        <f t="shared" si="4"/>
        <v>3.0177123442720615</v>
      </c>
      <c r="F69" s="125">
        <f t="shared" si="4"/>
        <v>3.5379385990304812</v>
      </c>
      <c r="H69" s="121"/>
    </row>
    <row r="70" spans="1:8" ht="13.15">
      <c r="A70" s="145">
        <f t="shared" si="3"/>
        <v>25</v>
      </c>
      <c r="B70" s="125">
        <f t="shared" si="4"/>
        <v>2.1978149454839446</v>
      </c>
      <c r="C70" s="125">
        <f t="shared" si="4"/>
        <v>2.2581801582223426</v>
      </c>
      <c r="D70" s="125">
        <f t="shared" si="4"/>
        <v>2.8716490974419959</v>
      </c>
      <c r="E70" s="125">
        <f t="shared" si="4"/>
        <v>3.1172380249571061</v>
      </c>
      <c r="F70" s="125">
        <f t="shared" si="4"/>
        <v>3.8728308516620134</v>
      </c>
    </row>
    <row r="71" spans="1:8" ht="13.15">
      <c r="A71" s="145">
        <f t="shared" si="3"/>
        <v>30</v>
      </c>
      <c r="B71" s="125">
        <f t="shared" si="4"/>
        <v>2.1572682197018889</v>
      </c>
      <c r="C71" s="125">
        <f t="shared" si="4"/>
        <v>2.2188308730935904</v>
      </c>
      <c r="D71" s="125">
        <f t="shared" si="4"/>
        <v>2.9059758950171939</v>
      </c>
      <c r="E71" s="125">
        <f t="shared" si="4"/>
        <v>3.2104447069375945</v>
      </c>
      <c r="F71" s="125">
        <f t="shared" si="4"/>
        <v>4.232009810440875</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3.2387314856342093</v>
      </c>
      <c r="F74" s="143">
        <f>Scenarios!C58</f>
        <v>0.05</v>
      </c>
    </row>
    <row r="75" spans="1:8">
      <c r="B75" s="128" t="str">
        <f>Scenarios!B36</f>
        <v>Optimistic</v>
      </c>
      <c r="C75" s="143">
        <f>Scenarios!C38</f>
        <v>0.04</v>
      </c>
      <c r="D75" s="146">
        <f>Scenarios!C37</f>
        <v>10</v>
      </c>
      <c r="E75" s="136">
        <f>INDEX(B$65:F$71, MATCH(D75, A$65:A$71, 0), MATCH(C75, B$64:F$64, 0))</f>
        <v>2.8228016685131445</v>
      </c>
      <c r="F75" s="143">
        <f>Scenarios!C40*(1-F$74-F$78)</f>
        <v>0.17</v>
      </c>
      <c r="H75" s="121"/>
    </row>
    <row r="76" spans="1:8">
      <c r="B76" s="128" t="str">
        <f>Scenarios!B24</f>
        <v>Base</v>
      </c>
      <c r="C76" s="143">
        <f>Scenarios!C26</f>
        <v>0.02</v>
      </c>
      <c r="D76" s="146">
        <f>Scenarios!C25</f>
        <v>10</v>
      </c>
      <c r="E76" s="136">
        <f>INDEX(B$65:F$71, MATCH(D76, A$65:A$71, 0), MATCH(C76, B$64:F$64, 0))</f>
        <v>2.7498304630367052</v>
      </c>
      <c r="F76" s="143">
        <f>Scenarios!C28*(1-F$74-F$78)</f>
        <v>0.51</v>
      </c>
      <c r="H76" s="121"/>
    </row>
    <row r="77" spans="1:8">
      <c r="B77" s="128" t="str">
        <f>Scenarios!B30</f>
        <v>Pessimistic</v>
      </c>
      <c r="C77" s="143">
        <f>Scenarios!C32</f>
        <v>-0.08</v>
      </c>
      <c r="D77" s="146">
        <f>Scenarios!C31</f>
        <v>10</v>
      </c>
      <c r="E77" s="136">
        <f>INDEX(B$65:F$71, MATCH(D77, A$65:A$71, 0), MATCH(C77, B$64:F$64, 0))</f>
        <v>2.4714513127748692</v>
      </c>
      <c r="F77" s="143">
        <f>Scenarios!C34*(1-F$74-F$78)</f>
        <v>0.17</v>
      </c>
      <c r="H77" s="121"/>
    </row>
    <row r="78" spans="1:8">
      <c r="B78" s="128" t="str">
        <f>Scenarios!B48</f>
        <v>Devil's advocate</v>
      </c>
      <c r="C78" s="143">
        <f>Scenarios!C50</f>
        <v>-0.1</v>
      </c>
      <c r="D78" s="146">
        <f>Scenarios!C49</f>
        <v>15</v>
      </c>
      <c r="E78" s="136">
        <f>INDEX(B$65:F$71, MATCH(D78, A$65:A$71, 0), MATCH(C78, B$64:F$64, 0))</f>
        <v>2.3319129593280259</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0.11437021968222422</v>
      </c>
    </row>
    <row r="5" spans="2:9">
      <c r="H5" s="276">
        <v>2</v>
      </c>
      <c r="I5" s="264">
        <f t="shared" si="0"/>
        <v>0.11437021968222422</v>
      </c>
    </row>
    <row r="6" spans="2:9" ht="13.15">
      <c r="B6" s="160" t="s">
        <v>96</v>
      </c>
      <c r="C6" s="107">
        <f>Valuation_Model!C3</f>
        <v>1000</v>
      </c>
      <c r="E6" s="100" t="s">
        <v>282</v>
      </c>
      <c r="F6" s="100"/>
      <c r="H6" s="276">
        <v>3</v>
      </c>
      <c r="I6" s="264">
        <f t="shared" si="0"/>
        <v>2.811934632864419</v>
      </c>
    </row>
    <row r="7" spans="2:9" ht="12.75" customHeight="1">
      <c r="B7" s="100" t="s">
        <v>276</v>
      </c>
      <c r="C7" s="115">
        <f>Normalized_FCF!G8</f>
        <v>157888</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0"/>
      <c r="H7" s="276">
        <v>4</v>
      </c>
      <c r="I7" s="264" t="str">
        <f t="shared" si="0"/>
        <v/>
      </c>
    </row>
    <row r="8" spans="2:9">
      <c r="B8" s="100" t="s">
        <v>66</v>
      </c>
      <c r="C8" s="115">
        <f>Normalized_FCF!G19</f>
        <v>169784.95572145906</v>
      </c>
      <c r="D8" t="str">
        <f>Reporting_currency</f>
        <v>CNY</v>
      </c>
      <c r="E8" s="350"/>
      <c r="F8" s="350"/>
      <c r="H8" s="276">
        <v>5</v>
      </c>
      <c r="I8" s="264" t="str">
        <f t="shared" si="0"/>
        <v/>
      </c>
    </row>
    <row r="9" spans="2:9">
      <c r="B9" s="100" t="s">
        <v>57</v>
      </c>
      <c r="C9" s="201">
        <f>Normalized_FCF!C19</f>
        <v>102727.41454808567</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0.12167914390403989</v>
      </c>
      <c r="D12" s="159"/>
      <c r="E12" s="350"/>
      <c r="F12" s="350"/>
      <c r="H12" s="276">
        <v>9</v>
      </c>
      <c r="I12" s="264" t="str">
        <f t="shared" si="0"/>
        <v/>
      </c>
    </row>
    <row r="13" spans="2:9">
      <c r="B13" s="149" t="s">
        <v>153</v>
      </c>
      <c r="C13" s="159">
        <f ca="1">(Normalized_FCF!G8/OFFSET(Normalized_FCF!G8, 0, $C$4))^(1/$C$4) - 1</f>
        <v>7.4870016543118432</v>
      </c>
      <c r="E13" s="350"/>
      <c r="F13" s="350"/>
      <c r="H13" s="276">
        <v>10</v>
      </c>
      <c r="I13" s="264" t="str">
        <f t="shared" si="0"/>
        <v/>
      </c>
    </row>
    <row r="14" spans="2:9">
      <c r="B14" s="100" t="s">
        <v>66</v>
      </c>
      <c r="C14" s="159">
        <f ca="1">(Normalized_FCF!G19/OFFSET(Normalized_FCF!G19, 0, $C$4))^(1/$C$4) - 1</f>
        <v>2.3903303431197065</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2.2999999999999998</v>
      </c>
      <c r="D21" t="str">
        <f>Market_currency</f>
        <v>HKD</v>
      </c>
      <c r="E21" s="351"/>
      <c r="F21" s="351"/>
    </row>
    <row r="22" spans="2:6">
      <c r="B22" s="100" t="s">
        <v>281</v>
      </c>
      <c r="C22" s="161">
        <f>Valuation_Model!C12</f>
        <v>2.6835066949111233</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0.02</v>
      </c>
      <c r="D26" s="165"/>
      <c r="E26" s="349"/>
      <c r="F26" s="349"/>
    </row>
    <row r="27" spans="2:6">
      <c r="B27" s="100" t="s">
        <v>114</v>
      </c>
      <c r="C27" s="161">
        <f>Valuation_Model!E76</f>
        <v>2.7498304630367052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-0.08</v>
      </c>
      <c r="D32" s="165"/>
      <c r="E32" s="349"/>
      <c r="F32" s="349"/>
    </row>
    <row r="33" spans="2:6">
      <c r="B33" s="100" t="s">
        <v>114</v>
      </c>
      <c r="C33" s="161">
        <f>Valuation_Model!E77</f>
        <v>2.4714513127748692</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0.04</v>
      </c>
      <c r="D38" s="165"/>
      <c r="E38" s="349"/>
      <c r="F38" s="349"/>
    </row>
    <row r="39" spans="2:6">
      <c r="B39" s="100" t="s">
        <v>114</v>
      </c>
      <c r="C39" s="161">
        <f>Valuation_Model!E75</f>
        <v>2.8228016685131445</v>
      </c>
      <c r="D39" t="str">
        <f>Market_currency</f>
        <v>HKD</v>
      </c>
      <c r="E39" s="349"/>
      <c r="F39" s="349"/>
    </row>
    <row r="40" spans="2:6">
      <c r="B40" s="100" t="s">
        <v>148</v>
      </c>
      <c r="C40" s="168">
        <f>1-C28-C34</f>
        <v>0.2</v>
      </c>
      <c r="D40" s="166"/>
      <c r="E40" s="349"/>
      <c r="F40" s="349"/>
    </row>
    <row r="42" spans="2:6" ht="13.15">
      <c r="B42" s="100" t="s">
        <v>121</v>
      </c>
      <c r="C42" s="155">
        <f>C27*C28+C33*C34+C39*C40</f>
        <v>2.7087488740796259</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2.3319129593280259</v>
      </c>
      <c r="D51" t="str">
        <f>Market_currency</f>
        <v>HKD</v>
      </c>
      <c r="E51" s="349"/>
      <c r="F51" s="349"/>
    </row>
    <row r="52" spans="2:6">
      <c r="B52" s="100" t="s">
        <v>148</v>
      </c>
      <c r="C52" s="166">
        <v>0.1</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3.2387314856342093</v>
      </c>
      <c r="D57" t="str">
        <f>Market_currency</f>
        <v>HKD</v>
      </c>
      <c r="E57" s="349"/>
      <c r="F57" s="349"/>
    </row>
    <row r="58" spans="2:6">
      <c r="B58" s="100" t="s">
        <v>148</v>
      </c>
      <c r="C58" s="166">
        <v>0.05</v>
      </c>
      <c r="D58" s="166"/>
      <c r="E58" s="349"/>
      <c r="F58" s="349"/>
    </row>
    <row r="60" spans="2:6" ht="13.15">
      <c r="B60" s="100" t="s">
        <v>121</v>
      </c>
      <c r="C60" s="155">
        <f>C51*C52+C57*C58+C42*(1-C52-C58)</f>
        <v>2.697564413182195</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2.7111861095082355</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0.61395743986780416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0.11437021968222422</v>
      </c>
      <c r="D77" t="str">
        <f>Market_currency</f>
        <v>HKD</v>
      </c>
    </row>
    <row r="79" spans="2:6" ht="13.15">
      <c r="B79" s="109" t="s">
        <v>308</v>
      </c>
    </row>
    <row r="80" spans="2:6">
      <c r="B80" s="149" t="s">
        <v>306</v>
      </c>
      <c r="C80" s="168">
        <f>Thesis!C127</f>
        <v>0.25</v>
      </c>
    </row>
    <row r="81" spans="2:8">
      <c r="B81" s="100" t="s">
        <v>122</v>
      </c>
      <c r="C81" s="117">
        <f>PV(C80, C76, -C77, 0)</f>
        <v>0.22325066881970168</v>
      </c>
      <c r="D81" s="117"/>
      <c r="E81" s="100"/>
      <c r="F81" s="100"/>
    </row>
    <row r="82" spans="2:8">
      <c r="B82" s="100" t="s">
        <v>123</v>
      </c>
      <c r="C82" s="117">
        <f>C60/(1+C80)^C76</f>
        <v>1.3811529795492838</v>
      </c>
      <c r="D82" s="117"/>
    </row>
    <row r="83" spans="2:8" ht="13.15">
      <c r="B83" s="111" t="s">
        <v>102</v>
      </c>
      <c r="C83" s="112">
        <f>C81+C82</f>
        <v>1.6044036483689856</v>
      </c>
      <c r="D83" t="str">
        <f>Market_currency</f>
        <v>HKD</v>
      </c>
      <c r="E83" s="147" t="s">
        <v>127</v>
      </c>
      <c r="F83" s="329">
        <f>(1-C83/C60)</f>
        <v>0.40523991177792007</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0.10185445179346697</v>
      </c>
    </row>
    <row r="88" spans="2:8">
      <c r="B88" s="100"/>
    </row>
    <row r="89" spans="2:8" ht="13.15">
      <c r="B89" s="109" t="s">
        <v>406</v>
      </c>
    </row>
    <row r="90" spans="2:8">
      <c r="B90" s="149" t="s">
        <v>413</v>
      </c>
      <c r="C90" s="135">
        <f>MAX(6%,(Thesis!E19+Thesis!C67)/2)</f>
        <v>0.06</v>
      </c>
    </row>
    <row r="91" spans="2:8">
      <c r="B91" s="100" t="s">
        <v>122</v>
      </c>
      <c r="C91" s="117">
        <f>PV(C90, C76, -C77, 0)</f>
        <v>0.30571296387313812</v>
      </c>
      <c r="D91" s="117"/>
    </row>
    <row r="92" spans="2:8">
      <c r="B92" s="100" t="s">
        <v>123</v>
      </c>
      <c r="C92" s="117">
        <f>C60/(1+C90)^C76</f>
        <v>2.264927098529486</v>
      </c>
      <c r="D92" s="117"/>
    </row>
    <row r="93" spans="2:8" ht="13.15">
      <c r="B93" s="111" t="s">
        <v>407</v>
      </c>
      <c r="C93" s="112">
        <f>C91+C92</f>
        <v>2.570640062402624</v>
      </c>
      <c r="D93" t="s">
        <v>405</v>
      </c>
      <c r="E93" s="147" t="s">
        <v>127</v>
      </c>
      <c r="F93" s="329">
        <f>(1-C93/C60)</f>
        <v>4.7051462481981665E-2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