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D927423-F760-44D0-BFC5-6E7E3A278992}"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116" i="6" l="1"/>
  <c r="B122" i="6" s="1"/>
  <c r="B121" i="6"/>
  <c r="I4" i="9"/>
  <c r="I13" i="9"/>
  <c r="I8" i="9"/>
  <c r="I11" i="9"/>
  <c r="F60" i="9"/>
  <c r="C76" i="9"/>
  <c r="I6" i="9" s="1"/>
  <c r="I7" i="9" l="1"/>
  <c r="I5" i="9"/>
  <c r="C87" i="9" s="1"/>
  <c r="C21" i="6" s="1"/>
  <c r="C81" i="9"/>
  <c r="C82" i="9"/>
  <c r="C122" i="6" s="1"/>
  <c r="I10" i="9"/>
  <c r="I9" i="9"/>
  <c r="I12" i="9"/>
  <c r="C121" i="6" l="1"/>
  <c r="C83" i="9"/>
  <c r="C123" i="6" l="1"/>
  <c r="C20" i="6" s="1"/>
  <c r="F83" i="9"/>
  <c r="C124"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<sst xmlns="http://schemas.openxmlformats.org/spreadsheetml/2006/main" count="556" uniqueCount="386">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</sst>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B25" sqref="B25:F2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2.2799999999999998</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3040.0003799999995</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1.0726602000000001</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1.7611544086745501</v>
      </c>
      <c r="D20" s="1" t="s">
        <v>344</v>
      </c>
      <c r="E20" s="323">
        <v>3</v>
      </c>
    </row>
    <row r="21" spans="1:6" x14ac:dyDescent="0.35">
      <c r="B21" s="1" t="s">
        <v>343</v>
      </c>
      <c r="C21" s="288">
        <f ca="1">Scenarios!C87</f>
        <v>9.6153062008305534E-2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2" t="s">
        <v>243</v>
      </c>
      <c r="C36" s="332"/>
      <c r="D36" s="332"/>
      <c r="E36" s="332"/>
      <c r="F36" s="332"/>
    </row>
    <row r="37" spans="2:6" x14ac:dyDescent="0.35">
      <c r="B37" s="47" t="s">
        <v>244</v>
      </c>
      <c r="C37" s="192">
        <f>Normalized_FCF!C11</f>
        <v>0</v>
      </c>
      <c r="D37" s="1" t="str">
        <f>Reporting_currency</f>
        <v>CNY</v>
      </c>
    </row>
    <row r="39" spans="2:6" x14ac:dyDescent="0.35">
      <c r="B39" s="332" t="s">
        <v>247</v>
      </c>
      <c r="C39" s="332"/>
      <c r="D39" s="332"/>
      <c r="E39" s="332"/>
      <c r="F39" s="332"/>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2" t="s">
        <v>248</v>
      </c>
      <c r="C45" s="332"/>
      <c r="D45" s="332"/>
      <c r="E45" s="332"/>
      <c r="F45" s="332"/>
    </row>
    <row r="46" spans="2:6" x14ac:dyDescent="0.35">
      <c r="B46" s="47" t="s">
        <v>246</v>
      </c>
      <c r="C46" s="192">
        <f>Normalized_FCF!C14</f>
        <v>-32851.165634415171</v>
      </c>
      <c r="D46" s="1" t="str">
        <f>Reporting_currency</f>
        <v>CNY</v>
      </c>
    </row>
    <row r="48" spans="2:6" ht="24.4" customHeight="1" x14ac:dyDescent="0.35">
      <c r="B48" s="332" t="s">
        <v>251</v>
      </c>
      <c r="C48" s="336"/>
      <c r="D48" s="336"/>
      <c r="E48" s="336"/>
      <c r="F48" s="336"/>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3" t="s">
        <v>272</v>
      </c>
      <c r="C52" s="333"/>
      <c r="D52" s="333"/>
      <c r="E52" s="333"/>
      <c r="F52" s="333"/>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3.4037135153498488E-2</v>
      </c>
    </row>
    <row r="56" spans="1:6" x14ac:dyDescent="0.35">
      <c r="B56" s="261" t="s">
        <v>345</v>
      </c>
      <c r="C56" s="94">
        <f>Normalized_FCF!C92</f>
        <v>5.1666666666666673E-2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0.77604668149976541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2.7352027185846606E-2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1.6326463638092357</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0.18314876857092394</v>
      </c>
      <c r="D91" s="1" t="str">
        <f>Market_currency</f>
        <v>HKD</v>
      </c>
    </row>
    <row r="93" spans="2:6" ht="24.4" customHeight="1" x14ac:dyDescent="0.35">
      <c r="B93" s="333" t="s">
        <v>271</v>
      </c>
      <c r="C93" s="333"/>
      <c r="D93" s="333"/>
      <c r="E93" s="333"/>
      <c r="F93" s="333"/>
    </row>
    <row r="95" spans="2:6" x14ac:dyDescent="0.35">
      <c r="B95" s="47" t="s">
        <v>304</v>
      </c>
      <c r="C95" s="255">
        <f>Valuation_Model!C12</f>
        <v>2.5644897866940783</v>
      </c>
      <c r="D95" s="1" t="str">
        <f>Market_currency</f>
        <v>HKD</v>
      </c>
    </row>
    <row r="97" spans="1:6" ht="13.9" x14ac:dyDescent="0.45">
      <c r="A97" s="254" t="s">
        <v>281</v>
      </c>
      <c r="B97" s="36"/>
      <c r="C97" s="36"/>
      <c r="D97" s="36"/>
      <c r="E97" s="36"/>
      <c r="F97" s="36"/>
    </row>
    <row r="99" spans="1:6" ht="24.4" customHeight="1" x14ac:dyDescent="0.35">
      <c r="B99" s="332" t="s">
        <v>371</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2.6144828181896225</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1.5130108901560315</v>
      </c>
    </row>
    <row r="123" spans="2:6" x14ac:dyDescent="0.35">
      <c r="B123" s="82" t="s">
        <v>275</v>
      </c>
      <c r="C123" s="246">
        <f>Scenarios!C83</f>
        <v>1.7611544086745501</v>
      </c>
      <c r="D123" s="47" t="str">
        <f>Reporting_currency</f>
        <v>CNY</v>
      </c>
    </row>
    <row r="124" spans="2:6" x14ac:dyDescent="0.35">
      <c r="B124" s="245" t="s">
        <v>277</v>
      </c>
      <c r="C124" s="158">
        <f>Scenarios!F83</f>
        <v>-0.32638516634274639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2.4322314919563635</v>
      </c>
      <c r="D47" s="151">
        <f>D46*H1/Common_Shares*Exchange_Rate</f>
        <v>1.7960083277359495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-36469.374139800006</v>
      </c>
      <c r="D86" s="255">
        <f>C86*$H$1/Common_Shares</f>
        <v>-2.7352027185846606E-2</v>
      </c>
      <c r="E86" s="277" t="str">
        <f>Market_currency</f>
        <v>HKD</v>
      </c>
    </row>
    <row r="87" spans="2:8" ht="15" customHeight="1" x14ac:dyDescent="0.35">
      <c r="B87" s="275" t="s">
        <v>320</v>
      </c>
      <c r="C87" s="192">
        <f>Valuation_Model!C8*Exchange_Rate</f>
        <v>2176862.0905200415</v>
      </c>
      <c r="D87" s="255">
        <f>C87*$H$1/Common_Shares</f>
        <v>1.6326463638092357</v>
      </c>
      <c r="E87" s="277" t="str">
        <f>Market_currency</f>
        <v>HKD</v>
      </c>
    </row>
    <row r="88" spans="2:8" ht="15" customHeight="1" x14ac:dyDescent="0.35">
      <c r="B88" s="276" t="s">
        <v>194</v>
      </c>
      <c r="C88" s="192">
        <f>Valuation_Model!C9*Exchange_Rate</f>
        <v>244198.38861935999</v>
      </c>
      <c r="D88" s="255">
        <f>C88*$H$1/Common_Shares</f>
        <v>0.18314876857092394</v>
      </c>
      <c r="E88" s="277" t="str">
        <f>Market_currency</f>
        <v>HKD</v>
      </c>
    </row>
    <row r="89" spans="2:8" ht="15" customHeight="1" x14ac:dyDescent="0.35">
      <c r="B89" s="82" t="s">
        <v>324</v>
      </c>
      <c r="C89" s="191">
        <f>SUM(C86:C88)</f>
        <v>2384591.1049996014</v>
      </c>
      <c r="D89" s="279">
        <f>SUM(D86:D88)</f>
        <v>1.788443105194313</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5.1666666666666673E-2</v>
      </c>
      <c r="E92" s="312"/>
      <c r="G92" s="23">
        <f t="shared" ref="G92:Q92" si="38">IF(G$4="","",G89/Market_Price)</f>
        <v>5.1666666666666673E-2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7.7604668149976533E-2</v>
      </c>
      <c r="D119" s="27"/>
      <c r="E119" s="309"/>
      <c r="F119" s="27"/>
      <c r="G119" s="182">
        <f t="shared" ref="G119:Q119" si="48">IF(G$4="","",G16*$C$3/Common_Shares*Exchange_Rate)</f>
        <v>0.12225911266311093</v>
      </c>
      <c r="H119" s="182">
        <f t="shared" si="48"/>
        <v>3.6623028135571487E-2</v>
      </c>
      <c r="I119" s="182">
        <f t="shared" si="48"/>
        <v>6.484553344582103E-2</v>
      </c>
      <c r="J119" s="182">
        <f t="shared" si="48"/>
        <v>0.22808492321212165</v>
      </c>
      <c r="K119" s="182">
        <f t="shared" si="48"/>
        <v>0.16324652644188423</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3.4037135153498488E-2</v>
      </c>
      <c r="D120" s="27"/>
      <c r="E120" s="309"/>
      <c r="F120" s="27"/>
      <c r="G120" s="79">
        <f t="shared" ref="G120" si="49">IF(G$4="","",G119/Market_Price)</f>
        <v>5.3622417834697782E-2</v>
      </c>
      <c r="H120" s="79">
        <f t="shared" ref="H120" si="50">IF(H$4="","",H119/Market_Price)</f>
        <v>1.6062731638408548E-2</v>
      </c>
      <c r="I120" s="79">
        <f t="shared" ref="I120" si="51">IF(I$4="","",I119/Market_Price)</f>
        <v>2.8441023441149578E-2</v>
      </c>
      <c r="J120" s="79">
        <f t="shared" ref="J120" si="52">IF(J$4="","",J119/Market_Price)</f>
        <v>0.10003724702286038</v>
      </c>
      <c r="K120" s="79">
        <f t="shared" ref="K120" si="53">IF(K$4="","",K119/Market_Price)</f>
        <v>7.1599353702580804E-2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1.0726602000000001</v>
      </c>
      <c r="D11" t="str">
        <f>Thesis!D17</f>
        <v>CNY/HKD</v>
      </c>
      <c r="H11" s="124"/>
    </row>
    <row r="12" spans="2:8" ht="13.5" thickTop="1" x14ac:dyDescent="0.4">
      <c r="B12" s="153" t="s">
        <v>107</v>
      </c>
      <c r="C12" s="115">
        <f>(C10*C3)/Common_Shares*C11</f>
        <v>2.5644897866940783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2.613092066502583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2.5644897866940783</v>
      </c>
      <c r="C65" s="128">
        <f>C12</f>
        <v>2.5644897866940783</v>
      </c>
      <c r="D65" s="128">
        <f>C12</f>
        <v>2.5644897866940783</v>
      </c>
      <c r="E65" s="145">
        <f>C12</f>
        <v>2.5644897866940783</v>
      </c>
      <c r="F65" s="128">
        <f>C12</f>
        <v>2.5644897866940783</v>
      </c>
      <c r="H65" s="124"/>
    </row>
    <row r="66" spans="1:8" ht="13.15" x14ac:dyDescent="0.4">
      <c r="A66" s="147">
        <f t="shared" ref="A66:A71" si="3">A56</f>
        <v>5</v>
      </c>
      <c r="B66" s="128">
        <f t="shared" ref="B66:F71" si="4">(B56-$C$7+$C$8+$C$9)/Common_Shares*$C$3*Exchange_Rate</f>
        <v>2.443300525873672</v>
      </c>
      <c r="C66" s="128">
        <f t="shared" si="4"/>
        <v>2.489558023481464</v>
      </c>
      <c r="D66" s="128">
        <f t="shared" si="4"/>
        <v>2.5910825203848922</v>
      </c>
      <c r="E66" s="128">
        <f t="shared" si="4"/>
        <v>2.6469095858885598</v>
      </c>
      <c r="F66" s="128">
        <f t="shared" si="4"/>
        <v>2.7065167713999467</v>
      </c>
      <c r="H66" s="124"/>
    </row>
    <row r="67" spans="1:8" ht="13.15" x14ac:dyDescent="0.4">
      <c r="A67" s="147">
        <f t="shared" si="3"/>
        <v>10</v>
      </c>
      <c r="B67" s="128">
        <f t="shared" si="4"/>
        <v>2.3599977422752119</v>
      </c>
      <c r="C67" s="128">
        <f t="shared" si="4"/>
        <v>2.4309405103684378</v>
      </c>
      <c r="D67" s="128">
        <f t="shared" si="4"/>
        <v>2.6180648516165936</v>
      </c>
      <c r="E67" s="128">
        <f t="shared" si="4"/>
        <v>2.7421929994503293</v>
      </c>
      <c r="F67" s="128">
        <f t="shared" si="4"/>
        <v>2.8936093360639989</v>
      </c>
      <c r="H67" s="124"/>
    </row>
    <row r="68" spans="1:8" ht="13.15" x14ac:dyDescent="0.4">
      <c r="A68" s="147">
        <f t="shared" si="3"/>
        <v>15</v>
      </c>
      <c r="B68" s="128">
        <f t="shared" si="4"/>
        <v>2.2876529273582111</v>
      </c>
      <c r="C68" s="128">
        <f t="shared" si="4"/>
        <v>2.3758588899572044</v>
      </c>
      <c r="D68" s="128">
        <f t="shared" si="4"/>
        <v>2.6486034775099276</v>
      </c>
      <c r="E68" s="128">
        <f t="shared" si="4"/>
        <v>2.8620304166950867</v>
      </c>
      <c r="F68" s="128">
        <f t="shared" si="4"/>
        <v>3.1568704734833655</v>
      </c>
      <c r="H68" s="124"/>
    </row>
    <row r="69" spans="1:8" ht="13.15" x14ac:dyDescent="0.4">
      <c r="A69" s="148">
        <f t="shared" si="3"/>
        <v>20</v>
      </c>
      <c r="B69" s="128">
        <f t="shared" si="4"/>
        <v>2.2351720860924194</v>
      </c>
      <c r="C69" s="128">
        <f t="shared" si="4"/>
        <v>2.3331429562167783</v>
      </c>
      <c r="D69" s="128">
        <f t="shared" si="4"/>
        <v>2.6770156400059997</v>
      </c>
      <c r="E69" s="128">
        <f t="shared" si="4"/>
        <v>2.9868559694040608</v>
      </c>
      <c r="F69" s="128">
        <f t="shared" si="4"/>
        <v>3.467426301873489</v>
      </c>
      <c r="H69" s="124"/>
    </row>
    <row r="70" spans="1:8" ht="13.15" x14ac:dyDescent="0.4">
      <c r="A70" s="148">
        <f t="shared" si="3"/>
        <v>25</v>
      </c>
      <c r="B70" s="128">
        <f t="shared" si="4"/>
        <v>2.1998136073029557</v>
      </c>
      <c r="C70" s="128">
        <f t="shared" si="4"/>
        <v>2.3027396559750533</v>
      </c>
      <c r="D70" s="128">
        <f t="shared" si="4"/>
        <v>2.7011358334595239</v>
      </c>
      <c r="E70" s="128">
        <f t="shared" si="4"/>
        <v>3.1062550789297436</v>
      </c>
      <c r="F70" s="128">
        <f t="shared" si="4"/>
        <v>3.8073484123548478</v>
      </c>
    </row>
    <row r="71" spans="1:8" ht="13.15" x14ac:dyDescent="0.4">
      <c r="A71" s="148">
        <f t="shared" si="3"/>
        <v>30</v>
      </c>
      <c r="B71" s="128">
        <f t="shared" si="4"/>
        <v>2.1768424241029609</v>
      </c>
      <c r="C71" s="128">
        <f t="shared" si="4"/>
        <v>2.2820934653926552</v>
      </c>
      <c r="D71" s="128">
        <f t="shared" si="4"/>
        <v>2.7205538776547504</v>
      </c>
      <c r="E71" s="128">
        <f t="shared" si="4"/>
        <v>3.2152021865456928</v>
      </c>
      <c r="F71" s="128">
        <f t="shared" si="4"/>
        <v>4.165504673565624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3.1568704734833655</v>
      </c>
      <c r="F74" s="146">
        <f>Scenarios!C58</f>
        <v>0.05</v>
      </c>
    </row>
    <row r="75" spans="1:8" x14ac:dyDescent="0.35">
      <c r="B75" s="131" t="str">
        <f>Scenarios!B36</f>
        <v>Optimistic</v>
      </c>
      <c r="C75" s="146">
        <f>Scenarios!C38</f>
        <v>0.06</v>
      </c>
      <c r="D75" s="149">
        <f>Scenarios!C37</f>
        <v>10</v>
      </c>
      <c r="E75" s="139">
        <f>INDEX(B$65:F$71, MATCH(D75, A$65:A$71, 0), MATCH(C75, B$64:F$64, 0))</f>
        <v>2.7421929994503293</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2.6180648516165936</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2.4309405103684378</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2.2876529273582111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-2.2799999999999998</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2.7322828181896224</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si="0"/>
        <v/>
      </c>
    </row>
    <row r="8" spans="2:9" x14ac:dyDescent="0.35">
      <c r="B8" s="103" t="s">
        <v>70</v>
      </c>
      <c r="C8" s="118">
        <f>Normalized_FCF!G19</f>
        <v>151970</v>
      </c>
      <c r="D8" t="str">
        <f>Reporting_currency</f>
        <v>CNY</v>
      </c>
      <c r="E8" s="340"/>
      <c r="F8" s="340"/>
      <c r="H8" s="284">
        <v>5</v>
      </c>
      <c r="I8" s="272" t="str">
        <f t="shared" si="0"/>
        <v/>
      </c>
    </row>
    <row r="9" spans="2:9" x14ac:dyDescent="0.35">
      <c r="B9" s="103" t="s">
        <v>61</v>
      </c>
      <c r="C9" s="208">
        <f>Normalized_FCF!C19</f>
        <v>96463.823120077301</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-1.7248638436905273E-2</v>
      </c>
      <c r="D12" s="163"/>
      <c r="E12" s="340"/>
      <c r="F12" s="340"/>
      <c r="H12" s="284">
        <v>9</v>
      </c>
      <c r="I12" s="272" t="str">
        <f t="shared" si="0"/>
        <v/>
      </c>
    </row>
    <row r="13" spans="2:9" x14ac:dyDescent="0.35">
      <c r="B13" s="152" t="s">
        <v>157</v>
      </c>
      <c r="C13" s="163">
        <f ca="1">(Normalized_FCF!G8/OFFSET(Normalized_FCF!G8, 0, $C$4))^(1/$C$4) - 1</f>
        <v>-0.283580450424601</v>
      </c>
      <c r="E13" s="340"/>
      <c r="F13" s="340"/>
      <c r="H13" s="284">
        <v>10</v>
      </c>
      <c r="I13" s="272" t="str">
        <f t="shared"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2.2799999999999998</v>
      </c>
      <c r="D21" t="str">
        <f>Market_currency</f>
        <v>HKD</v>
      </c>
      <c r="E21" s="341"/>
      <c r="F21" s="341"/>
    </row>
    <row r="22" spans="2:6" x14ac:dyDescent="0.35">
      <c r="B22" s="103" t="s">
        <v>301</v>
      </c>
      <c r="C22" s="165">
        <f>Valuation_Model!C12</f>
        <v>2.5644897866940783</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2.6180648516165936</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2.4309405103684378</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2.7421929994503293</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2.621028237387804</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2.2876529273582111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3.1568704734833655</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2.6144828181896225</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2.613092066502583</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0.24814351851851849</v>
      </c>
      <c r="D81" s="120"/>
      <c r="E81" s="103"/>
      <c r="F81" s="103"/>
    </row>
    <row r="82" spans="2:8" x14ac:dyDescent="0.35">
      <c r="B82" s="103" t="s">
        <v>127</v>
      </c>
      <c r="C82" s="120">
        <f>C60/(1+C80)^C76</f>
        <v>1.5130108901560315</v>
      </c>
      <c r="D82" s="120"/>
    </row>
    <row r="83" spans="2:8" ht="13.15" x14ac:dyDescent="0.4">
      <c r="B83" s="114" t="s">
        <v>106</v>
      </c>
      <c r="C83" s="115">
        <f>C81+C82</f>
        <v>1.7611544086745501</v>
      </c>
      <c r="D83" t="str">
        <f>Market_currency</f>
        <v>HKD</v>
      </c>
      <c r="E83" s="150" t="s">
        <v>131</v>
      </c>
      <c r="F83" s="270">
        <f>(C83/C60-1)</f>
        <v>-0.32638516634274639</v>
      </c>
    </row>
    <row r="84" spans="2:8" x14ac:dyDescent="0.35">
      <c r="E84" s="124"/>
    </row>
    <row r="85" spans="2:8" ht="13.15" x14ac:dyDescent="0.4">
      <c r="B85" s="112" t="s">
        <v>336</v>
      </c>
    </row>
    <row r="86" spans="2:8" x14ac:dyDescent="0.35">
      <c r="B86" s="152" t="s">
        <v>334</v>
      </c>
      <c r="C86" s="274">
        <f>Market_Price</f>
        <v>2.2799999999999998</v>
      </c>
      <c r="D86" t="str">
        <f>Market_currency</f>
        <v>HKD</v>
      </c>
    </row>
    <row r="87" spans="2:8" ht="13.15" x14ac:dyDescent="0.4">
      <c r="B87" s="103" t="s">
        <v>332</v>
      </c>
      <c r="C87" s="273">
        <f ca="1">IRR(OFFSET($I$3, 0, 0, $C$76 + 1, 1))</f>
        <v>9.6153062008305534E-2</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2025-03-21T15:13:28Z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